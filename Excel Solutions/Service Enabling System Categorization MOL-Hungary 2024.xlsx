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9"/>
  <workbookPr codeName="ThisWorkbook" defaultThemeVersion="166925"/>
  <mc:AlternateContent xmlns:mc="http://schemas.openxmlformats.org/markup-compatibility/2006">
    <mc:Choice Requires="x15">
      <x15ac:absPath xmlns:x15ac="http://schemas.microsoft.com/office/spreadsheetml/2010/11/ac" url="D:\Desktop\"/>
    </mc:Choice>
  </mc:AlternateContent>
  <xr:revisionPtr revIDLastSave="0" documentId="8_{844D745E-0975-4856-99AE-075FFFB15D05}" xr6:coauthVersionLast="47" xr6:coauthVersionMax="47" xr10:uidLastSave="{00000000-0000-0000-0000-000000000000}"/>
  <bookViews>
    <workbookView xWindow="0" yWindow="0" windowWidth="24000" windowHeight="8925" tabRatio="705" xr2:uid="{E048F988-339C-420D-85F5-336D8693FEBC}"/>
  </bookViews>
  <sheets>
    <sheet name="NEW MODEL BY SES" sheetId="23" r:id="rId1"/>
    <sheet name="calcuation" sheetId="34" state="hidden" r:id="rId2"/>
    <sheet name="kalkulačka" sheetId="33" state="hidden" r:id="rId3"/>
    <sheet name="Sheet1" sheetId="36" state="hidden" r:id="rId4"/>
    <sheet name="NEW MODEL SUMMARY" sheetId="14" r:id="rId5"/>
    <sheet name="SES_by_category" sheetId="25" state="hidden" r:id="rId6"/>
    <sheet name="SeS in Retail Sales Areas" sheetId="17" state="hidden" r:id="rId7"/>
    <sheet name="Changes description" sheetId="7" state="hidden" r:id="rId8"/>
    <sheet name="current criteria" sheetId="1" state="hidden" r:id="rId9"/>
    <sheet name="Indicator of sale interruption" sheetId="9" state="hidden" r:id="rId10"/>
  </sheets>
  <definedNames>
    <definedName name="_xlnm._FilterDatabase" localSheetId="1" hidden="1">calcuation!$Y$2:$AA$241</definedName>
    <definedName name="_xlnm._FilterDatabase" localSheetId="9" hidden="1">'Indicator of sale interruption'!$A$1:$CA$482</definedName>
    <definedName name="_xlnm._FilterDatabase" localSheetId="2" hidden="1">kalkulačka!$B$1:$C$1</definedName>
    <definedName name="_xlnm._FilterDatabase" localSheetId="0" hidden="1">'NEW MODEL BY SES'!$A$17:$Y$429</definedName>
    <definedName name="_xlnm._FilterDatabase" localSheetId="5" hidden="1">SES_by_category!$A$1:$F$233</definedName>
    <definedName name="_xlnm._FilterDatabase" localSheetId="3" hidden="1">Sheet1!$A$1:$F$233</definedName>
    <definedName name="SAPBEXhrIndnt" hidden="1">"Wide"</definedName>
    <definedName name="SAPsysID" hidden="1">"708C5W7SBKP804JT78WJ0JNKI"</definedName>
    <definedName name="SAPwbID" hidden="1">"ARS"</definedName>
  </definedNames>
  <calcPr calcId="191028"/>
  <pivotCaches>
    <pivotCache cacheId="13" r:id="rId11"/>
    <pivotCache cacheId="14"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3" l="1"/>
  <c r="C18" i="23"/>
  <c r="E10" i="23" l="1" a="1"/>
  <c r="E10" i="23" s="1"/>
  <c r="E4" i="23"/>
  <c r="E9" i="23" a="1"/>
  <c r="E9" i="23" s="1"/>
  <c r="F8" i="23" s="1"/>
  <c r="E11" i="23" a="1"/>
  <c r="E11" i="23" s="1"/>
  <c r="F19" i="23" s="1"/>
  <c r="E3" i="23"/>
  <c r="E5" i="23"/>
  <c r="X9" i="23"/>
  <c r="X10" i="23"/>
  <c r="F425" i="23" l="1"/>
  <c r="U428" i="23"/>
  <c r="U420" i="23"/>
  <c r="U412" i="23"/>
  <c r="U404" i="23"/>
  <c r="U396" i="23"/>
  <c r="U427" i="23"/>
  <c r="U419" i="23"/>
  <c r="U411" i="23"/>
  <c r="U403" i="23"/>
  <c r="U395" i="23"/>
  <c r="U426" i="23"/>
  <c r="U418" i="23"/>
  <c r="U410" i="23"/>
  <c r="U402" i="23"/>
  <c r="U394" i="23"/>
  <c r="U425" i="23"/>
  <c r="U417" i="23"/>
  <c r="U409" i="23"/>
  <c r="U401" i="23"/>
  <c r="U393" i="23"/>
  <c r="U424" i="23"/>
  <c r="U416" i="23"/>
  <c r="U408" i="23"/>
  <c r="U400" i="23"/>
  <c r="U392" i="23"/>
  <c r="U423" i="23"/>
  <c r="U415" i="23"/>
  <c r="U407" i="23"/>
  <c r="U399" i="23"/>
  <c r="U391" i="23"/>
  <c r="U422" i="23"/>
  <c r="U414" i="23"/>
  <c r="U406" i="23"/>
  <c r="U398" i="23"/>
  <c r="U429" i="23"/>
  <c r="U421" i="23"/>
  <c r="U413" i="23"/>
  <c r="U405" i="23"/>
  <c r="U397" i="23"/>
  <c r="L8" i="14" a="1"/>
  <c r="L8" i="14" s="1"/>
  <c r="F11" i="23"/>
  <c r="F10" i="23"/>
  <c r="F3" i="23"/>
  <c r="F5" i="23"/>
  <c r="F9" i="23"/>
  <c r="X11" i="23"/>
  <c r="Y8" i="23"/>
  <c r="L18" i="23"/>
  <c r="K18" i="23"/>
  <c r="O18" i="23"/>
  <c r="N18" i="23"/>
  <c r="I18" i="23"/>
  <c r="H18" i="23"/>
  <c r="U18" i="23"/>
  <c r="T18" i="23"/>
  <c r="U20" i="23"/>
  <c r="U21" i="23"/>
  <c r="U22" i="23"/>
  <c r="U23" i="23"/>
  <c r="U24" i="23"/>
  <c r="U25" i="23"/>
  <c r="U26" i="23"/>
  <c r="U27" i="23"/>
  <c r="U28" i="23"/>
  <c r="U29" i="23"/>
  <c r="U30" i="23"/>
  <c r="U31" i="23"/>
  <c r="U32" i="23"/>
  <c r="U33" i="23"/>
  <c r="U34" i="23"/>
  <c r="U35" i="23"/>
  <c r="U36" i="23"/>
  <c r="U37" i="23"/>
  <c r="U38" i="23"/>
  <c r="U39" i="23"/>
  <c r="U40" i="23"/>
  <c r="U41" i="23"/>
  <c r="U42" i="23"/>
  <c r="U43" i="23"/>
  <c r="U44" i="23"/>
  <c r="U45" i="23"/>
  <c r="U46" i="23"/>
  <c r="U47" i="23"/>
  <c r="U48" i="23"/>
  <c r="U49" i="23"/>
  <c r="U50" i="23"/>
  <c r="U51" i="23"/>
  <c r="U52" i="23"/>
  <c r="U53" i="23"/>
  <c r="U54" i="23"/>
  <c r="U55" i="23"/>
  <c r="U56" i="23"/>
  <c r="U57" i="23"/>
  <c r="U58" i="23"/>
  <c r="U59" i="23"/>
  <c r="U60" i="23"/>
  <c r="U61" i="23"/>
  <c r="U62" i="23"/>
  <c r="U63" i="23"/>
  <c r="U64" i="23"/>
  <c r="U65" i="23"/>
  <c r="U66" i="23"/>
  <c r="U67" i="23"/>
  <c r="U68" i="23"/>
  <c r="U69" i="23"/>
  <c r="U70" i="23"/>
  <c r="U71" i="23"/>
  <c r="U72" i="23"/>
  <c r="U73" i="23"/>
  <c r="U74" i="23"/>
  <c r="U75" i="23"/>
  <c r="U76" i="23"/>
  <c r="U77" i="23"/>
  <c r="U78" i="23"/>
  <c r="U79" i="23"/>
  <c r="U80" i="23"/>
  <c r="U81" i="23"/>
  <c r="U82" i="23"/>
  <c r="U83" i="23"/>
  <c r="U84" i="23"/>
  <c r="U85" i="23"/>
  <c r="U86" i="23"/>
  <c r="U87" i="23"/>
  <c r="U88" i="23"/>
  <c r="U89" i="23"/>
  <c r="U90" i="23"/>
  <c r="U91" i="23"/>
  <c r="U92" i="23"/>
  <c r="U93" i="23"/>
  <c r="U94" i="23"/>
  <c r="U95" i="23"/>
  <c r="U96" i="23"/>
  <c r="U97" i="23"/>
  <c r="U98" i="23"/>
  <c r="U99" i="23"/>
  <c r="U100" i="23"/>
  <c r="U101" i="23"/>
  <c r="U102" i="23"/>
  <c r="U103" i="23"/>
  <c r="U104" i="23"/>
  <c r="U105" i="23"/>
  <c r="U106" i="23"/>
  <c r="U107" i="23"/>
  <c r="U108" i="23"/>
  <c r="U109" i="23"/>
  <c r="U110" i="23"/>
  <c r="U111" i="23"/>
  <c r="U112" i="23"/>
  <c r="U113" i="23"/>
  <c r="U114" i="23"/>
  <c r="U115" i="23"/>
  <c r="U116" i="23"/>
  <c r="U117" i="23"/>
  <c r="U118" i="23"/>
  <c r="U119" i="23"/>
  <c r="U120" i="23"/>
  <c r="U121" i="23"/>
  <c r="U122" i="23"/>
  <c r="U123" i="23"/>
  <c r="U124" i="23"/>
  <c r="U125" i="23"/>
  <c r="U126" i="23"/>
  <c r="U127" i="23"/>
  <c r="U128" i="23"/>
  <c r="U129" i="23"/>
  <c r="U130" i="23"/>
  <c r="U131" i="23"/>
  <c r="U132" i="23"/>
  <c r="U133" i="23"/>
  <c r="U134" i="23"/>
  <c r="U135" i="23"/>
  <c r="U136" i="23"/>
  <c r="U137" i="23"/>
  <c r="U138" i="23"/>
  <c r="U139" i="23"/>
  <c r="U140" i="23"/>
  <c r="U141" i="23"/>
  <c r="U142" i="23"/>
  <c r="U143" i="23"/>
  <c r="U144" i="23"/>
  <c r="U145" i="23"/>
  <c r="U146" i="23"/>
  <c r="U147" i="23"/>
  <c r="U148" i="23"/>
  <c r="U149" i="23"/>
  <c r="U150" i="23"/>
  <c r="U151" i="23"/>
  <c r="U152" i="23"/>
  <c r="U153" i="23"/>
  <c r="U154" i="23"/>
  <c r="U155" i="23"/>
  <c r="U156" i="23"/>
  <c r="U157" i="23"/>
  <c r="U158" i="23"/>
  <c r="U159" i="23"/>
  <c r="U160" i="23"/>
  <c r="U161" i="23"/>
  <c r="U162" i="23"/>
  <c r="U163" i="23"/>
  <c r="U164" i="23"/>
  <c r="U165" i="23"/>
  <c r="U166" i="23"/>
  <c r="U167" i="23"/>
  <c r="U168" i="23"/>
  <c r="U169" i="23"/>
  <c r="U170" i="23"/>
  <c r="U171" i="23"/>
  <c r="U172" i="23"/>
  <c r="U173" i="23"/>
  <c r="U174" i="23"/>
  <c r="U175" i="23"/>
  <c r="U176" i="23"/>
  <c r="U177" i="23"/>
  <c r="U178" i="23"/>
  <c r="U179" i="23"/>
  <c r="U180" i="23"/>
  <c r="U181" i="23"/>
  <c r="U182" i="23"/>
  <c r="U183" i="23"/>
  <c r="U184" i="23"/>
  <c r="U185" i="23"/>
  <c r="U186" i="23"/>
  <c r="U187" i="23"/>
  <c r="U188" i="23"/>
  <c r="U189" i="23"/>
  <c r="U190" i="23"/>
  <c r="U191" i="23"/>
  <c r="U192" i="23"/>
  <c r="U193" i="23"/>
  <c r="U194" i="23"/>
  <c r="U195" i="23"/>
  <c r="U196" i="23"/>
  <c r="U197" i="23"/>
  <c r="U198" i="23"/>
  <c r="U199" i="23"/>
  <c r="U200" i="23"/>
  <c r="U201" i="23"/>
  <c r="U202" i="23"/>
  <c r="U203" i="23"/>
  <c r="U204" i="23"/>
  <c r="U205" i="23"/>
  <c r="U206" i="23"/>
  <c r="U207" i="23"/>
  <c r="U208" i="23"/>
  <c r="U209" i="23"/>
  <c r="U210" i="23"/>
  <c r="U211" i="23"/>
  <c r="U212" i="23"/>
  <c r="U213" i="23"/>
  <c r="U214" i="23"/>
  <c r="U215" i="23"/>
  <c r="U216" i="23"/>
  <c r="U217" i="23"/>
  <c r="U218" i="23"/>
  <c r="U219" i="23"/>
  <c r="U220" i="23"/>
  <c r="U221" i="23"/>
  <c r="U222" i="23"/>
  <c r="U223" i="23"/>
  <c r="U224" i="23"/>
  <c r="U225" i="23"/>
  <c r="U226" i="23"/>
  <c r="U227" i="23"/>
  <c r="U228" i="23"/>
  <c r="U229" i="23"/>
  <c r="U230" i="23"/>
  <c r="U231" i="23"/>
  <c r="U232" i="23"/>
  <c r="U233" i="23"/>
  <c r="U234" i="23"/>
  <c r="U235" i="23"/>
  <c r="U236" i="23"/>
  <c r="U237" i="23"/>
  <c r="U238" i="23"/>
  <c r="U239" i="23"/>
  <c r="U240" i="23"/>
  <c r="U241" i="23"/>
  <c r="U242" i="23"/>
  <c r="U243" i="23"/>
  <c r="U244" i="23"/>
  <c r="U245" i="23"/>
  <c r="U246" i="23"/>
  <c r="U247" i="23"/>
  <c r="U248" i="23"/>
  <c r="U249" i="23"/>
  <c r="U250" i="23"/>
  <c r="U251" i="23"/>
  <c r="U252" i="23"/>
  <c r="U253" i="23"/>
  <c r="U254" i="23"/>
  <c r="U255" i="23"/>
  <c r="U256" i="23"/>
  <c r="U257" i="23"/>
  <c r="U258" i="23"/>
  <c r="U259" i="23"/>
  <c r="U260" i="23"/>
  <c r="U261" i="23"/>
  <c r="U262" i="23"/>
  <c r="U263" i="23"/>
  <c r="U264" i="23"/>
  <c r="U265" i="23"/>
  <c r="U266" i="23"/>
  <c r="U267" i="23"/>
  <c r="U268" i="23"/>
  <c r="U269" i="23"/>
  <c r="U270" i="23"/>
  <c r="U271" i="23"/>
  <c r="U272" i="23"/>
  <c r="U273" i="23"/>
  <c r="U274" i="23"/>
  <c r="U275" i="23"/>
  <c r="U276" i="23"/>
  <c r="U277" i="23"/>
  <c r="U278" i="23"/>
  <c r="U279" i="23"/>
  <c r="U280" i="23"/>
  <c r="U281" i="23"/>
  <c r="U282" i="23"/>
  <c r="U283" i="23"/>
  <c r="U284" i="23"/>
  <c r="U285" i="23"/>
  <c r="U286" i="23"/>
  <c r="U287" i="23"/>
  <c r="U288" i="23"/>
  <c r="U289" i="23"/>
  <c r="U290" i="23"/>
  <c r="U291" i="23"/>
  <c r="U292" i="23"/>
  <c r="U293" i="23"/>
  <c r="U294" i="23"/>
  <c r="U295" i="23"/>
  <c r="U296" i="23"/>
  <c r="U297" i="23"/>
  <c r="U298" i="23"/>
  <c r="U299" i="23"/>
  <c r="U300" i="23"/>
  <c r="U301" i="23"/>
  <c r="U302" i="23"/>
  <c r="U303" i="23"/>
  <c r="U304" i="23"/>
  <c r="U305" i="23"/>
  <c r="U306" i="23"/>
  <c r="U307" i="23"/>
  <c r="U308" i="23"/>
  <c r="U309" i="23"/>
  <c r="U310" i="23"/>
  <c r="U311" i="23"/>
  <c r="U312" i="23"/>
  <c r="U313" i="23"/>
  <c r="U314" i="23"/>
  <c r="U315" i="23"/>
  <c r="U316" i="23"/>
  <c r="U317" i="23"/>
  <c r="U318" i="23"/>
  <c r="U319" i="23"/>
  <c r="U320" i="23"/>
  <c r="U321" i="23"/>
  <c r="U322" i="23"/>
  <c r="U323" i="23"/>
  <c r="U324" i="23"/>
  <c r="U325" i="23"/>
  <c r="U326" i="23"/>
  <c r="U327" i="23"/>
  <c r="U328" i="23"/>
  <c r="U329" i="23"/>
  <c r="U330" i="23"/>
  <c r="U331" i="23"/>
  <c r="U332" i="23"/>
  <c r="U333" i="23"/>
  <c r="U334" i="23"/>
  <c r="U335" i="23"/>
  <c r="U336" i="23"/>
  <c r="U337" i="23"/>
  <c r="U338" i="23"/>
  <c r="U339" i="23"/>
  <c r="U340" i="23"/>
  <c r="U341" i="23"/>
  <c r="U342" i="23"/>
  <c r="U343" i="23"/>
  <c r="U344" i="23"/>
  <c r="U345" i="23"/>
  <c r="U346" i="23"/>
  <c r="U347" i="23"/>
  <c r="U348" i="23"/>
  <c r="U349" i="23"/>
  <c r="U350" i="23"/>
  <c r="U351" i="23"/>
  <c r="U352" i="23"/>
  <c r="U353" i="23"/>
  <c r="U354" i="23"/>
  <c r="U355" i="23"/>
  <c r="U356" i="23"/>
  <c r="U357" i="23"/>
  <c r="U358" i="23"/>
  <c r="U359" i="23"/>
  <c r="U360" i="23"/>
  <c r="U361" i="23"/>
  <c r="U362" i="23"/>
  <c r="U363" i="23"/>
  <c r="U364" i="23"/>
  <c r="U365" i="23"/>
  <c r="U366" i="23"/>
  <c r="U367" i="23"/>
  <c r="U368" i="23"/>
  <c r="U369" i="23"/>
  <c r="U370" i="23"/>
  <c r="U371" i="23"/>
  <c r="U372" i="23"/>
  <c r="U373" i="23"/>
  <c r="U374" i="23"/>
  <c r="U375" i="23"/>
  <c r="U376" i="23"/>
  <c r="U377" i="23"/>
  <c r="U378" i="23"/>
  <c r="U379" i="23"/>
  <c r="U380" i="23"/>
  <c r="U381" i="23"/>
  <c r="U382" i="23"/>
  <c r="U383" i="23"/>
  <c r="U384" i="23"/>
  <c r="U385" i="23"/>
  <c r="U386" i="23"/>
  <c r="U387" i="23"/>
  <c r="U388" i="23"/>
  <c r="U389" i="23"/>
  <c r="U390" i="23"/>
  <c r="F13" i="23" l="1"/>
  <c r="H11" i="23" a="1"/>
  <c r="H11" i="23" s="1"/>
  <c r="H10" i="23" a="1"/>
  <c r="H10" i="23" s="1"/>
  <c r="H9" i="23" a="1"/>
  <c r="H9" i="23" s="1"/>
  <c r="I8" i="23" s="1"/>
  <c r="Q11" i="23" a="1"/>
  <c r="Q11" i="23" s="1"/>
  <c r="Q5" i="23"/>
  <c r="Q10" i="23" a="1"/>
  <c r="Q10" i="23" s="1"/>
  <c r="Q4" i="23"/>
  <c r="Q9" i="23" a="1"/>
  <c r="Q9" i="23" s="1"/>
  <c r="R8" i="23" s="1"/>
  <c r="K11" i="23" a="1"/>
  <c r="K11" i="23" s="1"/>
  <c r="K10" i="23" a="1"/>
  <c r="K10" i="23" s="1"/>
  <c r="K9" i="23" a="1"/>
  <c r="K9" i="23" s="1"/>
  <c r="L8" i="23" s="1"/>
  <c r="K5" i="23"/>
  <c r="K4" i="23"/>
  <c r="K3" i="23"/>
  <c r="N5" i="23"/>
  <c r="N4" i="23"/>
  <c r="N3" i="23"/>
  <c r="N11" i="23" a="1"/>
  <c r="N11" i="23" s="1"/>
  <c r="N10" i="23" a="1"/>
  <c r="N10" i="23" s="1"/>
  <c r="N9" i="23" a="1"/>
  <c r="N9" i="23" s="1"/>
  <c r="O8" i="23" s="1"/>
  <c r="U19" i="23"/>
  <c r="U9" i="23"/>
  <c r="U8" i="23"/>
  <c r="H5" i="23"/>
  <c r="H4" i="23"/>
  <c r="H3" i="23"/>
  <c r="F422" i="23"/>
  <c r="F424" i="23"/>
  <c r="F405" i="23"/>
  <c r="F407" i="23"/>
  <c r="F426" i="23"/>
  <c r="F395" i="23"/>
  <c r="F404" i="23"/>
  <c r="F418" i="23"/>
  <c r="F419" i="23"/>
  <c r="F429" i="23"/>
  <c r="F427" i="23"/>
  <c r="F394" i="23"/>
  <c r="F414" i="23"/>
  <c r="F416" i="23"/>
  <c r="F417" i="23"/>
  <c r="F428" i="23"/>
  <c r="F392" i="23"/>
  <c r="F393" i="23"/>
  <c r="F402" i="23"/>
  <c r="F403" i="23"/>
  <c r="F413" i="23"/>
  <c r="F415" i="23"/>
  <c r="F391" i="23"/>
  <c r="F400" i="23"/>
  <c r="F401" i="23"/>
  <c r="F412" i="23"/>
  <c r="F398" i="23"/>
  <c r="F399" i="23"/>
  <c r="F421" i="23"/>
  <c r="F397" i="23"/>
  <c r="F410" i="23"/>
  <c r="F411" i="23"/>
  <c r="F423" i="23"/>
  <c r="F396" i="23"/>
  <c r="F406" i="23"/>
  <c r="F408" i="23"/>
  <c r="F409" i="23"/>
  <c r="F420" i="23"/>
  <c r="F25" i="23"/>
  <c r="F33" i="23"/>
  <c r="F41" i="23"/>
  <c r="F49" i="23"/>
  <c r="F57" i="23"/>
  <c r="F65" i="23"/>
  <c r="F73" i="23"/>
  <c r="F81" i="23"/>
  <c r="F89" i="23"/>
  <c r="F97" i="23"/>
  <c r="F105" i="23"/>
  <c r="F113" i="23"/>
  <c r="F121" i="23"/>
  <c r="F129" i="23"/>
  <c r="F137" i="23"/>
  <c r="F145" i="23"/>
  <c r="F153" i="23"/>
  <c r="F161" i="23"/>
  <c r="F169" i="23"/>
  <c r="F177" i="23"/>
  <c r="F185" i="23"/>
  <c r="F193" i="23"/>
  <c r="F201" i="23"/>
  <c r="F209" i="23"/>
  <c r="F217" i="23"/>
  <c r="F225" i="23"/>
  <c r="F233" i="23"/>
  <c r="F241" i="23"/>
  <c r="F249" i="23"/>
  <c r="F257" i="23"/>
  <c r="F265" i="23"/>
  <c r="F273" i="23"/>
  <c r="F281" i="23"/>
  <c r="F289" i="23"/>
  <c r="F297" i="23"/>
  <c r="F305" i="23"/>
  <c r="F313" i="23"/>
  <c r="F321" i="23"/>
  <c r="F329" i="23"/>
  <c r="F337" i="23"/>
  <c r="F345" i="23"/>
  <c r="F353" i="23"/>
  <c r="F361" i="23"/>
  <c r="F369" i="23"/>
  <c r="F377" i="23"/>
  <c r="F385" i="23"/>
  <c r="F26" i="23"/>
  <c r="F34" i="23"/>
  <c r="F42" i="23"/>
  <c r="F50" i="23"/>
  <c r="F58" i="23"/>
  <c r="F66" i="23"/>
  <c r="F74" i="23"/>
  <c r="F82" i="23"/>
  <c r="F90" i="23"/>
  <c r="F98" i="23"/>
  <c r="F106" i="23"/>
  <c r="F114" i="23"/>
  <c r="F122" i="23"/>
  <c r="F130" i="23"/>
  <c r="F138" i="23"/>
  <c r="F146" i="23"/>
  <c r="F154" i="23"/>
  <c r="F162" i="23"/>
  <c r="F170" i="23"/>
  <c r="F178" i="23"/>
  <c r="F186" i="23"/>
  <c r="F194" i="23"/>
  <c r="F202" i="23"/>
  <c r="F210" i="23"/>
  <c r="F218" i="23"/>
  <c r="F226" i="23"/>
  <c r="F234" i="23"/>
  <c r="F242" i="23"/>
  <c r="F250" i="23"/>
  <c r="F258" i="23"/>
  <c r="F266" i="23"/>
  <c r="F274" i="23"/>
  <c r="F282" i="23"/>
  <c r="F290" i="23"/>
  <c r="F298" i="23"/>
  <c r="F306" i="23"/>
  <c r="F314" i="23"/>
  <c r="F322" i="23"/>
  <c r="F330" i="23"/>
  <c r="F338" i="23"/>
  <c r="F346" i="23"/>
  <c r="F354" i="23"/>
  <c r="F362" i="23"/>
  <c r="F370" i="23"/>
  <c r="F378" i="23"/>
  <c r="F386" i="23"/>
  <c r="F27" i="23"/>
  <c r="F35" i="23"/>
  <c r="F43" i="23"/>
  <c r="F51" i="23"/>
  <c r="F59" i="23"/>
  <c r="F67" i="23"/>
  <c r="F75" i="23"/>
  <c r="F83" i="23"/>
  <c r="F91" i="23"/>
  <c r="F99" i="23"/>
  <c r="F107" i="23"/>
  <c r="F115" i="23"/>
  <c r="F123" i="23"/>
  <c r="F131" i="23"/>
  <c r="F139" i="23"/>
  <c r="F147" i="23"/>
  <c r="F155" i="23"/>
  <c r="F163" i="23"/>
  <c r="F171" i="23"/>
  <c r="F179" i="23"/>
  <c r="F187" i="23"/>
  <c r="F195" i="23"/>
  <c r="F203" i="23"/>
  <c r="F211" i="23"/>
  <c r="F219" i="23"/>
  <c r="F227" i="23"/>
  <c r="F235" i="23"/>
  <c r="F243" i="23"/>
  <c r="F251" i="23"/>
  <c r="F259" i="23"/>
  <c r="F267" i="23"/>
  <c r="F275" i="23"/>
  <c r="F283" i="23"/>
  <c r="F291" i="23"/>
  <c r="F299" i="23"/>
  <c r="F307" i="23"/>
  <c r="F315" i="23"/>
  <c r="F323" i="23"/>
  <c r="F331" i="23"/>
  <c r="F339" i="23"/>
  <c r="F347" i="23"/>
  <c r="F355" i="23"/>
  <c r="F363" i="23"/>
  <c r="F371" i="23"/>
  <c r="F379" i="23"/>
  <c r="F387" i="23"/>
  <c r="F20" i="23"/>
  <c r="F28" i="23"/>
  <c r="F36" i="23"/>
  <c r="F44" i="23"/>
  <c r="F52" i="23"/>
  <c r="F60" i="23"/>
  <c r="F68" i="23"/>
  <c r="F76" i="23"/>
  <c r="F84" i="23"/>
  <c r="F92" i="23"/>
  <c r="F100" i="23"/>
  <c r="F108" i="23"/>
  <c r="F116" i="23"/>
  <c r="F124" i="23"/>
  <c r="F132" i="23"/>
  <c r="F140" i="23"/>
  <c r="F148" i="23"/>
  <c r="F156" i="23"/>
  <c r="F164" i="23"/>
  <c r="F172" i="23"/>
  <c r="F180" i="23"/>
  <c r="F188" i="23"/>
  <c r="F196" i="23"/>
  <c r="F204" i="23"/>
  <c r="F212" i="23"/>
  <c r="F220" i="23"/>
  <c r="F228" i="23"/>
  <c r="F236" i="23"/>
  <c r="F244" i="23"/>
  <c r="F252" i="23"/>
  <c r="F260" i="23"/>
  <c r="F268" i="23"/>
  <c r="F276" i="23"/>
  <c r="F284" i="23"/>
  <c r="F292" i="23"/>
  <c r="F300" i="23"/>
  <c r="F308" i="23"/>
  <c r="F316" i="23"/>
  <c r="F324" i="23"/>
  <c r="F332" i="23"/>
  <c r="F340" i="23"/>
  <c r="F348" i="23"/>
  <c r="F356" i="23"/>
  <c r="F364" i="23"/>
  <c r="F372" i="23"/>
  <c r="F380" i="23"/>
  <c r="F388" i="23"/>
  <c r="F21" i="23"/>
  <c r="F29" i="23"/>
  <c r="F37" i="23"/>
  <c r="F45" i="23"/>
  <c r="F53" i="23"/>
  <c r="F61" i="23"/>
  <c r="F69" i="23"/>
  <c r="F77" i="23"/>
  <c r="F85" i="23"/>
  <c r="F93" i="23"/>
  <c r="F101" i="23"/>
  <c r="F109" i="23"/>
  <c r="F117" i="23"/>
  <c r="F125" i="23"/>
  <c r="F133" i="23"/>
  <c r="F141" i="23"/>
  <c r="F149" i="23"/>
  <c r="F157" i="23"/>
  <c r="F165" i="23"/>
  <c r="F173" i="23"/>
  <c r="F181" i="23"/>
  <c r="F189" i="23"/>
  <c r="F197" i="23"/>
  <c r="F205" i="23"/>
  <c r="F213" i="23"/>
  <c r="F221" i="23"/>
  <c r="F229" i="23"/>
  <c r="F237" i="23"/>
  <c r="F245" i="23"/>
  <c r="F253" i="23"/>
  <c r="F261" i="23"/>
  <c r="F269" i="23"/>
  <c r="F277" i="23"/>
  <c r="F285" i="23"/>
  <c r="F293" i="23"/>
  <c r="F301" i="23"/>
  <c r="F309" i="23"/>
  <c r="F317" i="23"/>
  <c r="F325" i="23"/>
  <c r="F333" i="23"/>
  <c r="F341" i="23"/>
  <c r="F349" i="23"/>
  <c r="F357" i="23"/>
  <c r="F365" i="23"/>
  <c r="F373" i="23"/>
  <c r="F381" i="23"/>
  <c r="F389" i="23"/>
  <c r="F22" i="23"/>
  <c r="F30" i="23"/>
  <c r="F38" i="23"/>
  <c r="F46" i="23"/>
  <c r="F54" i="23"/>
  <c r="F62" i="23"/>
  <c r="F70" i="23"/>
  <c r="F78" i="23"/>
  <c r="F86" i="23"/>
  <c r="F94" i="23"/>
  <c r="F102" i="23"/>
  <c r="F110" i="23"/>
  <c r="F118" i="23"/>
  <c r="F126" i="23"/>
  <c r="F134" i="23"/>
  <c r="F142" i="23"/>
  <c r="F150" i="23"/>
  <c r="F158" i="23"/>
  <c r="F166" i="23"/>
  <c r="F174" i="23"/>
  <c r="F182" i="23"/>
  <c r="F190" i="23"/>
  <c r="F198" i="23"/>
  <c r="F206" i="23"/>
  <c r="F214" i="23"/>
  <c r="F222" i="23"/>
  <c r="F230" i="23"/>
  <c r="F238" i="23"/>
  <c r="F246" i="23"/>
  <c r="F254" i="23"/>
  <c r="F262" i="23"/>
  <c r="F270" i="23"/>
  <c r="F278" i="23"/>
  <c r="F286" i="23"/>
  <c r="F294" i="23"/>
  <c r="F302" i="23"/>
  <c r="F310" i="23"/>
  <c r="F318" i="23"/>
  <c r="F326" i="23"/>
  <c r="F334" i="23"/>
  <c r="F342" i="23"/>
  <c r="F350" i="23"/>
  <c r="F358" i="23"/>
  <c r="F366" i="23"/>
  <c r="F374" i="23"/>
  <c r="F382" i="23"/>
  <c r="F390" i="23"/>
  <c r="F23" i="23"/>
  <c r="F31" i="23"/>
  <c r="F39" i="23"/>
  <c r="F47" i="23"/>
  <c r="F55" i="23"/>
  <c r="F63" i="23"/>
  <c r="F71" i="23"/>
  <c r="F79" i="23"/>
  <c r="F87" i="23"/>
  <c r="F95" i="23"/>
  <c r="F103" i="23"/>
  <c r="F111" i="23"/>
  <c r="F119" i="23"/>
  <c r="F127" i="23"/>
  <c r="F135" i="23"/>
  <c r="F143" i="23"/>
  <c r="F151" i="23"/>
  <c r="F159" i="23"/>
  <c r="F167" i="23"/>
  <c r="F175" i="23"/>
  <c r="F183" i="23"/>
  <c r="F191" i="23"/>
  <c r="F199" i="23"/>
  <c r="F207" i="23"/>
  <c r="F215" i="23"/>
  <c r="F223" i="23"/>
  <c r="F231" i="23"/>
  <c r="F239" i="23"/>
  <c r="F247" i="23"/>
  <c r="F255" i="23"/>
  <c r="F263" i="23"/>
  <c r="F271" i="23"/>
  <c r="F279" i="23"/>
  <c r="F287" i="23"/>
  <c r="F295" i="23"/>
  <c r="F303" i="23"/>
  <c r="F311" i="23"/>
  <c r="F319" i="23"/>
  <c r="F327" i="23"/>
  <c r="F335" i="23"/>
  <c r="F343" i="23"/>
  <c r="F351" i="23"/>
  <c r="F359" i="23"/>
  <c r="F367" i="23"/>
  <c r="F375" i="23"/>
  <c r="F383" i="23"/>
  <c r="F24" i="23"/>
  <c r="F32" i="23"/>
  <c r="F40" i="23"/>
  <c r="F48" i="23"/>
  <c r="F56" i="23"/>
  <c r="F64" i="23"/>
  <c r="F72" i="23"/>
  <c r="F80" i="23"/>
  <c r="F88" i="23"/>
  <c r="F96" i="23"/>
  <c r="F104" i="23"/>
  <c r="F112" i="23"/>
  <c r="F120" i="23"/>
  <c r="F128" i="23"/>
  <c r="F136" i="23"/>
  <c r="F144" i="23"/>
  <c r="F152" i="23"/>
  <c r="F160" i="23"/>
  <c r="F168" i="23"/>
  <c r="F176" i="23"/>
  <c r="F184" i="23"/>
  <c r="F192" i="23"/>
  <c r="F200" i="23"/>
  <c r="F208" i="23"/>
  <c r="F216" i="23"/>
  <c r="F224" i="23"/>
  <c r="F232" i="23"/>
  <c r="F240" i="23"/>
  <c r="F248" i="23"/>
  <c r="F256" i="23"/>
  <c r="F264" i="23"/>
  <c r="F272" i="23"/>
  <c r="F280" i="23"/>
  <c r="F288" i="23"/>
  <c r="F296" i="23"/>
  <c r="F304" i="23"/>
  <c r="F312" i="23"/>
  <c r="F320" i="23"/>
  <c r="F328" i="23"/>
  <c r="F336" i="23"/>
  <c r="F344" i="23"/>
  <c r="F352" i="23"/>
  <c r="F360" i="23"/>
  <c r="F368" i="23"/>
  <c r="F376" i="23"/>
  <c r="F384" i="23"/>
  <c r="I19" i="23" l="1"/>
  <c r="R20" i="23"/>
  <c r="U13" i="23"/>
  <c r="L19" i="23"/>
  <c r="R418" i="23"/>
  <c r="R396" i="23"/>
  <c r="R407" i="23"/>
  <c r="R422" i="23"/>
  <c r="R417" i="23"/>
  <c r="R416" i="23"/>
  <c r="R421" i="23"/>
  <c r="R403" i="23"/>
  <c r="R429" i="23"/>
  <c r="R400" i="23"/>
  <c r="R424" i="23"/>
  <c r="R414" i="23"/>
  <c r="R423" i="23"/>
  <c r="R401" i="23"/>
  <c r="R395" i="23"/>
  <c r="R398" i="23"/>
  <c r="R412" i="23"/>
  <c r="R428" i="23"/>
  <c r="R399" i="23"/>
  <c r="R408" i="23"/>
  <c r="R404" i="23"/>
  <c r="R415" i="23"/>
  <c r="R393" i="23"/>
  <c r="R392" i="23"/>
  <c r="R411" i="23"/>
  <c r="R409" i="23"/>
  <c r="R366" i="23"/>
  <c r="R157" i="23"/>
  <c r="R180" i="23"/>
  <c r="R283" i="23"/>
  <c r="R54" i="23"/>
  <c r="R241" i="23"/>
  <c r="R280" i="23"/>
  <c r="R279" i="23"/>
  <c r="R311" i="23"/>
  <c r="R24" i="23"/>
  <c r="R32" i="23"/>
  <c r="R56" i="23"/>
  <c r="R360" i="23"/>
  <c r="R102" i="23"/>
  <c r="R136" i="23"/>
  <c r="R361" i="23"/>
  <c r="R343" i="23"/>
  <c r="R338" i="23"/>
  <c r="R205" i="23"/>
  <c r="R144" i="23"/>
  <c r="R43" i="23"/>
  <c r="R252" i="23"/>
  <c r="R128" i="23"/>
  <c r="R151" i="23"/>
  <c r="R254" i="23"/>
  <c r="R158" i="23"/>
  <c r="R315" i="23"/>
  <c r="R328" i="23"/>
  <c r="R117" i="23"/>
  <c r="R106" i="23"/>
  <c r="R226" i="23"/>
  <c r="R256" i="23"/>
  <c r="R336" i="23"/>
  <c r="R209" i="23"/>
  <c r="R23" i="23"/>
  <c r="R329" i="23"/>
  <c r="R154" i="23"/>
  <c r="R200" i="23"/>
  <c r="R216" i="23"/>
  <c r="R324" i="23"/>
  <c r="R368" i="23"/>
  <c r="R122" i="23"/>
  <c r="R141" i="23"/>
  <c r="R33" i="23"/>
  <c r="R351" i="23"/>
  <c r="R95" i="23"/>
  <c r="R29" i="23"/>
  <c r="R89" i="23"/>
  <c r="R310" i="23"/>
  <c r="R36" i="23"/>
  <c r="R346" i="23"/>
  <c r="R291" i="23"/>
  <c r="R185" i="23"/>
  <c r="R50" i="23"/>
  <c r="R70" i="23"/>
  <c r="R292" i="23"/>
  <c r="R348" i="23"/>
  <c r="R322" i="23"/>
  <c r="R379" i="23"/>
  <c r="R75" i="23"/>
  <c r="R337" i="23"/>
  <c r="R234" i="23"/>
  <c r="R182" i="23"/>
  <c r="R65" i="23"/>
  <c r="R211" i="23"/>
  <c r="R289" i="23"/>
  <c r="R378" i="23"/>
  <c r="R186" i="23"/>
  <c r="R192" i="23"/>
  <c r="R230" i="23"/>
  <c r="R53" i="23"/>
  <c r="R156" i="23"/>
  <c r="R243" i="23"/>
  <c r="R386" i="23"/>
  <c r="R233" i="23"/>
  <c r="R240" i="23"/>
  <c r="R231" i="23"/>
  <c r="R46" i="23"/>
  <c r="R380" i="23"/>
  <c r="R132" i="23"/>
  <c r="R235" i="23"/>
  <c r="R282" i="23"/>
  <c r="R145" i="23"/>
  <c r="R168" i="23"/>
  <c r="R207" i="23"/>
  <c r="R317" i="23"/>
  <c r="R284" i="23"/>
  <c r="R108" i="23"/>
  <c r="R219" i="23"/>
  <c r="R258" i="23"/>
  <c r="R129" i="23"/>
  <c r="R160" i="23"/>
  <c r="R191" i="23"/>
  <c r="R301" i="23"/>
  <c r="R276" i="23"/>
  <c r="R28" i="23"/>
  <c r="R179" i="23"/>
  <c r="R218" i="23"/>
  <c r="R97" i="23"/>
  <c r="R104" i="23"/>
  <c r="R111" i="23"/>
  <c r="R285" i="23"/>
  <c r="R244" i="23"/>
  <c r="R166" i="23"/>
  <c r="R115" i="23"/>
  <c r="R178" i="23"/>
  <c r="R352" i="23"/>
  <c r="R48" i="23"/>
  <c r="R79" i="23"/>
  <c r="R225" i="23"/>
  <c r="R347" i="23"/>
  <c r="R373" i="23"/>
  <c r="R389" i="23"/>
  <c r="R372" i="23"/>
  <c r="R259" i="23"/>
  <c r="R138" i="23"/>
  <c r="R341" i="23"/>
  <c r="R349" i="23"/>
  <c r="R260" i="23"/>
  <c r="R61" i="23"/>
  <c r="R353" i="23"/>
  <c r="R354" i="23"/>
  <c r="R342" i="23"/>
  <c r="R67" i="23"/>
  <c r="R332" i="23"/>
  <c r="R307" i="23"/>
  <c r="R81" i="23"/>
  <c r="R199" i="23"/>
  <c r="R323" i="23"/>
  <c r="R47" i="23"/>
  <c r="R290" i="23"/>
  <c r="R139" i="23"/>
  <c r="R135" i="23"/>
  <c r="R345" i="23"/>
  <c r="R367" i="23"/>
  <c r="R382" i="23"/>
  <c r="R173" i="23"/>
  <c r="R99" i="23"/>
  <c r="R149" i="23"/>
  <c r="R202" i="23"/>
  <c r="R206" i="23"/>
  <c r="R250" i="23"/>
  <c r="R147" i="23"/>
  <c r="R189" i="23"/>
  <c r="R220" i="23"/>
  <c r="R78" i="23"/>
  <c r="R35" i="23"/>
  <c r="R294" i="23"/>
  <c r="R320" i="23"/>
  <c r="R40" i="23"/>
  <c r="R130" i="23"/>
  <c r="R229" i="23"/>
  <c r="R318" i="23"/>
  <c r="R326" i="23"/>
  <c r="R261" i="23"/>
  <c r="R21" i="23"/>
  <c r="R188" i="23"/>
  <c r="R39" i="23"/>
  <c r="R222" i="23"/>
  <c r="R165" i="23"/>
  <c r="R358" i="23"/>
  <c r="R257" i="23"/>
  <c r="R177" i="23"/>
  <c r="R51" i="23"/>
  <c r="R143" i="23"/>
  <c r="R251" i="23"/>
  <c r="R93" i="23"/>
  <c r="R340" i="23"/>
  <c r="R297" i="23"/>
  <c r="R383" i="23"/>
  <c r="R52" i="23"/>
  <c r="R112" i="23"/>
  <c r="R121" i="23"/>
  <c r="R120" i="23"/>
  <c r="R217" i="23"/>
  <c r="R183" i="23"/>
  <c r="R127" i="23"/>
  <c r="R181" i="23"/>
  <c r="R204" i="23"/>
  <c r="R331" i="23"/>
  <c r="R27" i="23"/>
  <c r="R249" i="23"/>
  <c r="R312" i="23"/>
  <c r="R359" i="23"/>
  <c r="R140" i="23"/>
  <c r="R374" i="23"/>
  <c r="R175" i="23"/>
  <c r="R239" i="23"/>
  <c r="R30" i="23"/>
  <c r="R325" i="23"/>
  <c r="R31" i="23"/>
  <c r="R327" i="23"/>
  <c r="R87" i="23"/>
  <c r="R238" i="23"/>
  <c r="R246" i="23"/>
  <c r="R384" i="23"/>
  <c r="R355" i="23"/>
  <c r="R227" i="23"/>
  <c r="R287" i="23"/>
  <c r="R308" i="23"/>
  <c r="R38" i="23"/>
  <c r="R245" i="23"/>
  <c r="R266" i="23"/>
  <c r="R208" i="23"/>
  <c r="R45" i="23"/>
  <c r="R159" i="23"/>
  <c r="R321" i="23"/>
  <c r="R201" i="23"/>
  <c r="R114" i="23"/>
  <c r="R155" i="23"/>
  <c r="R263" i="23"/>
  <c r="R309" i="23"/>
  <c r="R73" i="23"/>
  <c r="R305" i="23"/>
  <c r="R316" i="23"/>
  <c r="R25" i="23"/>
  <c r="R369" i="23"/>
  <c r="R44" i="23"/>
  <c r="R110" i="23"/>
  <c r="R66" i="23"/>
  <c r="R314" i="23"/>
  <c r="R213" i="23"/>
  <c r="R196" i="23"/>
  <c r="R125" i="23"/>
  <c r="R170" i="23"/>
  <c r="R299" i="23"/>
  <c r="R278" i="23"/>
  <c r="I399" i="23"/>
  <c r="I407" i="23"/>
  <c r="I346" i="23"/>
  <c r="I351" i="23"/>
  <c r="R119" i="23"/>
  <c r="R319" i="23"/>
  <c r="R68" i="23"/>
  <c r="R94" i="23"/>
  <c r="R236" i="23"/>
  <c r="R390" i="23"/>
  <c r="R137" i="23"/>
  <c r="R270" i="23"/>
  <c r="R107" i="23"/>
  <c r="R74" i="23"/>
  <c r="R91" i="23"/>
  <c r="R116" i="23"/>
  <c r="R118" i="23"/>
  <c r="R60" i="23"/>
  <c r="R387" i="23"/>
  <c r="R133" i="23"/>
  <c r="R131" i="23"/>
  <c r="R124" i="23"/>
  <c r="R371" i="23"/>
  <c r="R381" i="23"/>
  <c r="R98" i="23"/>
  <c r="R172" i="23"/>
  <c r="R101" i="23"/>
  <c r="R376" i="23"/>
  <c r="R388" i="23"/>
  <c r="R333" i="23"/>
  <c r="R224" i="23"/>
  <c r="R63" i="23"/>
  <c r="R268" i="23"/>
  <c r="R253" i="23"/>
  <c r="R262" i="23"/>
  <c r="R167" i="23"/>
  <c r="R272" i="23"/>
  <c r="R96" i="23"/>
  <c r="R264" i="23"/>
  <c r="R193" i="23"/>
  <c r="R237" i="23"/>
  <c r="R242" i="23"/>
  <c r="R80" i="23"/>
  <c r="R84" i="23"/>
  <c r="R190" i="23"/>
  <c r="R72" i="23"/>
  <c r="R71" i="23"/>
  <c r="R176" i="23"/>
  <c r="R100" i="23"/>
  <c r="R171" i="23"/>
  <c r="R295" i="23"/>
  <c r="R330" i="23"/>
  <c r="R195" i="23"/>
  <c r="R76" i="23"/>
  <c r="R298" i="23"/>
  <c r="R385" i="23"/>
  <c r="R296" i="23"/>
  <c r="R303" i="23"/>
  <c r="R59" i="23"/>
  <c r="R86" i="23"/>
  <c r="R62" i="23"/>
  <c r="R83" i="23"/>
  <c r="R335" i="23"/>
  <c r="R77" i="23"/>
  <c r="R49" i="23"/>
  <c r="R105" i="23"/>
  <c r="R363" i="23"/>
  <c r="R88" i="23"/>
  <c r="R306" i="23"/>
  <c r="R34" i="23"/>
  <c r="R375" i="23"/>
  <c r="R365" i="23"/>
  <c r="R187" i="23"/>
  <c r="R90" i="23"/>
  <c r="R9" i="23"/>
  <c r="R109" i="23"/>
  <c r="R197" i="23"/>
  <c r="R269" i="23"/>
  <c r="R356" i="23"/>
  <c r="R304" i="23"/>
  <c r="R273" i="23"/>
  <c r="R150" i="23"/>
  <c r="R163" i="23"/>
  <c r="R344" i="23"/>
  <c r="R85" i="23"/>
  <c r="R277" i="23"/>
  <c r="R103" i="23"/>
  <c r="R210" i="23"/>
  <c r="R152" i="23"/>
  <c r="R126" i="23"/>
  <c r="R148" i="23"/>
  <c r="R247" i="23"/>
  <c r="R82" i="23"/>
  <c r="R153" i="23"/>
  <c r="R58" i="23"/>
  <c r="R113" i="23"/>
  <c r="R55" i="23"/>
  <c r="R174" i="23"/>
  <c r="R92" i="23"/>
  <c r="R161" i="23"/>
  <c r="R288" i="23"/>
  <c r="R221" i="23"/>
  <c r="R377" i="23"/>
  <c r="R248" i="23"/>
  <c r="R313" i="23"/>
  <c r="R232" i="23"/>
  <c r="R42" i="23"/>
  <c r="R22" i="23"/>
  <c r="R198" i="23"/>
  <c r="R357" i="23"/>
  <c r="R146" i="23"/>
  <c r="R37" i="23"/>
  <c r="R203" i="23"/>
  <c r="R215" i="23"/>
  <c r="R286" i="23"/>
  <c r="R267" i="23"/>
  <c r="R64" i="23"/>
  <c r="R223" i="23"/>
  <c r="R364" i="23"/>
  <c r="R123" i="23"/>
  <c r="R164" i="23"/>
  <c r="R184" i="23"/>
  <c r="R265" i="23"/>
  <c r="R350" i="23"/>
  <c r="R69" i="23"/>
  <c r="R228" i="23"/>
  <c r="R142" i="23"/>
  <c r="R334" i="23"/>
  <c r="R134" i="23"/>
  <c r="R255" i="23"/>
  <c r="R274" i="23"/>
  <c r="R271" i="23"/>
  <c r="R302" i="23"/>
  <c r="R300" i="23"/>
  <c r="R339" i="23"/>
  <c r="R162" i="23"/>
  <c r="R169" i="23"/>
  <c r="R212" i="23"/>
  <c r="R57" i="23"/>
  <c r="R214" i="23"/>
  <c r="R370" i="23"/>
  <c r="R362" i="23"/>
  <c r="R41" i="23"/>
  <c r="R275" i="23"/>
  <c r="R26" i="23"/>
  <c r="R194" i="23"/>
  <c r="R281" i="23"/>
  <c r="R293" i="23"/>
  <c r="O11" i="23"/>
  <c r="O10" i="23"/>
  <c r="O407" i="23"/>
  <c r="O410" i="23"/>
  <c r="O391" i="23"/>
  <c r="O393" i="23"/>
  <c r="O423" i="23"/>
  <c r="O399" i="23"/>
  <c r="O420" i="23"/>
  <c r="O417" i="23"/>
  <c r="O414" i="23"/>
  <c r="O422" i="23"/>
  <c r="O403" i="23"/>
  <c r="O429" i="23"/>
  <c r="O395" i="23"/>
  <c r="O397" i="23"/>
  <c r="O408" i="23"/>
  <c r="O418" i="23"/>
  <c r="O405" i="23"/>
  <c r="O400" i="23"/>
  <c r="O409" i="23"/>
  <c r="O419" i="23"/>
  <c r="O421" i="23"/>
  <c r="O398" i="23"/>
  <c r="O425" i="23"/>
  <c r="O394" i="23"/>
  <c r="O411" i="23"/>
  <c r="O428" i="23"/>
  <c r="O424" i="23"/>
  <c r="O412" i="23"/>
  <c r="O426" i="23"/>
  <c r="O413" i="23"/>
  <c r="O427" i="23"/>
  <c r="O416" i="23"/>
  <c r="O392" i="23"/>
  <c r="O404" i="23"/>
  <c r="O401" i="23"/>
  <c r="O402" i="23"/>
  <c r="O396" i="23"/>
  <c r="O406" i="23"/>
  <c r="O415" i="23"/>
  <c r="O5" i="23"/>
  <c r="O3" i="23"/>
  <c r="O19" i="23"/>
  <c r="R5" i="23"/>
  <c r="R3" i="23"/>
  <c r="L5" i="23"/>
  <c r="L3" i="23"/>
  <c r="I5" i="23"/>
  <c r="I3" i="23"/>
  <c r="O9" i="23"/>
  <c r="R11" i="23"/>
  <c r="R406" i="23"/>
  <c r="R391" i="23"/>
  <c r="R426" i="23"/>
  <c r="R394" i="23"/>
  <c r="R402" i="23"/>
  <c r="R405" i="23"/>
  <c r="R427" i="23"/>
  <c r="R425" i="23"/>
  <c r="R397" i="23"/>
  <c r="R10" i="23"/>
  <c r="R413" i="23"/>
  <c r="R419" i="23"/>
  <c r="R410" i="23"/>
  <c r="R420" i="23"/>
  <c r="I9" i="23"/>
  <c r="L9" i="23"/>
  <c r="L10" i="23"/>
  <c r="L11" i="23"/>
  <c r="L392" i="23"/>
  <c r="L419" i="23"/>
  <c r="L428" i="23"/>
  <c r="L394" i="23"/>
  <c r="L417" i="23"/>
  <c r="L410" i="23"/>
  <c r="L408" i="23"/>
  <c r="L406" i="23"/>
  <c r="L420" i="23"/>
  <c r="L415" i="23"/>
  <c r="L416" i="23"/>
  <c r="L418" i="23"/>
  <c r="L404" i="23"/>
  <c r="L402" i="23"/>
  <c r="L421" i="23"/>
  <c r="L425" i="23"/>
  <c r="L409" i="23"/>
  <c r="L405" i="23"/>
  <c r="L399" i="23"/>
  <c r="L391" i="23"/>
  <c r="L423" i="23"/>
  <c r="L429" i="23"/>
  <c r="L393" i="23"/>
  <c r="L422" i="23"/>
  <c r="L412" i="23"/>
  <c r="L400" i="23"/>
  <c r="L398" i="23"/>
  <c r="L397" i="23"/>
  <c r="L411" i="23"/>
  <c r="L407" i="23"/>
  <c r="L395" i="23"/>
  <c r="L401" i="23"/>
  <c r="L427" i="23"/>
  <c r="L414" i="23"/>
  <c r="L403" i="23"/>
  <c r="L413" i="23"/>
  <c r="L396" i="23"/>
  <c r="L424" i="23"/>
  <c r="L426" i="23"/>
  <c r="I423" i="23"/>
  <c r="I11" i="23"/>
  <c r="I10" i="23"/>
  <c r="I421" i="23"/>
  <c r="I422" i="23"/>
  <c r="I427" i="23"/>
  <c r="I424" i="23"/>
  <c r="I426" i="23"/>
  <c r="I425" i="23"/>
  <c r="I428" i="23"/>
  <c r="I429" i="23"/>
  <c r="E233" i="36"/>
  <c r="F233" i="36" s="1"/>
  <c r="E232" i="36"/>
  <c r="F232" i="36" s="1"/>
  <c r="E231" i="36"/>
  <c r="F231" i="36" s="1"/>
  <c r="E230" i="36"/>
  <c r="F230" i="36" s="1"/>
  <c r="E229" i="36"/>
  <c r="F229" i="36" s="1"/>
  <c r="E228" i="36"/>
  <c r="F228" i="36" s="1"/>
  <c r="E227" i="36"/>
  <c r="F227" i="36" s="1"/>
  <c r="E226" i="36"/>
  <c r="F226" i="36" s="1"/>
  <c r="E225" i="36"/>
  <c r="F225" i="36" s="1"/>
  <c r="E224" i="36"/>
  <c r="F224" i="36" s="1"/>
  <c r="E223" i="36"/>
  <c r="F223" i="36" s="1"/>
  <c r="E222" i="36"/>
  <c r="F222" i="36" s="1"/>
  <c r="E221" i="36"/>
  <c r="F221" i="36" s="1"/>
  <c r="E220" i="36"/>
  <c r="F220" i="36" s="1"/>
  <c r="E219" i="36"/>
  <c r="F219" i="36" s="1"/>
  <c r="E218" i="36"/>
  <c r="F218" i="36" s="1"/>
  <c r="E217" i="36"/>
  <c r="F217" i="36" s="1"/>
  <c r="E216" i="36"/>
  <c r="F216" i="36" s="1"/>
  <c r="E215" i="36"/>
  <c r="F215" i="36" s="1"/>
  <c r="E214" i="36"/>
  <c r="F214" i="36" s="1"/>
  <c r="E213" i="36"/>
  <c r="F213" i="36" s="1"/>
  <c r="E212" i="36"/>
  <c r="F212" i="36" s="1"/>
  <c r="E211" i="36"/>
  <c r="F211" i="36" s="1"/>
  <c r="E210" i="36"/>
  <c r="F210" i="36" s="1"/>
  <c r="E209" i="36"/>
  <c r="F209" i="36" s="1"/>
  <c r="E208" i="36"/>
  <c r="F208" i="36" s="1"/>
  <c r="E207" i="36"/>
  <c r="F207" i="36" s="1"/>
  <c r="E206" i="36"/>
  <c r="F206" i="36" s="1"/>
  <c r="E205" i="36"/>
  <c r="F205" i="36" s="1"/>
  <c r="E204" i="36"/>
  <c r="F204" i="36" s="1"/>
  <c r="E203" i="36"/>
  <c r="F203" i="36" s="1"/>
  <c r="E202" i="36"/>
  <c r="F202" i="36" s="1"/>
  <c r="E201" i="36"/>
  <c r="F201" i="36" s="1"/>
  <c r="E200" i="36"/>
  <c r="F200" i="36" s="1"/>
  <c r="E199" i="36"/>
  <c r="F199" i="36" s="1"/>
  <c r="E198" i="36"/>
  <c r="F198" i="36" s="1"/>
  <c r="E197" i="36"/>
  <c r="F197" i="36" s="1"/>
  <c r="E196" i="36"/>
  <c r="F196" i="36" s="1"/>
  <c r="E195" i="36"/>
  <c r="F195" i="36" s="1"/>
  <c r="E194" i="36"/>
  <c r="F194" i="36" s="1"/>
  <c r="E193" i="36"/>
  <c r="F193" i="36" s="1"/>
  <c r="E192" i="36"/>
  <c r="F192" i="36" s="1"/>
  <c r="E191" i="36"/>
  <c r="F191" i="36" s="1"/>
  <c r="E190" i="36"/>
  <c r="F190" i="36" s="1"/>
  <c r="E189" i="36"/>
  <c r="F189" i="36" s="1"/>
  <c r="E188" i="36"/>
  <c r="F188" i="36" s="1"/>
  <c r="E187" i="36"/>
  <c r="F187" i="36" s="1"/>
  <c r="E186" i="36"/>
  <c r="F186" i="36" s="1"/>
  <c r="E185" i="36"/>
  <c r="F185" i="36" s="1"/>
  <c r="E184" i="36"/>
  <c r="F184" i="36" s="1"/>
  <c r="E183" i="36"/>
  <c r="F183" i="36" s="1"/>
  <c r="E182" i="36"/>
  <c r="F182" i="36" s="1"/>
  <c r="E181" i="36"/>
  <c r="F181" i="36" s="1"/>
  <c r="E180" i="36"/>
  <c r="F180" i="36" s="1"/>
  <c r="E179" i="36"/>
  <c r="F179" i="36" s="1"/>
  <c r="E178" i="36"/>
  <c r="F178" i="36" s="1"/>
  <c r="E177" i="36"/>
  <c r="F177" i="36" s="1"/>
  <c r="E176" i="36"/>
  <c r="F176" i="36" s="1"/>
  <c r="E175" i="36"/>
  <c r="F175" i="36" s="1"/>
  <c r="E174" i="36"/>
  <c r="F174" i="36" s="1"/>
  <c r="E173" i="36"/>
  <c r="F173" i="36" s="1"/>
  <c r="E172" i="36"/>
  <c r="F172" i="36" s="1"/>
  <c r="E171" i="36"/>
  <c r="F171" i="36" s="1"/>
  <c r="E170" i="36"/>
  <c r="F170" i="36" s="1"/>
  <c r="E169" i="36"/>
  <c r="F169" i="36" s="1"/>
  <c r="E168" i="36"/>
  <c r="F168" i="36" s="1"/>
  <c r="E167" i="36"/>
  <c r="F167" i="36" s="1"/>
  <c r="E166" i="36"/>
  <c r="F166" i="36" s="1"/>
  <c r="E165" i="36"/>
  <c r="F165" i="36" s="1"/>
  <c r="E164" i="36"/>
  <c r="F164" i="36" s="1"/>
  <c r="E163" i="36"/>
  <c r="F163" i="36" s="1"/>
  <c r="E162" i="36"/>
  <c r="F162" i="36" s="1"/>
  <c r="E161" i="36"/>
  <c r="F161" i="36" s="1"/>
  <c r="E160" i="36"/>
  <c r="F160" i="36" s="1"/>
  <c r="E159" i="36"/>
  <c r="F159" i="36" s="1"/>
  <c r="E158" i="36"/>
  <c r="F158" i="36" s="1"/>
  <c r="E157" i="36"/>
  <c r="F157" i="36" s="1"/>
  <c r="E156" i="36"/>
  <c r="F156" i="36" s="1"/>
  <c r="E155" i="36"/>
  <c r="F155" i="36" s="1"/>
  <c r="E154" i="36"/>
  <c r="F154" i="36" s="1"/>
  <c r="E153" i="36"/>
  <c r="F153" i="36" s="1"/>
  <c r="E152" i="36"/>
  <c r="F152" i="36" s="1"/>
  <c r="E151" i="36"/>
  <c r="F151" i="36" s="1"/>
  <c r="E150" i="36"/>
  <c r="F150" i="36" s="1"/>
  <c r="E149" i="36"/>
  <c r="F149" i="36" s="1"/>
  <c r="E148" i="36"/>
  <c r="F148" i="36" s="1"/>
  <c r="E147" i="36"/>
  <c r="F147" i="36" s="1"/>
  <c r="E146" i="36"/>
  <c r="F146" i="36" s="1"/>
  <c r="E145" i="36"/>
  <c r="F145" i="36" s="1"/>
  <c r="E144" i="36"/>
  <c r="F144" i="36" s="1"/>
  <c r="E143" i="36"/>
  <c r="F143" i="36" s="1"/>
  <c r="E142" i="36"/>
  <c r="F142" i="36" s="1"/>
  <c r="E141" i="36"/>
  <c r="F141" i="36" s="1"/>
  <c r="E140" i="36"/>
  <c r="F140" i="36" s="1"/>
  <c r="E139" i="36"/>
  <c r="F139" i="36" s="1"/>
  <c r="E138" i="36"/>
  <c r="F138" i="36" s="1"/>
  <c r="E137" i="36"/>
  <c r="F137" i="36" s="1"/>
  <c r="E136" i="36"/>
  <c r="F136" i="36" s="1"/>
  <c r="E135" i="36"/>
  <c r="F135" i="36" s="1"/>
  <c r="E134" i="36"/>
  <c r="F134" i="36" s="1"/>
  <c r="E133" i="36"/>
  <c r="F133" i="36" s="1"/>
  <c r="E132" i="36"/>
  <c r="F132" i="36" s="1"/>
  <c r="E131" i="36"/>
  <c r="F131" i="36" s="1"/>
  <c r="E130" i="36"/>
  <c r="F130" i="36" s="1"/>
  <c r="E129" i="36"/>
  <c r="F129" i="36" s="1"/>
  <c r="E128" i="36"/>
  <c r="F128" i="36" s="1"/>
  <c r="E127" i="36"/>
  <c r="F127" i="36" s="1"/>
  <c r="E126" i="36"/>
  <c r="F126" i="36" s="1"/>
  <c r="E125" i="36"/>
  <c r="F125" i="36" s="1"/>
  <c r="E124" i="36"/>
  <c r="F124" i="36" s="1"/>
  <c r="E123" i="36"/>
  <c r="F123" i="36" s="1"/>
  <c r="E122" i="36"/>
  <c r="F122" i="36" s="1"/>
  <c r="E121" i="36"/>
  <c r="F121" i="36" s="1"/>
  <c r="E120" i="36"/>
  <c r="F120" i="36" s="1"/>
  <c r="E119" i="36"/>
  <c r="F119" i="36" s="1"/>
  <c r="E118" i="36"/>
  <c r="F118" i="36" s="1"/>
  <c r="E117" i="36"/>
  <c r="F117" i="36" s="1"/>
  <c r="E116" i="36"/>
  <c r="F116" i="36" s="1"/>
  <c r="E115" i="36"/>
  <c r="F115" i="36" s="1"/>
  <c r="E114" i="36"/>
  <c r="F114" i="36" s="1"/>
  <c r="E113" i="36"/>
  <c r="F113" i="36" s="1"/>
  <c r="E112" i="36"/>
  <c r="F112" i="36" s="1"/>
  <c r="E111" i="36"/>
  <c r="F111" i="36" s="1"/>
  <c r="E110" i="36"/>
  <c r="F110" i="36" s="1"/>
  <c r="E109" i="36"/>
  <c r="F109" i="36" s="1"/>
  <c r="E108" i="36"/>
  <c r="F108" i="36" s="1"/>
  <c r="E107" i="36"/>
  <c r="F107" i="36" s="1"/>
  <c r="E106" i="36"/>
  <c r="F106" i="36" s="1"/>
  <c r="E105" i="36"/>
  <c r="F105" i="36" s="1"/>
  <c r="E104" i="36"/>
  <c r="F104" i="36" s="1"/>
  <c r="E103" i="36"/>
  <c r="F103" i="36" s="1"/>
  <c r="E102" i="36"/>
  <c r="F102" i="36" s="1"/>
  <c r="E101" i="36"/>
  <c r="F101" i="36" s="1"/>
  <c r="E100" i="36"/>
  <c r="F100" i="36" s="1"/>
  <c r="E99" i="36"/>
  <c r="F99" i="36" s="1"/>
  <c r="E98" i="36"/>
  <c r="F98" i="36" s="1"/>
  <c r="E97" i="36"/>
  <c r="F97" i="36" s="1"/>
  <c r="E96" i="36"/>
  <c r="F96" i="36" s="1"/>
  <c r="E95" i="36"/>
  <c r="F95" i="36" s="1"/>
  <c r="E94" i="36"/>
  <c r="F94" i="36" s="1"/>
  <c r="E93" i="36"/>
  <c r="F93" i="36" s="1"/>
  <c r="E92" i="36"/>
  <c r="F92" i="36" s="1"/>
  <c r="E91" i="36"/>
  <c r="F91" i="36" s="1"/>
  <c r="E90" i="36"/>
  <c r="F90" i="36" s="1"/>
  <c r="E89" i="36"/>
  <c r="F89" i="36" s="1"/>
  <c r="E88" i="36"/>
  <c r="F88" i="36" s="1"/>
  <c r="E87" i="36"/>
  <c r="F87" i="36" s="1"/>
  <c r="E86" i="36"/>
  <c r="F86" i="36" s="1"/>
  <c r="E85" i="36"/>
  <c r="F85" i="36" s="1"/>
  <c r="E84" i="36"/>
  <c r="F84" i="36" s="1"/>
  <c r="E83" i="36"/>
  <c r="F83" i="36" s="1"/>
  <c r="E82" i="36"/>
  <c r="F82" i="36" s="1"/>
  <c r="E81" i="36"/>
  <c r="F81" i="36" s="1"/>
  <c r="E80" i="36"/>
  <c r="F80" i="36" s="1"/>
  <c r="E79" i="36"/>
  <c r="F79" i="36" s="1"/>
  <c r="E78" i="36"/>
  <c r="F78" i="36" s="1"/>
  <c r="E77" i="36"/>
  <c r="F77" i="36" s="1"/>
  <c r="E76" i="36"/>
  <c r="F76" i="36" s="1"/>
  <c r="E75" i="36"/>
  <c r="F75" i="36" s="1"/>
  <c r="E74" i="36"/>
  <c r="F74" i="36" s="1"/>
  <c r="E73" i="36"/>
  <c r="F73" i="36" s="1"/>
  <c r="E72" i="36"/>
  <c r="F72" i="36" s="1"/>
  <c r="E71" i="36"/>
  <c r="F71" i="36" s="1"/>
  <c r="E70" i="36"/>
  <c r="F70" i="36" s="1"/>
  <c r="E69" i="36"/>
  <c r="F69" i="36" s="1"/>
  <c r="E68" i="36"/>
  <c r="F68" i="36" s="1"/>
  <c r="E67" i="36"/>
  <c r="F67" i="36" s="1"/>
  <c r="E66" i="36"/>
  <c r="F66" i="36" s="1"/>
  <c r="E65" i="36"/>
  <c r="F65" i="36" s="1"/>
  <c r="E64" i="36"/>
  <c r="F64" i="36" s="1"/>
  <c r="E63" i="36"/>
  <c r="F63" i="36" s="1"/>
  <c r="E62" i="36"/>
  <c r="F62" i="36" s="1"/>
  <c r="E61" i="36"/>
  <c r="F61" i="36" s="1"/>
  <c r="E60" i="36"/>
  <c r="F60" i="36" s="1"/>
  <c r="E59" i="36"/>
  <c r="F59" i="36" s="1"/>
  <c r="E58" i="36"/>
  <c r="F58" i="36" s="1"/>
  <c r="E57" i="36"/>
  <c r="F57" i="36" s="1"/>
  <c r="E56" i="36"/>
  <c r="F56" i="36" s="1"/>
  <c r="E55" i="36"/>
  <c r="F55" i="36" s="1"/>
  <c r="E54" i="36"/>
  <c r="F54" i="36" s="1"/>
  <c r="E53" i="36"/>
  <c r="F53" i="36" s="1"/>
  <c r="E52" i="36"/>
  <c r="F52" i="36" s="1"/>
  <c r="E51" i="36"/>
  <c r="F51" i="36" s="1"/>
  <c r="E50" i="36"/>
  <c r="F50" i="36" s="1"/>
  <c r="E49" i="36"/>
  <c r="F49" i="36" s="1"/>
  <c r="E48" i="36"/>
  <c r="F48" i="36" s="1"/>
  <c r="E47" i="36"/>
  <c r="F47" i="36" s="1"/>
  <c r="E46" i="36"/>
  <c r="F46" i="36" s="1"/>
  <c r="E45" i="36"/>
  <c r="F45" i="36" s="1"/>
  <c r="E44" i="36"/>
  <c r="F44" i="36" s="1"/>
  <c r="E43" i="36"/>
  <c r="F43" i="36" s="1"/>
  <c r="E42" i="36"/>
  <c r="F42" i="36" s="1"/>
  <c r="E41" i="36"/>
  <c r="F41" i="36" s="1"/>
  <c r="E40" i="36"/>
  <c r="F40" i="36" s="1"/>
  <c r="E39" i="36"/>
  <c r="F39" i="36" s="1"/>
  <c r="E38" i="36"/>
  <c r="F38" i="36" s="1"/>
  <c r="E37" i="36"/>
  <c r="F37" i="36" s="1"/>
  <c r="E36" i="36"/>
  <c r="F36" i="36" s="1"/>
  <c r="E35" i="36"/>
  <c r="F35" i="36" s="1"/>
  <c r="E34" i="36"/>
  <c r="F34" i="36" s="1"/>
  <c r="E33" i="36"/>
  <c r="F33" i="36" s="1"/>
  <c r="E32" i="36"/>
  <c r="F32" i="36" s="1"/>
  <c r="E31" i="36"/>
  <c r="F31" i="36" s="1"/>
  <c r="E30" i="36"/>
  <c r="F30" i="36" s="1"/>
  <c r="E29" i="36"/>
  <c r="F29" i="36" s="1"/>
  <c r="E28" i="36"/>
  <c r="F28" i="36" s="1"/>
  <c r="E27" i="36"/>
  <c r="F27" i="36" s="1"/>
  <c r="E26" i="36"/>
  <c r="F26" i="36" s="1"/>
  <c r="E25" i="36"/>
  <c r="F25" i="36" s="1"/>
  <c r="E24" i="36"/>
  <c r="F24" i="36" s="1"/>
  <c r="E23" i="36"/>
  <c r="F23" i="36" s="1"/>
  <c r="E22" i="36"/>
  <c r="F22" i="36" s="1"/>
  <c r="E21" i="36"/>
  <c r="F21" i="36" s="1"/>
  <c r="E20" i="36"/>
  <c r="F20" i="36" s="1"/>
  <c r="E19" i="36"/>
  <c r="F19" i="36" s="1"/>
  <c r="E18" i="36"/>
  <c r="F18" i="36" s="1"/>
  <c r="E17" i="36"/>
  <c r="F17" i="36" s="1"/>
  <c r="E16" i="36"/>
  <c r="F16" i="36" s="1"/>
  <c r="E15" i="36"/>
  <c r="F15" i="36" s="1"/>
  <c r="E14" i="36"/>
  <c r="F14" i="36" s="1"/>
  <c r="E13" i="36"/>
  <c r="F13" i="36" s="1"/>
  <c r="E12" i="36"/>
  <c r="F12" i="36" s="1"/>
  <c r="E11" i="36"/>
  <c r="F11" i="36" s="1"/>
  <c r="E10" i="36"/>
  <c r="F10" i="36" s="1"/>
  <c r="E9" i="36"/>
  <c r="F9" i="36" s="1"/>
  <c r="E8" i="36"/>
  <c r="F8" i="36" s="1"/>
  <c r="E7" i="36"/>
  <c r="F7" i="36" s="1"/>
  <c r="E6" i="36"/>
  <c r="F6" i="36" s="1"/>
  <c r="E5" i="36"/>
  <c r="F5" i="36" s="1"/>
  <c r="E4" i="36"/>
  <c r="F4" i="36" s="1"/>
  <c r="E3" i="36"/>
  <c r="F3" i="36" s="1"/>
  <c r="E2" i="36"/>
  <c r="F2" i="36" s="1"/>
  <c r="W429" i="23" l="1"/>
  <c r="X429" i="23" s="1"/>
  <c r="Y429" i="23" s="1"/>
  <c r="W426" i="23"/>
  <c r="X426" i="23" s="1"/>
  <c r="Y426" i="23" s="1"/>
  <c r="W421" i="23"/>
  <c r="X421" i="23" s="1"/>
  <c r="Y421" i="23" s="1"/>
  <c r="W399" i="23"/>
  <c r="X399" i="23" s="1"/>
  <c r="Y399" i="23" s="1"/>
  <c r="W423" i="23"/>
  <c r="X423" i="23" s="1"/>
  <c r="Y423" i="23" s="1"/>
  <c r="W422" i="23"/>
  <c r="X422" i="23" s="1"/>
  <c r="Y422" i="23" s="1"/>
  <c r="W424" i="23"/>
  <c r="X424" i="23" s="1"/>
  <c r="Y424" i="23" s="1"/>
  <c r="W428" i="23"/>
  <c r="X428" i="23" s="1"/>
  <c r="Y428" i="23" s="1"/>
  <c r="W407" i="23"/>
  <c r="X407" i="23" s="1"/>
  <c r="Y407" i="23" s="1"/>
  <c r="W427" i="23"/>
  <c r="X427" i="23" s="1"/>
  <c r="Y427" i="23" s="1"/>
  <c r="W425" i="23"/>
  <c r="X425" i="23" s="1"/>
  <c r="Y425" i="23" s="1"/>
  <c r="R13" i="23"/>
  <c r="L13" i="23"/>
  <c r="I13" i="23"/>
  <c r="AA133" i="34"/>
  <c r="AA107" i="34"/>
  <c r="AA33" i="34"/>
  <c r="AA163" i="34"/>
  <c r="AA139" i="34"/>
  <c r="AA185" i="34"/>
  <c r="AA13" i="34"/>
  <c r="AA184" i="34"/>
  <c r="AA134" i="34"/>
  <c r="AA162" i="34"/>
  <c r="AA238" i="34"/>
  <c r="AA237" i="34"/>
  <c r="AA171" i="34"/>
  <c r="AA144" i="34"/>
  <c r="AA15" i="34"/>
  <c r="AA12" i="34"/>
  <c r="AA66" i="34"/>
  <c r="AA27" i="34"/>
  <c r="AA47" i="34"/>
  <c r="AA62" i="34"/>
  <c r="AA28" i="34"/>
  <c r="AA89" i="34"/>
  <c r="AA146" i="34"/>
  <c r="AA229" i="34"/>
  <c r="AA17" i="34"/>
  <c r="AA14" i="34"/>
  <c r="AA55" i="34"/>
  <c r="AA41" i="34"/>
  <c r="AA192" i="34"/>
  <c r="AA150" i="34"/>
  <c r="AA73" i="34"/>
  <c r="AA51" i="34"/>
  <c r="AA32" i="34"/>
  <c r="AA183" i="34"/>
  <c r="AA61" i="34"/>
  <c r="AA83" i="34"/>
  <c r="AA236" i="34"/>
  <c r="AA86" i="34"/>
  <c r="AA111" i="34"/>
  <c r="AA109" i="34"/>
  <c r="AA206" i="34"/>
  <c r="AA88" i="34"/>
  <c r="AA124" i="34"/>
  <c r="AA110" i="34"/>
  <c r="AA64" i="34"/>
  <c r="AA85" i="34"/>
  <c r="AA80" i="34"/>
  <c r="AA235" i="34"/>
  <c r="AA191" i="34"/>
  <c r="AA221" i="34"/>
  <c r="AA36" i="34"/>
  <c r="AA220" i="34"/>
  <c r="AA40" i="34"/>
  <c r="AA176" i="34"/>
  <c r="AA130" i="34"/>
  <c r="AA202" i="34"/>
  <c r="AA175" i="34"/>
  <c r="AA159" i="34"/>
  <c r="AA65" i="34"/>
  <c r="AA23" i="34"/>
  <c r="AA7" i="34"/>
  <c r="AA132" i="34"/>
  <c r="AA20" i="34"/>
  <c r="AA205" i="34"/>
  <c r="AA11" i="34"/>
  <c r="AA38" i="34"/>
  <c r="AA87" i="34"/>
  <c r="AA208" i="34"/>
  <c r="AA148" i="34"/>
  <c r="AA129" i="34"/>
  <c r="AA45" i="34"/>
  <c r="AA60" i="34"/>
  <c r="AA59" i="34"/>
  <c r="AA90" i="34"/>
  <c r="AA149" i="34"/>
  <c r="AA140" i="34"/>
  <c r="AA75" i="34"/>
  <c r="AA228" i="34"/>
  <c r="AA138" i="34"/>
  <c r="AA30" i="34"/>
  <c r="AA219" i="34"/>
  <c r="AA145" i="34"/>
  <c r="AA161" i="34"/>
  <c r="AA143" i="34"/>
  <c r="AA157" i="34"/>
  <c r="AA118" i="34"/>
  <c r="AA77" i="34"/>
  <c r="AA165" i="34"/>
  <c r="AA227" i="34"/>
  <c r="AA128" i="34"/>
  <c r="AA136" i="34"/>
  <c r="AA204" i="34"/>
  <c r="AA125" i="34"/>
  <c r="AA93" i="34"/>
  <c r="AA182" i="34"/>
  <c r="AA167" i="34"/>
  <c r="AA102" i="34"/>
  <c r="AA79" i="34"/>
  <c r="AA218" i="34"/>
  <c r="AA156" i="34"/>
  <c r="AA44" i="34"/>
  <c r="AA82" i="34"/>
  <c r="AA35" i="34"/>
  <c r="AA108" i="34"/>
  <c r="AA119" i="34"/>
  <c r="AA196" i="34"/>
  <c r="AA99" i="34"/>
  <c r="AA112" i="34"/>
  <c r="AA198" i="34"/>
  <c r="AA201" i="34"/>
  <c r="AA63" i="34"/>
  <c r="AA152" i="34"/>
  <c r="AA195" i="34"/>
  <c r="AA72" i="34"/>
  <c r="AA106" i="34"/>
  <c r="AA117" i="34"/>
  <c r="AA52" i="34"/>
  <c r="AA69" i="34"/>
  <c r="AA57" i="34"/>
  <c r="AA16" i="34"/>
  <c r="AA123" i="34"/>
  <c r="AA50" i="34"/>
  <c r="AA142" i="34"/>
  <c r="AA48" i="34"/>
  <c r="AA122" i="34"/>
  <c r="AA217" i="34"/>
  <c r="AA169" i="34"/>
  <c r="AA103" i="34"/>
  <c r="AA34" i="34"/>
  <c r="AA189" i="34"/>
  <c r="AA131" i="34"/>
  <c r="AA92" i="34"/>
  <c r="AA194" i="34"/>
  <c r="AA168" i="34"/>
  <c r="AA101" i="34"/>
  <c r="AA98" i="34"/>
  <c r="AA22" i="34"/>
  <c r="AA29" i="34"/>
  <c r="AA71" i="34"/>
  <c r="AA154" i="34"/>
  <c r="AA116" i="34"/>
  <c r="AA18" i="34"/>
  <c r="AA70" i="34"/>
  <c r="AA25" i="34"/>
  <c r="AA188" i="34"/>
  <c r="AA216" i="34"/>
  <c r="AA137" i="34"/>
  <c r="AA153" i="34"/>
  <c r="AA31" i="34"/>
  <c r="AA207" i="34"/>
  <c r="AA160" i="34"/>
  <c r="AA234" i="34"/>
  <c r="AA81" i="34"/>
  <c r="AA126" i="34"/>
  <c r="AA91" i="34"/>
  <c r="AA215" i="34"/>
  <c r="AA53" i="34"/>
  <c r="AA114" i="34"/>
  <c r="AA214" i="34"/>
  <c r="AA19" i="34"/>
  <c r="AA4" i="34"/>
  <c r="AA42" i="34"/>
  <c r="AA166" i="34"/>
  <c r="AA94" i="34"/>
  <c r="AA8" i="34"/>
  <c r="AA213" i="34"/>
  <c r="AA49" i="34"/>
  <c r="AA190" i="34"/>
  <c r="AA226" i="34"/>
  <c r="AA233" i="34"/>
  <c r="AA121" i="34"/>
  <c r="AA174" i="34"/>
  <c r="AA181" i="34"/>
  <c r="AA78" i="34"/>
  <c r="AA225" i="34"/>
  <c r="AA39" i="34"/>
  <c r="AA120" i="34"/>
  <c r="AA147" i="34"/>
  <c r="AA46" i="34"/>
  <c r="AA76" i="34"/>
  <c r="AA180" i="34"/>
  <c r="AA177" i="34"/>
  <c r="AA68" i="34"/>
  <c r="AA127" i="34"/>
  <c r="AA105" i="34"/>
  <c r="AA158" i="34"/>
  <c r="AA232" i="34"/>
  <c r="AA26" i="34"/>
  <c r="AA113" i="34"/>
  <c r="AA164" i="34"/>
  <c r="AA187" i="34"/>
  <c r="AA209" i="34"/>
  <c r="AA6" i="34"/>
  <c r="AA231" i="34"/>
  <c r="AA197" i="34"/>
  <c r="AA173" i="34"/>
  <c r="AA74" i="34"/>
  <c r="AA224" i="34"/>
  <c r="AA170" i="34"/>
  <c r="AA37" i="34"/>
  <c r="AA172" i="34"/>
  <c r="AA56" i="34"/>
  <c r="AA115" i="34"/>
  <c r="AA104" i="34"/>
  <c r="AA212" i="34"/>
  <c r="AA200" i="34"/>
  <c r="AA24" i="34"/>
  <c r="AA151" i="34"/>
  <c r="AA10" i="34"/>
  <c r="AA9" i="34"/>
  <c r="AA95" i="34"/>
  <c r="AA67" i="34"/>
  <c r="AA211" i="34"/>
  <c r="AA96" i="34"/>
  <c r="AA179" i="34"/>
  <c r="AA97" i="34"/>
  <c r="AA199" i="34"/>
  <c r="AA84" i="34"/>
  <c r="AA223" i="34"/>
  <c r="AA210" i="34"/>
  <c r="AA141" i="34"/>
  <c r="AA203" i="34"/>
  <c r="AA193" i="34"/>
  <c r="AA100" i="34"/>
  <c r="AA155" i="34"/>
  <c r="AA178" i="34"/>
  <c r="AA240" i="34"/>
  <c r="AA239" i="34"/>
  <c r="AA241" i="34"/>
  <c r="AA135" i="34"/>
  <c r="AA54" i="34"/>
  <c r="AA21" i="34"/>
  <c r="AA186" i="34"/>
  <c r="AA230" i="34"/>
  <c r="AA222" i="34"/>
  <c r="AA3" i="34"/>
  <c r="AA5" i="34"/>
  <c r="AA58" i="34"/>
  <c r="AA43" i="34"/>
  <c r="W38" i="34"/>
  <c r="W60" i="34"/>
  <c r="W58" i="34"/>
  <c r="W21" i="34"/>
  <c r="W9" i="34"/>
  <c r="W49" i="34"/>
  <c r="W56" i="34"/>
  <c r="W151" i="34"/>
  <c r="W179" i="34"/>
  <c r="W17" i="34"/>
  <c r="W22" i="34"/>
  <c r="W76" i="34"/>
  <c r="W53" i="34"/>
  <c r="W29" i="34"/>
  <c r="W23" i="34"/>
  <c r="W11" i="34"/>
  <c r="W92" i="34"/>
  <c r="W18" i="34"/>
  <c r="W40" i="34"/>
  <c r="W13" i="34"/>
  <c r="W44" i="34"/>
  <c r="W167" i="34"/>
  <c r="W175" i="34"/>
  <c r="W10" i="34"/>
  <c r="W136" i="34"/>
  <c r="W116" i="34"/>
  <c r="W88" i="34"/>
  <c r="W81" i="34"/>
  <c r="W130" i="34"/>
  <c r="W173" i="34"/>
  <c r="W145" i="34"/>
  <c r="W149" i="34"/>
  <c r="W12" i="34"/>
  <c r="W123" i="34"/>
  <c r="W169" i="34"/>
  <c r="W119" i="34"/>
  <c r="W90" i="34"/>
  <c r="W15" i="34"/>
  <c r="W121" i="34"/>
  <c r="W80" i="34"/>
  <c r="W99" i="34"/>
  <c r="W120" i="34"/>
  <c r="W108" i="34"/>
  <c r="W82" i="34"/>
  <c r="W86" i="34"/>
  <c r="W147" i="34"/>
  <c r="W142" i="34"/>
  <c r="W135" i="34"/>
  <c r="W154" i="34"/>
  <c r="W94" i="34"/>
  <c r="W178" i="34"/>
  <c r="W100" i="34"/>
  <c r="W153" i="34"/>
  <c r="W111" i="34"/>
  <c r="W63" i="34"/>
  <c r="W20" i="34"/>
  <c r="W69" i="34"/>
  <c r="W93" i="34"/>
  <c r="W31" i="34"/>
  <c r="W128" i="34"/>
  <c r="W57" i="34"/>
  <c r="W41" i="34"/>
  <c r="W55" i="34"/>
  <c r="W33" i="34"/>
  <c r="W71" i="34"/>
  <c r="W39" i="34"/>
  <c r="W89" i="34"/>
  <c r="W181" i="34"/>
  <c r="W64" i="34"/>
  <c r="W103" i="34"/>
  <c r="W78" i="34"/>
  <c r="W161" i="34"/>
  <c r="W4" i="34"/>
  <c r="W105" i="34"/>
  <c r="W132" i="34"/>
  <c r="W141" i="34"/>
  <c r="W172" i="34"/>
  <c r="W164" i="34"/>
  <c r="W127" i="34"/>
  <c r="W166" i="34"/>
  <c r="W85" i="34"/>
  <c r="W183" i="34"/>
  <c r="W160" i="34"/>
  <c r="W131" i="34"/>
  <c r="W67" i="34"/>
  <c r="W47" i="34"/>
  <c r="W96" i="34"/>
  <c r="W3" i="34"/>
  <c r="W66" i="34"/>
  <c r="W155" i="34"/>
  <c r="W112" i="34"/>
  <c r="W124" i="34"/>
  <c r="W143" i="34"/>
  <c r="W98" i="34"/>
  <c r="W45" i="34"/>
  <c r="W107" i="34"/>
  <c r="W32" i="34"/>
  <c r="W176" i="34"/>
  <c r="W75" i="34"/>
  <c r="W24" i="34"/>
  <c r="W102" i="34"/>
  <c r="W95" i="34"/>
  <c r="W101" i="34"/>
  <c r="W140" i="34"/>
  <c r="W54" i="34"/>
  <c r="W5" i="34"/>
  <c r="W180" i="34"/>
  <c r="W156" i="34"/>
  <c r="W113" i="34"/>
  <c r="W152" i="34"/>
  <c r="W27" i="34"/>
  <c r="W77" i="34"/>
  <c r="W91" i="34"/>
  <c r="W79" i="34"/>
  <c r="W163" i="34"/>
  <c r="W174" i="34"/>
  <c r="W52" i="34"/>
  <c r="W144" i="34"/>
  <c r="W146" i="34"/>
  <c r="W42" i="34"/>
  <c r="W68" i="34"/>
  <c r="W170" i="34"/>
  <c r="W36" i="34"/>
  <c r="W70" i="34"/>
  <c r="W72" i="34"/>
  <c r="W37" i="34"/>
  <c r="W59" i="34"/>
  <c r="W118" i="34"/>
  <c r="W50" i="34"/>
  <c r="W162" i="34"/>
  <c r="W137" i="34"/>
  <c r="W97" i="34"/>
  <c r="W19" i="34"/>
  <c r="W134" i="34"/>
  <c r="W48" i="34"/>
  <c r="W25" i="34"/>
  <c r="W138" i="34"/>
  <c r="W51" i="34"/>
  <c r="W26" i="34"/>
  <c r="W28" i="34"/>
  <c r="W61" i="34"/>
  <c r="W106" i="34"/>
  <c r="W35" i="34"/>
  <c r="W16" i="34"/>
  <c r="W74" i="34"/>
  <c r="W129" i="34"/>
  <c r="W73" i="34"/>
  <c r="W62" i="34"/>
  <c r="W182" i="34"/>
  <c r="W158" i="34"/>
  <c r="W171" i="34"/>
  <c r="W8" i="34"/>
  <c r="W177" i="34"/>
  <c r="W125" i="34"/>
  <c r="W133" i="34"/>
  <c r="W14" i="34"/>
  <c r="W115" i="34"/>
  <c r="W150" i="34"/>
  <c r="W30" i="34"/>
  <c r="W83" i="34"/>
  <c r="W34" i="34"/>
  <c r="W159" i="34"/>
  <c r="W110" i="34"/>
  <c r="W65" i="34"/>
  <c r="W165" i="34"/>
  <c r="W117" i="34"/>
  <c r="W109" i="34"/>
  <c r="W148" i="34"/>
  <c r="W114" i="34"/>
  <c r="W139" i="34"/>
  <c r="W87" i="34"/>
  <c r="W104" i="34"/>
  <c r="W168" i="34"/>
  <c r="W122" i="34"/>
  <c r="W46" i="34"/>
  <c r="W7" i="34"/>
  <c r="W43" i="34"/>
  <c r="W126" i="34"/>
  <c r="W84" i="34"/>
  <c r="W184" i="34"/>
  <c r="W157" i="34"/>
  <c r="W6" i="34"/>
  <c r="S120" i="34" l="1"/>
  <c r="S121" i="34"/>
  <c r="S46" i="34"/>
  <c r="S150" i="34"/>
  <c r="S182" i="34"/>
  <c r="S176" i="34"/>
  <c r="S10" i="34"/>
  <c r="S220" i="34"/>
  <c r="S166" i="34"/>
  <c r="S186" i="34"/>
  <c r="S239" i="34"/>
  <c r="S240" i="34"/>
  <c r="S148" i="34"/>
  <c r="S82" i="34"/>
  <c r="S12" i="34"/>
  <c r="S6" i="34"/>
  <c r="S42" i="34"/>
  <c r="S31" i="34"/>
  <c r="S62" i="34"/>
  <c r="S99" i="34"/>
  <c r="S56" i="34"/>
  <c r="S54" i="34"/>
  <c r="S88" i="34"/>
  <c r="S217" i="34"/>
  <c r="S9" i="34"/>
  <c r="S14" i="34"/>
  <c r="S38" i="34"/>
  <c r="S49" i="34"/>
  <c r="S113" i="34"/>
  <c r="S116" i="34"/>
  <c r="S102" i="34"/>
  <c r="S41" i="34"/>
  <c r="S48" i="34"/>
  <c r="S216" i="34"/>
  <c r="S47" i="34"/>
  <c r="S93" i="34"/>
  <c r="S230" i="34"/>
  <c r="S146" i="34"/>
  <c r="S104" i="34"/>
  <c r="S118" i="34"/>
  <c r="S133" i="34"/>
  <c r="S80" i="34"/>
  <c r="S79" i="34"/>
  <c r="S60" i="34"/>
  <c r="S30" i="34"/>
  <c r="S96" i="34"/>
  <c r="S87" i="34"/>
  <c r="S235" i="34"/>
  <c r="S136" i="34"/>
  <c r="S222" i="34"/>
  <c r="S23" i="34"/>
  <c r="S201" i="34"/>
  <c r="S20" i="34"/>
  <c r="S200" i="34"/>
  <c r="S126" i="34"/>
  <c r="S163" i="34"/>
  <c r="S135" i="34"/>
  <c r="S173" i="34"/>
  <c r="S130" i="34"/>
  <c r="S17" i="34"/>
  <c r="S7" i="34"/>
  <c r="S131" i="34"/>
  <c r="S53" i="34"/>
  <c r="S124" i="34"/>
  <c r="S5" i="34"/>
  <c r="S35" i="34"/>
  <c r="S154" i="34"/>
  <c r="S194" i="34"/>
  <c r="S171" i="34"/>
  <c r="S103" i="34"/>
  <c r="S85" i="34"/>
  <c r="S94" i="34"/>
  <c r="S67" i="34"/>
  <c r="S55" i="34"/>
  <c r="S141" i="34"/>
  <c r="S105" i="34"/>
  <c r="S86" i="34"/>
  <c r="S234" i="34"/>
  <c r="S78" i="34"/>
  <c r="S73" i="34"/>
  <c r="S204" i="34"/>
  <c r="S101" i="34"/>
  <c r="S157" i="34"/>
  <c r="S107" i="34"/>
  <c r="S175" i="34"/>
  <c r="S84" i="34"/>
  <c r="S43" i="34"/>
  <c r="S211" i="34"/>
  <c r="S184" i="34"/>
  <c r="S134" i="34"/>
  <c r="S174" i="34"/>
  <c r="S228" i="34"/>
  <c r="S165" i="34"/>
  <c r="S117" i="34"/>
  <c r="S199" i="34"/>
  <c r="S202" i="34"/>
  <c r="S27" i="34"/>
  <c r="S70" i="34"/>
  <c r="S162" i="34"/>
  <c r="S144" i="34"/>
  <c r="S34" i="34"/>
  <c r="S74" i="34"/>
  <c r="S19" i="34"/>
  <c r="S61" i="34"/>
  <c r="S125" i="34"/>
  <c r="S145" i="34"/>
  <c r="S66" i="34"/>
  <c r="S106" i="34"/>
  <c r="S190" i="34"/>
  <c r="S224" i="34"/>
  <c r="S29" i="34"/>
  <c r="S149" i="34"/>
  <c r="S189" i="34"/>
  <c r="S64" i="34"/>
  <c r="S75" i="34"/>
  <c r="S128" i="34"/>
  <c r="S81" i="34"/>
  <c r="S95" i="34"/>
  <c r="S112" i="34"/>
  <c r="S11" i="34"/>
  <c r="S76" i="34"/>
  <c r="S28" i="34"/>
  <c r="S140" i="34"/>
  <c r="S58" i="34"/>
  <c r="S132" i="34"/>
  <c r="S227" i="34"/>
  <c r="S188" i="34"/>
  <c r="S77" i="34"/>
  <c r="S36" i="34"/>
  <c r="S177" i="34"/>
  <c r="S137" i="34"/>
  <c r="S52" i="34"/>
  <c r="S164" i="34"/>
  <c r="S214" i="34"/>
  <c r="S110" i="34"/>
  <c r="S59" i="34"/>
  <c r="S71" i="34"/>
  <c r="S51" i="34"/>
  <c r="S92" i="34"/>
  <c r="S89" i="34"/>
  <c r="S72" i="34"/>
  <c r="S22" i="34"/>
  <c r="S32" i="34"/>
  <c r="S40" i="34"/>
  <c r="S192" i="34"/>
  <c r="S237" i="34"/>
  <c r="S143" i="34"/>
  <c r="S212" i="34"/>
  <c r="S25" i="34"/>
  <c r="S221" i="34"/>
  <c r="S167" i="34"/>
  <c r="S219" i="34"/>
  <c r="S44" i="34"/>
  <c r="S111" i="34"/>
  <c r="S129" i="34"/>
  <c r="S229" i="34"/>
  <c r="S65" i="34"/>
  <c r="S160" i="34"/>
  <c r="S215" i="34"/>
  <c r="S18" i="34"/>
  <c r="S24" i="34"/>
  <c r="S15" i="34"/>
  <c r="S198" i="34"/>
  <c r="S109" i="34"/>
  <c r="S4" i="34"/>
  <c r="S223" i="34"/>
  <c r="S57" i="34"/>
  <c r="S181" i="34"/>
  <c r="S231" i="34"/>
  <c r="S191" i="34"/>
  <c r="S139" i="34"/>
  <c r="S151" i="34"/>
  <c r="S187" i="34"/>
  <c r="S155" i="34"/>
  <c r="S168" i="34"/>
  <c r="S50" i="34"/>
  <c r="S147" i="34"/>
  <c r="S153" i="34"/>
  <c r="S21" i="34"/>
  <c r="S83" i="34"/>
  <c r="S170" i="34"/>
  <c r="S183" i="34"/>
  <c r="S115" i="34"/>
  <c r="S218" i="34"/>
  <c r="S114" i="34"/>
  <c r="S172" i="34"/>
  <c r="S206" i="34"/>
  <c r="S33" i="34"/>
  <c r="S91" i="34"/>
  <c r="S138" i="34"/>
  <c r="S205" i="34"/>
  <c r="S209" i="34"/>
  <c r="S3" i="34"/>
  <c r="S236" i="34"/>
  <c r="S203" i="34"/>
  <c r="S161" i="34"/>
  <c r="S100" i="34"/>
  <c r="S233" i="34"/>
  <c r="S152" i="34"/>
  <c r="S97" i="34"/>
  <c r="S123" i="34"/>
  <c r="S90" i="34"/>
  <c r="S156" i="34"/>
  <c r="S185" i="34"/>
  <c r="S226" i="34"/>
  <c r="S159" i="34"/>
  <c r="S37" i="34"/>
  <c r="S158" i="34"/>
  <c r="S8" i="34"/>
  <c r="S13" i="34"/>
  <c r="S197" i="34"/>
  <c r="S69" i="34"/>
  <c r="S169" i="34"/>
  <c r="S98" i="34"/>
  <c r="S142" i="34"/>
  <c r="S127" i="34"/>
  <c r="S213" i="34"/>
  <c r="S119" i="34"/>
  <c r="S207" i="34"/>
  <c r="S225" i="34"/>
  <c r="S178" i="34"/>
  <c r="S180" i="34"/>
  <c r="S196" i="34"/>
  <c r="S179" i="34"/>
  <c r="S195" i="34"/>
  <c r="S45" i="34"/>
  <c r="S232" i="34"/>
  <c r="S122" i="34"/>
  <c r="S241" i="34"/>
  <c r="S193" i="34"/>
  <c r="S108" i="34"/>
  <c r="S39" i="34"/>
  <c r="S210" i="34"/>
  <c r="S208" i="34"/>
  <c r="S238" i="34"/>
  <c r="S26" i="34"/>
  <c r="S16" i="34"/>
  <c r="S68" i="34"/>
  <c r="S63" i="34"/>
  <c r="O130" i="34"/>
  <c r="O139" i="34"/>
  <c r="O71" i="34"/>
  <c r="O161" i="34"/>
  <c r="O125" i="34"/>
  <c r="O205" i="34"/>
  <c r="O12" i="34"/>
  <c r="O190" i="34"/>
  <c r="O156" i="34"/>
  <c r="O85" i="34"/>
  <c r="O239" i="34"/>
  <c r="O238" i="34"/>
  <c r="O225" i="34"/>
  <c r="O193" i="34"/>
  <c r="O13" i="34"/>
  <c r="O10" i="34"/>
  <c r="O50" i="34"/>
  <c r="O41" i="34"/>
  <c r="O29" i="34"/>
  <c r="O56" i="34"/>
  <c r="O25" i="34"/>
  <c r="O112" i="34"/>
  <c r="O133" i="34"/>
  <c r="O235" i="34"/>
  <c r="O11" i="34"/>
  <c r="O16" i="34"/>
  <c r="O70" i="34"/>
  <c r="O22" i="34"/>
  <c r="O202" i="34"/>
  <c r="O191" i="34"/>
  <c r="O35" i="34"/>
  <c r="O30" i="34"/>
  <c r="O21" i="34"/>
  <c r="O180" i="34"/>
  <c r="O103" i="34"/>
  <c r="O53" i="34"/>
  <c r="O165" i="34"/>
  <c r="O60" i="34"/>
  <c r="O93" i="34"/>
  <c r="O54" i="34"/>
  <c r="O188" i="34"/>
  <c r="O120" i="34"/>
  <c r="O136" i="34"/>
  <c r="O147" i="34"/>
  <c r="O63" i="34"/>
  <c r="O59" i="34"/>
  <c r="O86" i="34"/>
  <c r="O228" i="34"/>
  <c r="O187" i="34"/>
  <c r="O182" i="34"/>
  <c r="O42" i="34"/>
  <c r="O181" i="34"/>
  <c r="O57" i="34"/>
  <c r="O212" i="34"/>
  <c r="O160" i="34"/>
  <c r="O167" i="34"/>
  <c r="O219" i="34"/>
  <c r="O198" i="34"/>
  <c r="O107" i="34"/>
  <c r="O27" i="34"/>
  <c r="O8" i="34"/>
  <c r="O78" i="34"/>
  <c r="O39" i="34"/>
  <c r="O201" i="34"/>
  <c r="O7" i="34"/>
  <c r="O31" i="34"/>
  <c r="O115" i="34"/>
  <c r="O226" i="34"/>
  <c r="O131" i="34"/>
  <c r="O117" i="34"/>
  <c r="O67" i="34"/>
  <c r="O45" i="34"/>
  <c r="O68" i="34"/>
  <c r="O84" i="34"/>
  <c r="O183" i="34"/>
  <c r="O168" i="34"/>
  <c r="O97" i="34"/>
  <c r="O234" i="34"/>
  <c r="O91" i="34"/>
  <c r="O37" i="34"/>
  <c r="O174" i="34"/>
  <c r="O102" i="34"/>
  <c r="O172" i="34"/>
  <c r="O164" i="34"/>
  <c r="O143" i="34"/>
  <c r="O80" i="34"/>
  <c r="O32" i="34"/>
  <c r="O108" i="34"/>
  <c r="O195" i="34"/>
  <c r="O185" i="34"/>
  <c r="O89" i="34"/>
  <c r="O204" i="34"/>
  <c r="O47" i="34"/>
  <c r="O124" i="34"/>
  <c r="O153" i="34"/>
  <c r="O229" i="34"/>
  <c r="O109" i="34"/>
  <c r="O77" i="34"/>
  <c r="O184" i="34"/>
  <c r="O106" i="34"/>
  <c r="O43" i="34"/>
  <c r="O76" i="34"/>
  <c r="O38" i="34"/>
  <c r="O114" i="34"/>
  <c r="O116" i="34"/>
  <c r="O207" i="34"/>
  <c r="O141" i="34"/>
  <c r="O162" i="34"/>
  <c r="O92" i="34"/>
  <c r="O199" i="34"/>
  <c r="O65" i="34"/>
  <c r="O155" i="34"/>
  <c r="O200" i="34"/>
  <c r="O96" i="34"/>
  <c r="O72" i="34"/>
  <c r="O119" i="34"/>
  <c r="O79" i="34"/>
  <c r="O132" i="34"/>
  <c r="O87" i="34"/>
  <c r="O15" i="34"/>
  <c r="O140" i="34"/>
  <c r="O61" i="34"/>
  <c r="O159" i="34"/>
  <c r="O49" i="34"/>
  <c r="O146" i="34"/>
  <c r="O231" i="34"/>
  <c r="O176" i="34"/>
  <c r="O126" i="34"/>
  <c r="O33" i="34"/>
  <c r="O213" i="34"/>
  <c r="O157" i="34"/>
  <c r="O123" i="34"/>
  <c r="O129" i="34"/>
  <c r="O203" i="34"/>
  <c r="O66" i="34"/>
  <c r="O122" i="34"/>
  <c r="O18" i="34"/>
  <c r="O40" i="34"/>
  <c r="O64" i="34"/>
  <c r="O128" i="34"/>
  <c r="O142" i="34"/>
  <c r="O17" i="34"/>
  <c r="O90" i="34"/>
  <c r="O24" i="34"/>
  <c r="O217" i="34"/>
  <c r="O218" i="34"/>
  <c r="O118" i="34"/>
  <c r="O170" i="34"/>
  <c r="O46" i="34"/>
  <c r="O169" i="34"/>
  <c r="O175" i="34"/>
  <c r="O196" i="34"/>
  <c r="O121" i="34"/>
  <c r="O88" i="34"/>
  <c r="O83" i="34"/>
  <c r="O233" i="34"/>
  <c r="O74" i="34"/>
  <c r="O82" i="34"/>
  <c r="O206" i="34"/>
  <c r="O28" i="34"/>
  <c r="O19" i="34"/>
  <c r="O62" i="34"/>
  <c r="O178" i="34"/>
  <c r="O73" i="34"/>
  <c r="O5" i="34"/>
  <c r="O208" i="34"/>
  <c r="O52" i="34"/>
  <c r="O179" i="34"/>
  <c r="O221" i="34"/>
  <c r="O171" i="34"/>
  <c r="O81" i="34"/>
  <c r="O223" i="34"/>
  <c r="O149" i="34"/>
  <c r="O138" i="34"/>
  <c r="O158" i="34"/>
  <c r="O36" i="34"/>
  <c r="O94" i="34"/>
  <c r="O134" i="34"/>
  <c r="O51" i="34"/>
  <c r="O69" i="34"/>
  <c r="O145" i="34"/>
  <c r="O154" i="34"/>
  <c r="O127" i="34"/>
  <c r="O98" i="34"/>
  <c r="O95" i="34"/>
  <c r="O104" i="34"/>
  <c r="O222" i="34"/>
  <c r="O26" i="34"/>
  <c r="O113" i="34"/>
  <c r="O194" i="34"/>
  <c r="O214" i="34"/>
  <c r="O211" i="34"/>
  <c r="O3" i="34"/>
  <c r="O215" i="34"/>
  <c r="O173" i="34"/>
  <c r="O135" i="34"/>
  <c r="O75" i="34"/>
  <c r="O220" i="34"/>
  <c r="O144" i="34"/>
  <c r="O44" i="34"/>
  <c r="O163" i="34"/>
  <c r="O48" i="34"/>
  <c r="O137" i="34"/>
  <c r="O101" i="34"/>
  <c r="O227" i="34"/>
  <c r="O166" i="34"/>
  <c r="O20" i="34"/>
  <c r="O197" i="34"/>
  <c r="O4" i="34"/>
  <c r="O9" i="34"/>
  <c r="O105" i="34"/>
  <c r="O34" i="34"/>
  <c r="O209" i="34"/>
  <c r="O99" i="34"/>
  <c r="O224" i="34"/>
  <c r="O177" i="34"/>
  <c r="O230" i="34"/>
  <c r="O111" i="34"/>
  <c r="O216" i="34"/>
  <c r="O192" i="34"/>
  <c r="O151" i="34"/>
  <c r="O189" i="34"/>
  <c r="O148" i="34"/>
  <c r="O110" i="34"/>
  <c r="O150" i="34"/>
  <c r="O236" i="34"/>
  <c r="O240" i="34"/>
  <c r="O237" i="34"/>
  <c r="O241" i="34"/>
  <c r="O152" i="34"/>
  <c r="O55" i="34"/>
  <c r="O14" i="34"/>
  <c r="O186" i="34"/>
  <c r="O210" i="34"/>
  <c r="O232" i="34"/>
  <c r="O23" i="34"/>
  <c r="O6" i="34"/>
  <c r="O100" i="34"/>
  <c r="O58" i="34"/>
  <c r="K88" i="34"/>
  <c r="K8" i="34"/>
  <c r="K97" i="34"/>
  <c r="K44" i="34"/>
  <c r="K74" i="34"/>
  <c r="K75" i="34"/>
  <c r="K48" i="34"/>
  <c r="K12" i="34"/>
  <c r="K89" i="34"/>
  <c r="K76" i="34"/>
  <c r="K113" i="34"/>
  <c r="K115" i="34"/>
  <c r="K50" i="34"/>
  <c r="K22" i="34"/>
  <c r="K17" i="34"/>
  <c r="K13" i="34"/>
  <c r="K79" i="34"/>
  <c r="K70" i="34"/>
  <c r="K5" i="34"/>
  <c r="K66" i="34"/>
  <c r="K43" i="34"/>
  <c r="K104" i="34"/>
  <c r="K27" i="34"/>
  <c r="K40" i="34"/>
  <c r="K18" i="34"/>
  <c r="K52" i="34"/>
  <c r="K47" i="34"/>
  <c r="K53" i="34"/>
  <c r="K29" i="34"/>
  <c r="K25" i="34"/>
  <c r="K68" i="34"/>
  <c r="K106" i="34"/>
  <c r="K91" i="34"/>
  <c r="K65" i="34"/>
  <c r="K100" i="34"/>
  <c r="K102" i="34"/>
  <c r="K94" i="34"/>
  <c r="K9" i="34"/>
  <c r="K60" i="34"/>
  <c r="K109" i="34"/>
  <c r="K10" i="34"/>
  <c r="K87" i="34"/>
  <c r="K36" i="34"/>
  <c r="K84" i="34"/>
  <c r="K71" i="34"/>
  <c r="K55" i="34"/>
  <c r="K24" i="34"/>
  <c r="K19" i="34"/>
  <c r="K110" i="34"/>
  <c r="K98" i="34"/>
  <c r="K38" i="34"/>
  <c r="K28" i="34"/>
  <c r="K39" i="34"/>
  <c r="K69" i="34"/>
  <c r="K6" i="34"/>
  <c r="K54" i="34"/>
  <c r="K20" i="34"/>
  <c r="K30" i="34"/>
  <c r="K15" i="34"/>
  <c r="K62" i="34"/>
  <c r="K21" i="34"/>
  <c r="K101" i="34"/>
  <c r="K107" i="34"/>
  <c r="K72" i="34"/>
  <c r="K112" i="34"/>
  <c r="K77" i="34"/>
  <c r="K108" i="34"/>
  <c r="K83" i="34"/>
  <c r="K78" i="34"/>
  <c r="K63" i="34"/>
  <c r="K90" i="34"/>
  <c r="K11" i="34"/>
  <c r="K111" i="34"/>
  <c r="K45" i="34"/>
  <c r="K35" i="34"/>
  <c r="K92" i="34"/>
  <c r="K23" i="34"/>
  <c r="K61" i="34"/>
  <c r="K34" i="34"/>
  <c r="K114" i="34"/>
  <c r="K16" i="34"/>
  <c r="K116" i="34"/>
  <c r="K58" i="34"/>
  <c r="K46" i="34"/>
  <c r="K26" i="34"/>
  <c r="K49" i="34"/>
  <c r="K56" i="34"/>
  <c r="K85" i="34"/>
  <c r="K80" i="34"/>
  <c r="K32" i="34"/>
  <c r="K73" i="34"/>
  <c r="K57" i="34"/>
  <c r="K14" i="34"/>
  <c r="K33" i="34"/>
  <c r="K41" i="34"/>
  <c r="K37" i="34"/>
  <c r="K59" i="34"/>
  <c r="K51" i="34"/>
  <c r="K96" i="34"/>
  <c r="K117" i="34"/>
  <c r="K67" i="34"/>
  <c r="K86" i="34"/>
  <c r="K81" i="34"/>
  <c r="K105" i="34"/>
  <c r="K42" i="34"/>
  <c r="K103" i="34"/>
  <c r="K82" i="34"/>
  <c r="K93" i="34"/>
  <c r="K99" i="34"/>
  <c r="K4" i="34"/>
  <c r="K64" i="34"/>
  <c r="K95" i="34"/>
  <c r="K3" i="34"/>
  <c r="K31" i="34"/>
  <c r="K7" i="34"/>
  <c r="K118" i="34"/>
  <c r="G97" i="34"/>
  <c r="G153" i="34"/>
  <c r="G63" i="34"/>
  <c r="G212" i="34"/>
  <c r="G196" i="34"/>
  <c r="G199" i="34"/>
  <c r="G75" i="34"/>
  <c r="G208" i="34"/>
  <c r="G160" i="34"/>
  <c r="G201" i="34"/>
  <c r="G238" i="34"/>
  <c r="G237" i="34"/>
  <c r="G177" i="34"/>
  <c r="G117" i="34"/>
  <c r="G54" i="34"/>
  <c r="G32" i="34"/>
  <c r="G85" i="34"/>
  <c r="G50" i="34"/>
  <c r="G38" i="34"/>
  <c r="G72" i="34"/>
  <c r="G16" i="34"/>
  <c r="G52" i="34"/>
  <c r="G180" i="34"/>
  <c r="G229" i="34"/>
  <c r="G84" i="34"/>
  <c r="G67" i="34"/>
  <c r="G66" i="34"/>
  <c r="G114" i="34"/>
  <c r="G216" i="34"/>
  <c r="G233" i="34"/>
  <c r="G118" i="34"/>
  <c r="G42" i="34"/>
  <c r="G56" i="34"/>
  <c r="G198" i="34"/>
  <c r="G48" i="34"/>
  <c r="G128" i="34"/>
  <c r="G220" i="34"/>
  <c r="G115" i="34"/>
  <c r="G159" i="34"/>
  <c r="G190" i="34"/>
  <c r="G182" i="34"/>
  <c r="G33" i="34"/>
  <c r="G133" i="34"/>
  <c r="G207" i="34"/>
  <c r="G101" i="34"/>
  <c r="G86" i="34"/>
  <c r="G74" i="34"/>
  <c r="G234" i="34"/>
  <c r="G176" i="34"/>
  <c r="G195" i="34"/>
  <c r="G58" i="34"/>
  <c r="G213" i="34"/>
  <c r="G144" i="34"/>
  <c r="G138" i="34"/>
  <c r="G116" i="34"/>
  <c r="G143" i="34"/>
  <c r="G127" i="34"/>
  <c r="G96" i="34"/>
  <c r="G59" i="34"/>
  <c r="G95" i="34"/>
  <c r="G21" i="34"/>
  <c r="G112" i="34"/>
  <c r="G19" i="34"/>
  <c r="G225" i="34"/>
  <c r="G40" i="34"/>
  <c r="G15" i="34"/>
  <c r="G61" i="34"/>
  <c r="G221" i="34"/>
  <c r="G139" i="34"/>
  <c r="G78" i="34"/>
  <c r="G14" i="34"/>
  <c r="G29" i="34"/>
  <c r="G64" i="34"/>
  <c r="G88" i="34"/>
  <c r="G203" i="34"/>
  <c r="G36" i="34"/>
  <c r="G34" i="34"/>
  <c r="G202" i="34"/>
  <c r="G183" i="34"/>
  <c r="G62" i="34"/>
  <c r="G204" i="34"/>
  <c r="G161" i="34"/>
  <c r="G205" i="34"/>
  <c r="G140" i="34"/>
  <c r="G173" i="34"/>
  <c r="G79" i="34"/>
  <c r="G148" i="34"/>
  <c r="G125" i="34"/>
  <c r="G186" i="34"/>
  <c r="G102" i="34"/>
  <c r="G77" i="34"/>
  <c r="G219" i="34"/>
  <c r="G175" i="34"/>
  <c r="G124" i="34"/>
  <c r="G172" i="34"/>
  <c r="G174" i="34"/>
  <c r="G181" i="34"/>
  <c r="G31" i="34"/>
  <c r="G193" i="34"/>
  <c r="G163" i="34"/>
  <c r="G44" i="34"/>
  <c r="G83" i="34"/>
  <c r="G49" i="34"/>
  <c r="G166" i="34"/>
  <c r="G73" i="34"/>
  <c r="G211" i="34"/>
  <c r="G142" i="34"/>
  <c r="G89" i="34"/>
  <c r="G222" i="34"/>
  <c r="G134" i="34"/>
  <c r="G80" i="34"/>
  <c r="G135" i="34"/>
  <c r="G200" i="34"/>
  <c r="G105" i="34"/>
  <c r="G146" i="34"/>
  <c r="G149" i="34"/>
  <c r="G25" i="34"/>
  <c r="G7" i="34"/>
  <c r="G46" i="34"/>
  <c r="G94" i="34"/>
  <c r="G103" i="34"/>
  <c r="G24" i="34"/>
  <c r="G108" i="34"/>
  <c r="G17" i="34"/>
  <c r="G141" i="34"/>
  <c r="G218" i="34"/>
  <c r="G158" i="34"/>
  <c r="G30" i="34"/>
  <c r="G6" i="34"/>
  <c r="G150" i="34"/>
  <c r="G81" i="34"/>
  <c r="G91" i="34"/>
  <c r="G194" i="34"/>
  <c r="G132" i="34"/>
  <c r="G87" i="34"/>
  <c r="G110" i="34"/>
  <c r="G28" i="34"/>
  <c r="G76" i="34"/>
  <c r="G35" i="34"/>
  <c r="G151" i="34"/>
  <c r="G130" i="34"/>
  <c r="G8" i="34"/>
  <c r="G98" i="34"/>
  <c r="G20" i="34"/>
  <c r="G90" i="34"/>
  <c r="G228" i="34"/>
  <c r="G192" i="34"/>
  <c r="G136" i="34"/>
  <c r="G55" i="34"/>
  <c r="G165" i="34"/>
  <c r="G187" i="34"/>
  <c r="G206" i="34"/>
  <c r="G171" i="34"/>
  <c r="G99" i="34"/>
  <c r="G57" i="34"/>
  <c r="G224" i="34"/>
  <c r="G47" i="34"/>
  <c r="G51" i="34"/>
  <c r="G188" i="34"/>
  <c r="G69" i="34"/>
  <c r="G11" i="34"/>
  <c r="G189" i="34"/>
  <c r="G168" i="34"/>
  <c r="G167" i="34"/>
  <c r="G22" i="34"/>
  <c r="G209" i="34"/>
  <c r="G68" i="34"/>
  <c r="G169" i="34"/>
  <c r="G230" i="34"/>
  <c r="G164" i="34"/>
  <c r="G104" i="34"/>
  <c r="G154" i="34"/>
  <c r="G184" i="34"/>
  <c r="G43" i="34"/>
  <c r="G197" i="34"/>
  <c r="G26" i="34"/>
  <c r="G111" i="34"/>
  <c r="G100" i="34"/>
  <c r="G82" i="34"/>
  <c r="G53" i="34"/>
  <c r="G185" i="34"/>
  <c r="G162" i="34"/>
  <c r="G10" i="34"/>
  <c r="G121" i="34"/>
  <c r="G145" i="34"/>
  <c r="G131" i="34"/>
  <c r="G235" i="34"/>
  <c r="G13" i="34"/>
  <c r="G41" i="34"/>
  <c r="G122" i="34"/>
  <c r="G157" i="34"/>
  <c r="G126" i="34"/>
  <c r="G5" i="34"/>
  <c r="G231" i="34"/>
  <c r="G123" i="34"/>
  <c r="G113" i="34"/>
  <c r="G65" i="34"/>
  <c r="G223" i="34"/>
  <c r="G178" i="34"/>
  <c r="G27" i="34"/>
  <c r="G107" i="34"/>
  <c r="G39" i="34"/>
  <c r="G60" i="34"/>
  <c r="G129" i="34"/>
  <c r="G226" i="34"/>
  <c r="G119" i="34"/>
  <c r="G18" i="34"/>
  <c r="G137" i="34"/>
  <c r="G3" i="34"/>
  <c r="G4" i="34"/>
  <c r="G93" i="34"/>
  <c r="G37" i="34"/>
  <c r="G227" i="34"/>
  <c r="G71" i="34"/>
  <c r="G214" i="34"/>
  <c r="G92" i="34"/>
  <c r="G152" i="34"/>
  <c r="G120" i="34"/>
  <c r="G232" i="34"/>
  <c r="G215" i="34"/>
  <c r="G155" i="34"/>
  <c r="G170" i="34"/>
  <c r="G179" i="34"/>
  <c r="G109" i="34"/>
  <c r="G191" i="34"/>
  <c r="G241" i="34"/>
  <c r="G240" i="34"/>
  <c r="G239" i="34"/>
  <c r="G236" i="34"/>
  <c r="G156" i="34"/>
  <c r="G70" i="34"/>
  <c r="G45" i="34"/>
  <c r="G147" i="34"/>
  <c r="G210" i="34"/>
  <c r="G217" i="34"/>
  <c r="G23" i="34"/>
  <c r="G9" i="34"/>
  <c r="G106" i="34"/>
  <c r="G12" i="34"/>
  <c r="C117" i="34" l="1"/>
  <c r="C88" i="34"/>
  <c r="C25" i="34"/>
  <c r="C157" i="34"/>
  <c r="C156" i="34"/>
  <c r="C155" i="34"/>
  <c r="C7" i="34"/>
  <c r="C120" i="34"/>
  <c r="C110" i="34"/>
  <c r="C100" i="34"/>
  <c r="C169" i="34"/>
  <c r="C233" i="34"/>
  <c r="C127" i="34"/>
  <c r="C78" i="34"/>
  <c r="C5" i="34"/>
  <c r="C4" i="34"/>
  <c r="C56" i="34"/>
  <c r="C24" i="34"/>
  <c r="C46" i="34"/>
  <c r="C44" i="34"/>
  <c r="C34" i="34"/>
  <c r="C106" i="34"/>
  <c r="C87" i="34"/>
  <c r="C208" i="34"/>
  <c r="C13" i="34"/>
  <c r="C12" i="34"/>
  <c r="C83" i="34"/>
  <c r="C55" i="34"/>
  <c r="C190" i="34"/>
  <c r="C153" i="34"/>
  <c r="C53" i="34"/>
  <c r="C47" i="34"/>
  <c r="C49" i="34"/>
  <c r="C154" i="34"/>
  <c r="C64" i="34"/>
  <c r="C71" i="34"/>
  <c r="C212" i="34"/>
  <c r="C108" i="34"/>
  <c r="C40" i="34"/>
  <c r="C98" i="34"/>
  <c r="C173" i="34"/>
  <c r="C147" i="34"/>
  <c r="C137" i="34"/>
  <c r="C86" i="34"/>
  <c r="C69" i="34"/>
  <c r="C99" i="34"/>
  <c r="C68" i="34"/>
  <c r="C210" i="34"/>
  <c r="C166" i="34"/>
  <c r="C209" i="34"/>
  <c r="C43" i="34"/>
  <c r="C163" i="34"/>
  <c r="C28" i="34"/>
  <c r="C229" i="34"/>
  <c r="C132" i="34"/>
  <c r="C198" i="34"/>
  <c r="C213" i="34"/>
  <c r="C162" i="34"/>
  <c r="C73" i="34"/>
  <c r="C20" i="34"/>
  <c r="C17" i="34"/>
  <c r="C133" i="34"/>
  <c r="C19" i="34"/>
  <c r="C217" i="34"/>
  <c r="C16" i="34"/>
  <c r="C52" i="34"/>
  <c r="C124" i="34"/>
  <c r="C224" i="34"/>
  <c r="C144" i="34"/>
  <c r="C146" i="34"/>
  <c r="C67" i="34"/>
  <c r="C74" i="34"/>
  <c r="C96" i="34"/>
  <c r="C105" i="34"/>
  <c r="C93" i="34"/>
  <c r="C218" i="34"/>
  <c r="C42" i="34"/>
  <c r="C231" i="34"/>
  <c r="C104" i="34"/>
  <c r="C23" i="34"/>
  <c r="C223" i="34"/>
  <c r="C102" i="34"/>
  <c r="C202" i="34"/>
  <c r="C152" i="34"/>
  <c r="C172" i="34"/>
  <c r="C114" i="34"/>
  <c r="C82" i="34"/>
  <c r="C183" i="34"/>
  <c r="C197" i="34"/>
  <c r="C101" i="34"/>
  <c r="C135" i="34"/>
  <c r="C165" i="34"/>
  <c r="C134" i="34"/>
  <c r="C51" i="34"/>
  <c r="C174" i="34"/>
  <c r="C151" i="34"/>
  <c r="C97" i="34"/>
  <c r="C81" i="34"/>
  <c r="C186" i="34"/>
  <c r="C161" i="34"/>
  <c r="C72" i="34"/>
  <c r="C107" i="34"/>
  <c r="C39" i="34"/>
  <c r="C113" i="34"/>
  <c r="C194" i="34"/>
  <c r="C214" i="34"/>
  <c r="C94" i="34"/>
  <c r="C131" i="34"/>
  <c r="C180" i="34"/>
  <c r="C184" i="34"/>
  <c r="C33" i="34"/>
  <c r="C192" i="34"/>
  <c r="C196" i="34"/>
  <c r="C45" i="34"/>
  <c r="C90" i="34"/>
  <c r="C112" i="34"/>
  <c r="C63" i="34"/>
  <c r="C95" i="34"/>
  <c r="C38" i="34"/>
  <c r="C9" i="34"/>
  <c r="C150" i="34"/>
  <c r="C80" i="34"/>
  <c r="C115" i="34"/>
  <c r="C77" i="34"/>
  <c r="C149" i="34"/>
  <c r="C236" i="34"/>
  <c r="C191" i="34"/>
  <c r="C123" i="34"/>
  <c r="C27" i="34"/>
  <c r="C164" i="34"/>
  <c r="C182" i="34"/>
  <c r="C143" i="34"/>
  <c r="C201" i="34"/>
  <c r="C200" i="34"/>
  <c r="C140" i="34"/>
  <c r="C116" i="34"/>
  <c r="C22" i="34"/>
  <c r="C21" i="34"/>
  <c r="C62" i="34"/>
  <c r="C204" i="34"/>
  <c r="C188" i="34"/>
  <c r="C59" i="34"/>
  <c r="C70" i="34"/>
  <c r="C32" i="34"/>
  <c r="C168" i="34"/>
  <c r="C232" i="34"/>
  <c r="C92" i="34"/>
  <c r="C122" i="34"/>
  <c r="C41" i="34"/>
  <c r="C203" i="34"/>
  <c r="C136" i="34"/>
  <c r="C205" i="34"/>
  <c r="C66" i="34"/>
  <c r="C142" i="34"/>
  <c r="C130" i="34"/>
  <c r="C206" i="34"/>
  <c r="C58" i="34"/>
  <c r="C141" i="34"/>
  <c r="C176" i="34"/>
  <c r="C11" i="34"/>
  <c r="C26" i="34"/>
  <c r="C48" i="34"/>
  <c r="C148" i="34"/>
  <c r="C76" i="34"/>
  <c r="C6" i="34"/>
  <c r="C219" i="34"/>
  <c r="C37" i="34"/>
  <c r="C167" i="34"/>
  <c r="C237" i="34"/>
  <c r="C178" i="34"/>
  <c r="C111" i="34"/>
  <c r="C193" i="34"/>
  <c r="C160" i="34"/>
  <c r="C145" i="34"/>
  <c r="C177" i="34"/>
  <c r="C29" i="34"/>
  <c r="C121" i="34"/>
  <c r="C159" i="34"/>
  <c r="C79" i="34"/>
  <c r="C103" i="34"/>
  <c r="C175" i="34"/>
  <c r="C189" i="34"/>
  <c r="C89" i="34"/>
  <c r="C109" i="34"/>
  <c r="C118" i="34"/>
  <c r="C126" i="34"/>
  <c r="C235" i="34"/>
  <c r="C36" i="34"/>
  <c r="C85" i="34"/>
  <c r="C187" i="34"/>
  <c r="C171" i="34"/>
  <c r="C170" i="34"/>
  <c r="C3" i="34"/>
  <c r="C228" i="34"/>
  <c r="C185" i="34"/>
  <c r="C207" i="34"/>
  <c r="C50" i="34"/>
  <c r="C220" i="34"/>
  <c r="C181" i="34"/>
  <c r="C35" i="34"/>
  <c r="C158" i="34"/>
  <c r="C57" i="34"/>
  <c r="C199" i="34"/>
  <c r="C139" i="34"/>
  <c r="C230" i="34"/>
  <c r="C211" i="34"/>
  <c r="C31" i="34"/>
  <c r="C138" i="34"/>
  <c r="C8" i="34"/>
  <c r="C10" i="34"/>
  <c r="C65" i="34"/>
  <c r="C125" i="34"/>
  <c r="C226" i="34"/>
  <c r="C91" i="34"/>
  <c r="C215" i="34"/>
  <c r="C54" i="34"/>
  <c r="C227" i="34"/>
  <c r="C30" i="34"/>
  <c r="C234" i="34"/>
  <c r="C216" i="34"/>
  <c r="C128" i="34"/>
  <c r="C179" i="34"/>
  <c r="C225" i="34"/>
  <c r="C60" i="34"/>
  <c r="C119" i="34"/>
  <c r="C221" i="34"/>
  <c r="C239" i="34"/>
  <c r="C240" i="34"/>
  <c r="C241" i="34"/>
  <c r="C129" i="34"/>
  <c r="C84" i="34"/>
  <c r="C14" i="34"/>
  <c r="C195" i="34"/>
  <c r="C238" i="34"/>
  <c r="C222" i="34"/>
  <c r="C18" i="34"/>
  <c r="C15" i="34"/>
  <c r="C61" i="34"/>
  <c r="C75" i="34"/>
  <c r="F1" i="33" l="1"/>
  <c r="H3" i="33" s="1"/>
  <c r="H4" i="33" s="1"/>
  <c r="N4" i="33"/>
  <c r="N5" i="33"/>
  <c r="N6" i="33"/>
  <c r="N3" i="33"/>
  <c r="F3" i="33" l="1"/>
  <c r="F4" i="33" s="1"/>
  <c r="G3" i="33"/>
  <c r="G4" i="33" s="1"/>
  <c r="E8" i="14" l="1"/>
  <c r="E9" i="14"/>
  <c r="E10" i="14"/>
  <c r="E11" i="14"/>
  <c r="E7" i="14" l="1"/>
  <c r="F402" i="17" l="1"/>
  <c r="H402" i="17"/>
  <c r="J402" i="17"/>
  <c r="L402" i="17"/>
  <c r="N402" i="17"/>
  <c r="P402" i="17"/>
  <c r="R402" i="17"/>
  <c r="S402" i="17"/>
  <c r="U402" i="17"/>
  <c r="W402" i="17"/>
  <c r="F403" i="17"/>
  <c r="H403" i="17"/>
  <c r="J403" i="17"/>
  <c r="L403" i="17"/>
  <c r="N403" i="17"/>
  <c r="P403" i="17"/>
  <c r="R403" i="17"/>
  <c r="S403" i="17"/>
  <c r="U403" i="17"/>
  <c r="W403" i="17"/>
  <c r="F404" i="17"/>
  <c r="H404" i="17"/>
  <c r="J404" i="17"/>
  <c r="L404" i="17"/>
  <c r="N404" i="17"/>
  <c r="P404" i="17"/>
  <c r="R404" i="17"/>
  <c r="S404" i="17"/>
  <c r="U404" i="17"/>
  <c r="W404" i="17"/>
  <c r="F405" i="17"/>
  <c r="H405" i="17"/>
  <c r="J405" i="17"/>
  <c r="L405" i="17"/>
  <c r="N405" i="17"/>
  <c r="P405" i="17"/>
  <c r="R405" i="17"/>
  <c r="S405" i="17"/>
  <c r="U405" i="17"/>
  <c r="W405" i="17"/>
  <c r="F406" i="17"/>
  <c r="H406" i="17"/>
  <c r="J406" i="17"/>
  <c r="L406" i="17"/>
  <c r="N406" i="17"/>
  <c r="P406" i="17"/>
  <c r="R406" i="17"/>
  <c r="S406" i="17"/>
  <c r="U406" i="17"/>
  <c r="W406" i="17"/>
  <c r="F407" i="17"/>
  <c r="H407" i="17"/>
  <c r="J407" i="17"/>
  <c r="L407" i="17"/>
  <c r="N407" i="17"/>
  <c r="P407" i="17"/>
  <c r="R407" i="17"/>
  <c r="S407" i="17"/>
  <c r="U407" i="17"/>
  <c r="W407" i="17"/>
  <c r="F408" i="17"/>
  <c r="H408" i="17"/>
  <c r="J408" i="17"/>
  <c r="L408" i="17"/>
  <c r="N408" i="17"/>
  <c r="P408" i="17"/>
  <c r="R408" i="17"/>
  <c r="S408" i="17"/>
  <c r="U408" i="17"/>
  <c r="W408" i="17"/>
  <c r="F409" i="17"/>
  <c r="H409" i="17"/>
  <c r="J409" i="17"/>
  <c r="L409" i="17"/>
  <c r="N409" i="17"/>
  <c r="P409" i="17"/>
  <c r="R409" i="17"/>
  <c r="S409" i="17"/>
  <c r="U409" i="17"/>
  <c r="W409" i="17"/>
  <c r="F410" i="17"/>
  <c r="H410" i="17"/>
  <c r="J410" i="17"/>
  <c r="L410" i="17"/>
  <c r="N410" i="17"/>
  <c r="P410" i="17"/>
  <c r="R410" i="17"/>
  <c r="S410" i="17"/>
  <c r="U410" i="17"/>
  <c r="W410" i="17"/>
  <c r="F411" i="17"/>
  <c r="H411" i="17"/>
  <c r="J411" i="17"/>
  <c r="L411" i="17"/>
  <c r="N411" i="17"/>
  <c r="P411" i="17"/>
  <c r="R411" i="17"/>
  <c r="S411" i="17"/>
  <c r="U411" i="17"/>
  <c r="W411" i="17"/>
  <c r="F412" i="17"/>
  <c r="H412" i="17"/>
  <c r="J412" i="17"/>
  <c r="L412" i="17"/>
  <c r="N412" i="17"/>
  <c r="P412" i="17"/>
  <c r="R412" i="17"/>
  <c r="S412" i="17"/>
  <c r="U412" i="17"/>
  <c r="W412" i="17"/>
  <c r="F413" i="17"/>
  <c r="H413" i="17"/>
  <c r="J413" i="17"/>
  <c r="L413" i="17"/>
  <c r="N413" i="17"/>
  <c r="P413" i="17"/>
  <c r="R413" i="17"/>
  <c r="S413" i="17"/>
  <c r="U413" i="17"/>
  <c r="W413" i="17"/>
  <c r="F414" i="17"/>
  <c r="H414" i="17"/>
  <c r="J414" i="17"/>
  <c r="L414" i="17"/>
  <c r="N414" i="17"/>
  <c r="P414" i="17"/>
  <c r="R414" i="17"/>
  <c r="S414" i="17"/>
  <c r="U414" i="17"/>
  <c r="W414" i="17"/>
  <c r="F415" i="17"/>
  <c r="H415" i="17"/>
  <c r="J415" i="17"/>
  <c r="L415" i="17"/>
  <c r="N415" i="17"/>
  <c r="P415" i="17"/>
  <c r="R415" i="17"/>
  <c r="S415" i="17"/>
  <c r="U415" i="17"/>
  <c r="W415" i="17"/>
  <c r="F416" i="17"/>
  <c r="H416" i="17"/>
  <c r="J416" i="17"/>
  <c r="L416" i="17"/>
  <c r="N416" i="17"/>
  <c r="P416" i="17"/>
  <c r="R416" i="17"/>
  <c r="S416" i="17"/>
  <c r="U416" i="17"/>
  <c r="W416" i="17"/>
  <c r="F417" i="17"/>
  <c r="H417" i="17"/>
  <c r="J417" i="17"/>
  <c r="L417" i="17"/>
  <c r="N417" i="17"/>
  <c r="P417" i="17"/>
  <c r="R417" i="17"/>
  <c r="S417" i="17"/>
  <c r="U417" i="17"/>
  <c r="W417" i="17"/>
  <c r="F418" i="17"/>
  <c r="H418" i="17"/>
  <c r="J418" i="17"/>
  <c r="L418" i="17"/>
  <c r="N418" i="17"/>
  <c r="P418" i="17"/>
  <c r="R418" i="17"/>
  <c r="S418" i="17"/>
  <c r="U418" i="17"/>
  <c r="W418" i="17"/>
  <c r="F419" i="17"/>
  <c r="H419" i="17"/>
  <c r="J419" i="17"/>
  <c r="L419" i="17"/>
  <c r="N419" i="17"/>
  <c r="P419" i="17"/>
  <c r="R419" i="17"/>
  <c r="S419" i="17"/>
  <c r="U419" i="17"/>
  <c r="W419" i="17"/>
  <c r="F420" i="17"/>
  <c r="H420" i="17"/>
  <c r="J420" i="17"/>
  <c r="L420" i="17"/>
  <c r="N420" i="17"/>
  <c r="P420" i="17"/>
  <c r="R420" i="17"/>
  <c r="S420" i="17"/>
  <c r="U420" i="17"/>
  <c r="W420" i="17"/>
  <c r="F421" i="17"/>
  <c r="H421" i="17"/>
  <c r="J421" i="17"/>
  <c r="L421" i="17"/>
  <c r="N421" i="17"/>
  <c r="P421" i="17"/>
  <c r="R421" i="17"/>
  <c r="S421" i="17"/>
  <c r="U421" i="17"/>
  <c r="W421" i="17"/>
  <c r="F422" i="17"/>
  <c r="H422" i="17"/>
  <c r="J422" i="17"/>
  <c r="L422" i="17"/>
  <c r="N422" i="17"/>
  <c r="P422" i="17"/>
  <c r="R422" i="17"/>
  <c r="S422" i="17"/>
  <c r="U422" i="17"/>
  <c r="W422" i="17"/>
  <c r="F423" i="17"/>
  <c r="H423" i="17"/>
  <c r="J423" i="17"/>
  <c r="L423" i="17"/>
  <c r="N423" i="17"/>
  <c r="P423" i="17"/>
  <c r="R423" i="17"/>
  <c r="S423" i="17"/>
  <c r="U423" i="17"/>
  <c r="W423" i="17"/>
  <c r="F424" i="17"/>
  <c r="H424" i="17"/>
  <c r="J424" i="17"/>
  <c r="L424" i="17"/>
  <c r="N424" i="17"/>
  <c r="P424" i="17"/>
  <c r="R424" i="17"/>
  <c r="S424" i="17"/>
  <c r="U424" i="17"/>
  <c r="W424" i="17"/>
  <c r="F425" i="17"/>
  <c r="H425" i="17"/>
  <c r="J425" i="17"/>
  <c r="L425" i="17"/>
  <c r="N425" i="17"/>
  <c r="P425" i="17"/>
  <c r="R425" i="17"/>
  <c r="S425" i="17"/>
  <c r="U425" i="17"/>
  <c r="W425" i="17"/>
  <c r="F426" i="17"/>
  <c r="H426" i="17"/>
  <c r="J426" i="17"/>
  <c r="L426" i="17"/>
  <c r="N426" i="17"/>
  <c r="P426" i="17"/>
  <c r="R426" i="17"/>
  <c r="S426" i="17"/>
  <c r="U426" i="17"/>
  <c r="W426" i="17"/>
  <c r="F427" i="17"/>
  <c r="H427" i="17"/>
  <c r="J427" i="17"/>
  <c r="L427" i="17"/>
  <c r="N427" i="17"/>
  <c r="P427" i="17"/>
  <c r="R427" i="17"/>
  <c r="S427" i="17"/>
  <c r="U427" i="17"/>
  <c r="W427" i="17"/>
  <c r="F428" i="17"/>
  <c r="H428" i="17"/>
  <c r="J428" i="17"/>
  <c r="L428" i="17"/>
  <c r="N428" i="17"/>
  <c r="P428" i="17"/>
  <c r="R428" i="17"/>
  <c r="S428" i="17"/>
  <c r="U428" i="17"/>
  <c r="W428" i="17"/>
  <c r="F429" i="17"/>
  <c r="H429" i="17"/>
  <c r="J429" i="17"/>
  <c r="L429" i="17"/>
  <c r="N429" i="17"/>
  <c r="P429" i="17"/>
  <c r="R429" i="17"/>
  <c r="S429" i="17"/>
  <c r="U429" i="17"/>
  <c r="W429" i="17"/>
  <c r="F430" i="17"/>
  <c r="H430" i="17"/>
  <c r="J430" i="17"/>
  <c r="L430" i="17"/>
  <c r="N430" i="17"/>
  <c r="P430" i="17"/>
  <c r="R430" i="17"/>
  <c r="S430" i="17"/>
  <c r="U430" i="17"/>
  <c r="W430" i="17"/>
  <c r="F431" i="17"/>
  <c r="H431" i="17"/>
  <c r="J431" i="17"/>
  <c r="L431" i="17"/>
  <c r="N431" i="17"/>
  <c r="P431" i="17"/>
  <c r="R431" i="17"/>
  <c r="S431" i="17"/>
  <c r="U431" i="17"/>
  <c r="W431" i="17"/>
  <c r="F432" i="17"/>
  <c r="H432" i="17"/>
  <c r="J432" i="17"/>
  <c r="L432" i="17"/>
  <c r="N432" i="17"/>
  <c r="P432" i="17"/>
  <c r="R432" i="17"/>
  <c r="S432" i="17"/>
  <c r="U432" i="17"/>
  <c r="W432" i="17"/>
  <c r="F433" i="17"/>
  <c r="H433" i="17"/>
  <c r="J433" i="17"/>
  <c r="L433" i="17"/>
  <c r="N433" i="17"/>
  <c r="P433" i="17"/>
  <c r="R433" i="17"/>
  <c r="S433" i="17"/>
  <c r="U433" i="17"/>
  <c r="W433" i="17"/>
  <c r="F434" i="17"/>
  <c r="H434" i="17"/>
  <c r="J434" i="17"/>
  <c r="L434" i="17"/>
  <c r="N434" i="17"/>
  <c r="P434" i="17"/>
  <c r="R434" i="17"/>
  <c r="S434" i="17"/>
  <c r="U434" i="17"/>
  <c r="W434" i="17"/>
  <c r="F435" i="17"/>
  <c r="H435" i="17"/>
  <c r="J435" i="17"/>
  <c r="L435" i="17"/>
  <c r="N435" i="17"/>
  <c r="P435" i="17"/>
  <c r="R435" i="17"/>
  <c r="S435" i="17"/>
  <c r="U435" i="17"/>
  <c r="W435" i="17"/>
  <c r="F436" i="17"/>
  <c r="H436" i="17"/>
  <c r="J436" i="17"/>
  <c r="L436" i="17"/>
  <c r="N436" i="17"/>
  <c r="P436" i="17"/>
  <c r="R436" i="17"/>
  <c r="S436" i="17"/>
  <c r="U436" i="17"/>
  <c r="W436" i="17"/>
  <c r="F437" i="17"/>
  <c r="H437" i="17"/>
  <c r="J437" i="17"/>
  <c r="L437" i="17"/>
  <c r="N437" i="17"/>
  <c r="P437" i="17"/>
  <c r="R437" i="17"/>
  <c r="S437" i="17"/>
  <c r="U437" i="17"/>
  <c r="W437" i="17"/>
  <c r="F438" i="17"/>
  <c r="H438" i="17"/>
  <c r="J438" i="17"/>
  <c r="L438" i="17"/>
  <c r="N438" i="17"/>
  <c r="P438" i="17"/>
  <c r="R438" i="17"/>
  <c r="S438" i="17"/>
  <c r="U438" i="17"/>
  <c r="W438" i="17"/>
  <c r="F439" i="17"/>
  <c r="H439" i="17"/>
  <c r="J439" i="17"/>
  <c r="L439" i="17"/>
  <c r="N439" i="17"/>
  <c r="P439" i="17"/>
  <c r="R439" i="17"/>
  <c r="S439" i="17"/>
  <c r="U439" i="17"/>
  <c r="W439" i="17"/>
  <c r="F440" i="17"/>
  <c r="H440" i="17"/>
  <c r="J440" i="17"/>
  <c r="L440" i="17"/>
  <c r="N440" i="17"/>
  <c r="P440" i="17"/>
  <c r="R440" i="17"/>
  <c r="S440" i="17"/>
  <c r="U440" i="17"/>
  <c r="W440" i="17"/>
  <c r="F441" i="17"/>
  <c r="H441" i="17"/>
  <c r="J441" i="17"/>
  <c r="L441" i="17"/>
  <c r="N441" i="17"/>
  <c r="P441" i="17"/>
  <c r="R441" i="17"/>
  <c r="S441" i="17"/>
  <c r="U441" i="17"/>
  <c r="W441" i="17"/>
  <c r="F442" i="17"/>
  <c r="H442" i="17"/>
  <c r="J442" i="17"/>
  <c r="L442" i="17"/>
  <c r="N442" i="17"/>
  <c r="P442" i="17"/>
  <c r="R442" i="17"/>
  <c r="S442" i="17"/>
  <c r="U442" i="17"/>
  <c r="W442" i="17"/>
  <c r="F443" i="17"/>
  <c r="H443" i="17"/>
  <c r="J443" i="17"/>
  <c r="L443" i="17"/>
  <c r="N443" i="17"/>
  <c r="P443" i="17"/>
  <c r="R443" i="17"/>
  <c r="S443" i="17"/>
  <c r="U443" i="17"/>
  <c r="W443" i="17"/>
  <c r="F444" i="17"/>
  <c r="H444" i="17"/>
  <c r="J444" i="17"/>
  <c r="L444" i="17"/>
  <c r="N444" i="17"/>
  <c r="P444" i="17"/>
  <c r="R444" i="17"/>
  <c r="S444" i="17"/>
  <c r="U444" i="17"/>
  <c r="W444" i="17"/>
  <c r="F445" i="17"/>
  <c r="H445" i="17"/>
  <c r="J445" i="17"/>
  <c r="L445" i="17"/>
  <c r="N445" i="17"/>
  <c r="P445" i="17"/>
  <c r="R445" i="17"/>
  <c r="S445" i="17"/>
  <c r="U445" i="17"/>
  <c r="W445" i="17"/>
  <c r="F446" i="17"/>
  <c r="H446" i="17"/>
  <c r="J446" i="17"/>
  <c r="L446" i="17"/>
  <c r="N446" i="17"/>
  <c r="P446" i="17"/>
  <c r="R446" i="17"/>
  <c r="S446" i="17"/>
  <c r="U446" i="17"/>
  <c r="W446" i="17"/>
  <c r="W401" i="17"/>
  <c r="U401" i="17"/>
  <c r="S401" i="17"/>
  <c r="R401" i="17"/>
  <c r="P401" i="17"/>
  <c r="N401" i="17"/>
  <c r="L401" i="17"/>
  <c r="J401" i="17"/>
  <c r="H401" i="17"/>
  <c r="F401" i="17"/>
  <c r="W400" i="17"/>
  <c r="U400" i="17"/>
  <c r="S400" i="17"/>
  <c r="R400" i="17"/>
  <c r="P400" i="17"/>
  <c r="N400" i="17"/>
  <c r="L400" i="17"/>
  <c r="J400" i="17"/>
  <c r="H400" i="17"/>
  <c r="F400" i="17"/>
  <c r="W399" i="17"/>
  <c r="U399" i="17"/>
  <c r="S399" i="17"/>
  <c r="R399" i="17"/>
  <c r="P399" i="17"/>
  <c r="N399" i="17"/>
  <c r="L399" i="17"/>
  <c r="J399" i="17"/>
  <c r="H399" i="17"/>
  <c r="F399" i="17"/>
  <c r="W398" i="17"/>
  <c r="U398" i="17"/>
  <c r="S398" i="17"/>
  <c r="R398" i="17"/>
  <c r="P398" i="17"/>
  <c r="N398" i="17"/>
  <c r="L398" i="17"/>
  <c r="J398" i="17"/>
  <c r="H398" i="17"/>
  <c r="F398" i="17"/>
  <c r="W397" i="17"/>
  <c r="U397" i="17"/>
  <c r="S397" i="17"/>
  <c r="R397" i="17"/>
  <c r="P397" i="17"/>
  <c r="N397" i="17"/>
  <c r="L397" i="17"/>
  <c r="J397" i="17"/>
  <c r="H397" i="17"/>
  <c r="F397" i="17"/>
  <c r="W396" i="17"/>
  <c r="U396" i="17"/>
  <c r="S396" i="17"/>
  <c r="R396" i="17"/>
  <c r="P396" i="17"/>
  <c r="N396" i="17"/>
  <c r="L396" i="17"/>
  <c r="J396" i="17"/>
  <c r="H396" i="17"/>
  <c r="F396" i="17"/>
  <c r="W395" i="17"/>
  <c r="U395" i="17"/>
  <c r="S395" i="17"/>
  <c r="R395" i="17"/>
  <c r="P395" i="17"/>
  <c r="N395" i="17"/>
  <c r="L395" i="17"/>
  <c r="J395" i="17"/>
  <c r="H395" i="17"/>
  <c r="F395" i="17"/>
  <c r="W394" i="17"/>
  <c r="U394" i="17"/>
  <c r="S394" i="17"/>
  <c r="R394" i="17"/>
  <c r="P394" i="17"/>
  <c r="N394" i="17"/>
  <c r="L394" i="17"/>
  <c r="J394" i="17"/>
  <c r="H394" i="17"/>
  <c r="F394" i="17"/>
  <c r="W393" i="17"/>
  <c r="U393" i="17"/>
  <c r="S393" i="17"/>
  <c r="R393" i="17"/>
  <c r="P393" i="17"/>
  <c r="N393" i="17"/>
  <c r="L393" i="17"/>
  <c r="J393" i="17"/>
  <c r="H393" i="17"/>
  <c r="F393" i="17"/>
  <c r="W392" i="17"/>
  <c r="U392" i="17"/>
  <c r="S392" i="17"/>
  <c r="R392" i="17"/>
  <c r="P392" i="17"/>
  <c r="N392" i="17"/>
  <c r="L392" i="17"/>
  <c r="J392" i="17"/>
  <c r="H392" i="17"/>
  <c r="F392" i="17"/>
  <c r="W391" i="17"/>
  <c r="U391" i="17"/>
  <c r="S391" i="17"/>
  <c r="R391" i="17"/>
  <c r="P391" i="17"/>
  <c r="N391" i="17"/>
  <c r="L391" i="17"/>
  <c r="J391" i="17"/>
  <c r="H391" i="17"/>
  <c r="F391" i="17"/>
  <c r="W390" i="17"/>
  <c r="U390" i="17"/>
  <c r="S390" i="17"/>
  <c r="R390" i="17"/>
  <c r="P390" i="17"/>
  <c r="N390" i="17"/>
  <c r="L390" i="17"/>
  <c r="J390" i="17"/>
  <c r="H390" i="17"/>
  <c r="F390" i="17"/>
  <c r="W389" i="17"/>
  <c r="U389" i="17"/>
  <c r="S389" i="17"/>
  <c r="R389" i="17"/>
  <c r="P389" i="17"/>
  <c r="N389" i="17"/>
  <c r="L389" i="17"/>
  <c r="J389" i="17"/>
  <c r="H389" i="17"/>
  <c r="F389" i="17"/>
  <c r="W388" i="17"/>
  <c r="U388" i="17"/>
  <c r="S388" i="17"/>
  <c r="R388" i="17"/>
  <c r="P388" i="17"/>
  <c r="N388" i="17"/>
  <c r="L388" i="17"/>
  <c r="J388" i="17"/>
  <c r="H388" i="17"/>
  <c r="F388" i="17"/>
  <c r="W387" i="17"/>
  <c r="U387" i="17"/>
  <c r="S387" i="17"/>
  <c r="R387" i="17"/>
  <c r="P387" i="17"/>
  <c r="N387" i="17"/>
  <c r="L387" i="17"/>
  <c r="J387" i="17"/>
  <c r="H387" i="17"/>
  <c r="F387" i="17"/>
  <c r="W386" i="17"/>
  <c r="U386" i="17"/>
  <c r="S386" i="17"/>
  <c r="R386" i="17"/>
  <c r="P386" i="17"/>
  <c r="N386" i="17"/>
  <c r="L386" i="17"/>
  <c r="J386" i="17"/>
  <c r="H386" i="17"/>
  <c r="F386" i="17"/>
  <c r="W385" i="17"/>
  <c r="U385" i="17"/>
  <c r="S385" i="17"/>
  <c r="R385" i="17"/>
  <c r="P385" i="17"/>
  <c r="N385" i="17"/>
  <c r="L385" i="17"/>
  <c r="J385" i="17"/>
  <c r="H385" i="17"/>
  <c r="F385" i="17"/>
  <c r="W384" i="17"/>
  <c r="U384" i="17"/>
  <c r="S384" i="17"/>
  <c r="R384" i="17"/>
  <c r="P384" i="17"/>
  <c r="N384" i="17"/>
  <c r="L384" i="17"/>
  <c r="J384" i="17"/>
  <c r="H384" i="17"/>
  <c r="F384" i="17"/>
  <c r="W383" i="17"/>
  <c r="U383" i="17"/>
  <c r="S383" i="17"/>
  <c r="R383" i="17"/>
  <c r="P383" i="17"/>
  <c r="N383" i="17"/>
  <c r="L383" i="17"/>
  <c r="J383" i="17"/>
  <c r="H383" i="17"/>
  <c r="F383" i="17"/>
  <c r="W382" i="17"/>
  <c r="U382" i="17"/>
  <c r="S382" i="17"/>
  <c r="R382" i="17"/>
  <c r="P382" i="17"/>
  <c r="N382" i="17"/>
  <c r="L382" i="17"/>
  <c r="J382" i="17"/>
  <c r="H382" i="17"/>
  <c r="F382" i="17"/>
  <c r="W381" i="17"/>
  <c r="U381" i="17"/>
  <c r="S381" i="17"/>
  <c r="R381" i="17"/>
  <c r="P381" i="17"/>
  <c r="N381" i="17"/>
  <c r="L381" i="17"/>
  <c r="J381" i="17"/>
  <c r="H381" i="17"/>
  <c r="F381" i="17"/>
  <c r="W380" i="17"/>
  <c r="U380" i="17"/>
  <c r="S380" i="17"/>
  <c r="R380" i="17"/>
  <c r="P380" i="17"/>
  <c r="N380" i="17"/>
  <c r="L380" i="17"/>
  <c r="J380" i="17"/>
  <c r="H380" i="17"/>
  <c r="F380" i="17"/>
  <c r="W379" i="17"/>
  <c r="U379" i="17"/>
  <c r="S379" i="17"/>
  <c r="R379" i="17"/>
  <c r="P379" i="17"/>
  <c r="N379" i="17"/>
  <c r="L379" i="17"/>
  <c r="J379" i="17"/>
  <c r="H379" i="17"/>
  <c r="F379" i="17"/>
  <c r="W378" i="17"/>
  <c r="U378" i="17"/>
  <c r="S378" i="17"/>
  <c r="R378" i="17"/>
  <c r="P378" i="17"/>
  <c r="N378" i="17"/>
  <c r="L378" i="17"/>
  <c r="J378" i="17"/>
  <c r="H378" i="17"/>
  <c r="F378" i="17"/>
  <c r="W377" i="17"/>
  <c r="U377" i="17"/>
  <c r="S377" i="17"/>
  <c r="R377" i="17"/>
  <c r="P377" i="17"/>
  <c r="N377" i="17"/>
  <c r="L377" i="17"/>
  <c r="J377" i="17"/>
  <c r="H377" i="17"/>
  <c r="F377" i="17"/>
  <c r="W376" i="17"/>
  <c r="U376" i="17"/>
  <c r="S376" i="17"/>
  <c r="R376" i="17"/>
  <c r="P376" i="17"/>
  <c r="N376" i="17"/>
  <c r="L376" i="17"/>
  <c r="J376" i="17"/>
  <c r="H376" i="17"/>
  <c r="F376" i="17"/>
  <c r="W375" i="17"/>
  <c r="U375" i="17"/>
  <c r="S375" i="17"/>
  <c r="R375" i="17"/>
  <c r="P375" i="17"/>
  <c r="N375" i="17"/>
  <c r="L375" i="17"/>
  <c r="J375" i="17"/>
  <c r="H375" i="17"/>
  <c r="F375" i="17"/>
  <c r="W374" i="17"/>
  <c r="U374" i="17"/>
  <c r="S374" i="17"/>
  <c r="R374" i="17"/>
  <c r="P374" i="17"/>
  <c r="N374" i="17"/>
  <c r="L374" i="17"/>
  <c r="J374" i="17"/>
  <c r="H374" i="17"/>
  <c r="F374" i="17"/>
  <c r="W373" i="17"/>
  <c r="U373" i="17"/>
  <c r="S373" i="17"/>
  <c r="R373" i="17"/>
  <c r="P373" i="17"/>
  <c r="N373" i="17"/>
  <c r="L373" i="17"/>
  <c r="J373" i="17"/>
  <c r="H373" i="17"/>
  <c r="F373" i="17"/>
  <c r="W372" i="17"/>
  <c r="U372" i="17"/>
  <c r="S372" i="17"/>
  <c r="R372" i="17"/>
  <c r="P372" i="17"/>
  <c r="N372" i="17"/>
  <c r="L372" i="17"/>
  <c r="J372" i="17"/>
  <c r="H372" i="17"/>
  <c r="F372" i="17"/>
  <c r="W371" i="17"/>
  <c r="U371" i="17"/>
  <c r="S371" i="17"/>
  <c r="R371" i="17"/>
  <c r="P371" i="17"/>
  <c r="N371" i="17"/>
  <c r="L371" i="17"/>
  <c r="J371" i="17"/>
  <c r="H371" i="17"/>
  <c r="F371" i="17"/>
  <c r="W370" i="17"/>
  <c r="U370" i="17"/>
  <c r="S370" i="17"/>
  <c r="R370" i="17"/>
  <c r="P370" i="17"/>
  <c r="N370" i="17"/>
  <c r="L370" i="17"/>
  <c r="J370" i="17"/>
  <c r="H370" i="17"/>
  <c r="F370" i="17"/>
  <c r="W369" i="17"/>
  <c r="U369" i="17"/>
  <c r="S369" i="17"/>
  <c r="R369" i="17"/>
  <c r="P369" i="17"/>
  <c r="N369" i="17"/>
  <c r="L369" i="17"/>
  <c r="J369" i="17"/>
  <c r="H369" i="17"/>
  <c r="F369" i="17"/>
  <c r="W368" i="17"/>
  <c r="U368" i="17"/>
  <c r="S368" i="17"/>
  <c r="R368" i="17"/>
  <c r="P368" i="17"/>
  <c r="N368" i="17"/>
  <c r="L368" i="17"/>
  <c r="J368" i="17"/>
  <c r="H368" i="17"/>
  <c r="F368" i="17"/>
  <c r="W367" i="17"/>
  <c r="U367" i="17"/>
  <c r="S367" i="17"/>
  <c r="R367" i="17"/>
  <c r="P367" i="17"/>
  <c r="N367" i="17"/>
  <c r="L367" i="17"/>
  <c r="J367" i="17"/>
  <c r="H367" i="17"/>
  <c r="F367" i="17"/>
  <c r="W366" i="17"/>
  <c r="U366" i="17"/>
  <c r="S366" i="17"/>
  <c r="R366" i="17"/>
  <c r="P366" i="17"/>
  <c r="N366" i="17"/>
  <c r="L366" i="17"/>
  <c r="J366" i="17"/>
  <c r="H366" i="17"/>
  <c r="F366" i="17"/>
  <c r="W365" i="17"/>
  <c r="U365" i="17"/>
  <c r="S365" i="17"/>
  <c r="R365" i="17"/>
  <c r="P365" i="17"/>
  <c r="N365" i="17"/>
  <c r="L365" i="17"/>
  <c r="J365" i="17"/>
  <c r="H365" i="17"/>
  <c r="F365" i="17"/>
  <c r="W364" i="17"/>
  <c r="U364" i="17"/>
  <c r="S364" i="17"/>
  <c r="R364" i="17"/>
  <c r="P364" i="17"/>
  <c r="N364" i="17"/>
  <c r="L364" i="17"/>
  <c r="J364" i="17"/>
  <c r="H364" i="17"/>
  <c r="F364" i="17"/>
  <c r="W363" i="17"/>
  <c r="U363" i="17"/>
  <c r="S363" i="17"/>
  <c r="R363" i="17"/>
  <c r="P363" i="17"/>
  <c r="N363" i="17"/>
  <c r="L363" i="17"/>
  <c r="J363" i="17"/>
  <c r="H363" i="17"/>
  <c r="F363" i="17"/>
  <c r="W362" i="17"/>
  <c r="U362" i="17"/>
  <c r="S362" i="17"/>
  <c r="R362" i="17"/>
  <c r="P362" i="17"/>
  <c r="N362" i="17"/>
  <c r="L362" i="17"/>
  <c r="J362" i="17"/>
  <c r="H362" i="17"/>
  <c r="F362" i="17"/>
  <c r="W361" i="17"/>
  <c r="U361" i="17"/>
  <c r="S361" i="17"/>
  <c r="R361" i="17"/>
  <c r="P361" i="17"/>
  <c r="N361" i="17"/>
  <c r="L361" i="17"/>
  <c r="J361" i="17"/>
  <c r="H361" i="17"/>
  <c r="F361" i="17"/>
  <c r="W360" i="17"/>
  <c r="U360" i="17"/>
  <c r="S360" i="17"/>
  <c r="R360" i="17"/>
  <c r="P360" i="17"/>
  <c r="N360" i="17"/>
  <c r="L360" i="17"/>
  <c r="J360" i="17"/>
  <c r="H360" i="17"/>
  <c r="F360" i="17"/>
  <c r="W359" i="17"/>
  <c r="U359" i="17"/>
  <c r="S359" i="17"/>
  <c r="R359" i="17"/>
  <c r="P359" i="17"/>
  <c r="N359" i="17"/>
  <c r="L359" i="17"/>
  <c r="J359" i="17"/>
  <c r="H359" i="17"/>
  <c r="F359" i="17"/>
  <c r="W358" i="17"/>
  <c r="U358" i="17"/>
  <c r="S358" i="17"/>
  <c r="R358" i="17"/>
  <c r="P358" i="17"/>
  <c r="N358" i="17"/>
  <c r="L358" i="17"/>
  <c r="J358" i="17"/>
  <c r="H358" i="17"/>
  <c r="F358" i="17"/>
  <c r="W357" i="17"/>
  <c r="U357" i="17"/>
  <c r="S357" i="17"/>
  <c r="R357" i="17"/>
  <c r="P357" i="17"/>
  <c r="N357" i="17"/>
  <c r="L357" i="17"/>
  <c r="J357" i="17"/>
  <c r="H357" i="17"/>
  <c r="F357" i="17"/>
  <c r="W356" i="17"/>
  <c r="U356" i="17"/>
  <c r="S356" i="17"/>
  <c r="R356" i="17"/>
  <c r="P356" i="17"/>
  <c r="N356" i="17"/>
  <c r="L356" i="17"/>
  <c r="J356" i="17"/>
  <c r="H356" i="17"/>
  <c r="F356" i="17"/>
  <c r="W355" i="17"/>
  <c r="U355" i="17"/>
  <c r="S355" i="17"/>
  <c r="R355" i="17"/>
  <c r="P355" i="17"/>
  <c r="N355" i="17"/>
  <c r="L355" i="17"/>
  <c r="J355" i="17"/>
  <c r="H355" i="17"/>
  <c r="F355" i="17"/>
  <c r="W354" i="17"/>
  <c r="U354" i="17"/>
  <c r="S354" i="17"/>
  <c r="R354" i="17"/>
  <c r="P354" i="17"/>
  <c r="N354" i="17"/>
  <c r="L354" i="17"/>
  <c r="J354" i="17"/>
  <c r="H354" i="17"/>
  <c r="F354" i="17"/>
  <c r="W353" i="17"/>
  <c r="U353" i="17"/>
  <c r="S353" i="17"/>
  <c r="R353" i="17"/>
  <c r="P353" i="17"/>
  <c r="N353" i="17"/>
  <c r="L353" i="17"/>
  <c r="J353" i="17"/>
  <c r="H353" i="17"/>
  <c r="F353" i="17"/>
  <c r="W352" i="17"/>
  <c r="U352" i="17"/>
  <c r="S352" i="17"/>
  <c r="R352" i="17"/>
  <c r="P352" i="17"/>
  <c r="N352" i="17"/>
  <c r="L352" i="17"/>
  <c r="J352" i="17"/>
  <c r="H352" i="17"/>
  <c r="F352" i="17"/>
  <c r="W351" i="17"/>
  <c r="U351" i="17"/>
  <c r="S351" i="17"/>
  <c r="R351" i="17"/>
  <c r="P351" i="17"/>
  <c r="N351" i="17"/>
  <c r="L351" i="17"/>
  <c r="J351" i="17"/>
  <c r="H351" i="17"/>
  <c r="F351" i="17"/>
  <c r="W350" i="17"/>
  <c r="U350" i="17"/>
  <c r="S350" i="17"/>
  <c r="R350" i="17"/>
  <c r="P350" i="17"/>
  <c r="N350" i="17"/>
  <c r="L350" i="17"/>
  <c r="J350" i="17"/>
  <c r="H350" i="17"/>
  <c r="F350" i="17"/>
  <c r="W349" i="17"/>
  <c r="U349" i="17"/>
  <c r="S349" i="17"/>
  <c r="R349" i="17"/>
  <c r="P349" i="17"/>
  <c r="N349" i="17"/>
  <c r="L349" i="17"/>
  <c r="J349" i="17"/>
  <c r="H349" i="17"/>
  <c r="F349" i="17"/>
  <c r="W348" i="17"/>
  <c r="U348" i="17"/>
  <c r="S348" i="17"/>
  <c r="R348" i="17"/>
  <c r="P348" i="17"/>
  <c r="N348" i="17"/>
  <c r="L348" i="17"/>
  <c r="J348" i="17"/>
  <c r="H348" i="17"/>
  <c r="F348" i="17"/>
  <c r="W347" i="17"/>
  <c r="U347" i="17"/>
  <c r="S347" i="17"/>
  <c r="R347" i="17"/>
  <c r="P347" i="17"/>
  <c r="N347" i="17"/>
  <c r="L347" i="17"/>
  <c r="J347" i="17"/>
  <c r="H347" i="17"/>
  <c r="F347" i="17"/>
  <c r="W346" i="17"/>
  <c r="U346" i="17"/>
  <c r="S346" i="17"/>
  <c r="R346" i="17"/>
  <c r="P346" i="17"/>
  <c r="N346" i="17"/>
  <c r="L346" i="17"/>
  <c r="J346" i="17"/>
  <c r="H346" i="17"/>
  <c r="F346" i="17"/>
  <c r="W345" i="17"/>
  <c r="U345" i="17"/>
  <c r="S345" i="17"/>
  <c r="R345" i="17"/>
  <c r="P345" i="17"/>
  <c r="N345" i="17"/>
  <c r="L345" i="17"/>
  <c r="J345" i="17"/>
  <c r="H345" i="17"/>
  <c r="F345" i="17"/>
  <c r="W344" i="17"/>
  <c r="U344" i="17"/>
  <c r="S344" i="17"/>
  <c r="R344" i="17"/>
  <c r="P344" i="17"/>
  <c r="N344" i="17"/>
  <c r="L344" i="17"/>
  <c r="J344" i="17"/>
  <c r="H344" i="17"/>
  <c r="F344" i="17"/>
  <c r="W343" i="17"/>
  <c r="U343" i="17"/>
  <c r="S343" i="17"/>
  <c r="R343" i="17"/>
  <c r="P343" i="17"/>
  <c r="N343" i="17"/>
  <c r="L343" i="17"/>
  <c r="J343" i="17"/>
  <c r="H343" i="17"/>
  <c r="F343" i="17"/>
  <c r="W342" i="17"/>
  <c r="U342" i="17"/>
  <c r="S342" i="17"/>
  <c r="R342" i="17"/>
  <c r="P342" i="17"/>
  <c r="N342" i="17"/>
  <c r="L342" i="17"/>
  <c r="J342" i="17"/>
  <c r="H342" i="17"/>
  <c r="F342" i="17"/>
  <c r="W341" i="17"/>
  <c r="U341" i="17"/>
  <c r="S341" i="17"/>
  <c r="R341" i="17"/>
  <c r="P341" i="17"/>
  <c r="N341" i="17"/>
  <c r="L341" i="17"/>
  <c r="J341" i="17"/>
  <c r="H341" i="17"/>
  <c r="F341" i="17"/>
  <c r="W340" i="17"/>
  <c r="U340" i="17"/>
  <c r="S340" i="17"/>
  <c r="R340" i="17"/>
  <c r="P340" i="17"/>
  <c r="N340" i="17"/>
  <c r="L340" i="17"/>
  <c r="J340" i="17"/>
  <c r="H340" i="17"/>
  <c r="F340" i="17"/>
  <c r="W339" i="17"/>
  <c r="U339" i="17"/>
  <c r="S339" i="17"/>
  <c r="R339" i="17"/>
  <c r="P339" i="17"/>
  <c r="N339" i="17"/>
  <c r="L339" i="17"/>
  <c r="J339" i="17"/>
  <c r="H339" i="17"/>
  <c r="F339" i="17"/>
  <c r="W338" i="17"/>
  <c r="U338" i="17"/>
  <c r="S338" i="17"/>
  <c r="R338" i="17"/>
  <c r="P338" i="17"/>
  <c r="N338" i="17"/>
  <c r="L338" i="17"/>
  <c r="J338" i="17"/>
  <c r="H338" i="17"/>
  <c r="F338" i="17"/>
  <c r="W337" i="17"/>
  <c r="U337" i="17"/>
  <c r="S337" i="17"/>
  <c r="R337" i="17"/>
  <c r="P337" i="17"/>
  <c r="N337" i="17"/>
  <c r="L337" i="17"/>
  <c r="J337" i="17"/>
  <c r="H337" i="17"/>
  <c r="F337" i="17"/>
  <c r="W336" i="17"/>
  <c r="U336" i="17"/>
  <c r="S336" i="17"/>
  <c r="R336" i="17"/>
  <c r="P336" i="17"/>
  <c r="N336" i="17"/>
  <c r="L336" i="17"/>
  <c r="J336" i="17"/>
  <c r="H336" i="17"/>
  <c r="F336" i="17"/>
  <c r="W335" i="17"/>
  <c r="U335" i="17"/>
  <c r="S335" i="17"/>
  <c r="R335" i="17"/>
  <c r="P335" i="17"/>
  <c r="N335" i="17"/>
  <c r="L335" i="17"/>
  <c r="J335" i="17"/>
  <c r="H335" i="17"/>
  <c r="F335" i="17"/>
  <c r="W334" i="17"/>
  <c r="U334" i="17"/>
  <c r="S334" i="17"/>
  <c r="R334" i="17"/>
  <c r="P334" i="17"/>
  <c r="N334" i="17"/>
  <c r="L334" i="17"/>
  <c r="J334" i="17"/>
  <c r="H334" i="17"/>
  <c r="F334" i="17"/>
  <c r="W333" i="17"/>
  <c r="U333" i="17"/>
  <c r="S333" i="17"/>
  <c r="R333" i="17"/>
  <c r="P333" i="17"/>
  <c r="N333" i="17"/>
  <c r="L333" i="17"/>
  <c r="J333" i="17"/>
  <c r="H333" i="17"/>
  <c r="F333" i="17"/>
  <c r="W332" i="17"/>
  <c r="U332" i="17"/>
  <c r="S332" i="17"/>
  <c r="R332" i="17"/>
  <c r="P332" i="17"/>
  <c r="N332" i="17"/>
  <c r="L332" i="17"/>
  <c r="J332" i="17"/>
  <c r="H332" i="17"/>
  <c r="F332" i="17"/>
  <c r="W331" i="17"/>
  <c r="U331" i="17"/>
  <c r="S331" i="17"/>
  <c r="R331" i="17"/>
  <c r="P331" i="17"/>
  <c r="N331" i="17"/>
  <c r="L331" i="17"/>
  <c r="J331" i="17"/>
  <c r="H331" i="17"/>
  <c r="F331" i="17"/>
  <c r="W330" i="17"/>
  <c r="U330" i="17"/>
  <c r="S330" i="17"/>
  <c r="R330" i="17"/>
  <c r="P330" i="17"/>
  <c r="N330" i="17"/>
  <c r="L330" i="17"/>
  <c r="J330" i="17"/>
  <c r="H330" i="17"/>
  <c r="F330" i="17"/>
  <c r="W329" i="17"/>
  <c r="U329" i="17"/>
  <c r="S329" i="17"/>
  <c r="R329" i="17"/>
  <c r="P329" i="17"/>
  <c r="N329" i="17"/>
  <c r="L329" i="17"/>
  <c r="J329" i="17"/>
  <c r="H329" i="17"/>
  <c r="F329" i="17"/>
  <c r="W328" i="17"/>
  <c r="U328" i="17"/>
  <c r="S328" i="17"/>
  <c r="R328" i="17"/>
  <c r="P328" i="17"/>
  <c r="N328" i="17"/>
  <c r="L328" i="17"/>
  <c r="J328" i="17"/>
  <c r="H328" i="17"/>
  <c r="F328" i="17"/>
  <c r="W327" i="17"/>
  <c r="U327" i="17"/>
  <c r="S327" i="17"/>
  <c r="R327" i="17"/>
  <c r="P327" i="17"/>
  <c r="N327" i="17"/>
  <c r="L327" i="17"/>
  <c r="J327" i="17"/>
  <c r="H327" i="17"/>
  <c r="F327" i="17"/>
  <c r="W326" i="17"/>
  <c r="U326" i="17"/>
  <c r="S326" i="17"/>
  <c r="R326" i="17"/>
  <c r="P326" i="17"/>
  <c r="N326" i="17"/>
  <c r="L326" i="17"/>
  <c r="J326" i="17"/>
  <c r="H326" i="17"/>
  <c r="F326" i="17"/>
  <c r="W325" i="17"/>
  <c r="U325" i="17"/>
  <c r="S325" i="17"/>
  <c r="R325" i="17"/>
  <c r="P325" i="17"/>
  <c r="N325" i="17"/>
  <c r="L325" i="17"/>
  <c r="J325" i="17"/>
  <c r="H325" i="17"/>
  <c r="F325" i="17"/>
  <c r="W324" i="17"/>
  <c r="U324" i="17"/>
  <c r="S324" i="17"/>
  <c r="R324" i="17"/>
  <c r="P324" i="17"/>
  <c r="N324" i="17"/>
  <c r="L324" i="17"/>
  <c r="J324" i="17"/>
  <c r="H324" i="17"/>
  <c r="F324" i="17"/>
  <c r="W323" i="17"/>
  <c r="U323" i="17"/>
  <c r="S323" i="17"/>
  <c r="R323" i="17"/>
  <c r="P323" i="17"/>
  <c r="N323" i="17"/>
  <c r="L323" i="17"/>
  <c r="J323" i="17"/>
  <c r="H323" i="17"/>
  <c r="F323" i="17"/>
  <c r="W322" i="17"/>
  <c r="U322" i="17"/>
  <c r="S322" i="17"/>
  <c r="R322" i="17"/>
  <c r="P322" i="17"/>
  <c r="N322" i="17"/>
  <c r="L322" i="17"/>
  <c r="J322" i="17"/>
  <c r="H322" i="17"/>
  <c r="F322" i="17"/>
  <c r="W321" i="17"/>
  <c r="U321" i="17"/>
  <c r="S321" i="17"/>
  <c r="R321" i="17"/>
  <c r="P321" i="17"/>
  <c r="N321" i="17"/>
  <c r="L321" i="17"/>
  <c r="J321" i="17"/>
  <c r="H321" i="17"/>
  <c r="F321" i="17"/>
  <c r="W320" i="17"/>
  <c r="U320" i="17"/>
  <c r="S320" i="17"/>
  <c r="R320" i="17"/>
  <c r="P320" i="17"/>
  <c r="N320" i="17"/>
  <c r="L320" i="17"/>
  <c r="J320" i="17"/>
  <c r="H320" i="17"/>
  <c r="F320" i="17"/>
  <c r="W319" i="17"/>
  <c r="U319" i="17"/>
  <c r="S319" i="17"/>
  <c r="R319" i="17"/>
  <c r="P319" i="17"/>
  <c r="N319" i="17"/>
  <c r="L319" i="17"/>
  <c r="J319" i="17"/>
  <c r="H319" i="17"/>
  <c r="F319" i="17"/>
  <c r="W318" i="17"/>
  <c r="U318" i="17"/>
  <c r="S318" i="17"/>
  <c r="R318" i="17"/>
  <c r="P318" i="17"/>
  <c r="N318" i="17"/>
  <c r="L318" i="17"/>
  <c r="J318" i="17"/>
  <c r="H318" i="17"/>
  <c r="F318" i="17"/>
  <c r="W317" i="17"/>
  <c r="U317" i="17"/>
  <c r="S317" i="17"/>
  <c r="R317" i="17"/>
  <c r="P317" i="17"/>
  <c r="N317" i="17"/>
  <c r="L317" i="17"/>
  <c r="J317" i="17"/>
  <c r="H317" i="17"/>
  <c r="F317" i="17"/>
  <c r="W316" i="17"/>
  <c r="U316" i="17"/>
  <c r="S316" i="17"/>
  <c r="R316" i="17"/>
  <c r="P316" i="17"/>
  <c r="N316" i="17"/>
  <c r="L316" i="17"/>
  <c r="J316" i="17"/>
  <c r="H316" i="17"/>
  <c r="F316" i="17"/>
  <c r="W315" i="17"/>
  <c r="U315" i="17"/>
  <c r="S315" i="17"/>
  <c r="R315" i="17"/>
  <c r="P315" i="17"/>
  <c r="N315" i="17"/>
  <c r="L315" i="17"/>
  <c r="J315" i="17"/>
  <c r="H315" i="17"/>
  <c r="F315" i="17"/>
  <c r="W314" i="17"/>
  <c r="U314" i="17"/>
  <c r="S314" i="17"/>
  <c r="R314" i="17"/>
  <c r="P314" i="17"/>
  <c r="N314" i="17"/>
  <c r="L314" i="17"/>
  <c r="J314" i="17"/>
  <c r="H314" i="17"/>
  <c r="F314" i="17"/>
  <c r="W313" i="17"/>
  <c r="U313" i="17"/>
  <c r="S313" i="17"/>
  <c r="R313" i="17"/>
  <c r="P313" i="17"/>
  <c r="N313" i="17"/>
  <c r="L313" i="17"/>
  <c r="J313" i="17"/>
  <c r="H313" i="17"/>
  <c r="F313" i="17"/>
  <c r="W312" i="17"/>
  <c r="U312" i="17"/>
  <c r="S312" i="17"/>
  <c r="R312" i="17"/>
  <c r="P312" i="17"/>
  <c r="N312" i="17"/>
  <c r="L312" i="17"/>
  <c r="J312" i="17"/>
  <c r="H312" i="17"/>
  <c r="F312" i="17"/>
  <c r="W311" i="17"/>
  <c r="U311" i="17"/>
  <c r="S311" i="17"/>
  <c r="R311" i="17"/>
  <c r="P311" i="17"/>
  <c r="N311" i="17"/>
  <c r="L311" i="17"/>
  <c r="J311" i="17"/>
  <c r="H311" i="17"/>
  <c r="F311" i="17"/>
  <c r="W310" i="17"/>
  <c r="U310" i="17"/>
  <c r="S310" i="17"/>
  <c r="R310" i="17"/>
  <c r="P310" i="17"/>
  <c r="N310" i="17"/>
  <c r="L310" i="17"/>
  <c r="J310" i="17"/>
  <c r="H310" i="17"/>
  <c r="F310" i="17"/>
  <c r="W309" i="17"/>
  <c r="U309" i="17"/>
  <c r="S309" i="17"/>
  <c r="R309" i="17"/>
  <c r="P309" i="17"/>
  <c r="N309" i="17"/>
  <c r="L309" i="17"/>
  <c r="J309" i="17"/>
  <c r="H309" i="17"/>
  <c r="F309" i="17"/>
  <c r="W308" i="17"/>
  <c r="U308" i="17"/>
  <c r="S308" i="17"/>
  <c r="R308" i="17"/>
  <c r="P308" i="17"/>
  <c r="N308" i="17"/>
  <c r="L308" i="17"/>
  <c r="J308" i="17"/>
  <c r="H308" i="17"/>
  <c r="F308" i="17"/>
  <c r="W307" i="17"/>
  <c r="U307" i="17"/>
  <c r="S307" i="17"/>
  <c r="R307" i="17"/>
  <c r="P307" i="17"/>
  <c r="N307" i="17"/>
  <c r="L307" i="17"/>
  <c r="J307" i="17"/>
  <c r="H307" i="17"/>
  <c r="F307" i="17"/>
  <c r="W306" i="17"/>
  <c r="U306" i="17"/>
  <c r="S306" i="17"/>
  <c r="R306" i="17"/>
  <c r="P306" i="17"/>
  <c r="N306" i="17"/>
  <c r="L306" i="17"/>
  <c r="J306" i="17"/>
  <c r="H306" i="17"/>
  <c r="F306" i="17"/>
  <c r="W305" i="17"/>
  <c r="U305" i="17"/>
  <c r="S305" i="17"/>
  <c r="R305" i="17"/>
  <c r="P305" i="17"/>
  <c r="N305" i="17"/>
  <c r="L305" i="17"/>
  <c r="J305" i="17"/>
  <c r="H305" i="17"/>
  <c r="F305" i="17"/>
  <c r="W304" i="17"/>
  <c r="U304" i="17"/>
  <c r="S304" i="17"/>
  <c r="R304" i="17"/>
  <c r="P304" i="17"/>
  <c r="N304" i="17"/>
  <c r="L304" i="17"/>
  <c r="J304" i="17"/>
  <c r="H304" i="17"/>
  <c r="F304" i="17"/>
  <c r="W303" i="17"/>
  <c r="U303" i="17"/>
  <c r="S303" i="17"/>
  <c r="R303" i="17"/>
  <c r="P303" i="17"/>
  <c r="N303" i="17"/>
  <c r="L303" i="17"/>
  <c r="J303" i="17"/>
  <c r="H303" i="17"/>
  <c r="F303" i="17"/>
  <c r="W302" i="17"/>
  <c r="U302" i="17"/>
  <c r="S302" i="17"/>
  <c r="R302" i="17"/>
  <c r="P302" i="17"/>
  <c r="N302" i="17"/>
  <c r="L302" i="17"/>
  <c r="J302" i="17"/>
  <c r="H302" i="17"/>
  <c r="F302" i="17"/>
  <c r="W301" i="17"/>
  <c r="U301" i="17"/>
  <c r="S301" i="17"/>
  <c r="R301" i="17"/>
  <c r="P301" i="17"/>
  <c r="N301" i="17"/>
  <c r="L301" i="17"/>
  <c r="J301" i="17"/>
  <c r="H301" i="17"/>
  <c r="F301" i="17"/>
  <c r="W300" i="17"/>
  <c r="U300" i="17"/>
  <c r="S300" i="17"/>
  <c r="R300" i="17"/>
  <c r="P300" i="17"/>
  <c r="N300" i="17"/>
  <c r="L300" i="17"/>
  <c r="J300" i="17"/>
  <c r="H300" i="17"/>
  <c r="F300" i="17"/>
  <c r="W299" i="17"/>
  <c r="U299" i="17"/>
  <c r="S299" i="17"/>
  <c r="R299" i="17"/>
  <c r="P299" i="17"/>
  <c r="N299" i="17"/>
  <c r="L299" i="17"/>
  <c r="J299" i="17"/>
  <c r="H299" i="17"/>
  <c r="F299" i="17"/>
  <c r="W298" i="17"/>
  <c r="U298" i="17"/>
  <c r="S298" i="17"/>
  <c r="R298" i="17"/>
  <c r="P298" i="17"/>
  <c r="N298" i="17"/>
  <c r="L298" i="17"/>
  <c r="J298" i="17"/>
  <c r="H298" i="17"/>
  <c r="F298" i="17"/>
  <c r="W297" i="17"/>
  <c r="U297" i="17"/>
  <c r="S297" i="17"/>
  <c r="R297" i="17"/>
  <c r="P297" i="17"/>
  <c r="N297" i="17"/>
  <c r="L297" i="17"/>
  <c r="J297" i="17"/>
  <c r="H297" i="17"/>
  <c r="F297" i="17"/>
  <c r="W296" i="17"/>
  <c r="U296" i="17"/>
  <c r="S296" i="17"/>
  <c r="R296" i="17"/>
  <c r="P296" i="17"/>
  <c r="N296" i="17"/>
  <c r="L296" i="17"/>
  <c r="J296" i="17"/>
  <c r="H296" i="17"/>
  <c r="F296" i="17"/>
  <c r="W295" i="17"/>
  <c r="U295" i="17"/>
  <c r="S295" i="17"/>
  <c r="R295" i="17"/>
  <c r="P295" i="17"/>
  <c r="N295" i="17"/>
  <c r="L295" i="17"/>
  <c r="J295" i="17"/>
  <c r="H295" i="17"/>
  <c r="F295" i="17"/>
  <c r="W294" i="17"/>
  <c r="U294" i="17"/>
  <c r="S294" i="17"/>
  <c r="R294" i="17"/>
  <c r="P294" i="17"/>
  <c r="N294" i="17"/>
  <c r="L294" i="17"/>
  <c r="J294" i="17"/>
  <c r="H294" i="17"/>
  <c r="F294" i="17"/>
  <c r="W293" i="17"/>
  <c r="U293" i="17"/>
  <c r="S293" i="17"/>
  <c r="R293" i="17"/>
  <c r="P293" i="17"/>
  <c r="N293" i="17"/>
  <c r="L293" i="17"/>
  <c r="J293" i="17"/>
  <c r="H293" i="17"/>
  <c r="F293" i="17"/>
  <c r="W292" i="17"/>
  <c r="U292" i="17"/>
  <c r="S292" i="17"/>
  <c r="R292" i="17"/>
  <c r="P292" i="17"/>
  <c r="N292" i="17"/>
  <c r="L292" i="17"/>
  <c r="J292" i="17"/>
  <c r="H292" i="17"/>
  <c r="F292" i="17"/>
  <c r="W291" i="17"/>
  <c r="U291" i="17"/>
  <c r="S291" i="17"/>
  <c r="R291" i="17"/>
  <c r="P291" i="17"/>
  <c r="N291" i="17"/>
  <c r="L291" i="17"/>
  <c r="J291" i="17"/>
  <c r="H291" i="17"/>
  <c r="F291" i="17"/>
  <c r="W290" i="17"/>
  <c r="U290" i="17"/>
  <c r="S290" i="17"/>
  <c r="R290" i="17"/>
  <c r="P290" i="17"/>
  <c r="N290" i="17"/>
  <c r="L290" i="17"/>
  <c r="J290" i="17"/>
  <c r="H290" i="17"/>
  <c r="F290" i="17"/>
  <c r="W289" i="17"/>
  <c r="U289" i="17"/>
  <c r="S289" i="17"/>
  <c r="R289" i="17"/>
  <c r="P289" i="17"/>
  <c r="N289" i="17"/>
  <c r="L289" i="17"/>
  <c r="J289" i="17"/>
  <c r="H289" i="17"/>
  <c r="F289" i="17"/>
  <c r="W288" i="17"/>
  <c r="U288" i="17"/>
  <c r="S288" i="17"/>
  <c r="R288" i="17"/>
  <c r="P288" i="17"/>
  <c r="N288" i="17"/>
  <c r="L288" i="17"/>
  <c r="J288" i="17"/>
  <c r="H288" i="17"/>
  <c r="F288" i="17"/>
  <c r="W287" i="17"/>
  <c r="U287" i="17"/>
  <c r="S287" i="17"/>
  <c r="R287" i="17"/>
  <c r="P287" i="17"/>
  <c r="N287" i="17"/>
  <c r="L287" i="17"/>
  <c r="J287" i="17"/>
  <c r="H287" i="17"/>
  <c r="F287" i="17"/>
  <c r="W286" i="17"/>
  <c r="U286" i="17"/>
  <c r="S286" i="17"/>
  <c r="R286" i="17"/>
  <c r="P286" i="17"/>
  <c r="N286" i="17"/>
  <c r="L286" i="17"/>
  <c r="J286" i="17"/>
  <c r="H286" i="17"/>
  <c r="F286" i="17"/>
  <c r="W285" i="17"/>
  <c r="U285" i="17"/>
  <c r="S285" i="17"/>
  <c r="R285" i="17"/>
  <c r="P285" i="17"/>
  <c r="N285" i="17"/>
  <c r="L285" i="17"/>
  <c r="J285" i="17"/>
  <c r="H285" i="17"/>
  <c r="F285" i="17"/>
  <c r="W284" i="17"/>
  <c r="U284" i="17"/>
  <c r="S284" i="17"/>
  <c r="R284" i="17"/>
  <c r="P284" i="17"/>
  <c r="N284" i="17"/>
  <c r="L284" i="17"/>
  <c r="J284" i="17"/>
  <c r="H284" i="17"/>
  <c r="F284" i="17"/>
  <c r="W283" i="17"/>
  <c r="U283" i="17"/>
  <c r="S283" i="17"/>
  <c r="R283" i="17"/>
  <c r="P283" i="17"/>
  <c r="N283" i="17"/>
  <c r="L283" i="17"/>
  <c r="J283" i="17"/>
  <c r="H283" i="17"/>
  <c r="F283" i="17"/>
  <c r="W282" i="17"/>
  <c r="U282" i="17"/>
  <c r="S282" i="17"/>
  <c r="R282" i="17"/>
  <c r="P282" i="17"/>
  <c r="N282" i="17"/>
  <c r="L282" i="17"/>
  <c r="J282" i="17"/>
  <c r="H282" i="17"/>
  <c r="F282" i="17"/>
  <c r="W281" i="17"/>
  <c r="U281" i="17"/>
  <c r="S281" i="17"/>
  <c r="R281" i="17"/>
  <c r="P281" i="17"/>
  <c r="N281" i="17"/>
  <c r="L281" i="17"/>
  <c r="J281" i="17"/>
  <c r="H281" i="17"/>
  <c r="F281" i="17"/>
  <c r="W280" i="17"/>
  <c r="U280" i="17"/>
  <c r="S280" i="17"/>
  <c r="R280" i="17"/>
  <c r="P280" i="17"/>
  <c r="N280" i="17"/>
  <c r="L280" i="17"/>
  <c r="J280" i="17"/>
  <c r="H280" i="17"/>
  <c r="F280" i="17"/>
  <c r="W279" i="17"/>
  <c r="U279" i="17"/>
  <c r="S279" i="17"/>
  <c r="R279" i="17"/>
  <c r="P279" i="17"/>
  <c r="N279" i="17"/>
  <c r="L279" i="17"/>
  <c r="J279" i="17"/>
  <c r="H279" i="17"/>
  <c r="F279" i="17"/>
  <c r="W278" i="17"/>
  <c r="U278" i="17"/>
  <c r="S278" i="17"/>
  <c r="R278" i="17"/>
  <c r="P278" i="17"/>
  <c r="N278" i="17"/>
  <c r="L278" i="17"/>
  <c r="J278" i="17"/>
  <c r="H278" i="17"/>
  <c r="F278" i="17"/>
  <c r="W277" i="17"/>
  <c r="U277" i="17"/>
  <c r="S277" i="17"/>
  <c r="R277" i="17"/>
  <c r="P277" i="17"/>
  <c r="N277" i="17"/>
  <c r="L277" i="17"/>
  <c r="J277" i="17"/>
  <c r="H277" i="17"/>
  <c r="F277" i="17"/>
  <c r="W276" i="17"/>
  <c r="U276" i="17"/>
  <c r="S276" i="17"/>
  <c r="R276" i="17"/>
  <c r="P276" i="17"/>
  <c r="N276" i="17"/>
  <c r="L276" i="17"/>
  <c r="J276" i="17"/>
  <c r="H276" i="17"/>
  <c r="F276" i="17"/>
  <c r="W275" i="17"/>
  <c r="U275" i="17"/>
  <c r="S275" i="17"/>
  <c r="R275" i="17"/>
  <c r="P275" i="17"/>
  <c r="N275" i="17"/>
  <c r="L275" i="17"/>
  <c r="J275" i="17"/>
  <c r="H275" i="17"/>
  <c r="F275" i="17"/>
  <c r="W274" i="17"/>
  <c r="U274" i="17"/>
  <c r="S274" i="17"/>
  <c r="R274" i="17"/>
  <c r="P274" i="17"/>
  <c r="N274" i="17"/>
  <c r="L274" i="17"/>
  <c r="J274" i="17"/>
  <c r="H274" i="17"/>
  <c r="F274" i="17"/>
  <c r="W273" i="17"/>
  <c r="U273" i="17"/>
  <c r="S273" i="17"/>
  <c r="R273" i="17"/>
  <c r="P273" i="17"/>
  <c r="N273" i="17"/>
  <c r="L273" i="17"/>
  <c r="J273" i="17"/>
  <c r="H273" i="17"/>
  <c r="F273" i="17"/>
  <c r="W272" i="17"/>
  <c r="U272" i="17"/>
  <c r="S272" i="17"/>
  <c r="R272" i="17"/>
  <c r="P272" i="17"/>
  <c r="N272" i="17"/>
  <c r="L272" i="17"/>
  <c r="J272" i="17"/>
  <c r="H272" i="17"/>
  <c r="F272" i="17"/>
  <c r="W271" i="17"/>
  <c r="U271" i="17"/>
  <c r="S271" i="17"/>
  <c r="R271" i="17"/>
  <c r="P271" i="17"/>
  <c r="N271" i="17"/>
  <c r="L271" i="17"/>
  <c r="J271" i="17"/>
  <c r="H271" i="17"/>
  <c r="F271" i="17"/>
  <c r="W270" i="17"/>
  <c r="U270" i="17"/>
  <c r="S270" i="17"/>
  <c r="R270" i="17"/>
  <c r="P270" i="17"/>
  <c r="N270" i="17"/>
  <c r="L270" i="17"/>
  <c r="J270" i="17"/>
  <c r="H270" i="17"/>
  <c r="F270" i="17"/>
  <c r="W269" i="17"/>
  <c r="U269" i="17"/>
  <c r="S269" i="17"/>
  <c r="R269" i="17"/>
  <c r="P269" i="17"/>
  <c r="N269" i="17"/>
  <c r="L269" i="17"/>
  <c r="J269" i="17"/>
  <c r="H269" i="17"/>
  <c r="F269" i="17"/>
  <c r="W268" i="17"/>
  <c r="U268" i="17"/>
  <c r="S268" i="17"/>
  <c r="R268" i="17"/>
  <c r="P268" i="17"/>
  <c r="N268" i="17"/>
  <c r="L268" i="17"/>
  <c r="J268" i="17"/>
  <c r="H268" i="17"/>
  <c r="F268" i="17"/>
  <c r="W267" i="17"/>
  <c r="U267" i="17"/>
  <c r="S267" i="17"/>
  <c r="R267" i="17"/>
  <c r="P267" i="17"/>
  <c r="N267" i="17"/>
  <c r="L267" i="17"/>
  <c r="J267" i="17"/>
  <c r="H267" i="17"/>
  <c r="F267" i="17"/>
  <c r="W266" i="17"/>
  <c r="U266" i="17"/>
  <c r="S266" i="17"/>
  <c r="R266" i="17"/>
  <c r="P266" i="17"/>
  <c r="N266" i="17"/>
  <c r="L266" i="17"/>
  <c r="J266" i="17"/>
  <c r="H266" i="17"/>
  <c r="F266" i="17"/>
  <c r="W265" i="17"/>
  <c r="U265" i="17"/>
  <c r="S265" i="17"/>
  <c r="R265" i="17"/>
  <c r="P265" i="17"/>
  <c r="N265" i="17"/>
  <c r="L265" i="17"/>
  <c r="J265" i="17"/>
  <c r="H265" i="17"/>
  <c r="F265" i="17"/>
  <c r="W264" i="17"/>
  <c r="U264" i="17"/>
  <c r="S264" i="17"/>
  <c r="R264" i="17"/>
  <c r="P264" i="17"/>
  <c r="N264" i="17"/>
  <c r="L264" i="17"/>
  <c r="J264" i="17"/>
  <c r="H264" i="17"/>
  <c r="F264" i="17"/>
  <c r="W263" i="17"/>
  <c r="U263" i="17"/>
  <c r="S263" i="17"/>
  <c r="R263" i="17"/>
  <c r="P263" i="17"/>
  <c r="N263" i="17"/>
  <c r="L263" i="17"/>
  <c r="J263" i="17"/>
  <c r="H263" i="17"/>
  <c r="F263" i="17"/>
  <c r="W262" i="17"/>
  <c r="U262" i="17"/>
  <c r="S262" i="17"/>
  <c r="R262" i="17"/>
  <c r="P262" i="17"/>
  <c r="N262" i="17"/>
  <c r="L262" i="17"/>
  <c r="J262" i="17"/>
  <c r="H262" i="17"/>
  <c r="F262" i="17"/>
  <c r="W261" i="17"/>
  <c r="U261" i="17"/>
  <c r="S261" i="17"/>
  <c r="R261" i="17"/>
  <c r="P261" i="17"/>
  <c r="N261" i="17"/>
  <c r="L261" i="17"/>
  <c r="J261" i="17"/>
  <c r="H261" i="17"/>
  <c r="F261" i="17"/>
  <c r="W260" i="17"/>
  <c r="U260" i="17"/>
  <c r="S260" i="17"/>
  <c r="R260" i="17"/>
  <c r="P260" i="17"/>
  <c r="N260" i="17"/>
  <c r="L260" i="17"/>
  <c r="J260" i="17"/>
  <c r="H260" i="17"/>
  <c r="F260" i="17"/>
  <c r="W259" i="17"/>
  <c r="U259" i="17"/>
  <c r="S259" i="17"/>
  <c r="R259" i="17"/>
  <c r="P259" i="17"/>
  <c r="N259" i="17"/>
  <c r="L259" i="17"/>
  <c r="J259" i="17"/>
  <c r="H259" i="17"/>
  <c r="F259" i="17"/>
  <c r="W258" i="17"/>
  <c r="U258" i="17"/>
  <c r="S258" i="17"/>
  <c r="R258" i="17"/>
  <c r="P258" i="17"/>
  <c r="N258" i="17"/>
  <c r="L258" i="17"/>
  <c r="J258" i="17"/>
  <c r="H258" i="17"/>
  <c r="F258" i="17"/>
  <c r="W257" i="17"/>
  <c r="U257" i="17"/>
  <c r="S257" i="17"/>
  <c r="R257" i="17"/>
  <c r="P257" i="17"/>
  <c r="N257" i="17"/>
  <c r="L257" i="17"/>
  <c r="J257" i="17"/>
  <c r="H257" i="17"/>
  <c r="F257" i="17"/>
  <c r="W256" i="17"/>
  <c r="U256" i="17"/>
  <c r="S256" i="17"/>
  <c r="R256" i="17"/>
  <c r="P256" i="17"/>
  <c r="N256" i="17"/>
  <c r="L256" i="17"/>
  <c r="J256" i="17"/>
  <c r="H256" i="17"/>
  <c r="F256" i="17"/>
  <c r="W255" i="17"/>
  <c r="U255" i="17"/>
  <c r="S255" i="17"/>
  <c r="R255" i="17"/>
  <c r="P255" i="17"/>
  <c r="N255" i="17"/>
  <c r="L255" i="17"/>
  <c r="J255" i="17"/>
  <c r="H255" i="17"/>
  <c r="F255" i="17"/>
  <c r="W254" i="17"/>
  <c r="U254" i="17"/>
  <c r="S254" i="17"/>
  <c r="R254" i="17"/>
  <c r="P254" i="17"/>
  <c r="N254" i="17"/>
  <c r="L254" i="17"/>
  <c r="J254" i="17"/>
  <c r="H254" i="17"/>
  <c r="F254" i="17"/>
  <c r="W253" i="17"/>
  <c r="U253" i="17"/>
  <c r="S253" i="17"/>
  <c r="R253" i="17"/>
  <c r="P253" i="17"/>
  <c r="N253" i="17"/>
  <c r="L253" i="17"/>
  <c r="J253" i="17"/>
  <c r="H253" i="17"/>
  <c r="F253" i="17"/>
  <c r="W252" i="17"/>
  <c r="U252" i="17"/>
  <c r="S252" i="17"/>
  <c r="R252" i="17"/>
  <c r="P252" i="17"/>
  <c r="N252" i="17"/>
  <c r="L252" i="17"/>
  <c r="J252" i="17"/>
  <c r="H252" i="17"/>
  <c r="F252" i="17"/>
  <c r="W251" i="17"/>
  <c r="U251" i="17"/>
  <c r="S251" i="17"/>
  <c r="R251" i="17"/>
  <c r="P251" i="17"/>
  <c r="N251" i="17"/>
  <c r="L251" i="17"/>
  <c r="J251" i="17"/>
  <c r="H251" i="17"/>
  <c r="F251" i="17"/>
  <c r="W250" i="17"/>
  <c r="U250" i="17"/>
  <c r="S250" i="17"/>
  <c r="R250" i="17"/>
  <c r="P250" i="17"/>
  <c r="N250" i="17"/>
  <c r="L250" i="17"/>
  <c r="J250" i="17"/>
  <c r="H250" i="17"/>
  <c r="F250" i="17"/>
  <c r="W249" i="17"/>
  <c r="U249" i="17"/>
  <c r="S249" i="17"/>
  <c r="R249" i="17"/>
  <c r="P249" i="17"/>
  <c r="N249" i="17"/>
  <c r="L249" i="17"/>
  <c r="J249" i="17"/>
  <c r="H249" i="17"/>
  <c r="F249" i="17"/>
  <c r="W248" i="17"/>
  <c r="U248" i="17"/>
  <c r="S248" i="17"/>
  <c r="R248" i="17"/>
  <c r="P248" i="17"/>
  <c r="N248" i="17"/>
  <c r="L248" i="17"/>
  <c r="J248" i="17"/>
  <c r="H248" i="17"/>
  <c r="F248" i="17"/>
  <c r="W247" i="17"/>
  <c r="U247" i="17"/>
  <c r="S247" i="17"/>
  <c r="R247" i="17"/>
  <c r="P247" i="17"/>
  <c r="N247" i="17"/>
  <c r="L247" i="17"/>
  <c r="J247" i="17"/>
  <c r="H247" i="17"/>
  <c r="F247" i="17"/>
  <c r="W246" i="17"/>
  <c r="U246" i="17"/>
  <c r="S246" i="17"/>
  <c r="R246" i="17"/>
  <c r="P246" i="17"/>
  <c r="N246" i="17"/>
  <c r="L246" i="17"/>
  <c r="J246" i="17"/>
  <c r="H246" i="17"/>
  <c r="F246" i="17"/>
  <c r="W245" i="17"/>
  <c r="U245" i="17"/>
  <c r="S245" i="17"/>
  <c r="R245" i="17"/>
  <c r="P245" i="17"/>
  <c r="N245" i="17"/>
  <c r="L245" i="17"/>
  <c r="J245" i="17"/>
  <c r="H245" i="17"/>
  <c r="F245" i="17"/>
  <c r="W244" i="17"/>
  <c r="U244" i="17"/>
  <c r="S244" i="17"/>
  <c r="R244" i="17"/>
  <c r="P244" i="17"/>
  <c r="N244" i="17"/>
  <c r="L244" i="17"/>
  <c r="J244" i="17"/>
  <c r="H244" i="17"/>
  <c r="F244" i="17"/>
  <c r="W243" i="17"/>
  <c r="U243" i="17"/>
  <c r="S243" i="17"/>
  <c r="R243" i="17"/>
  <c r="P243" i="17"/>
  <c r="N243" i="17"/>
  <c r="L243" i="17"/>
  <c r="J243" i="17"/>
  <c r="H243" i="17"/>
  <c r="F243" i="17"/>
  <c r="W242" i="17"/>
  <c r="U242" i="17"/>
  <c r="S242" i="17"/>
  <c r="R242" i="17"/>
  <c r="P242" i="17"/>
  <c r="N242" i="17"/>
  <c r="L242" i="17"/>
  <c r="J242" i="17"/>
  <c r="H242" i="17"/>
  <c r="F242" i="17"/>
  <c r="W241" i="17"/>
  <c r="U241" i="17"/>
  <c r="S241" i="17"/>
  <c r="R241" i="17"/>
  <c r="P241" i="17"/>
  <c r="N241" i="17"/>
  <c r="L241" i="17"/>
  <c r="J241" i="17"/>
  <c r="H241" i="17"/>
  <c r="F241" i="17"/>
  <c r="W240" i="17"/>
  <c r="U240" i="17"/>
  <c r="S240" i="17"/>
  <c r="R240" i="17"/>
  <c r="P240" i="17"/>
  <c r="N240" i="17"/>
  <c r="L240" i="17"/>
  <c r="J240" i="17"/>
  <c r="H240" i="17"/>
  <c r="F240" i="17"/>
  <c r="W239" i="17"/>
  <c r="U239" i="17"/>
  <c r="S239" i="17"/>
  <c r="R239" i="17"/>
  <c r="P239" i="17"/>
  <c r="N239" i="17"/>
  <c r="L239" i="17"/>
  <c r="J239" i="17"/>
  <c r="H239" i="17"/>
  <c r="F239" i="17"/>
  <c r="W238" i="17"/>
  <c r="U238" i="17"/>
  <c r="S238" i="17"/>
  <c r="R238" i="17"/>
  <c r="P238" i="17"/>
  <c r="N238" i="17"/>
  <c r="L238" i="17"/>
  <c r="J238" i="17"/>
  <c r="H238" i="17"/>
  <c r="F238" i="17"/>
  <c r="W237" i="17"/>
  <c r="U237" i="17"/>
  <c r="S237" i="17"/>
  <c r="R237" i="17"/>
  <c r="P237" i="17"/>
  <c r="N237" i="17"/>
  <c r="L237" i="17"/>
  <c r="J237" i="17"/>
  <c r="H237" i="17"/>
  <c r="F237" i="17"/>
  <c r="W236" i="17"/>
  <c r="U236" i="17"/>
  <c r="S236" i="17"/>
  <c r="R236" i="17"/>
  <c r="P236" i="17"/>
  <c r="N236" i="17"/>
  <c r="L236" i="17"/>
  <c r="J236" i="17"/>
  <c r="H236" i="17"/>
  <c r="F236" i="17"/>
  <c r="W235" i="17"/>
  <c r="U235" i="17"/>
  <c r="S235" i="17"/>
  <c r="R235" i="17"/>
  <c r="P235" i="17"/>
  <c r="N235" i="17"/>
  <c r="L235" i="17"/>
  <c r="J235" i="17"/>
  <c r="H235" i="17"/>
  <c r="F235" i="17"/>
  <c r="W234" i="17"/>
  <c r="U234" i="17"/>
  <c r="S234" i="17"/>
  <c r="R234" i="17"/>
  <c r="P234" i="17"/>
  <c r="N234" i="17"/>
  <c r="L234" i="17"/>
  <c r="J234" i="17"/>
  <c r="H234" i="17"/>
  <c r="F234" i="17"/>
  <c r="W233" i="17"/>
  <c r="U233" i="17"/>
  <c r="S233" i="17"/>
  <c r="R233" i="17"/>
  <c r="P233" i="17"/>
  <c r="N233" i="17"/>
  <c r="L233" i="17"/>
  <c r="J233" i="17"/>
  <c r="H233" i="17"/>
  <c r="F233" i="17"/>
  <c r="W232" i="17"/>
  <c r="U232" i="17"/>
  <c r="S232" i="17"/>
  <c r="R232" i="17"/>
  <c r="P232" i="17"/>
  <c r="N232" i="17"/>
  <c r="L232" i="17"/>
  <c r="J232" i="17"/>
  <c r="H232" i="17"/>
  <c r="F232" i="17"/>
  <c r="W231" i="17"/>
  <c r="U231" i="17"/>
  <c r="S231" i="17"/>
  <c r="R231" i="17"/>
  <c r="P231" i="17"/>
  <c r="N231" i="17"/>
  <c r="L231" i="17"/>
  <c r="J231" i="17"/>
  <c r="H231" i="17"/>
  <c r="F231" i="17"/>
  <c r="W230" i="17"/>
  <c r="U230" i="17"/>
  <c r="S230" i="17"/>
  <c r="R230" i="17"/>
  <c r="P230" i="17"/>
  <c r="N230" i="17"/>
  <c r="L230" i="17"/>
  <c r="J230" i="17"/>
  <c r="H230" i="17"/>
  <c r="F230" i="17"/>
  <c r="W229" i="17"/>
  <c r="U229" i="17"/>
  <c r="S229" i="17"/>
  <c r="R229" i="17"/>
  <c r="P229" i="17"/>
  <c r="N229" i="17"/>
  <c r="L229" i="17"/>
  <c r="J229" i="17"/>
  <c r="H229" i="17"/>
  <c r="F229" i="17"/>
  <c r="W228" i="17"/>
  <c r="U228" i="17"/>
  <c r="S228" i="17"/>
  <c r="R228" i="17"/>
  <c r="P228" i="17"/>
  <c r="N228" i="17"/>
  <c r="L228" i="17"/>
  <c r="J228" i="17"/>
  <c r="H228" i="17"/>
  <c r="F228" i="17"/>
  <c r="W227" i="17"/>
  <c r="U227" i="17"/>
  <c r="S227" i="17"/>
  <c r="R227" i="17"/>
  <c r="P227" i="17"/>
  <c r="N227" i="17"/>
  <c r="L227" i="17"/>
  <c r="J227" i="17"/>
  <c r="H227" i="17"/>
  <c r="F227" i="17"/>
  <c r="W226" i="17"/>
  <c r="U226" i="17"/>
  <c r="S226" i="17"/>
  <c r="R226" i="17"/>
  <c r="P226" i="17"/>
  <c r="N226" i="17"/>
  <c r="L226" i="17"/>
  <c r="J226" i="17"/>
  <c r="H226" i="17"/>
  <c r="F226" i="17"/>
  <c r="W225" i="17"/>
  <c r="U225" i="17"/>
  <c r="S225" i="17"/>
  <c r="R225" i="17"/>
  <c r="P225" i="17"/>
  <c r="N225" i="17"/>
  <c r="L225" i="17"/>
  <c r="J225" i="17"/>
  <c r="H225" i="17"/>
  <c r="F225" i="17"/>
  <c r="W224" i="17"/>
  <c r="U224" i="17"/>
  <c r="S224" i="17"/>
  <c r="R224" i="17"/>
  <c r="P224" i="17"/>
  <c r="N224" i="17"/>
  <c r="L224" i="17"/>
  <c r="J224" i="17"/>
  <c r="H224" i="17"/>
  <c r="F224" i="17"/>
  <c r="W223" i="17"/>
  <c r="U223" i="17"/>
  <c r="S223" i="17"/>
  <c r="R223" i="17"/>
  <c r="P223" i="17"/>
  <c r="N223" i="17"/>
  <c r="L223" i="17"/>
  <c r="J223" i="17"/>
  <c r="H223" i="17"/>
  <c r="F223" i="17"/>
  <c r="W222" i="17"/>
  <c r="U222" i="17"/>
  <c r="S222" i="17"/>
  <c r="R222" i="17"/>
  <c r="P222" i="17"/>
  <c r="N222" i="17"/>
  <c r="L222" i="17"/>
  <c r="J222" i="17"/>
  <c r="H222" i="17"/>
  <c r="F222" i="17"/>
  <c r="W221" i="17"/>
  <c r="U221" i="17"/>
  <c r="S221" i="17"/>
  <c r="R221" i="17"/>
  <c r="P221" i="17"/>
  <c r="N221" i="17"/>
  <c r="L221" i="17"/>
  <c r="J221" i="17"/>
  <c r="H221" i="17"/>
  <c r="F221" i="17"/>
  <c r="W220" i="17"/>
  <c r="U220" i="17"/>
  <c r="S220" i="17"/>
  <c r="R220" i="17"/>
  <c r="P220" i="17"/>
  <c r="N220" i="17"/>
  <c r="L220" i="17"/>
  <c r="J220" i="17"/>
  <c r="H220" i="17"/>
  <c r="F220" i="17"/>
  <c r="W219" i="17"/>
  <c r="U219" i="17"/>
  <c r="S219" i="17"/>
  <c r="R219" i="17"/>
  <c r="P219" i="17"/>
  <c r="N219" i="17"/>
  <c r="L219" i="17"/>
  <c r="J219" i="17"/>
  <c r="H219" i="17"/>
  <c r="F219" i="17"/>
  <c r="W218" i="17"/>
  <c r="U218" i="17"/>
  <c r="S218" i="17"/>
  <c r="R218" i="17"/>
  <c r="P218" i="17"/>
  <c r="N218" i="17"/>
  <c r="L218" i="17"/>
  <c r="J218" i="17"/>
  <c r="H218" i="17"/>
  <c r="F218" i="17"/>
  <c r="W217" i="17"/>
  <c r="U217" i="17"/>
  <c r="S217" i="17"/>
  <c r="R217" i="17"/>
  <c r="P217" i="17"/>
  <c r="N217" i="17"/>
  <c r="L217" i="17"/>
  <c r="J217" i="17"/>
  <c r="H217" i="17"/>
  <c r="F217" i="17"/>
  <c r="W216" i="17"/>
  <c r="U216" i="17"/>
  <c r="S216" i="17"/>
  <c r="R216" i="17"/>
  <c r="P216" i="17"/>
  <c r="N216" i="17"/>
  <c r="L216" i="17"/>
  <c r="J216" i="17"/>
  <c r="H216" i="17"/>
  <c r="F216" i="17"/>
  <c r="W215" i="17"/>
  <c r="U215" i="17"/>
  <c r="S215" i="17"/>
  <c r="R215" i="17"/>
  <c r="P215" i="17"/>
  <c r="N215" i="17"/>
  <c r="L215" i="17"/>
  <c r="J215" i="17"/>
  <c r="H215" i="17"/>
  <c r="F215" i="17"/>
  <c r="W214" i="17"/>
  <c r="U214" i="17"/>
  <c r="S214" i="17"/>
  <c r="R214" i="17"/>
  <c r="P214" i="17"/>
  <c r="N214" i="17"/>
  <c r="L214" i="17"/>
  <c r="J214" i="17"/>
  <c r="H214" i="17"/>
  <c r="F214" i="17"/>
  <c r="W213" i="17"/>
  <c r="U213" i="17"/>
  <c r="S213" i="17"/>
  <c r="R213" i="17"/>
  <c r="P213" i="17"/>
  <c r="N213" i="17"/>
  <c r="L213" i="17"/>
  <c r="J213" i="17"/>
  <c r="H213" i="17"/>
  <c r="F213" i="17"/>
  <c r="W212" i="17"/>
  <c r="U212" i="17"/>
  <c r="S212" i="17"/>
  <c r="R212" i="17"/>
  <c r="P212" i="17"/>
  <c r="N212" i="17"/>
  <c r="L212" i="17"/>
  <c r="J212" i="17"/>
  <c r="H212" i="17"/>
  <c r="F212" i="17"/>
  <c r="W211" i="17"/>
  <c r="U211" i="17"/>
  <c r="S211" i="17"/>
  <c r="R211" i="17"/>
  <c r="P211" i="17"/>
  <c r="N211" i="17"/>
  <c r="L211" i="17"/>
  <c r="J211" i="17"/>
  <c r="H211" i="17"/>
  <c r="F211" i="17"/>
  <c r="W210" i="17"/>
  <c r="U210" i="17"/>
  <c r="S210" i="17"/>
  <c r="R210" i="17"/>
  <c r="P210" i="17"/>
  <c r="N210" i="17"/>
  <c r="L210" i="17"/>
  <c r="J210" i="17"/>
  <c r="H210" i="17"/>
  <c r="F210" i="17"/>
  <c r="W209" i="17"/>
  <c r="U209" i="17"/>
  <c r="S209" i="17"/>
  <c r="R209" i="17"/>
  <c r="P209" i="17"/>
  <c r="N209" i="17"/>
  <c r="L209" i="17"/>
  <c r="J209" i="17"/>
  <c r="H209" i="17"/>
  <c r="F209" i="17"/>
  <c r="W208" i="17"/>
  <c r="U208" i="17"/>
  <c r="S208" i="17"/>
  <c r="R208" i="17"/>
  <c r="P208" i="17"/>
  <c r="N208" i="17"/>
  <c r="L208" i="17"/>
  <c r="J208" i="17"/>
  <c r="H208" i="17"/>
  <c r="F208" i="17"/>
  <c r="W207" i="17"/>
  <c r="U207" i="17"/>
  <c r="S207" i="17"/>
  <c r="R207" i="17"/>
  <c r="P207" i="17"/>
  <c r="N207" i="17"/>
  <c r="L207" i="17"/>
  <c r="J207" i="17"/>
  <c r="H207" i="17"/>
  <c r="F207" i="17"/>
  <c r="W206" i="17"/>
  <c r="U206" i="17"/>
  <c r="S206" i="17"/>
  <c r="R206" i="17"/>
  <c r="P206" i="17"/>
  <c r="N206" i="17"/>
  <c r="L206" i="17"/>
  <c r="J206" i="17"/>
  <c r="H206" i="17"/>
  <c r="F206" i="17"/>
  <c r="W205" i="17"/>
  <c r="U205" i="17"/>
  <c r="S205" i="17"/>
  <c r="R205" i="17"/>
  <c r="P205" i="17"/>
  <c r="N205" i="17"/>
  <c r="L205" i="17"/>
  <c r="J205" i="17"/>
  <c r="H205" i="17"/>
  <c r="F205" i="17"/>
  <c r="W204" i="17"/>
  <c r="U204" i="17"/>
  <c r="S204" i="17"/>
  <c r="R204" i="17"/>
  <c r="P204" i="17"/>
  <c r="N204" i="17"/>
  <c r="L204" i="17"/>
  <c r="J204" i="17"/>
  <c r="H204" i="17"/>
  <c r="F204" i="17"/>
  <c r="W203" i="17"/>
  <c r="U203" i="17"/>
  <c r="S203" i="17"/>
  <c r="R203" i="17"/>
  <c r="P203" i="17"/>
  <c r="N203" i="17"/>
  <c r="L203" i="17"/>
  <c r="J203" i="17"/>
  <c r="H203" i="17"/>
  <c r="F203" i="17"/>
  <c r="W202" i="17"/>
  <c r="U202" i="17"/>
  <c r="S202" i="17"/>
  <c r="R202" i="17"/>
  <c r="P202" i="17"/>
  <c r="N202" i="17"/>
  <c r="L202" i="17"/>
  <c r="J202" i="17"/>
  <c r="H202" i="17"/>
  <c r="F202" i="17"/>
  <c r="W201" i="17"/>
  <c r="U201" i="17"/>
  <c r="S201" i="17"/>
  <c r="R201" i="17"/>
  <c r="P201" i="17"/>
  <c r="N201" i="17"/>
  <c r="L201" i="17"/>
  <c r="J201" i="17"/>
  <c r="H201" i="17"/>
  <c r="F201" i="17"/>
  <c r="W200" i="17"/>
  <c r="U200" i="17"/>
  <c r="S200" i="17"/>
  <c r="R200" i="17"/>
  <c r="P200" i="17"/>
  <c r="N200" i="17"/>
  <c r="L200" i="17"/>
  <c r="J200" i="17"/>
  <c r="H200" i="17"/>
  <c r="F200" i="17"/>
  <c r="W199" i="17"/>
  <c r="U199" i="17"/>
  <c r="S199" i="17"/>
  <c r="R199" i="17"/>
  <c r="P199" i="17"/>
  <c r="N199" i="17"/>
  <c r="L199" i="17"/>
  <c r="J199" i="17"/>
  <c r="H199" i="17"/>
  <c r="F199" i="17"/>
  <c r="W198" i="17"/>
  <c r="U198" i="17"/>
  <c r="S198" i="17"/>
  <c r="R198" i="17"/>
  <c r="P198" i="17"/>
  <c r="N198" i="17"/>
  <c r="L198" i="17"/>
  <c r="J198" i="17"/>
  <c r="H198" i="17"/>
  <c r="F198" i="17"/>
  <c r="W197" i="17"/>
  <c r="U197" i="17"/>
  <c r="S197" i="17"/>
  <c r="R197" i="17"/>
  <c r="P197" i="17"/>
  <c r="N197" i="17"/>
  <c r="L197" i="17"/>
  <c r="J197" i="17"/>
  <c r="H197" i="17"/>
  <c r="F197" i="17"/>
  <c r="W196" i="17"/>
  <c r="U196" i="17"/>
  <c r="S196" i="17"/>
  <c r="R196" i="17"/>
  <c r="P196" i="17"/>
  <c r="N196" i="17"/>
  <c r="L196" i="17"/>
  <c r="J196" i="17"/>
  <c r="H196" i="17"/>
  <c r="F196" i="17"/>
  <c r="W195" i="17"/>
  <c r="U195" i="17"/>
  <c r="S195" i="17"/>
  <c r="R195" i="17"/>
  <c r="P195" i="17"/>
  <c r="N195" i="17"/>
  <c r="L195" i="17"/>
  <c r="J195" i="17"/>
  <c r="H195" i="17"/>
  <c r="F195" i="17"/>
  <c r="W194" i="17"/>
  <c r="U194" i="17"/>
  <c r="S194" i="17"/>
  <c r="R194" i="17"/>
  <c r="P194" i="17"/>
  <c r="N194" i="17"/>
  <c r="L194" i="17"/>
  <c r="J194" i="17"/>
  <c r="H194" i="17"/>
  <c r="F194" i="17"/>
  <c r="W193" i="17"/>
  <c r="U193" i="17"/>
  <c r="S193" i="17"/>
  <c r="R193" i="17"/>
  <c r="P193" i="17"/>
  <c r="N193" i="17"/>
  <c r="L193" i="17"/>
  <c r="J193" i="17"/>
  <c r="H193" i="17"/>
  <c r="F193" i="17"/>
  <c r="W192" i="17"/>
  <c r="U192" i="17"/>
  <c r="S192" i="17"/>
  <c r="R192" i="17"/>
  <c r="P192" i="17"/>
  <c r="N192" i="17"/>
  <c r="L192" i="17"/>
  <c r="J192" i="17"/>
  <c r="H192" i="17"/>
  <c r="F192" i="17"/>
  <c r="W191" i="17"/>
  <c r="U191" i="17"/>
  <c r="S191" i="17"/>
  <c r="R191" i="17"/>
  <c r="P191" i="17"/>
  <c r="N191" i="17"/>
  <c r="L191" i="17"/>
  <c r="J191" i="17"/>
  <c r="H191" i="17"/>
  <c r="F191" i="17"/>
  <c r="W190" i="17"/>
  <c r="U190" i="17"/>
  <c r="S190" i="17"/>
  <c r="R190" i="17"/>
  <c r="P190" i="17"/>
  <c r="N190" i="17"/>
  <c r="L190" i="17"/>
  <c r="J190" i="17"/>
  <c r="H190" i="17"/>
  <c r="F190" i="17"/>
  <c r="W189" i="17"/>
  <c r="U189" i="17"/>
  <c r="S189" i="17"/>
  <c r="R189" i="17"/>
  <c r="P189" i="17"/>
  <c r="N189" i="17"/>
  <c r="L189" i="17"/>
  <c r="J189" i="17"/>
  <c r="H189" i="17"/>
  <c r="F189" i="17"/>
  <c r="W188" i="17"/>
  <c r="U188" i="17"/>
  <c r="S188" i="17"/>
  <c r="R188" i="17"/>
  <c r="P188" i="17"/>
  <c r="N188" i="17"/>
  <c r="L188" i="17"/>
  <c r="J188" i="17"/>
  <c r="H188" i="17"/>
  <c r="F188" i="17"/>
  <c r="W187" i="17"/>
  <c r="U187" i="17"/>
  <c r="S187" i="17"/>
  <c r="R187" i="17"/>
  <c r="P187" i="17"/>
  <c r="N187" i="17"/>
  <c r="L187" i="17"/>
  <c r="J187" i="17"/>
  <c r="H187" i="17"/>
  <c r="F187" i="17"/>
  <c r="W186" i="17"/>
  <c r="U186" i="17"/>
  <c r="S186" i="17"/>
  <c r="R186" i="17"/>
  <c r="P186" i="17"/>
  <c r="N186" i="17"/>
  <c r="L186" i="17"/>
  <c r="J186" i="17"/>
  <c r="H186" i="17"/>
  <c r="F186" i="17"/>
  <c r="W185" i="17"/>
  <c r="U185" i="17"/>
  <c r="S185" i="17"/>
  <c r="R185" i="17"/>
  <c r="P185" i="17"/>
  <c r="N185" i="17"/>
  <c r="L185" i="17"/>
  <c r="J185" i="17"/>
  <c r="H185" i="17"/>
  <c r="F185" i="17"/>
  <c r="W184" i="17"/>
  <c r="U184" i="17"/>
  <c r="S184" i="17"/>
  <c r="R184" i="17"/>
  <c r="P184" i="17"/>
  <c r="N184" i="17"/>
  <c r="L184" i="17"/>
  <c r="J184" i="17"/>
  <c r="H184" i="17"/>
  <c r="F184" i="17"/>
  <c r="W183" i="17"/>
  <c r="U183" i="17"/>
  <c r="S183" i="17"/>
  <c r="R183" i="17"/>
  <c r="P183" i="17"/>
  <c r="N183" i="17"/>
  <c r="L183" i="17"/>
  <c r="J183" i="17"/>
  <c r="H183" i="17"/>
  <c r="F183" i="17"/>
  <c r="W182" i="17"/>
  <c r="U182" i="17"/>
  <c r="S182" i="17"/>
  <c r="R182" i="17"/>
  <c r="P182" i="17"/>
  <c r="N182" i="17"/>
  <c r="L182" i="17"/>
  <c r="J182" i="17"/>
  <c r="H182" i="17"/>
  <c r="F182" i="17"/>
  <c r="W181" i="17"/>
  <c r="U181" i="17"/>
  <c r="S181" i="17"/>
  <c r="R181" i="17"/>
  <c r="P181" i="17"/>
  <c r="N181" i="17"/>
  <c r="L181" i="17"/>
  <c r="J181" i="17"/>
  <c r="H181" i="17"/>
  <c r="F181" i="17"/>
  <c r="W180" i="17"/>
  <c r="U180" i="17"/>
  <c r="S180" i="17"/>
  <c r="R180" i="17"/>
  <c r="P180" i="17"/>
  <c r="N180" i="17"/>
  <c r="L180" i="17"/>
  <c r="J180" i="17"/>
  <c r="H180" i="17"/>
  <c r="F180" i="17"/>
  <c r="W179" i="17"/>
  <c r="U179" i="17"/>
  <c r="S179" i="17"/>
  <c r="R179" i="17"/>
  <c r="P179" i="17"/>
  <c r="N179" i="17"/>
  <c r="L179" i="17"/>
  <c r="J179" i="17"/>
  <c r="H179" i="17"/>
  <c r="F179" i="17"/>
  <c r="W178" i="17"/>
  <c r="U178" i="17"/>
  <c r="S178" i="17"/>
  <c r="R178" i="17"/>
  <c r="P178" i="17"/>
  <c r="N178" i="17"/>
  <c r="L178" i="17"/>
  <c r="J178" i="17"/>
  <c r="H178" i="17"/>
  <c r="F178" i="17"/>
  <c r="W177" i="17"/>
  <c r="U177" i="17"/>
  <c r="S177" i="17"/>
  <c r="R177" i="17"/>
  <c r="P177" i="17"/>
  <c r="N177" i="17"/>
  <c r="L177" i="17"/>
  <c r="J177" i="17"/>
  <c r="H177" i="17"/>
  <c r="F177" i="17"/>
  <c r="W176" i="17"/>
  <c r="U176" i="17"/>
  <c r="S176" i="17"/>
  <c r="R176" i="17"/>
  <c r="P176" i="17"/>
  <c r="N176" i="17"/>
  <c r="L176" i="17"/>
  <c r="J176" i="17"/>
  <c r="H176" i="17"/>
  <c r="F176" i="17"/>
  <c r="W175" i="17"/>
  <c r="U175" i="17"/>
  <c r="S175" i="17"/>
  <c r="R175" i="17"/>
  <c r="P175" i="17"/>
  <c r="N175" i="17"/>
  <c r="L175" i="17"/>
  <c r="J175" i="17"/>
  <c r="H175" i="17"/>
  <c r="F175" i="17"/>
  <c r="W174" i="17"/>
  <c r="U174" i="17"/>
  <c r="S174" i="17"/>
  <c r="R174" i="17"/>
  <c r="P174" i="17"/>
  <c r="N174" i="17"/>
  <c r="L174" i="17"/>
  <c r="J174" i="17"/>
  <c r="H174" i="17"/>
  <c r="F174" i="17"/>
  <c r="W173" i="17"/>
  <c r="U173" i="17"/>
  <c r="S173" i="17"/>
  <c r="R173" i="17"/>
  <c r="P173" i="17"/>
  <c r="N173" i="17"/>
  <c r="L173" i="17"/>
  <c r="J173" i="17"/>
  <c r="H173" i="17"/>
  <c r="F173" i="17"/>
  <c r="W172" i="17"/>
  <c r="U172" i="17"/>
  <c r="S172" i="17"/>
  <c r="R172" i="17"/>
  <c r="P172" i="17"/>
  <c r="N172" i="17"/>
  <c r="L172" i="17"/>
  <c r="J172" i="17"/>
  <c r="H172" i="17"/>
  <c r="F172" i="17"/>
  <c r="W171" i="17"/>
  <c r="U171" i="17"/>
  <c r="S171" i="17"/>
  <c r="R171" i="17"/>
  <c r="P171" i="17"/>
  <c r="N171" i="17"/>
  <c r="L171" i="17"/>
  <c r="J171" i="17"/>
  <c r="H171" i="17"/>
  <c r="F171" i="17"/>
  <c r="W170" i="17"/>
  <c r="U170" i="17"/>
  <c r="S170" i="17"/>
  <c r="R170" i="17"/>
  <c r="P170" i="17"/>
  <c r="N170" i="17"/>
  <c r="L170" i="17"/>
  <c r="J170" i="17"/>
  <c r="H170" i="17"/>
  <c r="F170" i="17"/>
  <c r="W169" i="17"/>
  <c r="U169" i="17"/>
  <c r="S169" i="17"/>
  <c r="R169" i="17"/>
  <c r="P169" i="17"/>
  <c r="N169" i="17"/>
  <c r="L169" i="17"/>
  <c r="J169" i="17"/>
  <c r="H169" i="17"/>
  <c r="F169" i="17"/>
  <c r="W168" i="17"/>
  <c r="U168" i="17"/>
  <c r="S168" i="17"/>
  <c r="R168" i="17"/>
  <c r="P168" i="17"/>
  <c r="N168" i="17"/>
  <c r="L168" i="17"/>
  <c r="J168" i="17"/>
  <c r="H168" i="17"/>
  <c r="F168" i="17"/>
  <c r="W167" i="17"/>
  <c r="U167" i="17"/>
  <c r="S167" i="17"/>
  <c r="R167" i="17"/>
  <c r="P167" i="17"/>
  <c r="N167" i="17"/>
  <c r="L167" i="17"/>
  <c r="J167" i="17"/>
  <c r="H167" i="17"/>
  <c r="F167" i="17"/>
  <c r="W166" i="17"/>
  <c r="U166" i="17"/>
  <c r="S166" i="17"/>
  <c r="R166" i="17"/>
  <c r="P166" i="17"/>
  <c r="N166" i="17"/>
  <c r="L166" i="17"/>
  <c r="J166" i="17"/>
  <c r="H166" i="17"/>
  <c r="F166" i="17"/>
  <c r="W165" i="17"/>
  <c r="U165" i="17"/>
  <c r="S165" i="17"/>
  <c r="R165" i="17"/>
  <c r="P165" i="17"/>
  <c r="N165" i="17"/>
  <c r="L165" i="17"/>
  <c r="J165" i="17"/>
  <c r="H165" i="17"/>
  <c r="F165" i="17"/>
  <c r="W164" i="17"/>
  <c r="U164" i="17"/>
  <c r="S164" i="17"/>
  <c r="R164" i="17"/>
  <c r="P164" i="17"/>
  <c r="N164" i="17"/>
  <c r="L164" i="17"/>
  <c r="J164" i="17"/>
  <c r="H164" i="17"/>
  <c r="F164" i="17"/>
  <c r="W163" i="17"/>
  <c r="U163" i="17"/>
  <c r="S163" i="17"/>
  <c r="R163" i="17"/>
  <c r="P163" i="17"/>
  <c r="N163" i="17"/>
  <c r="L163" i="17"/>
  <c r="J163" i="17"/>
  <c r="H163" i="17"/>
  <c r="F163" i="17"/>
  <c r="W162" i="17"/>
  <c r="U162" i="17"/>
  <c r="S162" i="17"/>
  <c r="R162" i="17"/>
  <c r="P162" i="17"/>
  <c r="N162" i="17"/>
  <c r="L162" i="17"/>
  <c r="J162" i="17"/>
  <c r="H162" i="17"/>
  <c r="F162" i="17"/>
  <c r="W161" i="17"/>
  <c r="U161" i="17"/>
  <c r="S161" i="17"/>
  <c r="R161" i="17"/>
  <c r="P161" i="17"/>
  <c r="N161" i="17"/>
  <c r="L161" i="17"/>
  <c r="J161" i="17"/>
  <c r="H161" i="17"/>
  <c r="F161" i="17"/>
  <c r="W160" i="17"/>
  <c r="U160" i="17"/>
  <c r="S160" i="17"/>
  <c r="R160" i="17"/>
  <c r="P160" i="17"/>
  <c r="N160" i="17"/>
  <c r="L160" i="17"/>
  <c r="J160" i="17"/>
  <c r="H160" i="17"/>
  <c r="F160" i="17"/>
  <c r="W159" i="17"/>
  <c r="U159" i="17"/>
  <c r="S159" i="17"/>
  <c r="R159" i="17"/>
  <c r="P159" i="17"/>
  <c r="N159" i="17"/>
  <c r="L159" i="17"/>
  <c r="J159" i="17"/>
  <c r="H159" i="17"/>
  <c r="F159" i="17"/>
  <c r="W158" i="17"/>
  <c r="U158" i="17"/>
  <c r="S158" i="17"/>
  <c r="R158" i="17"/>
  <c r="P158" i="17"/>
  <c r="N158" i="17"/>
  <c r="L158" i="17"/>
  <c r="J158" i="17"/>
  <c r="H158" i="17"/>
  <c r="F158" i="17"/>
  <c r="W157" i="17"/>
  <c r="U157" i="17"/>
  <c r="S157" i="17"/>
  <c r="R157" i="17"/>
  <c r="P157" i="17"/>
  <c r="N157" i="17"/>
  <c r="L157" i="17"/>
  <c r="J157" i="17"/>
  <c r="H157" i="17"/>
  <c r="F157" i="17"/>
  <c r="W156" i="17"/>
  <c r="U156" i="17"/>
  <c r="S156" i="17"/>
  <c r="R156" i="17"/>
  <c r="P156" i="17"/>
  <c r="N156" i="17"/>
  <c r="L156" i="17"/>
  <c r="J156" i="17"/>
  <c r="H156" i="17"/>
  <c r="F156" i="17"/>
  <c r="W155" i="17"/>
  <c r="U155" i="17"/>
  <c r="S155" i="17"/>
  <c r="R155" i="17"/>
  <c r="P155" i="17"/>
  <c r="N155" i="17"/>
  <c r="L155" i="17"/>
  <c r="J155" i="17"/>
  <c r="H155" i="17"/>
  <c r="F155" i="17"/>
  <c r="W154" i="17"/>
  <c r="U154" i="17"/>
  <c r="S154" i="17"/>
  <c r="R154" i="17"/>
  <c r="P154" i="17"/>
  <c r="N154" i="17"/>
  <c r="L154" i="17"/>
  <c r="J154" i="17"/>
  <c r="H154" i="17"/>
  <c r="F154" i="17"/>
  <c r="W153" i="17"/>
  <c r="U153" i="17"/>
  <c r="S153" i="17"/>
  <c r="R153" i="17"/>
  <c r="P153" i="17"/>
  <c r="N153" i="17"/>
  <c r="L153" i="17"/>
  <c r="J153" i="17"/>
  <c r="H153" i="17"/>
  <c r="F153" i="17"/>
  <c r="W152" i="17"/>
  <c r="U152" i="17"/>
  <c r="S152" i="17"/>
  <c r="R152" i="17"/>
  <c r="P152" i="17"/>
  <c r="N152" i="17"/>
  <c r="L152" i="17"/>
  <c r="J152" i="17"/>
  <c r="H152" i="17"/>
  <c r="F152" i="17"/>
  <c r="W151" i="17"/>
  <c r="U151" i="17"/>
  <c r="S151" i="17"/>
  <c r="R151" i="17"/>
  <c r="P151" i="17"/>
  <c r="N151" i="17"/>
  <c r="L151" i="17"/>
  <c r="J151" i="17"/>
  <c r="H151" i="17"/>
  <c r="F151" i="17"/>
  <c r="W150" i="17"/>
  <c r="U150" i="17"/>
  <c r="S150" i="17"/>
  <c r="R150" i="17"/>
  <c r="P150" i="17"/>
  <c r="N150" i="17"/>
  <c r="L150" i="17"/>
  <c r="J150" i="17"/>
  <c r="H150" i="17"/>
  <c r="F150" i="17"/>
  <c r="W149" i="17"/>
  <c r="U149" i="17"/>
  <c r="S149" i="17"/>
  <c r="R149" i="17"/>
  <c r="P149" i="17"/>
  <c r="N149" i="17"/>
  <c r="L149" i="17"/>
  <c r="J149" i="17"/>
  <c r="H149" i="17"/>
  <c r="F149" i="17"/>
  <c r="W148" i="17"/>
  <c r="U148" i="17"/>
  <c r="S148" i="17"/>
  <c r="R148" i="17"/>
  <c r="P148" i="17"/>
  <c r="N148" i="17"/>
  <c r="L148" i="17"/>
  <c r="J148" i="17"/>
  <c r="H148" i="17"/>
  <c r="F148" i="17"/>
  <c r="W147" i="17"/>
  <c r="U147" i="17"/>
  <c r="S147" i="17"/>
  <c r="R147" i="17"/>
  <c r="P147" i="17"/>
  <c r="N147" i="17"/>
  <c r="L147" i="17"/>
  <c r="J147" i="17"/>
  <c r="H147" i="17"/>
  <c r="F147" i="17"/>
  <c r="W146" i="17"/>
  <c r="U146" i="17"/>
  <c r="S146" i="17"/>
  <c r="R146" i="17"/>
  <c r="P146" i="17"/>
  <c r="N146" i="17"/>
  <c r="L146" i="17"/>
  <c r="J146" i="17"/>
  <c r="H146" i="17"/>
  <c r="F146" i="17"/>
  <c r="W145" i="17"/>
  <c r="U145" i="17"/>
  <c r="S145" i="17"/>
  <c r="R145" i="17"/>
  <c r="P145" i="17"/>
  <c r="N145" i="17"/>
  <c r="L145" i="17"/>
  <c r="J145" i="17"/>
  <c r="H145" i="17"/>
  <c r="F145" i="17"/>
  <c r="W144" i="17"/>
  <c r="U144" i="17"/>
  <c r="S144" i="17"/>
  <c r="R144" i="17"/>
  <c r="P144" i="17"/>
  <c r="N144" i="17"/>
  <c r="L144" i="17"/>
  <c r="J144" i="17"/>
  <c r="H144" i="17"/>
  <c r="F144" i="17"/>
  <c r="W143" i="17"/>
  <c r="U143" i="17"/>
  <c r="S143" i="17"/>
  <c r="R143" i="17"/>
  <c r="P143" i="17"/>
  <c r="N143" i="17"/>
  <c r="L143" i="17"/>
  <c r="J143" i="17"/>
  <c r="H143" i="17"/>
  <c r="F143" i="17"/>
  <c r="W142" i="17"/>
  <c r="U142" i="17"/>
  <c r="S142" i="17"/>
  <c r="R142" i="17"/>
  <c r="P142" i="17"/>
  <c r="N142" i="17"/>
  <c r="L142" i="17"/>
  <c r="J142" i="17"/>
  <c r="H142" i="17"/>
  <c r="F142" i="17"/>
  <c r="W141" i="17"/>
  <c r="U141" i="17"/>
  <c r="S141" i="17"/>
  <c r="R141" i="17"/>
  <c r="P141" i="17"/>
  <c r="N141" i="17"/>
  <c r="L141" i="17"/>
  <c r="J141" i="17"/>
  <c r="H141" i="17"/>
  <c r="F141" i="17"/>
  <c r="W140" i="17"/>
  <c r="U140" i="17"/>
  <c r="S140" i="17"/>
  <c r="R140" i="17"/>
  <c r="P140" i="17"/>
  <c r="N140" i="17"/>
  <c r="L140" i="17"/>
  <c r="J140" i="17"/>
  <c r="H140" i="17"/>
  <c r="F140" i="17"/>
  <c r="W139" i="17"/>
  <c r="U139" i="17"/>
  <c r="S139" i="17"/>
  <c r="R139" i="17"/>
  <c r="P139" i="17"/>
  <c r="N139" i="17"/>
  <c r="L139" i="17"/>
  <c r="J139" i="17"/>
  <c r="H139" i="17"/>
  <c r="F139" i="17"/>
  <c r="W138" i="17"/>
  <c r="U138" i="17"/>
  <c r="S138" i="17"/>
  <c r="R138" i="17"/>
  <c r="P138" i="17"/>
  <c r="N138" i="17"/>
  <c r="L138" i="17"/>
  <c r="J138" i="17"/>
  <c r="H138" i="17"/>
  <c r="F138" i="17"/>
  <c r="W137" i="17"/>
  <c r="U137" i="17"/>
  <c r="S137" i="17"/>
  <c r="R137" i="17"/>
  <c r="P137" i="17"/>
  <c r="N137" i="17"/>
  <c r="L137" i="17"/>
  <c r="J137" i="17"/>
  <c r="H137" i="17"/>
  <c r="F137" i="17"/>
  <c r="W136" i="17"/>
  <c r="U136" i="17"/>
  <c r="S136" i="17"/>
  <c r="R136" i="17"/>
  <c r="P136" i="17"/>
  <c r="N136" i="17"/>
  <c r="L136" i="17"/>
  <c r="J136" i="17"/>
  <c r="H136" i="17"/>
  <c r="F136" i="17"/>
  <c r="W135" i="17"/>
  <c r="U135" i="17"/>
  <c r="S135" i="17"/>
  <c r="R135" i="17"/>
  <c r="P135" i="17"/>
  <c r="N135" i="17"/>
  <c r="L135" i="17"/>
  <c r="J135" i="17"/>
  <c r="H135" i="17"/>
  <c r="F135" i="17"/>
  <c r="W134" i="17"/>
  <c r="U134" i="17"/>
  <c r="S134" i="17"/>
  <c r="R134" i="17"/>
  <c r="P134" i="17"/>
  <c r="N134" i="17"/>
  <c r="L134" i="17"/>
  <c r="J134" i="17"/>
  <c r="H134" i="17"/>
  <c r="F134" i="17"/>
  <c r="W133" i="17"/>
  <c r="U133" i="17"/>
  <c r="S133" i="17"/>
  <c r="R133" i="17"/>
  <c r="P133" i="17"/>
  <c r="N133" i="17"/>
  <c r="L133" i="17"/>
  <c r="J133" i="17"/>
  <c r="H133" i="17"/>
  <c r="F133" i="17"/>
  <c r="W132" i="17"/>
  <c r="U132" i="17"/>
  <c r="S132" i="17"/>
  <c r="R132" i="17"/>
  <c r="P132" i="17"/>
  <c r="N132" i="17"/>
  <c r="L132" i="17"/>
  <c r="J132" i="17"/>
  <c r="H132" i="17"/>
  <c r="F132" i="17"/>
  <c r="W131" i="17"/>
  <c r="U131" i="17"/>
  <c r="S131" i="17"/>
  <c r="R131" i="17"/>
  <c r="P131" i="17"/>
  <c r="N131" i="17"/>
  <c r="L131" i="17"/>
  <c r="J131" i="17"/>
  <c r="H131" i="17"/>
  <c r="F131" i="17"/>
  <c r="W130" i="17"/>
  <c r="U130" i="17"/>
  <c r="S130" i="17"/>
  <c r="R130" i="17"/>
  <c r="P130" i="17"/>
  <c r="N130" i="17"/>
  <c r="L130" i="17"/>
  <c r="J130" i="17"/>
  <c r="H130" i="17"/>
  <c r="F130" i="17"/>
  <c r="W129" i="17"/>
  <c r="U129" i="17"/>
  <c r="S129" i="17"/>
  <c r="R129" i="17"/>
  <c r="P129" i="17"/>
  <c r="N129" i="17"/>
  <c r="L129" i="17"/>
  <c r="J129" i="17"/>
  <c r="H129" i="17"/>
  <c r="F129" i="17"/>
  <c r="W128" i="17"/>
  <c r="U128" i="17"/>
  <c r="S128" i="17"/>
  <c r="R128" i="17"/>
  <c r="P128" i="17"/>
  <c r="N128" i="17"/>
  <c r="L128" i="17"/>
  <c r="J128" i="17"/>
  <c r="H128" i="17"/>
  <c r="F128" i="17"/>
  <c r="W127" i="17"/>
  <c r="U127" i="17"/>
  <c r="S127" i="17"/>
  <c r="R127" i="17"/>
  <c r="P127" i="17"/>
  <c r="N127" i="17"/>
  <c r="L127" i="17"/>
  <c r="J127" i="17"/>
  <c r="H127" i="17"/>
  <c r="F127" i="17"/>
  <c r="W126" i="17"/>
  <c r="U126" i="17"/>
  <c r="S126" i="17"/>
  <c r="R126" i="17"/>
  <c r="P126" i="17"/>
  <c r="N126" i="17"/>
  <c r="L126" i="17"/>
  <c r="J126" i="17"/>
  <c r="H126" i="17"/>
  <c r="F126" i="17"/>
  <c r="W125" i="17"/>
  <c r="U125" i="17"/>
  <c r="S125" i="17"/>
  <c r="R125" i="17"/>
  <c r="P125" i="17"/>
  <c r="N125" i="17"/>
  <c r="L125" i="17"/>
  <c r="J125" i="17"/>
  <c r="H125" i="17"/>
  <c r="F125" i="17"/>
  <c r="W124" i="17"/>
  <c r="U124" i="17"/>
  <c r="S124" i="17"/>
  <c r="R124" i="17"/>
  <c r="P124" i="17"/>
  <c r="N124" i="17"/>
  <c r="L124" i="17"/>
  <c r="J124" i="17"/>
  <c r="H124" i="17"/>
  <c r="F124" i="17"/>
  <c r="W123" i="17"/>
  <c r="U123" i="17"/>
  <c r="S123" i="17"/>
  <c r="R123" i="17"/>
  <c r="P123" i="17"/>
  <c r="N123" i="17"/>
  <c r="L123" i="17"/>
  <c r="J123" i="17"/>
  <c r="H123" i="17"/>
  <c r="F123" i="17"/>
  <c r="W122" i="17"/>
  <c r="U122" i="17"/>
  <c r="S122" i="17"/>
  <c r="R122" i="17"/>
  <c r="P122" i="17"/>
  <c r="N122" i="17"/>
  <c r="L122" i="17"/>
  <c r="J122" i="17"/>
  <c r="H122" i="17"/>
  <c r="F122" i="17"/>
  <c r="W121" i="17"/>
  <c r="U121" i="17"/>
  <c r="S121" i="17"/>
  <c r="R121" i="17"/>
  <c r="P121" i="17"/>
  <c r="N121" i="17"/>
  <c r="L121" i="17"/>
  <c r="J121" i="17"/>
  <c r="H121" i="17"/>
  <c r="F121" i="17"/>
  <c r="W120" i="17"/>
  <c r="U120" i="17"/>
  <c r="S120" i="17"/>
  <c r="R120" i="17"/>
  <c r="P120" i="17"/>
  <c r="N120" i="17"/>
  <c r="L120" i="17"/>
  <c r="J120" i="17"/>
  <c r="H120" i="17"/>
  <c r="F120" i="17"/>
  <c r="W119" i="17"/>
  <c r="U119" i="17"/>
  <c r="S119" i="17"/>
  <c r="R119" i="17"/>
  <c r="P119" i="17"/>
  <c r="N119" i="17"/>
  <c r="L119" i="17"/>
  <c r="J119" i="17"/>
  <c r="H119" i="17"/>
  <c r="F119" i="17"/>
  <c r="W118" i="17"/>
  <c r="U118" i="17"/>
  <c r="S118" i="17"/>
  <c r="R118" i="17"/>
  <c r="P118" i="17"/>
  <c r="N118" i="17"/>
  <c r="L118" i="17"/>
  <c r="J118" i="17"/>
  <c r="H118" i="17"/>
  <c r="F118" i="17"/>
  <c r="W117" i="17"/>
  <c r="U117" i="17"/>
  <c r="S117" i="17"/>
  <c r="R117" i="17"/>
  <c r="P117" i="17"/>
  <c r="N117" i="17"/>
  <c r="L117" i="17"/>
  <c r="J117" i="17"/>
  <c r="H117" i="17"/>
  <c r="F117" i="17"/>
  <c r="W116" i="17"/>
  <c r="U116" i="17"/>
  <c r="S116" i="17"/>
  <c r="R116" i="17"/>
  <c r="P116" i="17"/>
  <c r="N116" i="17"/>
  <c r="L116" i="17"/>
  <c r="J116" i="17"/>
  <c r="H116" i="17"/>
  <c r="F116" i="17"/>
  <c r="W115" i="17"/>
  <c r="U115" i="17"/>
  <c r="S115" i="17"/>
  <c r="R115" i="17"/>
  <c r="P115" i="17"/>
  <c r="N115" i="17"/>
  <c r="L115" i="17"/>
  <c r="J115" i="17"/>
  <c r="H115" i="17"/>
  <c r="F115" i="17"/>
  <c r="W114" i="17"/>
  <c r="U114" i="17"/>
  <c r="S114" i="17"/>
  <c r="R114" i="17"/>
  <c r="P114" i="17"/>
  <c r="N114" i="17"/>
  <c r="L114" i="17"/>
  <c r="J114" i="17"/>
  <c r="H114" i="17"/>
  <c r="F114" i="17"/>
  <c r="W113" i="17"/>
  <c r="U113" i="17"/>
  <c r="S113" i="17"/>
  <c r="R113" i="17"/>
  <c r="P113" i="17"/>
  <c r="N113" i="17"/>
  <c r="L113" i="17"/>
  <c r="J113" i="17"/>
  <c r="H113" i="17"/>
  <c r="F113" i="17"/>
  <c r="W112" i="17"/>
  <c r="U112" i="17"/>
  <c r="S112" i="17"/>
  <c r="R112" i="17"/>
  <c r="P112" i="17"/>
  <c r="N112" i="17"/>
  <c r="L112" i="17"/>
  <c r="J112" i="17"/>
  <c r="H112" i="17"/>
  <c r="F112" i="17"/>
  <c r="W111" i="17"/>
  <c r="U111" i="17"/>
  <c r="S111" i="17"/>
  <c r="R111" i="17"/>
  <c r="P111" i="17"/>
  <c r="N111" i="17"/>
  <c r="L111" i="17"/>
  <c r="J111" i="17"/>
  <c r="H111" i="17"/>
  <c r="F111" i="17"/>
  <c r="W110" i="17"/>
  <c r="U110" i="17"/>
  <c r="S110" i="17"/>
  <c r="R110" i="17"/>
  <c r="P110" i="17"/>
  <c r="N110" i="17"/>
  <c r="L110" i="17"/>
  <c r="J110" i="17"/>
  <c r="H110" i="17"/>
  <c r="F110" i="17"/>
  <c r="W109" i="17"/>
  <c r="U109" i="17"/>
  <c r="S109" i="17"/>
  <c r="R109" i="17"/>
  <c r="P109" i="17"/>
  <c r="N109" i="17"/>
  <c r="L109" i="17"/>
  <c r="J109" i="17"/>
  <c r="H109" i="17"/>
  <c r="F109" i="17"/>
  <c r="W108" i="17"/>
  <c r="U108" i="17"/>
  <c r="S108" i="17"/>
  <c r="R108" i="17"/>
  <c r="P108" i="17"/>
  <c r="N108" i="17"/>
  <c r="L108" i="17"/>
  <c r="J108" i="17"/>
  <c r="H108" i="17"/>
  <c r="F108" i="17"/>
  <c r="W107" i="17"/>
  <c r="U107" i="17"/>
  <c r="S107" i="17"/>
  <c r="R107" i="17"/>
  <c r="P107" i="17"/>
  <c r="N107" i="17"/>
  <c r="L107" i="17"/>
  <c r="J107" i="17"/>
  <c r="H107" i="17"/>
  <c r="F107" i="17"/>
  <c r="W106" i="17"/>
  <c r="U106" i="17"/>
  <c r="S106" i="17"/>
  <c r="R106" i="17"/>
  <c r="P106" i="17"/>
  <c r="N106" i="17"/>
  <c r="L106" i="17"/>
  <c r="J106" i="17"/>
  <c r="H106" i="17"/>
  <c r="F106" i="17"/>
  <c r="W105" i="17"/>
  <c r="U105" i="17"/>
  <c r="S105" i="17"/>
  <c r="R105" i="17"/>
  <c r="P105" i="17"/>
  <c r="N105" i="17"/>
  <c r="L105" i="17"/>
  <c r="J105" i="17"/>
  <c r="H105" i="17"/>
  <c r="F105" i="17"/>
  <c r="W104" i="17"/>
  <c r="U104" i="17"/>
  <c r="S104" i="17"/>
  <c r="R104" i="17"/>
  <c r="P104" i="17"/>
  <c r="N104" i="17"/>
  <c r="L104" i="17"/>
  <c r="J104" i="17"/>
  <c r="H104" i="17"/>
  <c r="F104" i="17"/>
  <c r="W103" i="17"/>
  <c r="U103" i="17"/>
  <c r="S103" i="17"/>
  <c r="R103" i="17"/>
  <c r="P103" i="17"/>
  <c r="N103" i="17"/>
  <c r="L103" i="17"/>
  <c r="J103" i="17"/>
  <c r="H103" i="17"/>
  <c r="F103" i="17"/>
  <c r="W102" i="17"/>
  <c r="U102" i="17"/>
  <c r="S102" i="17"/>
  <c r="R102" i="17"/>
  <c r="P102" i="17"/>
  <c r="N102" i="17"/>
  <c r="L102" i="17"/>
  <c r="J102" i="17"/>
  <c r="H102" i="17"/>
  <c r="F102" i="17"/>
  <c r="W101" i="17"/>
  <c r="U101" i="17"/>
  <c r="S101" i="17"/>
  <c r="R101" i="17"/>
  <c r="P101" i="17"/>
  <c r="N101" i="17"/>
  <c r="L101" i="17"/>
  <c r="J101" i="17"/>
  <c r="H101" i="17"/>
  <c r="F101" i="17"/>
  <c r="W100" i="17"/>
  <c r="U100" i="17"/>
  <c r="S100" i="17"/>
  <c r="R100" i="17"/>
  <c r="P100" i="17"/>
  <c r="N100" i="17"/>
  <c r="L100" i="17"/>
  <c r="J100" i="17"/>
  <c r="H100" i="17"/>
  <c r="F100" i="17"/>
  <c r="W99" i="17"/>
  <c r="U99" i="17"/>
  <c r="S99" i="17"/>
  <c r="R99" i="17"/>
  <c r="P99" i="17"/>
  <c r="N99" i="17"/>
  <c r="L99" i="17"/>
  <c r="J99" i="17"/>
  <c r="H99" i="17"/>
  <c r="F99" i="17"/>
  <c r="W98" i="17"/>
  <c r="U98" i="17"/>
  <c r="S98" i="17"/>
  <c r="R98" i="17"/>
  <c r="P98" i="17"/>
  <c r="N98" i="17"/>
  <c r="L98" i="17"/>
  <c r="J98" i="17"/>
  <c r="H98" i="17"/>
  <c r="F98" i="17"/>
  <c r="W97" i="17"/>
  <c r="U97" i="17"/>
  <c r="S97" i="17"/>
  <c r="R97" i="17"/>
  <c r="P97" i="17"/>
  <c r="N97" i="17"/>
  <c r="L97" i="17"/>
  <c r="J97" i="17"/>
  <c r="H97" i="17"/>
  <c r="F97" i="17"/>
  <c r="W96" i="17"/>
  <c r="U96" i="17"/>
  <c r="S96" i="17"/>
  <c r="R96" i="17"/>
  <c r="P96" i="17"/>
  <c r="N96" i="17"/>
  <c r="L96" i="17"/>
  <c r="J96" i="17"/>
  <c r="H96" i="17"/>
  <c r="F96" i="17"/>
  <c r="W95" i="17"/>
  <c r="U95" i="17"/>
  <c r="S95" i="17"/>
  <c r="R95" i="17"/>
  <c r="P95" i="17"/>
  <c r="N95" i="17"/>
  <c r="L95" i="17"/>
  <c r="J95" i="17"/>
  <c r="H95" i="17"/>
  <c r="F95" i="17"/>
  <c r="W94" i="17"/>
  <c r="U94" i="17"/>
  <c r="S94" i="17"/>
  <c r="R94" i="17"/>
  <c r="P94" i="17"/>
  <c r="N94" i="17"/>
  <c r="L94" i="17"/>
  <c r="J94" i="17"/>
  <c r="H94" i="17"/>
  <c r="F94" i="17"/>
  <c r="W93" i="17"/>
  <c r="U93" i="17"/>
  <c r="S93" i="17"/>
  <c r="R93" i="17"/>
  <c r="P93" i="17"/>
  <c r="N93" i="17"/>
  <c r="L93" i="17"/>
  <c r="J93" i="17"/>
  <c r="H93" i="17"/>
  <c r="F93" i="17"/>
  <c r="W92" i="17"/>
  <c r="U92" i="17"/>
  <c r="S92" i="17"/>
  <c r="R92" i="17"/>
  <c r="P92" i="17"/>
  <c r="N92" i="17"/>
  <c r="L92" i="17"/>
  <c r="J92" i="17"/>
  <c r="H92" i="17"/>
  <c r="F92" i="17"/>
  <c r="W91" i="17"/>
  <c r="U91" i="17"/>
  <c r="S91" i="17"/>
  <c r="R91" i="17"/>
  <c r="P91" i="17"/>
  <c r="N91" i="17"/>
  <c r="L91" i="17"/>
  <c r="J91" i="17"/>
  <c r="H91" i="17"/>
  <c r="F91" i="17"/>
  <c r="W90" i="17"/>
  <c r="U90" i="17"/>
  <c r="S90" i="17"/>
  <c r="R90" i="17"/>
  <c r="P90" i="17"/>
  <c r="N90" i="17"/>
  <c r="L90" i="17"/>
  <c r="J90" i="17"/>
  <c r="H90" i="17"/>
  <c r="F90" i="17"/>
  <c r="W89" i="17"/>
  <c r="U89" i="17"/>
  <c r="S89" i="17"/>
  <c r="R89" i="17"/>
  <c r="P89" i="17"/>
  <c r="N89" i="17"/>
  <c r="L89" i="17"/>
  <c r="J89" i="17"/>
  <c r="H89" i="17"/>
  <c r="F89" i="17"/>
  <c r="W88" i="17"/>
  <c r="U88" i="17"/>
  <c r="S88" i="17"/>
  <c r="R88" i="17"/>
  <c r="P88" i="17"/>
  <c r="N88" i="17"/>
  <c r="L88" i="17"/>
  <c r="J88" i="17"/>
  <c r="H88" i="17"/>
  <c r="F88" i="17"/>
  <c r="W87" i="17"/>
  <c r="U87" i="17"/>
  <c r="S87" i="17"/>
  <c r="R87" i="17"/>
  <c r="P87" i="17"/>
  <c r="N87" i="17"/>
  <c r="L87" i="17"/>
  <c r="J87" i="17"/>
  <c r="H87" i="17"/>
  <c r="F87" i="17"/>
  <c r="W86" i="17"/>
  <c r="U86" i="17"/>
  <c r="S86" i="17"/>
  <c r="R86" i="17"/>
  <c r="P86" i="17"/>
  <c r="N86" i="17"/>
  <c r="L86" i="17"/>
  <c r="J86" i="17"/>
  <c r="H86" i="17"/>
  <c r="F86" i="17"/>
  <c r="W85" i="17"/>
  <c r="U85" i="17"/>
  <c r="S85" i="17"/>
  <c r="R85" i="17"/>
  <c r="P85" i="17"/>
  <c r="N85" i="17"/>
  <c r="L85" i="17"/>
  <c r="J85" i="17"/>
  <c r="H85" i="17"/>
  <c r="F85" i="17"/>
  <c r="W84" i="17"/>
  <c r="U84" i="17"/>
  <c r="S84" i="17"/>
  <c r="R84" i="17"/>
  <c r="P84" i="17"/>
  <c r="N84" i="17"/>
  <c r="L84" i="17"/>
  <c r="J84" i="17"/>
  <c r="H84" i="17"/>
  <c r="F84" i="17"/>
  <c r="W83" i="17"/>
  <c r="U83" i="17"/>
  <c r="S83" i="17"/>
  <c r="R83" i="17"/>
  <c r="P83" i="17"/>
  <c r="N83" i="17"/>
  <c r="L83" i="17"/>
  <c r="J83" i="17"/>
  <c r="H83" i="17"/>
  <c r="F83" i="17"/>
  <c r="W82" i="17"/>
  <c r="U82" i="17"/>
  <c r="S82" i="17"/>
  <c r="R82" i="17"/>
  <c r="P82" i="17"/>
  <c r="N82" i="17"/>
  <c r="L82" i="17"/>
  <c r="J82" i="17"/>
  <c r="H82" i="17"/>
  <c r="F82" i="17"/>
  <c r="W81" i="17"/>
  <c r="U81" i="17"/>
  <c r="S81" i="17"/>
  <c r="R81" i="17"/>
  <c r="P81" i="17"/>
  <c r="N81" i="17"/>
  <c r="L81" i="17"/>
  <c r="J81" i="17"/>
  <c r="H81" i="17"/>
  <c r="F81" i="17"/>
  <c r="W80" i="17"/>
  <c r="U80" i="17"/>
  <c r="S80" i="17"/>
  <c r="R80" i="17"/>
  <c r="P80" i="17"/>
  <c r="N80" i="17"/>
  <c r="L80" i="17"/>
  <c r="J80" i="17"/>
  <c r="H80" i="17"/>
  <c r="F80" i="17"/>
  <c r="W79" i="17"/>
  <c r="U79" i="17"/>
  <c r="S79" i="17"/>
  <c r="R79" i="17"/>
  <c r="P79" i="17"/>
  <c r="N79" i="17"/>
  <c r="L79" i="17"/>
  <c r="J79" i="17"/>
  <c r="H79" i="17"/>
  <c r="F79" i="17"/>
  <c r="W78" i="17"/>
  <c r="U78" i="17"/>
  <c r="S78" i="17"/>
  <c r="R78" i="17"/>
  <c r="P78" i="17"/>
  <c r="N78" i="17"/>
  <c r="L78" i="17"/>
  <c r="J78" i="17"/>
  <c r="H78" i="17"/>
  <c r="F78" i="17"/>
  <c r="W77" i="17"/>
  <c r="U77" i="17"/>
  <c r="S77" i="17"/>
  <c r="R77" i="17"/>
  <c r="P77" i="17"/>
  <c r="N77" i="17"/>
  <c r="L77" i="17"/>
  <c r="J77" i="17"/>
  <c r="H77" i="17"/>
  <c r="F77" i="17"/>
  <c r="W76" i="17"/>
  <c r="U76" i="17"/>
  <c r="S76" i="17"/>
  <c r="R76" i="17"/>
  <c r="P76" i="17"/>
  <c r="N76" i="17"/>
  <c r="L76" i="17"/>
  <c r="J76" i="17"/>
  <c r="H76" i="17"/>
  <c r="F76" i="17"/>
  <c r="W75" i="17"/>
  <c r="U75" i="17"/>
  <c r="S75" i="17"/>
  <c r="R75" i="17"/>
  <c r="P75" i="17"/>
  <c r="N75" i="17"/>
  <c r="L75" i="17"/>
  <c r="J75" i="17"/>
  <c r="H75" i="17"/>
  <c r="F75" i="17"/>
  <c r="W74" i="17"/>
  <c r="U74" i="17"/>
  <c r="S74" i="17"/>
  <c r="R74" i="17"/>
  <c r="P74" i="17"/>
  <c r="N74" i="17"/>
  <c r="L74" i="17"/>
  <c r="J74" i="17"/>
  <c r="H74" i="17"/>
  <c r="F74" i="17"/>
  <c r="W73" i="17"/>
  <c r="U73" i="17"/>
  <c r="S73" i="17"/>
  <c r="R73" i="17"/>
  <c r="P73" i="17"/>
  <c r="N73" i="17"/>
  <c r="L73" i="17"/>
  <c r="J73" i="17"/>
  <c r="H73" i="17"/>
  <c r="F73" i="17"/>
  <c r="W72" i="17"/>
  <c r="U72" i="17"/>
  <c r="S72" i="17"/>
  <c r="R72" i="17"/>
  <c r="P72" i="17"/>
  <c r="N72" i="17"/>
  <c r="L72" i="17"/>
  <c r="J72" i="17"/>
  <c r="H72" i="17"/>
  <c r="F72" i="17"/>
  <c r="W71" i="17"/>
  <c r="U71" i="17"/>
  <c r="S71" i="17"/>
  <c r="R71" i="17"/>
  <c r="P71" i="17"/>
  <c r="N71" i="17"/>
  <c r="L71" i="17"/>
  <c r="J71" i="17"/>
  <c r="H71" i="17"/>
  <c r="F71" i="17"/>
  <c r="W70" i="17"/>
  <c r="U70" i="17"/>
  <c r="S70" i="17"/>
  <c r="R70" i="17"/>
  <c r="P70" i="17"/>
  <c r="N70" i="17"/>
  <c r="L70" i="17"/>
  <c r="J70" i="17"/>
  <c r="H70" i="17"/>
  <c r="F70" i="17"/>
  <c r="W69" i="17"/>
  <c r="U69" i="17"/>
  <c r="S69" i="17"/>
  <c r="R69" i="17"/>
  <c r="P69" i="17"/>
  <c r="N69" i="17"/>
  <c r="L69" i="17"/>
  <c r="J69" i="17"/>
  <c r="H69" i="17"/>
  <c r="F69" i="17"/>
  <c r="W68" i="17"/>
  <c r="U68" i="17"/>
  <c r="S68" i="17"/>
  <c r="R68" i="17"/>
  <c r="P68" i="17"/>
  <c r="N68" i="17"/>
  <c r="L68" i="17"/>
  <c r="J68" i="17"/>
  <c r="H68" i="17"/>
  <c r="F68" i="17"/>
  <c r="W67" i="17"/>
  <c r="U67" i="17"/>
  <c r="S67" i="17"/>
  <c r="R67" i="17"/>
  <c r="P67" i="17"/>
  <c r="N67" i="17"/>
  <c r="L67" i="17"/>
  <c r="J67" i="17"/>
  <c r="H67" i="17"/>
  <c r="F67" i="17"/>
  <c r="W66" i="17"/>
  <c r="U66" i="17"/>
  <c r="S66" i="17"/>
  <c r="R66" i="17"/>
  <c r="P66" i="17"/>
  <c r="N66" i="17"/>
  <c r="L66" i="17"/>
  <c r="J66" i="17"/>
  <c r="H66" i="17"/>
  <c r="F66" i="17"/>
  <c r="W65" i="17"/>
  <c r="U65" i="17"/>
  <c r="S65" i="17"/>
  <c r="R65" i="17"/>
  <c r="P65" i="17"/>
  <c r="N65" i="17"/>
  <c r="L65" i="17"/>
  <c r="J65" i="17"/>
  <c r="H65" i="17"/>
  <c r="F65" i="17"/>
  <c r="W64" i="17"/>
  <c r="U64" i="17"/>
  <c r="S64" i="17"/>
  <c r="R64" i="17"/>
  <c r="P64" i="17"/>
  <c r="N64" i="17"/>
  <c r="L64" i="17"/>
  <c r="J64" i="17"/>
  <c r="H64" i="17"/>
  <c r="F64" i="17"/>
  <c r="W63" i="17"/>
  <c r="U63" i="17"/>
  <c r="S63" i="17"/>
  <c r="R63" i="17"/>
  <c r="P63" i="17"/>
  <c r="N63" i="17"/>
  <c r="L63" i="17"/>
  <c r="J63" i="17"/>
  <c r="H63" i="17"/>
  <c r="F63" i="17"/>
  <c r="W62" i="17"/>
  <c r="U62" i="17"/>
  <c r="S62" i="17"/>
  <c r="R62" i="17"/>
  <c r="P62" i="17"/>
  <c r="N62" i="17"/>
  <c r="L62" i="17"/>
  <c r="J62" i="17"/>
  <c r="H62" i="17"/>
  <c r="F62" i="17"/>
  <c r="W61" i="17"/>
  <c r="U61" i="17"/>
  <c r="S61" i="17"/>
  <c r="R61" i="17"/>
  <c r="P61" i="17"/>
  <c r="N61" i="17"/>
  <c r="L61" i="17"/>
  <c r="J61" i="17"/>
  <c r="H61" i="17"/>
  <c r="F61" i="17"/>
  <c r="W60" i="17"/>
  <c r="U60" i="17"/>
  <c r="S60" i="17"/>
  <c r="R60" i="17"/>
  <c r="P60" i="17"/>
  <c r="N60" i="17"/>
  <c r="L60" i="17"/>
  <c r="J60" i="17"/>
  <c r="H60" i="17"/>
  <c r="F60" i="17"/>
  <c r="W59" i="17"/>
  <c r="U59" i="17"/>
  <c r="S59" i="17"/>
  <c r="R59" i="17"/>
  <c r="P59" i="17"/>
  <c r="N59" i="17"/>
  <c r="L59" i="17"/>
  <c r="J59" i="17"/>
  <c r="H59" i="17"/>
  <c r="F59" i="17"/>
  <c r="W58" i="17"/>
  <c r="U58" i="17"/>
  <c r="S58" i="17"/>
  <c r="R58" i="17"/>
  <c r="P58" i="17"/>
  <c r="N58" i="17"/>
  <c r="L58" i="17"/>
  <c r="J58" i="17"/>
  <c r="H58" i="17"/>
  <c r="F58" i="17"/>
  <c r="W57" i="17"/>
  <c r="U57" i="17"/>
  <c r="S57" i="17"/>
  <c r="R57" i="17"/>
  <c r="P57" i="17"/>
  <c r="N57" i="17"/>
  <c r="L57" i="17"/>
  <c r="J57" i="17"/>
  <c r="H57" i="17"/>
  <c r="F57" i="17"/>
  <c r="W56" i="17"/>
  <c r="U56" i="17"/>
  <c r="S56" i="17"/>
  <c r="R56" i="17"/>
  <c r="P56" i="17"/>
  <c r="N56" i="17"/>
  <c r="L56" i="17"/>
  <c r="J56" i="17"/>
  <c r="H56" i="17"/>
  <c r="F56" i="17"/>
  <c r="W55" i="17"/>
  <c r="U55" i="17"/>
  <c r="S55" i="17"/>
  <c r="R55" i="17"/>
  <c r="P55" i="17"/>
  <c r="N55" i="17"/>
  <c r="L55" i="17"/>
  <c r="J55" i="17"/>
  <c r="H55" i="17"/>
  <c r="F55" i="17"/>
  <c r="W54" i="17"/>
  <c r="U54" i="17"/>
  <c r="S54" i="17"/>
  <c r="R54" i="17"/>
  <c r="P54" i="17"/>
  <c r="N54" i="17"/>
  <c r="L54" i="17"/>
  <c r="J54" i="17"/>
  <c r="H54" i="17"/>
  <c r="F54" i="17"/>
  <c r="W53" i="17"/>
  <c r="U53" i="17"/>
  <c r="S53" i="17"/>
  <c r="R53" i="17"/>
  <c r="P53" i="17"/>
  <c r="N53" i="17"/>
  <c r="L53" i="17"/>
  <c r="J53" i="17"/>
  <c r="H53" i="17"/>
  <c r="F53" i="17"/>
  <c r="W52" i="17"/>
  <c r="U52" i="17"/>
  <c r="T52" i="17"/>
  <c r="S52" i="17"/>
  <c r="R52" i="17"/>
  <c r="P52" i="17"/>
  <c r="N52" i="17"/>
  <c r="L52" i="17"/>
  <c r="J52" i="17"/>
  <c r="H52" i="17"/>
  <c r="F52" i="17"/>
  <c r="W51" i="17"/>
  <c r="U51" i="17"/>
  <c r="S51" i="17"/>
  <c r="R51" i="17"/>
  <c r="P51" i="17"/>
  <c r="N51" i="17"/>
  <c r="L51" i="17"/>
  <c r="J51" i="17"/>
  <c r="H51" i="17"/>
  <c r="F51" i="17"/>
  <c r="W50" i="17"/>
  <c r="U50" i="17"/>
  <c r="S50" i="17"/>
  <c r="R50" i="17"/>
  <c r="P50" i="17"/>
  <c r="N50" i="17"/>
  <c r="L50" i="17"/>
  <c r="J50" i="17"/>
  <c r="H50" i="17"/>
  <c r="F50" i="17"/>
  <c r="W49" i="17"/>
  <c r="U49" i="17"/>
  <c r="S49" i="17"/>
  <c r="R49" i="17"/>
  <c r="P49" i="17"/>
  <c r="N49" i="17"/>
  <c r="L49" i="17"/>
  <c r="J49" i="17"/>
  <c r="H49" i="17"/>
  <c r="F49" i="17"/>
  <c r="W48" i="17"/>
  <c r="U48" i="17"/>
  <c r="S48" i="17"/>
  <c r="R48" i="17"/>
  <c r="P48" i="17"/>
  <c r="N48" i="17"/>
  <c r="L48" i="17"/>
  <c r="J48" i="17"/>
  <c r="H48" i="17"/>
  <c r="F48" i="17"/>
  <c r="W47" i="17"/>
  <c r="U47" i="17"/>
  <c r="S47" i="17"/>
  <c r="R47" i="17"/>
  <c r="P47" i="17"/>
  <c r="N47" i="17"/>
  <c r="L47" i="17"/>
  <c r="J47" i="17"/>
  <c r="H47" i="17"/>
  <c r="F47" i="17"/>
  <c r="W46" i="17"/>
  <c r="U46" i="17"/>
  <c r="S46" i="17"/>
  <c r="R46" i="17"/>
  <c r="P46" i="17"/>
  <c r="N46" i="17"/>
  <c r="L46" i="17"/>
  <c r="J46" i="17"/>
  <c r="H46" i="17"/>
  <c r="F46" i="17"/>
  <c r="W45" i="17"/>
  <c r="U45" i="17"/>
  <c r="S45" i="17"/>
  <c r="R45" i="17"/>
  <c r="P45" i="17"/>
  <c r="N45" i="17"/>
  <c r="L45" i="17"/>
  <c r="J45" i="17"/>
  <c r="H45" i="17"/>
  <c r="F45" i="17"/>
  <c r="W44" i="17"/>
  <c r="U44" i="17"/>
  <c r="S44" i="17"/>
  <c r="R44" i="17"/>
  <c r="P44" i="17"/>
  <c r="N44" i="17"/>
  <c r="L44" i="17"/>
  <c r="J44" i="17"/>
  <c r="H44" i="17"/>
  <c r="F44" i="17"/>
  <c r="W43" i="17"/>
  <c r="U43" i="17"/>
  <c r="S43" i="17"/>
  <c r="R43" i="17"/>
  <c r="P43" i="17"/>
  <c r="N43" i="17"/>
  <c r="L43" i="17"/>
  <c r="J43" i="17"/>
  <c r="H43" i="17"/>
  <c r="F43" i="17"/>
  <c r="W42" i="17"/>
  <c r="U42" i="17"/>
  <c r="S42" i="17"/>
  <c r="R42" i="17"/>
  <c r="P42" i="17"/>
  <c r="N42" i="17"/>
  <c r="L42" i="17"/>
  <c r="J42" i="17"/>
  <c r="H42" i="17"/>
  <c r="F42" i="17"/>
  <c r="W41" i="17"/>
  <c r="U41" i="17"/>
  <c r="S41" i="17"/>
  <c r="R41" i="17"/>
  <c r="P41" i="17"/>
  <c r="N41" i="17"/>
  <c r="L41" i="17"/>
  <c r="J41" i="17"/>
  <c r="H41" i="17"/>
  <c r="F41" i="17"/>
  <c r="W40" i="17"/>
  <c r="U40" i="17"/>
  <c r="S40" i="17"/>
  <c r="R40" i="17"/>
  <c r="P40" i="17"/>
  <c r="N40" i="17"/>
  <c r="L40" i="17"/>
  <c r="J40" i="17"/>
  <c r="H40" i="17"/>
  <c r="F40" i="17"/>
  <c r="W39" i="17"/>
  <c r="U39" i="17"/>
  <c r="S39" i="17"/>
  <c r="R39" i="17"/>
  <c r="P39" i="17"/>
  <c r="N39" i="17"/>
  <c r="L39" i="17"/>
  <c r="J39" i="17"/>
  <c r="H39" i="17"/>
  <c r="F39" i="17"/>
  <c r="W38" i="17"/>
  <c r="U38" i="17"/>
  <c r="S38" i="17"/>
  <c r="R38" i="17"/>
  <c r="P38" i="17"/>
  <c r="N38" i="17"/>
  <c r="L38" i="17"/>
  <c r="J38" i="17"/>
  <c r="H38" i="17"/>
  <c r="F38" i="17"/>
  <c r="W37" i="17"/>
  <c r="U37" i="17"/>
  <c r="S37" i="17"/>
  <c r="R37" i="17"/>
  <c r="P37" i="17"/>
  <c r="N37" i="17"/>
  <c r="L37" i="17"/>
  <c r="J37" i="17"/>
  <c r="H37" i="17"/>
  <c r="F37" i="17"/>
  <c r="W36" i="17"/>
  <c r="U36" i="17"/>
  <c r="S36" i="17"/>
  <c r="R36" i="17"/>
  <c r="P36" i="17"/>
  <c r="N36" i="17"/>
  <c r="L36" i="17"/>
  <c r="J36" i="17"/>
  <c r="H36" i="17"/>
  <c r="F36" i="17"/>
  <c r="W35" i="17"/>
  <c r="U35" i="17"/>
  <c r="S35" i="17"/>
  <c r="R35" i="17"/>
  <c r="P35" i="17"/>
  <c r="N35" i="17"/>
  <c r="L35" i="17"/>
  <c r="J35" i="17"/>
  <c r="H35" i="17"/>
  <c r="F35" i="17"/>
  <c r="W34" i="17"/>
  <c r="U34" i="17"/>
  <c r="S34" i="17"/>
  <c r="R34" i="17"/>
  <c r="P34" i="17"/>
  <c r="N34" i="17"/>
  <c r="L34" i="17"/>
  <c r="J34" i="17"/>
  <c r="H34" i="17"/>
  <c r="F34" i="17"/>
  <c r="W33" i="17"/>
  <c r="U33" i="17"/>
  <c r="S33" i="17"/>
  <c r="R33" i="17"/>
  <c r="P33" i="17"/>
  <c r="N33" i="17"/>
  <c r="L33" i="17"/>
  <c r="J33" i="17"/>
  <c r="H33" i="17"/>
  <c r="F33" i="17"/>
  <c r="W32" i="17"/>
  <c r="U32" i="17"/>
  <c r="S32" i="17"/>
  <c r="R32" i="17"/>
  <c r="P32" i="17"/>
  <c r="N32" i="17"/>
  <c r="L32" i="17"/>
  <c r="J32" i="17"/>
  <c r="H32" i="17"/>
  <c r="F32" i="17"/>
  <c r="W31" i="17"/>
  <c r="U31" i="17"/>
  <c r="S31" i="17"/>
  <c r="R31" i="17"/>
  <c r="P31" i="17"/>
  <c r="N31" i="17"/>
  <c r="L31" i="17"/>
  <c r="J31" i="17"/>
  <c r="H31" i="17"/>
  <c r="F31" i="17"/>
  <c r="W30" i="17"/>
  <c r="U30" i="17"/>
  <c r="S30" i="17"/>
  <c r="R30" i="17"/>
  <c r="P30" i="17"/>
  <c r="N30" i="17"/>
  <c r="L30" i="17"/>
  <c r="J30" i="17"/>
  <c r="H30" i="17"/>
  <c r="F30" i="17"/>
  <c r="W29" i="17"/>
  <c r="U29" i="17"/>
  <c r="S29" i="17"/>
  <c r="R29" i="17"/>
  <c r="P29" i="17"/>
  <c r="N29" i="17"/>
  <c r="L29" i="17"/>
  <c r="J29" i="17"/>
  <c r="H29" i="17"/>
  <c r="F29" i="17"/>
  <c r="W28" i="17"/>
  <c r="U28" i="17"/>
  <c r="S28" i="17"/>
  <c r="R28" i="17"/>
  <c r="P28" i="17"/>
  <c r="N28" i="17"/>
  <c r="L28" i="17"/>
  <c r="J28" i="17"/>
  <c r="H28" i="17"/>
  <c r="F28" i="17"/>
  <c r="W27" i="17"/>
  <c r="U27" i="17"/>
  <c r="S27" i="17"/>
  <c r="R27" i="17"/>
  <c r="P27" i="17"/>
  <c r="N27" i="17"/>
  <c r="L27" i="17"/>
  <c r="J27" i="17"/>
  <c r="H27" i="17"/>
  <c r="F27" i="17"/>
  <c r="W26" i="17"/>
  <c r="U26" i="17"/>
  <c r="S26" i="17"/>
  <c r="R26" i="17"/>
  <c r="P26" i="17"/>
  <c r="N26" i="17"/>
  <c r="L26" i="17"/>
  <c r="J26" i="17"/>
  <c r="H26" i="17"/>
  <c r="F26" i="17"/>
  <c r="W25" i="17"/>
  <c r="U25" i="17"/>
  <c r="S25" i="17"/>
  <c r="R25" i="17"/>
  <c r="P25" i="17"/>
  <c r="N25" i="17"/>
  <c r="L25" i="17"/>
  <c r="J25" i="17"/>
  <c r="H25" i="17"/>
  <c r="F25" i="17"/>
  <c r="W24" i="17"/>
  <c r="U24" i="17"/>
  <c r="S24" i="17"/>
  <c r="R24" i="17"/>
  <c r="P24" i="17"/>
  <c r="N24" i="17"/>
  <c r="L24" i="17"/>
  <c r="J24" i="17"/>
  <c r="H24" i="17"/>
  <c r="F24" i="17"/>
  <c r="W23" i="17"/>
  <c r="U23" i="17"/>
  <c r="S23" i="17"/>
  <c r="R23" i="17"/>
  <c r="P23" i="17"/>
  <c r="N23" i="17"/>
  <c r="L23" i="17"/>
  <c r="J23" i="17"/>
  <c r="H23" i="17"/>
  <c r="F23" i="17"/>
  <c r="W22" i="17"/>
  <c r="U22" i="17"/>
  <c r="S22" i="17"/>
  <c r="R22" i="17"/>
  <c r="P22" i="17"/>
  <c r="N22" i="17"/>
  <c r="L22" i="17"/>
  <c r="J22" i="17"/>
  <c r="H22" i="17"/>
  <c r="F22" i="17"/>
  <c r="W21" i="17"/>
  <c r="U21" i="17"/>
  <c r="S21" i="17"/>
  <c r="R21" i="17"/>
  <c r="P21" i="17"/>
  <c r="N21" i="17"/>
  <c r="L21" i="17"/>
  <c r="J21" i="17"/>
  <c r="H21" i="17"/>
  <c r="F21" i="17"/>
  <c r="W20" i="17"/>
  <c r="U20" i="17"/>
  <c r="S20" i="17"/>
  <c r="R20" i="17"/>
  <c r="P20" i="17"/>
  <c r="N20" i="17"/>
  <c r="L20" i="17"/>
  <c r="J20" i="17"/>
  <c r="H20" i="17"/>
  <c r="F20" i="17"/>
  <c r="W19" i="17"/>
  <c r="U19" i="17"/>
  <c r="S19" i="17"/>
  <c r="R19" i="17"/>
  <c r="P19" i="17"/>
  <c r="N19" i="17"/>
  <c r="L19" i="17"/>
  <c r="J19" i="17"/>
  <c r="H19" i="17"/>
  <c r="F19" i="17"/>
  <c r="W18" i="17"/>
  <c r="U18" i="17"/>
  <c r="S18" i="17"/>
  <c r="R18" i="17"/>
  <c r="P18" i="17"/>
  <c r="N18" i="17"/>
  <c r="L18" i="17"/>
  <c r="J18" i="17"/>
  <c r="H18" i="17"/>
  <c r="F18" i="17"/>
  <c r="W17" i="17"/>
  <c r="U17" i="17"/>
  <c r="S17" i="17"/>
  <c r="R17" i="17"/>
  <c r="P17" i="17"/>
  <c r="N17" i="17"/>
  <c r="L17" i="17"/>
  <c r="J17" i="17"/>
  <c r="H17" i="17"/>
  <c r="F17" i="17"/>
  <c r="W16" i="17"/>
  <c r="U16" i="17"/>
  <c r="S16" i="17"/>
  <c r="R16" i="17"/>
  <c r="P16" i="17"/>
  <c r="N16" i="17"/>
  <c r="L16" i="17"/>
  <c r="J16" i="17"/>
  <c r="H16" i="17"/>
  <c r="F16" i="17"/>
  <c r="W15" i="17"/>
  <c r="U15" i="17"/>
  <c r="S15" i="17"/>
  <c r="R15" i="17"/>
  <c r="P15" i="17"/>
  <c r="N15" i="17"/>
  <c r="L15" i="17"/>
  <c r="J15" i="17"/>
  <c r="H15" i="17"/>
  <c r="F15" i="17"/>
  <c r="W14" i="17"/>
  <c r="U14" i="17"/>
  <c r="S14" i="17"/>
  <c r="R14" i="17"/>
  <c r="P14" i="17"/>
  <c r="N14" i="17"/>
  <c r="L14" i="17"/>
  <c r="J14" i="17"/>
  <c r="H14" i="17"/>
  <c r="F14" i="17"/>
  <c r="W13" i="17"/>
  <c r="U13" i="17"/>
  <c r="S13" i="17"/>
  <c r="R13" i="17"/>
  <c r="P13" i="17"/>
  <c r="N13" i="17"/>
  <c r="L13" i="17"/>
  <c r="J13" i="17"/>
  <c r="H13" i="17"/>
  <c r="F13" i="17"/>
  <c r="W12" i="17"/>
  <c r="U12" i="17"/>
  <c r="S12" i="17"/>
  <c r="R12" i="17"/>
  <c r="P12" i="17"/>
  <c r="N12" i="17"/>
  <c r="L12" i="17"/>
  <c r="J12" i="17"/>
  <c r="H12" i="17"/>
  <c r="F12" i="17"/>
  <c r="W11" i="17"/>
  <c r="U11" i="17"/>
  <c r="S11" i="17"/>
  <c r="R11" i="17"/>
  <c r="P11" i="17"/>
  <c r="N11" i="17"/>
  <c r="L11" i="17"/>
  <c r="J11" i="17"/>
  <c r="H11" i="17"/>
  <c r="F11" i="17"/>
  <c r="W10" i="17"/>
  <c r="U10" i="17"/>
  <c r="S10" i="17"/>
  <c r="R10" i="17"/>
  <c r="P10" i="17"/>
  <c r="N10" i="17"/>
  <c r="L10" i="17"/>
  <c r="J10" i="17"/>
  <c r="H10" i="17"/>
  <c r="F10" i="17"/>
  <c r="W9" i="17"/>
  <c r="U9" i="17"/>
  <c r="S9" i="17"/>
  <c r="R9" i="17"/>
  <c r="P9" i="17"/>
  <c r="N9" i="17"/>
  <c r="L9" i="17"/>
  <c r="J9" i="17"/>
  <c r="H9" i="17"/>
  <c r="F9" i="17"/>
  <c r="W8" i="17"/>
  <c r="U8" i="17"/>
  <c r="S8" i="17"/>
  <c r="R8" i="17"/>
  <c r="P8" i="17"/>
  <c r="N8" i="17"/>
  <c r="L8" i="17"/>
  <c r="J8" i="17"/>
  <c r="H8" i="17"/>
  <c r="T67" i="17" l="1"/>
  <c r="X27" i="17"/>
  <c r="X165" i="17"/>
  <c r="X296" i="17"/>
  <c r="X247" i="17"/>
  <c r="X182" i="17"/>
  <c r="X427" i="17"/>
  <c r="X439" i="17"/>
  <c r="X77" i="17"/>
  <c r="X78" i="17"/>
  <c r="X376" i="17"/>
  <c r="X377" i="17"/>
  <c r="X307" i="17"/>
  <c r="X260" i="17"/>
  <c r="X183" i="17"/>
  <c r="X114" i="17"/>
  <c r="X119" i="17"/>
  <c r="X234" i="17"/>
  <c r="X187" i="17"/>
  <c r="X340" i="17"/>
  <c r="X336" i="17"/>
  <c r="X317" i="17"/>
  <c r="X166" i="17"/>
  <c r="X274" i="17"/>
  <c r="X373" i="17"/>
  <c r="X41" i="17"/>
  <c r="X348" i="17"/>
  <c r="X366" i="17"/>
  <c r="X368" i="17"/>
  <c r="X126" i="17"/>
  <c r="X28" i="17"/>
  <c r="X94" i="17"/>
  <c r="X202" i="17"/>
  <c r="X319" i="17"/>
  <c r="X96" i="17"/>
  <c r="X232" i="17"/>
  <c r="X389" i="17"/>
  <c r="X173" i="17"/>
  <c r="X265" i="17"/>
  <c r="X271" i="17"/>
  <c r="X285" i="17"/>
  <c r="X90" i="17"/>
  <c r="X87" i="17"/>
  <c r="X291" i="17"/>
  <c r="X205" i="17"/>
  <c r="X92" i="17"/>
  <c r="X25" i="17"/>
  <c r="T123" i="17" l="1"/>
  <c r="T148" i="17"/>
  <c r="T143" i="17"/>
  <c r="T145" i="17"/>
  <c r="T98" i="17"/>
  <c r="T177" i="17"/>
  <c r="T203" i="17"/>
  <c r="T198" i="17"/>
  <c r="T199" i="17"/>
  <c r="T227" i="17"/>
  <c r="T224" i="17"/>
  <c r="T128" i="17"/>
  <c r="T238" i="17"/>
  <c r="T237" i="17"/>
  <c r="T236" i="17"/>
  <c r="T288" i="17"/>
  <c r="T306" i="17"/>
  <c r="T65" i="17"/>
  <c r="T314" i="17"/>
  <c r="T152" i="17"/>
  <c r="T230" i="17"/>
  <c r="T106" i="17"/>
  <c r="T358" i="17"/>
  <c r="T380" i="17"/>
  <c r="T409" i="17"/>
  <c r="T361" i="17"/>
  <c r="T363" i="17"/>
  <c r="T362" i="17"/>
  <c r="T404" i="17"/>
  <c r="T352" i="17"/>
  <c r="T53" i="17"/>
  <c r="T48" i="17"/>
  <c r="T416" i="17"/>
  <c r="T333" i="17"/>
  <c r="T360" i="17"/>
  <c r="T359" i="17"/>
  <c r="T321" i="17"/>
  <c r="T337" i="17"/>
  <c r="T46" i="17"/>
  <c r="T417" i="17"/>
  <c r="T410" i="17"/>
  <c r="T357" i="17"/>
  <c r="T75" i="17"/>
  <c r="T391" i="17"/>
  <c r="T345" i="17"/>
  <c r="T364" i="17"/>
  <c r="T355" i="17"/>
  <c r="T54" i="17"/>
  <c r="T418" i="17"/>
  <c r="T413" i="17"/>
  <c r="T388" i="17"/>
  <c r="T421" i="17"/>
  <c r="T93" i="17"/>
  <c r="T153" i="17"/>
  <c r="T184" i="17"/>
  <c r="T254" i="17"/>
  <c r="T258" i="17"/>
  <c r="T20" i="17"/>
  <c r="T107" i="17"/>
  <c r="T181" i="17"/>
  <c r="T424" i="17"/>
  <c r="T172" i="17"/>
  <c r="T175" i="17"/>
  <c r="T168" i="17"/>
  <c r="T209" i="17"/>
  <c r="T259" i="17"/>
  <c r="T99" i="17"/>
  <c r="T79" i="17"/>
  <c r="T43" i="17"/>
  <c r="T441" i="17"/>
  <c r="T415" i="17"/>
  <c r="T408" i="17"/>
  <c r="T68" i="17"/>
  <c r="T82" i="17"/>
  <c r="T390" i="17"/>
  <c r="T208" i="17"/>
  <c r="T76" i="17"/>
  <c r="T131" i="17"/>
  <c r="T414" i="17"/>
  <c r="T304" i="17"/>
  <c r="T29" i="17"/>
  <c r="T407" i="17"/>
  <c r="T31" i="17"/>
  <c r="T255" i="17"/>
  <c r="T257" i="17"/>
  <c r="T174" i="17"/>
  <c r="T186" i="17"/>
  <c r="T176" i="17"/>
  <c r="T104" i="17"/>
  <c r="T228" i="17"/>
  <c r="T411" i="17"/>
  <c r="T412" i="17"/>
  <c r="T30" i="17"/>
  <c r="T250" i="17"/>
  <c r="T149" i="17"/>
  <c r="T185" i="17"/>
  <c r="T347" i="17"/>
  <c r="T156" i="17"/>
  <c r="T301" i="17"/>
  <c r="T235" i="17"/>
  <c r="T138" i="17"/>
  <c r="T289" i="17"/>
  <c r="T95" i="17"/>
  <c r="T103" i="17"/>
  <c r="T105" i="17"/>
  <c r="T23" i="17"/>
  <c r="T305" i="17"/>
  <c r="T132" i="17"/>
  <c r="T147" i="17"/>
  <c r="T55" i="17"/>
  <c r="T146" i="17"/>
  <c r="T56" i="17"/>
  <c r="T302" i="17"/>
  <c r="T387" i="17"/>
  <c r="T283" i="17"/>
  <c r="T140" i="17"/>
  <c r="T151" i="17"/>
  <c r="T141" i="17"/>
  <c r="T142" i="17"/>
  <c r="T303" i="17"/>
  <c r="T170" i="17"/>
  <c r="T263" i="17"/>
  <c r="T15" i="17"/>
  <c r="T231" i="17"/>
  <c r="T275" i="17"/>
  <c r="T279" i="17"/>
  <c r="T300" i="17"/>
  <c r="T262" i="17"/>
  <c r="T81" i="17"/>
  <c r="T39" i="17"/>
  <c r="T18" i="17"/>
  <c r="T100" i="17"/>
  <c r="T253" i="17"/>
  <c r="T440" i="17"/>
  <c r="T137" i="17"/>
  <c r="T157" i="17"/>
  <c r="T158" i="17"/>
  <c r="T442" i="17"/>
  <c r="T312" i="17"/>
  <c r="T445" i="17"/>
  <c r="T133" i="17"/>
  <c r="T73" i="17"/>
  <c r="T80" i="17"/>
  <c r="T42" i="17"/>
  <c r="T338" i="17"/>
  <c r="T11" i="17"/>
  <c r="T10" i="17"/>
  <c r="T101" i="17"/>
  <c r="T286" i="17"/>
  <c r="T102" i="17"/>
  <c r="T420" i="17"/>
  <c r="T51" i="17"/>
  <c r="T122" i="17"/>
  <c r="T264" i="17"/>
  <c r="T281" i="17"/>
  <c r="T178" i="17"/>
  <c r="T171" i="17"/>
  <c r="T179" i="17"/>
  <c r="T248" i="17"/>
  <c r="T108" i="17"/>
  <c r="T129" i="17"/>
  <c r="T222" i="17"/>
  <c r="T226" i="17"/>
  <c r="T127" i="17"/>
  <c r="T180" i="17"/>
  <c r="T384" i="17"/>
  <c r="T130" i="17"/>
  <c r="T313" i="17"/>
  <c r="T70" i="17"/>
  <c r="T19" i="17"/>
  <c r="T210" i="17"/>
  <c r="T125" i="17"/>
  <c r="T290" i="17"/>
  <c r="T124" i="17"/>
  <c r="T331" i="17"/>
  <c r="T249" i="17"/>
  <c r="T282" i="17"/>
  <c r="T223" i="17"/>
  <c r="T335" i="17"/>
  <c r="T211" i="17"/>
  <c r="T206" i="17"/>
  <c r="T280" i="17"/>
  <c r="T284" i="17"/>
  <c r="T287" i="17"/>
  <c r="T74" i="17"/>
  <c r="T233" i="17"/>
  <c r="T256" i="17"/>
  <c r="T251" i="17"/>
  <c r="T66" i="17"/>
  <c r="T83" i="17"/>
  <c r="T121" i="17"/>
  <c r="T150" i="17"/>
  <c r="T155" i="17"/>
  <c r="T154" i="17"/>
  <c r="T252" i="17"/>
  <c r="T339" i="17"/>
  <c r="T71" i="17"/>
  <c r="T385" i="17"/>
  <c r="T278" i="17"/>
  <c r="T437" i="17"/>
  <c r="T444" i="17"/>
  <c r="T310" i="17"/>
  <c r="T315" i="17"/>
  <c r="T308" i="17"/>
  <c r="T311" i="17"/>
  <c r="T26" i="17"/>
  <c r="T207" i="17"/>
  <c r="T91" i="17"/>
  <c r="T88" i="17"/>
  <c r="T24" i="17"/>
  <c r="T17" i="17"/>
  <c r="T27" i="17"/>
  <c r="T247" i="17"/>
  <c r="T182" i="17"/>
  <c r="T439" i="17"/>
  <c r="T77" i="17"/>
  <c r="T78" i="17"/>
  <c r="T307" i="17"/>
  <c r="T260" i="17"/>
  <c r="T183" i="17"/>
  <c r="T234" i="17"/>
  <c r="T187" i="17"/>
  <c r="T340" i="17"/>
  <c r="T336" i="17"/>
  <c r="T166" i="17"/>
  <c r="T274" i="17"/>
  <c r="T41" i="17"/>
  <c r="T348" i="17"/>
  <c r="T126" i="17"/>
  <c r="T28" i="17"/>
  <c r="T202" i="17"/>
  <c r="T232" i="17"/>
  <c r="T389" i="17"/>
  <c r="T173" i="17"/>
  <c r="T285" i="17"/>
  <c r="T291" i="17"/>
  <c r="Q198" i="17"/>
  <c r="Q199" i="17"/>
  <c r="Q375" i="17"/>
  <c r="Q363" i="17"/>
  <c r="Q404" i="17"/>
  <c r="Q337" i="17"/>
  <c r="Q364" i="17"/>
  <c r="Q403" i="17"/>
  <c r="Q294" i="17"/>
  <c r="Q295" i="17"/>
  <c r="Q62" i="17"/>
  <c r="Q194" i="17"/>
  <c r="Q429" i="17"/>
  <c r="Q31" i="17"/>
  <c r="Q190" i="17"/>
  <c r="Q37" i="17"/>
  <c r="Q243" i="17"/>
  <c r="Q386" i="17"/>
  <c r="Q18" i="17"/>
  <c r="Q12" i="17"/>
  <c r="Q11" i="17"/>
  <c r="Q10" i="17"/>
  <c r="Q431" i="17"/>
  <c r="Q430" i="17"/>
  <c r="Q206" i="17"/>
  <c r="Q280" i="17"/>
  <c r="Q83" i="17"/>
  <c r="Q150" i="17"/>
  <c r="Q69" i="17"/>
  <c r="Q26" i="17"/>
  <c r="Q90" i="17"/>
  <c r="Q87" i="17"/>
  <c r="Q291" i="17"/>
  <c r="O291" i="17"/>
  <c r="M291" i="17"/>
  <c r="K52" i="17"/>
  <c r="K97" i="17"/>
  <c r="K145" i="17"/>
  <c r="K98" i="17"/>
  <c r="K177" i="17"/>
  <c r="K197" i="17"/>
  <c r="K204" i="17"/>
  <c r="K200" i="17"/>
  <c r="K191" i="17"/>
  <c r="K203" i="17"/>
  <c r="K224" i="17"/>
  <c r="K128" i="17"/>
  <c r="K238" i="17"/>
  <c r="K244" i="17"/>
  <c r="K288" i="17"/>
  <c r="K306" i="17"/>
  <c r="K65" i="17"/>
  <c r="K314" i="17"/>
  <c r="K218" i="17"/>
  <c r="K106" i="17"/>
  <c r="K328" i="17"/>
  <c r="K378" i="17"/>
  <c r="K358" i="17"/>
  <c r="K35" i="17"/>
  <c r="K409" i="17"/>
  <c r="K327" i="17"/>
  <c r="K363" i="17"/>
  <c r="K362" i="17"/>
  <c r="K404" i="17"/>
  <c r="K352" i="17"/>
  <c r="K353" i="17"/>
  <c r="K400" i="17"/>
  <c r="K416" i="17"/>
  <c r="K38" i="17"/>
  <c r="K333" i="17"/>
  <c r="K383" i="17"/>
  <c r="K397" i="17"/>
  <c r="K371" i="17"/>
  <c r="K359" i="17"/>
  <c r="K45" i="17"/>
  <c r="K337" i="17"/>
  <c r="K417" i="17"/>
  <c r="K410" i="17"/>
  <c r="K357" i="17"/>
  <c r="K372" i="17"/>
  <c r="K75" i="17"/>
  <c r="K402" i="17"/>
  <c r="K401" i="17"/>
  <c r="K391" i="17"/>
  <c r="K345" i="17"/>
  <c r="K369" i="17"/>
  <c r="K381" i="17"/>
  <c r="K364" i="17"/>
  <c r="K330" i="17"/>
  <c r="K54" i="17"/>
  <c r="K418" i="17"/>
  <c r="K403" i="17"/>
  <c r="K388" i="17"/>
  <c r="K398" i="17"/>
  <c r="K344" i="17"/>
  <c r="K406" i="17"/>
  <c r="K294" i="17"/>
  <c r="K295" i="17"/>
  <c r="K421" i="17"/>
  <c r="K93" i="17"/>
  <c r="K184" i="17"/>
  <c r="K254" i="17"/>
  <c r="K258" i="17"/>
  <c r="K107" i="17"/>
  <c r="K181" i="17"/>
  <c r="K163" i="17"/>
  <c r="K175" i="17"/>
  <c r="K423" i="17"/>
  <c r="K209" i="17"/>
  <c r="K259" i="17"/>
  <c r="K99" i="17"/>
  <c r="K316" i="17"/>
  <c r="K329" i="17"/>
  <c r="K379" i="17"/>
  <c r="K79" i="17"/>
  <c r="K395" i="17"/>
  <c r="K441" i="17"/>
  <c r="K415" i="17"/>
  <c r="K82" i="17"/>
  <c r="K390" i="17"/>
  <c r="K161" i="17"/>
  <c r="K208" i="17"/>
  <c r="K131" i="17"/>
  <c r="K324" i="17"/>
  <c r="K414" i="17"/>
  <c r="K34" i="17"/>
  <c r="K16" i="17"/>
  <c r="K29" i="17"/>
  <c r="K120" i="17"/>
  <c r="K31" i="17"/>
  <c r="K255" i="17"/>
  <c r="K257" i="17"/>
  <c r="K186" i="17"/>
  <c r="K104" i="17"/>
  <c r="K228" i="17"/>
  <c r="K32" i="17"/>
  <c r="K37" i="17"/>
  <c r="K412" i="17"/>
  <c r="K30" i="17"/>
  <c r="K149" i="17"/>
  <c r="K185" i="17"/>
  <c r="K347" i="17"/>
  <c r="K156" i="17"/>
  <c r="K396" i="17"/>
  <c r="K309" i="17"/>
  <c r="K235" i="17"/>
  <c r="K289" i="17"/>
  <c r="K443" i="17"/>
  <c r="K221" i="17"/>
  <c r="K23" i="17"/>
  <c r="K298" i="17"/>
  <c r="K132" i="17"/>
  <c r="K118" i="17"/>
  <c r="K147" i="17"/>
  <c r="K55" i="17"/>
  <c r="K261" i="17"/>
  <c r="K56" i="17"/>
  <c r="K240" i="17"/>
  <c r="K243" i="17"/>
  <c r="K49" i="17"/>
  <c r="K387" i="17"/>
  <c r="K201" i="17"/>
  <c r="K283" i="17"/>
  <c r="K140" i="17"/>
  <c r="K141" i="17"/>
  <c r="K142" i="17"/>
  <c r="K170" i="17"/>
  <c r="K263" i="17"/>
  <c r="K15" i="17"/>
  <c r="K231" i="17"/>
  <c r="K275" i="17"/>
  <c r="K279" i="17"/>
  <c r="K300" i="17"/>
  <c r="K81" i="17"/>
  <c r="K386" i="17"/>
  <c r="K272" i="17"/>
  <c r="K12" i="17"/>
  <c r="K100" i="17"/>
  <c r="K253" i="17"/>
  <c r="K440" i="17"/>
  <c r="K157" i="17"/>
  <c r="K158" i="17"/>
  <c r="K442" i="17"/>
  <c r="K312" i="17"/>
  <c r="K446" i="17"/>
  <c r="K438" i="17"/>
  <c r="K445" i="17"/>
  <c r="K133" i="17"/>
  <c r="K73" i="17"/>
  <c r="K80" i="17"/>
  <c r="K101" i="17"/>
  <c r="K286" i="17"/>
  <c r="K420" i="17"/>
  <c r="K122" i="17"/>
  <c r="K264" i="17"/>
  <c r="K281" i="17"/>
  <c r="K178" i="17"/>
  <c r="K162" i="17"/>
  <c r="K108" i="17"/>
  <c r="K86" i="17"/>
  <c r="K129" i="17"/>
  <c r="K350" i="17"/>
  <c r="K212" i="17"/>
  <c r="K213" i="17"/>
  <c r="K229" i="17"/>
  <c r="K225" i="17"/>
  <c r="K127" i="17"/>
  <c r="K180" i="17"/>
  <c r="K384" i="17"/>
  <c r="K130" i="17"/>
  <c r="K313" i="17"/>
  <c r="K70" i="17"/>
  <c r="K269" i="17"/>
  <c r="K210" i="17"/>
  <c r="K125" i="17"/>
  <c r="K290" i="17"/>
  <c r="K124" i="17"/>
  <c r="K334" i="17"/>
  <c r="K282" i="17"/>
  <c r="K219" i="17"/>
  <c r="K211" i="17"/>
  <c r="K273" i="17"/>
  <c r="K284" i="17"/>
  <c r="K66" i="17"/>
  <c r="K83" i="17"/>
  <c r="K121" i="17"/>
  <c r="K150" i="17"/>
  <c r="K155" i="17"/>
  <c r="K139" i="17"/>
  <c r="K154" i="17"/>
  <c r="K320" i="17"/>
  <c r="K339" i="17"/>
  <c r="K72" i="17"/>
  <c r="K69" i="17"/>
  <c r="K71" i="17"/>
  <c r="K385" i="17"/>
  <c r="K278" i="17"/>
  <c r="K437" i="17"/>
  <c r="K444" i="17"/>
  <c r="K310" i="17"/>
  <c r="K315" i="17"/>
  <c r="K308" i="17"/>
  <c r="K277" i="17"/>
  <c r="K26" i="17"/>
  <c r="K207" i="17"/>
  <c r="K91" i="17"/>
  <c r="K27" i="17"/>
  <c r="K182" i="17"/>
  <c r="K439" i="17"/>
  <c r="K77" i="17"/>
  <c r="K78" i="17"/>
  <c r="K377" i="17"/>
  <c r="K307" i="17"/>
  <c r="K260" i="17"/>
  <c r="K183" i="17"/>
  <c r="K114" i="17"/>
  <c r="K234" i="17"/>
  <c r="K187" i="17"/>
  <c r="K340" i="17"/>
  <c r="K41" i="17"/>
  <c r="K348" i="17"/>
  <c r="K368" i="17"/>
  <c r="K126" i="17"/>
  <c r="K96" i="17"/>
  <c r="K232" i="17"/>
  <c r="K389" i="17"/>
  <c r="K173" i="17"/>
  <c r="K271" i="17"/>
  <c r="K285" i="17"/>
  <c r="K90" i="17"/>
  <c r="K87" i="17"/>
  <c r="K291" i="17"/>
  <c r="K92" i="17"/>
  <c r="G291" i="17"/>
  <c r="V83" i="17" l="1"/>
  <c r="V127" i="17"/>
  <c r="V243" i="17"/>
  <c r="V186" i="17"/>
  <c r="V197" i="17"/>
  <c r="V173" i="17"/>
  <c r="V166" i="17"/>
  <c r="V376" i="17"/>
  <c r="V444" i="17"/>
  <c r="V239" i="17"/>
  <c r="V206" i="17"/>
  <c r="V430" i="17"/>
  <c r="V225" i="17"/>
  <c r="V178" i="17"/>
  <c r="V133" i="17"/>
  <c r="V12" i="17"/>
  <c r="V300" i="17"/>
  <c r="V240" i="17"/>
  <c r="V443" i="17"/>
  <c r="V174" i="17"/>
  <c r="V432" i="17"/>
  <c r="V418" i="17"/>
  <c r="V359" i="17"/>
  <c r="V44" i="17"/>
  <c r="V288" i="17"/>
  <c r="V188" i="17"/>
  <c r="V41" i="17"/>
  <c r="V80" i="17"/>
  <c r="V327" i="17"/>
  <c r="V232" i="17"/>
  <c r="V336" i="17"/>
  <c r="V77" i="17"/>
  <c r="V220" i="17"/>
  <c r="V241" i="17"/>
  <c r="V211" i="17"/>
  <c r="V431" i="17"/>
  <c r="V229" i="17"/>
  <c r="V281" i="17"/>
  <c r="V445" i="17"/>
  <c r="V18" i="17"/>
  <c r="V231" i="17"/>
  <c r="V289" i="17"/>
  <c r="V194" i="17"/>
  <c r="V408" i="17"/>
  <c r="V54" i="17"/>
  <c r="V360" i="17"/>
  <c r="V346" i="17"/>
  <c r="V98" i="17"/>
  <c r="V280" i="17"/>
  <c r="V92" i="17"/>
  <c r="V202" i="17"/>
  <c r="V340" i="17"/>
  <c r="V182" i="17"/>
  <c r="V71" i="17"/>
  <c r="V256" i="17"/>
  <c r="V223" i="17"/>
  <c r="V19" i="17"/>
  <c r="V350" i="17"/>
  <c r="V264" i="17"/>
  <c r="V312" i="17"/>
  <c r="V272" i="17"/>
  <c r="V263" i="17"/>
  <c r="V261" i="17"/>
  <c r="V190" i="17"/>
  <c r="V192" i="17"/>
  <c r="V107" i="17"/>
  <c r="V364" i="17"/>
  <c r="V383" i="17"/>
  <c r="V349" i="17"/>
  <c r="V238" i="17"/>
  <c r="V97" i="17"/>
  <c r="V285" i="17"/>
  <c r="V307" i="17"/>
  <c r="V210" i="17"/>
  <c r="V167" i="17"/>
  <c r="V262" i="17"/>
  <c r="V95" i="17"/>
  <c r="V117" i="17"/>
  <c r="V62" i="17"/>
  <c r="V357" i="17"/>
  <c r="V205" i="17"/>
  <c r="V126" i="17"/>
  <c r="V187" i="17"/>
  <c r="V165" i="17"/>
  <c r="V69" i="17"/>
  <c r="V233" i="17"/>
  <c r="V334" i="17"/>
  <c r="V276" i="17"/>
  <c r="V129" i="17"/>
  <c r="V266" i="17"/>
  <c r="V158" i="17"/>
  <c r="V270" i="17"/>
  <c r="V303" i="17"/>
  <c r="V147" i="17"/>
  <c r="V309" i="17"/>
  <c r="V31" i="17"/>
  <c r="V208" i="17"/>
  <c r="V57" i="17"/>
  <c r="V258" i="17"/>
  <c r="V369" i="17"/>
  <c r="V333" i="17"/>
  <c r="V332" i="17"/>
  <c r="V128" i="17"/>
  <c r="V148" i="17"/>
  <c r="V310" i="17"/>
  <c r="V306" i="17"/>
  <c r="V291" i="17"/>
  <c r="V368" i="17"/>
  <c r="V234" i="17"/>
  <c r="V207" i="17"/>
  <c r="V72" i="17"/>
  <c r="V74" i="17"/>
  <c r="V249" i="17"/>
  <c r="V130" i="17"/>
  <c r="V108" i="17"/>
  <c r="V10" i="17"/>
  <c r="V157" i="17"/>
  <c r="V386" i="17"/>
  <c r="V151" i="17"/>
  <c r="V156" i="17"/>
  <c r="V104" i="17"/>
  <c r="V429" i="17"/>
  <c r="V297" i="17"/>
  <c r="V184" i="17"/>
  <c r="V356" i="17"/>
  <c r="V362" i="17"/>
  <c r="V224" i="17"/>
  <c r="V123" i="17"/>
  <c r="V87" i="17"/>
  <c r="V366" i="17"/>
  <c r="V183" i="17"/>
  <c r="V84" i="17"/>
  <c r="V252" i="17"/>
  <c r="V287" i="17"/>
  <c r="V290" i="17"/>
  <c r="V180" i="17"/>
  <c r="V248" i="17"/>
  <c r="V11" i="17"/>
  <c r="V137" i="17"/>
  <c r="V246" i="17"/>
  <c r="V50" i="17"/>
  <c r="V298" i="17"/>
  <c r="V185" i="17"/>
  <c r="V428" i="17"/>
  <c r="V259" i="17"/>
  <c r="V391" i="17"/>
  <c r="V363" i="17"/>
  <c r="V230" i="17"/>
  <c r="V199" i="17"/>
  <c r="V67" i="17"/>
  <c r="V294" i="17"/>
  <c r="V90" i="17"/>
  <c r="V348" i="17"/>
  <c r="V260" i="17"/>
  <c r="V315" i="17"/>
  <c r="V134" i="17"/>
  <c r="V284" i="17"/>
  <c r="V125" i="17"/>
  <c r="V382" i="17"/>
  <c r="V245" i="17"/>
  <c r="V338" i="17"/>
  <c r="V440" i="17"/>
  <c r="V81" i="17"/>
  <c r="V49" i="17"/>
  <c r="V105" i="17"/>
  <c r="V176" i="17"/>
  <c r="V131" i="17"/>
  <c r="V63" i="17"/>
  <c r="V209" i="17"/>
  <c r="V295" i="17"/>
  <c r="V75" i="17"/>
  <c r="V361" i="17"/>
  <c r="V314" i="17"/>
  <c r="V198" i="17"/>
  <c r="F1" i="17" l="1"/>
  <c r="G1" i="17"/>
  <c r="F2" i="17"/>
  <c r="G2" i="17"/>
  <c r="F3" i="17"/>
  <c r="H3" i="17"/>
  <c r="F4" i="17"/>
  <c r="H4" i="17"/>
  <c r="F5" i="17"/>
  <c r="H5" i="17"/>
  <c r="F15" i="7" l="1"/>
  <c r="D15" i="7"/>
  <c r="F14" i="7"/>
  <c r="D14" i="7"/>
  <c r="F13" i="7"/>
  <c r="D13" i="7"/>
  <c r="F12" i="7"/>
  <c r="D12" i="7"/>
  <c r="F11" i="7"/>
  <c r="D11" i="7"/>
  <c r="F10" i="7"/>
  <c r="D10" i="7"/>
  <c r="B18" i="23" l="1"/>
  <c r="E18" i="23"/>
  <c r="F18" i="23"/>
  <c r="Q18" i="23"/>
  <c r="R19" i="23" s="1"/>
  <c r="R18" i="23"/>
  <c r="W18" i="23"/>
  <c r="X18" i="23"/>
  <c r="Y18" i="23"/>
  <c r="X52" i="17" l="1"/>
  <c r="X67" i="17"/>
  <c r="X89" i="17"/>
  <c r="X123" i="17"/>
  <c r="X148" i="17"/>
  <c r="X97" i="17"/>
  <c r="X143" i="17"/>
  <c r="X145" i="17"/>
  <c r="X98" i="17"/>
  <c r="X177" i="17"/>
  <c r="X116" i="17"/>
  <c r="X188" i="17"/>
  <c r="X197" i="17"/>
  <c r="X204" i="17"/>
  <c r="X200" i="17"/>
  <c r="X191" i="17"/>
  <c r="X203" i="17"/>
  <c r="X198" i="17"/>
  <c r="X199" i="17"/>
  <c r="X195" i="17"/>
  <c r="X227" i="17"/>
  <c r="X224" i="17"/>
  <c r="X128" i="17"/>
  <c r="X238" i="17"/>
  <c r="X237" i="17"/>
  <c r="X236" i="17"/>
  <c r="X244" i="17"/>
  <c r="X288" i="17"/>
  <c r="X292" i="17"/>
  <c r="X164" i="17"/>
  <c r="X306" i="17"/>
  <c r="X65" i="17"/>
  <c r="X314" i="17"/>
  <c r="X152" i="17"/>
  <c r="X230" i="17"/>
  <c r="X218" i="17"/>
  <c r="X106" i="17"/>
  <c r="X332" i="17"/>
  <c r="X328" i="17"/>
  <c r="X349" i="17"/>
  <c r="X343" i="17"/>
  <c r="X378" i="17"/>
  <c r="X346" i="17"/>
  <c r="X44" i="17"/>
  <c r="X358" i="17"/>
  <c r="X380" i="17"/>
  <c r="X35" i="17"/>
  <c r="X409" i="17"/>
  <c r="X327" i="17"/>
  <c r="X375" i="17"/>
  <c r="X361" i="17"/>
  <c r="X365" i="17"/>
  <c r="X363" i="17"/>
  <c r="X393" i="17"/>
  <c r="X362" i="17"/>
  <c r="X404" i="17"/>
  <c r="X374" i="17"/>
  <c r="X352" i="17"/>
  <c r="X53" i="17"/>
  <c r="X353" i="17"/>
  <c r="X48" i="17"/>
  <c r="X400" i="17"/>
  <c r="X416" i="17"/>
  <c r="X325" i="17"/>
  <c r="X38" i="17"/>
  <c r="X333" i="17"/>
  <c r="X383" i="17"/>
  <c r="X397" i="17"/>
  <c r="X360" i="17"/>
  <c r="X371" i="17"/>
  <c r="X47" i="17"/>
  <c r="X354" i="17"/>
  <c r="X359" i="17"/>
  <c r="X45" i="17"/>
  <c r="X321" i="17"/>
  <c r="X337" i="17"/>
  <c r="X46" i="17"/>
  <c r="X36" i="17"/>
  <c r="X417" i="17"/>
  <c r="X410" i="17"/>
  <c r="X357" i="17"/>
  <c r="X372" i="17"/>
  <c r="X75" i="17"/>
  <c r="X402" i="17"/>
  <c r="X401" i="17"/>
  <c r="X391" i="17"/>
  <c r="X356" i="17"/>
  <c r="X345" i="17"/>
  <c r="X369" i="17"/>
  <c r="X381" i="17"/>
  <c r="X364" i="17"/>
  <c r="X355" i="17"/>
  <c r="X330" i="17"/>
  <c r="X54" i="17"/>
  <c r="X418" i="17"/>
  <c r="X403" i="17"/>
  <c r="X413" i="17"/>
  <c r="X392" i="17"/>
  <c r="X388" i="17"/>
  <c r="X398" i="17"/>
  <c r="X344" i="17"/>
  <c r="X406" i="17"/>
  <c r="X419" i="17"/>
  <c r="X294" i="17"/>
  <c r="X295" i="17"/>
  <c r="X421" i="17"/>
  <c r="X93" i="17"/>
  <c r="X153" i="17"/>
  <c r="X184" i="17"/>
  <c r="X254" i="17"/>
  <c r="X258" i="17"/>
  <c r="X20" i="17"/>
  <c r="X107" i="17"/>
  <c r="X40" i="17"/>
  <c r="X181" i="17"/>
  <c r="X163" i="17"/>
  <c r="X424" i="17"/>
  <c r="X172" i="17"/>
  <c r="X175" i="17"/>
  <c r="X168" i="17"/>
  <c r="X160" i="17"/>
  <c r="X423" i="17"/>
  <c r="X209" i="17"/>
  <c r="X259" i="17"/>
  <c r="X99" i="17"/>
  <c r="X316" i="17"/>
  <c r="X329" i="17"/>
  <c r="X215" i="17"/>
  <c r="X379" i="17"/>
  <c r="X79" i="17"/>
  <c r="X43" i="17"/>
  <c r="X395" i="17"/>
  <c r="X57" i="17"/>
  <c r="X441" i="17"/>
  <c r="X405" i="17"/>
  <c r="X415" i="17"/>
  <c r="X399" i="17"/>
  <c r="X408" i="17"/>
  <c r="X432" i="17"/>
  <c r="X62" i="17"/>
  <c r="X63" i="17"/>
  <c r="X68" i="17"/>
  <c r="X82" i="17"/>
  <c r="X61" i="17"/>
  <c r="X390" i="17"/>
  <c r="X367" i="17"/>
  <c r="X297" i="17"/>
  <c r="X161" i="17"/>
  <c r="X425" i="17"/>
  <c r="X208" i="17"/>
  <c r="X109" i="17"/>
  <c r="X192" i="17"/>
  <c r="X194" i="17"/>
  <c r="X76" i="17"/>
  <c r="X112" i="17"/>
  <c r="X131" i="17"/>
  <c r="X324" i="17"/>
  <c r="X394" i="17"/>
  <c r="X414" i="17"/>
  <c r="X113" i="17"/>
  <c r="X428" i="17"/>
  <c r="X429" i="17"/>
  <c r="X34" i="17"/>
  <c r="X304" i="17"/>
  <c r="X16" i="17"/>
  <c r="X29" i="17"/>
  <c r="X9" i="17"/>
  <c r="X8" i="17"/>
  <c r="X342" i="17"/>
  <c r="X120" i="17"/>
  <c r="X407" i="17"/>
  <c r="X31" i="17"/>
  <c r="X13" i="17"/>
  <c r="X190" i="17"/>
  <c r="X255" i="17"/>
  <c r="X257" i="17"/>
  <c r="X174" i="17"/>
  <c r="X186" i="17"/>
  <c r="X176" i="17"/>
  <c r="X422" i="17"/>
  <c r="X104" i="17"/>
  <c r="X228" i="17"/>
  <c r="X411" i="17"/>
  <c r="X32" i="17"/>
  <c r="X37" i="17"/>
  <c r="X412" i="17"/>
  <c r="X30" i="17"/>
  <c r="X117" i="17"/>
  <c r="X196" i="17"/>
  <c r="X250" i="17"/>
  <c r="X149" i="17"/>
  <c r="X185" i="17"/>
  <c r="X347" i="17"/>
  <c r="X156" i="17"/>
  <c r="X301" i="17"/>
  <c r="X396" i="17"/>
  <c r="X309" i="17"/>
  <c r="X235" i="17"/>
  <c r="X138" i="17"/>
  <c r="X289" i="17"/>
  <c r="X443" i="17"/>
  <c r="X95" i="17"/>
  <c r="X85" i="17"/>
  <c r="X103" i="17"/>
  <c r="X221" i="17"/>
  <c r="X105" i="17"/>
  <c r="X23" i="17"/>
  <c r="X298" i="17"/>
  <c r="X305" i="17"/>
  <c r="X132" i="17"/>
  <c r="X118" i="17"/>
  <c r="X147" i="17"/>
  <c r="X33" i="17"/>
  <c r="X55" i="17"/>
  <c r="X146" i="17"/>
  <c r="X261" i="17"/>
  <c r="X56" i="17"/>
  <c r="X240" i="17"/>
  <c r="X243" i="17"/>
  <c r="X49" i="17"/>
  <c r="X302" i="17"/>
  <c r="X387" i="17"/>
  <c r="X201" i="17"/>
  <c r="X283" i="17"/>
  <c r="X140" i="17"/>
  <c r="X50" i="17"/>
  <c r="X151" i="17"/>
  <c r="X59" i="17"/>
  <c r="X141" i="17"/>
  <c r="X142" i="17"/>
  <c r="X303" i="17"/>
  <c r="X170" i="17"/>
  <c r="X263" i="17"/>
  <c r="X15" i="17"/>
  <c r="X231" i="17"/>
  <c r="X275" i="17"/>
  <c r="X279" i="17"/>
  <c r="X300" i="17"/>
  <c r="X262" i="17"/>
  <c r="X81" i="17"/>
  <c r="X39" i="17"/>
  <c r="X246" i="17"/>
  <c r="X386" i="17"/>
  <c r="X270" i="17"/>
  <c r="X267" i="17"/>
  <c r="X272" i="17"/>
  <c r="X18" i="17"/>
  <c r="X12" i="17"/>
  <c r="X100" i="17"/>
  <c r="X299" i="17"/>
  <c r="X159" i="17"/>
  <c r="X253" i="17"/>
  <c r="X440" i="17"/>
  <c r="X137" i="17"/>
  <c r="X157" i="17"/>
  <c r="X158" i="17"/>
  <c r="X442" i="17"/>
  <c r="X312" i="17"/>
  <c r="X446" i="17"/>
  <c r="X438" i="17"/>
  <c r="X445" i="17"/>
  <c r="X426" i="17"/>
  <c r="X435" i="17"/>
  <c r="X133" i="17"/>
  <c r="X73" i="17"/>
  <c r="X80" i="17"/>
  <c r="X42" i="17"/>
  <c r="X318" i="17"/>
  <c r="X338" i="17"/>
  <c r="X21" i="17"/>
  <c r="X11" i="17"/>
  <c r="X10" i="17"/>
  <c r="X101" i="17"/>
  <c r="X266" i="17"/>
  <c r="X286" i="17"/>
  <c r="X102" i="17"/>
  <c r="X268" i="17"/>
  <c r="X420" i="17"/>
  <c r="X51" i="17"/>
  <c r="X122" i="17"/>
  <c r="X264" i="17"/>
  <c r="X281" i="17"/>
  <c r="X178" i="17"/>
  <c r="X169" i="17"/>
  <c r="X171" i="17"/>
  <c r="X162" i="17"/>
  <c r="X167" i="17"/>
  <c r="X179" i="17"/>
  <c r="X245" i="17"/>
  <c r="X248" i="17"/>
  <c r="X22" i="17"/>
  <c r="X115" i="17"/>
  <c r="X64" i="17"/>
  <c r="X108" i="17"/>
  <c r="X86" i="17"/>
  <c r="X129" i="17"/>
  <c r="X350" i="17"/>
  <c r="X217" i="17"/>
  <c r="X212" i="17"/>
  <c r="X222" i="17"/>
  <c r="X213" i="17"/>
  <c r="X214" i="17"/>
  <c r="X229" i="17"/>
  <c r="X225" i="17"/>
  <c r="X226" i="17"/>
  <c r="X127" i="17"/>
  <c r="X370" i="17"/>
  <c r="X382" i="17"/>
  <c r="X180" i="17"/>
  <c r="X384" i="17"/>
  <c r="X130" i="17"/>
  <c r="X313" i="17"/>
  <c r="X276" i="17"/>
  <c r="X70" i="17"/>
  <c r="X19" i="17"/>
  <c r="X269" i="17"/>
  <c r="X431" i="17"/>
  <c r="X430" i="17"/>
  <c r="X111" i="17"/>
  <c r="X210" i="17"/>
  <c r="X125" i="17"/>
  <c r="X290" i="17"/>
  <c r="X110" i="17"/>
  <c r="X124" i="17"/>
  <c r="X331" i="17"/>
  <c r="X249" i="17"/>
  <c r="X334" i="17"/>
  <c r="X436" i="17"/>
  <c r="X282" i="17"/>
  <c r="X223" i="17"/>
  <c r="X433" i="17"/>
  <c r="X219" i="17"/>
  <c r="X335" i="17"/>
  <c r="X211" i="17"/>
  <c r="X206" i="17"/>
  <c r="X189" i="17"/>
  <c r="X58" i="17"/>
  <c r="X273" i="17"/>
  <c r="X280" i="17"/>
  <c r="X284" i="17"/>
  <c r="X287" i="17"/>
  <c r="X74" i="17"/>
  <c r="X233" i="17"/>
  <c r="X256" i="17"/>
  <c r="X251" i="17"/>
  <c r="X241" i="17"/>
  <c r="X239" i="17"/>
  <c r="X66" i="17"/>
  <c r="X83" i="17"/>
  <c r="X121" i="17"/>
  <c r="X134" i="17"/>
  <c r="X150" i="17"/>
  <c r="X135" i="17"/>
  <c r="X155" i="17"/>
  <c r="X139" i="17"/>
  <c r="X136" i="17"/>
  <c r="X144" i="17"/>
  <c r="X154" i="17"/>
  <c r="X252" i="17"/>
  <c r="X193" i="17"/>
  <c r="X320" i="17"/>
  <c r="X339" i="17"/>
  <c r="X322" i="17"/>
  <c r="X323" i="17"/>
  <c r="X60" i="17"/>
  <c r="X72" i="17"/>
  <c r="X69" i="17"/>
  <c r="X71" i="17"/>
  <c r="X385" i="17"/>
  <c r="X242" i="17"/>
  <c r="X278" i="17"/>
  <c r="X220" i="17"/>
  <c r="X437" i="17"/>
  <c r="X434" i="17"/>
  <c r="X351" i="17"/>
  <c r="X341" i="17"/>
  <c r="X216" i="17"/>
  <c r="X444" i="17"/>
  <c r="X310" i="17"/>
  <c r="X293" i="17"/>
  <c r="X315" i="17"/>
  <c r="X308" i="17"/>
  <c r="X311" i="17"/>
  <c r="X277" i="17"/>
  <c r="X14" i="17"/>
  <c r="X26" i="17"/>
  <c r="X84" i="17"/>
  <c r="X207" i="17"/>
  <c r="X326" i="17"/>
  <c r="X91" i="17"/>
  <c r="X88" i="17"/>
  <c r="X24" i="17"/>
  <c r="X17" i="17"/>
  <c r="K25" i="17"/>
  <c r="G5" i="17"/>
  <c r="G4" i="17"/>
  <c r="G3" i="17"/>
  <c r="H2" i="17"/>
  <c r="G237" i="17" l="1"/>
  <c r="G200" i="17"/>
  <c r="G52" i="17"/>
  <c r="G405" i="17"/>
  <c r="G76" i="17"/>
  <c r="G93" i="17"/>
  <c r="G99" i="17"/>
  <c r="G422" i="17"/>
  <c r="G379" i="17"/>
  <c r="G43" i="17"/>
  <c r="G304" i="17"/>
  <c r="G228" i="17"/>
  <c r="G412" i="17"/>
  <c r="G149" i="17"/>
  <c r="G305" i="17"/>
  <c r="G20" i="17"/>
  <c r="G423" i="17"/>
  <c r="G415" i="17"/>
  <c r="G221" i="17"/>
  <c r="G440" i="17"/>
  <c r="G367" i="17"/>
  <c r="G253" i="17"/>
  <c r="G299" i="17"/>
  <c r="G261" i="17"/>
  <c r="G442" i="17"/>
  <c r="G283" i="17"/>
  <c r="G262" i="17"/>
  <c r="O31" i="17"/>
  <c r="T139" i="17"/>
  <c r="T328" i="17"/>
  <c r="T159" i="17"/>
  <c r="T38" i="17"/>
  <c r="T35" i="17"/>
  <c r="T213" i="17"/>
  <c r="T218" i="17"/>
  <c r="T403" i="17"/>
  <c r="T320" i="17"/>
  <c r="T425" i="17"/>
  <c r="T86" i="17"/>
  <c r="T110" i="17"/>
  <c r="T293" i="17"/>
  <c r="T427" i="17"/>
  <c r="T58" i="17"/>
  <c r="T373" i="17"/>
  <c r="T392" i="17"/>
  <c r="T367" i="17"/>
  <c r="T242" i="17"/>
  <c r="T365" i="17"/>
  <c r="T398" i="17"/>
  <c r="T269" i="17"/>
  <c r="T370" i="17"/>
  <c r="T401" i="17"/>
  <c r="T344" i="17"/>
  <c r="T316" i="17"/>
  <c r="T317" i="17"/>
  <c r="T201" i="17"/>
  <c r="T435" i="17"/>
  <c r="T341" i="17"/>
  <c r="T215" i="17"/>
  <c r="T114" i="17"/>
  <c r="T271" i="17"/>
  <c r="I139" i="17"/>
  <c r="T25" i="17"/>
  <c r="T89" i="17"/>
  <c r="T116" i="17"/>
  <c r="T432" i="17"/>
  <c r="T297" i="17"/>
  <c r="T112" i="17"/>
  <c r="T34" i="17"/>
  <c r="T85" i="17"/>
  <c r="T118" i="17"/>
  <c r="T446" i="17"/>
  <c r="T22" i="17"/>
  <c r="T212" i="17"/>
  <c r="T96" i="17"/>
  <c r="T396" i="17"/>
  <c r="T59" i="17"/>
  <c r="T318" i="17"/>
  <c r="T382" i="17"/>
  <c r="T136" i="17"/>
  <c r="T296" i="17"/>
  <c r="T188" i="17"/>
  <c r="T195" i="17"/>
  <c r="T44" i="17"/>
  <c r="T353" i="17"/>
  <c r="T397" i="17"/>
  <c r="T402" i="17"/>
  <c r="T163" i="17"/>
  <c r="T395" i="17"/>
  <c r="T161" i="17"/>
  <c r="T117" i="17"/>
  <c r="T438" i="17"/>
  <c r="T115" i="17"/>
  <c r="T219" i="17"/>
  <c r="T220" i="17"/>
  <c r="T377" i="17"/>
  <c r="T197" i="17"/>
  <c r="T292" i="17"/>
  <c r="T330" i="17"/>
  <c r="T57" i="17"/>
  <c r="T324" i="17"/>
  <c r="T16" i="17"/>
  <c r="T13" i="17"/>
  <c r="T196" i="17"/>
  <c r="T309" i="17"/>
  <c r="T221" i="17"/>
  <c r="T33" i="17"/>
  <c r="T267" i="17"/>
  <c r="T268" i="17"/>
  <c r="T64" i="17"/>
  <c r="T144" i="17"/>
  <c r="T60" i="17"/>
  <c r="T326" i="17"/>
  <c r="T368" i="17"/>
  <c r="T205" i="17"/>
  <c r="T36" i="17"/>
  <c r="T394" i="17"/>
  <c r="T426" i="17"/>
  <c r="T21" i="17"/>
  <c r="T214" i="17"/>
  <c r="T119" i="17"/>
  <c r="T97" i="17"/>
  <c r="T204" i="17"/>
  <c r="T164" i="17"/>
  <c r="T332" i="17"/>
  <c r="T393" i="17"/>
  <c r="T400" i="17"/>
  <c r="T371" i="17"/>
  <c r="T406" i="17"/>
  <c r="T272" i="17"/>
  <c r="T162" i="17"/>
  <c r="T434" i="17"/>
  <c r="T92" i="17"/>
  <c r="T443" i="17"/>
  <c r="T135" i="17"/>
  <c r="T200" i="17"/>
  <c r="T47" i="17"/>
  <c r="T356" i="17"/>
  <c r="T419" i="17"/>
  <c r="T329" i="17"/>
  <c r="T405" i="17"/>
  <c r="T109" i="17"/>
  <c r="T9" i="17"/>
  <c r="T167" i="17"/>
  <c r="T229" i="17"/>
  <c r="T111" i="17"/>
  <c r="T334" i="17"/>
  <c r="T134" i="17"/>
  <c r="T351" i="17"/>
  <c r="T265" i="17"/>
  <c r="T94" i="17"/>
  <c r="T343" i="17"/>
  <c r="T374" i="17"/>
  <c r="T379" i="17"/>
  <c r="T276" i="17"/>
  <c r="T14" i="17"/>
  <c r="T191" i="17"/>
  <c r="T325" i="17"/>
  <c r="T354" i="17"/>
  <c r="T61" i="17"/>
  <c r="T113" i="17"/>
  <c r="T8" i="17"/>
  <c r="T261" i="17"/>
  <c r="T12" i="17"/>
  <c r="T225" i="17"/>
  <c r="T436" i="17"/>
  <c r="T189" i="17"/>
  <c r="T193" i="17"/>
  <c r="T277" i="17"/>
  <c r="T160" i="17"/>
  <c r="T399" i="17"/>
  <c r="T342" i="17"/>
  <c r="T350" i="17"/>
  <c r="T216" i="17"/>
  <c r="T378" i="17"/>
  <c r="T375" i="17"/>
  <c r="T45" i="17"/>
  <c r="T372" i="17"/>
  <c r="T381" i="17"/>
  <c r="T40" i="17"/>
  <c r="T423" i="17"/>
  <c r="T120" i="17"/>
  <c r="T240" i="17"/>
  <c r="T246" i="17"/>
  <c r="T299" i="17"/>
  <c r="T217" i="17"/>
  <c r="T273" i="17"/>
  <c r="T319" i="17"/>
  <c r="T433" i="17"/>
  <c r="T322" i="17"/>
  <c r="T376" i="17"/>
  <c r="T422" i="17"/>
  <c r="T270" i="17"/>
  <c r="T169" i="17"/>
  <c r="T323" i="17"/>
  <c r="T366" i="17"/>
  <c r="Q238" i="17"/>
  <c r="Q428" i="17"/>
  <c r="Q308" i="17"/>
  <c r="Q44" i="17"/>
  <c r="Q400" i="17"/>
  <c r="Q417" i="17"/>
  <c r="Q423" i="17"/>
  <c r="Q298" i="17"/>
  <c r="Q126" i="17"/>
  <c r="Q35" i="17"/>
  <c r="Q333" i="17"/>
  <c r="Q410" i="17"/>
  <c r="Q388" i="17"/>
  <c r="Q379" i="17"/>
  <c r="Q120" i="17"/>
  <c r="Q55" i="17"/>
  <c r="Q133" i="17"/>
  <c r="Q350" i="17"/>
  <c r="Q239" i="17"/>
  <c r="Q96" i="17"/>
  <c r="Q409" i="17"/>
  <c r="Q383" i="17"/>
  <c r="Q402" i="17"/>
  <c r="Q406" i="17"/>
  <c r="Q415" i="17"/>
  <c r="Q56" i="17"/>
  <c r="Q21" i="17"/>
  <c r="Q127" i="17"/>
  <c r="Q27" i="17"/>
  <c r="Q389" i="17"/>
  <c r="Q371" i="17"/>
  <c r="Q401" i="17"/>
  <c r="Q240" i="17"/>
  <c r="Q241" i="17"/>
  <c r="Q277" i="17"/>
  <c r="Q52" i="17"/>
  <c r="Q376" i="17"/>
  <c r="Q145" i="17"/>
  <c r="Q365" i="17"/>
  <c r="Q47" i="17"/>
  <c r="Q369" i="17"/>
  <c r="Q63" i="17"/>
  <c r="Q32" i="17"/>
  <c r="Q72" i="17"/>
  <c r="Q317" i="17"/>
  <c r="Q362" i="17"/>
  <c r="Q54" i="17"/>
  <c r="Q315" i="17"/>
  <c r="Q172" i="17"/>
  <c r="Q86" i="17"/>
  <c r="Q368" i="17"/>
  <c r="Q438" i="17"/>
  <c r="Q359" i="17"/>
  <c r="Q258" i="17"/>
  <c r="Q192" i="17"/>
  <c r="Q420" i="17"/>
  <c r="Q41" i="17"/>
  <c r="Q45" i="17"/>
  <c r="Q181" i="17"/>
  <c r="Q149" i="17"/>
  <c r="Q245" i="17"/>
  <c r="Q348" i="17"/>
  <c r="Q418" i="17"/>
  <c r="Q396" i="17"/>
  <c r="Q284" i="17"/>
  <c r="Q129" i="17"/>
  <c r="Q353" i="17"/>
  <c r="Q38" i="17"/>
  <c r="Q169" i="17"/>
  <c r="Q148" i="17"/>
  <c r="Q197" i="17"/>
  <c r="Q227" i="17"/>
  <c r="Q292" i="17"/>
  <c r="Q106" i="17"/>
  <c r="Q358" i="17"/>
  <c r="Q48" i="17"/>
  <c r="Q360" i="17"/>
  <c r="Q46" i="17"/>
  <c r="Q330" i="17"/>
  <c r="Q344" i="17"/>
  <c r="Q184" i="17"/>
  <c r="Q424" i="17"/>
  <c r="Q99" i="17"/>
  <c r="Q57" i="17"/>
  <c r="Q425" i="17"/>
  <c r="Q324" i="17"/>
  <c r="Q16" i="17"/>
  <c r="Q13" i="17"/>
  <c r="Q104" i="17"/>
  <c r="Q196" i="17"/>
  <c r="Q309" i="17"/>
  <c r="Q221" i="17"/>
  <c r="Q33" i="17"/>
  <c r="Q302" i="17"/>
  <c r="Q141" i="17"/>
  <c r="Q279" i="17"/>
  <c r="Q267" i="17"/>
  <c r="Q440" i="17"/>
  <c r="Q338" i="17"/>
  <c r="Q268" i="17"/>
  <c r="Q64" i="17"/>
  <c r="Q213" i="17"/>
  <c r="Q335" i="17"/>
  <c r="Q144" i="17"/>
  <c r="Q437" i="17"/>
  <c r="Q326" i="17"/>
  <c r="Q307" i="17"/>
  <c r="Q391" i="17"/>
  <c r="Q208" i="17"/>
  <c r="Q228" i="17"/>
  <c r="Q105" i="17"/>
  <c r="Q142" i="17"/>
  <c r="Q137" i="17"/>
  <c r="Q214" i="17"/>
  <c r="Q74" i="17"/>
  <c r="Q154" i="17"/>
  <c r="Q260" i="17"/>
  <c r="Q92" i="17"/>
  <c r="Q159" i="17"/>
  <c r="Q322" i="17"/>
  <c r="Q97" i="17"/>
  <c r="Q204" i="17"/>
  <c r="Q224" i="17"/>
  <c r="Q164" i="17"/>
  <c r="Q332" i="17"/>
  <c r="Q380" i="17"/>
  <c r="Q393" i="17"/>
  <c r="Q254" i="17"/>
  <c r="Q316" i="17"/>
  <c r="Q441" i="17"/>
  <c r="Q394" i="17"/>
  <c r="Q250" i="17"/>
  <c r="Q387" i="17"/>
  <c r="Q272" i="17"/>
  <c r="Q108" i="17"/>
  <c r="Q211" i="17"/>
  <c r="Q91" i="17"/>
  <c r="Q93" i="17"/>
  <c r="Q446" i="17"/>
  <c r="Q19" i="17"/>
  <c r="Q278" i="17"/>
  <c r="Q143" i="17"/>
  <c r="Q200" i="17"/>
  <c r="Q128" i="17"/>
  <c r="Q306" i="17"/>
  <c r="Q328" i="17"/>
  <c r="Q416" i="17"/>
  <c r="Q356" i="17"/>
  <c r="Q419" i="17"/>
  <c r="Q175" i="17"/>
  <c r="Q329" i="17"/>
  <c r="Q405" i="17"/>
  <c r="Q82" i="17"/>
  <c r="Q109" i="17"/>
  <c r="Q414" i="17"/>
  <c r="Q9" i="17"/>
  <c r="Q255" i="17"/>
  <c r="Q411" i="17"/>
  <c r="Q138" i="17"/>
  <c r="Q23" i="17"/>
  <c r="Q146" i="17"/>
  <c r="Q201" i="17"/>
  <c r="Q303" i="17"/>
  <c r="Q262" i="17"/>
  <c r="Q157" i="17"/>
  <c r="Q435" i="17"/>
  <c r="Q51" i="17"/>
  <c r="Q167" i="17"/>
  <c r="Q229" i="17"/>
  <c r="Q130" i="17"/>
  <c r="Q111" i="17"/>
  <c r="Q334" i="17"/>
  <c r="Q233" i="17"/>
  <c r="Q134" i="17"/>
  <c r="Q252" i="17"/>
  <c r="Q351" i="17"/>
  <c r="Q311" i="17"/>
  <c r="Q88" i="17"/>
  <c r="Q427" i="17"/>
  <c r="Q183" i="17"/>
  <c r="Q166" i="17"/>
  <c r="Q28" i="17"/>
  <c r="Q265" i="17"/>
  <c r="Q191" i="17"/>
  <c r="Q65" i="17"/>
  <c r="Q325" i="17"/>
  <c r="Q354" i="17"/>
  <c r="Q345" i="17"/>
  <c r="Q20" i="17"/>
  <c r="Q215" i="17"/>
  <c r="Q61" i="17"/>
  <c r="Q8" i="17"/>
  <c r="Q257" i="17"/>
  <c r="Q185" i="17"/>
  <c r="Q261" i="17"/>
  <c r="Q313" i="17"/>
  <c r="Q189" i="17"/>
  <c r="Q341" i="17"/>
  <c r="Q439" i="17"/>
  <c r="Q274" i="17"/>
  <c r="Q34" i="17"/>
  <c r="Q42" i="17"/>
  <c r="Q110" i="17"/>
  <c r="Q84" i="17"/>
  <c r="Q349" i="17"/>
  <c r="Q168" i="17"/>
  <c r="Q113" i="17"/>
  <c r="Q289" i="17"/>
  <c r="Q283" i="17"/>
  <c r="Q170" i="17"/>
  <c r="Q81" i="17"/>
  <c r="Q158" i="17"/>
  <c r="Q122" i="17"/>
  <c r="Q179" i="17"/>
  <c r="Q225" i="17"/>
  <c r="Q210" i="17"/>
  <c r="Q436" i="17"/>
  <c r="Q256" i="17"/>
  <c r="Q193" i="17"/>
  <c r="Q71" i="17"/>
  <c r="Q24" i="17"/>
  <c r="Q114" i="17"/>
  <c r="Q94" i="17"/>
  <c r="Q271" i="17"/>
  <c r="Q432" i="17"/>
  <c r="Q118" i="17"/>
  <c r="Q286" i="17"/>
  <c r="Q433" i="17"/>
  <c r="Q165" i="17"/>
  <c r="Q98" i="17"/>
  <c r="Q203" i="17"/>
  <c r="Q237" i="17"/>
  <c r="Q314" i="17"/>
  <c r="Q343" i="17"/>
  <c r="Q327" i="17"/>
  <c r="Q374" i="17"/>
  <c r="Q357" i="17"/>
  <c r="Q413" i="17"/>
  <c r="Q107" i="17"/>
  <c r="Q160" i="17"/>
  <c r="Q399" i="17"/>
  <c r="Q390" i="17"/>
  <c r="Q342" i="17"/>
  <c r="Q174" i="17"/>
  <c r="Q347" i="17"/>
  <c r="Q443" i="17"/>
  <c r="Q305" i="17"/>
  <c r="Q140" i="17"/>
  <c r="Q263" i="17"/>
  <c r="Q39" i="17"/>
  <c r="Q100" i="17"/>
  <c r="Q442" i="17"/>
  <c r="Q73" i="17"/>
  <c r="Q101" i="17"/>
  <c r="Q264" i="17"/>
  <c r="Q226" i="17"/>
  <c r="Q276" i="17"/>
  <c r="Q125" i="17"/>
  <c r="Q282" i="17"/>
  <c r="Q58" i="17"/>
  <c r="Q251" i="17"/>
  <c r="Q135" i="17"/>
  <c r="Q320" i="17"/>
  <c r="Q385" i="17"/>
  <c r="Q216" i="17"/>
  <c r="Q14" i="17"/>
  <c r="Q17" i="17"/>
  <c r="Q77" i="17"/>
  <c r="Q119" i="17"/>
  <c r="Q373" i="17"/>
  <c r="Q202" i="17"/>
  <c r="Q285" i="17"/>
  <c r="Q312" i="17"/>
  <c r="Q248" i="17"/>
  <c r="Q290" i="17"/>
  <c r="Q273" i="17"/>
  <c r="Q155" i="17"/>
  <c r="Q242" i="17"/>
  <c r="Q78" i="17"/>
  <c r="Q116" i="17"/>
  <c r="Q244" i="17"/>
  <c r="Q361" i="17"/>
  <c r="Q321" i="17"/>
  <c r="Q297" i="17"/>
  <c r="Q407" i="17"/>
  <c r="Q30" i="17"/>
  <c r="Q85" i="17"/>
  <c r="Q22" i="17"/>
  <c r="Q310" i="17"/>
  <c r="Q187" i="17"/>
  <c r="Q67" i="17"/>
  <c r="Q177" i="17"/>
  <c r="Q236" i="17"/>
  <c r="Q152" i="17"/>
  <c r="Q378" i="17"/>
  <c r="Q352" i="17"/>
  <c r="Q372" i="17"/>
  <c r="Q381" i="17"/>
  <c r="Q392" i="17"/>
  <c r="Q421" i="17"/>
  <c r="Q40" i="17"/>
  <c r="Q79" i="17"/>
  <c r="Q408" i="17"/>
  <c r="Q367" i="17"/>
  <c r="Q76" i="17"/>
  <c r="Q186" i="17"/>
  <c r="Q412" i="17"/>
  <c r="Q156" i="17"/>
  <c r="Q95" i="17"/>
  <c r="Q132" i="17"/>
  <c r="Q50" i="17"/>
  <c r="Q15" i="17"/>
  <c r="Q246" i="17"/>
  <c r="Q299" i="17"/>
  <c r="Q80" i="17"/>
  <c r="Q266" i="17"/>
  <c r="Q281" i="17"/>
  <c r="Q217" i="17"/>
  <c r="Q70" i="17"/>
  <c r="Q223" i="17"/>
  <c r="Q339" i="17"/>
  <c r="Q444" i="17"/>
  <c r="Q234" i="17"/>
  <c r="Q319" i="17"/>
  <c r="Q89" i="17"/>
  <c r="Q230" i="17"/>
  <c r="Q346" i="17"/>
  <c r="Q53" i="17"/>
  <c r="Q75" i="17"/>
  <c r="Q209" i="17"/>
  <c r="Q112" i="17"/>
  <c r="Q176" i="17"/>
  <c r="Q301" i="17"/>
  <c r="Q231" i="17"/>
  <c r="Q178" i="17"/>
  <c r="Q370" i="17"/>
  <c r="Q139" i="17"/>
  <c r="Q123" i="17"/>
  <c r="Q188" i="17"/>
  <c r="Q195" i="17"/>
  <c r="Q288" i="17"/>
  <c r="Q218" i="17"/>
  <c r="Q397" i="17"/>
  <c r="Q355" i="17"/>
  <c r="Q398" i="17"/>
  <c r="Q153" i="17"/>
  <c r="Q163" i="17"/>
  <c r="Q259" i="17"/>
  <c r="Q395" i="17"/>
  <c r="Q161" i="17"/>
  <c r="Q131" i="17"/>
  <c r="Q304" i="17"/>
  <c r="Q422" i="17"/>
  <c r="Q117" i="17"/>
  <c r="Q103" i="17"/>
  <c r="Q147" i="17"/>
  <c r="Q49" i="17"/>
  <c r="Q59" i="17"/>
  <c r="Q275" i="17"/>
  <c r="Q270" i="17"/>
  <c r="Q253" i="17"/>
  <c r="Q318" i="17"/>
  <c r="Q102" i="17"/>
  <c r="Q115" i="17"/>
  <c r="Q222" i="17"/>
  <c r="Q382" i="17"/>
  <c r="Q269" i="17"/>
  <c r="Q124" i="17"/>
  <c r="Q219" i="17"/>
  <c r="Q66" i="17"/>
  <c r="Q136" i="17"/>
  <c r="Q323" i="17"/>
  <c r="Q220" i="17"/>
  <c r="Q293" i="17"/>
  <c r="Q207" i="17"/>
  <c r="Q296" i="17"/>
  <c r="Q377" i="17"/>
  <c r="Q340" i="17"/>
  <c r="Q366" i="17"/>
  <c r="Q232" i="17"/>
  <c r="Q445" i="17"/>
  <c r="Q171" i="17"/>
  <c r="Q180" i="17"/>
  <c r="Q331" i="17"/>
  <c r="Q287" i="17"/>
  <c r="Q60" i="17"/>
  <c r="Q247" i="17"/>
  <c r="Q336" i="17"/>
  <c r="Q205" i="17"/>
  <c r="Q36" i="17"/>
  <c r="Q68" i="17"/>
  <c r="Q29" i="17"/>
  <c r="Q235" i="17"/>
  <c r="Q300" i="17"/>
  <c r="Q426" i="17"/>
  <c r="Q162" i="17"/>
  <c r="Q384" i="17"/>
  <c r="Q249" i="17"/>
  <c r="Q121" i="17"/>
  <c r="Q434" i="17"/>
  <c r="Q182" i="17"/>
  <c r="Q173" i="17"/>
  <c r="Q43" i="17"/>
  <c r="Q151" i="17"/>
  <c r="Q212" i="17"/>
  <c r="O143" i="17"/>
  <c r="O200" i="17"/>
  <c r="O328" i="17"/>
  <c r="O35" i="17"/>
  <c r="O416" i="17"/>
  <c r="O47" i="17"/>
  <c r="O417" i="17"/>
  <c r="O419" i="17"/>
  <c r="O175" i="17"/>
  <c r="O405" i="17"/>
  <c r="O109" i="17"/>
  <c r="O414" i="17"/>
  <c r="O9" i="17"/>
  <c r="O411" i="17"/>
  <c r="O138" i="17"/>
  <c r="O146" i="17"/>
  <c r="O435" i="17"/>
  <c r="O51" i="17"/>
  <c r="O86" i="17"/>
  <c r="O311" i="17"/>
  <c r="O427" i="17"/>
  <c r="O265" i="17"/>
  <c r="O192" i="17"/>
  <c r="O298" i="17"/>
  <c r="O283" i="17"/>
  <c r="O12" i="17"/>
  <c r="O189" i="17"/>
  <c r="O193" i="17"/>
  <c r="O277" i="17"/>
  <c r="O114" i="17"/>
  <c r="O271" i="17"/>
  <c r="O46" i="17"/>
  <c r="O145" i="17"/>
  <c r="O191" i="17"/>
  <c r="O65" i="17"/>
  <c r="O349" i="17"/>
  <c r="O409" i="17"/>
  <c r="O404" i="17"/>
  <c r="O325" i="17"/>
  <c r="O354" i="17"/>
  <c r="O410" i="17"/>
  <c r="O345" i="17"/>
  <c r="O403" i="17"/>
  <c r="O294" i="17"/>
  <c r="O20" i="17"/>
  <c r="O168" i="17"/>
  <c r="O215" i="17"/>
  <c r="O61" i="17"/>
  <c r="O113" i="17"/>
  <c r="O8" i="17"/>
  <c r="O257" i="17"/>
  <c r="O32" i="17"/>
  <c r="O179" i="17"/>
  <c r="O313" i="17"/>
  <c r="O150" i="17"/>
  <c r="O341" i="17"/>
  <c r="O24" i="17"/>
  <c r="O274" i="17"/>
  <c r="O63" i="17"/>
  <c r="O203" i="17"/>
  <c r="O237" i="17"/>
  <c r="O343" i="17"/>
  <c r="O327" i="17"/>
  <c r="O374" i="17"/>
  <c r="O38" i="17"/>
  <c r="O369" i="17"/>
  <c r="O413" i="17"/>
  <c r="O295" i="17"/>
  <c r="O379" i="17"/>
  <c r="O399" i="17"/>
  <c r="O390" i="17"/>
  <c r="O194" i="17"/>
  <c r="O428" i="17"/>
  <c r="O342" i="17"/>
  <c r="O37" i="17"/>
  <c r="O347" i="17"/>
  <c r="O140" i="17"/>
  <c r="O39" i="17"/>
  <c r="O100" i="17"/>
  <c r="O442" i="17"/>
  <c r="O73" i="17"/>
  <c r="O101" i="17"/>
  <c r="O245" i="17"/>
  <c r="O226" i="17"/>
  <c r="O282" i="17"/>
  <c r="O58" i="17"/>
  <c r="O251" i="17"/>
  <c r="O135" i="17"/>
  <c r="O320" i="17"/>
  <c r="O385" i="17"/>
  <c r="O216" i="17"/>
  <c r="O14" i="17"/>
  <c r="O17" i="17"/>
  <c r="O119" i="17"/>
  <c r="O373" i="17"/>
  <c r="O177" i="17"/>
  <c r="O152" i="17"/>
  <c r="O375" i="17"/>
  <c r="O372" i="17"/>
  <c r="O392" i="17"/>
  <c r="O423" i="17"/>
  <c r="O120" i="17"/>
  <c r="O412" i="17"/>
  <c r="O132" i="17"/>
  <c r="O50" i="17"/>
  <c r="O299" i="17"/>
  <c r="O217" i="17"/>
  <c r="O273" i="17"/>
  <c r="O155" i="17"/>
  <c r="O242" i="17"/>
  <c r="O26" i="17"/>
  <c r="O78" i="17"/>
  <c r="O90" i="17"/>
  <c r="O401" i="17"/>
  <c r="O236" i="17"/>
  <c r="O378" i="17"/>
  <c r="O352" i="17"/>
  <c r="O45" i="17"/>
  <c r="O381" i="17"/>
  <c r="O40" i="17"/>
  <c r="O79" i="17"/>
  <c r="O367" i="17"/>
  <c r="O429" i="17"/>
  <c r="O240" i="17"/>
  <c r="O15" i="17"/>
  <c r="O266" i="17"/>
  <c r="O70" i="17"/>
  <c r="O241" i="17"/>
  <c r="O339" i="17"/>
  <c r="O27" i="17"/>
  <c r="O319" i="17"/>
  <c r="O358" i="17"/>
  <c r="O57" i="17"/>
  <c r="O89" i="17"/>
  <c r="O116" i="17"/>
  <c r="O244" i="17"/>
  <c r="O346" i="17"/>
  <c r="O53" i="17"/>
  <c r="O383" i="17"/>
  <c r="O321" i="17"/>
  <c r="O388" i="17"/>
  <c r="O93" i="17"/>
  <c r="O43" i="17"/>
  <c r="O432" i="17"/>
  <c r="O112" i="17"/>
  <c r="O34" i="17"/>
  <c r="O407" i="17"/>
  <c r="O301" i="17"/>
  <c r="O85" i="17"/>
  <c r="O118" i="17"/>
  <c r="O243" i="17"/>
  <c r="O386" i="17"/>
  <c r="O159" i="17"/>
  <c r="O446" i="17"/>
  <c r="O42" i="17"/>
  <c r="O286" i="17"/>
  <c r="O22" i="17"/>
  <c r="O212" i="17"/>
  <c r="O370" i="17"/>
  <c r="O110" i="17"/>
  <c r="O433" i="17"/>
  <c r="O239" i="17"/>
  <c r="O139" i="17"/>
  <c r="O322" i="17"/>
  <c r="O278" i="17"/>
  <c r="O84" i="17"/>
  <c r="O165" i="17"/>
  <c r="O376" i="17"/>
  <c r="O96" i="17"/>
  <c r="O87" i="17"/>
  <c r="O396" i="17"/>
  <c r="O59" i="17"/>
  <c r="O438" i="17"/>
  <c r="O102" i="17"/>
  <c r="O115" i="17"/>
  <c r="O269" i="17"/>
  <c r="O219" i="17"/>
  <c r="O66" i="17"/>
  <c r="O323" i="17"/>
  <c r="O293" i="17"/>
  <c r="O296" i="17"/>
  <c r="O292" i="17"/>
  <c r="O330" i="17"/>
  <c r="O123" i="17"/>
  <c r="O188" i="17"/>
  <c r="O195" i="17"/>
  <c r="O218" i="17"/>
  <c r="O44" i="17"/>
  <c r="O365" i="17"/>
  <c r="O353" i="17"/>
  <c r="O397" i="17"/>
  <c r="O337" i="17"/>
  <c r="O402" i="17"/>
  <c r="O355" i="17"/>
  <c r="O398" i="17"/>
  <c r="O153" i="17"/>
  <c r="O395" i="17"/>
  <c r="O62" i="17"/>
  <c r="O161" i="17"/>
  <c r="O304" i="17"/>
  <c r="O103" i="17"/>
  <c r="O49" i="17"/>
  <c r="O275" i="17"/>
  <c r="O318" i="17"/>
  <c r="O169" i="17"/>
  <c r="O222" i="17"/>
  <c r="O124" i="17"/>
  <c r="O136" i="17"/>
  <c r="O377" i="17"/>
  <c r="O366" i="17"/>
  <c r="O148" i="17"/>
  <c r="O227" i="17"/>
  <c r="O48" i="17"/>
  <c r="O344" i="17"/>
  <c r="O424" i="17"/>
  <c r="O425" i="17"/>
  <c r="O13" i="17"/>
  <c r="O204" i="17"/>
  <c r="O164" i="17"/>
  <c r="O380" i="17"/>
  <c r="O393" i="17"/>
  <c r="O400" i="17"/>
  <c r="O371" i="17"/>
  <c r="O36" i="17"/>
  <c r="O406" i="17"/>
  <c r="O254" i="17"/>
  <c r="O172" i="17"/>
  <c r="O316" i="17"/>
  <c r="O441" i="17"/>
  <c r="O68" i="17"/>
  <c r="O394" i="17"/>
  <c r="O29" i="17"/>
  <c r="O190" i="17"/>
  <c r="O250" i="17"/>
  <c r="O55" i="17"/>
  <c r="O387" i="17"/>
  <c r="O142" i="17"/>
  <c r="O426" i="17"/>
  <c r="O21" i="17"/>
  <c r="O420" i="17"/>
  <c r="O162" i="17"/>
  <c r="O214" i="17"/>
  <c r="O384" i="17"/>
  <c r="O430" i="17"/>
  <c r="O121" i="17"/>
  <c r="O154" i="17"/>
  <c r="O72" i="17"/>
  <c r="O434" i="17"/>
  <c r="O308" i="17"/>
  <c r="O91" i="17"/>
  <c r="O317" i="17"/>
  <c r="O329" i="17"/>
  <c r="O23" i="17"/>
  <c r="O201" i="17"/>
  <c r="O111" i="17"/>
  <c r="O69" i="17"/>
  <c r="O351" i="17"/>
  <c r="O88" i="17"/>
  <c r="O28" i="17"/>
  <c r="O170" i="17"/>
  <c r="O122" i="17"/>
  <c r="O436" i="17"/>
  <c r="O439" i="17"/>
  <c r="O94" i="17"/>
  <c r="O33" i="17"/>
  <c r="O324" i="17"/>
  <c r="O302" i="17"/>
  <c r="O171" i="17"/>
  <c r="O16" i="17"/>
  <c r="O141" i="17"/>
  <c r="O64" i="17"/>
  <c r="O144" i="17"/>
  <c r="O368" i="17"/>
  <c r="O279" i="17"/>
  <c r="O60" i="17"/>
  <c r="O389" i="17"/>
  <c r="O213" i="17"/>
  <c r="O267" i="17"/>
  <c r="O437" i="17"/>
  <c r="O331" i="17"/>
  <c r="O221" i="17"/>
  <c r="O247" i="17"/>
  <c r="O268" i="17"/>
  <c r="O196" i="17"/>
  <c r="O431" i="17"/>
  <c r="O326" i="17"/>
  <c r="O335" i="17"/>
  <c r="M27" i="17"/>
  <c r="M376" i="17"/>
  <c r="M187" i="17"/>
  <c r="M368" i="17"/>
  <c r="M389" i="17"/>
  <c r="M205" i="17"/>
  <c r="M366" i="17"/>
  <c r="M165" i="17"/>
  <c r="M377" i="17"/>
  <c r="M340" i="17"/>
  <c r="M126" i="17"/>
  <c r="M173" i="17"/>
  <c r="M92" i="17"/>
  <c r="M78" i="17"/>
  <c r="M296" i="17"/>
  <c r="M307" i="17"/>
  <c r="M336" i="17"/>
  <c r="M28" i="17"/>
  <c r="M265" i="17"/>
  <c r="M182" i="17"/>
  <c r="M247" i="17"/>
  <c r="M260" i="17"/>
  <c r="M166" i="17"/>
  <c r="M94" i="17"/>
  <c r="M271" i="17"/>
  <c r="M317" i="17"/>
  <c r="M232" i="17"/>
  <c r="M427" i="17"/>
  <c r="M183" i="17"/>
  <c r="M274" i="17"/>
  <c r="M202" i="17"/>
  <c r="M285" i="17"/>
  <c r="M41" i="17"/>
  <c r="M234" i="17"/>
  <c r="M439" i="17"/>
  <c r="M114" i="17"/>
  <c r="M373" i="17"/>
  <c r="M319" i="17"/>
  <c r="M90" i="17"/>
  <c r="M77" i="17"/>
  <c r="M119" i="17"/>
  <c r="M348" i="17"/>
  <c r="M96" i="17"/>
  <c r="M87" i="17"/>
  <c r="M239" i="17"/>
  <c r="I187" i="17"/>
  <c r="I340" i="17"/>
  <c r="I234" i="17"/>
  <c r="I285" i="17"/>
  <c r="I315" i="17"/>
  <c r="I87" i="17"/>
  <c r="I308" i="17"/>
  <c r="I277" i="17"/>
  <c r="I336" i="17"/>
  <c r="I205" i="17"/>
  <c r="I182" i="17"/>
  <c r="I28" i="17"/>
  <c r="I77" i="17"/>
  <c r="I389" i="17"/>
  <c r="I78" i="17"/>
  <c r="I173" i="17"/>
  <c r="I260" i="17"/>
  <c r="I271" i="17"/>
  <c r="I293" i="17"/>
  <c r="I366" i="17"/>
  <c r="I232" i="17"/>
  <c r="I326" i="17"/>
  <c r="I307" i="17"/>
  <c r="I296" i="17"/>
  <c r="I310" i="17"/>
  <c r="I84" i="17"/>
  <c r="I165" i="17"/>
  <c r="I376" i="17"/>
  <c r="I348" i="17"/>
  <c r="I96" i="17"/>
  <c r="I92" i="17"/>
  <c r="I207" i="17"/>
  <c r="I377" i="17"/>
  <c r="I247" i="17"/>
  <c r="I368" i="17"/>
  <c r="I437" i="17"/>
  <c r="I434" i="17"/>
  <c r="I91" i="17"/>
  <c r="I317" i="17"/>
  <c r="I126" i="17"/>
  <c r="I351" i="17"/>
  <c r="I311" i="17"/>
  <c r="I88" i="17"/>
  <c r="I427" i="17"/>
  <c r="I183" i="17"/>
  <c r="I166" i="17"/>
  <c r="I265" i="17"/>
  <c r="I341" i="17"/>
  <c r="I24" i="17"/>
  <c r="I439" i="17"/>
  <c r="I114" i="17"/>
  <c r="I274" i="17"/>
  <c r="I94" i="17"/>
  <c r="I216" i="17"/>
  <c r="I14" i="17"/>
  <c r="I17" i="17"/>
  <c r="I119" i="17"/>
  <c r="I373" i="17"/>
  <c r="I202" i="17"/>
  <c r="I444" i="17"/>
  <c r="I26" i="17"/>
  <c r="I27" i="17"/>
  <c r="I41" i="17"/>
  <c r="I319" i="17"/>
  <c r="I90" i="17"/>
  <c r="I239" i="17"/>
  <c r="K123" i="17"/>
  <c r="K195" i="17"/>
  <c r="K44" i="17"/>
  <c r="K47" i="17"/>
  <c r="K20" i="17"/>
  <c r="K399" i="17"/>
  <c r="K76" i="17"/>
  <c r="K50" i="17"/>
  <c r="K246" i="17"/>
  <c r="K268" i="17"/>
  <c r="K64" i="17"/>
  <c r="K431" i="17"/>
  <c r="K74" i="17"/>
  <c r="K311" i="17"/>
  <c r="K427" i="17"/>
  <c r="K166" i="17"/>
  <c r="K198" i="17"/>
  <c r="K405" i="17"/>
  <c r="K22" i="17"/>
  <c r="K136" i="17"/>
  <c r="K336" i="17"/>
  <c r="K148" i="17"/>
  <c r="K227" i="17"/>
  <c r="K292" i="17"/>
  <c r="K325" i="17"/>
  <c r="K354" i="17"/>
  <c r="K408" i="17"/>
  <c r="K367" i="17"/>
  <c r="K112" i="17"/>
  <c r="K407" i="17"/>
  <c r="K176" i="17"/>
  <c r="K301" i="17"/>
  <c r="K85" i="17"/>
  <c r="K151" i="17"/>
  <c r="K159" i="17"/>
  <c r="K318" i="17"/>
  <c r="K214" i="17"/>
  <c r="K430" i="17"/>
  <c r="K206" i="17"/>
  <c r="K233" i="17"/>
  <c r="K134" i="17"/>
  <c r="K252" i="17"/>
  <c r="K341" i="17"/>
  <c r="K24" i="17"/>
  <c r="K274" i="17"/>
  <c r="K94" i="17"/>
  <c r="K13" i="17"/>
  <c r="K33" i="17"/>
  <c r="K179" i="17"/>
  <c r="K58" i="17"/>
  <c r="K360" i="17"/>
  <c r="K164" i="17"/>
  <c r="K332" i="17"/>
  <c r="K380" i="17"/>
  <c r="K374" i="17"/>
  <c r="K413" i="17"/>
  <c r="K40" i="17"/>
  <c r="K43" i="17"/>
  <c r="K432" i="17"/>
  <c r="K297" i="17"/>
  <c r="K304" i="17"/>
  <c r="K422" i="17"/>
  <c r="K117" i="17"/>
  <c r="K103" i="17"/>
  <c r="K59" i="17"/>
  <c r="K270" i="17"/>
  <c r="K338" i="17"/>
  <c r="K51" i="17"/>
  <c r="K167" i="17"/>
  <c r="K111" i="17"/>
  <c r="K436" i="17"/>
  <c r="K189" i="17"/>
  <c r="K256" i="17"/>
  <c r="K193" i="17"/>
  <c r="K216" i="17"/>
  <c r="K14" i="17"/>
  <c r="K17" i="17"/>
  <c r="K119" i="17"/>
  <c r="K373" i="17"/>
  <c r="K202" i="17"/>
  <c r="K62" i="17"/>
  <c r="K196" i="17"/>
  <c r="K302" i="17"/>
  <c r="K267" i="17"/>
  <c r="K21" i="17"/>
  <c r="K251" i="17"/>
  <c r="K242" i="17"/>
  <c r="K370" i="17"/>
  <c r="K247" i="17"/>
  <c r="K143" i="17"/>
  <c r="K135" i="17"/>
  <c r="K319" i="17"/>
  <c r="K326" i="17"/>
  <c r="K349" i="17"/>
  <c r="K53" i="17"/>
  <c r="K321" i="17"/>
  <c r="K153" i="17"/>
  <c r="K57" i="17"/>
  <c r="K63" i="17"/>
  <c r="K425" i="17"/>
  <c r="K394" i="17"/>
  <c r="K190" i="17"/>
  <c r="K250" i="17"/>
  <c r="K105" i="17"/>
  <c r="K137" i="17"/>
  <c r="K426" i="17"/>
  <c r="K245" i="17"/>
  <c r="K226" i="17"/>
  <c r="K276" i="17"/>
  <c r="K223" i="17"/>
  <c r="K241" i="17"/>
  <c r="K84" i="17"/>
  <c r="K165" i="17"/>
  <c r="K376" i="17"/>
  <c r="K67" i="17"/>
  <c r="K152" i="17"/>
  <c r="K48" i="17"/>
  <c r="K172" i="17"/>
  <c r="K192" i="17"/>
  <c r="K8" i="17"/>
  <c r="K19" i="17"/>
  <c r="K323" i="17"/>
  <c r="K205" i="17"/>
  <c r="K237" i="17"/>
  <c r="K343" i="17"/>
  <c r="K355" i="17"/>
  <c r="K424" i="17"/>
  <c r="K68" i="17"/>
  <c r="K9" i="17"/>
  <c r="K411" i="17"/>
  <c r="K138" i="17"/>
  <c r="K146" i="17"/>
  <c r="K303" i="17"/>
  <c r="K262" i="17"/>
  <c r="K18" i="17"/>
  <c r="K435" i="17"/>
  <c r="K266" i="17"/>
  <c r="K248" i="17"/>
  <c r="K217" i="17"/>
  <c r="K433" i="17"/>
  <c r="K280" i="17"/>
  <c r="K239" i="17"/>
  <c r="K322" i="17"/>
  <c r="K220" i="17"/>
  <c r="K293" i="17"/>
  <c r="K296" i="17"/>
  <c r="K366" i="17"/>
  <c r="K236" i="17"/>
  <c r="K361" i="17"/>
  <c r="K46" i="17"/>
  <c r="K113" i="17"/>
  <c r="K89" i="17"/>
  <c r="K116" i="17"/>
  <c r="K199" i="17"/>
  <c r="K230" i="17"/>
  <c r="K346" i="17"/>
  <c r="K36" i="17"/>
  <c r="K419" i="17"/>
  <c r="K215" i="17"/>
  <c r="K61" i="17"/>
  <c r="K194" i="17"/>
  <c r="K428" i="17"/>
  <c r="K342" i="17"/>
  <c r="K174" i="17"/>
  <c r="K305" i="17"/>
  <c r="K39" i="17"/>
  <c r="K102" i="17"/>
  <c r="K169" i="17"/>
  <c r="K115" i="17"/>
  <c r="K222" i="17"/>
  <c r="K382" i="17"/>
  <c r="K331" i="17"/>
  <c r="K335" i="17"/>
  <c r="K287" i="17"/>
  <c r="K144" i="17"/>
  <c r="K434" i="17"/>
  <c r="K317" i="17"/>
  <c r="K188" i="17"/>
  <c r="K356" i="17"/>
  <c r="K168" i="17"/>
  <c r="K429" i="17"/>
  <c r="K95" i="17"/>
  <c r="K299" i="17"/>
  <c r="K171" i="17"/>
  <c r="K249" i="17"/>
  <c r="K351" i="17"/>
  <c r="K88" i="17"/>
  <c r="K28" i="17"/>
  <c r="K265" i="17"/>
  <c r="K365" i="17"/>
  <c r="K60" i="17"/>
  <c r="K392" i="17"/>
  <c r="K393" i="17"/>
  <c r="K375" i="17"/>
  <c r="K109" i="17"/>
  <c r="K11" i="17"/>
  <c r="K10" i="17"/>
  <c r="K42" i="17"/>
  <c r="K160" i="17"/>
  <c r="K110" i="17"/>
  <c r="I241" i="17"/>
  <c r="G77" i="17"/>
  <c r="G187" i="17"/>
  <c r="G389" i="17"/>
  <c r="G183" i="17"/>
  <c r="G274" i="17"/>
  <c r="G336" i="17"/>
  <c r="G114" i="17"/>
  <c r="G373" i="17"/>
  <c r="G271" i="17"/>
  <c r="G28" i="17"/>
  <c r="G96" i="17"/>
  <c r="G119" i="17"/>
  <c r="G126" i="17"/>
  <c r="G285" i="17"/>
  <c r="G182" i="17"/>
  <c r="G439" i="17"/>
  <c r="G78" i="17"/>
  <c r="G94" i="17"/>
  <c r="G205" i="17"/>
  <c r="G307" i="17"/>
  <c r="G377" i="17"/>
  <c r="G340" i="17"/>
  <c r="G202" i="17"/>
  <c r="G92" i="17"/>
  <c r="G27" i="17"/>
  <c r="G260" i="17"/>
  <c r="G166" i="17"/>
  <c r="G232" i="17"/>
  <c r="G165" i="17"/>
  <c r="G296" i="17"/>
  <c r="G234" i="17"/>
  <c r="G143" i="17"/>
  <c r="G317" i="17"/>
  <c r="G41" i="17"/>
  <c r="G319" i="17"/>
  <c r="G90" i="17"/>
  <c r="G376" i="17"/>
  <c r="G348" i="17"/>
  <c r="G87" i="17"/>
  <c r="G427" i="17"/>
  <c r="G366" i="17"/>
  <c r="G173" i="17"/>
  <c r="G368" i="17"/>
  <c r="G265" i="17"/>
  <c r="G15" i="17"/>
  <c r="G320" i="17"/>
  <c r="G350" i="17"/>
  <c r="G120" i="17"/>
  <c r="G44" i="17"/>
  <c r="G135" i="17"/>
  <c r="G245" i="17"/>
  <c r="G50" i="17"/>
  <c r="G429" i="17"/>
  <c r="G398" i="17"/>
  <c r="G218" i="17"/>
  <c r="G251" i="17"/>
  <c r="G264" i="17"/>
  <c r="G240" i="17"/>
  <c r="G355" i="17"/>
  <c r="G288" i="17"/>
  <c r="G58" i="17"/>
  <c r="G266" i="17"/>
  <c r="G132" i="17"/>
  <c r="G297" i="17"/>
  <c r="G402" i="17"/>
  <c r="G195" i="17"/>
  <c r="G17" i="17"/>
  <c r="G282" i="17"/>
  <c r="G80" i="17"/>
  <c r="G95" i="17"/>
  <c r="G432" i="17"/>
  <c r="G337" i="17"/>
  <c r="G188" i="17"/>
  <c r="G14" i="17"/>
  <c r="G125" i="17"/>
  <c r="G312" i="17"/>
  <c r="G156" i="17"/>
  <c r="G397" i="17"/>
  <c r="G123" i="17"/>
  <c r="G216" i="17"/>
  <c r="G276" i="17"/>
  <c r="G209" i="17"/>
  <c r="G353" i="17"/>
  <c r="G385" i="17"/>
  <c r="G226" i="17"/>
  <c r="G246" i="17"/>
  <c r="G186" i="17"/>
  <c r="G181" i="17"/>
  <c r="G365" i="17"/>
  <c r="G84" i="17"/>
  <c r="G310" i="17"/>
  <c r="G278" i="17"/>
  <c r="G322" i="17"/>
  <c r="G139" i="17"/>
  <c r="G239" i="17"/>
  <c r="G280" i="17"/>
  <c r="G433" i="17"/>
  <c r="G110" i="17"/>
  <c r="G19" i="17"/>
  <c r="G370" i="17"/>
  <c r="G212" i="17"/>
  <c r="G22" i="17"/>
  <c r="G178" i="17"/>
  <c r="G102" i="17"/>
  <c r="G318" i="17"/>
  <c r="G438" i="17"/>
  <c r="G270" i="17"/>
  <c r="G275" i="17"/>
  <c r="G59" i="17"/>
  <c r="G49" i="17"/>
  <c r="G147" i="17"/>
  <c r="G103" i="17"/>
  <c r="G117" i="17"/>
  <c r="G31" i="17"/>
  <c r="G324" i="17"/>
  <c r="G425" i="17"/>
  <c r="G63" i="17"/>
  <c r="G57" i="17"/>
  <c r="G424" i="17"/>
  <c r="G184" i="17"/>
  <c r="G406" i="17"/>
  <c r="G54" i="17"/>
  <c r="G391" i="17"/>
  <c r="G36" i="17"/>
  <c r="G371" i="17"/>
  <c r="G400" i="17"/>
  <c r="G393" i="17"/>
  <c r="G380" i="17"/>
  <c r="G332" i="17"/>
  <c r="G164" i="17"/>
  <c r="G224" i="17"/>
  <c r="G204" i="17"/>
  <c r="G97" i="17"/>
  <c r="G25" i="17"/>
  <c r="G26" i="17"/>
  <c r="G444" i="17"/>
  <c r="G242" i="17"/>
  <c r="G339" i="17"/>
  <c r="G155" i="17"/>
  <c r="G241" i="17"/>
  <c r="G273" i="17"/>
  <c r="G223" i="17"/>
  <c r="G290" i="17"/>
  <c r="G70" i="17"/>
  <c r="G127" i="17"/>
  <c r="G217" i="17"/>
  <c r="G248" i="17"/>
  <c r="G281" i="17"/>
  <c r="G286" i="17"/>
  <c r="G42" i="17"/>
  <c r="G446" i="17"/>
  <c r="G159" i="17"/>
  <c r="G386" i="17"/>
  <c r="G231" i="17"/>
  <c r="G151" i="17"/>
  <c r="G243" i="17"/>
  <c r="G118" i="17"/>
  <c r="G85" i="17"/>
  <c r="G301" i="17"/>
  <c r="G30" i="17"/>
  <c r="G176" i="17"/>
  <c r="G34" i="17"/>
  <c r="G131" i="17"/>
  <c r="G161" i="17"/>
  <c r="G62" i="17"/>
  <c r="G395" i="17"/>
  <c r="G259" i="17"/>
  <c r="G153" i="17"/>
  <c r="G344" i="17"/>
  <c r="G330" i="17"/>
  <c r="G401" i="17"/>
  <c r="G46" i="17"/>
  <c r="G360" i="17"/>
  <c r="G48" i="17"/>
  <c r="G363" i="17"/>
  <c r="G358" i="17"/>
  <c r="G106" i="17"/>
  <c r="G292" i="17"/>
  <c r="G227" i="17"/>
  <c r="G197" i="17"/>
  <c r="G148" i="17"/>
  <c r="G24" i="17"/>
  <c r="G277" i="17"/>
  <c r="G341" i="17"/>
  <c r="G71" i="17"/>
  <c r="G193" i="17"/>
  <c r="G150" i="17"/>
  <c r="G256" i="17"/>
  <c r="G189" i="17"/>
  <c r="G436" i="17"/>
  <c r="G210" i="17"/>
  <c r="G313" i="17"/>
  <c r="G225" i="17"/>
  <c r="G129" i="17"/>
  <c r="G179" i="17"/>
  <c r="G122" i="17"/>
  <c r="G101" i="17"/>
  <c r="G73" i="17"/>
  <c r="G100" i="17"/>
  <c r="G39" i="17"/>
  <c r="G263" i="17"/>
  <c r="G140" i="17"/>
  <c r="G56" i="17"/>
  <c r="G443" i="17"/>
  <c r="G347" i="17"/>
  <c r="G174" i="17"/>
  <c r="G428" i="17"/>
  <c r="G408" i="17"/>
  <c r="G79" i="17"/>
  <c r="G40" i="17"/>
  <c r="G388" i="17"/>
  <c r="G364" i="17"/>
  <c r="G75" i="17"/>
  <c r="G321" i="17"/>
  <c r="G383" i="17"/>
  <c r="G53" i="17"/>
  <c r="G361" i="17"/>
  <c r="G346" i="17"/>
  <c r="G230" i="17"/>
  <c r="G199" i="17"/>
  <c r="G116" i="17"/>
  <c r="G89" i="17"/>
  <c r="G88" i="17"/>
  <c r="G311" i="17"/>
  <c r="G351" i="17"/>
  <c r="G69" i="17"/>
  <c r="G252" i="17"/>
  <c r="G134" i="17"/>
  <c r="G233" i="17"/>
  <c r="G206" i="17"/>
  <c r="G334" i="17"/>
  <c r="G111" i="17"/>
  <c r="G130" i="17"/>
  <c r="G229" i="17"/>
  <c r="G86" i="17"/>
  <c r="G167" i="17"/>
  <c r="G51" i="17"/>
  <c r="G10" i="17"/>
  <c r="G133" i="17"/>
  <c r="G158" i="17"/>
  <c r="G12" i="17"/>
  <c r="G81" i="17"/>
  <c r="G170" i="17"/>
  <c r="G289" i="17"/>
  <c r="G185" i="17"/>
  <c r="G257" i="17"/>
  <c r="G8" i="17"/>
  <c r="G113" i="17"/>
  <c r="G194" i="17"/>
  <c r="G390" i="17"/>
  <c r="G399" i="17"/>
  <c r="G107" i="17"/>
  <c r="G421" i="17"/>
  <c r="G392" i="17"/>
  <c r="G381" i="17"/>
  <c r="G372" i="17"/>
  <c r="G45" i="17"/>
  <c r="G333" i="17"/>
  <c r="G352" i="17"/>
  <c r="G375" i="17"/>
  <c r="G378" i="17"/>
  <c r="G152" i="17"/>
  <c r="G236" i="17"/>
  <c r="G198" i="17"/>
  <c r="G177" i="17"/>
  <c r="G67" i="17"/>
  <c r="G91" i="17"/>
  <c r="G308" i="17"/>
  <c r="G434" i="17"/>
  <c r="G72" i="17"/>
  <c r="G154" i="17"/>
  <c r="G121" i="17"/>
  <c r="G74" i="17"/>
  <c r="G211" i="17"/>
  <c r="G249" i="17"/>
  <c r="G430" i="17"/>
  <c r="G384" i="17"/>
  <c r="G214" i="17"/>
  <c r="G108" i="17"/>
  <c r="G162" i="17"/>
  <c r="G420" i="17"/>
  <c r="G11" i="17"/>
  <c r="G435" i="17"/>
  <c r="G157" i="17"/>
  <c r="G18" i="17"/>
  <c r="G303" i="17"/>
  <c r="G201" i="17"/>
  <c r="G146" i="17"/>
  <c r="G23" i="17"/>
  <c r="G138" i="17"/>
  <c r="G411" i="17"/>
  <c r="G255" i="17"/>
  <c r="G9" i="17"/>
  <c r="G414" i="17"/>
  <c r="G192" i="17"/>
  <c r="G61" i="17"/>
  <c r="G215" i="17"/>
  <c r="G168" i="17"/>
  <c r="G295" i="17"/>
  <c r="G413" i="17"/>
  <c r="G369" i="17"/>
  <c r="G357" i="17"/>
  <c r="G359" i="17"/>
  <c r="G38" i="17"/>
  <c r="G374" i="17"/>
  <c r="G343" i="17"/>
  <c r="G314" i="17"/>
  <c r="G203" i="17"/>
  <c r="G98" i="17"/>
  <c r="G326" i="17"/>
  <c r="G315" i="17"/>
  <c r="G437" i="17"/>
  <c r="G60" i="17"/>
  <c r="G144" i="17"/>
  <c r="G83" i="17"/>
  <c r="G287" i="17"/>
  <c r="G335" i="17"/>
  <c r="G331" i="17"/>
  <c r="G431" i="17"/>
  <c r="G180" i="17"/>
  <c r="G213" i="17"/>
  <c r="G64" i="17"/>
  <c r="G171" i="17"/>
  <c r="G21" i="17"/>
  <c r="G426" i="17"/>
  <c r="G137" i="17"/>
  <c r="G272" i="17"/>
  <c r="G300" i="17"/>
  <c r="G142" i="17"/>
  <c r="G387" i="17"/>
  <c r="G55" i="17"/>
  <c r="G105" i="17"/>
  <c r="G235" i="17"/>
  <c r="G250" i="17"/>
  <c r="G190" i="17"/>
  <c r="G29" i="17"/>
  <c r="G109" i="17"/>
  <c r="G82" i="17"/>
  <c r="G329" i="17"/>
  <c r="G175" i="17"/>
  <c r="G258" i="17"/>
  <c r="G294" i="17"/>
  <c r="G403" i="17"/>
  <c r="G345" i="17"/>
  <c r="G410" i="17"/>
  <c r="G354" i="17"/>
  <c r="G325" i="17"/>
  <c r="G404" i="17"/>
  <c r="G409" i="17"/>
  <c r="G65" i="17"/>
  <c r="G238" i="17"/>
  <c r="G191" i="17"/>
  <c r="G145" i="17"/>
  <c r="G207" i="17"/>
  <c r="G293" i="17"/>
  <c r="G220" i="17"/>
  <c r="G323" i="17"/>
  <c r="G136" i="17"/>
  <c r="G66" i="17"/>
  <c r="G284" i="17"/>
  <c r="G219" i="17"/>
  <c r="G124" i="17"/>
  <c r="G269" i="17"/>
  <c r="G382" i="17"/>
  <c r="G222" i="17"/>
  <c r="G115" i="17"/>
  <c r="G169" i="17"/>
  <c r="G268" i="17"/>
  <c r="G338" i="17"/>
  <c r="G445" i="17"/>
  <c r="G267" i="17"/>
  <c r="G279" i="17"/>
  <c r="G141" i="17"/>
  <c r="G302" i="17"/>
  <c r="G309" i="17"/>
  <c r="G196" i="17"/>
  <c r="G104" i="17"/>
  <c r="G16" i="17"/>
  <c r="G394" i="17"/>
  <c r="G208" i="17"/>
  <c r="G68" i="17"/>
  <c r="G441" i="17"/>
  <c r="G316" i="17"/>
  <c r="G172" i="17"/>
  <c r="G254" i="17"/>
  <c r="G419" i="17"/>
  <c r="G418" i="17"/>
  <c r="G356" i="17"/>
  <c r="G417" i="17"/>
  <c r="G47" i="17"/>
  <c r="G416" i="17"/>
  <c r="G362" i="17"/>
  <c r="G35" i="17"/>
  <c r="G328" i="17"/>
  <c r="G306" i="17"/>
  <c r="G128" i="17"/>
  <c r="I418" i="17"/>
  <c r="I204" i="17"/>
  <c r="M24" i="17"/>
  <c r="M207" i="17"/>
  <c r="M277" i="17"/>
  <c r="M293" i="17"/>
  <c r="M341" i="17"/>
  <c r="M220" i="17"/>
  <c r="M71" i="17"/>
  <c r="M323" i="17"/>
  <c r="M193" i="17"/>
  <c r="M136" i="17"/>
  <c r="M150" i="17"/>
  <c r="M66" i="17"/>
  <c r="M256" i="17"/>
  <c r="M284" i="17"/>
  <c r="M189" i="17"/>
  <c r="M219" i="17"/>
  <c r="M436" i="17"/>
  <c r="M124" i="17"/>
  <c r="M210" i="17"/>
  <c r="M269" i="17"/>
  <c r="M313" i="17"/>
  <c r="M382" i="17"/>
  <c r="M88" i="17"/>
  <c r="M84" i="17"/>
  <c r="M311" i="17"/>
  <c r="M310" i="17"/>
  <c r="M351" i="17"/>
  <c r="M278" i="17"/>
  <c r="M69" i="17"/>
  <c r="M322" i="17"/>
  <c r="M252" i="17"/>
  <c r="M139" i="17"/>
  <c r="M134" i="17"/>
  <c r="M233" i="17"/>
  <c r="M280" i="17"/>
  <c r="M206" i="17"/>
  <c r="M433" i="17"/>
  <c r="M334" i="17"/>
  <c r="M91" i="17"/>
  <c r="M26" i="17"/>
  <c r="M308" i="17"/>
  <c r="M444" i="17"/>
  <c r="M434" i="17"/>
  <c r="M242" i="17"/>
  <c r="M72" i="17"/>
  <c r="M339" i="17"/>
  <c r="M154" i="17"/>
  <c r="M155" i="17"/>
  <c r="M121" i="17"/>
  <c r="M241" i="17"/>
  <c r="M74" i="17"/>
  <c r="M273" i="17"/>
  <c r="M211" i="17"/>
  <c r="M223" i="17"/>
  <c r="M249" i="17"/>
  <c r="M290" i="17"/>
  <c r="M430" i="17"/>
  <c r="M70" i="17"/>
  <c r="M384" i="17"/>
  <c r="M127" i="17"/>
  <c r="M17" i="17"/>
  <c r="M320" i="17"/>
  <c r="M83" i="17"/>
  <c r="M251" i="17"/>
  <c r="M335" i="17"/>
  <c r="M214" i="17"/>
  <c r="M217" i="17"/>
  <c r="M108" i="17"/>
  <c r="M248" i="17"/>
  <c r="M162" i="17"/>
  <c r="M14" i="17"/>
  <c r="M19" i="17"/>
  <c r="M276" i="17"/>
  <c r="M130" i="17"/>
  <c r="M180" i="17"/>
  <c r="M437" i="17"/>
  <c r="M331" i="17"/>
  <c r="M110" i="17"/>
  <c r="M431" i="17"/>
  <c r="M60" i="17"/>
  <c r="M135" i="17"/>
  <c r="M287" i="17"/>
  <c r="M225" i="17"/>
  <c r="M222" i="17"/>
  <c r="M144" i="17"/>
  <c r="M282" i="17"/>
  <c r="M385" i="17"/>
  <c r="M212" i="17"/>
  <c r="M22" i="17"/>
  <c r="M245" i="17"/>
  <c r="M169" i="17"/>
  <c r="M122" i="17"/>
  <c r="M268" i="17"/>
  <c r="M101" i="17"/>
  <c r="M338" i="17"/>
  <c r="M73" i="17"/>
  <c r="M445" i="17"/>
  <c r="M442" i="17"/>
  <c r="M440" i="17"/>
  <c r="M100" i="17"/>
  <c r="M267" i="17"/>
  <c r="M39" i="17"/>
  <c r="M279" i="17"/>
  <c r="M370" i="17"/>
  <c r="M226" i="17"/>
  <c r="M213" i="17"/>
  <c r="M167" i="17"/>
  <c r="M281" i="17"/>
  <c r="M420" i="17"/>
  <c r="M286" i="17"/>
  <c r="M11" i="17"/>
  <c r="M42" i="17"/>
  <c r="M435" i="17"/>
  <c r="M446" i="17"/>
  <c r="M157" i="17"/>
  <c r="M159" i="17"/>
  <c r="M18" i="17"/>
  <c r="M386" i="17"/>
  <c r="M262" i="17"/>
  <c r="M231" i="17"/>
  <c r="M58" i="17"/>
  <c r="M64" i="17"/>
  <c r="M216" i="17"/>
  <c r="M102" i="17"/>
  <c r="M270" i="17"/>
  <c r="M129" i="17"/>
  <c r="M80" i="17"/>
  <c r="M299" i="17"/>
  <c r="M15" i="17"/>
  <c r="M201" i="17"/>
  <c r="M243" i="17"/>
  <c r="M146" i="17"/>
  <c r="M118" i="17"/>
  <c r="M23" i="17"/>
  <c r="M85" i="17"/>
  <c r="M138" i="17"/>
  <c r="M115" i="17"/>
  <c r="M179" i="17"/>
  <c r="M178" i="17"/>
  <c r="M10" i="17"/>
  <c r="M158" i="17"/>
  <c r="M272" i="17"/>
  <c r="M263" i="17"/>
  <c r="M326" i="17"/>
  <c r="M315" i="17"/>
  <c r="M125" i="17"/>
  <c r="M86" i="17"/>
  <c r="M51" i="17"/>
  <c r="M266" i="17"/>
  <c r="M253" i="17"/>
  <c r="M81" i="17"/>
  <c r="M142" i="17"/>
  <c r="M140" i="17"/>
  <c r="M302" i="17"/>
  <c r="M56" i="17"/>
  <c r="M33" i="17"/>
  <c r="M305" i="17"/>
  <c r="M221" i="17"/>
  <c r="M443" i="17"/>
  <c r="M309" i="17"/>
  <c r="M312" i="17"/>
  <c r="M59" i="17"/>
  <c r="M240" i="17"/>
  <c r="M350" i="17"/>
  <c r="M21" i="17"/>
  <c r="M426" i="17"/>
  <c r="M246" i="17"/>
  <c r="M141" i="17"/>
  <c r="M105" i="17"/>
  <c r="M103" i="17"/>
  <c r="M347" i="17"/>
  <c r="M196" i="17"/>
  <c r="M37" i="17"/>
  <c r="M104" i="17"/>
  <c r="M174" i="17"/>
  <c r="M13" i="17"/>
  <c r="M342" i="17"/>
  <c r="M16" i="17"/>
  <c r="M428" i="17"/>
  <c r="M394" i="17"/>
  <c r="M76" i="17"/>
  <c r="M208" i="17"/>
  <c r="M367" i="17"/>
  <c r="M68" i="17"/>
  <c r="M408" i="17"/>
  <c r="M111" i="17"/>
  <c r="M137" i="17"/>
  <c r="M303" i="17"/>
  <c r="M49" i="17"/>
  <c r="M298" i="17"/>
  <c r="M95" i="17"/>
  <c r="M132" i="17"/>
  <c r="M289" i="17"/>
  <c r="M235" i="17"/>
  <c r="M396" i="17"/>
  <c r="M185" i="17"/>
  <c r="M32" i="17"/>
  <c r="M422" i="17"/>
  <c r="M257" i="17"/>
  <c r="M8" i="17"/>
  <c r="M304" i="17"/>
  <c r="M113" i="17"/>
  <c r="M324" i="17"/>
  <c r="M194" i="17"/>
  <c r="M318" i="17"/>
  <c r="M12" i="17"/>
  <c r="M170" i="17"/>
  <c r="M387" i="17"/>
  <c r="M171" i="17"/>
  <c r="M55" i="17"/>
  <c r="M147" i="17"/>
  <c r="M301" i="17"/>
  <c r="M149" i="17"/>
  <c r="M30" i="17"/>
  <c r="M411" i="17"/>
  <c r="M176" i="17"/>
  <c r="M255" i="17"/>
  <c r="M407" i="17"/>
  <c r="M9" i="17"/>
  <c r="M34" i="17"/>
  <c r="M414" i="17"/>
  <c r="M131" i="17"/>
  <c r="M192" i="17"/>
  <c r="M161" i="17"/>
  <c r="M61" i="17"/>
  <c r="M438" i="17"/>
  <c r="M190" i="17"/>
  <c r="M29" i="17"/>
  <c r="M399" i="17"/>
  <c r="M405" i="17"/>
  <c r="M441" i="17"/>
  <c r="M425" i="17"/>
  <c r="M415" i="17"/>
  <c r="M79" i="17"/>
  <c r="M316" i="17"/>
  <c r="M423" i="17"/>
  <c r="M172" i="17"/>
  <c r="M40" i="17"/>
  <c r="M254" i="17"/>
  <c r="M419" i="17"/>
  <c r="M388" i="17"/>
  <c r="M229" i="17"/>
  <c r="M275" i="17"/>
  <c r="M429" i="17"/>
  <c r="M390" i="17"/>
  <c r="M300" i="17"/>
  <c r="M112" i="17"/>
  <c r="M109" i="17"/>
  <c r="M63" i="17"/>
  <c r="M62" i="17"/>
  <c r="M432" i="17"/>
  <c r="M133" i="17"/>
  <c r="M261" i="17"/>
  <c r="M412" i="17"/>
  <c r="M120" i="17"/>
  <c r="M264" i="17"/>
  <c r="M50" i="17"/>
  <c r="M250" i="17"/>
  <c r="M215" i="17"/>
  <c r="M259" i="17"/>
  <c r="M168" i="17"/>
  <c r="M163" i="17"/>
  <c r="M20" i="17"/>
  <c r="M153" i="17"/>
  <c r="M295" i="17"/>
  <c r="M344" i="17"/>
  <c r="M413" i="17"/>
  <c r="M330" i="17"/>
  <c r="M369" i="17"/>
  <c r="M401" i="17"/>
  <c r="M357" i="17"/>
  <c r="M46" i="17"/>
  <c r="M175" i="17"/>
  <c r="M107" i="17"/>
  <c r="M93" i="17"/>
  <c r="M402" i="17"/>
  <c r="M337" i="17"/>
  <c r="M354" i="17"/>
  <c r="M397" i="17"/>
  <c r="M325" i="17"/>
  <c r="M353" i="17"/>
  <c r="M404" i="17"/>
  <c r="M365" i="17"/>
  <c r="M409" i="17"/>
  <c r="M44" i="17"/>
  <c r="M349" i="17"/>
  <c r="M218" i="17"/>
  <c r="M65" i="17"/>
  <c r="M288" i="17"/>
  <c r="M238" i="17"/>
  <c r="M195" i="17"/>
  <c r="M191" i="17"/>
  <c r="M188" i="17"/>
  <c r="M145" i="17"/>
  <c r="M123" i="17"/>
  <c r="M25" i="17"/>
  <c r="M345" i="17"/>
  <c r="M75" i="17"/>
  <c r="M417" i="17"/>
  <c r="M57" i="17"/>
  <c r="M209" i="17"/>
  <c r="M424" i="17"/>
  <c r="M258" i="17"/>
  <c r="M421" i="17"/>
  <c r="M356" i="17"/>
  <c r="M391" i="17"/>
  <c r="M372" i="17"/>
  <c r="M36" i="17"/>
  <c r="M321" i="17"/>
  <c r="M47" i="17"/>
  <c r="M383" i="17"/>
  <c r="M416" i="17"/>
  <c r="M53" i="17"/>
  <c r="M362" i="17"/>
  <c r="M361" i="17"/>
  <c r="M35" i="17"/>
  <c r="M346" i="17"/>
  <c r="M328" i="17"/>
  <c r="M230" i="17"/>
  <c r="M306" i="17"/>
  <c r="M244" i="17"/>
  <c r="M128" i="17"/>
  <c r="M199" i="17"/>
  <c r="M200" i="17"/>
  <c r="M116" i="17"/>
  <c r="M143" i="17"/>
  <c r="M89" i="17"/>
  <c r="M43" i="17"/>
  <c r="M379" i="17"/>
  <c r="M398" i="17"/>
  <c r="M54" i="17"/>
  <c r="M381" i="17"/>
  <c r="M45" i="17"/>
  <c r="M371" i="17"/>
  <c r="M333" i="17"/>
  <c r="M400" i="17"/>
  <c r="M352" i="17"/>
  <c r="M393" i="17"/>
  <c r="M375" i="17"/>
  <c r="M380" i="17"/>
  <c r="M378" i="17"/>
  <c r="M332" i="17"/>
  <c r="M152" i="17"/>
  <c r="M164" i="17"/>
  <c r="M236" i="17"/>
  <c r="M224" i="17"/>
  <c r="M198" i="17"/>
  <c r="M204" i="17"/>
  <c r="M177" i="17"/>
  <c r="M97" i="17"/>
  <c r="M67" i="17"/>
  <c r="M82" i="17"/>
  <c r="M160" i="17"/>
  <c r="M184" i="17"/>
  <c r="M294" i="17"/>
  <c r="M392" i="17"/>
  <c r="M418" i="17"/>
  <c r="M186" i="17"/>
  <c r="M329" i="17"/>
  <c r="M181" i="17"/>
  <c r="M364" i="17"/>
  <c r="M359" i="17"/>
  <c r="M360" i="17"/>
  <c r="M38" i="17"/>
  <c r="M48" i="17"/>
  <c r="M374" i="17"/>
  <c r="M363" i="17"/>
  <c r="M327" i="17"/>
  <c r="M358" i="17"/>
  <c r="M343" i="17"/>
  <c r="M106" i="17"/>
  <c r="M314" i="17"/>
  <c r="M292" i="17"/>
  <c r="M237" i="17"/>
  <c r="M227" i="17"/>
  <c r="M283" i="17"/>
  <c r="M297" i="17"/>
  <c r="M203" i="17"/>
  <c r="M355" i="17"/>
  <c r="M406" i="17"/>
  <c r="M99" i="17"/>
  <c r="I67" i="17"/>
  <c r="I97" i="17"/>
  <c r="I344" i="17"/>
  <c r="I172" i="17"/>
  <c r="M52" i="17"/>
  <c r="I177" i="17"/>
  <c r="M410" i="17"/>
  <c r="M403" i="17"/>
  <c r="I259" i="17"/>
  <c r="Q25" i="17"/>
  <c r="M98" i="17"/>
  <c r="I385" i="17"/>
  <c r="I60" i="17"/>
  <c r="I320" i="17"/>
  <c r="I144" i="17"/>
  <c r="I135" i="17"/>
  <c r="I83" i="17"/>
  <c r="I251" i="17"/>
  <c r="I287" i="17"/>
  <c r="I58" i="17"/>
  <c r="I335" i="17"/>
  <c r="I282" i="17"/>
  <c r="I331" i="17"/>
  <c r="I125" i="17"/>
  <c r="I431" i="17"/>
  <c r="I276" i="17"/>
  <c r="I180" i="17"/>
  <c r="I220" i="17"/>
  <c r="I71" i="17"/>
  <c r="I323" i="17"/>
  <c r="I193" i="17"/>
  <c r="I136" i="17"/>
  <c r="I150" i="17"/>
  <c r="I66" i="17"/>
  <c r="I256" i="17"/>
  <c r="I284" i="17"/>
  <c r="I189" i="17"/>
  <c r="I219" i="17"/>
  <c r="I436" i="17"/>
  <c r="I278" i="17"/>
  <c r="I69" i="17"/>
  <c r="I322" i="17"/>
  <c r="I252" i="17"/>
  <c r="I134" i="17"/>
  <c r="I233" i="17"/>
  <c r="I280" i="17"/>
  <c r="I206" i="17"/>
  <c r="I433" i="17"/>
  <c r="I334" i="17"/>
  <c r="I110" i="17"/>
  <c r="I111" i="17"/>
  <c r="I19" i="17"/>
  <c r="I130" i="17"/>
  <c r="I370" i="17"/>
  <c r="I229" i="17"/>
  <c r="I212" i="17"/>
  <c r="I86" i="17"/>
  <c r="I22" i="17"/>
  <c r="I167" i="17"/>
  <c r="I242" i="17"/>
  <c r="I211" i="17"/>
  <c r="I339" i="17"/>
  <c r="I121" i="17"/>
  <c r="I273" i="17"/>
  <c r="I249" i="17"/>
  <c r="I124" i="17"/>
  <c r="I290" i="17"/>
  <c r="I430" i="17"/>
  <c r="I127" i="17"/>
  <c r="I226" i="17"/>
  <c r="I213" i="17"/>
  <c r="I350" i="17"/>
  <c r="I155" i="17"/>
  <c r="I210" i="17"/>
  <c r="I129" i="17"/>
  <c r="I115" i="17"/>
  <c r="I171" i="17"/>
  <c r="I264" i="17"/>
  <c r="I266" i="17"/>
  <c r="I21" i="17"/>
  <c r="I80" i="17"/>
  <c r="I426" i="17"/>
  <c r="I312" i="17"/>
  <c r="I137" i="17"/>
  <c r="I299" i="17"/>
  <c r="I272" i="17"/>
  <c r="I246" i="17"/>
  <c r="I300" i="17"/>
  <c r="I74" i="17"/>
  <c r="I70" i="17"/>
  <c r="I225" i="17"/>
  <c r="I217" i="17"/>
  <c r="I154" i="17"/>
  <c r="I223" i="17"/>
  <c r="I384" i="17"/>
  <c r="I179" i="17"/>
  <c r="I178" i="17"/>
  <c r="I51" i="17"/>
  <c r="I102" i="17"/>
  <c r="I10" i="17"/>
  <c r="I318" i="17"/>
  <c r="I133" i="17"/>
  <c r="I438" i="17"/>
  <c r="I158" i="17"/>
  <c r="I253" i="17"/>
  <c r="I12" i="17"/>
  <c r="I270" i="17"/>
  <c r="I81" i="17"/>
  <c r="I275" i="17"/>
  <c r="I382" i="17"/>
  <c r="I214" i="17"/>
  <c r="I286" i="17"/>
  <c r="I11" i="17"/>
  <c r="I39" i="17"/>
  <c r="I73" i="17"/>
  <c r="I386" i="17"/>
  <c r="I59" i="17"/>
  <c r="I49" i="17"/>
  <c r="I147" i="17"/>
  <c r="I103" i="17"/>
  <c r="I289" i="17"/>
  <c r="I108" i="17"/>
  <c r="I281" i="17"/>
  <c r="I268" i="17"/>
  <c r="I445" i="17"/>
  <c r="I157" i="17"/>
  <c r="I245" i="17"/>
  <c r="I420" i="17"/>
  <c r="I18" i="17"/>
  <c r="I279" i="17"/>
  <c r="I303" i="17"/>
  <c r="I50" i="17"/>
  <c r="I240" i="17"/>
  <c r="I132" i="17"/>
  <c r="I105" i="17"/>
  <c r="I95" i="17"/>
  <c r="I440" i="17"/>
  <c r="I100" i="17"/>
  <c r="I263" i="17"/>
  <c r="I313" i="17"/>
  <c r="I169" i="17"/>
  <c r="I42" i="17"/>
  <c r="I15" i="17"/>
  <c r="I151" i="17"/>
  <c r="I156" i="17"/>
  <c r="I250" i="17"/>
  <c r="I186" i="17"/>
  <c r="I190" i="17"/>
  <c r="I120" i="17"/>
  <c r="I29" i="17"/>
  <c r="I429" i="17"/>
  <c r="I109" i="17"/>
  <c r="I297" i="17"/>
  <c r="I432" i="17"/>
  <c r="I269" i="17"/>
  <c r="I248" i="17"/>
  <c r="I267" i="17"/>
  <c r="I231" i="17"/>
  <c r="I141" i="17"/>
  <c r="I72" i="17"/>
  <c r="I162" i="17"/>
  <c r="I142" i="17"/>
  <c r="I243" i="17"/>
  <c r="I23" i="17"/>
  <c r="I85" i="17"/>
  <c r="I347" i="17"/>
  <c r="I104" i="17"/>
  <c r="I174" i="17"/>
  <c r="I16" i="17"/>
  <c r="I428" i="17"/>
  <c r="I394" i="17"/>
  <c r="I442" i="17"/>
  <c r="I302" i="17"/>
  <c r="I443" i="17"/>
  <c r="I122" i="17"/>
  <c r="I435" i="17"/>
  <c r="I446" i="17"/>
  <c r="I309" i="17"/>
  <c r="I185" i="17"/>
  <c r="I117" i="17"/>
  <c r="I257" i="17"/>
  <c r="I31" i="17"/>
  <c r="I8" i="17"/>
  <c r="I113" i="17"/>
  <c r="I194" i="17"/>
  <c r="I425" i="17"/>
  <c r="I390" i="17"/>
  <c r="I64" i="17"/>
  <c r="I411" i="17"/>
  <c r="I414" i="17"/>
  <c r="I57" i="17"/>
  <c r="I395" i="17"/>
  <c r="I209" i="17"/>
  <c r="I175" i="17"/>
  <c r="I294" i="17"/>
  <c r="I398" i="17"/>
  <c r="I403" i="17"/>
  <c r="I338" i="17"/>
  <c r="I161" i="17"/>
  <c r="I399" i="17"/>
  <c r="I441" i="17"/>
  <c r="I222" i="17"/>
  <c r="I140" i="17"/>
  <c r="I9" i="17"/>
  <c r="I61" i="17"/>
  <c r="I79" i="17"/>
  <c r="I159" i="17"/>
  <c r="I201" i="17"/>
  <c r="I208" i="17"/>
  <c r="I63" i="17"/>
  <c r="I408" i="17"/>
  <c r="I101" i="17"/>
  <c r="I34" i="17"/>
  <c r="I62" i="17"/>
  <c r="I424" i="17"/>
  <c r="I107" i="17"/>
  <c r="I184" i="17"/>
  <c r="I406" i="17"/>
  <c r="I392" i="17"/>
  <c r="I54" i="17"/>
  <c r="I381" i="17"/>
  <c r="I391" i="17"/>
  <c r="I372" i="17"/>
  <c r="I36" i="17"/>
  <c r="I359" i="17"/>
  <c r="I360" i="17"/>
  <c r="I38" i="17"/>
  <c r="I48" i="17"/>
  <c r="I363" i="17"/>
  <c r="I327" i="17"/>
  <c r="I358" i="17"/>
  <c r="I314" i="17"/>
  <c r="I292" i="17"/>
  <c r="I227" i="17"/>
  <c r="I203" i="17"/>
  <c r="I197" i="17"/>
  <c r="I98" i="17"/>
  <c r="I148" i="17"/>
  <c r="I254" i="17"/>
  <c r="I295" i="17"/>
  <c r="I355" i="17"/>
  <c r="I410" i="17"/>
  <c r="I215" i="17"/>
  <c r="I388" i="17"/>
  <c r="I402" i="17"/>
  <c r="I357" i="17"/>
  <c r="I337" i="17"/>
  <c r="I354" i="17"/>
  <c r="I397" i="17"/>
  <c r="I325" i="17"/>
  <c r="I353" i="17"/>
  <c r="I404" i="17"/>
  <c r="I365" i="17"/>
  <c r="I409" i="17"/>
  <c r="I44" i="17"/>
  <c r="I218" i="17"/>
  <c r="I288" i="17"/>
  <c r="I238" i="17"/>
  <c r="I195" i="17"/>
  <c r="I191" i="17"/>
  <c r="I188" i="17"/>
  <c r="I145" i="17"/>
  <c r="I192" i="17"/>
  <c r="I330" i="17"/>
  <c r="I345" i="17"/>
  <c r="I401" i="17"/>
  <c r="I75" i="17"/>
  <c r="I417" i="17"/>
  <c r="I46" i="17"/>
  <c r="I316" i="17"/>
  <c r="I153" i="17"/>
  <c r="I419" i="17"/>
  <c r="I413" i="17"/>
  <c r="I369" i="17"/>
  <c r="I356" i="17"/>
  <c r="I321" i="17"/>
  <c r="I47" i="17"/>
  <c r="I383" i="17"/>
  <c r="I416" i="17"/>
  <c r="I53" i="17"/>
  <c r="I362" i="17"/>
  <c r="I361" i="17"/>
  <c r="I35" i="17"/>
  <c r="I346" i="17"/>
  <c r="I328" i="17"/>
  <c r="I230" i="17"/>
  <c r="I306" i="17"/>
  <c r="I128" i="17"/>
  <c r="I199" i="17"/>
  <c r="I116" i="17"/>
  <c r="I89" i="17"/>
  <c r="I131" i="17"/>
  <c r="I168" i="17"/>
  <c r="I40" i="17"/>
  <c r="I45" i="17"/>
  <c r="I371" i="17"/>
  <c r="I333" i="17"/>
  <c r="I400" i="17"/>
  <c r="I352" i="17"/>
  <c r="I393" i="17"/>
  <c r="I375" i="17"/>
  <c r="I380" i="17"/>
  <c r="I378" i="17"/>
  <c r="I332" i="17"/>
  <c r="I152" i="17"/>
  <c r="I164" i="17"/>
  <c r="I236" i="17"/>
  <c r="I224" i="17"/>
  <c r="I198" i="17"/>
  <c r="M197" i="17"/>
  <c r="I364" i="17"/>
  <c r="M395" i="17"/>
  <c r="V149" i="17" l="1"/>
  <c r="V56" i="17"/>
  <c r="V415" i="17"/>
  <c r="V32" i="17"/>
  <c r="V160" i="17"/>
  <c r="V253" i="17"/>
  <c r="V30" i="17"/>
  <c r="V82" i="17"/>
  <c r="V228" i="17"/>
  <c r="V244" i="17"/>
  <c r="V99" i="17"/>
  <c r="V421" i="17"/>
  <c r="V422" i="17"/>
  <c r="V235" i="17"/>
  <c r="V25" i="17"/>
  <c r="V181" i="17"/>
  <c r="V305" i="17"/>
  <c r="V255" i="17"/>
  <c r="V106" i="17"/>
  <c r="V163" i="17"/>
  <c r="V76" i="17"/>
  <c r="V37" i="17"/>
  <c r="V112" i="17"/>
  <c r="V52" i="17"/>
  <c r="M117" i="17"/>
  <c r="M156" i="17"/>
  <c r="M151" i="17"/>
  <c r="M228" i="17"/>
  <c r="G327" i="17"/>
  <c r="O186" i="17"/>
  <c r="O276" i="17"/>
  <c r="T194" i="17"/>
  <c r="O262" i="17"/>
  <c r="O126" i="17"/>
  <c r="O108" i="17"/>
  <c r="O332" i="17"/>
  <c r="O99" i="17"/>
  <c r="O231" i="17"/>
  <c r="O248" i="17"/>
  <c r="O285" i="17"/>
  <c r="O174" i="17"/>
  <c r="O107" i="17"/>
  <c r="O106" i="17"/>
  <c r="O133" i="17"/>
  <c r="O10" i="17"/>
  <c r="O18" i="17"/>
  <c r="O82" i="17"/>
  <c r="V14" i="17"/>
  <c r="V24" i="17"/>
  <c r="V345" i="17"/>
  <c r="V265" i="17"/>
  <c r="V419" i="17"/>
  <c r="V371" i="17"/>
  <c r="V435" i="17"/>
  <c r="V317" i="17"/>
  <c r="V326" i="17"/>
  <c r="V279" i="17"/>
  <c r="V377" i="17"/>
  <c r="V59" i="17"/>
  <c r="V438" i="17"/>
  <c r="V353" i="17"/>
  <c r="V212" i="17"/>
  <c r="V89" i="17"/>
  <c r="V352" i="17"/>
  <c r="V119" i="17"/>
  <c r="V399" i="17"/>
  <c r="V304" i="17"/>
  <c r="V152" i="17"/>
  <c r="V79" i="17"/>
  <c r="V222" i="17"/>
  <c r="V64" i="17"/>
  <c r="V102" i="17"/>
  <c r="V442" i="17"/>
  <c r="T243" i="17"/>
  <c r="T369" i="17"/>
  <c r="T430" i="17"/>
  <c r="T84" i="17"/>
  <c r="O300" i="17"/>
  <c r="O176" i="17"/>
  <c r="O181" i="17"/>
  <c r="O361" i="17"/>
  <c r="V403" i="17"/>
  <c r="T62" i="17"/>
  <c r="T90" i="17"/>
  <c r="O363" i="17"/>
  <c r="O158" i="17"/>
  <c r="O309" i="17"/>
  <c r="O336" i="17"/>
  <c r="O134" i="17"/>
  <c r="O54" i="17"/>
  <c r="O284" i="17"/>
  <c r="O163" i="17"/>
  <c r="O184" i="17"/>
  <c r="O348" i="17"/>
  <c r="O151" i="17"/>
  <c r="O230" i="17"/>
  <c r="O234" i="17"/>
  <c r="O198" i="17"/>
  <c r="O421" i="17"/>
  <c r="O202" i="17"/>
  <c r="O350" i="17"/>
  <c r="O263" i="17"/>
  <c r="O81" i="17"/>
  <c r="O252" i="17"/>
  <c r="O303" i="17"/>
  <c r="V320" i="17"/>
  <c r="V277" i="17"/>
  <c r="V257" i="17"/>
  <c r="V410" i="17"/>
  <c r="V427" i="17"/>
  <c r="V417" i="17"/>
  <c r="V394" i="17"/>
  <c r="V400" i="17"/>
  <c r="V201" i="17"/>
  <c r="V91" i="17"/>
  <c r="V437" i="17"/>
  <c r="V141" i="17"/>
  <c r="V425" i="17"/>
  <c r="V293" i="17"/>
  <c r="V275" i="17"/>
  <c r="V195" i="17"/>
  <c r="V22" i="17"/>
  <c r="V26" i="17"/>
  <c r="V375" i="17"/>
  <c r="V17" i="17"/>
  <c r="V267" i="17"/>
  <c r="V227" i="17"/>
  <c r="V401" i="17"/>
  <c r="V135" i="17"/>
  <c r="V268" i="17"/>
  <c r="V120" i="17"/>
  <c r="V23" i="17"/>
  <c r="T244" i="17"/>
  <c r="T327" i="17"/>
  <c r="T245" i="17"/>
  <c r="T266" i="17"/>
  <c r="O173" i="17"/>
  <c r="O225" i="17"/>
  <c r="M31" i="17"/>
  <c r="O205" i="17"/>
  <c r="O83" i="17"/>
  <c r="O289" i="17"/>
  <c r="O206" i="17"/>
  <c r="O260" i="17"/>
  <c r="O74" i="17"/>
  <c r="O208" i="17"/>
  <c r="O391" i="17"/>
  <c r="O224" i="17"/>
  <c r="O117" i="17"/>
  <c r="O270" i="17"/>
  <c r="O187" i="17"/>
  <c r="O178" i="17"/>
  <c r="O364" i="17"/>
  <c r="O312" i="17"/>
  <c r="O67" i="17"/>
  <c r="O314" i="17"/>
  <c r="O261" i="17"/>
  <c r="O233" i="17"/>
  <c r="O362" i="17"/>
  <c r="V251" i="17"/>
  <c r="V341" i="17"/>
  <c r="V8" i="17"/>
  <c r="V354" i="17"/>
  <c r="V311" i="17"/>
  <c r="V416" i="17"/>
  <c r="V393" i="17"/>
  <c r="V411" i="17"/>
  <c r="V434" i="17"/>
  <c r="V60" i="17"/>
  <c r="V302" i="17"/>
  <c r="V424" i="17"/>
  <c r="V136" i="17"/>
  <c r="V402" i="17"/>
  <c r="V103" i="17"/>
  <c r="V96" i="17"/>
  <c r="V286" i="17"/>
  <c r="V34" i="17"/>
  <c r="V339" i="17"/>
  <c r="V236" i="17"/>
  <c r="V216" i="17"/>
  <c r="V413" i="17"/>
  <c r="V274" i="17"/>
  <c r="V177" i="17"/>
  <c r="V145" i="17"/>
  <c r="V122" i="17"/>
  <c r="V100" i="17"/>
  <c r="V45" i="17"/>
  <c r="O338" i="17"/>
  <c r="O104" i="17"/>
  <c r="O160" i="17"/>
  <c r="V373" i="17"/>
  <c r="O25" i="17"/>
  <c r="O315" i="17"/>
  <c r="O445" i="17"/>
  <c r="O71" i="17"/>
  <c r="O415" i="17"/>
  <c r="O149" i="17"/>
  <c r="O182" i="17"/>
  <c r="O211" i="17"/>
  <c r="O105" i="17"/>
  <c r="O422" i="17"/>
  <c r="O360" i="17"/>
  <c r="O280" i="17"/>
  <c r="O297" i="17"/>
  <c r="O75" i="17"/>
  <c r="O199" i="17"/>
  <c r="O444" i="17"/>
  <c r="O246" i="17"/>
  <c r="O290" i="17"/>
  <c r="O95" i="17"/>
  <c r="O264" i="17"/>
  <c r="O56" i="17"/>
  <c r="O185" i="17"/>
  <c r="O334" i="17"/>
  <c r="O258" i="17"/>
  <c r="V319" i="17"/>
  <c r="V101" i="17"/>
  <c r="V193" i="17"/>
  <c r="V113" i="17"/>
  <c r="V325" i="17"/>
  <c r="V86" i="17"/>
  <c r="V35" i="17"/>
  <c r="V441" i="17"/>
  <c r="V380" i="17"/>
  <c r="V9" i="17"/>
  <c r="V154" i="17"/>
  <c r="V144" i="17"/>
  <c r="V344" i="17"/>
  <c r="V66" i="17"/>
  <c r="V365" i="17"/>
  <c r="V161" i="17"/>
  <c r="V278" i="17"/>
  <c r="V42" i="17"/>
  <c r="V217" i="17"/>
  <c r="V155" i="17"/>
  <c r="V58" i="17"/>
  <c r="V38" i="17"/>
  <c r="V110" i="17"/>
  <c r="V273" i="17"/>
  <c r="V142" i="17"/>
  <c r="V200" i="17"/>
  <c r="V254" i="17"/>
  <c r="V218" i="17"/>
  <c r="V153" i="17"/>
  <c r="T32" i="17"/>
  <c r="T431" i="17"/>
  <c r="T295" i="17"/>
  <c r="T386" i="17"/>
  <c r="O307" i="17"/>
  <c r="O157" i="17"/>
  <c r="O340" i="17"/>
  <c r="O80" i="17"/>
  <c r="O408" i="17"/>
  <c r="V439" i="17"/>
  <c r="V191" i="17"/>
  <c r="V387" i="17"/>
  <c r="V111" i="17"/>
  <c r="V171" i="17"/>
  <c r="V292" i="17"/>
  <c r="V397" i="17"/>
  <c r="V85" i="17"/>
  <c r="V116" i="17"/>
  <c r="V347" i="17"/>
  <c r="V390" i="17"/>
  <c r="V226" i="17"/>
  <c r="T87" i="17"/>
  <c r="O256" i="17"/>
  <c r="O229" i="17"/>
  <c r="O255" i="17"/>
  <c r="O249" i="17"/>
  <c r="O235" i="17"/>
  <c r="O97" i="17"/>
  <c r="O288" i="17"/>
  <c r="O147" i="17"/>
  <c r="O127" i="17"/>
  <c r="O333" i="17"/>
  <c r="O77" i="17"/>
  <c r="O305" i="17"/>
  <c r="O357" i="17"/>
  <c r="O130" i="17"/>
  <c r="V15" i="17"/>
  <c r="V271" i="17"/>
  <c r="V189" i="17"/>
  <c r="V61" i="17"/>
  <c r="V404" i="17"/>
  <c r="V51" i="17"/>
  <c r="V308" i="17"/>
  <c r="V316" i="17"/>
  <c r="V164" i="17"/>
  <c r="V109" i="17"/>
  <c r="V214" i="17"/>
  <c r="V335" i="17"/>
  <c r="V46" i="17"/>
  <c r="V219" i="17"/>
  <c r="V296" i="17"/>
  <c r="V395" i="17"/>
  <c r="V322" i="17"/>
  <c r="V446" i="17"/>
  <c r="V388" i="17"/>
  <c r="V70" i="17"/>
  <c r="V73" i="17"/>
  <c r="V313" i="17"/>
  <c r="V28" i="17"/>
  <c r="V146" i="17"/>
  <c r="V378" i="17"/>
  <c r="V337" i="17"/>
  <c r="V389" i="17"/>
  <c r="T192" i="17"/>
  <c r="T190" i="17"/>
  <c r="T241" i="17"/>
  <c r="T349" i="17"/>
  <c r="T165" i="17"/>
  <c r="I123" i="17"/>
  <c r="O287" i="17"/>
  <c r="O440" i="17"/>
  <c r="O180" i="17"/>
  <c r="O183" i="17"/>
  <c r="O167" i="17"/>
  <c r="O137" i="17"/>
  <c r="O131" i="17"/>
  <c r="O197" i="17"/>
  <c r="O41" i="17"/>
  <c r="O443" i="17"/>
  <c r="O359" i="17"/>
  <c r="O98" i="17"/>
  <c r="O210" i="17"/>
  <c r="O418" i="17"/>
  <c r="O306" i="17"/>
  <c r="V94" i="17"/>
  <c r="V436" i="17"/>
  <c r="V168" i="17"/>
  <c r="V409" i="17"/>
  <c r="V162" i="17"/>
  <c r="V172" i="17"/>
  <c r="V88" i="17"/>
  <c r="V420" i="17"/>
  <c r="V331" i="17"/>
  <c r="V48" i="17"/>
  <c r="V124" i="17"/>
  <c r="V323" i="17"/>
  <c r="V398" i="17"/>
  <c r="V139" i="17"/>
  <c r="V159" i="17"/>
  <c r="V321" i="17"/>
  <c r="V39" i="17"/>
  <c r="V29" i="17"/>
  <c r="V78" i="17"/>
  <c r="V215" i="17"/>
  <c r="V247" i="17"/>
  <c r="V204" i="17"/>
  <c r="V27" i="17"/>
  <c r="T63" i="17"/>
  <c r="T49" i="17"/>
  <c r="T50" i="17"/>
  <c r="T37" i="17"/>
  <c r="T428" i="17"/>
  <c r="T69" i="17"/>
  <c r="O220" i="17"/>
  <c r="V36" i="17"/>
  <c r="V250" i="17"/>
  <c r="V16" i="17"/>
  <c r="V318" i="17"/>
  <c r="V169" i="17"/>
  <c r="V370" i="17"/>
  <c r="V372" i="17"/>
  <c r="V40" i="17"/>
  <c r="V330" i="17"/>
  <c r="V93" i="17"/>
  <c r="V203" i="17"/>
  <c r="V282" i="17"/>
  <c r="V121" i="17"/>
  <c r="T346" i="17"/>
  <c r="T239" i="17"/>
  <c r="T429" i="17"/>
  <c r="T72" i="17"/>
  <c r="M148" i="17"/>
  <c r="O129" i="17"/>
  <c r="O11" i="17"/>
  <c r="O92" i="17"/>
  <c r="O272" i="17"/>
  <c r="O228" i="17"/>
  <c r="O207" i="17"/>
  <c r="O253" i="17"/>
  <c r="O232" i="17"/>
  <c r="O382" i="17"/>
  <c r="O259" i="17"/>
  <c r="O310" i="17"/>
  <c r="O19" i="17"/>
  <c r="O30" i="17"/>
  <c r="O209" i="17"/>
  <c r="O223" i="17"/>
  <c r="O156" i="17"/>
  <c r="O281" i="17"/>
  <c r="O76" i="17"/>
  <c r="O125" i="17"/>
  <c r="O52" i="17"/>
  <c r="O238" i="17"/>
  <c r="O166" i="17"/>
  <c r="O356" i="17"/>
  <c r="O128" i="17"/>
  <c r="V392" i="17"/>
  <c r="V114" i="17"/>
  <c r="V179" i="17"/>
  <c r="V414" i="17"/>
  <c r="V21" i="17"/>
  <c r="V406" i="17"/>
  <c r="V351" i="17"/>
  <c r="V47" i="17"/>
  <c r="V426" i="17"/>
  <c r="V213" i="17"/>
  <c r="V358" i="17"/>
  <c r="V115" i="17"/>
  <c r="V269" i="17"/>
  <c r="V355" i="17"/>
  <c r="V433" i="17"/>
  <c r="V53" i="17"/>
  <c r="V381" i="17"/>
  <c r="V132" i="17"/>
  <c r="V140" i="17"/>
  <c r="V175" i="17"/>
  <c r="V384" i="17"/>
  <c r="V328" i="17"/>
  <c r="V150" i="17"/>
  <c r="V242" i="17"/>
  <c r="V385" i="17"/>
  <c r="T294" i="17"/>
  <c r="T383" i="17"/>
  <c r="T298" i="17"/>
  <c r="G247" i="17"/>
  <c r="I291" i="17"/>
  <c r="D238" i="25" l="1"/>
  <c r="C238" i="25"/>
  <c r="F238" i="25" s="1"/>
  <c r="D239" i="25"/>
  <c r="C239" i="25"/>
  <c r="F239" i="25" s="1"/>
  <c r="D240" i="25"/>
  <c r="C240" i="25"/>
  <c r="F240" i="25" s="1"/>
  <c r="D236" i="25"/>
  <c r="C236" i="25"/>
  <c r="F236" i="25" s="1"/>
  <c r="D235" i="25"/>
  <c r="C235" i="25"/>
  <c r="F235" i="25" s="1"/>
  <c r="D234" i="25"/>
  <c r="C234" i="25"/>
  <c r="F234" i="25" s="1"/>
  <c r="D237" i="25"/>
  <c r="C237" i="25"/>
  <c r="F237" i="25" s="1"/>
  <c r="C208" i="25"/>
  <c r="F208" i="25" s="1"/>
  <c r="C203" i="25"/>
  <c r="F203" i="25" s="1"/>
  <c r="C233" i="25"/>
  <c r="F233" i="25" s="1"/>
  <c r="C151" i="25"/>
  <c r="F151" i="25" s="1"/>
  <c r="C137" i="25"/>
  <c r="F137" i="25" s="1"/>
  <c r="C179" i="25"/>
  <c r="F179" i="25" s="1"/>
  <c r="C2" i="25"/>
  <c r="F2" i="25" s="1"/>
  <c r="C66" i="25"/>
  <c r="F66" i="25" s="1"/>
  <c r="C62" i="25"/>
  <c r="F62" i="25" s="1"/>
  <c r="C185" i="25"/>
  <c r="F185" i="25" s="1"/>
  <c r="C114" i="25"/>
  <c r="F114" i="25" s="1"/>
  <c r="C222" i="25"/>
  <c r="F222" i="25" s="1"/>
  <c r="C126" i="25"/>
  <c r="F126" i="25" s="1"/>
  <c r="C79" i="25"/>
  <c r="F79" i="25" s="1"/>
  <c r="C102" i="25"/>
  <c r="F102" i="25" s="1"/>
  <c r="C83" i="25"/>
  <c r="F83" i="25" s="1"/>
  <c r="C99" i="25"/>
  <c r="F99" i="25" s="1"/>
  <c r="C199" i="25"/>
  <c r="F199" i="25" s="1"/>
  <c r="C16" i="25"/>
  <c r="F16" i="25" s="1"/>
  <c r="C77" i="25"/>
  <c r="F77" i="25" s="1"/>
  <c r="C41" i="25"/>
  <c r="F41" i="25" s="1"/>
  <c r="C193" i="25"/>
  <c r="F193" i="25" s="1"/>
  <c r="C73" i="25"/>
  <c r="F73" i="25" s="1"/>
  <c r="C189" i="25"/>
  <c r="F189" i="25" s="1"/>
  <c r="C23" i="25"/>
  <c r="F23" i="25" s="1"/>
  <c r="C204" i="25"/>
  <c r="F204" i="25" s="1"/>
  <c r="C60" i="25"/>
  <c r="F60" i="25" s="1"/>
  <c r="C221" i="25"/>
  <c r="F221" i="25" s="1"/>
  <c r="C195" i="25"/>
  <c r="F195" i="25" s="1"/>
  <c r="C229" i="25" l="1"/>
  <c r="F229" i="25" s="1"/>
  <c r="C219" i="25"/>
  <c r="F219" i="25" s="1"/>
  <c r="C59" i="25"/>
  <c r="F59" i="25" s="1"/>
  <c r="C215" i="25"/>
  <c r="F215" i="25" s="1"/>
  <c r="C131" i="25"/>
  <c r="F131" i="25" s="1"/>
  <c r="C165" i="25"/>
  <c r="F165" i="25" s="1"/>
  <c r="C174" i="25"/>
  <c r="F174" i="25" s="1"/>
  <c r="C57" i="25"/>
  <c r="F57" i="25" s="1"/>
  <c r="C101" i="25"/>
  <c r="F101" i="25" s="1"/>
  <c r="C70" i="25"/>
  <c r="F70" i="25" s="1"/>
  <c r="C147" i="25"/>
  <c r="F147" i="25" s="1"/>
  <c r="C197" i="25"/>
  <c r="F197" i="25" s="1"/>
  <c r="C64" i="25"/>
  <c r="F64" i="25" s="1"/>
  <c r="C129" i="25"/>
  <c r="F129" i="25" s="1"/>
  <c r="C124" i="25"/>
  <c r="F124" i="25" s="1"/>
  <c r="C211" i="25"/>
  <c r="F211" i="25" s="1"/>
  <c r="C54" i="25"/>
  <c r="F54" i="25" s="1"/>
  <c r="C48" i="25"/>
  <c r="F48" i="25" s="1"/>
  <c r="C183" i="25"/>
  <c r="F183" i="25" s="1"/>
  <c r="C122" i="25"/>
  <c r="F122" i="25" s="1"/>
  <c r="C181" i="25"/>
  <c r="F181" i="25" s="1"/>
  <c r="C94" i="25"/>
  <c r="F94" i="25" s="1"/>
  <c r="C7" i="25"/>
  <c r="F7" i="25" s="1"/>
  <c r="C156" i="25"/>
  <c r="F156" i="25" s="1"/>
  <c r="C36" i="25"/>
  <c r="F36" i="25" s="1"/>
  <c r="C86" i="25"/>
  <c r="F86" i="25" s="1"/>
  <c r="C223" i="25"/>
  <c r="F223" i="25" s="1"/>
  <c r="C43" i="25"/>
  <c r="F43" i="25" s="1"/>
  <c r="C135" i="25"/>
  <c r="F135" i="25" s="1"/>
  <c r="C176" i="25"/>
  <c r="F176" i="25" s="1"/>
  <c r="C44" i="25"/>
  <c r="F44" i="25" s="1"/>
  <c r="C103" i="25"/>
  <c r="F103" i="25" s="1"/>
  <c r="C107" i="25"/>
  <c r="F107" i="25" s="1"/>
  <c r="C55" i="25"/>
  <c r="F55" i="25" s="1"/>
  <c r="C98" i="25"/>
  <c r="F98" i="25" s="1"/>
  <c r="C152" i="25"/>
  <c r="F152" i="25" s="1"/>
  <c r="C24" i="25"/>
  <c r="F24" i="25" s="1"/>
  <c r="C128" i="25"/>
  <c r="F128" i="25" s="1"/>
  <c r="C81" i="25"/>
  <c r="F81" i="25" s="1"/>
  <c r="C132" i="25"/>
  <c r="F132" i="25" s="1"/>
  <c r="C123" i="25"/>
  <c r="F123" i="25" s="1"/>
  <c r="C227" i="25"/>
  <c r="F227" i="25" s="1"/>
  <c r="C225" i="25"/>
  <c r="F225" i="25" s="1"/>
  <c r="C141" i="25"/>
  <c r="F141" i="25" s="1"/>
  <c r="C28" i="25"/>
  <c r="F28" i="25" s="1"/>
  <c r="C111" i="25"/>
  <c r="F111" i="25" s="1"/>
  <c r="C108" i="25"/>
  <c r="F108" i="25" s="1"/>
  <c r="C194" i="25"/>
  <c r="F194" i="25" s="1"/>
  <c r="C190" i="25"/>
  <c r="F190" i="25" s="1"/>
  <c r="C51" i="25"/>
  <c r="F51" i="25" s="1"/>
  <c r="C228" i="25"/>
  <c r="F228" i="25" s="1"/>
  <c r="C47" i="25"/>
  <c r="F47" i="25" s="1"/>
  <c r="C30" i="25"/>
  <c r="F30" i="25" s="1"/>
  <c r="C34" i="25"/>
  <c r="F34" i="25" s="1"/>
  <c r="C22" i="25"/>
  <c r="F22" i="25" s="1"/>
  <c r="C118" i="25"/>
  <c r="F118" i="25" s="1"/>
  <c r="C13" i="25"/>
  <c r="F13" i="25" s="1"/>
  <c r="C18" i="25"/>
  <c r="F18" i="25" s="1"/>
  <c r="C46" i="25"/>
  <c r="F46" i="25" s="1"/>
  <c r="C202" i="25"/>
  <c r="F202" i="25" s="1"/>
  <c r="C182" i="25"/>
  <c r="F182" i="25" s="1"/>
  <c r="C149" i="25"/>
  <c r="F149" i="25" s="1"/>
  <c r="C106" i="25"/>
  <c r="F106" i="25" s="1"/>
  <c r="C120" i="25"/>
  <c r="F120" i="25" s="1"/>
  <c r="C29" i="25"/>
  <c r="F29" i="25" s="1"/>
  <c r="C95" i="25"/>
  <c r="F95" i="25" s="1"/>
  <c r="C177" i="25"/>
  <c r="F177" i="25" s="1"/>
  <c r="C164" i="25"/>
  <c r="F164" i="25" s="1"/>
  <c r="C76" i="25"/>
  <c r="F76" i="25" s="1"/>
  <c r="C25" i="25"/>
  <c r="F25" i="25" s="1"/>
  <c r="C188" i="25"/>
  <c r="F188" i="25" s="1"/>
  <c r="C171" i="25"/>
  <c r="F171" i="25" s="1"/>
  <c r="C20" i="25"/>
  <c r="F20" i="25" s="1"/>
  <c r="C35" i="25"/>
  <c r="F35" i="25" s="1"/>
  <c r="C112" i="25"/>
  <c r="F112" i="25" s="1"/>
  <c r="C75" i="25"/>
  <c r="F75" i="25" s="1"/>
  <c r="C74" i="25"/>
  <c r="F74" i="25" s="1"/>
  <c r="C89" i="25"/>
  <c r="F89" i="25" s="1"/>
  <c r="C90" i="25"/>
  <c r="F90" i="25" s="1"/>
  <c r="C155" i="25"/>
  <c r="F155" i="25" s="1"/>
  <c r="C92" i="25"/>
  <c r="F92" i="25" s="1"/>
  <c r="C78" i="25"/>
  <c r="F78" i="25" s="1"/>
  <c r="C217" i="25"/>
  <c r="F217" i="25" s="1"/>
  <c r="C232" i="25"/>
  <c r="F232" i="25" s="1"/>
  <c r="C169" i="25"/>
  <c r="F169" i="25" s="1"/>
  <c r="C37" i="25"/>
  <c r="F37" i="25" s="1"/>
  <c r="C80" i="25"/>
  <c r="F80" i="25" s="1"/>
  <c r="C19" i="25"/>
  <c r="F19" i="25" s="1"/>
  <c r="C192" i="25"/>
  <c r="F192" i="25" s="1"/>
  <c r="C39" i="25"/>
  <c r="F39" i="25" s="1"/>
  <c r="C110" i="25"/>
  <c r="F110" i="25" s="1"/>
  <c r="C65" i="25"/>
  <c r="F65" i="25" s="1"/>
  <c r="C201" i="25"/>
  <c r="F201" i="25" s="1"/>
  <c r="C117" i="25"/>
  <c r="F117" i="25" s="1"/>
  <c r="C10" i="25"/>
  <c r="F10" i="25" s="1"/>
  <c r="C50" i="25"/>
  <c r="F50" i="25" s="1"/>
  <c r="C52" i="25"/>
  <c r="F52" i="25" s="1"/>
  <c r="C58" i="25"/>
  <c r="F58" i="25" s="1"/>
  <c r="C91" i="25"/>
  <c r="F91" i="25" s="1"/>
  <c r="C187" i="25"/>
  <c r="F187" i="25" s="1"/>
  <c r="C200" i="25"/>
  <c r="F200" i="25" s="1"/>
  <c r="C40" i="25"/>
  <c r="F40" i="25" s="1"/>
  <c r="C69" i="25"/>
  <c r="F69" i="25" s="1"/>
  <c r="C140" i="25"/>
  <c r="F140" i="25" s="1"/>
  <c r="C148" i="25"/>
  <c r="F148" i="25" s="1"/>
  <c r="C104" i="25"/>
  <c r="F104" i="25" s="1"/>
  <c r="C212" i="25"/>
  <c r="F212" i="25" s="1"/>
  <c r="C161" i="25"/>
  <c r="F161" i="25" s="1"/>
  <c r="C150" i="25"/>
  <c r="F150" i="25" s="1"/>
  <c r="C130" i="25"/>
  <c r="F130" i="25" s="1"/>
  <c r="C184" i="25"/>
  <c r="F184" i="25" s="1"/>
  <c r="C15" i="25"/>
  <c r="F15" i="25" s="1"/>
  <c r="C84" i="25"/>
  <c r="F84" i="25" s="1"/>
  <c r="C143" i="25"/>
  <c r="F143" i="25" s="1"/>
  <c r="C53" i="25"/>
  <c r="F53" i="25" s="1"/>
  <c r="C142" i="25"/>
  <c r="F142" i="25" s="1"/>
  <c r="C146" i="25"/>
  <c r="F146" i="25" s="1"/>
  <c r="C17" i="25"/>
  <c r="F17" i="25" s="1"/>
  <c r="C162" i="25"/>
  <c r="F162" i="25" s="1"/>
  <c r="C127" i="25"/>
  <c r="F127" i="25" s="1"/>
  <c r="C27" i="25"/>
  <c r="F27" i="25" s="1"/>
  <c r="C167" i="25"/>
  <c r="F167" i="25" s="1"/>
  <c r="C113" i="25"/>
  <c r="F113" i="25" s="1"/>
  <c r="C133" i="25"/>
  <c r="F133" i="25" s="1"/>
  <c r="C33" i="25"/>
  <c r="F33" i="25" s="1"/>
  <c r="C26" i="25"/>
  <c r="F26" i="25" s="1"/>
  <c r="C198" i="25"/>
  <c r="F198" i="25" s="1"/>
  <c r="C93" i="25"/>
  <c r="F93" i="25" s="1"/>
  <c r="C206" i="25"/>
  <c r="F206" i="25" s="1"/>
  <c r="C213" i="25"/>
  <c r="F213" i="25" s="1"/>
  <c r="C119" i="25"/>
  <c r="F119" i="25" s="1"/>
  <c r="C170" i="25"/>
  <c r="F170" i="25" s="1"/>
  <c r="C134" i="25"/>
  <c r="F134" i="25" s="1"/>
  <c r="C96" i="25"/>
  <c r="F96" i="25" s="1"/>
  <c r="C205" i="25"/>
  <c r="F205" i="25" s="1"/>
  <c r="C216" i="25"/>
  <c r="F216" i="25" s="1"/>
  <c r="C154" i="25"/>
  <c r="F154" i="25" s="1"/>
  <c r="C196" i="25"/>
  <c r="F196" i="25" s="1"/>
  <c r="C157" i="25"/>
  <c r="F157" i="25" s="1"/>
  <c r="C180" i="25"/>
  <c r="F180" i="25" s="1"/>
  <c r="C160" i="25"/>
  <c r="F160" i="25" s="1"/>
  <c r="C9" i="25"/>
  <c r="F9" i="25" s="1"/>
  <c r="C144" i="25"/>
  <c r="F144" i="25" s="1"/>
  <c r="C175" i="25"/>
  <c r="F175" i="25" s="1"/>
  <c r="C97" i="25"/>
  <c r="F97" i="25" s="1"/>
  <c r="C4" i="25"/>
  <c r="F4" i="25" s="1"/>
  <c r="C153" i="25"/>
  <c r="F153" i="25" s="1"/>
  <c r="C186" i="25"/>
  <c r="F186" i="25" s="1"/>
  <c r="C226" i="25"/>
  <c r="F226" i="25" s="1"/>
  <c r="C100" i="25"/>
  <c r="F100" i="25" s="1"/>
  <c r="C67" i="25"/>
  <c r="F67" i="25" s="1"/>
  <c r="C210" i="25"/>
  <c r="F210" i="25" s="1"/>
  <c r="C72" i="25"/>
  <c r="F72" i="25" s="1"/>
  <c r="C88" i="25"/>
  <c r="F88" i="25" s="1"/>
  <c r="C145" i="25"/>
  <c r="F145" i="25" s="1"/>
  <c r="C6" i="25"/>
  <c r="F6" i="25" s="1"/>
  <c r="C63" i="25"/>
  <c r="F63" i="25" s="1"/>
  <c r="C38" i="25"/>
  <c r="F38" i="25" s="1"/>
  <c r="C159" i="25"/>
  <c r="F159" i="25" s="1"/>
  <c r="C178" i="25"/>
  <c r="F178" i="25" s="1"/>
  <c r="C85" i="25"/>
  <c r="F85" i="25" s="1"/>
  <c r="C121" i="25"/>
  <c r="F121" i="25" s="1"/>
  <c r="C115" i="25"/>
  <c r="F115" i="25" s="1"/>
  <c r="C209" i="25"/>
  <c r="F209" i="25" s="1"/>
  <c r="C214" i="25"/>
  <c r="F214" i="25" s="1"/>
  <c r="C21" i="25"/>
  <c r="F21" i="25" s="1"/>
  <c r="C12" i="25"/>
  <c r="F12" i="25" s="1"/>
  <c r="C231" i="25"/>
  <c r="F231" i="25" s="1"/>
  <c r="C31" i="25"/>
  <c r="F31" i="25" s="1"/>
  <c r="C163" i="25"/>
  <c r="F163" i="25" s="1"/>
  <c r="C5" i="25"/>
  <c r="F5" i="25" s="1"/>
  <c r="C218" i="25"/>
  <c r="F218" i="25" s="1"/>
  <c r="C11" i="25"/>
  <c r="F11" i="25" s="1"/>
  <c r="C32" i="25"/>
  <c r="F32" i="25" s="1"/>
  <c r="C173" i="25"/>
  <c r="F173" i="25" s="1"/>
  <c r="C116" i="25"/>
  <c r="F116" i="25" s="1"/>
  <c r="C224" i="25"/>
  <c r="F224" i="25" s="1"/>
  <c r="C172" i="25"/>
  <c r="F172" i="25" s="1"/>
  <c r="C105" i="25"/>
  <c r="F105" i="25" s="1"/>
  <c r="C125" i="25"/>
  <c r="F125" i="25" s="1"/>
  <c r="C230" i="25"/>
  <c r="F230" i="25" s="1"/>
  <c r="C166" i="25"/>
  <c r="F166" i="25" s="1"/>
  <c r="C3" i="25"/>
  <c r="F3" i="25" s="1"/>
  <c r="C158" i="25"/>
  <c r="F158" i="25" s="1"/>
  <c r="C8" i="25"/>
  <c r="F8" i="25" s="1"/>
  <c r="C139" i="25"/>
  <c r="F139" i="25" s="1"/>
  <c r="C42" i="25"/>
  <c r="F42" i="25" s="1"/>
  <c r="C191" i="25"/>
  <c r="F191" i="25" s="1"/>
  <c r="C220" i="25"/>
  <c r="F220" i="25" s="1"/>
  <c r="C87" i="25"/>
  <c r="F87" i="25" s="1"/>
  <c r="C136" i="25"/>
  <c r="F136" i="25" s="1"/>
  <c r="C49" i="25"/>
  <c r="F49" i="25" s="1"/>
  <c r="C207" i="25"/>
  <c r="F207" i="25" s="1"/>
  <c r="C82" i="25"/>
  <c r="F82" i="25" s="1"/>
  <c r="C168" i="25"/>
  <c r="F168" i="25" s="1"/>
  <c r="C45" i="25"/>
  <c r="F45" i="25" s="1"/>
  <c r="C56" i="25"/>
  <c r="F56" i="25" s="1"/>
  <c r="C109" i="25"/>
  <c r="F109" i="25" s="1"/>
  <c r="C14" i="25"/>
  <c r="F14" i="25" s="1"/>
  <c r="C71" i="25"/>
  <c r="F71" i="25" s="1"/>
  <c r="C138" i="25"/>
  <c r="F138" i="25" s="1"/>
  <c r="D208" i="25"/>
  <c r="D35" i="25"/>
  <c r="D194" i="25"/>
  <c r="D106" i="25"/>
  <c r="D137" i="25"/>
  <c r="D129" i="25"/>
  <c r="D233" i="25"/>
  <c r="D174" i="25"/>
  <c r="D14" i="25"/>
  <c r="D193" i="25"/>
  <c r="D102" i="25"/>
  <c r="D167" i="25"/>
  <c r="D203" i="25"/>
  <c r="D23" i="25"/>
  <c r="D176" i="25"/>
  <c r="D20" i="25"/>
  <c r="D95" i="25"/>
  <c r="D100" i="25"/>
  <c r="V379" i="17" l="1"/>
  <c r="V343" i="17"/>
  <c r="V43" i="17"/>
  <c r="V396" i="17"/>
  <c r="V138" i="17"/>
  <c r="V299" i="17"/>
  <c r="V329" i="17"/>
  <c r="V20" i="17"/>
  <c r="V374" i="17"/>
  <c r="V33" i="17"/>
  <c r="V196" i="17"/>
  <c r="V13" i="17"/>
  <c r="V65" i="17"/>
  <c r="V55" i="17"/>
  <c r="V412" i="17"/>
  <c r="V342" i="17"/>
  <c r="V170" i="17"/>
  <c r="V423" i="17"/>
  <c r="V407" i="17"/>
  <c r="V301" i="17"/>
  <c r="V143" i="17"/>
  <c r="V405" i="17"/>
  <c r="V324" i="17"/>
  <c r="V68" i="17"/>
  <c r="V237" i="17"/>
  <c r="V283" i="17"/>
  <c r="V221" i="17"/>
  <c r="V367" i="17"/>
  <c r="V118" i="17"/>
  <c r="D216" i="25"/>
  <c r="D150" i="25"/>
  <c r="D232" i="25"/>
  <c r="D47" i="25"/>
  <c r="D11" i="25"/>
  <c r="D104" i="25"/>
  <c r="D132" i="25"/>
  <c r="D211" i="25"/>
  <c r="D196" i="25"/>
  <c r="D97" i="25"/>
  <c r="D118" i="25"/>
  <c r="D162" i="25"/>
  <c r="D81" i="25"/>
  <c r="D221" i="25"/>
  <c r="D170" i="25"/>
  <c r="D6" i="25"/>
  <c r="D76" i="25"/>
  <c r="D142" i="25"/>
  <c r="D25" i="25"/>
  <c r="D73" i="25"/>
  <c r="D148" i="25"/>
  <c r="D152" i="25"/>
  <c r="D224" i="25"/>
  <c r="D112" i="25"/>
  <c r="D60" i="25"/>
  <c r="D42" i="25"/>
  <c r="D141" i="25"/>
  <c r="D231" i="25"/>
  <c r="D114" i="25"/>
  <c r="D56" i="25"/>
  <c r="D96" i="25"/>
  <c r="D4" i="25"/>
  <c r="D191" i="25"/>
  <c r="D155" i="25"/>
  <c r="D29" i="25"/>
  <c r="D12" i="25"/>
  <c r="D84" i="25"/>
  <c r="D230" i="25"/>
  <c r="D225" i="25"/>
  <c r="D124" i="25"/>
  <c r="D22" i="25"/>
  <c r="D226" i="25"/>
  <c r="D69" i="25"/>
  <c r="D17" i="25"/>
  <c r="D127" i="25"/>
  <c r="D228" i="25"/>
  <c r="D186" i="25"/>
  <c r="D215" i="25"/>
  <c r="D126" i="25"/>
  <c r="D70" i="25"/>
  <c r="D163" i="25"/>
  <c r="D8" i="25"/>
  <c r="D164" i="25"/>
  <c r="D202" i="25"/>
  <c r="D103" i="25"/>
  <c r="D45" i="25"/>
  <c r="D51" i="25"/>
  <c r="D134" i="25"/>
  <c r="D74" i="25"/>
  <c r="D62" i="25"/>
  <c r="D222" i="25"/>
  <c r="D24" i="25"/>
  <c r="D154" i="25"/>
  <c r="D212" i="25"/>
  <c r="D207" i="25"/>
  <c r="D172" i="25"/>
  <c r="D18" i="25"/>
  <c r="D181" i="25"/>
  <c r="D190" i="25"/>
  <c r="D92" i="25"/>
  <c r="D63" i="25"/>
  <c r="D147" i="25"/>
  <c r="D58" i="25"/>
  <c r="D210" i="25"/>
  <c r="D48" i="25"/>
  <c r="D183" i="25"/>
  <c r="D227" i="25"/>
  <c r="D67" i="25"/>
  <c r="D198" i="25"/>
  <c r="D10" i="25"/>
  <c r="D91" i="25"/>
  <c r="D90" i="25"/>
  <c r="D119" i="25"/>
  <c r="D113" i="25"/>
  <c r="D108" i="25"/>
  <c r="D9" i="25"/>
  <c r="D16" i="25"/>
  <c r="D89" i="25"/>
  <c r="D85" i="25"/>
  <c r="D3" i="25"/>
  <c r="D204" i="25"/>
  <c r="D131" i="25"/>
  <c r="D143" i="25"/>
  <c r="D153" i="25"/>
  <c r="D66" i="25"/>
  <c r="D13" i="25"/>
  <c r="D133" i="25"/>
  <c r="D52" i="25"/>
  <c r="D34" i="25"/>
  <c r="D217" i="25"/>
  <c r="D54" i="25"/>
  <c r="D135" i="25"/>
  <c r="D39" i="25"/>
  <c r="D145" i="25"/>
  <c r="D93" i="25"/>
  <c r="D165" i="25"/>
  <c r="D21" i="25"/>
  <c r="D80" i="25"/>
  <c r="D184" i="25"/>
  <c r="D136" i="25"/>
  <c r="D31" i="25"/>
  <c r="D166" i="25"/>
  <c r="D195" i="25"/>
  <c r="D30" i="25"/>
  <c r="D37" i="25"/>
  <c r="D26" i="25"/>
  <c r="D219" i="25"/>
  <c r="D94" i="25"/>
  <c r="D41" i="25"/>
  <c r="D117" i="25"/>
  <c r="D151" i="25"/>
  <c r="D32" i="25"/>
  <c r="D220" i="25"/>
  <c r="D78" i="25"/>
  <c r="D213" i="25"/>
  <c r="D43" i="25"/>
  <c r="D82" i="25"/>
  <c r="D59" i="25"/>
  <c r="D7" i="25"/>
  <c r="D168" i="25"/>
  <c r="D123" i="25"/>
  <c r="D109" i="25"/>
  <c r="D223" i="25"/>
  <c r="D138" i="25"/>
  <c r="D53" i="25"/>
  <c r="D44" i="25"/>
  <c r="D201" i="25"/>
  <c r="D180" i="25"/>
  <c r="D122" i="25"/>
  <c r="D144" i="25"/>
  <c r="D189" i="25"/>
  <c r="D55" i="25"/>
  <c r="D205" i="25"/>
  <c r="D33" i="25"/>
  <c r="D157" i="25"/>
  <c r="D214" i="25"/>
  <c r="D197" i="25"/>
  <c r="D65" i="25"/>
  <c r="D139" i="25"/>
  <c r="D79" i="25"/>
  <c r="D171" i="25"/>
  <c r="D116" i="25"/>
  <c r="D140" i="25"/>
  <c r="D175" i="25"/>
  <c r="D229" i="25"/>
  <c r="D98" i="25"/>
  <c r="D75" i="25"/>
  <c r="D64" i="25"/>
  <c r="D27" i="25"/>
  <c r="D128" i="25"/>
  <c r="D5" i="25"/>
  <c r="D83" i="25"/>
  <c r="D77" i="25"/>
  <c r="D28" i="25"/>
  <c r="D125" i="25"/>
  <c r="D192" i="25"/>
  <c r="D177" i="25"/>
  <c r="D115" i="25"/>
  <c r="D156" i="25"/>
  <c r="D182" i="25"/>
  <c r="D160" i="25"/>
  <c r="D72" i="25"/>
  <c r="D130" i="25"/>
  <c r="D159" i="25"/>
  <c r="D49" i="25"/>
  <c r="D206" i="25"/>
  <c r="D188" i="25"/>
  <c r="D187" i="25"/>
  <c r="D101" i="25"/>
  <c r="D149" i="25"/>
  <c r="D178" i="25"/>
  <c r="D46" i="25"/>
  <c r="D2" i="25"/>
  <c r="D200" i="25"/>
  <c r="D71" i="25"/>
  <c r="D199" i="25"/>
  <c r="D38" i="25"/>
  <c r="D40" i="25"/>
  <c r="D105" i="25"/>
  <c r="D120" i="25"/>
  <c r="D158" i="25"/>
  <c r="D36" i="25"/>
  <c r="D110" i="25"/>
  <c r="D179" i="25"/>
  <c r="D218" i="25"/>
  <c r="D86" i="25"/>
  <c r="D99" i="25"/>
  <c r="D111" i="25"/>
  <c r="D169" i="25"/>
  <c r="D50" i="25"/>
  <c r="D209" i="25"/>
  <c r="D88" i="25"/>
  <c r="D121" i="25"/>
  <c r="D87" i="25"/>
  <c r="D146" i="25"/>
  <c r="D173" i="25"/>
  <c r="D161" i="25"/>
  <c r="D185" i="25"/>
  <c r="D57" i="25"/>
  <c r="D107" i="25"/>
  <c r="D19" i="25"/>
  <c r="D15" i="25"/>
  <c r="BO482" i="9" l="1"/>
  <c r="BO481" i="9"/>
  <c r="BO480" i="9"/>
  <c r="BO479" i="9"/>
  <c r="BO478" i="9"/>
  <c r="BO477" i="9"/>
  <c r="BO476" i="9"/>
  <c r="BO475" i="9"/>
  <c r="BO474" i="9"/>
  <c r="BO473" i="9"/>
  <c r="BO472" i="9"/>
  <c r="BO471" i="9"/>
  <c r="BO470" i="9"/>
  <c r="BO469" i="9"/>
  <c r="BO468" i="9"/>
  <c r="BO467" i="9"/>
  <c r="BO466" i="9"/>
  <c r="BO465" i="9"/>
  <c r="BO464" i="9"/>
  <c r="BO463" i="9"/>
  <c r="BO462" i="9"/>
  <c r="BO461" i="9"/>
  <c r="BO460" i="9"/>
  <c r="BO459" i="9"/>
  <c r="BO458" i="9"/>
  <c r="BO457" i="9"/>
  <c r="BO456" i="9"/>
  <c r="BO455" i="9"/>
  <c r="BO454" i="9"/>
  <c r="BO453" i="9"/>
  <c r="BO452" i="9"/>
  <c r="BO451" i="9"/>
  <c r="BO450" i="9"/>
  <c r="BO449" i="9"/>
  <c r="BO448" i="9"/>
  <c r="BO447" i="9"/>
  <c r="BO446" i="9"/>
  <c r="BO445" i="9"/>
  <c r="BO444" i="9"/>
  <c r="BO443" i="9"/>
  <c r="BO442" i="9"/>
  <c r="BO441" i="9"/>
  <c r="BO440" i="9"/>
  <c r="BO439" i="9"/>
  <c r="BO438" i="9"/>
  <c r="BO437" i="9"/>
  <c r="BO436" i="9"/>
  <c r="BO435" i="9"/>
  <c r="BO434" i="9"/>
  <c r="BO433" i="9"/>
  <c r="BO432" i="9"/>
  <c r="BO431" i="9"/>
  <c r="BO430" i="9"/>
  <c r="BO429" i="9"/>
  <c r="BO428" i="9"/>
  <c r="BO427" i="9"/>
  <c r="BO426" i="9"/>
  <c r="BO425" i="9"/>
  <c r="BO424" i="9"/>
  <c r="BO423" i="9"/>
  <c r="BO422" i="9"/>
  <c r="BO421" i="9"/>
  <c r="BO420" i="9"/>
  <c r="BO419" i="9"/>
  <c r="BO418" i="9"/>
  <c r="BO417" i="9"/>
  <c r="BO416" i="9"/>
  <c r="BO415" i="9"/>
  <c r="BO414" i="9"/>
  <c r="BO413" i="9"/>
  <c r="BO412" i="9"/>
  <c r="BO411" i="9"/>
  <c r="BO410" i="9"/>
  <c r="BO409" i="9"/>
  <c r="BO408" i="9"/>
  <c r="BO407" i="9"/>
  <c r="BO406" i="9"/>
  <c r="BO405" i="9"/>
  <c r="BO404" i="9"/>
  <c r="BO403" i="9"/>
  <c r="BO402" i="9"/>
  <c r="BO401" i="9"/>
  <c r="BO400" i="9"/>
  <c r="BO399" i="9"/>
  <c r="BO398" i="9"/>
  <c r="BO397" i="9"/>
  <c r="BO396" i="9"/>
  <c r="BO395" i="9"/>
  <c r="BO394" i="9"/>
  <c r="BO393" i="9"/>
  <c r="BO392" i="9"/>
  <c r="BO391" i="9"/>
  <c r="BO390" i="9"/>
  <c r="BO389" i="9"/>
  <c r="BO388" i="9"/>
  <c r="BO387" i="9"/>
  <c r="BO386" i="9"/>
  <c r="BO385" i="9"/>
  <c r="BO384" i="9"/>
  <c r="BO383" i="9"/>
  <c r="BO382" i="9"/>
  <c r="BO381" i="9"/>
  <c r="BO380" i="9"/>
  <c r="BO379" i="9"/>
  <c r="BO378" i="9"/>
  <c r="BO377" i="9"/>
  <c r="BO376" i="9"/>
  <c r="BO375" i="9"/>
  <c r="BO374" i="9"/>
  <c r="BO373" i="9"/>
  <c r="BO372" i="9"/>
  <c r="BO371" i="9"/>
  <c r="BO370" i="9"/>
  <c r="BO369" i="9"/>
  <c r="BO368" i="9"/>
  <c r="BO367" i="9"/>
  <c r="BO366" i="9"/>
  <c r="BO365" i="9"/>
  <c r="BO364" i="9"/>
  <c r="BO363" i="9"/>
  <c r="BO362" i="9"/>
  <c r="BO361" i="9"/>
  <c r="BO360" i="9"/>
  <c r="BO359" i="9"/>
  <c r="BO358" i="9"/>
  <c r="BO357" i="9"/>
  <c r="BO356" i="9"/>
  <c r="BO355" i="9"/>
  <c r="BO354" i="9"/>
  <c r="BO353" i="9"/>
  <c r="BO352" i="9"/>
  <c r="BO351" i="9"/>
  <c r="BO350" i="9"/>
  <c r="BO349" i="9"/>
  <c r="BO348" i="9"/>
  <c r="BO347" i="9"/>
  <c r="BO346" i="9"/>
  <c r="BO345" i="9"/>
  <c r="BO344" i="9"/>
  <c r="BO343" i="9"/>
  <c r="BO342" i="9"/>
  <c r="BO341" i="9"/>
  <c r="BO340" i="9"/>
  <c r="BO339" i="9"/>
  <c r="BO338" i="9"/>
  <c r="BO337" i="9"/>
  <c r="BO336" i="9"/>
  <c r="BO335" i="9"/>
  <c r="BO334" i="9"/>
  <c r="BO333" i="9"/>
  <c r="BO332" i="9"/>
  <c r="BO331" i="9"/>
  <c r="BO330" i="9"/>
  <c r="BO329" i="9"/>
  <c r="BO328" i="9"/>
  <c r="BO327" i="9"/>
  <c r="BO326" i="9"/>
  <c r="BO325" i="9"/>
  <c r="BO324" i="9"/>
  <c r="BO323" i="9"/>
  <c r="BO322" i="9"/>
  <c r="BO321" i="9"/>
  <c r="BO320" i="9"/>
  <c r="BO319" i="9"/>
  <c r="BO318" i="9"/>
  <c r="BO317" i="9"/>
  <c r="BO316" i="9"/>
  <c r="BO315" i="9"/>
  <c r="BO314" i="9"/>
  <c r="BO313" i="9"/>
  <c r="BO312" i="9"/>
  <c r="BO311" i="9"/>
  <c r="BO310" i="9"/>
  <c r="BO309" i="9"/>
  <c r="BO308" i="9"/>
  <c r="BO307" i="9"/>
  <c r="BO306" i="9"/>
  <c r="BO305" i="9"/>
  <c r="BO304" i="9"/>
  <c r="BO303" i="9"/>
  <c r="BO302" i="9"/>
  <c r="BO301" i="9"/>
  <c r="BO300" i="9"/>
  <c r="BO299" i="9"/>
  <c r="BO298" i="9"/>
  <c r="BO297" i="9"/>
  <c r="BO296" i="9"/>
  <c r="BO295" i="9"/>
  <c r="BO294" i="9"/>
  <c r="BO293" i="9"/>
  <c r="BO292" i="9"/>
  <c r="BO291" i="9"/>
  <c r="BO290" i="9"/>
  <c r="BO289" i="9"/>
  <c r="BO288" i="9"/>
  <c r="BO287" i="9"/>
  <c r="BO286" i="9"/>
  <c r="BO285" i="9"/>
  <c r="BO284" i="9"/>
  <c r="BO283" i="9"/>
  <c r="BO282" i="9"/>
  <c r="BO281" i="9"/>
  <c r="BO280" i="9"/>
  <c r="BO279" i="9"/>
  <c r="BO278" i="9"/>
  <c r="BO277" i="9"/>
  <c r="BO276" i="9"/>
  <c r="BO275" i="9"/>
  <c r="BO274" i="9"/>
  <c r="BO273" i="9"/>
  <c r="BO272" i="9"/>
  <c r="BO271" i="9"/>
  <c r="BO270" i="9"/>
  <c r="BO269" i="9"/>
  <c r="BO268" i="9"/>
  <c r="BO267" i="9"/>
  <c r="BO266" i="9"/>
  <c r="BO265" i="9"/>
  <c r="BO264" i="9"/>
  <c r="BO263" i="9"/>
  <c r="BO262" i="9"/>
  <c r="BO261" i="9"/>
  <c r="BO260" i="9"/>
  <c r="BO259" i="9"/>
  <c r="BO258" i="9"/>
  <c r="BO257" i="9"/>
  <c r="BO256" i="9"/>
  <c r="BO255" i="9"/>
  <c r="BO254" i="9"/>
  <c r="BO253" i="9"/>
  <c r="BO252" i="9"/>
  <c r="BO251" i="9"/>
  <c r="BO250" i="9"/>
  <c r="BO249" i="9"/>
  <c r="BO248" i="9"/>
  <c r="BO247" i="9"/>
  <c r="BO246" i="9"/>
  <c r="BO245" i="9"/>
  <c r="BO244" i="9"/>
  <c r="BO243" i="9"/>
  <c r="BO242" i="9"/>
  <c r="BO241" i="9"/>
  <c r="BO240" i="9"/>
  <c r="BO239" i="9"/>
  <c r="BO238" i="9"/>
  <c r="BO237" i="9"/>
  <c r="BO236" i="9"/>
  <c r="BO235" i="9"/>
  <c r="BO234" i="9"/>
  <c r="BO233" i="9"/>
  <c r="BO232" i="9"/>
  <c r="BO231" i="9"/>
  <c r="BO230" i="9"/>
  <c r="BO229" i="9"/>
  <c r="BO228" i="9"/>
  <c r="BO227" i="9"/>
  <c r="BO226" i="9"/>
  <c r="BO225" i="9"/>
  <c r="BO224" i="9"/>
  <c r="BO223" i="9"/>
  <c r="BO222" i="9"/>
  <c r="BO221" i="9"/>
  <c r="BO220" i="9"/>
  <c r="BO219" i="9"/>
  <c r="BO218" i="9"/>
  <c r="BO217" i="9"/>
  <c r="BO216" i="9"/>
  <c r="BO215" i="9"/>
  <c r="BO214" i="9"/>
  <c r="BO213" i="9"/>
  <c r="BO212" i="9"/>
  <c r="BO211" i="9"/>
  <c r="BO210" i="9"/>
  <c r="BO209" i="9"/>
  <c r="BO208" i="9"/>
  <c r="BO207" i="9"/>
  <c r="BO206" i="9"/>
  <c r="BO205" i="9"/>
  <c r="BO204" i="9"/>
  <c r="BO203" i="9"/>
  <c r="BO202" i="9"/>
  <c r="BO201" i="9"/>
  <c r="BO200" i="9"/>
  <c r="BO199" i="9"/>
  <c r="BO198" i="9"/>
  <c r="BO197" i="9"/>
  <c r="BO196" i="9"/>
  <c r="BO195" i="9"/>
  <c r="BO194" i="9"/>
  <c r="BO193" i="9"/>
  <c r="BO192" i="9"/>
  <c r="BO191" i="9"/>
  <c r="BO190" i="9"/>
  <c r="BO189" i="9"/>
  <c r="BO188" i="9"/>
  <c r="BO187" i="9"/>
  <c r="BO186" i="9"/>
  <c r="BO185" i="9"/>
  <c r="BO184" i="9"/>
  <c r="BO183" i="9"/>
  <c r="BO182" i="9"/>
  <c r="BO181" i="9"/>
  <c r="BO180" i="9"/>
  <c r="BO179" i="9"/>
  <c r="BO178" i="9"/>
  <c r="BO177" i="9"/>
  <c r="BO176" i="9"/>
  <c r="BO175" i="9"/>
  <c r="BO174" i="9"/>
  <c r="BO173" i="9"/>
  <c r="BO172" i="9"/>
  <c r="BO171" i="9"/>
  <c r="BO170" i="9"/>
  <c r="BO169" i="9"/>
  <c r="BO168" i="9"/>
  <c r="BO167" i="9"/>
  <c r="BO166" i="9"/>
  <c r="BO165" i="9"/>
  <c r="BO164" i="9"/>
  <c r="BO163" i="9"/>
  <c r="BO162" i="9"/>
  <c r="BO161" i="9"/>
  <c r="BO160" i="9"/>
  <c r="BO159" i="9"/>
  <c r="BO158" i="9"/>
  <c r="BO157" i="9"/>
  <c r="BO156" i="9"/>
  <c r="BO155" i="9"/>
  <c r="BO154" i="9"/>
  <c r="BO153" i="9"/>
  <c r="BO152" i="9"/>
  <c r="BO151" i="9"/>
  <c r="BO150" i="9"/>
  <c r="BO149" i="9"/>
  <c r="BO148" i="9"/>
  <c r="BO147" i="9"/>
  <c r="BO146" i="9"/>
  <c r="BO145" i="9"/>
  <c r="BO144" i="9"/>
  <c r="BO143" i="9"/>
  <c r="BO142" i="9"/>
  <c r="BO141" i="9"/>
  <c r="BO140" i="9"/>
  <c r="BO139" i="9"/>
  <c r="BO138" i="9"/>
  <c r="BO137" i="9"/>
  <c r="BO136" i="9"/>
  <c r="BO135" i="9"/>
  <c r="BO134" i="9"/>
  <c r="BO133" i="9"/>
  <c r="BO132" i="9"/>
  <c r="BO131" i="9"/>
  <c r="BO130" i="9"/>
  <c r="BO129" i="9"/>
  <c r="BO128" i="9"/>
  <c r="BO127" i="9"/>
  <c r="BO126" i="9"/>
  <c r="BO125" i="9"/>
  <c r="BO124" i="9"/>
  <c r="BO123" i="9"/>
  <c r="BO122" i="9"/>
  <c r="BO121" i="9"/>
  <c r="BO120" i="9"/>
  <c r="BO119" i="9"/>
  <c r="BO118" i="9"/>
  <c r="BO117" i="9"/>
  <c r="BO116" i="9"/>
  <c r="BO115" i="9"/>
  <c r="BO114" i="9"/>
  <c r="BO113" i="9"/>
  <c r="BO112" i="9"/>
  <c r="BO111" i="9"/>
  <c r="BO110" i="9"/>
  <c r="BO109" i="9"/>
  <c r="BO108" i="9"/>
  <c r="BO107" i="9"/>
  <c r="BO106" i="9"/>
  <c r="BO105" i="9"/>
  <c r="BO104" i="9"/>
  <c r="BO103" i="9"/>
  <c r="BO102" i="9"/>
  <c r="BO101" i="9"/>
  <c r="BO100" i="9"/>
  <c r="BO99" i="9"/>
  <c r="BO98" i="9"/>
  <c r="BO97" i="9"/>
  <c r="BO96" i="9"/>
  <c r="BO95" i="9"/>
  <c r="BO94" i="9"/>
  <c r="BO93" i="9"/>
  <c r="BO92" i="9"/>
  <c r="BO91" i="9"/>
  <c r="BO90" i="9"/>
  <c r="BO89" i="9"/>
  <c r="BO88" i="9"/>
  <c r="BO87" i="9"/>
  <c r="BO86" i="9"/>
  <c r="BO85" i="9"/>
  <c r="BO84" i="9"/>
  <c r="BO83" i="9"/>
  <c r="BO82" i="9"/>
  <c r="BO81" i="9"/>
  <c r="BO80" i="9"/>
  <c r="BO79" i="9"/>
  <c r="BO78" i="9"/>
  <c r="BO77" i="9"/>
  <c r="BO76" i="9"/>
  <c r="BO75" i="9"/>
  <c r="BO74" i="9"/>
  <c r="BO73" i="9"/>
  <c r="BO72" i="9"/>
  <c r="BO71" i="9"/>
  <c r="BO70" i="9"/>
  <c r="BO69" i="9"/>
  <c r="BO68" i="9"/>
  <c r="BO67" i="9"/>
  <c r="BO66" i="9"/>
  <c r="BO65" i="9"/>
  <c r="BO64" i="9"/>
  <c r="BO63" i="9"/>
  <c r="BO62" i="9"/>
  <c r="BO61" i="9"/>
  <c r="BO60" i="9"/>
  <c r="BO59" i="9"/>
  <c r="BO58" i="9"/>
  <c r="BO57" i="9"/>
  <c r="BO56" i="9"/>
  <c r="BO55" i="9"/>
  <c r="BO54" i="9"/>
  <c r="BO53" i="9"/>
  <c r="BO52" i="9"/>
  <c r="BO51" i="9"/>
  <c r="BO50" i="9"/>
  <c r="BO49" i="9"/>
  <c r="BO48" i="9"/>
  <c r="BO47" i="9"/>
  <c r="BO46" i="9"/>
  <c r="BO45" i="9"/>
  <c r="BO44" i="9"/>
  <c r="BO43" i="9"/>
  <c r="BO42" i="9"/>
  <c r="BO41" i="9"/>
  <c r="BO40" i="9"/>
  <c r="BO39" i="9"/>
  <c r="BO38" i="9"/>
  <c r="BO37" i="9"/>
  <c r="BO36" i="9"/>
  <c r="BO35" i="9"/>
  <c r="BO34" i="9"/>
  <c r="BO33" i="9"/>
  <c r="BO32" i="9"/>
  <c r="BO31" i="9"/>
  <c r="BO30" i="9"/>
  <c r="BO29" i="9"/>
  <c r="BO28" i="9"/>
  <c r="BO27" i="9"/>
  <c r="BO26" i="9"/>
  <c r="BO25" i="9"/>
  <c r="BO24" i="9"/>
  <c r="BO23" i="9"/>
  <c r="BO22" i="9"/>
  <c r="BO21" i="9"/>
  <c r="BO20" i="9"/>
  <c r="BO19" i="9"/>
  <c r="BO18" i="9"/>
  <c r="BO17" i="9"/>
  <c r="BO16" i="9"/>
  <c r="BO15" i="9"/>
  <c r="BO14" i="9"/>
  <c r="BO13" i="9"/>
  <c r="BO12" i="9"/>
  <c r="BO11" i="9"/>
  <c r="BO10" i="9"/>
  <c r="BO9" i="9"/>
  <c r="BO8" i="9"/>
  <c r="BO7" i="9"/>
  <c r="BO6" i="9"/>
  <c r="BO5" i="9"/>
  <c r="BO4" i="9"/>
  <c r="BO3" i="9"/>
  <c r="BO2" i="9"/>
  <c r="AO482" i="9"/>
  <c r="AO481" i="9"/>
  <c r="AO480" i="9"/>
  <c r="AO479" i="9"/>
  <c r="AO478" i="9"/>
  <c r="AO477" i="9"/>
  <c r="AO476" i="9"/>
  <c r="AO475" i="9"/>
  <c r="AO474" i="9"/>
  <c r="AO473" i="9"/>
  <c r="AO472" i="9"/>
  <c r="AO471" i="9"/>
  <c r="AO470" i="9"/>
  <c r="AO469" i="9"/>
  <c r="AO468" i="9"/>
  <c r="AO467" i="9"/>
  <c r="AO466" i="9"/>
  <c r="AO465" i="9"/>
  <c r="AO464" i="9"/>
  <c r="AO463" i="9"/>
  <c r="AO462" i="9"/>
  <c r="AO461" i="9"/>
  <c r="AO460" i="9"/>
  <c r="AO459" i="9"/>
  <c r="AO458" i="9"/>
  <c r="AO457" i="9"/>
  <c r="AO456" i="9"/>
  <c r="AO455" i="9"/>
  <c r="AO454" i="9"/>
  <c r="AO453" i="9"/>
  <c r="AO452" i="9"/>
  <c r="AO451" i="9"/>
  <c r="AO450" i="9"/>
  <c r="AO449" i="9"/>
  <c r="AO448" i="9"/>
  <c r="AO447" i="9"/>
  <c r="AO446" i="9"/>
  <c r="AO445" i="9"/>
  <c r="AO444" i="9"/>
  <c r="AO443" i="9"/>
  <c r="AO442" i="9"/>
  <c r="AO441" i="9"/>
  <c r="AO440" i="9"/>
  <c r="AO439" i="9"/>
  <c r="AO438" i="9"/>
  <c r="AO437" i="9"/>
  <c r="AO436" i="9"/>
  <c r="AO435" i="9"/>
  <c r="AO434" i="9"/>
  <c r="AO433" i="9"/>
  <c r="AO432" i="9"/>
  <c r="AO431" i="9"/>
  <c r="AO430" i="9"/>
  <c r="AO429" i="9"/>
  <c r="AO428" i="9"/>
  <c r="AO427" i="9"/>
  <c r="AO426" i="9"/>
  <c r="AO425" i="9"/>
  <c r="AO424" i="9"/>
  <c r="AO423" i="9"/>
  <c r="AO422" i="9"/>
  <c r="AO421" i="9"/>
  <c r="AO420" i="9"/>
  <c r="AO419" i="9"/>
  <c r="AO418" i="9"/>
  <c r="AO417" i="9"/>
  <c r="AO416" i="9"/>
  <c r="AO415" i="9"/>
  <c r="AO414" i="9"/>
  <c r="AO413" i="9"/>
  <c r="AO412" i="9"/>
  <c r="AO411" i="9"/>
  <c r="AO410" i="9"/>
  <c r="AO409" i="9"/>
  <c r="AO408" i="9"/>
  <c r="AO407" i="9"/>
  <c r="AO406" i="9"/>
  <c r="AO405" i="9"/>
  <c r="AO404" i="9"/>
  <c r="AO403" i="9"/>
  <c r="AO402" i="9"/>
  <c r="AO401" i="9"/>
  <c r="AO400" i="9"/>
  <c r="AO399" i="9"/>
  <c r="AO398" i="9"/>
  <c r="AO397" i="9"/>
  <c r="AO396" i="9"/>
  <c r="AO395" i="9"/>
  <c r="AO394" i="9"/>
  <c r="AO393" i="9"/>
  <c r="AO392" i="9"/>
  <c r="AO391" i="9"/>
  <c r="AO390" i="9"/>
  <c r="AO389" i="9"/>
  <c r="AO388" i="9"/>
  <c r="AO387" i="9"/>
  <c r="AO386" i="9"/>
  <c r="AO385" i="9"/>
  <c r="AO384" i="9"/>
  <c r="AO383" i="9"/>
  <c r="AO382" i="9"/>
  <c r="AO381" i="9"/>
  <c r="AO380" i="9"/>
  <c r="AO379" i="9"/>
  <c r="AO378" i="9"/>
  <c r="AO377" i="9"/>
  <c r="AO376" i="9"/>
  <c r="AO375" i="9"/>
  <c r="AO374" i="9"/>
  <c r="AO373" i="9"/>
  <c r="AO372" i="9"/>
  <c r="AO371" i="9"/>
  <c r="AO370" i="9"/>
  <c r="AO369" i="9"/>
  <c r="AO368" i="9"/>
  <c r="AO367" i="9"/>
  <c r="AO366" i="9"/>
  <c r="AO365" i="9"/>
  <c r="AO364" i="9"/>
  <c r="AO363" i="9"/>
  <c r="AO362" i="9"/>
  <c r="AO361" i="9"/>
  <c r="AO360" i="9"/>
  <c r="AO359" i="9"/>
  <c r="AO358" i="9"/>
  <c r="AO357" i="9"/>
  <c r="AO356" i="9"/>
  <c r="AO355" i="9"/>
  <c r="AO354" i="9"/>
  <c r="AO353" i="9"/>
  <c r="AO352" i="9"/>
  <c r="AO351" i="9"/>
  <c r="AO350" i="9"/>
  <c r="AO349" i="9"/>
  <c r="AO348" i="9"/>
  <c r="AO347" i="9"/>
  <c r="AO346" i="9"/>
  <c r="AO345" i="9"/>
  <c r="AO344" i="9"/>
  <c r="AO343" i="9"/>
  <c r="AO342" i="9"/>
  <c r="AO341" i="9"/>
  <c r="AO340" i="9"/>
  <c r="AO339" i="9"/>
  <c r="AO338" i="9"/>
  <c r="AO337" i="9"/>
  <c r="AO336" i="9"/>
  <c r="AO335" i="9"/>
  <c r="AO334" i="9"/>
  <c r="AO333" i="9"/>
  <c r="AO332" i="9"/>
  <c r="AO331" i="9"/>
  <c r="AO330" i="9"/>
  <c r="AO329" i="9"/>
  <c r="AO328" i="9"/>
  <c r="AO327" i="9"/>
  <c r="AO326" i="9"/>
  <c r="AO325" i="9"/>
  <c r="AO324" i="9"/>
  <c r="AO323" i="9"/>
  <c r="AO322" i="9"/>
  <c r="AO321" i="9"/>
  <c r="AO320" i="9"/>
  <c r="AO319" i="9"/>
  <c r="AO318" i="9"/>
  <c r="AO317" i="9"/>
  <c r="AO316" i="9"/>
  <c r="AO315" i="9"/>
  <c r="AO314" i="9"/>
  <c r="AO313" i="9"/>
  <c r="AO312" i="9"/>
  <c r="AO311" i="9"/>
  <c r="AO310" i="9"/>
  <c r="AO309" i="9"/>
  <c r="AO308" i="9"/>
  <c r="AO307" i="9"/>
  <c r="AO306" i="9"/>
  <c r="AO305" i="9"/>
  <c r="AO304" i="9"/>
  <c r="AO303" i="9"/>
  <c r="AO302" i="9"/>
  <c r="AO301" i="9"/>
  <c r="AO300" i="9"/>
  <c r="AO299" i="9"/>
  <c r="AO298" i="9"/>
  <c r="AO297" i="9"/>
  <c r="AO296" i="9"/>
  <c r="AO295" i="9"/>
  <c r="AO294" i="9"/>
  <c r="AO293" i="9"/>
  <c r="AO292" i="9"/>
  <c r="AO291" i="9"/>
  <c r="AO290" i="9"/>
  <c r="AO289" i="9"/>
  <c r="AO288" i="9"/>
  <c r="AO287" i="9"/>
  <c r="AO286" i="9"/>
  <c r="AO285" i="9"/>
  <c r="AO284" i="9"/>
  <c r="AO283" i="9"/>
  <c r="AO282" i="9"/>
  <c r="AO281" i="9"/>
  <c r="AO280" i="9"/>
  <c r="AO279" i="9"/>
  <c r="AO278" i="9"/>
  <c r="AO277" i="9"/>
  <c r="AO276" i="9"/>
  <c r="AO275" i="9"/>
  <c r="AO274" i="9"/>
  <c r="AO273" i="9"/>
  <c r="AO272" i="9"/>
  <c r="AO271" i="9"/>
  <c r="AO270" i="9"/>
  <c r="AO269" i="9"/>
  <c r="AO268" i="9"/>
  <c r="AO267" i="9"/>
  <c r="AO266" i="9"/>
  <c r="AO265" i="9"/>
  <c r="AO264" i="9"/>
  <c r="AO263" i="9"/>
  <c r="AO262" i="9"/>
  <c r="AO261" i="9"/>
  <c r="AO260" i="9"/>
  <c r="AO259" i="9"/>
  <c r="AO258" i="9"/>
  <c r="AO257" i="9"/>
  <c r="AO256" i="9"/>
  <c r="AO255" i="9"/>
  <c r="AO254" i="9"/>
  <c r="AO253" i="9"/>
  <c r="AO252" i="9"/>
  <c r="AO251" i="9"/>
  <c r="AO250" i="9"/>
  <c r="AO249" i="9"/>
  <c r="AO248" i="9"/>
  <c r="AO247" i="9"/>
  <c r="AO246" i="9"/>
  <c r="AO245" i="9"/>
  <c r="AO244" i="9"/>
  <c r="AO243" i="9"/>
  <c r="AO242" i="9"/>
  <c r="AO241" i="9"/>
  <c r="AO240" i="9"/>
  <c r="AO239" i="9"/>
  <c r="AO238" i="9"/>
  <c r="AO237" i="9"/>
  <c r="AO236" i="9"/>
  <c r="AO235" i="9"/>
  <c r="AO234" i="9"/>
  <c r="AO233" i="9"/>
  <c r="AO232" i="9"/>
  <c r="AO231" i="9"/>
  <c r="AO230" i="9"/>
  <c r="AO229" i="9"/>
  <c r="AO228" i="9"/>
  <c r="AO227" i="9"/>
  <c r="AO226" i="9"/>
  <c r="AO225" i="9"/>
  <c r="AO224" i="9"/>
  <c r="AO223" i="9"/>
  <c r="AO222" i="9"/>
  <c r="AO221" i="9"/>
  <c r="AO220" i="9"/>
  <c r="AO219" i="9"/>
  <c r="AO218" i="9"/>
  <c r="AO217" i="9"/>
  <c r="AO216" i="9"/>
  <c r="AO215" i="9"/>
  <c r="AO214" i="9"/>
  <c r="AO213" i="9"/>
  <c r="AO212" i="9"/>
  <c r="AO211" i="9"/>
  <c r="AO210" i="9"/>
  <c r="AO209" i="9"/>
  <c r="AO208" i="9"/>
  <c r="AO207" i="9"/>
  <c r="AO206" i="9"/>
  <c r="AO205" i="9"/>
  <c r="AO204" i="9"/>
  <c r="AO203" i="9"/>
  <c r="AO202" i="9"/>
  <c r="AO201" i="9"/>
  <c r="AO200" i="9"/>
  <c r="AO199" i="9"/>
  <c r="AO198" i="9"/>
  <c r="AO197" i="9"/>
  <c r="AO196" i="9"/>
  <c r="AO195" i="9"/>
  <c r="AO194" i="9"/>
  <c r="AO193" i="9"/>
  <c r="AO192" i="9"/>
  <c r="AO191" i="9"/>
  <c r="AO190" i="9"/>
  <c r="AO189" i="9"/>
  <c r="AO188" i="9"/>
  <c r="AO187" i="9"/>
  <c r="AO186" i="9"/>
  <c r="AO185" i="9"/>
  <c r="AO184" i="9"/>
  <c r="AO183" i="9"/>
  <c r="AO182" i="9"/>
  <c r="AO181" i="9"/>
  <c r="AO180" i="9"/>
  <c r="AO179" i="9"/>
  <c r="AO178" i="9"/>
  <c r="AO177" i="9"/>
  <c r="AO176" i="9"/>
  <c r="AO175" i="9"/>
  <c r="AO174" i="9"/>
  <c r="AO173" i="9"/>
  <c r="AO172" i="9"/>
  <c r="AO171" i="9"/>
  <c r="AO170" i="9"/>
  <c r="AO169" i="9"/>
  <c r="AO168" i="9"/>
  <c r="AO167" i="9"/>
  <c r="AO166" i="9"/>
  <c r="AO165" i="9"/>
  <c r="AO164" i="9"/>
  <c r="AO163" i="9"/>
  <c r="AO162" i="9"/>
  <c r="AO161" i="9"/>
  <c r="AO160" i="9"/>
  <c r="AO159" i="9"/>
  <c r="AO158" i="9"/>
  <c r="AO157" i="9"/>
  <c r="AO156" i="9"/>
  <c r="AO155" i="9"/>
  <c r="AO154" i="9"/>
  <c r="AO153" i="9"/>
  <c r="AO152" i="9"/>
  <c r="AO151" i="9"/>
  <c r="AO150" i="9"/>
  <c r="AO149" i="9"/>
  <c r="AO148" i="9"/>
  <c r="AO147" i="9"/>
  <c r="AO146" i="9"/>
  <c r="AO145" i="9"/>
  <c r="AO144" i="9"/>
  <c r="AO143" i="9"/>
  <c r="AO142" i="9"/>
  <c r="AO141" i="9"/>
  <c r="AO140" i="9"/>
  <c r="AO139" i="9"/>
  <c r="AO138" i="9"/>
  <c r="AO137" i="9"/>
  <c r="AO136" i="9"/>
  <c r="AO135" i="9"/>
  <c r="AO134" i="9"/>
  <c r="AO133" i="9"/>
  <c r="AO132" i="9"/>
  <c r="AO131" i="9"/>
  <c r="AO130" i="9"/>
  <c r="AO129" i="9"/>
  <c r="AO128" i="9"/>
  <c r="AO127" i="9"/>
  <c r="AO126" i="9"/>
  <c r="AO125" i="9"/>
  <c r="AO124" i="9"/>
  <c r="AO123" i="9"/>
  <c r="AO122" i="9"/>
  <c r="AO121" i="9"/>
  <c r="AO120" i="9"/>
  <c r="AO119" i="9"/>
  <c r="AO118" i="9"/>
  <c r="AO117" i="9"/>
  <c r="AO116" i="9"/>
  <c r="AO115" i="9"/>
  <c r="AO114" i="9"/>
  <c r="AO113" i="9"/>
  <c r="AO112" i="9"/>
  <c r="AO111" i="9"/>
  <c r="AO110" i="9"/>
  <c r="AO109" i="9"/>
  <c r="AO108" i="9"/>
  <c r="AO107" i="9"/>
  <c r="AO106" i="9"/>
  <c r="AO105" i="9"/>
  <c r="AO104" i="9"/>
  <c r="AO103" i="9"/>
  <c r="AO102" i="9"/>
  <c r="AO101" i="9"/>
  <c r="AO100" i="9"/>
  <c r="AO99" i="9"/>
  <c r="AO98" i="9"/>
  <c r="AO97" i="9"/>
  <c r="AO96" i="9"/>
  <c r="AO95" i="9"/>
  <c r="AO94" i="9"/>
  <c r="AO93" i="9"/>
  <c r="AO92" i="9"/>
  <c r="AO91" i="9"/>
  <c r="AO90" i="9"/>
  <c r="AO89" i="9"/>
  <c r="AO88" i="9"/>
  <c r="AO87" i="9"/>
  <c r="AO86" i="9"/>
  <c r="AO85" i="9"/>
  <c r="AO84" i="9"/>
  <c r="AO83" i="9"/>
  <c r="AO82" i="9"/>
  <c r="AO81" i="9"/>
  <c r="AO80" i="9"/>
  <c r="AO79" i="9"/>
  <c r="AO78" i="9"/>
  <c r="AO77" i="9"/>
  <c r="AO76" i="9"/>
  <c r="AO75" i="9"/>
  <c r="AO74" i="9"/>
  <c r="AO73" i="9"/>
  <c r="AO72" i="9"/>
  <c r="AO71" i="9"/>
  <c r="AO70" i="9"/>
  <c r="AO69" i="9"/>
  <c r="AO68" i="9"/>
  <c r="AO67" i="9"/>
  <c r="AO66" i="9"/>
  <c r="AO65" i="9"/>
  <c r="AO64" i="9"/>
  <c r="AO63" i="9"/>
  <c r="AO62" i="9"/>
  <c r="AO61" i="9"/>
  <c r="AO60" i="9"/>
  <c r="AO59" i="9"/>
  <c r="AO58" i="9"/>
  <c r="AO57" i="9"/>
  <c r="AO56" i="9"/>
  <c r="AO55" i="9"/>
  <c r="AO54" i="9"/>
  <c r="AO53" i="9"/>
  <c r="AO52" i="9"/>
  <c r="AO51" i="9"/>
  <c r="AO50" i="9"/>
  <c r="AO49" i="9"/>
  <c r="AO48" i="9"/>
  <c r="AO47" i="9"/>
  <c r="AO46" i="9"/>
  <c r="AO45" i="9"/>
  <c r="AO44" i="9"/>
  <c r="AO43" i="9"/>
  <c r="AO42" i="9"/>
  <c r="AO41" i="9"/>
  <c r="AO40" i="9"/>
  <c r="AO39" i="9"/>
  <c r="AO38" i="9"/>
  <c r="AO37" i="9"/>
  <c r="AO36" i="9"/>
  <c r="AO35" i="9"/>
  <c r="AO34" i="9"/>
  <c r="AO33" i="9"/>
  <c r="AO32" i="9"/>
  <c r="AO31" i="9"/>
  <c r="AO30" i="9"/>
  <c r="AO29" i="9"/>
  <c r="AO28" i="9"/>
  <c r="AO27" i="9"/>
  <c r="AO26" i="9"/>
  <c r="AO25" i="9"/>
  <c r="AO24" i="9"/>
  <c r="AO23" i="9"/>
  <c r="AO22" i="9"/>
  <c r="AO21" i="9"/>
  <c r="AO20" i="9"/>
  <c r="AO19" i="9"/>
  <c r="AO18" i="9"/>
  <c r="AO17" i="9"/>
  <c r="AO16" i="9"/>
  <c r="AO15" i="9"/>
  <c r="AO14" i="9"/>
  <c r="AO13" i="9"/>
  <c r="AO12" i="9"/>
  <c r="AO11" i="9"/>
  <c r="AO10" i="9"/>
  <c r="AO9" i="9"/>
  <c r="AO8" i="9"/>
  <c r="AO7" i="9"/>
  <c r="AO6" i="9"/>
  <c r="AO5" i="9"/>
  <c r="AO4" i="9"/>
  <c r="AO3" i="9"/>
  <c r="AO2" i="9"/>
  <c r="BB482" i="9"/>
  <c r="BB481" i="9"/>
  <c r="BB480" i="9"/>
  <c r="BB479" i="9"/>
  <c r="BB478" i="9"/>
  <c r="BB477" i="9"/>
  <c r="BB476" i="9"/>
  <c r="BB475" i="9"/>
  <c r="BB474" i="9"/>
  <c r="BB473" i="9"/>
  <c r="BB472" i="9"/>
  <c r="BB471" i="9"/>
  <c r="BB470" i="9"/>
  <c r="BB469" i="9"/>
  <c r="BB468" i="9"/>
  <c r="BB467" i="9"/>
  <c r="BB466" i="9"/>
  <c r="BB465" i="9"/>
  <c r="BB464" i="9"/>
  <c r="BB463" i="9"/>
  <c r="BB462" i="9"/>
  <c r="BB461" i="9"/>
  <c r="BB460" i="9"/>
  <c r="BB459" i="9"/>
  <c r="BB458" i="9"/>
  <c r="BB457" i="9"/>
  <c r="BB456" i="9"/>
  <c r="BB455" i="9"/>
  <c r="BB454" i="9"/>
  <c r="BB453" i="9"/>
  <c r="BB452" i="9"/>
  <c r="BB451" i="9"/>
  <c r="BB450" i="9"/>
  <c r="BB449" i="9"/>
  <c r="BB448" i="9"/>
  <c r="BB447" i="9"/>
  <c r="BB446" i="9"/>
  <c r="BB445" i="9"/>
  <c r="BB444" i="9"/>
  <c r="BB443" i="9"/>
  <c r="BB442" i="9"/>
  <c r="BB441" i="9"/>
  <c r="BB440" i="9"/>
  <c r="BB439" i="9"/>
  <c r="BB438" i="9"/>
  <c r="BB437" i="9"/>
  <c r="BB436" i="9"/>
  <c r="BB435" i="9"/>
  <c r="BB434" i="9"/>
  <c r="BB433" i="9"/>
  <c r="BB432" i="9"/>
  <c r="BB431" i="9"/>
  <c r="BB430" i="9"/>
  <c r="BB429" i="9"/>
  <c r="BB428" i="9"/>
  <c r="BB427" i="9"/>
  <c r="BB426" i="9"/>
  <c r="BB425" i="9"/>
  <c r="BB424" i="9"/>
  <c r="BB423" i="9"/>
  <c r="BB422" i="9"/>
  <c r="BB421" i="9"/>
  <c r="BB420" i="9"/>
  <c r="BB419" i="9"/>
  <c r="BB418" i="9"/>
  <c r="BB417" i="9"/>
  <c r="BB416" i="9"/>
  <c r="BB415" i="9"/>
  <c r="BB414" i="9"/>
  <c r="BB413" i="9"/>
  <c r="BB412" i="9"/>
  <c r="BB411" i="9"/>
  <c r="BB410" i="9"/>
  <c r="BB409" i="9"/>
  <c r="BB408" i="9"/>
  <c r="BB407" i="9"/>
  <c r="BB406" i="9"/>
  <c r="BB405" i="9"/>
  <c r="BB404" i="9"/>
  <c r="BB403" i="9"/>
  <c r="BB402" i="9"/>
  <c r="BB401" i="9"/>
  <c r="BB400" i="9"/>
  <c r="BB399" i="9"/>
  <c r="BB398" i="9"/>
  <c r="BB397" i="9"/>
  <c r="BB396" i="9"/>
  <c r="BB395" i="9"/>
  <c r="BB394" i="9"/>
  <c r="BB393" i="9"/>
  <c r="BB392" i="9"/>
  <c r="BB391" i="9"/>
  <c r="BB390" i="9"/>
  <c r="BB389" i="9"/>
  <c r="BB388" i="9"/>
  <c r="BB387" i="9"/>
  <c r="BB386" i="9"/>
  <c r="BB385" i="9"/>
  <c r="BB384" i="9"/>
  <c r="BB383" i="9"/>
  <c r="BB382" i="9"/>
  <c r="BB381" i="9"/>
  <c r="BB380" i="9"/>
  <c r="BB379" i="9"/>
  <c r="BB378" i="9"/>
  <c r="BB377" i="9"/>
  <c r="BB376" i="9"/>
  <c r="BB375" i="9"/>
  <c r="BB374" i="9"/>
  <c r="BB373" i="9"/>
  <c r="BB372" i="9"/>
  <c r="BB371" i="9"/>
  <c r="BB370" i="9"/>
  <c r="BB369" i="9"/>
  <c r="BB368" i="9"/>
  <c r="BB367" i="9"/>
  <c r="BB366" i="9"/>
  <c r="BB365" i="9"/>
  <c r="BB364" i="9"/>
  <c r="BB363" i="9"/>
  <c r="BB362" i="9"/>
  <c r="BB361" i="9"/>
  <c r="BB360" i="9"/>
  <c r="BB359" i="9"/>
  <c r="BB358" i="9"/>
  <c r="BB357" i="9"/>
  <c r="BB356" i="9"/>
  <c r="BB355" i="9"/>
  <c r="BB354" i="9"/>
  <c r="BB353" i="9"/>
  <c r="BB352" i="9"/>
  <c r="BB351" i="9"/>
  <c r="BB350" i="9"/>
  <c r="BB349" i="9"/>
  <c r="BB348" i="9"/>
  <c r="BB347" i="9"/>
  <c r="BB346" i="9"/>
  <c r="BB345" i="9"/>
  <c r="BB344" i="9"/>
  <c r="BB343" i="9"/>
  <c r="BB342" i="9"/>
  <c r="BB341" i="9"/>
  <c r="BB340" i="9"/>
  <c r="BB339" i="9"/>
  <c r="BB338" i="9"/>
  <c r="BB337" i="9"/>
  <c r="BB336" i="9"/>
  <c r="BB335" i="9"/>
  <c r="BB334" i="9"/>
  <c r="BB333" i="9"/>
  <c r="BB332" i="9"/>
  <c r="BB331" i="9"/>
  <c r="BB330" i="9"/>
  <c r="BB329" i="9"/>
  <c r="BB328" i="9"/>
  <c r="BB327" i="9"/>
  <c r="BB326" i="9"/>
  <c r="BB325" i="9"/>
  <c r="BB324" i="9"/>
  <c r="BB323" i="9"/>
  <c r="BB322" i="9"/>
  <c r="BB321" i="9"/>
  <c r="BB320" i="9"/>
  <c r="BB319" i="9"/>
  <c r="BB318" i="9"/>
  <c r="BB317" i="9"/>
  <c r="BB316" i="9"/>
  <c r="BB315" i="9"/>
  <c r="BB314" i="9"/>
  <c r="BB313" i="9"/>
  <c r="BB312" i="9"/>
  <c r="BB311" i="9"/>
  <c r="BB310" i="9"/>
  <c r="BB309" i="9"/>
  <c r="BB308" i="9"/>
  <c r="BB307" i="9"/>
  <c r="BB306" i="9"/>
  <c r="BB305" i="9"/>
  <c r="BB304" i="9"/>
  <c r="BB303" i="9"/>
  <c r="BB302" i="9"/>
  <c r="BB301" i="9"/>
  <c r="BB300" i="9"/>
  <c r="BB299" i="9"/>
  <c r="BB298" i="9"/>
  <c r="BB297" i="9"/>
  <c r="BB296" i="9"/>
  <c r="BB295" i="9"/>
  <c r="BB294" i="9"/>
  <c r="BB293" i="9"/>
  <c r="BB292" i="9"/>
  <c r="BB291" i="9"/>
  <c r="BB290" i="9"/>
  <c r="BB289" i="9"/>
  <c r="BB288" i="9"/>
  <c r="BB287" i="9"/>
  <c r="BB286" i="9"/>
  <c r="BB285" i="9"/>
  <c r="BB284" i="9"/>
  <c r="BB283" i="9"/>
  <c r="BB282" i="9"/>
  <c r="BB281" i="9"/>
  <c r="BB280" i="9"/>
  <c r="BB279" i="9"/>
  <c r="BB278" i="9"/>
  <c r="BB277" i="9"/>
  <c r="BB276" i="9"/>
  <c r="BB275" i="9"/>
  <c r="BB274" i="9"/>
  <c r="BB273" i="9"/>
  <c r="BB272" i="9"/>
  <c r="BB271" i="9"/>
  <c r="BB270" i="9"/>
  <c r="BB269" i="9"/>
  <c r="BB268" i="9"/>
  <c r="BB267" i="9"/>
  <c r="BB266" i="9"/>
  <c r="BB265" i="9"/>
  <c r="BB264" i="9"/>
  <c r="BB263" i="9"/>
  <c r="BB262" i="9"/>
  <c r="BB261" i="9"/>
  <c r="BB260" i="9"/>
  <c r="BB259" i="9"/>
  <c r="BB258" i="9"/>
  <c r="BB257" i="9"/>
  <c r="BB256" i="9"/>
  <c r="BB255" i="9"/>
  <c r="BB254" i="9"/>
  <c r="BB253" i="9"/>
  <c r="BB252" i="9"/>
  <c r="BB251" i="9"/>
  <c r="BB250" i="9"/>
  <c r="BB249" i="9"/>
  <c r="BB248" i="9"/>
  <c r="BB247" i="9"/>
  <c r="BB246" i="9"/>
  <c r="BB245" i="9"/>
  <c r="BB244" i="9"/>
  <c r="BB243" i="9"/>
  <c r="BB242" i="9"/>
  <c r="BB241" i="9"/>
  <c r="BB240" i="9"/>
  <c r="BB239" i="9"/>
  <c r="BB238" i="9"/>
  <c r="BB237" i="9"/>
  <c r="BB236" i="9"/>
  <c r="BB235" i="9"/>
  <c r="BB234" i="9"/>
  <c r="BB233" i="9"/>
  <c r="BB232" i="9"/>
  <c r="BB231" i="9"/>
  <c r="BB230" i="9"/>
  <c r="BB229" i="9"/>
  <c r="BB228" i="9"/>
  <c r="BB227" i="9"/>
  <c r="BB226" i="9"/>
  <c r="BB225" i="9"/>
  <c r="BB224" i="9"/>
  <c r="BB223" i="9"/>
  <c r="BB222" i="9"/>
  <c r="BB221" i="9"/>
  <c r="BB220" i="9"/>
  <c r="BB219" i="9"/>
  <c r="BB218" i="9"/>
  <c r="BB217" i="9"/>
  <c r="BB216" i="9"/>
  <c r="BB215" i="9"/>
  <c r="BB214" i="9"/>
  <c r="BB213" i="9"/>
  <c r="BB212" i="9"/>
  <c r="BB211" i="9"/>
  <c r="BB210" i="9"/>
  <c r="BB209" i="9"/>
  <c r="BB208" i="9"/>
  <c r="BB207" i="9"/>
  <c r="BB206" i="9"/>
  <c r="BB205" i="9"/>
  <c r="BB204" i="9"/>
  <c r="BB203" i="9"/>
  <c r="BB202" i="9"/>
  <c r="BB201" i="9"/>
  <c r="BB200" i="9"/>
  <c r="BB199" i="9"/>
  <c r="BB198" i="9"/>
  <c r="BB197" i="9"/>
  <c r="BB196" i="9"/>
  <c r="BB195" i="9"/>
  <c r="BB194" i="9"/>
  <c r="BB193" i="9"/>
  <c r="BB192" i="9"/>
  <c r="BB191" i="9"/>
  <c r="BB190" i="9"/>
  <c r="BB189" i="9"/>
  <c r="BB188" i="9"/>
  <c r="BB187" i="9"/>
  <c r="BB186" i="9"/>
  <c r="BB185" i="9"/>
  <c r="BB184" i="9"/>
  <c r="BB183" i="9"/>
  <c r="BB182" i="9"/>
  <c r="BB181" i="9"/>
  <c r="BB180" i="9"/>
  <c r="BB179" i="9"/>
  <c r="BB178" i="9"/>
  <c r="BB177" i="9"/>
  <c r="BB176" i="9"/>
  <c r="BB175" i="9"/>
  <c r="BB174" i="9"/>
  <c r="BB173" i="9"/>
  <c r="BB172" i="9"/>
  <c r="BB171" i="9"/>
  <c r="BB170" i="9"/>
  <c r="BB169" i="9"/>
  <c r="BB168" i="9"/>
  <c r="BB167" i="9"/>
  <c r="BB166" i="9"/>
  <c r="BB165" i="9"/>
  <c r="BB164" i="9"/>
  <c r="BB163" i="9"/>
  <c r="BB162" i="9"/>
  <c r="BB161" i="9"/>
  <c r="BB160" i="9"/>
  <c r="BB159" i="9"/>
  <c r="BB158" i="9"/>
  <c r="BB157" i="9"/>
  <c r="BB156" i="9"/>
  <c r="BB155" i="9"/>
  <c r="BB154" i="9"/>
  <c r="BB153" i="9"/>
  <c r="BB152" i="9"/>
  <c r="BB151" i="9"/>
  <c r="BB150" i="9"/>
  <c r="BB149" i="9"/>
  <c r="BB148" i="9"/>
  <c r="BB147" i="9"/>
  <c r="BB146" i="9"/>
  <c r="BB145" i="9"/>
  <c r="BB144" i="9"/>
  <c r="BB143" i="9"/>
  <c r="BB142" i="9"/>
  <c r="BB141" i="9"/>
  <c r="BB140" i="9"/>
  <c r="BB139" i="9"/>
  <c r="BB138" i="9"/>
  <c r="BB137" i="9"/>
  <c r="BB136" i="9"/>
  <c r="BB135" i="9"/>
  <c r="BB134" i="9"/>
  <c r="BB133" i="9"/>
  <c r="BB132" i="9"/>
  <c r="BB131" i="9"/>
  <c r="BB130" i="9"/>
  <c r="BB129" i="9"/>
  <c r="BB128" i="9"/>
  <c r="BB127" i="9"/>
  <c r="BB126" i="9"/>
  <c r="BB125" i="9"/>
  <c r="BB124" i="9"/>
  <c r="BB123" i="9"/>
  <c r="BB122" i="9"/>
  <c r="BB121" i="9"/>
  <c r="BB120" i="9"/>
  <c r="BB119" i="9"/>
  <c r="BB118" i="9"/>
  <c r="BB117" i="9"/>
  <c r="BB116" i="9"/>
  <c r="BB115" i="9"/>
  <c r="BB114" i="9"/>
  <c r="BB113" i="9"/>
  <c r="BB112" i="9"/>
  <c r="BB111" i="9"/>
  <c r="BB110" i="9"/>
  <c r="BB109" i="9"/>
  <c r="BB108" i="9"/>
  <c r="BB107" i="9"/>
  <c r="BB106" i="9"/>
  <c r="BB105" i="9"/>
  <c r="BB104" i="9"/>
  <c r="BB103" i="9"/>
  <c r="BB102" i="9"/>
  <c r="BB101" i="9"/>
  <c r="BB100" i="9"/>
  <c r="BB99" i="9"/>
  <c r="BB98" i="9"/>
  <c r="BB97" i="9"/>
  <c r="BB96" i="9"/>
  <c r="BB95" i="9"/>
  <c r="BB94" i="9"/>
  <c r="BB93" i="9"/>
  <c r="BB92" i="9"/>
  <c r="BB91" i="9"/>
  <c r="BB90" i="9"/>
  <c r="BB89" i="9"/>
  <c r="BB88" i="9"/>
  <c r="BB87" i="9"/>
  <c r="BB86" i="9"/>
  <c r="BB85" i="9"/>
  <c r="BB84" i="9"/>
  <c r="BB83" i="9"/>
  <c r="BB82" i="9"/>
  <c r="BB81" i="9"/>
  <c r="BB80" i="9"/>
  <c r="BB79" i="9"/>
  <c r="BB78" i="9"/>
  <c r="BB77" i="9"/>
  <c r="BB76" i="9"/>
  <c r="BB75" i="9"/>
  <c r="BB74" i="9"/>
  <c r="BB73" i="9"/>
  <c r="BB72" i="9"/>
  <c r="BB71" i="9"/>
  <c r="BB70" i="9"/>
  <c r="BB69" i="9"/>
  <c r="BB68" i="9"/>
  <c r="BB67" i="9"/>
  <c r="BB66" i="9"/>
  <c r="BB65" i="9"/>
  <c r="BB64" i="9"/>
  <c r="BB63" i="9"/>
  <c r="BB62" i="9"/>
  <c r="BB61" i="9"/>
  <c r="BB60" i="9"/>
  <c r="BB59" i="9"/>
  <c r="BB58" i="9"/>
  <c r="BB57" i="9"/>
  <c r="BB56" i="9"/>
  <c r="BB55" i="9"/>
  <c r="BB54" i="9"/>
  <c r="BB53" i="9"/>
  <c r="BB52" i="9"/>
  <c r="BB51" i="9"/>
  <c r="BB50" i="9"/>
  <c r="BB49" i="9"/>
  <c r="BB48" i="9"/>
  <c r="BB47" i="9"/>
  <c r="BB46" i="9"/>
  <c r="BB45" i="9"/>
  <c r="BB44" i="9"/>
  <c r="BB43" i="9"/>
  <c r="BB42" i="9"/>
  <c r="BB41" i="9"/>
  <c r="BB40" i="9"/>
  <c r="BB39" i="9"/>
  <c r="BB38" i="9"/>
  <c r="BB37" i="9"/>
  <c r="BB36" i="9"/>
  <c r="BB35" i="9"/>
  <c r="BB34" i="9"/>
  <c r="BB33" i="9"/>
  <c r="BB32" i="9"/>
  <c r="BB31" i="9"/>
  <c r="BB30" i="9"/>
  <c r="BB29" i="9"/>
  <c r="BB28" i="9"/>
  <c r="BB27" i="9"/>
  <c r="BB26" i="9"/>
  <c r="BB25" i="9"/>
  <c r="BB24" i="9"/>
  <c r="BB23" i="9"/>
  <c r="BB22" i="9"/>
  <c r="BB21" i="9"/>
  <c r="BB20" i="9"/>
  <c r="BB19" i="9"/>
  <c r="BB18" i="9"/>
  <c r="BB17" i="9"/>
  <c r="BB16" i="9"/>
  <c r="BB15" i="9"/>
  <c r="BB14" i="9"/>
  <c r="BB13" i="9"/>
  <c r="BB12" i="9"/>
  <c r="BB11" i="9"/>
  <c r="BB10" i="9"/>
  <c r="BB9" i="9"/>
  <c r="BB8" i="9"/>
  <c r="BB7" i="9"/>
  <c r="BB6" i="9"/>
  <c r="BB5" i="9"/>
  <c r="BB4" i="9"/>
  <c r="BB3" i="9"/>
  <c r="BB2" i="9"/>
  <c r="AB482" i="9"/>
  <c r="AB481" i="9"/>
  <c r="AB480" i="9"/>
  <c r="AB479" i="9"/>
  <c r="AB478" i="9"/>
  <c r="AB477" i="9"/>
  <c r="AB476" i="9"/>
  <c r="AB475" i="9"/>
  <c r="AB474" i="9"/>
  <c r="AB473" i="9"/>
  <c r="AB472" i="9"/>
  <c r="AB471" i="9"/>
  <c r="AB470" i="9"/>
  <c r="AB469" i="9"/>
  <c r="AB468" i="9"/>
  <c r="AB467" i="9"/>
  <c r="AB466" i="9"/>
  <c r="AB465" i="9"/>
  <c r="AB464" i="9"/>
  <c r="AB463" i="9"/>
  <c r="AB462" i="9"/>
  <c r="AB461" i="9"/>
  <c r="AB460" i="9"/>
  <c r="AB459" i="9"/>
  <c r="AB458" i="9"/>
  <c r="AB457" i="9"/>
  <c r="AB456" i="9"/>
  <c r="AB455" i="9"/>
  <c r="AB454" i="9"/>
  <c r="AB453" i="9"/>
  <c r="AB452" i="9"/>
  <c r="AB451" i="9"/>
  <c r="AB450" i="9"/>
  <c r="AB449" i="9"/>
  <c r="AB448" i="9"/>
  <c r="AB447" i="9"/>
  <c r="AB446" i="9"/>
  <c r="AB445" i="9"/>
  <c r="AB444" i="9"/>
  <c r="AB443" i="9"/>
  <c r="AB442" i="9"/>
  <c r="AB441" i="9"/>
  <c r="AB440" i="9"/>
  <c r="AB439" i="9"/>
  <c r="AB438" i="9"/>
  <c r="AB437" i="9"/>
  <c r="AB436" i="9"/>
  <c r="AB435" i="9"/>
  <c r="AB434" i="9"/>
  <c r="AB433" i="9"/>
  <c r="AB432" i="9"/>
  <c r="AB431" i="9"/>
  <c r="AB430" i="9"/>
  <c r="AB429" i="9"/>
  <c r="AB428" i="9"/>
  <c r="AB427" i="9"/>
  <c r="AB426" i="9"/>
  <c r="AB425" i="9"/>
  <c r="AB424" i="9"/>
  <c r="AB423" i="9"/>
  <c r="AB422" i="9"/>
  <c r="AB421" i="9"/>
  <c r="AB420" i="9"/>
  <c r="AB419" i="9"/>
  <c r="AB418" i="9"/>
  <c r="AB417" i="9"/>
  <c r="AB416" i="9"/>
  <c r="AB415" i="9"/>
  <c r="AB414" i="9"/>
  <c r="AB413" i="9"/>
  <c r="AB412" i="9"/>
  <c r="AB411" i="9"/>
  <c r="AB410" i="9"/>
  <c r="AB409" i="9"/>
  <c r="AB408" i="9"/>
  <c r="AB407" i="9"/>
  <c r="AB406" i="9"/>
  <c r="AB405" i="9"/>
  <c r="AB404" i="9"/>
  <c r="AB403" i="9"/>
  <c r="AB402" i="9"/>
  <c r="AB401" i="9"/>
  <c r="AB400" i="9"/>
  <c r="AB399" i="9"/>
  <c r="AB398" i="9"/>
  <c r="AB397" i="9"/>
  <c r="AB396" i="9"/>
  <c r="AB395" i="9"/>
  <c r="AB394" i="9"/>
  <c r="AB393" i="9"/>
  <c r="AB392" i="9"/>
  <c r="AB391" i="9"/>
  <c r="AB390" i="9"/>
  <c r="AB389" i="9"/>
  <c r="AB388" i="9"/>
  <c r="AB387" i="9"/>
  <c r="AB386" i="9"/>
  <c r="AB385" i="9"/>
  <c r="AB384" i="9"/>
  <c r="AB383" i="9"/>
  <c r="AB382" i="9"/>
  <c r="AB381" i="9"/>
  <c r="AB380" i="9"/>
  <c r="AB379" i="9"/>
  <c r="AB378" i="9"/>
  <c r="AB377" i="9"/>
  <c r="AB376" i="9"/>
  <c r="AB375" i="9"/>
  <c r="AB374" i="9"/>
  <c r="AB373" i="9"/>
  <c r="AB372" i="9"/>
  <c r="AB371" i="9"/>
  <c r="AB370" i="9"/>
  <c r="AB369" i="9"/>
  <c r="AB368" i="9"/>
  <c r="AB367" i="9"/>
  <c r="AB366" i="9"/>
  <c r="AB365" i="9"/>
  <c r="AB364" i="9"/>
  <c r="AB363" i="9"/>
  <c r="AB362" i="9"/>
  <c r="AB361" i="9"/>
  <c r="AB360" i="9"/>
  <c r="AB359" i="9"/>
  <c r="AB358" i="9"/>
  <c r="AB357" i="9"/>
  <c r="AB356" i="9"/>
  <c r="AB355" i="9"/>
  <c r="AB354" i="9"/>
  <c r="AB353" i="9"/>
  <c r="AB352" i="9"/>
  <c r="AB351" i="9"/>
  <c r="AB350" i="9"/>
  <c r="AB349" i="9"/>
  <c r="AB348" i="9"/>
  <c r="AB347" i="9"/>
  <c r="AB346" i="9"/>
  <c r="AB345" i="9"/>
  <c r="AB344" i="9"/>
  <c r="AB343" i="9"/>
  <c r="AB342" i="9"/>
  <c r="AB341" i="9"/>
  <c r="AB340" i="9"/>
  <c r="AB339" i="9"/>
  <c r="AB338" i="9"/>
  <c r="AB337" i="9"/>
  <c r="AB336" i="9"/>
  <c r="AB335" i="9"/>
  <c r="AB334" i="9"/>
  <c r="AB333" i="9"/>
  <c r="AB332" i="9"/>
  <c r="AB331" i="9"/>
  <c r="AB330" i="9"/>
  <c r="AB329" i="9"/>
  <c r="AB328" i="9"/>
  <c r="AB327" i="9"/>
  <c r="AB326" i="9"/>
  <c r="AB325" i="9"/>
  <c r="AB324" i="9"/>
  <c r="AB323" i="9"/>
  <c r="AB322" i="9"/>
  <c r="AB321" i="9"/>
  <c r="AB320" i="9"/>
  <c r="AB319" i="9"/>
  <c r="AB318" i="9"/>
  <c r="AB317" i="9"/>
  <c r="AB316" i="9"/>
  <c r="AB315" i="9"/>
  <c r="AB314" i="9"/>
  <c r="AB313" i="9"/>
  <c r="AB312" i="9"/>
  <c r="AB311" i="9"/>
  <c r="AB310" i="9"/>
  <c r="AB309" i="9"/>
  <c r="AB308" i="9"/>
  <c r="AB307" i="9"/>
  <c r="AB306" i="9"/>
  <c r="AB305" i="9"/>
  <c r="AB304" i="9"/>
  <c r="AB303" i="9"/>
  <c r="AB302" i="9"/>
  <c r="AB301" i="9"/>
  <c r="AB300" i="9"/>
  <c r="AB299" i="9"/>
  <c r="AB298" i="9"/>
  <c r="AB297" i="9"/>
  <c r="AB296" i="9"/>
  <c r="AB295" i="9"/>
  <c r="AB294" i="9"/>
  <c r="AB293" i="9"/>
  <c r="AB292" i="9"/>
  <c r="AB291" i="9"/>
  <c r="AB290" i="9"/>
  <c r="AB289" i="9"/>
  <c r="AB288" i="9"/>
  <c r="AB287" i="9"/>
  <c r="AB286" i="9"/>
  <c r="AB285" i="9"/>
  <c r="AB284" i="9"/>
  <c r="AB283" i="9"/>
  <c r="AB282" i="9"/>
  <c r="AB281" i="9"/>
  <c r="AB280" i="9"/>
  <c r="AB279" i="9"/>
  <c r="AB278" i="9"/>
  <c r="AB277" i="9"/>
  <c r="AB276" i="9"/>
  <c r="AB275" i="9"/>
  <c r="AB274" i="9"/>
  <c r="AB273" i="9"/>
  <c r="AB272" i="9"/>
  <c r="AB271" i="9"/>
  <c r="AB270" i="9"/>
  <c r="AB269" i="9"/>
  <c r="AB268" i="9"/>
  <c r="AB267" i="9"/>
  <c r="AB266" i="9"/>
  <c r="AB265" i="9"/>
  <c r="AB264" i="9"/>
  <c r="AB263" i="9"/>
  <c r="AB262" i="9"/>
  <c r="AB261" i="9"/>
  <c r="AB260" i="9"/>
  <c r="AB259" i="9"/>
  <c r="AB258" i="9"/>
  <c r="AB257" i="9"/>
  <c r="AB256" i="9"/>
  <c r="AB255" i="9"/>
  <c r="AB254" i="9"/>
  <c r="AB253" i="9"/>
  <c r="AB252" i="9"/>
  <c r="AB251" i="9"/>
  <c r="AB250" i="9"/>
  <c r="AB249" i="9"/>
  <c r="AB248" i="9"/>
  <c r="AB247" i="9"/>
  <c r="AB246" i="9"/>
  <c r="AB245" i="9"/>
  <c r="AB244" i="9"/>
  <c r="AB243" i="9"/>
  <c r="AB242" i="9"/>
  <c r="AB241" i="9"/>
  <c r="AB240" i="9"/>
  <c r="AB239" i="9"/>
  <c r="AB238" i="9"/>
  <c r="AB237" i="9"/>
  <c r="AB236" i="9"/>
  <c r="AB235" i="9"/>
  <c r="AB234" i="9"/>
  <c r="AB233" i="9"/>
  <c r="AB232" i="9"/>
  <c r="AB231" i="9"/>
  <c r="AB230" i="9"/>
  <c r="AB229" i="9"/>
  <c r="AB228" i="9"/>
  <c r="AB227" i="9"/>
  <c r="AB226" i="9"/>
  <c r="AB225" i="9"/>
  <c r="AB224" i="9"/>
  <c r="AB223" i="9"/>
  <c r="AB222" i="9"/>
  <c r="AB221" i="9"/>
  <c r="AB220" i="9"/>
  <c r="AB219" i="9"/>
  <c r="AB218" i="9"/>
  <c r="AB217" i="9"/>
  <c r="AB216" i="9"/>
  <c r="AB215" i="9"/>
  <c r="AB214" i="9"/>
  <c r="AB213" i="9"/>
  <c r="AB212" i="9"/>
  <c r="AB211" i="9"/>
  <c r="AB210" i="9"/>
  <c r="AB209" i="9"/>
  <c r="AB208" i="9"/>
  <c r="AB207" i="9"/>
  <c r="AB206" i="9"/>
  <c r="AB205" i="9"/>
  <c r="AB204" i="9"/>
  <c r="AB203" i="9"/>
  <c r="AB202" i="9"/>
  <c r="AB201" i="9"/>
  <c r="AB200" i="9"/>
  <c r="AB199" i="9"/>
  <c r="AB198" i="9"/>
  <c r="AB197" i="9"/>
  <c r="AB196" i="9"/>
  <c r="AB195" i="9"/>
  <c r="AB194" i="9"/>
  <c r="AB193" i="9"/>
  <c r="AB192" i="9"/>
  <c r="AB191" i="9"/>
  <c r="AB190" i="9"/>
  <c r="AB189" i="9"/>
  <c r="AB188" i="9"/>
  <c r="AB187" i="9"/>
  <c r="AB186" i="9"/>
  <c r="AB185" i="9"/>
  <c r="AB184" i="9"/>
  <c r="AB183" i="9"/>
  <c r="AB182" i="9"/>
  <c r="AB181" i="9"/>
  <c r="AB180" i="9"/>
  <c r="AB179" i="9"/>
  <c r="AB178" i="9"/>
  <c r="AB177" i="9"/>
  <c r="AB176" i="9"/>
  <c r="AB175" i="9"/>
  <c r="AB174" i="9"/>
  <c r="AB173" i="9"/>
  <c r="AB172" i="9"/>
  <c r="AB171" i="9"/>
  <c r="AB170" i="9"/>
  <c r="AB169" i="9"/>
  <c r="AB168" i="9"/>
  <c r="AB167" i="9"/>
  <c r="AB166" i="9"/>
  <c r="AB165" i="9"/>
  <c r="AB164" i="9"/>
  <c r="AB163" i="9"/>
  <c r="AB162" i="9"/>
  <c r="AB161" i="9"/>
  <c r="AB160" i="9"/>
  <c r="AB159" i="9"/>
  <c r="AB158" i="9"/>
  <c r="AB157" i="9"/>
  <c r="AB156" i="9"/>
  <c r="AB155" i="9"/>
  <c r="AB154" i="9"/>
  <c r="AB153" i="9"/>
  <c r="AB152" i="9"/>
  <c r="AB151" i="9"/>
  <c r="AB150" i="9"/>
  <c r="AB149" i="9"/>
  <c r="AB148" i="9"/>
  <c r="AB147" i="9"/>
  <c r="AB146" i="9"/>
  <c r="AB145" i="9"/>
  <c r="AB144" i="9"/>
  <c r="AB143" i="9"/>
  <c r="AB142" i="9"/>
  <c r="AB141" i="9"/>
  <c r="AB140" i="9"/>
  <c r="AB139" i="9"/>
  <c r="AB138" i="9"/>
  <c r="AB137" i="9"/>
  <c r="AB136" i="9"/>
  <c r="AB135" i="9"/>
  <c r="AB134" i="9"/>
  <c r="AB133" i="9"/>
  <c r="AB132" i="9"/>
  <c r="AB131" i="9"/>
  <c r="AB130" i="9"/>
  <c r="AB129" i="9"/>
  <c r="AB128" i="9"/>
  <c r="AB127" i="9"/>
  <c r="AB126" i="9"/>
  <c r="AB125" i="9"/>
  <c r="AB124" i="9"/>
  <c r="AB123" i="9"/>
  <c r="AB122" i="9"/>
  <c r="AB121" i="9"/>
  <c r="AB120" i="9"/>
  <c r="AB119" i="9"/>
  <c r="AB118" i="9"/>
  <c r="AB117" i="9"/>
  <c r="AB116" i="9"/>
  <c r="AB115" i="9"/>
  <c r="AB114" i="9"/>
  <c r="AB113" i="9"/>
  <c r="AB112" i="9"/>
  <c r="AB111" i="9"/>
  <c r="AB110" i="9"/>
  <c r="AB109" i="9"/>
  <c r="AB108" i="9"/>
  <c r="AB107" i="9"/>
  <c r="AB106" i="9"/>
  <c r="AB105" i="9"/>
  <c r="AB104" i="9"/>
  <c r="AB103" i="9"/>
  <c r="AB102" i="9"/>
  <c r="AB101" i="9"/>
  <c r="AB100" i="9"/>
  <c r="AB99" i="9"/>
  <c r="AB98" i="9"/>
  <c r="AB97" i="9"/>
  <c r="AB96" i="9"/>
  <c r="AB95" i="9"/>
  <c r="AB94" i="9"/>
  <c r="AB93" i="9"/>
  <c r="AB92" i="9"/>
  <c r="AB91" i="9"/>
  <c r="AB90" i="9"/>
  <c r="AB89" i="9"/>
  <c r="AB88" i="9"/>
  <c r="AB87" i="9"/>
  <c r="AB86" i="9"/>
  <c r="AB85" i="9"/>
  <c r="AB84" i="9"/>
  <c r="AB83" i="9"/>
  <c r="AB82" i="9"/>
  <c r="AB81" i="9"/>
  <c r="AB80" i="9"/>
  <c r="AB79" i="9"/>
  <c r="AB78" i="9"/>
  <c r="AB77" i="9"/>
  <c r="AB76" i="9"/>
  <c r="AB75" i="9"/>
  <c r="AB74" i="9"/>
  <c r="AB73" i="9"/>
  <c r="AB72" i="9"/>
  <c r="AB71" i="9"/>
  <c r="AB70" i="9"/>
  <c r="AB69" i="9"/>
  <c r="AB68" i="9"/>
  <c r="AB67" i="9"/>
  <c r="AB66" i="9"/>
  <c r="AB65" i="9"/>
  <c r="AB64" i="9"/>
  <c r="AB63" i="9"/>
  <c r="AB62" i="9"/>
  <c r="AB61" i="9"/>
  <c r="AB60" i="9"/>
  <c r="AB59" i="9"/>
  <c r="AB58" i="9"/>
  <c r="AB57" i="9"/>
  <c r="AB56" i="9"/>
  <c r="AB55" i="9"/>
  <c r="AB54" i="9"/>
  <c r="AB53" i="9"/>
  <c r="AB52" i="9"/>
  <c r="AB51" i="9"/>
  <c r="AB50" i="9"/>
  <c r="AB49" i="9"/>
  <c r="AB48" i="9"/>
  <c r="AB47" i="9"/>
  <c r="AB46" i="9"/>
  <c r="AB45" i="9"/>
  <c r="AB44" i="9"/>
  <c r="AB43" i="9"/>
  <c r="AB42" i="9"/>
  <c r="AB41" i="9"/>
  <c r="AB40" i="9"/>
  <c r="AB39" i="9"/>
  <c r="AB38" i="9"/>
  <c r="AB37" i="9"/>
  <c r="AB36" i="9"/>
  <c r="AB35" i="9"/>
  <c r="AB34" i="9"/>
  <c r="AB33" i="9"/>
  <c r="AB32" i="9"/>
  <c r="AB31" i="9"/>
  <c r="AB30" i="9"/>
  <c r="AB29" i="9"/>
  <c r="AB28" i="9"/>
  <c r="AB27" i="9"/>
  <c r="AB26" i="9"/>
  <c r="AB25" i="9"/>
  <c r="AB24" i="9"/>
  <c r="AB23" i="9"/>
  <c r="AB22" i="9"/>
  <c r="AB21" i="9"/>
  <c r="AB20" i="9"/>
  <c r="AB19" i="9"/>
  <c r="AB18" i="9"/>
  <c r="AB17" i="9"/>
  <c r="AB16" i="9"/>
  <c r="AB15" i="9"/>
  <c r="AB14" i="9"/>
  <c r="AB13" i="9"/>
  <c r="AB12" i="9"/>
  <c r="AB11" i="9"/>
  <c r="AB10" i="9"/>
  <c r="AB9" i="9"/>
  <c r="AB8" i="9"/>
  <c r="AB7" i="9"/>
  <c r="AB6" i="9"/>
  <c r="AB5" i="9"/>
  <c r="AB4" i="9"/>
  <c r="AB3" i="9"/>
  <c r="AB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2" i="9"/>
  <c r="AO1" i="9" l="1"/>
  <c r="BO1" i="9"/>
  <c r="AB1" i="9"/>
  <c r="BB1" i="9"/>
  <c r="O1" i="9"/>
  <c r="L11" i="7" l="1"/>
  <c r="L12" i="7"/>
  <c r="L13" i="7"/>
  <c r="L14" i="7"/>
  <c r="L15" i="7"/>
  <c r="J11" i="7"/>
  <c r="J12" i="7"/>
  <c r="J13" i="7"/>
  <c r="J14" i="7"/>
  <c r="J15" i="7"/>
  <c r="L10" i="7"/>
  <c r="J10" i="7"/>
  <c r="D7" i="14" l="1"/>
  <c r="D9" i="14" l="1"/>
  <c r="D11" i="14"/>
  <c r="D10" i="14"/>
  <c r="D8" i="14"/>
  <c r="C68" i="25" l="1"/>
  <c r="F68" i="25" s="1"/>
  <c r="C61" i="25"/>
  <c r="F61" i="25" s="1"/>
  <c r="G37" i="17" l="1"/>
  <c r="G342" i="17" l="1"/>
  <c r="G163" i="17"/>
  <c r="G160" i="17"/>
  <c r="G244" i="17"/>
  <c r="G298" i="17"/>
  <c r="G396" i="17"/>
  <c r="G407" i="17"/>
  <c r="G349" i="17"/>
  <c r="G33" i="17"/>
  <c r="G32" i="17"/>
  <c r="G112" i="17"/>
  <c r="G13" i="17"/>
  <c r="D61" i="25"/>
  <c r="D68" i="25"/>
  <c r="O187" i="23"/>
  <c r="I412" i="17" s="1"/>
  <c r="O218" i="23"/>
  <c r="I56" i="17" s="1"/>
  <c r="O171" i="23"/>
  <c r="I407" i="17" s="1"/>
  <c r="I420" i="23" l="1"/>
  <c r="W420" i="23" s="1"/>
  <c r="X420" i="23" s="1"/>
  <c r="Y420" i="23" s="1"/>
  <c r="I395" i="23"/>
  <c r="W395" i="23" s="1"/>
  <c r="X395" i="23" s="1"/>
  <c r="Y395" i="23" s="1"/>
  <c r="I411" i="23"/>
  <c r="W411" i="23" s="1"/>
  <c r="X411" i="23" s="1"/>
  <c r="Y411" i="23" s="1"/>
  <c r="I396" i="23"/>
  <c r="W396" i="23" s="1"/>
  <c r="X396" i="23" s="1"/>
  <c r="Y396" i="23" s="1"/>
  <c r="I404" i="23"/>
  <c r="W404" i="23" s="1"/>
  <c r="X404" i="23" s="1"/>
  <c r="Y404" i="23" s="1"/>
  <c r="I412" i="23"/>
  <c r="W412" i="23" s="1"/>
  <c r="X412" i="23" s="1"/>
  <c r="Y412" i="23" s="1"/>
  <c r="I403" i="23"/>
  <c r="W403" i="23" s="1"/>
  <c r="X403" i="23" s="1"/>
  <c r="Y403" i="23" s="1"/>
  <c r="I394" i="23"/>
  <c r="W394" i="23" s="1"/>
  <c r="X394" i="23" s="1"/>
  <c r="Y394" i="23" s="1"/>
  <c r="I410" i="23"/>
  <c r="W410" i="23" s="1"/>
  <c r="X410" i="23" s="1"/>
  <c r="Y410" i="23" s="1"/>
  <c r="I418" i="23"/>
  <c r="W418" i="23" s="1"/>
  <c r="X418" i="23" s="1"/>
  <c r="Y418" i="23" s="1"/>
  <c r="I392" i="23"/>
  <c r="W392" i="23" s="1"/>
  <c r="X392" i="23" s="1"/>
  <c r="Y392" i="23" s="1"/>
  <c r="I400" i="23"/>
  <c r="W400" i="23" s="1"/>
  <c r="X400" i="23" s="1"/>
  <c r="Y400" i="23" s="1"/>
  <c r="I408" i="23"/>
  <c r="W408" i="23" s="1"/>
  <c r="X408" i="23" s="1"/>
  <c r="Y408" i="23" s="1"/>
  <c r="I416" i="23"/>
  <c r="W416" i="23" s="1"/>
  <c r="X416" i="23" s="1"/>
  <c r="Y416" i="23" s="1"/>
  <c r="I419" i="23"/>
  <c r="W419" i="23" s="1"/>
  <c r="X419" i="23" s="1"/>
  <c r="Y419" i="23" s="1"/>
  <c r="I415" i="23"/>
  <c r="W415" i="23" s="1"/>
  <c r="X415" i="23" s="1"/>
  <c r="Y415" i="23" s="1"/>
  <c r="I405" i="23"/>
  <c r="W405" i="23" s="1"/>
  <c r="X405" i="23" s="1"/>
  <c r="Y405" i="23" s="1"/>
  <c r="I413" i="23"/>
  <c r="W413" i="23" s="1"/>
  <c r="X413" i="23" s="1"/>
  <c r="Y413" i="23" s="1"/>
  <c r="I391" i="23"/>
  <c r="W391" i="23" s="1"/>
  <c r="X391" i="23" s="1"/>
  <c r="Y391" i="23" s="1"/>
  <c r="I401" i="23"/>
  <c r="W401" i="23" s="1"/>
  <c r="X401" i="23" s="1"/>
  <c r="Y401" i="23" s="1"/>
  <c r="I414" i="23"/>
  <c r="W414" i="23" s="1"/>
  <c r="X414" i="23" s="1"/>
  <c r="Y414" i="23" s="1"/>
  <c r="I406" i="23"/>
  <c r="W406" i="23" s="1"/>
  <c r="X406" i="23" s="1"/>
  <c r="Y406" i="23" s="1"/>
  <c r="I393" i="23"/>
  <c r="W393" i="23" s="1"/>
  <c r="X393" i="23" s="1"/>
  <c r="Y393" i="23" s="1"/>
  <c r="I398" i="23"/>
  <c r="W398" i="23" s="1"/>
  <c r="X398" i="23" s="1"/>
  <c r="Y398" i="23" s="1"/>
  <c r="I397" i="23"/>
  <c r="W397" i="23" s="1"/>
  <c r="X397" i="23" s="1"/>
  <c r="Y397" i="23" s="1"/>
  <c r="I402" i="23"/>
  <c r="W402" i="23" s="1"/>
  <c r="X402" i="23" s="1"/>
  <c r="Y402" i="23" s="1"/>
  <c r="I417" i="23"/>
  <c r="W417" i="23" s="1"/>
  <c r="X417" i="23" s="1"/>
  <c r="Y417" i="23" s="1"/>
  <c r="I409" i="23"/>
  <c r="W409" i="23" s="1"/>
  <c r="X409" i="23" s="1"/>
  <c r="Y409" i="23" s="1"/>
  <c r="I56" i="23"/>
  <c r="I140" i="23"/>
  <c r="I93" i="23"/>
  <c r="I354" i="23"/>
  <c r="I312" i="23"/>
  <c r="I206" i="23"/>
  <c r="I265" i="23"/>
  <c r="I210" i="23"/>
  <c r="I162" i="23"/>
  <c r="I133" i="23"/>
  <c r="I208" i="23"/>
  <c r="I183" i="23"/>
  <c r="I224" i="23"/>
  <c r="I22" i="23"/>
  <c r="I225" i="23"/>
  <c r="I92" i="23"/>
  <c r="I94" i="23"/>
  <c r="I348" i="23"/>
  <c r="I284" i="23"/>
  <c r="I186" i="23"/>
  <c r="I227" i="23"/>
  <c r="I160" i="23"/>
  <c r="I21" i="23"/>
  <c r="I69" i="23"/>
  <c r="I181" i="23"/>
  <c r="I328" i="23"/>
  <c r="I241" i="23"/>
  <c r="I79" i="23"/>
  <c r="I134" i="23"/>
  <c r="I288" i="23"/>
  <c r="I68" i="23"/>
  <c r="I78" i="23"/>
  <c r="I169" i="23"/>
  <c r="I379" i="23"/>
  <c r="I48" i="23"/>
  <c r="I174" i="23"/>
  <c r="I125" i="23"/>
  <c r="I355" i="23"/>
  <c r="I342" i="23"/>
  <c r="I25" i="23"/>
  <c r="I207" i="23"/>
  <c r="I245" i="23"/>
  <c r="I209" i="23"/>
  <c r="I261" i="23"/>
  <c r="W19" i="23"/>
  <c r="I376" i="23"/>
  <c r="I187" i="23"/>
  <c r="I309" i="23"/>
  <c r="I204" i="23"/>
  <c r="I305" i="23"/>
  <c r="I373" i="23"/>
  <c r="I345" i="23"/>
  <c r="I300" i="23"/>
  <c r="I269" i="23"/>
  <c r="I344" i="23"/>
  <c r="I287" i="23"/>
  <c r="I295" i="23"/>
  <c r="I349" i="23"/>
  <c r="I360" i="23"/>
  <c r="I296" i="23"/>
  <c r="I273" i="23"/>
  <c r="I377" i="23"/>
  <c r="I323" i="23"/>
  <c r="I41" i="23"/>
  <c r="I121" i="23"/>
  <c r="I253" i="23"/>
  <c r="I171" i="23"/>
  <c r="I33" i="23"/>
  <c r="I57" i="23"/>
  <c r="I148" i="23"/>
  <c r="I235" i="23"/>
  <c r="I270" i="23"/>
  <c r="I267" i="23"/>
  <c r="I367" i="23"/>
  <c r="I352" i="23"/>
  <c r="I313" i="23"/>
  <c r="I341" i="23"/>
  <c r="I258" i="23"/>
  <c r="I311" i="23"/>
  <c r="I278" i="23"/>
  <c r="I297" i="23"/>
  <c r="I363" i="23"/>
  <c r="I347" i="23"/>
  <c r="I119" i="23"/>
  <c r="I145" i="23"/>
  <c r="I217" i="23"/>
  <c r="I196" i="23"/>
  <c r="I32" i="23"/>
  <c r="I202" i="23"/>
  <c r="I28" i="23"/>
  <c r="I252" i="23"/>
  <c r="I380" i="23"/>
  <c r="I318" i="23"/>
  <c r="I275" i="23"/>
  <c r="I301" i="23"/>
  <c r="I320" i="23"/>
  <c r="I364" i="23"/>
  <c r="I359" i="23"/>
  <c r="I339" i="23"/>
  <c r="I310" i="23"/>
  <c r="I317" i="23"/>
  <c r="I250" i="23"/>
  <c r="I213" i="23"/>
  <c r="I238" i="23"/>
  <c r="I89" i="23"/>
  <c r="I142" i="23"/>
  <c r="I127" i="23"/>
  <c r="I123" i="23"/>
  <c r="I26" i="23"/>
  <c r="I105" i="23"/>
  <c r="I218" i="23"/>
  <c r="I29" i="23"/>
  <c r="I111" i="23"/>
  <c r="I315" i="23"/>
  <c r="I381" i="23"/>
  <c r="I390" i="23"/>
  <c r="I338" i="23"/>
  <c r="I316" i="23"/>
  <c r="I366" i="23"/>
  <c r="I122" i="23"/>
  <c r="I221" i="23"/>
  <c r="I193" i="23"/>
  <c r="I130" i="23"/>
  <c r="I131" i="23"/>
  <c r="I172" i="23"/>
  <c r="I293" i="23"/>
  <c r="I276" i="23"/>
  <c r="I283" i="23"/>
  <c r="I280" i="23"/>
  <c r="I365" i="23"/>
  <c r="I279" i="23"/>
  <c r="I77" i="23"/>
  <c r="I132" i="23"/>
  <c r="I146" i="23"/>
  <c r="I82" i="23"/>
  <c r="I176" i="23"/>
  <c r="I39" i="23"/>
  <c r="I154" i="23"/>
  <c r="I192" i="23"/>
  <c r="I35" i="23"/>
  <c r="I108" i="23"/>
  <c r="I234" i="23"/>
  <c r="I149" i="23"/>
  <c r="I343" i="23"/>
  <c r="I268" i="23"/>
  <c r="I383" i="23"/>
  <c r="I336" i="23"/>
  <c r="I272" i="23"/>
  <c r="I332" i="23"/>
  <c r="I382" i="23"/>
  <c r="I356" i="23"/>
  <c r="I104" i="23"/>
  <c r="I110" i="23"/>
  <c r="I100" i="23"/>
  <c r="I243" i="23"/>
  <c r="I164" i="23"/>
  <c r="I61" i="23"/>
  <c r="I178" i="23"/>
  <c r="I248" i="23"/>
  <c r="I107" i="23"/>
  <c r="I84" i="23"/>
  <c r="I191" i="23"/>
  <c r="I232" i="23"/>
  <c r="I179" i="23"/>
  <c r="I83" i="23"/>
  <c r="I36" i="23"/>
  <c r="I30" i="23"/>
  <c r="I237" i="23"/>
  <c r="I118" i="23"/>
  <c r="I40" i="23"/>
  <c r="I66" i="23"/>
  <c r="I177" i="23"/>
  <c r="I155" i="23"/>
  <c r="I147" i="23"/>
  <c r="I167" i="23"/>
  <c r="I194" i="23"/>
  <c r="I236" i="23"/>
  <c r="I189" i="23"/>
  <c r="I229" i="23"/>
  <c r="I215" i="23"/>
  <c r="I85" i="23"/>
  <c r="I205" i="23"/>
  <c r="I329" i="23"/>
  <c r="I292" i="23"/>
  <c r="I299" i="23"/>
  <c r="I389" i="23"/>
  <c r="I298" i="23"/>
  <c r="I334" i="23"/>
  <c r="I321" i="23"/>
  <c r="I173" i="23"/>
  <c r="I120" i="23"/>
  <c r="I251" i="23"/>
  <c r="I87" i="23"/>
  <c r="I64" i="23"/>
  <c r="I151" i="23"/>
  <c r="I216" i="23"/>
  <c r="I211" i="23"/>
  <c r="I222" i="23"/>
  <c r="I98" i="23"/>
  <c r="I53" i="23"/>
  <c r="I31" i="23"/>
  <c r="I27" i="23"/>
  <c r="I198" i="23"/>
  <c r="I34" i="23"/>
  <c r="I86" i="23"/>
  <c r="I361" i="23"/>
  <c r="I274" i="23"/>
  <c r="I388" i="23"/>
  <c r="I302" i="23"/>
  <c r="I58" i="23"/>
  <c r="I233" i="23"/>
  <c r="I203" i="23"/>
  <c r="I63" i="23"/>
  <c r="I52" i="23"/>
  <c r="I54" i="23"/>
  <c r="I99" i="23"/>
  <c r="I152" i="23"/>
  <c r="I106" i="23"/>
  <c r="I230" i="23"/>
  <c r="I157" i="23"/>
  <c r="I80" i="23"/>
  <c r="I97" i="23"/>
  <c r="I156" i="23"/>
  <c r="I113" i="23"/>
  <c r="I200" i="23"/>
  <c r="I184" i="23"/>
  <c r="I333" i="23"/>
  <c r="I244" i="23"/>
  <c r="I73" i="23"/>
  <c r="I242" i="23"/>
  <c r="I286" i="23"/>
  <c r="I226" i="23"/>
  <c r="I246" i="23"/>
  <c r="I71" i="23"/>
  <c r="I72" i="23"/>
  <c r="I264" i="23"/>
  <c r="I49" i="23"/>
  <c r="I326" i="23"/>
  <c r="I374" i="23"/>
  <c r="I306" i="23"/>
  <c r="I223" i="23"/>
  <c r="I387" i="23"/>
  <c r="I372" i="23"/>
  <c r="I143" i="23"/>
  <c r="I44" i="23"/>
  <c r="I289" i="23"/>
  <c r="I115" i="23"/>
  <c r="I375" i="23"/>
  <c r="I304" i="23"/>
  <c r="I337" i="23"/>
  <c r="I322" i="23"/>
  <c r="I294" i="23"/>
  <c r="I88" i="23"/>
  <c r="I197" i="23"/>
  <c r="I59" i="23"/>
  <c r="I129" i="23"/>
  <c r="I109" i="23"/>
  <c r="I219" i="23"/>
  <c r="I368" i="23"/>
  <c r="I308" i="23"/>
  <c r="I291" i="23"/>
  <c r="I159" i="23"/>
  <c r="I319" i="23"/>
  <c r="I385" i="23"/>
  <c r="I335" i="23"/>
  <c r="I259" i="23"/>
  <c r="I256" i="23"/>
  <c r="I62" i="23"/>
  <c r="I195" i="23"/>
  <c r="I124" i="23"/>
  <c r="I55" i="23"/>
  <c r="I103" i="23"/>
  <c r="I168" i="23"/>
  <c r="I370" i="23"/>
  <c r="I325" i="23"/>
  <c r="I180" i="23"/>
  <c r="I290" i="23"/>
  <c r="I324" i="23"/>
  <c r="I282" i="23"/>
  <c r="I358" i="23"/>
  <c r="I277" i="23"/>
  <c r="I249" i="23"/>
  <c r="I76" i="23"/>
  <c r="I42" i="23"/>
  <c r="I153" i="23"/>
  <c r="I112" i="23"/>
  <c r="I37" i="23"/>
  <c r="I199" i="23"/>
  <c r="I212" i="23"/>
  <c r="I81" i="23"/>
  <c r="I70" i="23"/>
  <c r="I135" i="23"/>
  <c r="I303" i="23"/>
  <c r="I350" i="23"/>
  <c r="I271" i="23"/>
  <c r="I96" i="23"/>
  <c r="I201" i="23"/>
  <c r="I220" i="23"/>
  <c r="I257" i="23"/>
  <c r="I45" i="23"/>
  <c r="I90" i="23"/>
  <c r="I116" i="23"/>
  <c r="I60" i="23"/>
  <c r="I170" i="23"/>
  <c r="I75" i="23"/>
  <c r="I101" i="23"/>
  <c r="I138" i="23"/>
  <c r="I260" i="23"/>
  <c r="I307" i="23"/>
  <c r="I141" i="23"/>
  <c r="I371" i="23"/>
  <c r="I46" i="23"/>
  <c r="I91" i="23"/>
  <c r="I327" i="23"/>
  <c r="I47" i="23"/>
  <c r="I20" i="23"/>
  <c r="I24" i="23"/>
  <c r="I139" i="23"/>
  <c r="I266" i="23"/>
  <c r="I340" i="23"/>
  <c r="I23" i="23"/>
  <c r="I281" i="23"/>
  <c r="I378" i="23"/>
  <c r="I331" i="23"/>
  <c r="I165" i="23"/>
  <c r="I102" i="23"/>
  <c r="I175" i="23"/>
  <c r="I182" i="23"/>
  <c r="I231" i="23"/>
  <c r="I190" i="23"/>
  <c r="I240" i="23"/>
  <c r="I128" i="23"/>
  <c r="I163" i="23"/>
  <c r="I314" i="23"/>
  <c r="I357" i="23"/>
  <c r="I330" i="23"/>
  <c r="I386" i="23"/>
  <c r="I353" i="23"/>
  <c r="I95" i="23"/>
  <c r="I166" i="23"/>
  <c r="I239" i="23"/>
  <c r="I43" i="23"/>
  <c r="I126" i="23"/>
  <c r="I74" i="23"/>
  <c r="I65" i="23"/>
  <c r="I247" i="23"/>
  <c r="I254" i="23"/>
  <c r="I117" i="23"/>
  <c r="I263" i="23"/>
  <c r="I285" i="23"/>
  <c r="I150" i="23"/>
  <c r="I214" i="23"/>
  <c r="I262" i="23"/>
  <c r="I114" i="23"/>
  <c r="I137" i="23"/>
  <c r="I136" i="23"/>
  <c r="I255" i="23"/>
  <c r="I67" i="23"/>
  <c r="I384" i="23"/>
  <c r="I161" i="23"/>
  <c r="L294" i="23"/>
  <c r="L295" i="23"/>
  <c r="L140" i="23"/>
  <c r="L89" i="23"/>
  <c r="L231" i="23"/>
  <c r="L254" i="23"/>
  <c r="L116" i="23"/>
  <c r="L275" i="23"/>
  <c r="L250" i="23"/>
  <c r="L238" i="23"/>
  <c r="L359" i="23"/>
  <c r="L145" i="23"/>
  <c r="L103" i="23"/>
  <c r="L382" i="23"/>
  <c r="L333" i="23"/>
  <c r="L171" i="23"/>
  <c r="L310" i="23"/>
  <c r="L138" i="23"/>
  <c r="L125" i="23"/>
  <c r="L241" i="23"/>
  <c r="L222" i="23"/>
  <c r="L244" i="23"/>
  <c r="L307" i="23"/>
  <c r="L42" i="23"/>
  <c r="L286" i="23"/>
  <c r="L211" i="23"/>
  <c r="L67" i="23"/>
  <c r="L370" i="23"/>
  <c r="L320" i="23"/>
  <c r="L283" i="23"/>
  <c r="L62" i="23"/>
  <c r="L314" i="23"/>
  <c r="L334" i="23"/>
  <c r="L97" i="23"/>
  <c r="L213" i="23"/>
  <c r="L273" i="23"/>
  <c r="L60" i="23"/>
  <c r="L329" i="23"/>
  <c r="L127" i="23"/>
  <c r="L131" i="23"/>
  <c r="L169" i="23"/>
  <c r="L150" i="23"/>
  <c r="L297" i="23"/>
  <c r="L277" i="23"/>
  <c r="L363" i="23"/>
  <c r="L235" i="23"/>
  <c r="L374" i="23"/>
  <c r="L209" i="23"/>
  <c r="L197" i="23"/>
  <c r="L36" i="23"/>
  <c r="L151" i="23"/>
  <c r="L174" i="23"/>
  <c r="L31" i="23"/>
  <c r="L315" i="23"/>
  <c r="L274" i="23"/>
  <c r="L288" i="23"/>
  <c r="L365" i="23"/>
  <c r="L80" i="23"/>
  <c r="L69" i="23"/>
  <c r="L26" i="23"/>
  <c r="L208" i="23"/>
  <c r="L65" i="23"/>
  <c r="L336" i="23"/>
  <c r="L303" i="23"/>
  <c r="L134" i="23"/>
  <c r="L219" i="23"/>
  <c r="L128" i="23"/>
  <c r="L369" i="23"/>
  <c r="L118" i="23"/>
  <c r="L163" i="23"/>
  <c r="L302" i="23"/>
  <c r="L165" i="23"/>
  <c r="L159" i="23"/>
  <c r="L233" i="23"/>
  <c r="L214" i="23"/>
  <c r="L361" i="23"/>
  <c r="L180" i="23"/>
  <c r="L324" i="23"/>
  <c r="L278" i="23"/>
  <c r="L298" i="23"/>
  <c r="L253" i="23"/>
  <c r="L308" i="23"/>
  <c r="L75" i="23"/>
  <c r="L76" i="23"/>
  <c r="L252" i="23"/>
  <c r="L378" i="23"/>
  <c r="L319" i="23"/>
  <c r="L247" i="23"/>
  <c r="L350" i="23"/>
  <c r="L175" i="23"/>
  <c r="L187" i="23"/>
  <c r="L193" i="23"/>
  <c r="L122" i="23"/>
  <c r="L341" i="23"/>
  <c r="L148" i="23"/>
  <c r="L142" i="23"/>
  <c r="L289" i="23"/>
  <c r="L181" i="23"/>
  <c r="L68" i="23"/>
  <c r="L227" i="23"/>
  <c r="L366" i="23"/>
  <c r="L237" i="23"/>
  <c r="L305" i="23"/>
  <c r="L34" i="23"/>
  <c r="L143" i="23"/>
  <c r="L301" i="23"/>
  <c r="L25" i="23"/>
  <c r="L261" i="23"/>
  <c r="L100" i="23"/>
  <c r="L215" i="23"/>
  <c r="L203" i="23"/>
  <c r="L32" i="23"/>
  <c r="L40" i="23"/>
  <c r="L182" i="23"/>
  <c r="L90" i="23"/>
  <c r="L340" i="23"/>
  <c r="L318" i="23"/>
  <c r="L202" i="23"/>
  <c r="L20" i="23"/>
  <c r="L195" i="23"/>
  <c r="L380" i="23"/>
  <c r="L149" i="23"/>
  <c r="L57" i="23"/>
  <c r="L323" i="23"/>
  <c r="L101" i="23"/>
  <c r="L309" i="23"/>
  <c r="L155" i="23"/>
  <c r="L326" i="23"/>
  <c r="L196" i="23"/>
  <c r="L267" i="23"/>
  <c r="L189" i="23"/>
  <c r="L154" i="23"/>
  <c r="L22" i="23"/>
  <c r="L111" i="23"/>
  <c r="L46" i="23"/>
  <c r="L347" i="23"/>
  <c r="L258" i="23"/>
  <c r="L64" i="23"/>
  <c r="L124" i="23"/>
  <c r="L129" i="23"/>
  <c r="L45" i="23"/>
  <c r="L221" i="23"/>
  <c r="L179" i="23"/>
  <c r="L317" i="23"/>
  <c r="L390" i="23"/>
  <c r="L282" i="23"/>
  <c r="L249" i="23"/>
  <c r="L52" i="23"/>
  <c r="L371" i="23"/>
  <c r="L135" i="23"/>
  <c r="L50" i="23"/>
  <c r="L239" i="23"/>
  <c r="L33" i="23"/>
  <c r="L92" i="23"/>
  <c r="L354" i="23"/>
  <c r="L257" i="23"/>
  <c r="L39" i="23"/>
  <c r="L291" i="23"/>
  <c r="L170" i="23"/>
  <c r="L251" i="23"/>
  <c r="L133" i="23"/>
  <c r="L112" i="23"/>
  <c r="L188" i="23"/>
  <c r="L205" i="23"/>
  <c r="L43" i="23"/>
  <c r="L276" i="23"/>
  <c r="L105" i="23"/>
  <c r="L86" i="23"/>
  <c r="L368" i="23"/>
  <c r="L331" i="23"/>
  <c r="L348" i="23"/>
  <c r="L248" i="23"/>
  <c r="L321" i="23"/>
  <c r="L372" i="23"/>
  <c r="L141" i="23"/>
  <c r="L259" i="23"/>
  <c r="L95" i="23"/>
  <c r="L119" i="23"/>
  <c r="L109" i="23"/>
  <c r="L70" i="23"/>
  <c r="L200" i="23"/>
  <c r="L130" i="23"/>
  <c r="L255" i="23"/>
  <c r="L136" i="23"/>
  <c r="L59" i="23"/>
  <c r="L21" i="23"/>
  <c r="L256" i="23"/>
  <c r="L299" i="23"/>
  <c r="L177" i="23"/>
  <c r="L158" i="23"/>
  <c r="L73" i="23"/>
  <c r="L352" i="23"/>
  <c r="L285" i="23"/>
  <c r="L243" i="23"/>
  <c r="L210" i="23"/>
  <c r="L190" i="23"/>
  <c r="L349" i="23"/>
  <c r="L44" i="23"/>
  <c r="L204" i="23"/>
  <c r="L72" i="23"/>
  <c r="L63" i="23"/>
  <c r="L357" i="23"/>
  <c r="L146" i="23"/>
  <c r="L375" i="23"/>
  <c r="L325" i="23"/>
  <c r="L164" i="23"/>
  <c r="L272" i="23"/>
  <c r="L226" i="23"/>
  <c r="L335" i="23"/>
  <c r="L344" i="23"/>
  <c r="L41" i="23"/>
  <c r="L292" i="23"/>
  <c r="L123" i="23"/>
  <c r="L99" i="23"/>
  <c r="L240" i="23"/>
  <c r="L121" i="23"/>
  <c r="L117" i="23"/>
  <c r="L51" i="23"/>
  <c r="L93" i="23"/>
  <c r="L110" i="23"/>
  <c r="L126" i="23"/>
  <c r="L161" i="23"/>
  <c r="L223" i="23"/>
  <c r="L185" i="23"/>
  <c r="L229" i="23"/>
  <c r="L293" i="23"/>
  <c r="L386" i="23"/>
  <c r="L108" i="23"/>
  <c r="L137" i="23"/>
  <c r="L156" i="23"/>
  <c r="L66" i="23"/>
  <c r="L234" i="23"/>
  <c r="L266" i="23"/>
  <c r="L49" i="23"/>
  <c r="L306" i="23"/>
  <c r="L236" i="23"/>
  <c r="L178" i="23"/>
  <c r="L356" i="23"/>
  <c r="L166" i="23"/>
  <c r="L280" i="23"/>
  <c r="L102" i="23"/>
  <c r="L91" i="23"/>
  <c r="L373" i="23"/>
  <c r="L300" i="23"/>
  <c r="L364" i="23"/>
  <c r="L388" i="23"/>
  <c r="L79" i="23"/>
  <c r="L139" i="23"/>
  <c r="L263" i="23"/>
  <c r="L144" i="23"/>
  <c r="L228" i="23"/>
  <c r="L342" i="23"/>
  <c r="L176" i="23"/>
  <c r="L23" i="23"/>
  <c r="L343" i="23"/>
  <c r="L56" i="23"/>
  <c r="L173" i="23"/>
  <c r="L83" i="23"/>
  <c r="L198" i="23"/>
  <c r="L82" i="23"/>
  <c r="L224" i="23"/>
  <c r="L54" i="23"/>
  <c r="L194" i="23"/>
  <c r="L152" i="23"/>
  <c r="L98" i="23"/>
  <c r="L362" i="23"/>
  <c r="L160" i="23"/>
  <c r="L379" i="23"/>
  <c r="L367" i="23"/>
  <c r="L338" i="23"/>
  <c r="L316" i="23"/>
  <c r="L304" i="23"/>
  <c r="L269" i="23"/>
  <c r="L271" i="23"/>
  <c r="L387" i="23"/>
  <c r="L85" i="23"/>
  <c r="L88" i="23"/>
  <c r="L337" i="23"/>
  <c r="L262" i="23"/>
  <c r="L328" i="23"/>
  <c r="L230" i="23"/>
  <c r="L47" i="23"/>
  <c r="L281" i="23"/>
  <c r="L199" i="23"/>
  <c r="L29" i="23"/>
  <c r="L217" i="23"/>
  <c r="L55" i="23"/>
  <c r="L355" i="23"/>
  <c r="L332" i="23"/>
  <c r="L330" i="23"/>
  <c r="L27" i="23"/>
  <c r="L78" i="23"/>
  <c r="L30" i="23"/>
  <c r="L242" i="23"/>
  <c r="L115" i="23"/>
  <c r="L192" i="23"/>
  <c r="L132" i="23"/>
  <c r="L339" i="23"/>
  <c r="L38" i="23"/>
  <c r="L260" i="23"/>
  <c r="L313" i="23"/>
  <c r="L58" i="23"/>
  <c r="L106" i="23"/>
  <c r="L87" i="23"/>
  <c r="L167" i="23"/>
  <c r="L96" i="23"/>
  <c r="L389" i="23"/>
  <c r="L311" i="23"/>
  <c r="L35" i="23"/>
  <c r="L384" i="23"/>
  <c r="L232" i="23"/>
  <c r="L312" i="23"/>
  <c r="L120" i="23"/>
  <c r="L245" i="23"/>
  <c r="L153" i="23"/>
  <c r="L201" i="23"/>
  <c r="L81" i="23"/>
  <c r="L296" i="23"/>
  <c r="L206" i="23"/>
  <c r="L28" i="23"/>
  <c r="L268" i="23"/>
  <c r="L71" i="23"/>
  <c r="L218" i="23"/>
  <c r="L265" i="23"/>
  <c r="L212" i="23"/>
  <c r="L220" i="23"/>
  <c r="L24" i="23"/>
  <c r="L284" i="23"/>
  <c r="L186" i="23"/>
  <c r="L360" i="23"/>
  <c r="L94" i="23"/>
  <c r="L48" i="23"/>
  <c r="L172" i="23"/>
  <c r="L385" i="23"/>
  <c r="L322" i="23"/>
  <c r="L383" i="23"/>
  <c r="L345" i="23"/>
  <c r="L358" i="23"/>
  <c r="L270" i="23"/>
  <c r="L287" i="23"/>
  <c r="L207" i="23"/>
  <c r="L216" i="23"/>
  <c r="L61" i="23"/>
  <c r="L225" i="23"/>
  <c r="L104" i="23"/>
  <c r="L74" i="23"/>
  <c r="L168" i="23"/>
  <c r="L381" i="23"/>
  <c r="L113" i="23"/>
  <c r="L376" i="23"/>
  <c r="L279" i="23"/>
  <c r="L191" i="23"/>
  <c r="L84" i="23"/>
  <c r="L246" i="23"/>
  <c r="L157" i="23"/>
  <c r="L353" i="23"/>
  <c r="L290" i="23"/>
  <c r="L183" i="23"/>
  <c r="L114" i="23"/>
  <c r="L377" i="23"/>
  <c r="L162" i="23"/>
  <c r="L264" i="23"/>
  <c r="L327" i="23"/>
  <c r="L37" i="23"/>
  <c r="L77" i="23"/>
  <c r="L147" i="23"/>
  <c r="L107" i="23"/>
  <c r="L53" i="23"/>
  <c r="L184" i="23"/>
  <c r="L351" i="23"/>
  <c r="L346" i="23"/>
  <c r="I38" i="23"/>
  <c r="I158" i="23"/>
  <c r="I185" i="23"/>
  <c r="I188" i="23"/>
  <c r="I369" i="23"/>
  <c r="I228" i="23"/>
  <c r="I144" i="23"/>
  <c r="I50" i="23"/>
  <c r="I51" i="23"/>
  <c r="I362" i="23"/>
  <c r="O256" i="23"/>
  <c r="O358" i="23"/>
  <c r="O360" i="23"/>
  <c r="O374" i="23"/>
  <c r="O381" i="23"/>
  <c r="O149" i="23"/>
  <c r="O179" i="23"/>
  <c r="O333" i="23"/>
  <c r="O366" i="23"/>
  <c r="O40" i="23"/>
  <c r="O251" i="23"/>
  <c r="O258" i="23"/>
  <c r="O202" i="23"/>
  <c r="O237" i="23"/>
  <c r="O343" i="23"/>
  <c r="O65" i="23"/>
  <c r="O108" i="23"/>
  <c r="O298" i="23"/>
  <c r="O277" i="23"/>
  <c r="O253" i="23"/>
  <c r="O347" i="23"/>
  <c r="O207" i="23"/>
  <c r="O189" i="23"/>
  <c r="O283" i="23"/>
  <c r="O24" i="23"/>
  <c r="O176" i="23"/>
  <c r="O356" i="23"/>
  <c r="O264" i="23"/>
  <c r="O259" i="23"/>
  <c r="O352" i="23"/>
  <c r="O139" i="23"/>
  <c r="O67" i="23"/>
  <c r="O116" i="23"/>
  <c r="O284" i="23"/>
  <c r="O254" i="23"/>
  <c r="O204" i="23"/>
  <c r="O309" i="23"/>
  <c r="O312" i="23"/>
  <c r="O368" i="23"/>
  <c r="O174" i="23"/>
  <c r="O59" i="23"/>
  <c r="O296" i="23"/>
  <c r="O359" i="23"/>
  <c r="O317" i="23"/>
  <c r="O295" i="23"/>
  <c r="O330" i="23"/>
  <c r="O346" i="23"/>
  <c r="O266" i="23"/>
  <c r="O88" i="23"/>
  <c r="O245" i="23"/>
  <c r="O362" i="23"/>
  <c r="O193" i="23"/>
  <c r="O335" i="23"/>
  <c r="O96" i="23"/>
  <c r="O84" i="23"/>
  <c r="O257" i="23"/>
  <c r="O44" i="23"/>
  <c r="O81" i="23"/>
  <c r="O282" i="23"/>
  <c r="O355" i="23"/>
  <c r="O336" i="23"/>
  <c r="O157" i="23"/>
  <c r="O255" i="23"/>
  <c r="O195" i="23"/>
  <c r="O380" i="23"/>
  <c r="O133" i="23"/>
  <c r="O321" i="23"/>
  <c r="O244" i="23"/>
  <c r="O318" i="23"/>
  <c r="O177" i="23"/>
  <c r="O102" i="23"/>
  <c r="O113" i="23"/>
  <c r="O341" i="23"/>
  <c r="O172" i="23"/>
  <c r="O351" i="23"/>
  <c r="O293" i="23"/>
  <c r="O210" i="23"/>
  <c r="O334" i="23"/>
  <c r="O226" i="23"/>
  <c r="O128" i="23"/>
  <c r="O314" i="23"/>
  <c r="O223" i="23"/>
  <c r="O143" i="23"/>
  <c r="O250" i="23"/>
  <c r="O267" i="23"/>
  <c r="O271" i="23"/>
  <c r="O342" i="23"/>
  <c r="O272" i="23"/>
  <c r="O325" i="23"/>
  <c r="O22" i="23"/>
  <c r="O348" i="23"/>
  <c r="O262" i="23"/>
  <c r="O349" i="23"/>
  <c r="O58" i="23"/>
  <c r="O198" i="23"/>
  <c r="O235" i="23"/>
  <c r="O243" i="23"/>
  <c r="O31" i="23"/>
  <c r="O361" i="23"/>
  <c r="O124" i="23"/>
  <c r="O388" i="23"/>
  <c r="O332" i="23"/>
  <c r="O100" i="23"/>
  <c r="O165" i="23"/>
  <c r="O225" i="23"/>
  <c r="O385" i="23"/>
  <c r="O32" i="23"/>
  <c r="O101" i="23"/>
  <c r="O367" i="23"/>
  <c r="O154" i="23"/>
  <c r="O291" i="23"/>
  <c r="O34" i="23"/>
  <c r="O371" i="23"/>
  <c r="O211" i="23"/>
  <c r="O184" i="23"/>
  <c r="O300" i="23"/>
  <c r="O75" i="23"/>
  <c r="O387" i="23"/>
  <c r="O299" i="23"/>
  <c r="O220" i="23"/>
  <c r="O79" i="23"/>
  <c r="O39" i="23"/>
  <c r="O247" i="23"/>
  <c r="O74" i="23"/>
  <c r="O357" i="23"/>
  <c r="O119" i="23"/>
  <c r="O48" i="23"/>
  <c r="O82" i="23"/>
  <c r="O167" i="23"/>
  <c r="O156" i="23"/>
  <c r="O294" i="23"/>
  <c r="O173" i="23"/>
  <c r="O345" i="23"/>
  <c r="O270" i="23"/>
  <c r="O103" i="23"/>
  <c r="O45" i="23"/>
  <c r="O213" i="23"/>
  <c r="O303" i="23"/>
  <c r="O87" i="23"/>
  <c r="O180" i="23"/>
  <c r="O42" i="23"/>
  <c r="O64" i="23"/>
  <c r="O163" i="23"/>
  <c r="O265" i="23"/>
  <c r="O38" i="23"/>
  <c r="O104" i="23"/>
  <c r="O83" i="23"/>
  <c r="O25" i="23"/>
  <c r="O260" i="23"/>
  <c r="O21" i="23"/>
  <c r="O304" i="23"/>
  <c r="O132" i="23"/>
  <c r="O135" i="23"/>
  <c r="O52" i="23"/>
  <c r="O60" i="23"/>
  <c r="O274" i="23"/>
  <c r="O148" i="23"/>
  <c r="O89" i="23"/>
  <c r="O36" i="23"/>
  <c r="O249" i="23"/>
  <c r="O109" i="23"/>
  <c r="O313" i="23"/>
  <c r="O339" i="23"/>
  <c r="O242" i="23"/>
  <c r="O142" i="23"/>
  <c r="O192" i="23"/>
  <c r="O364" i="23"/>
  <c r="O340" i="23"/>
  <c r="O155" i="23"/>
  <c r="O288" i="23"/>
  <c r="O310" i="23"/>
  <c r="O248" i="23"/>
  <c r="O236" i="23"/>
  <c r="O273" i="23"/>
  <c r="O205" i="23"/>
  <c r="O123" i="23"/>
  <c r="O50" i="23"/>
  <c r="O308" i="23"/>
  <c r="O338" i="23"/>
  <c r="O323" i="23"/>
  <c r="O322" i="23"/>
  <c r="O383" i="23"/>
  <c r="O286" i="23"/>
  <c r="O290" i="23"/>
  <c r="O62" i="23"/>
  <c r="O92" i="23"/>
  <c r="O230" i="23"/>
  <c r="O28" i="23"/>
  <c r="O252" i="23"/>
  <c r="O170" i="23"/>
  <c r="O390" i="23"/>
  <c r="O91" i="23"/>
  <c r="O227" i="23"/>
  <c r="O329" i="23"/>
  <c r="O281" i="23"/>
  <c r="O365" i="23"/>
  <c r="O85" i="23"/>
  <c r="O29" i="23"/>
  <c r="O99" i="23"/>
  <c r="O80" i="23"/>
  <c r="O95" i="23"/>
  <c r="O120" i="23"/>
  <c r="I181" i="17" s="1"/>
  <c r="O232" i="23"/>
  <c r="I170" i="17" s="1"/>
  <c r="O117" i="23"/>
  <c r="I258" i="17" s="1"/>
  <c r="O47" i="23"/>
  <c r="I65" i="17" s="1"/>
  <c r="O199" i="23"/>
  <c r="I235" i="17" s="1"/>
  <c r="O158" i="23"/>
  <c r="I76" i="17" s="1"/>
  <c r="O51" i="23"/>
  <c r="I106" i="17" s="1"/>
  <c r="O150" i="23"/>
  <c r="I367" i="17" s="1"/>
  <c r="O168" i="23"/>
  <c r="I304" i="17" s="1"/>
  <c r="O118" i="23"/>
  <c r="I20" i="17" s="1"/>
  <c r="O146" i="23"/>
  <c r="I68" i="17" s="1"/>
  <c r="O71" i="23"/>
  <c r="I374" i="17" s="1"/>
  <c r="O215" i="23"/>
  <c r="I55" i="17" s="1"/>
  <c r="O161" i="23"/>
  <c r="I324" i="17" s="1"/>
  <c r="O181" i="23"/>
  <c r="I176" i="17" s="1"/>
  <c r="O307" i="23"/>
  <c r="O37" i="23"/>
  <c r="O66" i="23"/>
  <c r="O316" i="23"/>
  <c r="O90" i="23"/>
  <c r="O61" i="23"/>
  <c r="O311" i="23"/>
  <c r="O137" i="23"/>
  <c r="O305" i="23"/>
  <c r="O145" i="23"/>
  <c r="O377" i="23"/>
  <c r="O234" i="23"/>
  <c r="O49" i="23"/>
  <c r="O98" i="23"/>
  <c r="O324" i="23"/>
  <c r="O275" i="23"/>
  <c r="O221" i="23"/>
  <c r="O122" i="23"/>
  <c r="O23" i="23"/>
  <c r="O379" i="23"/>
  <c r="O228" i="23"/>
  <c r="O76" i="23"/>
  <c r="O219" i="23"/>
  <c r="O353" i="23"/>
  <c r="O354" i="23"/>
  <c r="O57" i="23"/>
  <c r="O138" i="23"/>
  <c r="O326" i="23"/>
  <c r="O302" i="23"/>
  <c r="O369" i="23"/>
  <c r="O152" i="23"/>
  <c r="O229" i="23"/>
  <c r="O363" i="23"/>
  <c r="O35" i="23"/>
  <c r="O285" i="23"/>
  <c r="O94" i="23"/>
  <c r="O287" i="23"/>
  <c r="O241" i="23"/>
  <c r="O331" i="23"/>
  <c r="O297" i="23"/>
  <c r="O328" i="23"/>
  <c r="O350" i="23"/>
  <c r="O106" i="23"/>
  <c r="O280" i="23"/>
  <c r="O239" i="23"/>
  <c r="O376" i="23"/>
  <c r="O115" i="23"/>
  <c r="O337" i="23"/>
  <c r="O93" i="23"/>
  <c r="O70" i="23"/>
  <c r="O111" i="23"/>
  <c r="O201" i="23"/>
  <c r="O77" i="23"/>
  <c r="O46" i="23"/>
  <c r="O30" i="23"/>
  <c r="O269" i="23"/>
  <c r="O268" i="23"/>
  <c r="O127" i="23"/>
  <c r="O370" i="23"/>
  <c r="O320" i="23"/>
  <c r="O105" i="23"/>
  <c r="O289" i="23"/>
  <c r="O231" i="23"/>
  <c r="O386" i="23"/>
  <c r="O73" i="23"/>
  <c r="O194" i="23"/>
  <c r="O162" i="23"/>
  <c r="O53" i="23"/>
  <c r="O151" i="23"/>
  <c r="O233" i="23"/>
  <c r="O382" i="23"/>
  <c r="O261" i="23"/>
  <c r="O78" i="23"/>
  <c r="O384" i="23"/>
  <c r="O319" i="23"/>
  <c r="O144" i="23"/>
  <c r="O110" i="23"/>
  <c r="O69" i="23"/>
  <c r="O301" i="23"/>
  <c r="O72" i="23"/>
  <c r="O238" i="23"/>
  <c r="O327" i="23"/>
  <c r="O372" i="23"/>
  <c r="O153" i="23"/>
  <c r="O306" i="23"/>
  <c r="O107" i="23"/>
  <c r="O315" i="23"/>
  <c r="O27" i="23"/>
  <c r="O375" i="23"/>
  <c r="O160" i="23"/>
  <c r="O263" i="23"/>
  <c r="O378" i="23"/>
  <c r="O279" i="23"/>
  <c r="O278" i="23"/>
  <c r="O389" i="23"/>
  <c r="O97" i="23"/>
  <c r="O56" i="23"/>
  <c r="O86" i="23"/>
  <c r="O203" i="23"/>
  <c r="O68" i="23"/>
  <c r="O292" i="23"/>
  <c r="O131" i="23"/>
  <c r="O373" i="23"/>
  <c r="O276" i="23"/>
  <c r="O344" i="23"/>
  <c r="O63" i="23"/>
  <c r="O164" i="23"/>
  <c r="O246" i="23"/>
  <c r="O166" i="23"/>
  <c r="O182" i="23"/>
  <c r="I422" i="17" s="1"/>
  <c r="O55" i="23"/>
  <c r="I343" i="17" s="1"/>
  <c r="O186" i="23"/>
  <c r="I37" i="17" s="1"/>
  <c r="O136" i="23"/>
  <c r="I43" i="17" s="1"/>
  <c r="O212" i="23"/>
  <c r="I118" i="17" s="1"/>
  <c r="O169" i="23"/>
  <c r="I342" i="17" s="1"/>
  <c r="O191" i="23"/>
  <c r="I149" i="17" s="1"/>
  <c r="O190" i="23"/>
  <c r="I196" i="17" s="1"/>
  <c r="O224" i="23"/>
  <c r="I283" i="17" s="1"/>
  <c r="O217" i="23"/>
  <c r="I261" i="17" s="1"/>
  <c r="O175" i="23"/>
  <c r="I13" i="17" s="1"/>
  <c r="O208" i="23"/>
  <c r="I298" i="17" s="1"/>
  <c r="O126" i="23"/>
  <c r="I423" i="17" s="1"/>
  <c r="O121" i="23"/>
  <c r="I163" i="17" s="1"/>
  <c r="O129" i="23"/>
  <c r="I99" i="17" s="1"/>
  <c r="O125" i="23"/>
  <c r="I160" i="17" s="1"/>
  <c r="O141" i="23"/>
  <c r="I415" i="17" s="1"/>
  <c r="O188" i="23"/>
  <c r="I30" i="17" s="1"/>
  <c r="O200" i="23"/>
  <c r="I138" i="17" s="1"/>
  <c r="O222" i="23"/>
  <c r="I387" i="17" s="1"/>
  <c r="O209" i="23"/>
  <c r="I305" i="17" s="1"/>
  <c r="O159" i="23"/>
  <c r="I112" i="17" s="1"/>
  <c r="O178" i="23"/>
  <c r="I255" i="17" s="1"/>
  <c r="O240" i="23"/>
  <c r="I262" i="17" s="1"/>
  <c r="O134" i="23"/>
  <c r="I379" i="17" s="1"/>
  <c r="O43" i="23"/>
  <c r="I244" i="17" s="1"/>
  <c r="O216" i="23"/>
  <c r="I146" i="17" s="1"/>
  <c r="O54" i="23"/>
  <c r="I349" i="17" s="1"/>
  <c r="O33" i="23"/>
  <c r="I200" i="17" s="1"/>
  <c r="O196" i="23"/>
  <c r="I301" i="17" s="1"/>
  <c r="O140" i="23"/>
  <c r="I405" i="17" s="1"/>
  <c r="O197" i="23"/>
  <c r="I396" i="17" s="1"/>
  <c r="O41" i="23"/>
  <c r="I237" i="17" s="1"/>
  <c r="O185" i="23"/>
  <c r="I32" i="17" s="1"/>
  <c r="O112" i="23"/>
  <c r="I421" i="17" s="1"/>
  <c r="O147" i="23"/>
  <c r="I82" i="17" s="1"/>
  <c r="O20" i="23"/>
  <c r="I52" i="17" s="1"/>
  <c r="O130" i="23"/>
  <c r="I329" i="17" s="1"/>
  <c r="O206" i="23"/>
  <c r="I221" i="17" s="1"/>
  <c r="O183" i="23"/>
  <c r="I228" i="17" s="1"/>
  <c r="O26" i="23"/>
  <c r="I143" i="17" s="1"/>
  <c r="O114" i="23"/>
  <c r="I93" i="17" s="1"/>
  <c r="O214" i="23"/>
  <c r="I33" i="17" s="1"/>
  <c r="I25" i="17"/>
  <c r="O13" i="23"/>
  <c r="W346" i="23" l="1"/>
  <c r="X346" i="23" s="1"/>
  <c r="Y346" i="23" s="1"/>
  <c r="W369" i="23"/>
  <c r="X369" i="23" s="1"/>
  <c r="Y369" i="23" s="1"/>
  <c r="W56" i="23"/>
  <c r="X56" i="23" s="1"/>
  <c r="Y56" i="23" s="1"/>
  <c r="W158" i="23"/>
  <c r="X158" i="23" s="1"/>
  <c r="Y158" i="23" s="1"/>
  <c r="W50" i="23"/>
  <c r="X50" i="23" s="1"/>
  <c r="Y50" i="23" s="1"/>
  <c r="W254" i="23"/>
  <c r="X254" i="23" s="1"/>
  <c r="Y254" i="23" s="1"/>
  <c r="W240" i="23"/>
  <c r="X240" i="23" s="1"/>
  <c r="Y240" i="23" s="1"/>
  <c r="W378" i="23"/>
  <c r="X378" i="23" s="1"/>
  <c r="Y378" i="23" s="1"/>
  <c r="W257" i="23"/>
  <c r="X257" i="23" s="1"/>
  <c r="Y257" i="23" s="1"/>
  <c r="W70" i="23"/>
  <c r="X70" i="23" s="1"/>
  <c r="Y70" i="23" s="1"/>
  <c r="W76" i="23"/>
  <c r="X76" i="23" s="1"/>
  <c r="Y76" i="23" s="1"/>
  <c r="W325" i="23"/>
  <c r="X325" i="23" s="1"/>
  <c r="Y325" i="23" s="1"/>
  <c r="W368" i="23"/>
  <c r="X368" i="23" s="1"/>
  <c r="Y368" i="23" s="1"/>
  <c r="W322" i="23"/>
  <c r="X322" i="23" s="1"/>
  <c r="Y322" i="23" s="1"/>
  <c r="W372" i="23"/>
  <c r="X372" i="23" s="1"/>
  <c r="Y372" i="23" s="1"/>
  <c r="W333" i="23"/>
  <c r="X333" i="23" s="1"/>
  <c r="Y333" i="23" s="1"/>
  <c r="W230" i="23"/>
  <c r="X230" i="23" s="1"/>
  <c r="Y230" i="23" s="1"/>
  <c r="W66" i="23"/>
  <c r="X66" i="23" s="1"/>
  <c r="Y66" i="23" s="1"/>
  <c r="W232" i="23"/>
  <c r="X232" i="23" s="1"/>
  <c r="Y232" i="23" s="1"/>
  <c r="W336" i="23"/>
  <c r="X336" i="23" s="1"/>
  <c r="Y336" i="23" s="1"/>
  <c r="W192" i="23"/>
  <c r="X192" i="23" s="1"/>
  <c r="Y192" i="23" s="1"/>
  <c r="W279" i="23"/>
  <c r="X279" i="23" s="1"/>
  <c r="Y279" i="23" s="1"/>
  <c r="W381" i="23"/>
  <c r="X381" i="23" s="1"/>
  <c r="Y381" i="23" s="1"/>
  <c r="W127" i="23"/>
  <c r="X127" i="23" s="1"/>
  <c r="Y127" i="23" s="1"/>
  <c r="W252" i="23"/>
  <c r="X252" i="23" s="1"/>
  <c r="Y252" i="23" s="1"/>
  <c r="W347" i="23"/>
  <c r="X347" i="23" s="1"/>
  <c r="Y347" i="23" s="1"/>
  <c r="W352" i="23"/>
  <c r="X352" i="23" s="1"/>
  <c r="Y352" i="23" s="1"/>
  <c r="W171" i="23"/>
  <c r="X171" i="23" s="1"/>
  <c r="Y171" i="23" s="1"/>
  <c r="W256" i="23"/>
  <c r="X256" i="23" s="1"/>
  <c r="Y256" i="23" s="1"/>
  <c r="W198" i="23"/>
  <c r="X198" i="23" s="1"/>
  <c r="Y198" i="23" s="1"/>
  <c r="W151" i="23"/>
  <c r="X151" i="23" s="1"/>
  <c r="Y151" i="23" s="1"/>
  <c r="W247" i="23"/>
  <c r="X247" i="23" s="1"/>
  <c r="Y247" i="23" s="1"/>
  <c r="W281" i="23"/>
  <c r="X281" i="23" s="1"/>
  <c r="Y281" i="23" s="1"/>
  <c r="W220" i="23"/>
  <c r="X220" i="23" s="1"/>
  <c r="Y220" i="23" s="1"/>
  <c r="W249" i="23"/>
  <c r="X249" i="23" s="1"/>
  <c r="Y249" i="23" s="1"/>
  <c r="W387" i="23"/>
  <c r="X387" i="23" s="1"/>
  <c r="Y387" i="23" s="1"/>
  <c r="W58" i="23"/>
  <c r="X58" i="23" s="1"/>
  <c r="Y58" i="23" s="1"/>
  <c r="W25" i="23"/>
  <c r="X25" i="23" s="1"/>
  <c r="Y25" i="23" s="1"/>
  <c r="W78" i="23"/>
  <c r="X78" i="23" s="1"/>
  <c r="Y78" i="23" s="1"/>
  <c r="W69" i="23"/>
  <c r="X69" i="23" s="1"/>
  <c r="Y69" i="23" s="1"/>
  <c r="W67" i="23"/>
  <c r="X67" i="23" s="1"/>
  <c r="Y67" i="23" s="1"/>
  <c r="W314" i="23"/>
  <c r="X314" i="23" s="1"/>
  <c r="Y314" i="23" s="1"/>
  <c r="W102" i="23"/>
  <c r="X102" i="23" s="1"/>
  <c r="Y102" i="23" s="1"/>
  <c r="W139" i="23"/>
  <c r="X139" i="23" s="1"/>
  <c r="Y139" i="23" s="1"/>
  <c r="W141" i="23"/>
  <c r="X141" i="23" s="1"/>
  <c r="Y141" i="23" s="1"/>
  <c r="W116" i="23"/>
  <c r="X116" i="23" s="1"/>
  <c r="Y116" i="23" s="1"/>
  <c r="W350" i="23"/>
  <c r="X350" i="23" s="1"/>
  <c r="Y350" i="23" s="1"/>
  <c r="W324" i="23"/>
  <c r="X324" i="23" s="1"/>
  <c r="Y324" i="23" s="1"/>
  <c r="W124" i="23"/>
  <c r="X124" i="23" s="1"/>
  <c r="Y124" i="23" s="1"/>
  <c r="W289" i="23"/>
  <c r="X289" i="23" s="1"/>
  <c r="Y289" i="23" s="1"/>
  <c r="W326" i="23"/>
  <c r="X326" i="23" s="1"/>
  <c r="Y326" i="23" s="1"/>
  <c r="W242" i="23"/>
  <c r="X242" i="23" s="1"/>
  <c r="Y242" i="23" s="1"/>
  <c r="W361" i="23"/>
  <c r="X361" i="23" s="1"/>
  <c r="Y361" i="23" s="1"/>
  <c r="W173" i="23"/>
  <c r="X173" i="23" s="1"/>
  <c r="Y173" i="23" s="1"/>
  <c r="W205" i="23"/>
  <c r="X205" i="23" s="1"/>
  <c r="Y205" i="23" s="1"/>
  <c r="W382" i="23"/>
  <c r="X382" i="23" s="1"/>
  <c r="Y382" i="23" s="1"/>
  <c r="W234" i="23"/>
  <c r="X234" i="23" s="1"/>
  <c r="Y234" i="23" s="1"/>
  <c r="W105" i="23"/>
  <c r="X105" i="23" s="1"/>
  <c r="Y105" i="23" s="1"/>
  <c r="W250" i="23"/>
  <c r="X250" i="23" s="1"/>
  <c r="Y250" i="23" s="1"/>
  <c r="W217" i="23"/>
  <c r="X217" i="23" s="1"/>
  <c r="Y217" i="23" s="1"/>
  <c r="W258" i="23"/>
  <c r="X258" i="23" s="1"/>
  <c r="Y258" i="23" s="1"/>
  <c r="W125" i="23"/>
  <c r="X125" i="23" s="1"/>
  <c r="Y125" i="23" s="1"/>
  <c r="W134" i="23"/>
  <c r="X134" i="23" s="1"/>
  <c r="Y134" i="23" s="1"/>
  <c r="W224" i="23"/>
  <c r="X224" i="23" s="1"/>
  <c r="Y224" i="23" s="1"/>
  <c r="W312" i="23"/>
  <c r="X312" i="23" s="1"/>
  <c r="Y312" i="23" s="1"/>
  <c r="W285" i="23"/>
  <c r="X285" i="23" s="1"/>
  <c r="Y285" i="23" s="1"/>
  <c r="W43" i="23"/>
  <c r="X43" i="23" s="1"/>
  <c r="Y43" i="23" s="1"/>
  <c r="W112" i="23"/>
  <c r="X112" i="23" s="1"/>
  <c r="Y112" i="23" s="1"/>
  <c r="W159" i="23"/>
  <c r="X159" i="23" s="1"/>
  <c r="Y159" i="23" s="1"/>
  <c r="W197" i="23"/>
  <c r="X197" i="23" s="1"/>
  <c r="Y197" i="23" s="1"/>
  <c r="W97" i="23"/>
  <c r="X97" i="23" s="1"/>
  <c r="Y97" i="23" s="1"/>
  <c r="W52" i="23"/>
  <c r="X52" i="23" s="1"/>
  <c r="Y52" i="23" s="1"/>
  <c r="W222" i="23"/>
  <c r="X222" i="23" s="1"/>
  <c r="Y222" i="23" s="1"/>
  <c r="W147" i="23"/>
  <c r="X147" i="23" s="1"/>
  <c r="Y147" i="23" s="1"/>
  <c r="W36" i="23"/>
  <c r="X36" i="23" s="1"/>
  <c r="Y36" i="23" s="1"/>
  <c r="W178" i="23"/>
  <c r="X178" i="23" s="1"/>
  <c r="Y178" i="23" s="1"/>
  <c r="W146" i="23"/>
  <c r="X146" i="23" s="1"/>
  <c r="Y146" i="23" s="1"/>
  <c r="W293" i="23"/>
  <c r="X293" i="23" s="1"/>
  <c r="Y293" i="23" s="1"/>
  <c r="W316" i="23"/>
  <c r="X316" i="23" s="1"/>
  <c r="Y316" i="23" s="1"/>
  <c r="W275" i="23"/>
  <c r="X275" i="23" s="1"/>
  <c r="Y275" i="23" s="1"/>
  <c r="W148" i="23"/>
  <c r="X148" i="23" s="1"/>
  <c r="Y148" i="23" s="1"/>
  <c r="W377" i="23"/>
  <c r="X377" i="23" s="1"/>
  <c r="Y377" i="23" s="1"/>
  <c r="W269" i="23"/>
  <c r="X269" i="23" s="1"/>
  <c r="Y269" i="23" s="1"/>
  <c r="W309" i="23"/>
  <c r="X309" i="23" s="1"/>
  <c r="Y309" i="23" s="1"/>
  <c r="W92" i="23"/>
  <c r="X92" i="23" s="1"/>
  <c r="Y92" i="23" s="1"/>
  <c r="W210" i="23"/>
  <c r="X210" i="23" s="1"/>
  <c r="Y210" i="23" s="1"/>
  <c r="W144" i="23"/>
  <c r="X144" i="23" s="1"/>
  <c r="Y144" i="23" s="1"/>
  <c r="W255" i="23"/>
  <c r="X255" i="23" s="1"/>
  <c r="Y255" i="23" s="1"/>
  <c r="W263" i="23"/>
  <c r="X263" i="23" s="1"/>
  <c r="Y263" i="23" s="1"/>
  <c r="W239" i="23"/>
  <c r="X239" i="23" s="1"/>
  <c r="Y239" i="23" s="1"/>
  <c r="W163" i="23"/>
  <c r="X163" i="23" s="1"/>
  <c r="Y163" i="23" s="1"/>
  <c r="W165" i="23"/>
  <c r="X165" i="23" s="1"/>
  <c r="Y165" i="23" s="1"/>
  <c r="W24" i="23"/>
  <c r="X24" i="23" s="1"/>
  <c r="Y24" i="23" s="1"/>
  <c r="W307" i="23"/>
  <c r="X307" i="23" s="1"/>
  <c r="Y307" i="23" s="1"/>
  <c r="W90" i="23"/>
  <c r="X90" i="23" s="1"/>
  <c r="Y90" i="23" s="1"/>
  <c r="W303" i="23"/>
  <c r="X303" i="23" s="1"/>
  <c r="Y303" i="23" s="1"/>
  <c r="W153" i="23"/>
  <c r="X153" i="23" s="1"/>
  <c r="Y153" i="23" s="1"/>
  <c r="W290" i="23"/>
  <c r="X290" i="23" s="1"/>
  <c r="Y290" i="23" s="1"/>
  <c r="W195" i="23"/>
  <c r="X195" i="23" s="1"/>
  <c r="Y195" i="23" s="1"/>
  <c r="W291" i="23"/>
  <c r="X291" i="23" s="1"/>
  <c r="Y291" i="23" s="1"/>
  <c r="W88" i="23"/>
  <c r="X88" i="23" s="1"/>
  <c r="Y88" i="23" s="1"/>
  <c r="W44" i="23"/>
  <c r="X44" i="23" s="1"/>
  <c r="Y44" i="23" s="1"/>
  <c r="W49" i="23"/>
  <c r="X49" i="23" s="1"/>
  <c r="Y49" i="23" s="1"/>
  <c r="W73" i="23"/>
  <c r="X73" i="23" s="1"/>
  <c r="Y73" i="23" s="1"/>
  <c r="W80" i="23"/>
  <c r="X80" i="23" s="1"/>
  <c r="Y80" i="23" s="1"/>
  <c r="W63" i="23"/>
  <c r="X63" i="23" s="1"/>
  <c r="Y63" i="23" s="1"/>
  <c r="W86" i="23"/>
  <c r="X86" i="23" s="1"/>
  <c r="Y86" i="23" s="1"/>
  <c r="W211" i="23"/>
  <c r="X211" i="23" s="1"/>
  <c r="Y211" i="23" s="1"/>
  <c r="W321" i="23"/>
  <c r="X321" i="23" s="1"/>
  <c r="Y321" i="23" s="1"/>
  <c r="W85" i="23"/>
  <c r="X85" i="23" s="1"/>
  <c r="Y85" i="23" s="1"/>
  <c r="W155" i="23"/>
  <c r="X155" i="23" s="1"/>
  <c r="Y155" i="23" s="1"/>
  <c r="W83" i="23"/>
  <c r="X83" i="23" s="1"/>
  <c r="Y83" i="23" s="1"/>
  <c r="W61" i="23"/>
  <c r="X61" i="23" s="1"/>
  <c r="Y61" i="23" s="1"/>
  <c r="W332" i="23"/>
  <c r="X332" i="23" s="1"/>
  <c r="Y332" i="23" s="1"/>
  <c r="W108" i="23"/>
  <c r="X108" i="23" s="1"/>
  <c r="Y108" i="23" s="1"/>
  <c r="W132" i="23"/>
  <c r="X132" i="23" s="1"/>
  <c r="Y132" i="23" s="1"/>
  <c r="W172" i="23"/>
  <c r="X172" i="23" s="1"/>
  <c r="Y172" i="23" s="1"/>
  <c r="W338" i="23"/>
  <c r="X338" i="23" s="1"/>
  <c r="Y338" i="23" s="1"/>
  <c r="W26" i="23"/>
  <c r="X26" i="23" s="1"/>
  <c r="Y26" i="23" s="1"/>
  <c r="W317" i="23"/>
  <c r="X317" i="23" s="1"/>
  <c r="Y317" i="23" s="1"/>
  <c r="W318" i="23"/>
  <c r="X318" i="23" s="1"/>
  <c r="Y318" i="23" s="1"/>
  <c r="W145" i="23"/>
  <c r="X145" i="23" s="1"/>
  <c r="Y145" i="23" s="1"/>
  <c r="W341" i="23"/>
  <c r="X341" i="23" s="1"/>
  <c r="Y341" i="23" s="1"/>
  <c r="W57" i="23"/>
  <c r="X57" i="23" s="1"/>
  <c r="Y57" i="23" s="1"/>
  <c r="W273" i="23"/>
  <c r="X273" i="23" s="1"/>
  <c r="Y273" i="23" s="1"/>
  <c r="W300" i="23"/>
  <c r="X300" i="23" s="1"/>
  <c r="Y300" i="23" s="1"/>
  <c r="W187" i="23"/>
  <c r="X187" i="23" s="1"/>
  <c r="Y187" i="23" s="1"/>
  <c r="W342" i="23"/>
  <c r="X342" i="23" s="1"/>
  <c r="Y342" i="23" s="1"/>
  <c r="W68" i="23"/>
  <c r="X68" i="23" s="1"/>
  <c r="Y68" i="23" s="1"/>
  <c r="W21" i="23"/>
  <c r="X21" i="23" s="1"/>
  <c r="Y21" i="23" s="1"/>
  <c r="W225" i="23"/>
  <c r="X225" i="23" s="1"/>
  <c r="Y225" i="23" s="1"/>
  <c r="W265" i="23"/>
  <c r="X265" i="23" s="1"/>
  <c r="Y265" i="23" s="1"/>
  <c r="W228" i="23"/>
  <c r="X228" i="23" s="1"/>
  <c r="Y228" i="23" s="1"/>
  <c r="W351" i="23"/>
  <c r="X351" i="23" s="1"/>
  <c r="Y351" i="23" s="1"/>
  <c r="W136" i="23"/>
  <c r="X136" i="23" s="1"/>
  <c r="Y136" i="23" s="1"/>
  <c r="W117" i="23"/>
  <c r="X117" i="23" s="1"/>
  <c r="Y117" i="23" s="1"/>
  <c r="W166" i="23"/>
  <c r="X166" i="23" s="1"/>
  <c r="Y166" i="23" s="1"/>
  <c r="W128" i="23"/>
  <c r="X128" i="23" s="1"/>
  <c r="Y128" i="23" s="1"/>
  <c r="W331" i="23"/>
  <c r="X331" i="23" s="1"/>
  <c r="Y331" i="23" s="1"/>
  <c r="W20" i="23"/>
  <c r="X20" i="23" s="1"/>
  <c r="Y20" i="23" s="1"/>
  <c r="W260" i="23"/>
  <c r="X260" i="23" s="1"/>
  <c r="Y260" i="23" s="1"/>
  <c r="W45" i="23"/>
  <c r="X45" i="23" s="1"/>
  <c r="Y45" i="23" s="1"/>
  <c r="W135" i="23"/>
  <c r="X135" i="23" s="1"/>
  <c r="Y135" i="23" s="1"/>
  <c r="W42" i="23"/>
  <c r="X42" i="23" s="1"/>
  <c r="Y42" i="23" s="1"/>
  <c r="W180" i="23"/>
  <c r="X180" i="23" s="1"/>
  <c r="Y180" i="23" s="1"/>
  <c r="W62" i="23"/>
  <c r="X62" i="23" s="1"/>
  <c r="Y62" i="23" s="1"/>
  <c r="W308" i="23"/>
  <c r="X308" i="23" s="1"/>
  <c r="Y308" i="23" s="1"/>
  <c r="W294" i="23"/>
  <c r="X294" i="23" s="1"/>
  <c r="Y294" i="23" s="1"/>
  <c r="W143" i="23"/>
  <c r="X143" i="23" s="1"/>
  <c r="Y143" i="23" s="1"/>
  <c r="W264" i="23"/>
  <c r="X264" i="23" s="1"/>
  <c r="Y264" i="23" s="1"/>
  <c r="W244" i="23"/>
  <c r="X244" i="23" s="1"/>
  <c r="Y244" i="23" s="1"/>
  <c r="W157" i="23"/>
  <c r="X157" i="23" s="1"/>
  <c r="Y157" i="23" s="1"/>
  <c r="W203" i="23"/>
  <c r="X203" i="23" s="1"/>
  <c r="Y203" i="23" s="1"/>
  <c r="W34" i="23"/>
  <c r="X34" i="23" s="1"/>
  <c r="Y34" i="23" s="1"/>
  <c r="W216" i="23"/>
  <c r="X216" i="23" s="1"/>
  <c r="Y216" i="23" s="1"/>
  <c r="W334" i="23"/>
  <c r="X334" i="23" s="1"/>
  <c r="Y334" i="23" s="1"/>
  <c r="W215" i="23"/>
  <c r="X215" i="23" s="1"/>
  <c r="Y215" i="23" s="1"/>
  <c r="W177" i="23"/>
  <c r="X177" i="23" s="1"/>
  <c r="Y177" i="23" s="1"/>
  <c r="W179" i="23"/>
  <c r="X179" i="23" s="1"/>
  <c r="Y179" i="23" s="1"/>
  <c r="W164" i="23"/>
  <c r="X164" i="23" s="1"/>
  <c r="Y164" i="23" s="1"/>
  <c r="W272" i="23"/>
  <c r="X272" i="23" s="1"/>
  <c r="Y272" i="23" s="1"/>
  <c r="W35" i="23"/>
  <c r="X35" i="23" s="1"/>
  <c r="Y35" i="23" s="1"/>
  <c r="W77" i="23"/>
  <c r="X77" i="23" s="1"/>
  <c r="Y77" i="23" s="1"/>
  <c r="W131" i="23"/>
  <c r="X131" i="23" s="1"/>
  <c r="Y131" i="23" s="1"/>
  <c r="W390" i="23"/>
  <c r="X390" i="23" s="1"/>
  <c r="Y390" i="23" s="1"/>
  <c r="W123" i="23"/>
  <c r="X123" i="23" s="1"/>
  <c r="Y123" i="23" s="1"/>
  <c r="W310" i="23"/>
  <c r="X310" i="23" s="1"/>
  <c r="Y310" i="23" s="1"/>
  <c r="W380" i="23"/>
  <c r="X380" i="23" s="1"/>
  <c r="Y380" i="23" s="1"/>
  <c r="W119" i="23"/>
  <c r="X119" i="23" s="1"/>
  <c r="Y119" i="23" s="1"/>
  <c r="W313" i="23"/>
  <c r="X313" i="23" s="1"/>
  <c r="Y313" i="23" s="1"/>
  <c r="W33" i="23"/>
  <c r="X33" i="23" s="1"/>
  <c r="Y33" i="23" s="1"/>
  <c r="W296" i="23"/>
  <c r="X296" i="23" s="1"/>
  <c r="Y296" i="23" s="1"/>
  <c r="W345" i="23"/>
  <c r="X345" i="23" s="1"/>
  <c r="Y345" i="23" s="1"/>
  <c r="W376" i="23"/>
  <c r="X376" i="23" s="1"/>
  <c r="Y376" i="23" s="1"/>
  <c r="W355" i="23"/>
  <c r="X355" i="23" s="1"/>
  <c r="Y355" i="23" s="1"/>
  <c r="W288" i="23"/>
  <c r="X288" i="23" s="1"/>
  <c r="Y288" i="23" s="1"/>
  <c r="W160" i="23"/>
  <c r="X160" i="23" s="1"/>
  <c r="Y160" i="23" s="1"/>
  <c r="W22" i="23"/>
  <c r="X22" i="23" s="1"/>
  <c r="Y22" i="23" s="1"/>
  <c r="W206" i="23"/>
  <c r="X206" i="23" s="1"/>
  <c r="Y206" i="23" s="1"/>
  <c r="W233" i="23"/>
  <c r="X233" i="23" s="1"/>
  <c r="Y233" i="23" s="1"/>
  <c r="W298" i="23"/>
  <c r="X298" i="23" s="1"/>
  <c r="Y298" i="23" s="1"/>
  <c r="W229" i="23"/>
  <c r="X229" i="23" s="1"/>
  <c r="Y229" i="23" s="1"/>
  <c r="W243" i="23"/>
  <c r="X243" i="23" s="1"/>
  <c r="Y243" i="23" s="1"/>
  <c r="W130" i="23"/>
  <c r="X130" i="23" s="1"/>
  <c r="Y130" i="23" s="1"/>
  <c r="W339" i="23"/>
  <c r="X339" i="23" s="1"/>
  <c r="Y339" i="23" s="1"/>
  <c r="W360" i="23"/>
  <c r="X360" i="23" s="1"/>
  <c r="Y360" i="23" s="1"/>
  <c r="X19" i="23"/>
  <c r="W188" i="23"/>
  <c r="X188" i="23" s="1"/>
  <c r="Y188" i="23" s="1"/>
  <c r="W114" i="23"/>
  <c r="X114" i="23" s="1"/>
  <c r="Y114" i="23" s="1"/>
  <c r="W353" i="23"/>
  <c r="X353" i="23" s="1"/>
  <c r="Y353" i="23" s="1"/>
  <c r="W190" i="23"/>
  <c r="X190" i="23" s="1"/>
  <c r="Y190" i="23" s="1"/>
  <c r="W327" i="23"/>
  <c r="X327" i="23" s="1"/>
  <c r="Y327" i="23" s="1"/>
  <c r="W101" i="23"/>
  <c r="X101" i="23" s="1"/>
  <c r="Y101" i="23" s="1"/>
  <c r="W81" i="23"/>
  <c r="X81" i="23" s="1"/>
  <c r="Y81" i="23" s="1"/>
  <c r="W370" i="23"/>
  <c r="X370" i="23" s="1"/>
  <c r="Y370" i="23" s="1"/>
  <c r="W259" i="23"/>
  <c r="X259" i="23" s="1"/>
  <c r="Y259" i="23" s="1"/>
  <c r="W219" i="23"/>
  <c r="X219" i="23" s="1"/>
  <c r="Y219" i="23" s="1"/>
  <c r="W337" i="23"/>
  <c r="X337" i="23" s="1"/>
  <c r="Y337" i="23" s="1"/>
  <c r="W71" i="23"/>
  <c r="X71" i="23" s="1"/>
  <c r="Y71" i="23" s="1"/>
  <c r="W184" i="23"/>
  <c r="X184" i="23" s="1"/>
  <c r="Y184" i="23" s="1"/>
  <c r="W106" i="23"/>
  <c r="X106" i="23" s="1"/>
  <c r="Y106" i="23" s="1"/>
  <c r="W27" i="23"/>
  <c r="X27" i="23" s="1"/>
  <c r="Y27" i="23" s="1"/>
  <c r="W64" i="23"/>
  <c r="X64" i="23" s="1"/>
  <c r="Y64" i="23" s="1"/>
  <c r="W389" i="23"/>
  <c r="X389" i="23" s="1"/>
  <c r="Y389" i="23" s="1"/>
  <c r="W189" i="23"/>
  <c r="X189" i="23" s="1"/>
  <c r="Y189" i="23" s="1"/>
  <c r="W40" i="23"/>
  <c r="X40" i="23" s="1"/>
  <c r="Y40" i="23" s="1"/>
  <c r="W191" i="23"/>
  <c r="X191" i="23" s="1"/>
  <c r="Y191" i="23" s="1"/>
  <c r="W100" i="23"/>
  <c r="X100" i="23" s="1"/>
  <c r="Y100" i="23" s="1"/>
  <c r="W383" i="23"/>
  <c r="X383" i="23" s="1"/>
  <c r="Y383" i="23" s="1"/>
  <c r="W154" i="23"/>
  <c r="X154" i="23" s="1"/>
  <c r="Y154" i="23" s="1"/>
  <c r="W365" i="23"/>
  <c r="X365" i="23" s="1"/>
  <c r="Y365" i="23" s="1"/>
  <c r="W193" i="23"/>
  <c r="X193" i="23" s="1"/>
  <c r="Y193" i="23" s="1"/>
  <c r="W315" i="23"/>
  <c r="X315" i="23" s="1"/>
  <c r="Y315" i="23" s="1"/>
  <c r="W142" i="23"/>
  <c r="X142" i="23" s="1"/>
  <c r="Y142" i="23" s="1"/>
  <c r="W359" i="23"/>
  <c r="X359" i="23" s="1"/>
  <c r="Y359" i="23" s="1"/>
  <c r="W28" i="23"/>
  <c r="X28" i="23" s="1"/>
  <c r="Y28" i="23" s="1"/>
  <c r="W363" i="23"/>
  <c r="X363" i="23" s="1"/>
  <c r="Y363" i="23" s="1"/>
  <c r="W367" i="23"/>
  <c r="X367" i="23" s="1"/>
  <c r="Y367" i="23" s="1"/>
  <c r="W253" i="23"/>
  <c r="X253" i="23" s="1"/>
  <c r="Y253" i="23" s="1"/>
  <c r="W349" i="23"/>
  <c r="X349" i="23" s="1"/>
  <c r="Y349" i="23" s="1"/>
  <c r="W261" i="23"/>
  <c r="X261" i="23" s="1"/>
  <c r="Y261" i="23" s="1"/>
  <c r="W174" i="23"/>
  <c r="X174" i="23" s="1"/>
  <c r="Y174" i="23" s="1"/>
  <c r="W79" i="23"/>
  <c r="X79" i="23" s="1"/>
  <c r="Y79" i="23" s="1"/>
  <c r="W186" i="23"/>
  <c r="X186" i="23" s="1"/>
  <c r="Y186" i="23" s="1"/>
  <c r="W183" i="23"/>
  <c r="X183" i="23" s="1"/>
  <c r="Y183" i="23" s="1"/>
  <c r="W354" i="23"/>
  <c r="X354" i="23" s="1"/>
  <c r="Y354" i="23" s="1"/>
  <c r="W95" i="23"/>
  <c r="X95" i="23" s="1"/>
  <c r="Y95" i="23" s="1"/>
  <c r="W227" i="23"/>
  <c r="X227" i="23" s="1"/>
  <c r="Y227" i="23" s="1"/>
  <c r="W185" i="23"/>
  <c r="X185" i="23" s="1"/>
  <c r="Y185" i="23" s="1"/>
  <c r="W262" i="23"/>
  <c r="X262" i="23" s="1"/>
  <c r="Y262" i="23" s="1"/>
  <c r="W65" i="23"/>
  <c r="X65" i="23" s="1"/>
  <c r="Y65" i="23" s="1"/>
  <c r="W386" i="23"/>
  <c r="X386" i="23" s="1"/>
  <c r="Y386" i="23" s="1"/>
  <c r="W231" i="23"/>
  <c r="X231" i="23" s="1"/>
  <c r="Y231" i="23" s="1"/>
  <c r="W23" i="23"/>
  <c r="X23" i="23" s="1"/>
  <c r="Y23" i="23" s="1"/>
  <c r="W91" i="23"/>
  <c r="X91" i="23" s="1"/>
  <c r="Y91" i="23" s="1"/>
  <c r="W75" i="23"/>
  <c r="X75" i="23" s="1"/>
  <c r="Y75" i="23" s="1"/>
  <c r="W201" i="23"/>
  <c r="X201" i="23" s="1"/>
  <c r="Y201" i="23" s="1"/>
  <c r="W212" i="23"/>
  <c r="X212" i="23" s="1"/>
  <c r="Y212" i="23" s="1"/>
  <c r="W277" i="23"/>
  <c r="X277" i="23" s="1"/>
  <c r="Y277" i="23" s="1"/>
  <c r="W168" i="23"/>
  <c r="X168" i="23" s="1"/>
  <c r="Y168" i="23" s="1"/>
  <c r="W335" i="23"/>
  <c r="X335" i="23" s="1"/>
  <c r="Y335" i="23" s="1"/>
  <c r="W109" i="23"/>
  <c r="X109" i="23" s="1"/>
  <c r="Y109" i="23" s="1"/>
  <c r="W304" i="23"/>
  <c r="X304" i="23" s="1"/>
  <c r="Y304" i="23" s="1"/>
  <c r="W223" i="23"/>
  <c r="X223" i="23" s="1"/>
  <c r="Y223" i="23" s="1"/>
  <c r="W246" i="23"/>
  <c r="X246" i="23" s="1"/>
  <c r="Y246" i="23" s="1"/>
  <c r="W200" i="23"/>
  <c r="X200" i="23" s="1"/>
  <c r="Y200" i="23" s="1"/>
  <c r="W152" i="23"/>
  <c r="X152" i="23" s="1"/>
  <c r="Y152" i="23" s="1"/>
  <c r="W302" i="23"/>
  <c r="X302" i="23" s="1"/>
  <c r="Y302" i="23" s="1"/>
  <c r="W31" i="23"/>
  <c r="X31" i="23" s="1"/>
  <c r="Y31" i="23" s="1"/>
  <c r="W87" i="23"/>
  <c r="X87" i="23" s="1"/>
  <c r="Y87" i="23" s="1"/>
  <c r="W299" i="23"/>
  <c r="X299" i="23" s="1"/>
  <c r="Y299" i="23" s="1"/>
  <c r="W236" i="23"/>
  <c r="X236" i="23" s="1"/>
  <c r="Y236" i="23" s="1"/>
  <c r="W118" i="23"/>
  <c r="X118" i="23" s="1"/>
  <c r="Y118" i="23" s="1"/>
  <c r="W84" i="23"/>
  <c r="X84" i="23" s="1"/>
  <c r="Y84" i="23" s="1"/>
  <c r="W110" i="23"/>
  <c r="X110" i="23" s="1"/>
  <c r="Y110" i="23" s="1"/>
  <c r="W268" i="23"/>
  <c r="X268" i="23" s="1"/>
  <c r="Y268" i="23" s="1"/>
  <c r="W39" i="23"/>
  <c r="X39" i="23" s="1"/>
  <c r="Y39" i="23" s="1"/>
  <c r="W280" i="23"/>
  <c r="X280" i="23" s="1"/>
  <c r="Y280" i="23" s="1"/>
  <c r="W221" i="23"/>
  <c r="X221" i="23" s="1"/>
  <c r="Y221" i="23" s="1"/>
  <c r="W111" i="23"/>
  <c r="X111" i="23" s="1"/>
  <c r="Y111" i="23" s="1"/>
  <c r="W89" i="23"/>
  <c r="X89" i="23" s="1"/>
  <c r="Y89" i="23" s="1"/>
  <c r="W364" i="23"/>
  <c r="X364" i="23" s="1"/>
  <c r="Y364" i="23" s="1"/>
  <c r="W202" i="23"/>
  <c r="X202" i="23" s="1"/>
  <c r="Y202" i="23" s="1"/>
  <c r="W297" i="23"/>
  <c r="X297" i="23" s="1"/>
  <c r="Y297" i="23" s="1"/>
  <c r="W267" i="23"/>
  <c r="X267" i="23" s="1"/>
  <c r="Y267" i="23" s="1"/>
  <c r="W121" i="23"/>
  <c r="X121" i="23" s="1"/>
  <c r="Y121" i="23" s="1"/>
  <c r="W295" i="23"/>
  <c r="X295" i="23" s="1"/>
  <c r="Y295" i="23" s="1"/>
  <c r="W373" i="23"/>
  <c r="X373" i="23" s="1"/>
  <c r="Y373" i="23" s="1"/>
  <c r="W209" i="23"/>
  <c r="X209" i="23" s="1"/>
  <c r="Y209" i="23" s="1"/>
  <c r="W48" i="23"/>
  <c r="X48" i="23" s="1"/>
  <c r="Y48" i="23" s="1"/>
  <c r="W241" i="23"/>
  <c r="X241" i="23" s="1"/>
  <c r="Y241" i="23" s="1"/>
  <c r="W284" i="23"/>
  <c r="X284" i="23" s="1"/>
  <c r="Y284" i="23" s="1"/>
  <c r="W208" i="23"/>
  <c r="X208" i="23" s="1"/>
  <c r="Y208" i="23" s="1"/>
  <c r="W93" i="23"/>
  <c r="X93" i="23" s="1"/>
  <c r="Y93" i="23" s="1"/>
  <c r="W137" i="23"/>
  <c r="X137" i="23" s="1"/>
  <c r="Y137" i="23" s="1"/>
  <c r="W47" i="23"/>
  <c r="X47" i="23" s="1"/>
  <c r="Y47" i="23" s="1"/>
  <c r="W138" i="23"/>
  <c r="X138" i="23" s="1"/>
  <c r="Y138" i="23" s="1"/>
  <c r="W72" i="23"/>
  <c r="X72" i="23" s="1"/>
  <c r="Y72" i="23" s="1"/>
  <c r="W362" i="23"/>
  <c r="X362" i="23" s="1"/>
  <c r="Y362" i="23" s="1"/>
  <c r="W161" i="23"/>
  <c r="X161" i="23" s="1"/>
  <c r="Y161" i="23" s="1"/>
  <c r="W214" i="23"/>
  <c r="X214" i="23" s="1"/>
  <c r="Y214" i="23" s="1"/>
  <c r="W74" i="23"/>
  <c r="X74" i="23" s="1"/>
  <c r="Y74" i="23" s="1"/>
  <c r="W330" i="23"/>
  <c r="X330" i="23" s="1"/>
  <c r="Y330" i="23" s="1"/>
  <c r="W182" i="23"/>
  <c r="X182" i="23" s="1"/>
  <c r="Y182" i="23" s="1"/>
  <c r="W340" i="23"/>
  <c r="X340" i="23" s="1"/>
  <c r="Y340" i="23" s="1"/>
  <c r="W46" i="23"/>
  <c r="X46" i="23" s="1"/>
  <c r="Y46" i="23" s="1"/>
  <c r="W170" i="23"/>
  <c r="X170" i="23" s="1"/>
  <c r="Y170" i="23" s="1"/>
  <c r="W96" i="23"/>
  <c r="X96" i="23" s="1"/>
  <c r="Y96" i="23" s="1"/>
  <c r="W199" i="23"/>
  <c r="X199" i="23" s="1"/>
  <c r="Y199" i="23" s="1"/>
  <c r="W358" i="23"/>
  <c r="X358" i="23" s="1"/>
  <c r="Y358" i="23" s="1"/>
  <c r="W103" i="23"/>
  <c r="X103" i="23" s="1"/>
  <c r="Y103" i="23" s="1"/>
  <c r="W385" i="23"/>
  <c r="X385" i="23" s="1"/>
  <c r="Y385" i="23" s="1"/>
  <c r="W129" i="23"/>
  <c r="X129" i="23" s="1"/>
  <c r="Y129" i="23" s="1"/>
  <c r="W375" i="23"/>
  <c r="X375" i="23" s="1"/>
  <c r="Y375" i="23" s="1"/>
  <c r="W306" i="23"/>
  <c r="X306" i="23" s="1"/>
  <c r="Y306" i="23" s="1"/>
  <c r="W226" i="23"/>
  <c r="X226" i="23" s="1"/>
  <c r="Y226" i="23" s="1"/>
  <c r="W113" i="23"/>
  <c r="X113" i="23" s="1"/>
  <c r="Y113" i="23" s="1"/>
  <c r="W99" i="23"/>
  <c r="X99" i="23" s="1"/>
  <c r="Y99" i="23" s="1"/>
  <c r="W388" i="23"/>
  <c r="X388" i="23" s="1"/>
  <c r="Y388" i="23" s="1"/>
  <c r="W53" i="23"/>
  <c r="X53" i="23" s="1"/>
  <c r="Y53" i="23" s="1"/>
  <c r="W251" i="23"/>
  <c r="X251" i="23" s="1"/>
  <c r="Y251" i="23" s="1"/>
  <c r="W292" i="23"/>
  <c r="X292" i="23" s="1"/>
  <c r="Y292" i="23" s="1"/>
  <c r="W194" i="23"/>
  <c r="X194" i="23" s="1"/>
  <c r="Y194" i="23" s="1"/>
  <c r="W237" i="23"/>
  <c r="X237" i="23" s="1"/>
  <c r="Y237" i="23" s="1"/>
  <c r="W107" i="23"/>
  <c r="X107" i="23" s="1"/>
  <c r="Y107" i="23" s="1"/>
  <c r="W104" i="23"/>
  <c r="X104" i="23" s="1"/>
  <c r="Y104" i="23" s="1"/>
  <c r="W343" i="23"/>
  <c r="X343" i="23" s="1"/>
  <c r="Y343" i="23" s="1"/>
  <c r="W176" i="23"/>
  <c r="X176" i="23" s="1"/>
  <c r="Y176" i="23" s="1"/>
  <c r="W283" i="23"/>
  <c r="X283" i="23" s="1"/>
  <c r="Y283" i="23" s="1"/>
  <c r="W122" i="23"/>
  <c r="X122" i="23" s="1"/>
  <c r="Y122" i="23" s="1"/>
  <c r="W29" i="23"/>
  <c r="X29" i="23" s="1"/>
  <c r="Y29" i="23" s="1"/>
  <c r="W238" i="23"/>
  <c r="X238" i="23" s="1"/>
  <c r="Y238" i="23" s="1"/>
  <c r="W320" i="23"/>
  <c r="X320" i="23" s="1"/>
  <c r="Y320" i="23" s="1"/>
  <c r="W32" i="23"/>
  <c r="X32" i="23" s="1"/>
  <c r="Y32" i="23" s="1"/>
  <c r="W278" i="23"/>
  <c r="X278" i="23" s="1"/>
  <c r="Y278" i="23" s="1"/>
  <c r="W270" i="23"/>
  <c r="X270" i="23" s="1"/>
  <c r="Y270" i="23" s="1"/>
  <c r="W41" i="23"/>
  <c r="X41" i="23" s="1"/>
  <c r="Y41" i="23" s="1"/>
  <c r="W287" i="23"/>
  <c r="X287" i="23" s="1"/>
  <c r="Y287" i="23" s="1"/>
  <c r="W305" i="23"/>
  <c r="X305" i="23" s="1"/>
  <c r="Y305" i="23" s="1"/>
  <c r="W245" i="23"/>
  <c r="X245" i="23" s="1"/>
  <c r="Y245" i="23" s="1"/>
  <c r="W379" i="23"/>
  <c r="X379" i="23" s="1"/>
  <c r="Y379" i="23" s="1"/>
  <c r="W328" i="23"/>
  <c r="X328" i="23" s="1"/>
  <c r="Y328" i="23" s="1"/>
  <c r="W348" i="23"/>
  <c r="X348" i="23" s="1"/>
  <c r="Y348" i="23" s="1"/>
  <c r="W133" i="23"/>
  <c r="X133" i="23" s="1"/>
  <c r="Y133" i="23" s="1"/>
  <c r="W140" i="23"/>
  <c r="X140" i="23" s="1"/>
  <c r="Y140" i="23" s="1"/>
  <c r="W51" i="23"/>
  <c r="X51" i="23" s="1"/>
  <c r="Y51" i="23" s="1"/>
  <c r="W38" i="23"/>
  <c r="X38" i="23" s="1"/>
  <c r="Y38" i="23" s="1"/>
  <c r="W384" i="23"/>
  <c r="X384" i="23" s="1"/>
  <c r="Y384" i="23" s="1"/>
  <c r="W150" i="23"/>
  <c r="X150" i="23" s="1"/>
  <c r="Y150" i="23" s="1"/>
  <c r="W126" i="23"/>
  <c r="X126" i="23" s="1"/>
  <c r="Y126" i="23" s="1"/>
  <c r="W357" i="23"/>
  <c r="X357" i="23" s="1"/>
  <c r="Y357" i="23" s="1"/>
  <c r="W175" i="23"/>
  <c r="X175" i="23" s="1"/>
  <c r="Y175" i="23" s="1"/>
  <c r="W266" i="23"/>
  <c r="X266" i="23" s="1"/>
  <c r="Y266" i="23" s="1"/>
  <c r="W371" i="23"/>
  <c r="X371" i="23" s="1"/>
  <c r="Y371" i="23" s="1"/>
  <c r="W60" i="23"/>
  <c r="X60" i="23" s="1"/>
  <c r="Y60" i="23" s="1"/>
  <c r="W271" i="23"/>
  <c r="X271" i="23" s="1"/>
  <c r="Y271" i="23" s="1"/>
  <c r="W37" i="23"/>
  <c r="X37" i="23" s="1"/>
  <c r="Y37" i="23" s="1"/>
  <c r="W282" i="23"/>
  <c r="X282" i="23" s="1"/>
  <c r="Y282" i="23" s="1"/>
  <c r="W55" i="23"/>
  <c r="X55" i="23" s="1"/>
  <c r="Y55" i="23" s="1"/>
  <c r="W319" i="23"/>
  <c r="X319" i="23" s="1"/>
  <c r="Y319" i="23" s="1"/>
  <c r="W59" i="23"/>
  <c r="X59" i="23" s="1"/>
  <c r="Y59" i="23" s="1"/>
  <c r="W115" i="23"/>
  <c r="X115" i="23" s="1"/>
  <c r="Y115" i="23" s="1"/>
  <c r="W374" i="23"/>
  <c r="X374" i="23" s="1"/>
  <c r="Y374" i="23" s="1"/>
  <c r="W286" i="23"/>
  <c r="X286" i="23" s="1"/>
  <c r="Y286" i="23" s="1"/>
  <c r="W156" i="23"/>
  <c r="X156" i="23" s="1"/>
  <c r="Y156" i="23" s="1"/>
  <c r="W54" i="23"/>
  <c r="X54" i="23" s="1"/>
  <c r="Y54" i="23" s="1"/>
  <c r="W274" i="23"/>
  <c r="X274" i="23" s="1"/>
  <c r="Y274" i="23" s="1"/>
  <c r="W98" i="23"/>
  <c r="X98" i="23" s="1"/>
  <c r="Y98" i="23" s="1"/>
  <c r="W120" i="23"/>
  <c r="X120" i="23" s="1"/>
  <c r="Y120" i="23" s="1"/>
  <c r="W329" i="23"/>
  <c r="X329" i="23" s="1"/>
  <c r="Y329" i="23" s="1"/>
  <c r="W167" i="23"/>
  <c r="X167" i="23" s="1"/>
  <c r="Y167" i="23" s="1"/>
  <c r="W30" i="23"/>
  <c r="X30" i="23" s="1"/>
  <c r="Y30" i="23" s="1"/>
  <c r="W248" i="23"/>
  <c r="X248" i="23" s="1"/>
  <c r="Y248" i="23" s="1"/>
  <c r="W356" i="23"/>
  <c r="X356" i="23" s="1"/>
  <c r="Y356" i="23" s="1"/>
  <c r="W149" i="23"/>
  <c r="X149" i="23" s="1"/>
  <c r="Y149" i="23" s="1"/>
  <c r="W82" i="23"/>
  <c r="X82" i="23" s="1"/>
  <c r="Y82" i="23" s="1"/>
  <c r="W276" i="23"/>
  <c r="X276" i="23" s="1"/>
  <c r="Y276" i="23" s="1"/>
  <c r="W366" i="23"/>
  <c r="X366" i="23" s="1"/>
  <c r="Y366" i="23" s="1"/>
  <c r="W218" i="23"/>
  <c r="X218" i="23" s="1"/>
  <c r="Y218" i="23" s="1"/>
  <c r="W213" i="23"/>
  <c r="X213" i="23" s="1"/>
  <c r="Y213" i="23" s="1"/>
  <c r="W301" i="23"/>
  <c r="X301" i="23" s="1"/>
  <c r="Y301" i="23" s="1"/>
  <c r="W196" i="23"/>
  <c r="X196" i="23" s="1"/>
  <c r="Y196" i="23" s="1"/>
  <c r="W311" i="23"/>
  <c r="X311" i="23" s="1"/>
  <c r="Y311" i="23" s="1"/>
  <c r="W235" i="23"/>
  <c r="X235" i="23" s="1"/>
  <c r="Y235" i="23" s="1"/>
  <c r="W323" i="23"/>
  <c r="X323" i="23" s="1"/>
  <c r="Y323" i="23" s="1"/>
  <c r="W344" i="23"/>
  <c r="X344" i="23" s="1"/>
  <c r="Y344" i="23" s="1"/>
  <c r="W204" i="23"/>
  <c r="X204" i="23" s="1"/>
  <c r="Y204" i="23" s="1"/>
  <c r="W207" i="23"/>
  <c r="X207" i="23" s="1"/>
  <c r="Y207" i="23" s="1"/>
  <c r="W169" i="23"/>
  <c r="X169" i="23" s="1"/>
  <c r="Y169" i="23" s="1"/>
  <c r="W181" i="23"/>
  <c r="X181" i="23" s="1"/>
  <c r="Y181" i="23" s="1"/>
  <c r="W94" i="23"/>
  <c r="X94" i="23" s="1"/>
  <c r="Y94" i="23" s="1"/>
  <c r="W162" i="23"/>
  <c r="X162" i="23" s="1"/>
  <c r="Y162" i="23" s="1"/>
  <c r="U3" i="23" l="1"/>
  <c r="U5" i="23"/>
  <c r="U4" i="23"/>
  <c r="M8" i="14"/>
  <c r="Z11" i="23"/>
  <c r="Z8" i="23"/>
  <c r="Z9" i="23"/>
  <c r="Z10" i="23"/>
  <c r="N9" i="14"/>
  <c r="N11" i="14"/>
  <c r="N13" i="14"/>
  <c r="N15" i="14"/>
  <c r="N17" i="14"/>
  <c r="N19" i="14"/>
  <c r="N21" i="14"/>
  <c r="N23" i="14"/>
  <c r="O8" i="14"/>
  <c r="P11" i="14"/>
  <c r="P13" i="14"/>
  <c r="P17" i="14"/>
  <c r="P21" i="14"/>
  <c r="O9" i="14"/>
  <c r="O11" i="14"/>
  <c r="O13" i="14"/>
  <c r="O15" i="14"/>
  <c r="O17" i="14"/>
  <c r="O19" i="14"/>
  <c r="O21" i="14"/>
  <c r="O23" i="14"/>
  <c r="P8" i="14"/>
  <c r="P9" i="14"/>
  <c r="P15" i="14"/>
  <c r="P19" i="14"/>
  <c r="P23" i="14"/>
  <c r="M13" i="14"/>
  <c r="M23" i="14"/>
  <c r="M10" i="14"/>
  <c r="M12" i="14"/>
  <c r="M14" i="14"/>
  <c r="M16" i="14"/>
  <c r="M18" i="14"/>
  <c r="M20" i="14"/>
  <c r="M22" i="14"/>
  <c r="M24" i="14"/>
  <c r="P10" i="14"/>
  <c r="P14" i="14"/>
  <c r="P20" i="14"/>
  <c r="N10" i="14"/>
  <c r="N12" i="14"/>
  <c r="N14" i="14"/>
  <c r="N16" i="14"/>
  <c r="N18" i="14"/>
  <c r="N20" i="14"/>
  <c r="N22" i="14"/>
  <c r="N24" i="14"/>
  <c r="P12" i="14"/>
  <c r="P16" i="14"/>
  <c r="P22" i="14"/>
  <c r="M11" i="14"/>
  <c r="M17" i="14"/>
  <c r="M21" i="14"/>
  <c r="N8" i="14"/>
  <c r="O10" i="14"/>
  <c r="O12" i="14"/>
  <c r="O14" i="14"/>
  <c r="O16" i="14"/>
  <c r="O18" i="14"/>
  <c r="O20" i="14"/>
  <c r="O22" i="14"/>
  <c r="O24" i="14"/>
  <c r="M5" i="14"/>
  <c r="P18" i="14"/>
  <c r="P24" i="14"/>
  <c r="M9" i="14"/>
  <c r="M15" i="14"/>
  <c r="M19" i="14"/>
  <c r="Y19" i="23"/>
  <c r="H9" i="14"/>
  <c r="H8" i="14"/>
  <c r="H10" i="14"/>
  <c r="H11" i="14"/>
  <c r="Q13" i="14" l="1"/>
  <c r="Q17" i="14"/>
  <c r="Q15" i="14"/>
  <c r="Q21" i="14"/>
  <c r="Q14" i="14"/>
  <c r="Q19" i="14"/>
  <c r="N25" i="14"/>
  <c r="Q12" i="14"/>
  <c r="P25" i="14"/>
  <c r="Q10" i="14"/>
  <c r="M25" i="14"/>
  <c r="Q8" i="14"/>
  <c r="Q24" i="14"/>
  <c r="Q23" i="14"/>
  <c r="Q11" i="14"/>
  <c r="Q22" i="14"/>
  <c r="Q9" i="14"/>
  <c r="Q20" i="14"/>
  <c r="Q18" i="14"/>
  <c r="Q16" i="14"/>
  <c r="O25" i="14"/>
  <c r="I9" i="14"/>
  <c r="H7" i="14"/>
  <c r="G7" i="14" s="1"/>
  <c r="I8" i="14"/>
  <c r="I11" i="14"/>
  <c r="I10" i="14"/>
  <c r="Y12" i="23"/>
  <c r="AA12" i="23" s="1"/>
  <c r="AA8" i="23" l="1"/>
  <c r="G11" i="14"/>
  <c r="Q25" i="14"/>
  <c r="AA11" i="23"/>
  <c r="AA9" i="23"/>
  <c r="AA10" i="23"/>
  <c r="G10" i="14"/>
  <c r="G8" i="14"/>
  <c r="G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Rosandić Robert</author>
  </authors>
  <commentList>
    <comment ref="F3" authorId="0" shapeId="0" xr:uid="{C6E1E194-7A49-4F65-8CB4-1B33314E160C}">
      <text>
        <r>
          <rPr>
            <b/>
            <sz val="9"/>
            <color indexed="81"/>
            <rFont val="Tahoma"/>
            <family val="2"/>
            <charset val="238"/>
          </rPr>
          <t>Rosandić Robert:</t>
        </r>
        <r>
          <rPr>
            <sz val="9"/>
            <color indexed="81"/>
            <rFont val="Tahoma"/>
            <family val="2"/>
            <charset val="238"/>
          </rPr>
          <t xml:space="preserve">
No. of SeS ABOVE AVERAGE</t>
        </r>
      </text>
    </comment>
    <comment ref="I3" authorId="0" shapeId="0" xr:uid="{FE19DC8C-7446-489B-8E01-A410DFA972FE}">
      <text>
        <r>
          <rPr>
            <b/>
            <sz val="9"/>
            <color indexed="81"/>
            <rFont val="Tahoma"/>
            <family val="2"/>
            <charset val="238"/>
          </rPr>
          <t>Rosandić Robert:</t>
        </r>
        <r>
          <rPr>
            <sz val="9"/>
            <color indexed="81"/>
            <rFont val="Tahoma"/>
            <family val="2"/>
            <charset val="238"/>
          </rPr>
          <t xml:space="preserve">
No. of SeS ABOVE AVERAGE</t>
        </r>
      </text>
    </comment>
    <comment ref="L3" authorId="0" shapeId="0" xr:uid="{4C696471-5DCF-4233-8182-463340909E03}">
      <text>
        <r>
          <rPr>
            <b/>
            <sz val="9"/>
            <color indexed="81"/>
            <rFont val="Tahoma"/>
            <family val="2"/>
            <charset val="238"/>
          </rPr>
          <t>Rosandić Robert:</t>
        </r>
        <r>
          <rPr>
            <sz val="9"/>
            <color indexed="81"/>
            <rFont val="Tahoma"/>
            <family val="2"/>
            <charset val="238"/>
          </rPr>
          <t xml:space="preserve">
No. of SeS ABOVE AVERAGE</t>
        </r>
      </text>
    </comment>
    <comment ref="O3" authorId="0" shapeId="0" xr:uid="{848822F3-24AD-473B-AD2A-EF24FE1BE701}">
      <text>
        <r>
          <rPr>
            <b/>
            <sz val="9"/>
            <color indexed="81"/>
            <rFont val="Tahoma"/>
            <family val="2"/>
            <charset val="238"/>
          </rPr>
          <t>Rosandić Robert:</t>
        </r>
        <r>
          <rPr>
            <sz val="9"/>
            <color indexed="81"/>
            <rFont val="Tahoma"/>
            <family val="2"/>
            <charset val="238"/>
          </rPr>
          <t xml:space="preserve">
No. of SeS ABOVE AVERAGE</t>
        </r>
      </text>
    </comment>
    <comment ref="R3" authorId="0" shapeId="0" xr:uid="{C1128647-9E46-4C19-8F46-DD401C520143}">
      <text>
        <r>
          <rPr>
            <b/>
            <sz val="9"/>
            <color indexed="81"/>
            <rFont val="Tahoma"/>
            <family val="2"/>
            <charset val="238"/>
          </rPr>
          <t>Rosandić Robert:</t>
        </r>
        <r>
          <rPr>
            <sz val="9"/>
            <color indexed="81"/>
            <rFont val="Tahoma"/>
            <family val="2"/>
            <charset val="238"/>
          </rPr>
          <t xml:space="preserve">
No. of SeS ABOVE AVERAGE</t>
        </r>
      </text>
    </comment>
    <comment ref="U3" authorId="0" shapeId="0" xr:uid="{3FD30104-2B98-4B47-9442-ACE6E90BD58B}">
      <text>
        <r>
          <rPr>
            <b/>
            <sz val="9"/>
            <color indexed="81"/>
            <rFont val="Tahoma"/>
            <family val="2"/>
            <charset val="238"/>
          </rPr>
          <t>Rosandić Robert:</t>
        </r>
        <r>
          <rPr>
            <sz val="9"/>
            <color indexed="81"/>
            <rFont val="Tahoma"/>
            <family val="2"/>
            <charset val="238"/>
          </rPr>
          <t xml:space="preserve">
No. of SeS ABOVE AVERAGE</t>
        </r>
      </text>
    </comment>
    <comment ref="F5" authorId="0" shapeId="0" xr:uid="{7E2EC5D1-E8A0-44B7-B149-35B8EFEA71C7}">
      <text>
        <r>
          <rPr>
            <b/>
            <sz val="9"/>
            <color indexed="81"/>
            <rFont val="Tahoma"/>
            <family val="2"/>
            <charset val="238"/>
          </rPr>
          <t>Rosandić Robert:</t>
        </r>
        <r>
          <rPr>
            <sz val="9"/>
            <color indexed="81"/>
            <rFont val="Tahoma"/>
            <family val="2"/>
            <charset val="238"/>
          </rPr>
          <t xml:space="preserve">
No. of SeS BELOW AVERAGE</t>
        </r>
      </text>
    </comment>
    <comment ref="I5" authorId="0" shapeId="0" xr:uid="{0BA66D96-F313-4375-8C6A-4F6F35F4F3CD}">
      <text>
        <r>
          <rPr>
            <b/>
            <sz val="9"/>
            <color indexed="81"/>
            <rFont val="Tahoma"/>
            <family val="2"/>
            <charset val="238"/>
          </rPr>
          <t>Rosandić Robert:</t>
        </r>
        <r>
          <rPr>
            <sz val="9"/>
            <color indexed="81"/>
            <rFont val="Tahoma"/>
            <family val="2"/>
            <charset val="238"/>
          </rPr>
          <t xml:space="preserve">
No. of SeS BELOW AVERAGE</t>
        </r>
      </text>
    </comment>
    <comment ref="L5" authorId="0" shapeId="0" xr:uid="{4FABEC73-69C1-4823-9930-9D2FBCE90E04}">
      <text>
        <r>
          <rPr>
            <b/>
            <sz val="9"/>
            <color indexed="81"/>
            <rFont val="Tahoma"/>
            <family val="2"/>
            <charset val="238"/>
          </rPr>
          <t>Rosandić Robert:</t>
        </r>
        <r>
          <rPr>
            <sz val="9"/>
            <color indexed="81"/>
            <rFont val="Tahoma"/>
            <family val="2"/>
            <charset val="238"/>
          </rPr>
          <t xml:space="preserve">
No. of SeS BELOW AVERAGE</t>
        </r>
      </text>
    </comment>
    <comment ref="O5" authorId="0" shapeId="0" xr:uid="{5EAA3D11-71FB-48CE-A6DB-4CF1208496A2}">
      <text>
        <r>
          <rPr>
            <b/>
            <sz val="9"/>
            <color indexed="81"/>
            <rFont val="Tahoma"/>
            <family val="2"/>
            <charset val="238"/>
          </rPr>
          <t>Rosandić Robert:</t>
        </r>
        <r>
          <rPr>
            <sz val="9"/>
            <color indexed="81"/>
            <rFont val="Tahoma"/>
            <family val="2"/>
            <charset val="238"/>
          </rPr>
          <t xml:space="preserve">
No. of SeS BELOW AVERAGE</t>
        </r>
      </text>
    </comment>
    <comment ref="R5" authorId="0" shapeId="0" xr:uid="{39DA0D2C-0BF1-457B-B9EE-0B679A8A4DB2}">
      <text>
        <r>
          <rPr>
            <b/>
            <sz val="9"/>
            <color indexed="81"/>
            <rFont val="Tahoma"/>
            <family val="2"/>
            <charset val="238"/>
          </rPr>
          <t>Rosandić Robert:</t>
        </r>
        <r>
          <rPr>
            <sz val="9"/>
            <color indexed="81"/>
            <rFont val="Tahoma"/>
            <family val="2"/>
            <charset val="238"/>
          </rPr>
          <t xml:space="preserve">
No. of SeS BELOW AVERAGE</t>
        </r>
      </text>
    </comment>
    <comment ref="U5" authorId="0" shapeId="0" xr:uid="{36597738-E5B2-43E2-BBDC-690D22A403DD}">
      <text>
        <r>
          <rPr>
            <b/>
            <sz val="9"/>
            <color indexed="81"/>
            <rFont val="Tahoma"/>
            <family val="2"/>
            <charset val="238"/>
          </rPr>
          <t>Rosandić Robert:</t>
        </r>
        <r>
          <rPr>
            <sz val="9"/>
            <color indexed="81"/>
            <rFont val="Tahoma"/>
            <family val="2"/>
            <charset val="238"/>
          </rPr>
          <t xml:space="preserve">
No. of SeS BELOW AVERAGE</t>
        </r>
      </text>
    </comment>
    <comment ref="Z7" authorId="0" shapeId="0" xr:uid="{8A1AC490-095B-4085-A8E3-69998BAC17A1}">
      <text>
        <r>
          <rPr>
            <b/>
            <sz val="9"/>
            <color indexed="81"/>
            <rFont val="Tahoma"/>
            <family val="2"/>
            <charset val="238"/>
          </rPr>
          <t>Rosandić Robert:</t>
        </r>
        <r>
          <rPr>
            <sz val="9"/>
            <color indexed="81"/>
            <rFont val="Tahoma"/>
            <family val="2"/>
            <charset val="238"/>
          </rPr>
          <t xml:space="preserve">
Counted by points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Rosandić Robert</author>
  </authors>
  <commentList>
    <comment ref="Z7" authorId="0" shapeId="0" xr:uid="{7C062E0D-A0F8-42FA-A29B-78AB8E959CA1}">
      <text>
        <r>
          <rPr>
            <b/>
            <sz val="9"/>
            <color indexed="81"/>
            <rFont val="Tahoma"/>
            <family val="2"/>
            <charset val="238"/>
          </rPr>
          <t>Rosandić Robert:</t>
        </r>
        <r>
          <rPr>
            <sz val="9"/>
            <color indexed="81"/>
            <rFont val="Tahoma"/>
            <family val="2"/>
            <charset val="238"/>
          </rPr>
          <t xml:space="preserve">
If traffic was disrupted data were replaced with previous years (by month)</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7BDBA2-22BE-43C9-A091-9D23CC42D979}" keepAlive="1" name="Dotaz – data" description="Pripojenie k dotazu data v zošite." type="5" refreshedVersion="0" background="1" saveData="1">
    <dbPr connection="Provider=Microsoft.Mashup.OleDb.1;Data Source=$Workbook$;Location=data;Extended Properties=&quot;&quot;" command="SELECT * FROM [data]"/>
  </connection>
  <connection id="2" xr16:uid="{BE64419D-C0BA-4B2C-955B-3C09C8C38F33}" keepAlive="1" name="Dotaz – data (2)" description="Pripojenie k dotazu data (2) v zošite." type="5" refreshedVersion="0" background="1" saveData="1">
    <dbPr connection="Provider=Microsoft.Mashup.OleDb.1;Data Source=$Workbook$;Location=&quot;data (2)&quot;;Extended Properties=&quot;&quot;" command="SELECT * FROM [data (2)]"/>
  </connection>
  <connection id="3" xr16:uid="{E23DE6DC-6AC9-46D4-9724-2350CF788078}" keepAlive="1" name="Dotaz – data (3)" description="Pripojenie k dotazu data (3) v zošite." type="5" refreshedVersion="0" background="1" saveData="1">
    <dbPr connection="Provider=Microsoft.Mashup.OleDb.1;Data Source=$Workbook$;Location=&quot;data (3)&quot;;Extended Properties=&quot;&quot;" command="SELECT * FROM [data (3)]"/>
  </connection>
  <connection id="4" xr16:uid="{A92B0852-0335-403B-962F-7BDE5B4CE461}" keepAlive="1" name="Dotaz – data (4)" description="Pripojenie k dotazu data (4) v zošite." type="5" refreshedVersion="0" background="1" saveData="1">
    <dbPr connection="Provider=Microsoft.Mashup.OleDb.1;Data Source=$Workbook$;Location=&quot;data (4)&quot;;Extended Properties=&quot;&quot;" command="SELECT * FROM [data (4)]"/>
  </connection>
  <connection id="5" xr16:uid="{0B500AFB-FCF3-4C11-87AE-636D72A61DBD}" keepAlive="1" name="Dotaz – data (5)" description="Pripojenie k dotazu data (5) v zošite." type="5" refreshedVersion="0" background="1" saveData="1">
    <dbPr connection="Provider=Microsoft.Mashup.OleDb.1;Data Source=$Workbook$;Location=&quot;data (5)&quot;;Extended Properties=&quot;&quot;" command="SELECT * FROM [data (5)]"/>
  </connection>
  <connection id="6" xr16:uid="{AE860F90-83D7-40DB-B151-4761B910E50B}" keepAlive="1" name="Dotaz – data (6)" description="Pripojenie k dotazu data (6) v zošite." type="5" refreshedVersion="0" background="1" saveData="1">
    <dbPr connection="Provider=Microsoft.Mashup.OleDb.1;Data Source=$Workbook$;Location=&quot;data (6)&quot;;Extended Properties=&quot;&quot;" command="SELECT * FROM [data (6)]"/>
  </connection>
  <connection id="7" xr16:uid="{7B52C015-2789-40E4-B5C9-C47EE405E9D3}" keepAlive="1" name="Dotaz – data (7)" description="Pripojenie k dotazu data (7) v zošite." type="5" refreshedVersion="0" background="1" saveData="1">
    <dbPr connection="Provider=Microsoft.Mashup.OleDb.1;Data Source=$Workbook$;Location=&quot;data (7)&quot;;Extended Properties=&quot;&quot;" command="SELECT * FROM [data (7)]"/>
  </connection>
  <connection id="8" xr16:uid="{A4CF7C5B-1BB6-4045-B08C-055109F8049D}" keepAlive="1" name="Dotaz – data (8)" description="Pripojenie k dotazu data (8) v zošite." type="5" refreshedVersion="0" background="1" saveData="1">
    <dbPr connection="Provider=Microsoft.Mashup.OleDb.1;Data Source=$Workbook$;Location=&quot;data (8)&quot;;Extended Properties=&quot;&quot;" command="SELECT * FROM [data (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<sst xmlns="http://schemas.openxmlformats.org/spreadsheetml/2006/main" count="33883" uniqueCount="3722">
  <si>
    <t>SERVICE ENABLING SYSTEM CATEGORIZATION MODEL 2024 HUNGARY</t>
  </si>
  <si>
    <t>Based on a file of slovnaft.</t>
  </si>
  <si>
    <t>EMPLOYEES</t>
  </si>
  <si>
    <t>GASTRO</t>
  </si>
  <si>
    <t>TOTAL NON-FUEL</t>
  </si>
  <si>
    <t>TOTAL FUEL</t>
  </si>
  <si>
    <t>CAR WASH</t>
  </si>
  <si>
    <t>Points</t>
  </si>
  <si>
    <t>1. step</t>
  </si>
  <si>
    <t>No. of Emp.</t>
  </si>
  <si>
    <t xml:space="preserve">No.of SeS </t>
  </si>
  <si>
    <t>Revenue (Ft)</t>
  </si>
  <si>
    <t>No. FC FULL</t>
  </si>
  <si>
    <t>No.of SeS</t>
  </si>
  <si>
    <t>Liters</t>
  </si>
  <si>
    <t>MAX.</t>
  </si>
  <si>
    <t>MAX</t>
  </si>
  <si>
    <t>AVG.</t>
  </si>
  <si>
    <t>ô</t>
  </si>
  <si>
    <t>AVERAGE</t>
  </si>
  <si>
    <t>Set criteria which differentiate SeS' and influence their complexity</t>
  </si>
  <si>
    <t>MIN.</t>
  </si>
  <si>
    <t>MIN</t>
  </si>
  <si>
    <t>2. step</t>
  </si>
  <si>
    <t>RANGES</t>
  </si>
  <si>
    <t>Ranges</t>
  </si>
  <si>
    <t>Values</t>
  </si>
  <si>
    <t>CATEGORY</t>
  </si>
  <si>
    <t>POINTS</t>
  </si>
  <si>
    <t>%</t>
  </si>
  <si>
    <t>Set ranges for each criterion and set points for ranges</t>
  </si>
  <si>
    <t>top 10% of ranking</t>
  </si>
  <si>
    <t>Has Highway</t>
  </si>
  <si>
    <t>I</t>
  </si>
  <si>
    <t>&gt;</t>
  </si>
  <si>
    <t>Only blue numbers are to be changed</t>
  </si>
  <si>
    <t>next 20% of ranking</t>
  </si>
  <si>
    <t>No Highway</t>
  </si>
  <si>
    <t>II</t>
  </si>
  <si>
    <t>next 35% of ranking</t>
  </si>
  <si>
    <t>III</t>
  </si>
  <si>
    <t>next 40% of ranking</t>
  </si>
  <si>
    <t>Hints: 1) balance with number of SeS which fall within a range
            2) criteria with greater impact on SeS complexity should get more points</t>
  </si>
  <si>
    <t>bottom 35% of ranking</t>
  </si>
  <si>
    <t>IV</t>
  </si>
  <si>
    <t>bottom 30% of ranking</t>
  </si>
  <si>
    <t>Total no. of SeS:</t>
  </si>
  <si>
    <t>Fill in data for criteria in the table below</t>
  </si>
  <si>
    <t>Total no. od SeS:</t>
  </si>
  <si>
    <t>HIGHWAY</t>
  </si>
  <si>
    <t>Area Manager</t>
  </si>
  <si>
    <t>Code</t>
  </si>
  <si>
    <t>Service Enabling System</t>
  </si>
  <si>
    <t>No. of Employees</t>
  </si>
  <si>
    <t>No. of Emp.
POINTS</t>
  </si>
  <si>
    <t>GASTRO
revenue (Ft)</t>
  </si>
  <si>
    <t>TOTAL FC 
POINTS</t>
  </si>
  <si>
    <t>TOTAL NON-FUEL
revenue (Ft)</t>
  </si>
  <si>
    <t>TOTAL NF
POINTS</t>
  </si>
  <si>
    <t>TOTAL FUEL
(Liter)</t>
  </si>
  <si>
    <t>FUEL
POINTS</t>
  </si>
  <si>
    <t>CAR WASH
revenue (Ft)</t>
  </si>
  <si>
    <t>CAR WASH
POINTS</t>
  </si>
  <si>
    <t xml:space="preserve">Highway indicator
</t>
  </si>
  <si>
    <t>TOTAL SCORE</t>
  </si>
  <si>
    <r>
      <t xml:space="preserve">NEW
CATEGORY
</t>
    </r>
    <r>
      <rPr>
        <sz val="9"/>
        <color theme="1"/>
        <rFont val="Calibri"/>
        <family val="2"/>
        <charset val="238"/>
        <scheme val="minor"/>
      </rPr>
      <t>(ROMAN)</t>
    </r>
  </si>
  <si>
    <r>
      <t xml:space="preserve">NEW
CATEGORY
</t>
    </r>
    <r>
      <rPr>
        <sz val="9"/>
        <color theme="1"/>
        <rFont val="Calibri"/>
        <family val="2"/>
        <charset val="238"/>
        <scheme val="minor"/>
      </rPr>
      <t>(ARABIC)</t>
    </r>
  </si>
  <si>
    <t>Area Manager 1</t>
  </si>
  <si>
    <t>Service Enabling System1</t>
  </si>
  <si>
    <t>Area Manager 2</t>
  </si>
  <si>
    <t>Service Enabling System2</t>
  </si>
  <si>
    <t>Area Manager 3</t>
  </si>
  <si>
    <t>Service Enabling System3</t>
  </si>
  <si>
    <t>Area Manager 4</t>
  </si>
  <si>
    <t>Service Enabling System4</t>
  </si>
  <si>
    <t>Area Manager 5</t>
  </si>
  <si>
    <t>Service Enabling System5</t>
  </si>
  <si>
    <t>Area Manager 6</t>
  </si>
  <si>
    <t>Service Enabling System6</t>
  </si>
  <si>
    <t>Service Enabling System7</t>
  </si>
  <si>
    <t>Service Enabling System8</t>
  </si>
  <si>
    <t>Service Enabling System9</t>
  </si>
  <si>
    <t>Area Manager 7</t>
  </si>
  <si>
    <t>Service Enabling System10</t>
  </si>
  <si>
    <t>Area Manager 8</t>
  </si>
  <si>
    <t>Service Enabling System11</t>
  </si>
  <si>
    <t>Area Manager 9</t>
  </si>
  <si>
    <t>Service Enabling System12</t>
  </si>
  <si>
    <t>Service Enabling System13</t>
  </si>
  <si>
    <t>Service Enabling System14</t>
  </si>
  <si>
    <t>Service Enabling System15</t>
  </si>
  <si>
    <t>Service Enabling System16</t>
  </si>
  <si>
    <t>Service Enabling System17</t>
  </si>
  <si>
    <t>Service Enabling System18</t>
  </si>
  <si>
    <t>Service Enabling System19</t>
  </si>
  <si>
    <t>Area Manager 10</t>
  </si>
  <si>
    <t>Service Enabling System20</t>
  </si>
  <si>
    <t>Service Enabling System21</t>
  </si>
  <si>
    <t>Service Enabling System22</t>
  </si>
  <si>
    <t>Area Manager 11</t>
  </si>
  <si>
    <t>Service Enabling System23</t>
  </si>
  <si>
    <t>Service Enabling System24</t>
  </si>
  <si>
    <t>Service Enabling System25</t>
  </si>
  <si>
    <t>Area Manager 12</t>
  </si>
  <si>
    <t>Service Enabling System26</t>
  </si>
  <si>
    <t>Area Manager 13</t>
  </si>
  <si>
    <t>Service Enabling System27</t>
  </si>
  <si>
    <t>Service Enabling System28</t>
  </si>
  <si>
    <t>Service Enabling System29</t>
  </si>
  <si>
    <t>Service Enabling System30</t>
  </si>
  <si>
    <t>Service Enabling System31</t>
  </si>
  <si>
    <t>Service Enabling System32</t>
  </si>
  <si>
    <t>Service Enabling System33</t>
  </si>
  <si>
    <t>Area Manager 14</t>
  </si>
  <si>
    <t>Service Enabling System34</t>
  </si>
  <si>
    <t>Service Enabling System35</t>
  </si>
  <si>
    <t>Service Enabling System36</t>
  </si>
  <si>
    <t>Service Enabling System37</t>
  </si>
  <si>
    <t>Service Enabling System38</t>
  </si>
  <si>
    <t>Area Manager 18</t>
  </si>
  <si>
    <t>Service Enabling System39</t>
  </si>
  <si>
    <t>Service Enabling System40</t>
  </si>
  <si>
    <t>Service Enabling System41</t>
  </si>
  <si>
    <t>Service Enabling System42</t>
  </si>
  <si>
    <t>Service Enabling System43</t>
  </si>
  <si>
    <t>Service Enabling System44</t>
  </si>
  <si>
    <t>Service Enabling System45</t>
  </si>
  <si>
    <t>Area Manager 16</t>
  </si>
  <si>
    <t>Service Enabling System46</t>
  </si>
  <si>
    <t>Service Enabling System47</t>
  </si>
  <si>
    <t>Service Enabling System48</t>
  </si>
  <si>
    <t>Service Enabling System49</t>
  </si>
  <si>
    <t>Service Enabling System50</t>
  </si>
  <si>
    <t>Service Enabling System51</t>
  </si>
  <si>
    <t>Service Enabling System52</t>
  </si>
  <si>
    <t>Service Enabling System53</t>
  </si>
  <si>
    <t>Service Enabling System54</t>
  </si>
  <si>
    <t>Service Enabling System55</t>
  </si>
  <si>
    <t>Service Enabling System56</t>
  </si>
  <si>
    <t>Service Enabling System57</t>
  </si>
  <si>
    <t>Service Enabling System58</t>
  </si>
  <si>
    <t>Service Enabling System59</t>
  </si>
  <si>
    <t>Service Enabling System60</t>
  </si>
  <si>
    <t>Service Enabling System61</t>
  </si>
  <si>
    <t>Service Enabling System62</t>
  </si>
  <si>
    <t>Service Enabling System63</t>
  </si>
  <si>
    <t>Service Enabling System64</t>
  </si>
  <si>
    <t>Service Enabling System65</t>
  </si>
  <si>
    <t>Service Enabling System66</t>
  </si>
  <si>
    <t>Service Enabling System67</t>
  </si>
  <si>
    <t>Service Enabling System68</t>
  </si>
  <si>
    <t>Service Enabling System69</t>
  </si>
  <si>
    <t>Service Enabling System70</t>
  </si>
  <si>
    <t>Service Enabling System71</t>
  </si>
  <si>
    <t>Service Enabling System72</t>
  </si>
  <si>
    <t>Service Enabling System73</t>
  </si>
  <si>
    <t>Service Enabling System74</t>
  </si>
  <si>
    <t>Service Enabling System75</t>
  </si>
  <si>
    <t>Service Enabling System76</t>
  </si>
  <si>
    <t>Service Enabling System77</t>
  </si>
  <si>
    <t>Service Enabling System78</t>
  </si>
  <si>
    <t>Service Enabling System79</t>
  </si>
  <si>
    <t>Service Enabling System80</t>
  </si>
  <si>
    <t>Service Enabling System81</t>
  </si>
  <si>
    <t>Service Enabling System82</t>
  </si>
  <si>
    <t>Service Enabling System83</t>
  </si>
  <si>
    <t>Service Enabling System84</t>
  </si>
  <si>
    <t>Service Enabling System85</t>
  </si>
  <si>
    <t>Service Enabling System86</t>
  </si>
  <si>
    <t>Service Enabling System87</t>
  </si>
  <si>
    <t>Service Enabling System88</t>
  </si>
  <si>
    <t>Service Enabling System89</t>
  </si>
  <si>
    <t>Service Enabling System90</t>
  </si>
  <si>
    <t>Service Enabling System91</t>
  </si>
  <si>
    <t>Service Enabling System92</t>
  </si>
  <si>
    <t>Service Enabling System93</t>
  </si>
  <si>
    <t>Service Enabling System94</t>
  </si>
  <si>
    <t>Service Enabling System95</t>
  </si>
  <si>
    <t>Service Enabling System96</t>
  </si>
  <si>
    <t>Service Enabling System97</t>
  </si>
  <si>
    <t>Service Enabling System98</t>
  </si>
  <si>
    <t>Service Enabling System99</t>
  </si>
  <si>
    <t>Service Enabling System100</t>
  </si>
  <si>
    <t>Service Enabling System101</t>
  </si>
  <si>
    <t>Service Enabling System102</t>
  </si>
  <si>
    <t>Service Enabling System103</t>
  </si>
  <si>
    <t>Service Enabling System104</t>
  </si>
  <si>
    <t>Service Enabling System105</t>
  </si>
  <si>
    <t>Service Enabling System106</t>
  </si>
  <si>
    <t>Service Enabling System107</t>
  </si>
  <si>
    <t>Service Enabling System108</t>
  </si>
  <si>
    <t>Service Enabling System109</t>
  </si>
  <si>
    <t>Service Enabling System110</t>
  </si>
  <si>
    <t>Service Enabling System111</t>
  </si>
  <si>
    <t>Service Enabling System112</t>
  </si>
  <si>
    <t>Service Enabling System113</t>
  </si>
  <si>
    <t>Service Enabling System114</t>
  </si>
  <si>
    <t>Service Enabling System115</t>
  </si>
  <si>
    <t>Service Enabling System116</t>
  </si>
  <si>
    <t>Service Enabling System117</t>
  </si>
  <si>
    <t>Service Enabling System118</t>
  </si>
  <si>
    <t>Service Enabling System119</t>
  </si>
  <si>
    <t>Service Enabling System120</t>
  </si>
  <si>
    <t>Area Manager 17</t>
  </si>
  <si>
    <t>Service Enabling System121</t>
  </si>
  <si>
    <t>Service Enabling System122</t>
  </si>
  <si>
    <t>Service Enabling System123</t>
  </si>
  <si>
    <t>Service Enabling System124</t>
  </si>
  <si>
    <t>Service Enabling System125</t>
  </si>
  <si>
    <t>Service Enabling System126</t>
  </si>
  <si>
    <t>Service Enabling System127</t>
  </si>
  <si>
    <t>Service Enabling System128</t>
  </si>
  <si>
    <t>Service Enabling System129</t>
  </si>
  <si>
    <t>Service Enabling System130</t>
  </si>
  <si>
    <t>Service Enabling System131</t>
  </si>
  <si>
    <t>Service Enabling System132</t>
  </si>
  <si>
    <t>Service Enabling System133</t>
  </si>
  <si>
    <t>Service Enabling System134</t>
  </si>
  <si>
    <t>Service Enabling System135</t>
  </si>
  <si>
    <t>Service Enabling System136</t>
  </si>
  <si>
    <t>Service Enabling System137</t>
  </si>
  <si>
    <t>Service Enabling System138</t>
  </si>
  <si>
    <t>Service Enabling System139</t>
  </si>
  <si>
    <t>Service Enabling System140</t>
  </si>
  <si>
    <t>Service Enabling System141</t>
  </si>
  <si>
    <t>Service Enabling System142</t>
  </si>
  <si>
    <t>Service Enabling System143</t>
  </si>
  <si>
    <t>Service Enabling System144</t>
  </si>
  <si>
    <t>Service Enabling System145</t>
  </si>
  <si>
    <t>Service Enabling System146</t>
  </si>
  <si>
    <t>Service Enabling System147</t>
  </si>
  <si>
    <t>Service Enabling System148</t>
  </si>
  <si>
    <t>Service Enabling System149</t>
  </si>
  <si>
    <t>Service Enabling System150</t>
  </si>
  <si>
    <t>Service Enabling System151</t>
  </si>
  <si>
    <t>Service Enabling System152</t>
  </si>
  <si>
    <t>Service Enabling System153</t>
  </si>
  <si>
    <t>Service Enabling System154</t>
  </si>
  <si>
    <t>Service Enabling System155</t>
  </si>
  <si>
    <t>Service Enabling System156</t>
  </si>
  <si>
    <t>Service Enabling System157</t>
  </si>
  <si>
    <t>Service Enabling System158</t>
  </si>
  <si>
    <t>Service Enabling System159</t>
  </si>
  <si>
    <t>Service Enabling System160</t>
  </si>
  <si>
    <t>Service Enabling System161</t>
  </si>
  <si>
    <t>Service Enabling System162</t>
  </si>
  <si>
    <t>Service Enabling System163</t>
  </si>
  <si>
    <t>Service Enabling System164</t>
  </si>
  <si>
    <t>Service Enabling System165</t>
  </si>
  <si>
    <t>Service Enabling System166</t>
  </si>
  <si>
    <t>Service Enabling System167</t>
  </si>
  <si>
    <t>Service Enabling System168</t>
  </si>
  <si>
    <t>Service Enabling System169</t>
  </si>
  <si>
    <t>Service Enabling System170</t>
  </si>
  <si>
    <t>Service Enabling System171</t>
  </si>
  <si>
    <t>Service Enabling System172</t>
  </si>
  <si>
    <t>Service Enabling System173</t>
  </si>
  <si>
    <t>Service Enabling System174</t>
  </si>
  <si>
    <t>Service Enabling System175</t>
  </si>
  <si>
    <t>Service Enabling System176</t>
  </si>
  <si>
    <t>Service Enabling System177</t>
  </si>
  <si>
    <t>Service Enabling System178</t>
  </si>
  <si>
    <t>Service Enabling System179</t>
  </si>
  <si>
    <t>Service Enabling System180</t>
  </si>
  <si>
    <t>Service Enabling System181</t>
  </si>
  <si>
    <t>Service Enabling System182</t>
  </si>
  <si>
    <t>Service Enabling System183</t>
  </si>
  <si>
    <t>Service Enabling System184</t>
  </si>
  <si>
    <t>Service Enabling System185</t>
  </si>
  <si>
    <t>Service Enabling System186</t>
  </si>
  <si>
    <t>Service Enabling System187</t>
  </si>
  <si>
    <t>Service Enabling System188</t>
  </si>
  <si>
    <t>Service Enabling System189</t>
  </si>
  <si>
    <t>Service Enabling System190</t>
  </si>
  <si>
    <t>Service Enabling System191</t>
  </si>
  <si>
    <t>Service Enabling System192</t>
  </si>
  <si>
    <t>Service Enabling System193</t>
  </si>
  <si>
    <t>Service Enabling System194</t>
  </si>
  <si>
    <t>Service Enabling System195</t>
  </si>
  <si>
    <t>Service Enabling System196</t>
  </si>
  <si>
    <t>Service Enabling System197</t>
  </si>
  <si>
    <t>Service Enabling System198</t>
  </si>
  <si>
    <t>Service Enabling System199</t>
  </si>
  <si>
    <t>Service Enabling System200</t>
  </si>
  <si>
    <t>Service Enabling System201</t>
  </si>
  <si>
    <t>Service Enabling System202</t>
  </si>
  <si>
    <t>Service Enabling System203</t>
  </si>
  <si>
    <t>Service Enabling System204</t>
  </si>
  <si>
    <t>Service Enabling System205</t>
  </si>
  <si>
    <t>Service Enabling System206</t>
  </si>
  <si>
    <t>Service Enabling System207</t>
  </si>
  <si>
    <t>Service Enabling System208</t>
  </si>
  <si>
    <t>Service Enabling System209</t>
  </si>
  <si>
    <t>Service Enabling System210</t>
  </si>
  <si>
    <t>Service Enabling System211</t>
  </si>
  <si>
    <t>Service Enabling System212</t>
  </si>
  <si>
    <t>Service Enabling System213</t>
  </si>
  <si>
    <t>Service Enabling System214</t>
  </si>
  <si>
    <t>Service Enabling System215</t>
  </si>
  <si>
    <t>Service Enabling System216</t>
  </si>
  <si>
    <t>Service Enabling System217</t>
  </si>
  <si>
    <t>Service Enabling System218</t>
  </si>
  <si>
    <t>Service Enabling System219</t>
  </si>
  <si>
    <t>Service Enabling System220</t>
  </si>
  <si>
    <t>Service Enabling System221</t>
  </si>
  <si>
    <t>Service Enabling System222</t>
  </si>
  <si>
    <t>Service Enabling System223</t>
  </si>
  <si>
    <t>Service Enabling System224</t>
  </si>
  <si>
    <t>Service Enabling System225</t>
  </si>
  <si>
    <t>Service Enabling System226</t>
  </si>
  <si>
    <t>Service Enabling System227</t>
  </si>
  <si>
    <t>Service Enabling System228</t>
  </si>
  <si>
    <t>Service Enabling System229</t>
  </si>
  <si>
    <t>Service Enabling System230</t>
  </si>
  <si>
    <t>Service Enabling System231</t>
  </si>
  <si>
    <t>Service Enabling System232</t>
  </si>
  <si>
    <t>Service Enabling System233</t>
  </si>
  <si>
    <t>Service Enabling System234</t>
  </si>
  <si>
    <t>Service Enabling System235</t>
  </si>
  <si>
    <t>Service Enabling System236</t>
  </si>
  <si>
    <t>Service Enabling System237</t>
  </si>
  <si>
    <t>Service Enabling System238</t>
  </si>
  <si>
    <t>Service Enabling System239</t>
  </si>
  <si>
    <t>Service Enabling System240</t>
  </si>
  <si>
    <t>Service Enabling System241</t>
  </si>
  <si>
    <t>Service Enabling System242</t>
  </si>
  <si>
    <t>Service Enabling System243</t>
  </si>
  <si>
    <t>Service Enabling System244</t>
  </si>
  <si>
    <t>Service Enabling System245</t>
  </si>
  <si>
    <t>Service Enabling System246</t>
  </si>
  <si>
    <t>Service Enabling System247</t>
  </si>
  <si>
    <t>Service Enabling System248</t>
  </si>
  <si>
    <t>Service Enabling System249</t>
  </si>
  <si>
    <t>Service Enabling System250</t>
  </si>
  <si>
    <t>Service Enabling System251</t>
  </si>
  <si>
    <t>Service Enabling System252</t>
  </si>
  <si>
    <t>Service Enabling System253</t>
  </si>
  <si>
    <t>Service Enabling System254</t>
  </si>
  <si>
    <t>Service Enabling System255</t>
  </si>
  <si>
    <t>Service Enabling System256</t>
  </si>
  <si>
    <t>Service Enabling System257</t>
  </si>
  <si>
    <t>Service Enabling System258</t>
  </si>
  <si>
    <t>Service Enabling System259</t>
  </si>
  <si>
    <t>Service Enabling System260</t>
  </si>
  <si>
    <t>Service Enabling System261</t>
  </si>
  <si>
    <t>Service Enabling System262</t>
  </si>
  <si>
    <t>Service Enabling System263</t>
  </si>
  <si>
    <t>Service Enabling System264</t>
  </si>
  <si>
    <t>Service Enabling System265</t>
  </si>
  <si>
    <t>Service Enabling System266</t>
  </si>
  <si>
    <t>Service Enabling System267</t>
  </si>
  <si>
    <t>Service Enabling System268</t>
  </si>
  <si>
    <t>Service Enabling System269</t>
  </si>
  <si>
    <t>Service Enabling System270</t>
  </si>
  <si>
    <t>Service Enabling System271</t>
  </si>
  <si>
    <t>Service Enabling System272</t>
  </si>
  <si>
    <t>Service Enabling System273</t>
  </si>
  <si>
    <t>Service Enabling System274</t>
  </si>
  <si>
    <t>Service Enabling System275</t>
  </si>
  <si>
    <t>Service Enabling System276</t>
  </si>
  <si>
    <t>Service Enabling System277</t>
  </si>
  <si>
    <t>Service Enabling System278</t>
  </si>
  <si>
    <t>Service Enabling System279</t>
  </si>
  <si>
    <t>Service Enabling System280</t>
  </si>
  <si>
    <t>Service Enabling System281</t>
  </si>
  <si>
    <t>Service Enabling System282</t>
  </si>
  <si>
    <t>Service Enabling System283</t>
  </si>
  <si>
    <t>Service Enabling System284</t>
  </si>
  <si>
    <t>Service Enabling System285</t>
  </si>
  <si>
    <t>Service Enabling System286</t>
  </si>
  <si>
    <t>Service Enabling System287</t>
  </si>
  <si>
    <t>Service Enabling System288</t>
  </si>
  <si>
    <t>Service Enabling System289</t>
  </si>
  <si>
    <t>Service Enabling System290</t>
  </si>
  <si>
    <t>Service Enabling System291</t>
  </si>
  <si>
    <t>Service Enabling System292</t>
  </si>
  <si>
    <t>Service Enabling System293</t>
  </si>
  <si>
    <t>Service Enabling System294</t>
  </si>
  <si>
    <t>Service Enabling System295</t>
  </si>
  <si>
    <t>Service Enabling System296</t>
  </si>
  <si>
    <t>Service Enabling System297</t>
  </si>
  <si>
    <t>Service Enabling System298</t>
  </si>
  <si>
    <t>Service Enabling System299</t>
  </si>
  <si>
    <t>Service Enabling System300</t>
  </si>
  <si>
    <t>Service Enabling System301</t>
  </si>
  <si>
    <t>Service Enabling System302</t>
  </si>
  <si>
    <t>Service Enabling System303</t>
  </si>
  <si>
    <t>Service Enabling System304</t>
  </si>
  <si>
    <t>Service Enabling System305</t>
  </si>
  <si>
    <t>Service Enabling System306</t>
  </si>
  <si>
    <t>Service Enabling System307</t>
  </si>
  <si>
    <t>Service Enabling System308</t>
  </si>
  <si>
    <t>Service Enabling System309</t>
  </si>
  <si>
    <t>Service Enabling System310</t>
  </si>
  <si>
    <t>Service Enabling System311</t>
  </si>
  <si>
    <t>Service Enabling System312</t>
  </si>
  <si>
    <t>Service Enabling System313</t>
  </si>
  <si>
    <t>Service Enabling System314</t>
  </si>
  <si>
    <t>Service Enabling System315</t>
  </si>
  <si>
    <t>Service Enabling System316</t>
  </si>
  <si>
    <t>Service Enabling System317</t>
  </si>
  <si>
    <t>Service Enabling System318</t>
  </si>
  <si>
    <t>Service Enabling System319</t>
  </si>
  <si>
    <t>Service Enabling System320</t>
  </si>
  <si>
    <t>Service Enabling System321</t>
  </si>
  <si>
    <t>Service Enabling System322</t>
  </si>
  <si>
    <t>Service Enabling System323</t>
  </si>
  <si>
    <t>Service Enabling System324</t>
  </si>
  <si>
    <t>Service Enabling System325</t>
  </si>
  <si>
    <t>Service Enabling System326</t>
  </si>
  <si>
    <t>Service Enabling System327</t>
  </si>
  <si>
    <t>Service Enabling System328</t>
  </si>
  <si>
    <t>Service Enabling System329</t>
  </si>
  <si>
    <t>Service Enabling System330</t>
  </si>
  <si>
    <t>Service Enabling System331</t>
  </si>
  <si>
    <t>Service Enabling System332</t>
  </si>
  <si>
    <t>Service Enabling System333</t>
  </si>
  <si>
    <t>Service Enabling System334</t>
  </si>
  <si>
    <t>Service Enabling System335</t>
  </si>
  <si>
    <t>Service Enabling System336</t>
  </si>
  <si>
    <t>Service Enabling System337</t>
  </si>
  <si>
    <t>Service Enabling System338</t>
  </si>
  <si>
    <t>Service Enabling System339</t>
  </si>
  <si>
    <t>Service Enabling System340</t>
  </si>
  <si>
    <t>Service Enabling System341</t>
  </si>
  <si>
    <t>Service Enabling System342</t>
  </si>
  <si>
    <t>Service Enabling System343</t>
  </si>
  <si>
    <t>Service Enabling System344</t>
  </si>
  <si>
    <t>Service Enabling System345</t>
  </si>
  <si>
    <t>Service Enabling System346</t>
  </si>
  <si>
    <t>Service Enabling System347</t>
  </si>
  <si>
    <t>Service Enabling System348</t>
  </si>
  <si>
    <t>Service Enabling System349</t>
  </si>
  <si>
    <t>Service Enabling System350</t>
  </si>
  <si>
    <t>Service Enabling System351</t>
  </si>
  <si>
    <t>Service Enabling System352</t>
  </si>
  <si>
    <t>Service Enabling System353</t>
  </si>
  <si>
    <t>Service Enabling System354</t>
  </si>
  <si>
    <t>Service Enabling System355</t>
  </si>
  <si>
    <t>Service Enabling System356</t>
  </si>
  <si>
    <t>Service Enabling System357</t>
  </si>
  <si>
    <t>Service Enabling System358</t>
  </si>
  <si>
    <t>Service Enabling System359</t>
  </si>
  <si>
    <t>Service Enabling System360</t>
  </si>
  <si>
    <t>Service Enabling System361</t>
  </si>
  <si>
    <t>Service Enabling System362</t>
  </si>
  <si>
    <t>Service Enabling System363</t>
  </si>
  <si>
    <t>Service Enabling System364</t>
  </si>
  <si>
    <t>Service Enabling System365</t>
  </si>
  <si>
    <t>Service Enabling System366</t>
  </si>
  <si>
    <t>Service Enabling System367</t>
  </si>
  <si>
    <t>Service Enabling System368</t>
  </si>
  <si>
    <t>Service Enabling System369</t>
  </si>
  <si>
    <t>Service Enabling System370</t>
  </si>
  <si>
    <t>Service Enabling System371</t>
  </si>
  <si>
    <t>Service Enabling System372</t>
  </si>
  <si>
    <t>Service Enabling System373</t>
  </si>
  <si>
    <t>Service Enabling System374</t>
  </si>
  <si>
    <t>Service Enabling System375</t>
  </si>
  <si>
    <t>Service Enabling System376</t>
  </si>
  <si>
    <t>Service Enabling System377</t>
  </si>
  <si>
    <t>Service Enabling System378</t>
  </si>
  <si>
    <t>Service Enabling System379</t>
  </si>
  <si>
    <t>Service Enabling System380</t>
  </si>
  <si>
    <t>Service Enabling System381</t>
  </si>
  <si>
    <t>Service Enabling System382</t>
  </si>
  <si>
    <t>Service Enabling System383</t>
  </si>
  <si>
    <t>Service Enabling System384</t>
  </si>
  <si>
    <t>Service Enabling System385</t>
  </si>
  <si>
    <t>Service Enabling System386</t>
  </si>
  <si>
    <t>Service Enabling System387</t>
  </si>
  <si>
    <t>Service Enabling System388</t>
  </si>
  <si>
    <t>Service Enabling System389</t>
  </si>
  <si>
    <t>Service Enabling System390</t>
  </si>
  <si>
    <t>Service Enabling System391</t>
  </si>
  <si>
    <t>Service Enabling System392</t>
  </si>
  <si>
    <t>Service Enabling System393</t>
  </si>
  <si>
    <t>Service Enabling System394</t>
  </si>
  <si>
    <t>Service Enabling System395</t>
  </si>
  <si>
    <t>Service Enabling System396</t>
  </si>
  <si>
    <t>Service Enabling System397</t>
  </si>
  <si>
    <t>Service Enabling System398</t>
  </si>
  <si>
    <t>Service Enabling System399</t>
  </si>
  <si>
    <t>Service Enabling System400</t>
  </si>
  <si>
    <t>Service Enabling System401</t>
  </si>
  <si>
    <t>Service Enabling System402</t>
  </si>
  <si>
    <t>Service Enabling System403</t>
  </si>
  <si>
    <t>Service Enabling System404</t>
  </si>
  <si>
    <t>Service Enabling System405</t>
  </si>
  <si>
    <t>Service Enabling System406</t>
  </si>
  <si>
    <t>Service Enabling System407</t>
  </si>
  <si>
    <t>Service Enabling System408</t>
  </si>
  <si>
    <t>Service Enabling System409</t>
  </si>
  <si>
    <t>Service Enabling System410</t>
  </si>
  <si>
    <t>Service Enabling System411</t>
  </si>
  <si>
    <t>LPG</t>
  </si>
  <si>
    <t>Total</t>
  </si>
  <si>
    <t>GASTRO
revenue (EUR)</t>
  </si>
  <si>
    <t>d</t>
  </si>
  <si>
    <t>X</t>
  </si>
  <si>
    <t>NO FC</t>
  </si>
  <si>
    <t>SeS name</t>
  </si>
  <si>
    <t>old fee</t>
  </si>
  <si>
    <t>new fee</t>
  </si>
  <si>
    <t>diff</t>
  </si>
  <si>
    <t>koment</t>
  </si>
  <si>
    <t>Sum of diff</t>
  </si>
  <si>
    <t>Increase/Decrease</t>
  </si>
  <si>
    <t>Ses Name</t>
  </si>
  <si>
    <t>Suma</t>
  </si>
  <si>
    <t>Zeleneč I.</t>
  </si>
  <si>
    <t>Decrase</t>
  </si>
  <si>
    <t>Bánovce nad Bebravou - Trenčianska II.</t>
  </si>
  <si>
    <t>Sekule I.</t>
  </si>
  <si>
    <t>Bánovce nad Bebravou</t>
  </si>
  <si>
    <t>Bardejov-Prešovská</t>
  </si>
  <si>
    <t>Štrba</t>
  </si>
  <si>
    <t>Banská Bystrica-Jakub</t>
  </si>
  <si>
    <t>Bošany</t>
  </si>
  <si>
    <t>Trenčín-Zamarovce</t>
  </si>
  <si>
    <t>Banská Bystrica-Kremnička</t>
  </si>
  <si>
    <t>Bratislava - Dolnozemská II.</t>
  </si>
  <si>
    <t>Sekule II.</t>
  </si>
  <si>
    <t>Banská Bystrica-Partizánska</t>
  </si>
  <si>
    <t>Bratislava - Dúbravka II.</t>
  </si>
  <si>
    <t>Bratislava-DČS Zlaté Piesky</t>
  </si>
  <si>
    <t>Banská Bystrica-Rudlovská</t>
  </si>
  <si>
    <t>Bratislava-Bajkalská II.</t>
  </si>
  <si>
    <t>Malý Šariš-sever</t>
  </si>
  <si>
    <t>Banská Bystrica-Štiavničky</t>
  </si>
  <si>
    <t>Bratislava-Botanická</t>
  </si>
  <si>
    <t>Ilava II.</t>
  </si>
  <si>
    <t>Banská Bystrica-Zvolenská</t>
  </si>
  <si>
    <t>Bratislava-Petržalka I.</t>
  </si>
  <si>
    <t>Bratislava-Záhorská Bystrica</t>
  </si>
  <si>
    <t>Banská Štiavnica</t>
  </si>
  <si>
    <t>Bratislava-ul.Sch.-Trnavského</t>
  </si>
  <si>
    <t>Žilina-Kysucká</t>
  </si>
  <si>
    <t>Beladice</t>
  </si>
  <si>
    <t>Bratislava-Vrakunská</t>
  </si>
  <si>
    <t>Bytča</t>
  </si>
  <si>
    <t>Bernolákovo</t>
  </si>
  <si>
    <t>Dubnica nad Váhom</t>
  </si>
  <si>
    <t>Ivachnová</t>
  </si>
  <si>
    <t>Blatná na Ostrove</t>
  </si>
  <si>
    <t>Dunajská Lužná</t>
  </si>
  <si>
    <t>Budča-Sever</t>
  </si>
  <si>
    <t>Bratislava - Panónska</t>
  </si>
  <si>
    <t>Dunajská Streda-Bratislavská I.</t>
  </si>
  <si>
    <t>Budča-Juh</t>
  </si>
  <si>
    <t>Bratislava – Prístavná</t>
  </si>
  <si>
    <t>Gabčíkovo</t>
  </si>
  <si>
    <t>Komárno-Novozámocká</t>
  </si>
  <si>
    <t>Bratislava - Slovnaftská</t>
  </si>
  <si>
    <t>Galanta-Šalská cesta</t>
  </si>
  <si>
    <t>Trnava-Bučianska</t>
  </si>
  <si>
    <t>Bratislava - Vajnorská II.</t>
  </si>
  <si>
    <t>Holíč-Bratislavská</t>
  </si>
  <si>
    <t>Námestovo</t>
  </si>
  <si>
    <t>Bratislava-Bajkalská</t>
  </si>
  <si>
    <t>Kalná nad Hronom</t>
  </si>
  <si>
    <t>Pohranice - Juh</t>
  </si>
  <si>
    <t>Bratislava-Bratská</t>
  </si>
  <si>
    <t>Košice-Palackého</t>
  </si>
  <si>
    <t>Poprad-Predné hony</t>
  </si>
  <si>
    <t>Levice-Kálnická</t>
  </si>
  <si>
    <t>Pezinok-Šenkvická</t>
  </si>
  <si>
    <t>Bratislava-Devínska Nová Ves</t>
  </si>
  <si>
    <t>Levoča</t>
  </si>
  <si>
    <t>Nové Mesto nad Váhom - Zelená Voda</t>
  </si>
  <si>
    <t>Bratislava-Dvory IV.</t>
  </si>
  <si>
    <t>Liptovský Hrádok-Pod celinami</t>
  </si>
  <si>
    <t>Bratislava-Pod. Biskupice I.</t>
  </si>
  <si>
    <t>Lučenec-Halíčska</t>
  </si>
  <si>
    <t>Moldava nad Bodvou</t>
  </si>
  <si>
    <t>Bratislava-Podunaj.Biskupice II.</t>
  </si>
  <si>
    <t>Modra</t>
  </si>
  <si>
    <t>Bardejov-Duklianska</t>
  </si>
  <si>
    <t>Bratislava-Púchovská</t>
  </si>
  <si>
    <t>Myjava</t>
  </si>
  <si>
    <t>Trenčín-Električná</t>
  </si>
  <si>
    <t>Bratislava-Tomášikova II.</t>
  </si>
  <si>
    <t>Nitra-Baničova</t>
  </si>
  <si>
    <t>Bratislava-Vajnory I.</t>
  </si>
  <si>
    <t>Nitra-Chrenová</t>
  </si>
  <si>
    <t>Dolná Streda</t>
  </si>
  <si>
    <t>Bratislava-Viedenská</t>
  </si>
  <si>
    <t>Nitra-Krškany</t>
  </si>
  <si>
    <t>Poprad-Moyzesova</t>
  </si>
  <si>
    <t>Nová Baňa</t>
  </si>
  <si>
    <t>Košice-Šaca</t>
  </si>
  <si>
    <t>Brezno</t>
  </si>
  <si>
    <t>Nováky</t>
  </si>
  <si>
    <t>Košice-Barca</t>
  </si>
  <si>
    <t>Brezová pod Bradlom</t>
  </si>
  <si>
    <t>Nové Zámky-Komárňanská II.</t>
  </si>
  <si>
    <t>Malý Šariš-juh</t>
  </si>
  <si>
    <t>Pezinok-Bratislavská</t>
  </si>
  <si>
    <t>Nitra-Drážovská</t>
  </si>
  <si>
    <t>Vranov-Čemerné</t>
  </si>
  <si>
    <t>Demandice</t>
  </si>
  <si>
    <t>Považská Bystrica-Orlové</t>
  </si>
  <si>
    <t>Prievidza-Necpaly</t>
  </si>
  <si>
    <t>Detva-sídlisko</t>
  </si>
  <si>
    <t>Púchov-Streženická</t>
  </si>
  <si>
    <t>DČS Hrádok</t>
  </si>
  <si>
    <t>Raslavice</t>
  </si>
  <si>
    <t>Rimavská Sobota-Hlavná</t>
  </si>
  <si>
    <t>Dudince</t>
  </si>
  <si>
    <t>Revúca-M.R.Štefánika</t>
  </si>
  <si>
    <t>Stará Ľubovňa-Pri motoreste</t>
  </si>
  <si>
    <t>Dunajská Streda-Bratislavská II.</t>
  </si>
  <si>
    <t>Senec-Trnavská</t>
  </si>
  <si>
    <t>Zvolen-Lieskovec</t>
  </si>
  <si>
    <t>Dunajská Streda-Galantská</t>
  </si>
  <si>
    <t>Sereď</t>
  </si>
  <si>
    <t>Žilina-Šibenice</t>
  </si>
  <si>
    <t>Dunajská Streda-Komárňanská</t>
  </si>
  <si>
    <t>Skalica</t>
  </si>
  <si>
    <t>Kúty</t>
  </si>
  <si>
    <t>Gelnica</t>
  </si>
  <si>
    <t>Slovenské Ďarmoty</t>
  </si>
  <si>
    <t>Žilina-Kragujevská</t>
  </si>
  <si>
    <t>Handlová-Prievidzská</t>
  </si>
  <si>
    <t>Spišská Nová Ves-Markušovská</t>
  </si>
  <si>
    <t>Pohranice - Sever</t>
  </si>
  <si>
    <t>Hanušovce nad Topľou</t>
  </si>
  <si>
    <t>Svit</t>
  </si>
  <si>
    <t>Ružomberok-Roveň</t>
  </si>
  <si>
    <t>Hlohovec-Šulekovo</t>
  </si>
  <si>
    <t>Šahy-Hontianska II.</t>
  </si>
  <si>
    <t>Košice-KVP</t>
  </si>
  <si>
    <t>Hnúšťa</t>
  </si>
  <si>
    <t>Šaľa-Galantská</t>
  </si>
  <si>
    <t>Humenné-ul.Mieru</t>
  </si>
  <si>
    <t>Šaľa-Veča</t>
  </si>
  <si>
    <t>Humenné-ul.Osloboditeľov</t>
  </si>
  <si>
    <t>Šurany</t>
  </si>
  <si>
    <t>Zlaté Moravce - M.Urbana</t>
  </si>
  <si>
    <t>Trenčín-Záblatie</t>
  </si>
  <si>
    <t>Sládkovičovo</t>
  </si>
  <si>
    <t>Jablonov nad Turňou</t>
  </si>
  <si>
    <t>Trnava-Nitrianska I.</t>
  </si>
  <si>
    <t>Vyšný Kubín</t>
  </si>
  <si>
    <t>Janovík-Západ</t>
  </si>
  <si>
    <t>Veľké Kapušany</t>
  </si>
  <si>
    <t>Jaslovské Bohunice</t>
  </si>
  <si>
    <t>Veľký Šariš</t>
  </si>
  <si>
    <t>Kežmarok-Nižná brána</t>
  </si>
  <si>
    <t>Kolárovo</t>
  </si>
  <si>
    <t>Ždiar</t>
  </si>
  <si>
    <t>Žilina-Vysokoškolákov</t>
  </si>
  <si>
    <t>Komárno-Bratislavská</t>
  </si>
  <si>
    <t>Želiezovce</t>
  </si>
  <si>
    <t>Trebišov-Hlavná</t>
  </si>
  <si>
    <t>Žiar nad Hronom - Ladomerská Vieska</t>
  </si>
  <si>
    <t>Košice - Textilná</t>
  </si>
  <si>
    <t>Košice-Alejová</t>
  </si>
  <si>
    <t>Increase</t>
  </si>
  <si>
    <t>Veľký Meder</t>
  </si>
  <si>
    <t>Bratislava-Zlaté Piesky</t>
  </si>
  <si>
    <t>Senica</t>
  </si>
  <si>
    <t>Košice-Festivalové námestie</t>
  </si>
  <si>
    <t>Košice-Hutnícka</t>
  </si>
  <si>
    <t xml:space="preserve">Košice - Dargovských hrdinov </t>
  </si>
  <si>
    <t>Košice-Jantárová</t>
  </si>
  <si>
    <t>Ľubotice​</t>
  </si>
  <si>
    <t>Malacky</t>
  </si>
  <si>
    <t>Košice-Luník</t>
  </si>
  <si>
    <t>Košice-Moldavská</t>
  </si>
  <si>
    <t>Košice-Poľov</t>
  </si>
  <si>
    <t>Prešov-Levočská</t>
  </si>
  <si>
    <t>Považská Bystrica-Slovenských partizánov</t>
  </si>
  <si>
    <t>Košice-Sečovská</t>
  </si>
  <si>
    <t>Trenčianska Turná</t>
  </si>
  <si>
    <t>Kráľovský Chlmec II.</t>
  </si>
  <si>
    <t>Zvolen-Neresnícka</t>
  </si>
  <si>
    <t>Kremnica</t>
  </si>
  <si>
    <t>Krompachy</t>
  </si>
  <si>
    <t>Grand Total</t>
  </si>
  <si>
    <t>Senec - Senecká</t>
  </si>
  <si>
    <t>Krupina</t>
  </si>
  <si>
    <t>Sobrance</t>
  </si>
  <si>
    <t>Lednické Rovne</t>
  </si>
  <si>
    <t>Michalovce - Sobranecká</t>
  </si>
  <si>
    <t>Levice-Družstevnícka</t>
  </si>
  <si>
    <t>Michalovce-Močaranská</t>
  </si>
  <si>
    <t>Levice-Ku Bratke</t>
  </si>
  <si>
    <t>Trnava-Bratislavská</t>
  </si>
  <si>
    <t>Liptovský Mikuláš-Okoličné</t>
  </si>
  <si>
    <t>Lučenec-Opatová</t>
  </si>
  <si>
    <t>Rožňava-Brzotín</t>
  </si>
  <si>
    <t>Madunice</t>
  </si>
  <si>
    <t>Sverepec</t>
  </si>
  <si>
    <t>Martin-Francúzskych partizánov</t>
  </si>
  <si>
    <t>Zlaté Moravce-Hlavná</t>
  </si>
  <si>
    <t>Martin-Kollárova</t>
  </si>
  <si>
    <t>Martin-sever</t>
  </si>
  <si>
    <t>Medveďov</t>
  </si>
  <si>
    <t>Medzilaborce-Dobrianska</t>
  </si>
  <si>
    <t>Michalovce - Močarianska II.</t>
  </si>
  <si>
    <t>Piešťany-Bratislavská</t>
  </si>
  <si>
    <t>Nižná na Orave</t>
  </si>
  <si>
    <t>Šamorín-Bratislavská</t>
  </si>
  <si>
    <t>Nové Zámky-Výpalisko</t>
  </si>
  <si>
    <t>Sečovce-Kochanovská</t>
  </si>
  <si>
    <t>Nový Smokovec-Cesta slobody</t>
  </si>
  <si>
    <t>Partizánske</t>
  </si>
  <si>
    <t>Piešťany-Vrbovská</t>
  </si>
  <si>
    <t>Stropkov</t>
  </si>
  <si>
    <t>Poltár</t>
  </si>
  <si>
    <t>Vrbové</t>
  </si>
  <si>
    <t>Prešov – Ľ. Svobodu​</t>
  </si>
  <si>
    <t>Radoľa</t>
  </si>
  <si>
    <t>Prešov-Sekčov</t>
  </si>
  <si>
    <t>Prievidza – Nadjazdová​</t>
  </si>
  <si>
    <t>Prievidza - Rad L.N.Tolstého</t>
  </si>
  <si>
    <t>Púchov-Nimnická</t>
  </si>
  <si>
    <t>Rajec</t>
  </si>
  <si>
    <t>Rimavská Sobota-Cukrovarská</t>
  </si>
  <si>
    <t>Sabinov</t>
  </si>
  <si>
    <t>Veľký Krtíš</t>
  </si>
  <si>
    <t>Zákamenné</t>
  </si>
  <si>
    <t>Senec-Bratislavská</t>
  </si>
  <si>
    <t>Turzovka</t>
  </si>
  <si>
    <t>Sládkovičovo - Pionierska</t>
  </si>
  <si>
    <t>Slovnaft-vnútropodniková</t>
  </si>
  <si>
    <t>Spišská Nová Ves-Harichovská</t>
  </si>
  <si>
    <t>Turčianske Teplice</t>
  </si>
  <si>
    <t>Svidník</t>
  </si>
  <si>
    <t>Svrčinovec</t>
  </si>
  <si>
    <t>Trenčín-Žemberov dom</t>
  </si>
  <si>
    <t>Štúrovo</t>
  </si>
  <si>
    <t>Žiar n.Hronom-SNP</t>
  </si>
  <si>
    <t>Štúrovo-Železničný rad</t>
  </si>
  <si>
    <t>Terchová</t>
  </si>
  <si>
    <t>Topoľčany-Nitrianska</t>
  </si>
  <si>
    <t>Tornaľa</t>
  </si>
  <si>
    <t>Trenčianske Teplice</t>
  </si>
  <si>
    <t>Zvolen-Tulská</t>
  </si>
  <si>
    <t>Trstená</t>
  </si>
  <si>
    <t>Vnútropodniková - lobby</t>
  </si>
  <si>
    <t>Vráble-Nitrianska</t>
  </si>
  <si>
    <t>Zvolen-Lesnícka cesta</t>
  </si>
  <si>
    <t>Zvolen-Rákoš</t>
  </si>
  <si>
    <t>CATEGORIZATION</t>
  </si>
  <si>
    <t>CATEGORY COMPARISON</t>
  </si>
  <si>
    <t>No. of SeS by Category
CURRENT</t>
  </si>
  <si>
    <t>No. of SeS by Category
NEW MODEL</t>
  </si>
  <si>
    <t>Difference</t>
  </si>
  <si>
    <t>Region</t>
  </si>
  <si>
    <t>Category</t>
  </si>
  <si>
    <t>COCA</t>
  </si>
  <si>
    <t>TOTAL</t>
  </si>
  <si>
    <t>ALFA</t>
  </si>
  <si>
    <t>fee</t>
  </si>
  <si>
    <t>Bratislava - Záhorská Bystrica</t>
  </si>
  <si>
    <t>Bratislava - Zlaté Piesky</t>
  </si>
  <si>
    <t>Bratislava - DČS Zlaté piesky</t>
  </si>
  <si>
    <t>Bratislava - Prístavná</t>
  </si>
  <si>
    <t>Bratislava - Rybničná</t>
  </si>
  <si>
    <t>Bratislava - Viedenská cesta</t>
  </si>
  <si>
    <t>Pezinok - Šenkvická</t>
  </si>
  <si>
    <t>Bratislava - Dvory IV.</t>
  </si>
  <si>
    <t>Senec - Bratislavská</t>
  </si>
  <si>
    <t>Bratislava - Vnútropodniková ČS</t>
  </si>
  <si>
    <t>Bratislava - Vnútropodniková - Lobby</t>
  </si>
  <si>
    <t>Foodtruck</t>
  </si>
  <si>
    <t>AIRPORT - lobby</t>
  </si>
  <si>
    <t>Dunajská Streda - Komárňanská</t>
  </si>
  <si>
    <t>Bratislava - Púchovská</t>
  </si>
  <si>
    <t>Banská Štiavnica</t>
  </si>
  <si>
    <t>Levice - Kalnická</t>
  </si>
  <si>
    <t>Vráble - Nitrianska</t>
  </si>
  <si>
    <t>Zlaté Moravce</t>
  </si>
  <si>
    <t>Nová Baňa - Cintorínska</t>
  </si>
  <si>
    <t>Ilava - Štúrova</t>
  </si>
  <si>
    <t>Trenčín - Záblatie</t>
  </si>
  <si>
    <t>Piešťany - Bratislavská</t>
  </si>
  <si>
    <t>Topoľčany - Nitrianska cesta</t>
  </si>
  <si>
    <t>Hlohovec - Šulekovo</t>
  </si>
  <si>
    <t>Trnava - Nitrianska I.</t>
  </si>
  <si>
    <t>Trnava - Bučianska cesta</t>
  </si>
  <si>
    <t>Šaľa - Veča</t>
  </si>
  <si>
    <t>Šaľa - Galantská</t>
  </si>
  <si>
    <t>Komárno - Bratislavská</t>
  </si>
  <si>
    <t>Štúrovo - Komenského</t>
  </si>
  <si>
    <t>Komárno - Novozámocká</t>
  </si>
  <si>
    <t>Bratislava - Podunajské Biskupice</t>
  </si>
  <si>
    <t>Bratislava - Bajkalská</t>
  </si>
  <si>
    <t>Bratislava - Devínska Nová Ves</t>
  </si>
  <si>
    <t>Malacky - Pezinská</t>
  </si>
  <si>
    <t>Modra - Pezinská cesta</t>
  </si>
  <si>
    <t>Pezinok - Bratislavská</t>
  </si>
  <si>
    <t>Senec - Trnavská cesta</t>
  </si>
  <si>
    <t>Bratislava - Vajnory</t>
  </si>
  <si>
    <t>Levice - Družstevnícka</t>
  </si>
  <si>
    <t>Nitra - Dražovská</t>
  </si>
  <si>
    <t>Nitra - Krškany</t>
  </si>
  <si>
    <t>Nitra - Chrenová</t>
  </si>
  <si>
    <t>Nové Zámky - Komárňanská II (bývalá JET)</t>
  </si>
  <si>
    <t>Prievidza - Necpaly</t>
  </si>
  <si>
    <t>Púchov - Sedlište</t>
  </si>
  <si>
    <t>Trenčín - Zamarovce</t>
  </si>
  <si>
    <t>Trenčín - Žemberov dom</t>
  </si>
  <si>
    <t>Považská Bystrica - Orlové</t>
  </si>
  <si>
    <t>Dunajská Streda - Bratislavská I. (do Dun. Stredy)</t>
  </si>
  <si>
    <t>Galanta - Šalská cesta</t>
  </si>
  <si>
    <t>Trnava - Bratislavská</t>
  </si>
  <si>
    <t>Banská Bystrica - Jakub</t>
  </si>
  <si>
    <t>Banská Bystrica - Štiavničky</t>
  </si>
  <si>
    <t>Lučenec - Haličská</t>
  </si>
  <si>
    <t>Rimavská Sobota - Štátna cesta</t>
  </si>
  <si>
    <t>Žiar nad Hronom - SNP</t>
  </si>
  <si>
    <t>Zvolen - Lesnícka</t>
  </si>
  <si>
    <t>Revúca - M.R. Štefánika</t>
  </si>
  <si>
    <t>Martin - Sever</t>
  </si>
  <si>
    <t>Košice - Barca</t>
  </si>
  <si>
    <t>Košice - KVP</t>
  </si>
  <si>
    <t>Sečovce - Kochanovská</t>
  </si>
  <si>
    <t>Spišská Nová Ves - Harichovská</t>
  </si>
  <si>
    <t>Bardejov - Prešovská</t>
  </si>
  <si>
    <t>Humenné - ul. Osloboditeľov</t>
  </si>
  <si>
    <t>Poprad - Predné Hony</t>
  </si>
  <si>
    <t>Sabinov - Orkucany</t>
  </si>
  <si>
    <t>Medzilaborce - Dobrianskeho 116/14</t>
  </si>
  <si>
    <t>Liptovský Mikuláš - Okoličné</t>
  </si>
  <si>
    <t>Ružomberok - Roveň</t>
  </si>
  <si>
    <t>Nižná nad Oravou</t>
  </si>
  <si>
    <t>Banská Bystrica - Partizánska</t>
  </si>
  <si>
    <t>Detva</t>
  </si>
  <si>
    <t>Zvolen - Neresnická</t>
  </si>
  <si>
    <t>Zvolen - Rákoš</t>
  </si>
  <si>
    <t>Lučenec - Opatová</t>
  </si>
  <si>
    <t>Rimavská Sobota - Cukrovarská</t>
  </si>
  <si>
    <t>Banská Bystrica - Kremnička</t>
  </si>
  <si>
    <t>Žilina - Šibenice</t>
  </si>
  <si>
    <t>Žilina - Vysokoškolákov</t>
  </si>
  <si>
    <t>Žilina - Kragujevská (Komsomolcov)</t>
  </si>
  <si>
    <t>Handlová - Prievidzská cesta</t>
  </si>
  <si>
    <t>Martin - Kollárova</t>
  </si>
  <si>
    <t>Púchov - Streženická</t>
  </si>
  <si>
    <t>Bratislava - ul. Schneidera - Trnavského</t>
  </si>
  <si>
    <t>Bratislava - Petržalka I. (do BA)</t>
  </si>
  <si>
    <t>Bratislava - Podunajské Biskupice II</t>
  </si>
  <si>
    <t>Dunajská Streda - Bratislavská II. (von z Dun. Stredy)</t>
  </si>
  <si>
    <t>Šamorín - Bratislavská</t>
  </si>
  <si>
    <t>Nové Zámky - Výpalisko</t>
  </si>
  <si>
    <t>Štúrovo - Železničný rad</t>
  </si>
  <si>
    <t>Nitra - Baničova</t>
  </si>
  <si>
    <t>Šahy - Hontianska II.</t>
  </si>
  <si>
    <t>Liptovský Hrádok - Pod celinami 874</t>
  </si>
  <si>
    <t>Zvolen - Tulská</t>
  </si>
  <si>
    <t>Košice - Sečovská</t>
  </si>
  <si>
    <t>Košice - Hutnícka</t>
  </si>
  <si>
    <t>Košice - Moldavská I.</t>
  </si>
  <si>
    <t>Košice - Luník</t>
  </si>
  <si>
    <t>Košice - Šaca</t>
  </si>
  <si>
    <t>Košice - Festivalové námestie</t>
  </si>
  <si>
    <t>Rožňava - Brzotín</t>
  </si>
  <si>
    <t>Humenné - ul. Mieru</t>
  </si>
  <si>
    <t>Kráľovský Chlmec - Kapušianska</t>
  </si>
  <si>
    <t>Michalovce - Močarianska</t>
  </si>
  <si>
    <t>Michalovce - Sobranecká cesta</t>
  </si>
  <si>
    <t>Trebišov</t>
  </si>
  <si>
    <t>Vranov nad Topľou</t>
  </si>
  <si>
    <t>Kežmarok - Nižná Brána</t>
  </si>
  <si>
    <t>Krompachy - nová</t>
  </si>
  <si>
    <t>Nový Smokovec</t>
  </si>
  <si>
    <t>Spišská Nová Ves - Markušovská</t>
  </si>
  <si>
    <t>Stará Ľubovňa</t>
  </si>
  <si>
    <t>Bardejov - Kúpeľná</t>
  </si>
  <si>
    <t>Malý Šariš - Sever</t>
  </si>
  <si>
    <t>Malý Šariš - Juh</t>
  </si>
  <si>
    <t>Prešov - Levočská</t>
  </si>
  <si>
    <t>Prešov - Sekčov</t>
  </si>
  <si>
    <t>Janovík - Západ</t>
  </si>
  <si>
    <t>Zvolen - Lieskovec</t>
  </si>
  <si>
    <t>Dunajská Streda - Galantská</t>
  </si>
  <si>
    <t>Košice - Palackého</t>
  </si>
  <si>
    <t>Martin - Francúzskych partizánov</t>
  </si>
  <si>
    <t>Žiar nad Hronom - Ladomerská vieska</t>
  </si>
  <si>
    <t>Levice - Ku Bratke</t>
  </si>
  <si>
    <t>Holíč - Bratislavská</t>
  </si>
  <si>
    <t>Banská Bystrica - Rudlovská</t>
  </si>
  <si>
    <t>Bratislava - Bajkalská II.</t>
  </si>
  <si>
    <t>Bratislava - Botanická</t>
  </si>
  <si>
    <t>Bratislava - Bratská</t>
  </si>
  <si>
    <t>Bratislava - Tomášikova II.</t>
  </si>
  <si>
    <t>Bratislava - Vajnorská III.</t>
  </si>
  <si>
    <t>Bratislava - Vrakuňská</t>
  </si>
  <si>
    <t>Banská Bystrica - Zvolenská</t>
  </si>
  <si>
    <t>Budča - Juh</t>
  </si>
  <si>
    <t>Budča - Sever</t>
  </si>
  <si>
    <t>Košice - Alejová</t>
  </si>
  <si>
    <t>Košice - Jantárová</t>
  </si>
  <si>
    <t>Piešťany - Vrbovská</t>
  </si>
  <si>
    <t>Poprad - Moyzesova</t>
  </si>
  <si>
    <t>Považská Bystrica - Slovenských partizánov</t>
  </si>
  <si>
    <t>Trenčín - Električná</t>
  </si>
  <si>
    <t>Žilina - Kysucká</t>
  </si>
  <si>
    <t>Košice - Poľov</t>
  </si>
  <si>
    <t>Liptovský Mikuláš - Kamenné pole</t>
  </si>
  <si>
    <t>Nitra - Na Pasienkoch</t>
  </si>
  <si>
    <t>Veľká Lomnica</t>
  </si>
  <si>
    <t>Jaklovce</t>
  </si>
  <si>
    <t>Bratislava - Panónska?</t>
  </si>
  <si>
    <t>Bratislava – Slovnaftská</t>
  </si>
  <si>
    <t>Košice - Dargovských hrdinov</t>
  </si>
  <si>
    <t>Ľubotice?</t>
  </si>
  <si>
    <t>Prešov – Ľ. Svobodu?</t>
  </si>
  <si>
    <t>Prievidza – Nadjazdová?</t>
  </si>
  <si>
    <t>Refresh if data were changed in sheet "NEW MODEL SUMMARY"</t>
  </si>
  <si>
    <t>(mind)</t>
  </si>
  <si>
    <t>Retail Sales Area</t>
  </si>
  <si>
    <t>NEW
CATEGORY
(ROMAN)</t>
  </si>
  <si>
    <t>FUEL
(lit)</t>
  </si>
  <si>
    <t>LPG
(lit)</t>
  </si>
  <si>
    <t>LPG
POINTS</t>
  </si>
  <si>
    <t>NON-FUEL SHOP
revenue (HRK)</t>
  </si>
  <si>
    <t>NF SHOP
POINTS</t>
  </si>
  <si>
    <t>LUBRICANTS
(revenue HRK)</t>
  </si>
  <si>
    <t>LUBES
POINTS</t>
  </si>
  <si>
    <t>LPG BOTTLED
revenue (HRK)</t>
  </si>
  <si>
    <t>LPG BOT.
POINTS</t>
  </si>
  <si>
    <t>GASTRO
revenue (HRK)</t>
  </si>
  <si>
    <t>AB/FC/CC</t>
  </si>
  <si>
    <t>GASTRO
POINTS</t>
  </si>
  <si>
    <t>CAR WASH
revenue (HRK)</t>
  </si>
  <si>
    <t>EXCHANGE OFFFICE</t>
  </si>
  <si>
    <t>EXCH. OFF.
POINTS</t>
  </si>
  <si>
    <t>TRANSACTIONS
(actual 2019)</t>
  </si>
  <si>
    <t>HU-12</t>
  </si>
  <si>
    <t>Gyõr, Tatai út</t>
  </si>
  <si>
    <t>í</t>
  </si>
  <si>
    <t>Gyõr, Nagymegyeri út  (Galántai út)</t>
  </si>
  <si>
    <t>Mosonmagyaróvár, M1 II. (bal)</t>
  </si>
  <si>
    <t>Mosonmagyaróvár, M1 I. (jobb)</t>
  </si>
  <si>
    <t>M1 autópálya, 22 km II. (bal)</t>
  </si>
  <si>
    <t>Győr, Szent Imre u. 55.</t>
  </si>
  <si>
    <t>Szombathely, Viktória út 1.</t>
  </si>
  <si>
    <t>Komárom, Mártírok út</t>
  </si>
  <si>
    <t>Gyõr, Budai út</t>
  </si>
  <si>
    <t>Tatabánya, Gyõri út</t>
  </si>
  <si>
    <t>M1 autópálya, 22 km I. (jobb)</t>
  </si>
  <si>
    <t>Rajka, Bem József u.</t>
  </si>
  <si>
    <t>Csorna, Soproni út</t>
  </si>
  <si>
    <t xml:space="preserve">Mosonmagyaróvár, Királyhidai út </t>
  </si>
  <si>
    <t>Oroszlány, Rákóczi Ferenc út 94.</t>
  </si>
  <si>
    <t>Kapuvár, Gyõri út</t>
  </si>
  <si>
    <t>Tata, Vértesszőlősi út</t>
  </si>
  <si>
    <t>Abda, Bécsi u. 1.</t>
  </si>
  <si>
    <t>Szombathely, Zanati út I.</t>
  </si>
  <si>
    <t>Tatabánya, Kossuth L. u.</t>
  </si>
  <si>
    <t>Vértesszőlős, Határ u. 1-3.</t>
  </si>
  <si>
    <t>Gyõr, Nagy Imre u.</t>
  </si>
  <si>
    <t>Hegyeshalom, Fő út 1.</t>
  </si>
  <si>
    <t>Győr AUDI HUNGÁRIA út. 1.</t>
  </si>
  <si>
    <t>HU-06</t>
  </si>
  <si>
    <t>Hatvan, M3 I.</t>
  </si>
  <si>
    <t>Kecskemét, Békéscsabai út</t>
  </si>
  <si>
    <t>Gyál, Kőrösi út</t>
  </si>
  <si>
    <t>Budapest, Árpád fejedelem út</t>
  </si>
  <si>
    <t>Budapest, Ócsai út</t>
  </si>
  <si>
    <t>Hatvan, M3 II.</t>
  </si>
  <si>
    <t>Budapest, Hűvösvölgyi út</t>
  </si>
  <si>
    <t>Lajosmizse, 50. sz. főút</t>
  </si>
  <si>
    <t>Dabas, 50. sz. főút</t>
  </si>
  <si>
    <t>Vecsés, M0 I. (jobb)</t>
  </si>
  <si>
    <t>Monor, 4. sz. főút</t>
  </si>
  <si>
    <t>Dunaharaszti, Fő út</t>
  </si>
  <si>
    <t>Budapest, Ady Endre út 22. (XIX)</t>
  </si>
  <si>
    <t>Budapest, Nagykőrösi út</t>
  </si>
  <si>
    <t>Budapest, Napfény u.</t>
  </si>
  <si>
    <t>Budapest, Méta u. (XIX)</t>
  </si>
  <si>
    <t>Budapest, Helsinki u. 108. (XX)</t>
  </si>
  <si>
    <t>Kecskemét, Szegedi út 19.</t>
  </si>
  <si>
    <t>Kiskunfélegyháza, Bajcsy-Zs. u.</t>
  </si>
  <si>
    <t>Nagykőrös, Téglagyári u. 1</t>
  </si>
  <si>
    <t>Abony, Radák u.</t>
  </si>
  <si>
    <t>Budapest, Gubacsi út</t>
  </si>
  <si>
    <t>Budapest, Üllői út 738.</t>
  </si>
  <si>
    <t>Kecskemét, Budai u.</t>
  </si>
  <si>
    <t>Kecskemét, Katona József tér</t>
  </si>
  <si>
    <t>HU-17</t>
  </si>
  <si>
    <t>Dunaújváros, 6. sz. főút</t>
  </si>
  <si>
    <t>Solt, Vecsei u.</t>
  </si>
  <si>
    <t>Kiskunlacháza, Hatház u.</t>
  </si>
  <si>
    <t>Szekszárd, Csatári Torok</t>
  </si>
  <si>
    <t>Érd, Ercsi út</t>
  </si>
  <si>
    <t>Ercsi, M6 I. jobb (jobb)</t>
  </si>
  <si>
    <t>Ercsi, M6 II. bal (bal)</t>
  </si>
  <si>
    <t>Paks, 6. sz. főút</t>
  </si>
  <si>
    <t>Bicske, Botond tér</t>
  </si>
  <si>
    <t>Százhalombatta, Bekötõ út</t>
  </si>
  <si>
    <t>Adony, 6. sz. főút</t>
  </si>
  <si>
    <t>Érd, Budai út I.</t>
  </si>
  <si>
    <t>Szekszárd, M6 II.</t>
  </si>
  <si>
    <t>Ráckeve, Kossuth L. u.</t>
  </si>
  <si>
    <t>Szekszárd, Pásztor út</t>
  </si>
  <si>
    <t>Szekszárd, M6 I.</t>
  </si>
  <si>
    <t>Mohács, Eszéki út</t>
  </si>
  <si>
    <t>Szabadszállás, Petőfi S. út</t>
  </si>
  <si>
    <t>Budapest, Puskás F. u.</t>
  </si>
  <si>
    <t>Fülöpszállás, Kurjantópuszta (52. sz. főút)</t>
  </si>
  <si>
    <t>Tolna, Szedresi u.</t>
  </si>
  <si>
    <t xml:space="preserve">Tolna-Mözs, Béri Balogh Ádám u. </t>
  </si>
  <si>
    <t>Dunaföldvár, 6. sz. főút</t>
  </si>
  <si>
    <t>Mohács, Pécsi út</t>
  </si>
  <si>
    <t>Kunszentmiklós, Szabadság u.</t>
  </si>
  <si>
    <t>Érd, Budai út II.</t>
  </si>
  <si>
    <t>Százhalombatta, Dunai Finomító</t>
  </si>
  <si>
    <t>HU-14</t>
  </si>
  <si>
    <t>Szombathely, Zanati út II.  </t>
  </si>
  <si>
    <t>Kaposvár, Guba Sándor út</t>
  </si>
  <si>
    <t>Pápa, Jókai út</t>
  </si>
  <si>
    <t>Zalakomár, M7 II. (bal)</t>
  </si>
  <si>
    <t>Tapolca, Kossuth út</t>
  </si>
  <si>
    <t>Ajka, Fõ út</t>
  </si>
  <si>
    <t>Zalakomár, M7 I. (jobb)</t>
  </si>
  <si>
    <t>Tapolca, Keszthelyi u.</t>
  </si>
  <si>
    <t>Zirc, Kossuth L. út</t>
  </si>
  <si>
    <t>Celldömölk, Ostffy tér</t>
  </si>
  <si>
    <t>Veszprém, Almádi u.</t>
  </si>
  <si>
    <t>Kaposvár, Füredi út</t>
  </si>
  <si>
    <t>Veszprém, Budapesti út 91.</t>
  </si>
  <si>
    <t>Badacsony, 71.sz. főút</t>
  </si>
  <si>
    <t>Bakonygyepes, 8. sz. fkl. út</t>
  </si>
  <si>
    <t>Devecser, Pápai út</t>
  </si>
  <si>
    <t>Marcali, Noszlopy u.</t>
  </si>
  <si>
    <t>Nagyatád, Lábodi út</t>
  </si>
  <si>
    <t>Nagykanizsa, Camping</t>
  </si>
  <si>
    <t>Kaposvár, Kanizsai u.</t>
  </si>
  <si>
    <t>Hajmáskér, 8-as főút</t>
  </si>
  <si>
    <t>Kaposszekcső, 611-es főút</t>
  </si>
  <si>
    <t>Böhönye, Szabadság u.</t>
  </si>
  <si>
    <t>Csurgó, Iharos út</t>
  </si>
  <si>
    <t>Pápa, Gyõri út</t>
  </si>
  <si>
    <t>HU-05</t>
  </si>
  <si>
    <t>Fót, M2</t>
  </si>
  <si>
    <t>Salgótarján, Budapesti u.</t>
  </si>
  <si>
    <t>Rétság, 2. sz. főút</t>
  </si>
  <si>
    <t>Füzesabony, Maklári út</t>
  </si>
  <si>
    <t>Gödöllő, Pattantyús Ábrahám krt. 4</t>
  </si>
  <si>
    <t>Vác, Balassagyarmati út</t>
  </si>
  <si>
    <t>Ózd, Vasvár út</t>
  </si>
  <si>
    <t>Balassagyarmat, Kõvári út</t>
  </si>
  <si>
    <t>Heves, Csáti út</t>
  </si>
  <si>
    <t>Kazincbarcika, Mucsonyi út</t>
  </si>
  <si>
    <t>Vác, Diadal tér</t>
  </si>
  <si>
    <t>Gyöngyös, Alkotmány út</t>
  </si>
  <si>
    <t>Szécsény, Salgótarjáni út</t>
  </si>
  <si>
    <t>Nagymaros, Váci út</t>
  </si>
  <si>
    <t>Aszód, Pesti út</t>
  </si>
  <si>
    <t>Salgótarján, Rákóczi út</t>
  </si>
  <si>
    <t>Sajószentpéter, Kossuth L. út</t>
  </si>
  <si>
    <t>Veresegyház, Fő u.</t>
  </si>
  <si>
    <t>Pétervására, Orgona út</t>
  </si>
  <si>
    <t>Bátonyterenye, 21. sz. főút</t>
  </si>
  <si>
    <t>Parádfürdö, 24. sz. főút</t>
  </si>
  <si>
    <t>Putnok, 26. sz. főút</t>
  </si>
  <si>
    <t>Galgaguta, Kossuth u.</t>
  </si>
  <si>
    <t>Kazincbarcika, 26. sz. főút</t>
  </si>
  <si>
    <t>Mogyoród, Hungaroring</t>
  </si>
  <si>
    <t>HU-07</t>
  </si>
  <si>
    <t>Szeged, 47.sz. főút</t>
  </si>
  <si>
    <t>Szeged, Dorozsmai út</t>
  </si>
  <si>
    <t>Szeged, Makai út</t>
  </si>
  <si>
    <t>Mezőhegyes, Kinizsi tér</t>
  </si>
  <si>
    <t>Kalocsa, Negyvennyolcas út</t>
  </si>
  <si>
    <t>Szeged, Kálvária sugárút</t>
  </si>
  <si>
    <t>Kiskőrös, Petőfi u.</t>
  </si>
  <si>
    <t>Kiskunmajsa, Halasi u.</t>
  </si>
  <si>
    <t>Kistelek, 5. sz. főút</t>
  </si>
  <si>
    <t>Baja, Dózsa Gy. u. 97.</t>
  </si>
  <si>
    <t>Szeged, Makkosházi krt. 6.</t>
  </si>
  <si>
    <t>Baja, Szegedi út</t>
  </si>
  <si>
    <t>Kecskemét, Izsáki u. 67.</t>
  </si>
  <si>
    <t>Kecel, Császártöltési u.</t>
  </si>
  <si>
    <t>Bácsalmás, Backnang út</t>
  </si>
  <si>
    <t>Hódmezővásárhely, Tóalj út</t>
  </si>
  <si>
    <t>Szeged, Csongrádi sugárút</t>
  </si>
  <si>
    <t>Kiskunhalas, Majsai út</t>
  </si>
  <si>
    <t>Bócsa, III. körzet 1.</t>
  </si>
  <si>
    <t>Csávoly, Dózsa Gy. u. 50.</t>
  </si>
  <si>
    <t>Szeged, Vásárhelyi Pál u.</t>
  </si>
  <si>
    <t>Szeged, Dorozsmai út 16.</t>
  </si>
  <si>
    <t>Jánoshalma, Halasi út 91.</t>
  </si>
  <si>
    <t>Mezőkovácsháza, Mezőhegyesi út</t>
  </si>
  <si>
    <t>Mezőkovácsháza, Vásárhelyi Sándor u. 1</t>
  </si>
  <si>
    <t>HU-02</t>
  </si>
  <si>
    <t>Mátészalka, Vásár tér</t>
  </si>
  <si>
    <t>Debrecen, Sámsoni út</t>
  </si>
  <si>
    <t>Fehérgyarmat, Alkotmány út</t>
  </si>
  <si>
    <t>Nyíregyháza, Széna tér</t>
  </si>
  <si>
    <t>Debrecen, Böszörményi út</t>
  </si>
  <si>
    <t>Berettyóújfalu, 42-47 út körforg</t>
  </si>
  <si>
    <t>Téglás, 4. sz. főút</t>
  </si>
  <si>
    <t>Vásárosnamény, Nyíregyházi út</t>
  </si>
  <si>
    <t>Nyíregyháza, Tokaji út</t>
  </si>
  <si>
    <t>Debrecen, Mikepércsi út II.</t>
  </si>
  <si>
    <t>Nyíregyháza, László u.</t>
  </si>
  <si>
    <t>Kisvárda, Attila út</t>
  </si>
  <si>
    <t>Nyíregyháza, Pazonyi út</t>
  </si>
  <si>
    <t>Debrecen, Kassai út 27.</t>
  </si>
  <si>
    <t>Záhony, 4. sz. főút</t>
  </si>
  <si>
    <t>Hajdúböszörmény, Debreceni út</t>
  </si>
  <si>
    <t>Debrecen, Mikepércsi út I.</t>
  </si>
  <si>
    <t>Hajdúnánás, Tiszavasvári út</t>
  </si>
  <si>
    <t>Baktalórántháza, 41. sz. főút</t>
  </si>
  <si>
    <t>Nyírbátor, Császári út</t>
  </si>
  <si>
    <t>Nyíregyháza, Vasgyár u. 18.</t>
  </si>
  <si>
    <t>Polgár, Hajdú u.</t>
  </si>
  <si>
    <t>Debrecen, Benedek tér</t>
  </si>
  <si>
    <t>Tiszalök, Táncsics u.</t>
  </si>
  <si>
    <t>Újfehértó, 4. sz. főút</t>
  </si>
  <si>
    <t>Csenger, Ady E. u.</t>
  </si>
  <si>
    <t>Hosszúpályi, Földvár u.</t>
  </si>
  <si>
    <t>Hajdúdorog, Böszörményi út</t>
  </si>
  <si>
    <t>Vámospércs, Debreceni út</t>
  </si>
  <si>
    <t>HU-15</t>
  </si>
  <si>
    <t>Balatonakarattya, 71.sz. főút</t>
  </si>
  <si>
    <t>Siófok, Wesselényi u.</t>
  </si>
  <si>
    <t>Győrújbarát, M1 autópálya 119.km</t>
  </si>
  <si>
    <t>Balatonfüred, Széchenyi út</t>
  </si>
  <si>
    <t>Füle, M7 autópálya I. 83 km</t>
  </si>
  <si>
    <t>Székesfehérvár, Balatoni út</t>
  </si>
  <si>
    <t>Füle, M7 autópálya II. 83 km</t>
  </si>
  <si>
    <t>Balatonlelle, Rákóczi út</t>
  </si>
  <si>
    <t>Hévíz, Hévízi út</t>
  </si>
  <si>
    <t>Balatonalmádi, Fűzfői út</t>
  </si>
  <si>
    <t>Balatonlelle, M7 I. (jobb)</t>
  </si>
  <si>
    <t>Balatonlelle, M7 II. (bal)</t>
  </si>
  <si>
    <t>Balatonföldvár, Szentgyörgyi út</t>
  </si>
  <si>
    <t>Keszthely, Festetics Gy. út</t>
  </si>
  <si>
    <t>Veszprém, belterület HRSZ: 6608/11</t>
  </si>
  <si>
    <t>Balatonkeresztúr, 7. sz. főút</t>
  </si>
  <si>
    <t>Balatonederics, 71-es főút</t>
  </si>
  <si>
    <t>Zamárdi, Endrédi út</t>
  </si>
  <si>
    <t>Siófok, M7 autópálya II. 94. km</t>
  </si>
  <si>
    <t>Tab, Siófoki út</t>
  </si>
  <si>
    <t>Fonyód, József A. u.</t>
  </si>
  <si>
    <t>Dég, 64. sz. főút</t>
  </si>
  <si>
    <t>Ságvár, 65-ös főút</t>
  </si>
  <si>
    <t>Siófok, M7 autópálya I. 94. km</t>
  </si>
  <si>
    <t>HU-16</t>
  </si>
  <si>
    <t>Pécs, Endresz út</t>
  </si>
  <si>
    <t>Pécs, Maléter P. u.</t>
  </si>
  <si>
    <t>Pécs, Pécsváradi út 12.</t>
  </si>
  <si>
    <t>Dombóvár, Köztársaság u.</t>
  </si>
  <si>
    <t>Szigetvár, József A. u.</t>
  </si>
  <si>
    <t>Pécs, 6. sz. főút</t>
  </si>
  <si>
    <t>Bonyhád, Zrínyi út</t>
  </si>
  <si>
    <t>Siklós, Szent István tér</t>
  </si>
  <si>
    <t>Szentlőrinc, Törökföld u.</t>
  </si>
  <si>
    <t>Kaposvár, Vásár tér</t>
  </si>
  <si>
    <t>Pécs, Komlói út</t>
  </si>
  <si>
    <t>Sásd, Szent Imre út 42.</t>
  </si>
  <si>
    <t>Bátaszék, Budai út</t>
  </si>
  <si>
    <t>Pécs, Szigeti út</t>
  </si>
  <si>
    <t>Pécsvárad, 6. sz. főút</t>
  </si>
  <si>
    <t>Barcs, Erkel F. út</t>
  </si>
  <si>
    <t>Harkány, Pécsi út</t>
  </si>
  <si>
    <t>Pécs, Siklósi út 9</t>
  </si>
  <si>
    <t>Bonyhád, Kossuth u.</t>
  </si>
  <si>
    <t>Komló, Feketegyémánt tér</t>
  </si>
  <si>
    <t>Villány, Virágosi út</t>
  </si>
  <si>
    <t>Szalánta, 58. főút</t>
  </si>
  <si>
    <t>Vajszló, Széchenyi út</t>
  </si>
  <si>
    <t>Kadarkút, Kaposvári u.</t>
  </si>
  <si>
    <t>HU-19</t>
  </si>
  <si>
    <t>Békéscsaba, Sportcsarnok</t>
  </si>
  <si>
    <t>Békéscsaba, Corvin u. 31.</t>
  </si>
  <si>
    <t>Békéscsaba, Bartók Béla út</t>
  </si>
  <si>
    <t>HU-01</t>
  </si>
  <si>
    <t>Szatymaz, M5 autópálya II. (bal)</t>
  </si>
  <si>
    <t>Kecskemét, M5 autópálya (bal)</t>
  </si>
  <si>
    <t>Szatymaz, M5 autópálya I. (jobb)</t>
  </si>
  <si>
    <t>Szentes, Attila út</t>
  </si>
  <si>
    <t>Kecskemét, M5 autópálya (jobb)</t>
  </si>
  <si>
    <t>Békéscsaba, Szegedi út</t>
  </si>
  <si>
    <t>Orosháza, Elkerülő út</t>
  </si>
  <si>
    <t>Lakitelek, Szikra u. 206/c</t>
  </si>
  <si>
    <t>Tiszakécske, Szolnoki u.</t>
  </si>
  <si>
    <t>Orosháza, Kettőssánc tér</t>
  </si>
  <si>
    <t>Sarkad, Vásár tér</t>
  </si>
  <si>
    <t>Hódmezővásárhely, Szántó Kovács János út</t>
  </si>
  <si>
    <t>Szarvas, Szabadság út 51-53.</t>
  </si>
  <si>
    <t>Szeghalom, Ady Endre út</t>
  </si>
  <si>
    <t>Mezőberény, Békési út</t>
  </si>
  <si>
    <t>Cserkeszőlő, Kecskeméti út</t>
  </si>
  <si>
    <t>Gyula, Csabai út</t>
  </si>
  <si>
    <t>Szarvas, Békéscsabai út</t>
  </si>
  <si>
    <t xml:space="preserve">Gyula, Temesvári út </t>
  </si>
  <si>
    <t>Csongrád, Szentesi út</t>
  </si>
  <si>
    <t>Dévaványa, Sport u.</t>
  </si>
  <si>
    <t>Túrkeve, Kisújszállási u.</t>
  </si>
  <si>
    <t>Kecskemét, Izsáki út 12/a</t>
  </si>
  <si>
    <t>Kunszentmárton, Szentesi út</t>
  </si>
  <si>
    <t>Komádi, Szent István út</t>
  </si>
  <si>
    <t>Nagyszénás, Orosházi út</t>
  </si>
  <si>
    <t>HU-13</t>
  </si>
  <si>
    <t>Zalaegerszeg, Balatoni út I.</t>
  </si>
  <si>
    <t>Nagycenk, 84. sz. főút</t>
  </si>
  <si>
    <t>Letenye, Bajcsy-Zs. u.</t>
  </si>
  <si>
    <t>Nagykanizsa, Elkerülő út</t>
  </si>
  <si>
    <t>Rédics, 86. sz. főút</t>
  </si>
  <si>
    <t>Lenti, Széchenyi tér</t>
  </si>
  <si>
    <t>Zalaegerszeg, Göcseji u. 37</t>
  </si>
  <si>
    <t xml:space="preserve">Lövő, Kőszegi út hrsz.0179/39 </t>
  </si>
  <si>
    <t>Sopron, Győri út 42.</t>
  </si>
  <si>
    <t>Vasvár, Dr. Tretter L. u.</t>
  </si>
  <si>
    <t>Körmend, Rákóczi F. út</t>
  </si>
  <si>
    <t>Rábafüzes, 8. sz. főút</t>
  </si>
  <si>
    <t>Szombathely, Márkus Emília u. 10</t>
  </si>
  <si>
    <t>Szentgotthárd, Rábafüzesi út</t>
  </si>
  <si>
    <t>Kőszeg, Petőfi S. tér</t>
  </si>
  <si>
    <t>Sopron, Határátkelő I. (jobb)</t>
  </si>
  <si>
    <t>Nagyvázsony, Templom kert</t>
  </si>
  <si>
    <t>Sárvár, Vágóhíd u.</t>
  </si>
  <si>
    <t>Keszthely, Tapolcai út</t>
  </si>
  <si>
    <t>Sopron, Kõfaragó tér</t>
  </si>
  <si>
    <t>Zalaegerszeg, Zrínyi út</t>
  </si>
  <si>
    <t>Nagykanizsa, Balatoni út</t>
  </si>
  <si>
    <t>Sümeg, Alkotmány u.</t>
  </si>
  <si>
    <t>Beled, 86. sz. főút</t>
  </si>
  <si>
    <t>Kám, Jókai Mór út</t>
  </si>
  <si>
    <t>Sajtoskál, 84-es főút</t>
  </si>
  <si>
    <t xml:space="preserve">ZalaZone Járműtechnikai Tesztpálya </t>
  </si>
  <si>
    <t>HU-04</t>
  </si>
  <si>
    <t>Berettyóújfalu, 42. sz. főút</t>
  </si>
  <si>
    <t>Szolnok, Elkerülő út</t>
  </si>
  <si>
    <t>Cegléd, M4 I.</t>
  </si>
  <si>
    <t>Cegléd, M4 II.</t>
  </si>
  <si>
    <t>Tiszafüred, Ady E. út</t>
  </si>
  <si>
    <t>Fegyvernek, 4. sz. főút</t>
  </si>
  <si>
    <t>Karcag, Gyarmati u.</t>
  </si>
  <si>
    <t>Martfű, Földvári út 4.</t>
  </si>
  <si>
    <t>Kunhegyes, Kossuth Lajos u.</t>
  </si>
  <si>
    <t>Jászberény, Nagykátai út</t>
  </si>
  <si>
    <t>Kenderes, Petőfi út 73.</t>
  </si>
  <si>
    <t>Kisújszállás, 4. sz. főút</t>
  </si>
  <si>
    <t>Gyomaendrőd, Fő út</t>
  </si>
  <si>
    <t>Karcag, Madarasi út</t>
  </si>
  <si>
    <t>Berettyóújfalu, 47. sz. főút</t>
  </si>
  <si>
    <t>Törökszentmiklós, Kossuth L. út</t>
  </si>
  <si>
    <t>Szolnok, Pozsonyi út</t>
  </si>
  <si>
    <t>Jászjákóhalma, Fő út 130/B. (31. sz. főút)</t>
  </si>
  <si>
    <t>Szolnok, Abonyi út</t>
  </si>
  <si>
    <t>Szolnok, Tószegi út 18.</t>
  </si>
  <si>
    <t>Mezőtúr, Balassi u.</t>
  </si>
  <si>
    <t>Püspökladány, Keleti sor</t>
  </si>
  <si>
    <t>Biharkeresztes, 42. sz. főút</t>
  </si>
  <si>
    <t>Szolnok, Gábor Áron tér</t>
  </si>
  <si>
    <t>HU-10</t>
  </si>
  <si>
    <t>Diósd, 70. sz. főút</t>
  </si>
  <si>
    <t>Várpalota, 8-as főút</t>
  </si>
  <si>
    <t>Mór, Nemes u.</t>
  </si>
  <si>
    <t>Veszprém, Budapesti u.</t>
  </si>
  <si>
    <t>Székesfehérvár, Sárkeresztúri út</t>
  </si>
  <si>
    <t>Budapest, Nagyszőlős u. 47.(XI.)</t>
  </si>
  <si>
    <t>Székesfehérvár, Seregélyesi út 1</t>
  </si>
  <si>
    <t>Székesfehérvár, Szent Flórián u.</t>
  </si>
  <si>
    <t>Gárdony, Szabadság u.</t>
  </si>
  <si>
    <t>Budapest, Hunyadi J. út</t>
  </si>
  <si>
    <t>Tamási, Szabadság u.</t>
  </si>
  <si>
    <t>Budapest, Borszéki út</t>
  </si>
  <si>
    <t>Budakeszi, Temető út</t>
  </si>
  <si>
    <t>Diósd, Balatoni út 11.</t>
  </si>
  <si>
    <t>Budapest, Üllői út 303. (XIX)</t>
  </si>
  <si>
    <t>Sárbogárd, Köztársaság út</t>
  </si>
  <si>
    <t xml:space="preserve">Budakeszi, Budaörsi u. </t>
  </si>
  <si>
    <t>Budapest, Irinyi u.</t>
  </si>
  <si>
    <t>Sárkeresztes, 81-es főút</t>
  </si>
  <si>
    <t>Simontornya, 61-es főút</t>
  </si>
  <si>
    <t>Várpalota, 8. sz. főút II. (bal)</t>
  </si>
  <si>
    <t>Budapest, Nagytétényi út</t>
  </si>
  <si>
    <t>Mór, Nemes u. 24.</t>
  </si>
  <si>
    <t>Székesfehérvár, Seregélyesi út</t>
  </si>
  <si>
    <t>Várpalota, 8. sz. főút I. (jobb)</t>
  </si>
  <si>
    <t>HU-09</t>
  </si>
  <si>
    <t>Szigetszentmiklós, HRSZ12902/13</t>
  </si>
  <si>
    <t>Gyömrő, Mendei út</t>
  </si>
  <si>
    <t>Budaörs, Metro</t>
  </si>
  <si>
    <t>Budapest,Könyves Kálmán krt. 41(X.)</t>
  </si>
  <si>
    <t>Budapest, Szent István út</t>
  </si>
  <si>
    <t>Budaörs, Rubik E. u.</t>
  </si>
  <si>
    <t>Isaszeg, 455 hrsz</t>
  </si>
  <si>
    <t>Vecsés, M0 II. (bal)</t>
  </si>
  <si>
    <t>Budaörs, Garibaldi u. 2.</t>
  </si>
  <si>
    <t>Pécel, Köztársaság tér</t>
  </si>
  <si>
    <t>Szigethalom, Petőfi S. u.</t>
  </si>
  <si>
    <t>Budapest, Golgota tér</t>
  </si>
  <si>
    <t>Budapest, Gyáli út (IX.)</t>
  </si>
  <si>
    <t>Budapest, Mezőkövesd út 1. (XI.)</t>
  </si>
  <si>
    <t>Budapest, Üllõi út 661.</t>
  </si>
  <si>
    <t>Budapest, Szabadkikötő út (XXI)</t>
  </si>
  <si>
    <t>Budapest, Pesti út</t>
  </si>
  <si>
    <t>Budapest, Ady Endre út 67. (XX)</t>
  </si>
  <si>
    <t>Budapest, Mozaik u.</t>
  </si>
  <si>
    <t>Budapest, Kossuth L. u.</t>
  </si>
  <si>
    <t>Budapest, Cinkotai út (XVII)</t>
  </si>
  <si>
    <t>Budapest, Futó u.</t>
  </si>
  <si>
    <t>Budapest, Fehér u.</t>
  </si>
  <si>
    <t>Budapest, Szentendrei út 59.(III.)</t>
  </si>
  <si>
    <t>HU-11</t>
  </si>
  <si>
    <t>Budapest, Csömöri út 27 (XIV)</t>
  </si>
  <si>
    <t>Velence, M7 I. (jobb)</t>
  </si>
  <si>
    <t>Esztergom, Visegrádi út</t>
  </si>
  <si>
    <t>Velence, M7 II. (bal)</t>
  </si>
  <si>
    <t>Budapest, Szentendrei út 100.(III.)</t>
  </si>
  <si>
    <t>Piliscsaba, 10-es fő út</t>
  </si>
  <si>
    <t>Budapest, Mészáros u.</t>
  </si>
  <si>
    <t>Budapest, Prielle K. u.</t>
  </si>
  <si>
    <t>Vecsés, Fő út</t>
  </si>
  <si>
    <t>Budapest, Gémeskút u. 12. (III.)</t>
  </si>
  <si>
    <t>Budapest, Budaörsi út 126. (XI.)</t>
  </si>
  <si>
    <t>Törökbálint, M0 6 km.</t>
  </si>
  <si>
    <t>Törökbálint, Raktárvárosi u. 3.</t>
  </si>
  <si>
    <t>Budaörs, Repülőtér</t>
  </si>
  <si>
    <t>Dorog, Bécsi út</t>
  </si>
  <si>
    <t>Budapest, Arany J. u.</t>
  </si>
  <si>
    <t>Budapest, Szentendrei út 255.(III.)</t>
  </si>
  <si>
    <t>Pilisvörösvár, 10. sz. főút</t>
  </si>
  <si>
    <t>Budapest, Istenhegyi út</t>
  </si>
  <si>
    <t>Pomáz, Árpád fejedelem út</t>
  </si>
  <si>
    <t>Szentendre, Vasúti villasor</t>
  </si>
  <si>
    <t>Leányfalu, Móricz Zs. út</t>
  </si>
  <si>
    <t>Kerepes, Szabadság út</t>
  </si>
  <si>
    <t>Budapest, Veres Péter u.</t>
  </si>
  <si>
    <t>Visegrád, 11. sz. főút</t>
  </si>
  <si>
    <t>Esztergom, Dorogi út</t>
  </si>
  <si>
    <t>Budapest, Szabadföldi út 81.(XV)</t>
  </si>
  <si>
    <t>HU-08</t>
  </si>
  <si>
    <t>Budapest, Vágány u.</t>
  </si>
  <si>
    <t>Budapest, Fóti út</t>
  </si>
  <si>
    <t>Gödöllõ, Szabadság u.</t>
  </si>
  <si>
    <t>Dunakeszi, 2-es sz. főút</t>
  </si>
  <si>
    <t>Jászberény, Szolnoki u.</t>
  </si>
  <si>
    <t>Budapest, Kõbányai út</t>
  </si>
  <si>
    <t>Budapest,Kerepesi út 5-7. (VIII.)</t>
  </si>
  <si>
    <t>Eger, Mátyás király út</t>
  </si>
  <si>
    <t>Budapest, Hõs u.</t>
  </si>
  <si>
    <t>Budapest, Róna u.</t>
  </si>
  <si>
    <t>Budapest, Rétköz u.</t>
  </si>
  <si>
    <t>Budapest, Váci út 19. (XIII)</t>
  </si>
  <si>
    <t>Budapest, Garam u.</t>
  </si>
  <si>
    <t>Eger, Kistályai út 1.</t>
  </si>
  <si>
    <t>Budapest,Szentmihályi út 148.(XV.)</t>
  </si>
  <si>
    <t>Gyöngyös, Pesti út</t>
  </si>
  <si>
    <t>Eger, Rákóczi út</t>
  </si>
  <si>
    <t>Budapest, Bogáncs u.</t>
  </si>
  <si>
    <t>Budapest, Pap Károly u.</t>
  </si>
  <si>
    <t>Hatvan, Csányi út</t>
  </si>
  <si>
    <t>Hatvan, Rákóczi út</t>
  </si>
  <si>
    <t>Budapest, Váci út 84-92. (IV)</t>
  </si>
  <si>
    <t>Gödöllő, Dózsa György út 61.</t>
  </si>
  <si>
    <t>Eger, Kővágó tér</t>
  </si>
  <si>
    <t>Budapest, Hungária körút</t>
  </si>
  <si>
    <t>Budapest, Ógyalla tér 1. (XIV)</t>
  </si>
  <si>
    <t>Budapest, Váci út</t>
  </si>
  <si>
    <t>HU-18</t>
  </si>
  <si>
    <t>Cegléd, Külsõpesti u.</t>
  </si>
  <si>
    <t>Nagykáta, Ady E. u.</t>
  </si>
  <si>
    <t>Cegléd, Nagykőrösi út</t>
  </si>
  <si>
    <t>HU-20</t>
  </si>
  <si>
    <t>Hajdúszoboszló, Debreceni út</t>
  </si>
  <si>
    <t>Debrecen, Segner tér</t>
  </si>
  <si>
    <t>Debrecen, István út</t>
  </si>
  <si>
    <t>HU-03</t>
  </si>
  <si>
    <t>Felsőzsolca, 2034/14 hrsz</t>
  </si>
  <si>
    <t>Miskolc, Pesti út II. (bal)</t>
  </si>
  <si>
    <t>Tiszaújváros, 35. sz. főút</t>
  </si>
  <si>
    <t>Görbeháza, M3 I.</t>
  </si>
  <si>
    <t>Görbeháza, M3 II.</t>
  </si>
  <si>
    <t>Rekettyés pihenőhely, M3 II. (bal)</t>
  </si>
  <si>
    <t>Rekettyés pihenőhely, M3 I. (jobb)</t>
  </si>
  <si>
    <t>Encs, 3. sz. főút</t>
  </si>
  <si>
    <t>Sátoraljaújhely, Várhegy u.</t>
  </si>
  <si>
    <t>Szerencs, Gyár út 38.</t>
  </si>
  <si>
    <t>Miskolc, Újgyőri főtér 3.</t>
  </si>
  <si>
    <t>Sárospatak, Wesselényi út</t>
  </si>
  <si>
    <t>Szerencs, 37. sz. főút</t>
  </si>
  <si>
    <t>Miskolc, Búza tér</t>
  </si>
  <si>
    <t>Tokaj, Tarcali út</t>
  </si>
  <si>
    <t>Mezőcsát, Nyékládházi út</t>
  </si>
  <si>
    <t>Edelény, 27. sz. főút</t>
  </si>
  <si>
    <t>Mezőkövesd, Nyárádi út</t>
  </si>
  <si>
    <t>Kápolna, 3. sz. főút</t>
  </si>
  <si>
    <t>Szikszó, Vásár tér/Miskolci u.</t>
  </si>
  <si>
    <t>Miskolc, Pesti út I. (jobb)</t>
  </si>
  <si>
    <t>Miskolc, Boldva u. 2.</t>
  </si>
  <si>
    <t>Végösszeg</t>
  </si>
  <si>
    <t>Key changes in comparison with the current model</t>
  </si>
  <si>
    <t>Promjene u načinu određivanja kategorija</t>
  </si>
  <si>
    <t>Change</t>
  </si>
  <si>
    <t>Explanation</t>
  </si>
  <si>
    <t>Promjena</t>
  </si>
  <si>
    <t>Obrazloženje</t>
  </si>
  <si>
    <t>The current or subsequent year plan is used for categorization instead of the turnover achieved in the previous year</t>
  </si>
  <si>
    <t xml:space="preserve">The achievement (last year results) contains numerous one-off/temporary influences on the decrease or growth of traffic (see data on the sheet "Indicator of sale interruption), while the plan is consistent and reflects the expected “effort” for SeS, so the category should be evaluated by the future expectation rather than the previous situation.
</t>
  </si>
  <si>
    <t>Umjesto ostvarenog prometa iz prethodne godine, za kateogorizaciju se koristi plan tekuće ili naredne godine</t>
  </si>
  <si>
    <t>Ostvarenje sadrži brojne jednokratne/privremene utjecaje na pad ili rast prometa (više na listu "Indicator of sale interruption"), dok je plan konzistentan i odražava očekivani "napor" za MPM pa kategorija treba vrednovati za buduće, a ne prijašnje stanje.</t>
  </si>
  <si>
    <t>Fuels shall be expressed in litres instead of tonnes</t>
  </si>
  <si>
    <t>The plan and sale results at the SeS are expressed in litres in all reports , therefore it is easiers for users to comprehand liters than tons.</t>
  </si>
  <si>
    <t>Goriva se iskazuju u litrama umjesto u tonama</t>
  </si>
  <si>
    <t>Planiranje i praćenje ostvarenja na MPM iskazuje se u izvještajima u litrama te je korisnicma taj podatak dostupniji i lakši za predočiti.</t>
  </si>
  <si>
    <t>The NON-FUEL criterion is divided into categories that are scored individualy</t>
  </si>
  <si>
    <t>All components (artice categories which are planned on SeS level) of NON-FUEL are added:
Shop, Bottled LPG, Motor oils and Industrial lubricants, Gastro and Car wash</t>
  </si>
  <si>
    <t>Kriterij NEGORIVA podjeljen je u kategorije koje se  boduju pojedinačno</t>
  </si>
  <si>
    <t xml:space="preserve"> Dodane su sve komponente koje čine NEGORIVA:
RŠP, Plin u boci, Ulja i maziva, Ugostiteljstvo i Autopraonice</t>
  </si>
  <si>
    <t>NON-FUEL</t>
  </si>
  <si>
    <t>Turnover (HRK)</t>
  </si>
  <si>
    <t>% in total</t>
  </si>
  <si>
    <t>Margin (HRK)</t>
  </si>
  <si>
    <t>Kategorije NEGORIVA</t>
  </si>
  <si>
    <t>PROMET (HRK)</t>
  </si>
  <si>
    <t>Udio u uk.</t>
  </si>
  <si>
    <t>Marža (HRK)</t>
  </si>
  <si>
    <t>NON-FUEL total</t>
  </si>
  <si>
    <t>NEGORIVA UKUPNO kn</t>
  </si>
  <si>
    <t>Shop</t>
  </si>
  <si>
    <t>RŠP</t>
  </si>
  <si>
    <t>Bottled LPG</t>
  </si>
  <si>
    <t>Plin u boci</t>
  </si>
  <si>
    <t>Motor oils and Industrial lubricants</t>
  </si>
  <si>
    <t>Ulja i maziva</t>
  </si>
  <si>
    <t>Gastro</t>
  </si>
  <si>
    <t>Ugostiteljstvo</t>
  </si>
  <si>
    <t>Car wash</t>
  </si>
  <si>
    <t>Autopraonice</t>
  </si>
  <si>
    <t>Each criterion is divided into ranges, and each range is awarded points.
The sum of points is the final score of SeS based on which the category is determined. "</t>
  </si>
  <si>
    <t>Several criteria enable more precise evaluation of the complexity of SeS. The scoring of the ranges of different criteria by different number of points makes it possible to differentiate criteria by importance, i.e. the impact of a particular criterion on the complexity and burden on a given SeS, as well as its importance in the network.</t>
  </si>
  <si>
    <t>Svaki kriterij podijeljen je u raspone, a svakom rasponu dodjeljuju se bodovi.
Zbroj bodova je konačna ocjena MPM temeljem koje se određuje kategorija.</t>
  </si>
  <si>
    <t>Više kriterija omogućuje preciznije vrednovanje kompleksnosti MPM. Bodovanje raspona različitih kriterija različitim brojem bodova omogućuje razlikovanje kriterija po važnosti, tj. utjecaju pojedinog kriterija na složenost i zahtjevnost rada na određenom MPM, kao i njegovu važnost u mreži.</t>
  </si>
  <si>
    <t>Razdvojen prihod u kategoriji Ugostiteljstvo na FC/AB i CC</t>
  </si>
  <si>
    <t>A certain number of SeS which have CC (coffee corner without food preparation), generate large revenues with much less involvement of workers and managers than the engagement needed to achieve the same or similar income at FC/AB.
Therefore, for the same income range, the CC is awarded a smaller number of points.</t>
  </si>
  <si>
    <t>Određeni broj MPM koja imaju samo CC (coffee corner bez pripreme hrane), ostvaruju velike prihode uz puno manji angažman radnika i Voditelja u odnosu angažman potreban da se isti ili sličan prihod ostvari na FC/AB.
Zbog toga se za isti raspon prihoda, CC-u dodjeljuje manji broj bodova.</t>
  </si>
  <si>
    <t>Introduced criterion "number of employess"</t>
  </si>
  <si>
    <t>The number of workers significantly affects the workload and responsibilities of the manager
Number of Employees significantly Impacts the responsibility and burden fo the head of sea</t>
  </si>
  <si>
    <t>Uveden kriterij za bodovanje "broj radnika"</t>
  </si>
  <si>
    <t>Broj radnika  značajno utječe na radno opterećenje i odgovornost Voditelja</t>
  </si>
  <si>
    <t xml:space="preserve">Number fo categiries is expanded form three to four, and ranking is in reverse order.
Category 1 (one) is reserved for flagship SeS only, those few with highest turnover, complexity of offering and burden for employees and head od SeS.
</t>
  </si>
  <si>
    <t>Old  New
   -       I
III        II
II         III
I          IV</t>
  </si>
  <si>
    <t xml:space="preserve">Proširen broj kategorija s tri na četiri te je obrnut redoslijed. Prva kateogorija dodjeljuje se samo malom broju MPM s najvećim prometom, najkompleksnijim sadržajima te najvećim opeterećenjem radnika i voditelja.
</t>
  </si>
  <si>
    <t>Staro  Novo
   -       I
III        II
II         III
I          IV</t>
  </si>
  <si>
    <t>"Numer of transactions" is not taken as a criterion for categorization</t>
  </si>
  <si>
    <t>"Number of transactions" is vague criterion which is therefore substituted by other specific criteria that incorporate either turnover, service time or burden. One transaction equally represents sale of LPG, full tank of fuel or one pack of cigarettes which are all very different in values, time and burden, and their separate evaluation much better contribute to the fair categorization.
Most criteria are based on planned values (BU) and no. of transactions is not being planned.</t>
  </si>
  <si>
    <t>Broj transasakcija nije uvršten kao kriterij u kategorizaciji</t>
  </si>
  <si>
    <t>„Brojnik transakcija” je preopćenit kriterij, te ga zamijenjuju drugi kriteriji koji obuhvaćaju promet, trajanje usluge i napor radnika. Jedna transakcija jednako predstavlja prodaju UNP za automobile, punog spremnika goriva ili jednog pakiranja cigareta, koje su sve vrlo različite po vrijednosti, vremenu i opterećenju te njihova pojedinačna evaluacija bolje pridonosi kategorizaciji.
Većina kriterija zasniva se na planiranim vrijednostima, pa i sa te osnove transakcije nisu pogodne za uvrštavanje kao kriterij jer transakcije se ne planiraju.</t>
  </si>
  <si>
    <t>Dokument: Postupak organizacije rada na maloprodajnim mjestima, izdanje 05, datum stupanja na snagu 7.2.2017.</t>
  </si>
  <si>
    <t>CATEGORIZATION CRITERIA</t>
  </si>
  <si>
    <t>FUEL (T)</t>
  </si>
  <si>
    <t>≥</t>
  </si>
  <si>
    <r>
      <rPr>
        <sz val="11"/>
        <color theme="1"/>
        <rFont val="Calibri"/>
        <family val="2"/>
        <charset val="238"/>
      </rPr>
      <t xml:space="preserve">≤ </t>
    </r>
    <r>
      <rPr>
        <sz val="11"/>
        <color theme="1"/>
        <rFont val="Calibri"/>
        <family val="2"/>
        <charset val="238"/>
        <scheme val="minor"/>
      </rPr>
      <t>&gt;</t>
    </r>
  </si>
  <si>
    <t>&lt;</t>
  </si>
  <si>
    <t>NON-FUEL(000 HRK)</t>
  </si>
  <si>
    <t>N/A</t>
  </si>
  <si>
    <t>Rbr</t>
  </si>
  <si>
    <t>Lokacija</t>
  </si>
  <si>
    <t>Šifra REGIJA</t>
  </si>
  <si>
    <t>REGIJA</t>
  </si>
  <si>
    <t>Šifra RPM</t>
  </si>
  <si>
    <t>Reg. područje maloprodaje  - RPM</t>
  </si>
  <si>
    <t>Šifra pogleda MM</t>
  </si>
  <si>
    <t>SAP šifra lokacije</t>
  </si>
  <si>
    <t>Dodatna šifra</t>
  </si>
  <si>
    <t>Profitni centar 
(planska šifra)</t>
  </si>
  <si>
    <t>Profitni centar 
(izvještajna šifra)</t>
  </si>
  <si>
    <t>PSUM indikator</t>
  </si>
  <si>
    <t>Naziv maloprodajnog mjesta</t>
  </si>
  <si>
    <t>Napomena</t>
  </si>
  <si>
    <t>I 2019.</t>
  </si>
  <si>
    <t>II 2019.</t>
  </si>
  <si>
    <t>III 2019.</t>
  </si>
  <si>
    <t>IV 2019.</t>
  </si>
  <si>
    <t>V 2019.</t>
  </si>
  <si>
    <t>VI 2019.</t>
  </si>
  <si>
    <t>VII 2019.</t>
  </si>
  <si>
    <t>VIII 2019.</t>
  </si>
  <si>
    <t>IX 2019.</t>
  </si>
  <si>
    <t>X 2019.</t>
  </si>
  <si>
    <t>XI 2019.</t>
  </si>
  <si>
    <t>XII 2019.</t>
  </si>
  <si>
    <t>I 2018.</t>
  </si>
  <si>
    <t>II 2018.</t>
  </si>
  <si>
    <t>III 2018.</t>
  </si>
  <si>
    <t>IV 2018.</t>
  </si>
  <si>
    <t>V 2018.</t>
  </si>
  <si>
    <t>VI 2018.</t>
  </si>
  <si>
    <t>VII 2018.</t>
  </si>
  <si>
    <t>VIII 2018.</t>
  </si>
  <si>
    <t>IX 2018.</t>
  </si>
  <si>
    <t>X 2018.</t>
  </si>
  <si>
    <t>XI 2018.</t>
  </si>
  <si>
    <t>XII 2018.</t>
  </si>
  <si>
    <t>I 2017.</t>
  </si>
  <si>
    <t>II 2017.</t>
  </si>
  <si>
    <t>III 2017.</t>
  </si>
  <si>
    <t>IV 2017.</t>
  </si>
  <si>
    <t>V 2017.</t>
  </si>
  <si>
    <t>VI 2017.</t>
  </si>
  <si>
    <t>VII 2017.</t>
  </si>
  <si>
    <t>VIII 2017.</t>
  </si>
  <si>
    <t>IX 2017.</t>
  </si>
  <si>
    <t>X 2017.</t>
  </si>
  <si>
    <t>XI 2017.</t>
  </si>
  <si>
    <t>XII 2017.</t>
  </si>
  <si>
    <t>I 2016.</t>
  </si>
  <si>
    <t>II 2016.</t>
  </si>
  <si>
    <t>III 2016.</t>
  </si>
  <si>
    <t>IV 2016.</t>
  </si>
  <si>
    <t>V 2016.</t>
  </si>
  <si>
    <t>VI 2016.</t>
  </si>
  <si>
    <t>VII 2016.</t>
  </si>
  <si>
    <t>VIII 2016.</t>
  </si>
  <si>
    <t>IX 2016.</t>
  </si>
  <si>
    <t>X 2016.</t>
  </si>
  <si>
    <t>XI 2016.</t>
  </si>
  <si>
    <t>XII 2016.</t>
  </si>
  <si>
    <t>I 2015.</t>
  </si>
  <si>
    <t>II 2015.</t>
  </si>
  <si>
    <t>III 2015.</t>
  </si>
  <si>
    <t>IV 2015.</t>
  </si>
  <si>
    <t>V 2015.</t>
  </si>
  <si>
    <t>VI 2015.</t>
  </si>
  <si>
    <t>VII 2015.</t>
  </si>
  <si>
    <t>VIII 2015.</t>
  </si>
  <si>
    <t>IX 2015.</t>
  </si>
  <si>
    <t>X 2015.</t>
  </si>
  <si>
    <t>XI 2015.</t>
  </si>
  <si>
    <t>XII 2015.</t>
  </si>
  <si>
    <t>01007-103</t>
  </si>
  <si>
    <t>ZAPAD</t>
  </si>
  <si>
    <t>01007-10303</t>
  </si>
  <si>
    <t>Z3 Karlovac</t>
  </si>
  <si>
    <t>S079</t>
  </si>
  <si>
    <t>712309S</t>
  </si>
  <si>
    <t>0100/712309S</t>
  </si>
  <si>
    <t>PSUM</t>
  </si>
  <si>
    <t>Duga Resa</t>
  </si>
  <si>
    <t>17.06.2015. primopredaja BP u ruke partnera - PSUM</t>
  </si>
  <si>
    <t>DA</t>
  </si>
  <si>
    <t>Z</t>
  </si>
  <si>
    <t>S083</t>
  </si>
  <si>
    <t>712313S</t>
  </si>
  <si>
    <t>01007-12113</t>
  </si>
  <si>
    <t>Jasenak</t>
  </si>
  <si>
    <t>Z.  29.03.2012. (OJ 50001513 brisanje 31.03.2012.)</t>
  </si>
  <si>
    <t>S071</t>
  </si>
  <si>
    <t>712301S</t>
  </si>
  <si>
    <t>0100/712301S</t>
  </si>
  <si>
    <t>Josipdol</t>
  </si>
  <si>
    <t>Z. 28.08. do 02.11.2017. (projekt održavanja/modernizacija cca 45 dana);</t>
  </si>
  <si>
    <t>NE</t>
  </si>
  <si>
    <t>H420</t>
  </si>
  <si>
    <t>712317S</t>
  </si>
  <si>
    <t>01007-12117</t>
  </si>
  <si>
    <t>Karlovac LU EL</t>
  </si>
  <si>
    <t>Z. 23.07.2014.; trajno Z. 31.08.2014. -brisanje OJ 50001512;</t>
  </si>
  <si>
    <t>S080</t>
  </si>
  <si>
    <t>712310S</t>
  </si>
  <si>
    <t>0100/712310S</t>
  </si>
  <si>
    <t>Karlovac-Dubovac</t>
  </si>
  <si>
    <t>30.09.2017. promjena PSUM partnera (29.07.2014. primopredaja BP u ruke partnera - PSUM)</t>
  </si>
  <si>
    <t>S072</t>
  </si>
  <si>
    <t>H072</t>
  </si>
  <si>
    <t>712302S</t>
  </si>
  <si>
    <t>0100/712302S</t>
  </si>
  <si>
    <t>Karlovac-Ilovac</t>
  </si>
  <si>
    <t>S076</t>
  </si>
  <si>
    <t>712306S</t>
  </si>
  <si>
    <t>0100/712306S</t>
  </si>
  <si>
    <t>Karlovac-Rakovac</t>
  </si>
  <si>
    <t>S077</t>
  </si>
  <si>
    <t>712307S</t>
  </si>
  <si>
    <t>0100/712307S</t>
  </si>
  <si>
    <t>Karlovac-Smičiklasova</t>
  </si>
  <si>
    <t>Z. 12.04. do 28.05.2018. (implementacija FC - cca 37 dana)</t>
  </si>
  <si>
    <t>C077</t>
  </si>
  <si>
    <t>Karlovac-Smičiklasova AB</t>
  </si>
  <si>
    <t xml:space="preserve">Z. trajno 01.08.2018.(C+S);  O. 01.08.2018. Fresh corner </t>
  </si>
  <si>
    <t>S075</t>
  </si>
  <si>
    <t>H075</t>
  </si>
  <si>
    <t>712305S</t>
  </si>
  <si>
    <t>0100/712305S</t>
  </si>
  <si>
    <t>Ogulin</t>
  </si>
  <si>
    <t>S082</t>
  </si>
  <si>
    <t>712312S</t>
  </si>
  <si>
    <t>0100/712312S</t>
  </si>
  <si>
    <t>Plaški</t>
  </si>
  <si>
    <t>S081</t>
  </si>
  <si>
    <t>H081</t>
  </si>
  <si>
    <t>712311S</t>
  </si>
  <si>
    <t>0100/712311S</t>
  </si>
  <si>
    <t>Rakovica</t>
  </si>
  <si>
    <t>Z. 28.01. do 26.04.2016. (modernizacija cca 40 dana)</t>
  </si>
  <si>
    <t>S073</t>
  </si>
  <si>
    <t>712303S</t>
  </si>
  <si>
    <t>0100/712303S</t>
  </si>
  <si>
    <t>Slunj</t>
  </si>
  <si>
    <t>S078</t>
  </si>
  <si>
    <t>H078</t>
  </si>
  <si>
    <t>712308S</t>
  </si>
  <si>
    <t>0100/712308S</t>
  </si>
  <si>
    <t>Vojnić</t>
  </si>
  <si>
    <t>Z. 03.12.2018. do 10.03.2019. (modernizacija cca 45 dana)</t>
  </si>
  <si>
    <t>S430</t>
  </si>
  <si>
    <t>712318S</t>
  </si>
  <si>
    <t>01007-103031</t>
  </si>
  <si>
    <t>Vukova Gorica</t>
  </si>
  <si>
    <t>04.11.2019. do 19.12.2019. uređenje prodajnog prostora (cca 40 dana, rad iz kontejnera)</t>
  </si>
  <si>
    <t>C430</t>
  </si>
  <si>
    <t>712318C</t>
  </si>
  <si>
    <t>Vukova Gorica restoran-AB</t>
  </si>
  <si>
    <t>01.09.2013. promjena naziva (bistro u restoran)</t>
  </si>
  <si>
    <t>S431</t>
  </si>
  <si>
    <t>Vukova Gorica-prodavaonica</t>
  </si>
  <si>
    <t>01.02.2016. spajanje sa BP= MPM; radi od 29.06.2007. (tzv suvenirnica)</t>
  </si>
  <si>
    <t>01007-10307</t>
  </si>
  <si>
    <t>Z7 Zagreb-sjever</t>
  </si>
  <si>
    <t>S351</t>
  </si>
  <si>
    <t>712131S</t>
  </si>
  <si>
    <t>0100/712131S</t>
  </si>
  <si>
    <t>Zagreb-Bukovačka</t>
  </si>
  <si>
    <t>08.05.2014. primopredaja BP u ruke partnera - PSUM</t>
  </si>
  <si>
    <t>S346</t>
  </si>
  <si>
    <t>712126S</t>
  </si>
  <si>
    <t>0100/712126S</t>
  </si>
  <si>
    <t>Zagreb-Dubrava</t>
  </si>
  <si>
    <t>(11.09.-03.11.2017. projekt modernizacije-FC cca 30 dana) - rad iz kontejnera; 21.01.2016. primopredaja BP u ruke partnera - PSUM; ('03.2016. nova AP)</t>
  </si>
  <si>
    <t>C346</t>
  </si>
  <si>
    <t>Zagreb-Dubrava AB</t>
  </si>
  <si>
    <t xml:space="preserve">Z. trajno 01.08.2018.(C+S); O. 18.12.2017. Fresh corner </t>
  </si>
  <si>
    <t>S426</t>
  </si>
  <si>
    <t>712126L</t>
  </si>
  <si>
    <t>Zagreb-Dubrava AP</t>
  </si>
  <si>
    <t>O. 05.04.2016.; Z. trajno 30.06.2015.-brisana OJ 50001432; (Z. 01.07.2014. - tehnički nedostaci)</t>
  </si>
  <si>
    <t>S356</t>
  </si>
  <si>
    <t>712146S</t>
  </si>
  <si>
    <t>0100/712146S</t>
  </si>
  <si>
    <t>Zagreb-Heinzelova</t>
  </si>
  <si>
    <t>Z. 19.08.2019. do ? 12.2019. (kapitalna rekonstrukcija - KDR - cca 120 dana)</t>
  </si>
  <si>
    <t>S357</t>
  </si>
  <si>
    <t>712147S</t>
  </si>
  <si>
    <t>0100/712147S</t>
  </si>
  <si>
    <t>Zagreb-Kranjčevićeva</t>
  </si>
  <si>
    <t>Z. 26.02. do 19.04.2018. (projekt modernizacije - cca 30 dana)</t>
  </si>
  <si>
    <t>S359</t>
  </si>
  <si>
    <t>712149S</t>
  </si>
  <si>
    <t>0100/712149S</t>
  </si>
  <si>
    <t>Zagreb-Ksaver</t>
  </si>
  <si>
    <t>22.07.2019. do 27.08.2019. implementacija FC (cca 35 dana, rad iz kontejnera)</t>
  </si>
  <si>
    <t>S349</t>
  </si>
  <si>
    <t>712129S</t>
  </si>
  <si>
    <t>0100/712129S</t>
  </si>
  <si>
    <t>Zagreb-Langov trg</t>
  </si>
  <si>
    <t>Z. 15.03. do 01.05.2018. (implementacija FC - cca 32 dana)</t>
  </si>
  <si>
    <t>C349</t>
  </si>
  <si>
    <t>Zagreb-Langov trg AB</t>
  </si>
  <si>
    <t xml:space="preserve">Z. trajno 01.08.2018.(C+S); O. ? 2018. Fresh corner </t>
  </si>
  <si>
    <t>S367</t>
  </si>
  <si>
    <t>712162S</t>
  </si>
  <si>
    <t>0100/712162S</t>
  </si>
  <si>
    <t>Zagreb-Maksimirska-jug</t>
  </si>
  <si>
    <t>12.05.2014. primopredaja BP u ruke partnera - PSUM</t>
  </si>
  <si>
    <t>S340</t>
  </si>
  <si>
    <t>712106S</t>
  </si>
  <si>
    <t>0100/712106S</t>
  </si>
  <si>
    <t>Zagreb-Maksimirska-sjever</t>
  </si>
  <si>
    <t>28.05.2015. primopredaja BP u ruke partnera - PSUM</t>
  </si>
  <si>
    <t>S344</t>
  </si>
  <si>
    <t>712124S</t>
  </si>
  <si>
    <t>0100/712124S</t>
  </si>
  <si>
    <t>Zagreb-Planinska</t>
  </si>
  <si>
    <t>26.03.2015. primopredaja BP u ruke partnera - PSUM</t>
  </si>
  <si>
    <t>S350</t>
  </si>
  <si>
    <t>712130S</t>
  </si>
  <si>
    <t>0100/712130S</t>
  </si>
  <si>
    <t>Zagreb-Resnik</t>
  </si>
  <si>
    <t>(07.09.-02.11.2017. projekt modernizacije-FC cca 30 dana) - rad iz kontejnera</t>
  </si>
  <si>
    <t>C350</t>
  </si>
  <si>
    <t>Zagreb-Resnik AB</t>
  </si>
  <si>
    <t>S354</t>
  </si>
  <si>
    <t>712143S</t>
  </si>
  <si>
    <t>0100/712143S</t>
  </si>
  <si>
    <t>Zagreb-Trešnjevka</t>
  </si>
  <si>
    <t>S347</t>
  </si>
  <si>
    <t>H347</t>
  </si>
  <si>
    <t>712127S</t>
  </si>
  <si>
    <t>0100/712127S</t>
  </si>
  <si>
    <t>Zagreb-Žitnjak</t>
  </si>
  <si>
    <t>S341</t>
  </si>
  <si>
    <t>712107S</t>
  </si>
  <si>
    <t>0100/712107S</t>
  </si>
  <si>
    <t>Zagreb-Žitnjak-Badel</t>
  </si>
  <si>
    <t>01007-102</t>
  </si>
  <si>
    <t>ISTOK</t>
  </si>
  <si>
    <t>01007-10206</t>
  </si>
  <si>
    <t>I6 Varaždin</t>
  </si>
  <si>
    <t>S285</t>
  </si>
  <si>
    <t>H285</t>
  </si>
  <si>
    <t>714106S</t>
  </si>
  <si>
    <t>0100/714106S</t>
  </si>
  <si>
    <t>Čakovec-Novakova</t>
  </si>
  <si>
    <t>S292</t>
  </si>
  <si>
    <t>714113S</t>
  </si>
  <si>
    <t>0100/714113S</t>
  </si>
  <si>
    <t>Čakovec-Zrinsko-Frankopanska</t>
  </si>
  <si>
    <t>24.04.do 18.06.2018. rad iz kontejnera (implementacija FC - cca 40 dana);</t>
  </si>
  <si>
    <t>C292</t>
  </si>
  <si>
    <t>Čakovec-Zrinsko-Frankopanska AB</t>
  </si>
  <si>
    <t>Z. trajno 01.08.2018.(C+S); O. 01.08.2018. implementacija FC; (Z. 31.08.2012.-brisana OJ 50001643; Z. 09.08.2012  modernizacija BP</t>
  </si>
  <si>
    <t>S282</t>
  </si>
  <si>
    <t>714103S</t>
  </si>
  <si>
    <t>0100/714103S</t>
  </si>
  <si>
    <t>Donja Dubrava</t>
  </si>
  <si>
    <t>S289</t>
  </si>
  <si>
    <t>714110S</t>
  </si>
  <si>
    <t>0100/714110S</t>
  </si>
  <si>
    <t>Goričan</t>
  </si>
  <si>
    <t>12.11.2019. do ?.12.2019. implementacija FC (cca 28 dana, rad iz kontejnera)</t>
  </si>
  <si>
    <t>S287</t>
  </si>
  <si>
    <t>714108S</t>
  </si>
  <si>
    <t>0100/714108S</t>
  </si>
  <si>
    <t>Ivanec</t>
  </si>
  <si>
    <t>S281</t>
  </si>
  <si>
    <t>714102S</t>
  </si>
  <si>
    <t>0100/714102S</t>
  </si>
  <si>
    <t>Lepoglava</t>
  </si>
  <si>
    <t>Z. 02.05. do 02.07.2018. (projekt održavanja cca 40 dana)</t>
  </si>
  <si>
    <t>S286</t>
  </si>
  <si>
    <t>714107S</t>
  </si>
  <si>
    <t>0100/714107S</t>
  </si>
  <si>
    <t>Ludbreg</t>
  </si>
  <si>
    <t>Z. 10.04. do 14.10.2018. (kapitalna rekonstrukcija - KDR - cca 140 dana)</t>
  </si>
  <si>
    <t>S296</t>
  </si>
  <si>
    <t>714117S</t>
  </si>
  <si>
    <t>0100/714117S</t>
  </si>
  <si>
    <t>Mursko Središće</t>
  </si>
  <si>
    <t>S290</t>
  </si>
  <si>
    <t>714111S</t>
  </si>
  <si>
    <t>0100/714111S</t>
  </si>
  <si>
    <t>Novi Marof</t>
  </si>
  <si>
    <t>S297</t>
  </si>
  <si>
    <t>714118S</t>
  </si>
  <si>
    <t>0100/714118S</t>
  </si>
  <si>
    <t>Ljubešćica-istok</t>
  </si>
  <si>
    <t>promj.naziva (Novi Marof-istok) 1.9.2015.</t>
  </si>
  <si>
    <t>C297</t>
  </si>
  <si>
    <t>Ljubešćica-istok AB</t>
  </si>
  <si>
    <t>Z. trajno 15.10.2018.(C+S); 31.01.2016.-brisana OJ 50001644; promj.naziva (Novi Marof-istok AB) 1.9.2015.; O. 27.11.2004.</t>
  </si>
  <si>
    <t>S298</t>
  </si>
  <si>
    <t>714119S</t>
  </si>
  <si>
    <t>0100/714119S</t>
  </si>
  <si>
    <t>Ljubešćica-zapad</t>
  </si>
  <si>
    <t>promj.naziva (Novi Marof-zapad) 1.9.2015.</t>
  </si>
  <si>
    <t>C298</t>
  </si>
  <si>
    <t>Ljubešćica-zapad AB</t>
  </si>
  <si>
    <t>Z. trajno 15.10.2018.(C+S); 31.01.2016.-brisana OJ 50001645; promj.naziva (Novi Marof-zapad AB) 1.9.2015.; O. 27.11.2004.</t>
  </si>
  <si>
    <t>S291</t>
  </si>
  <si>
    <t>H291</t>
  </si>
  <si>
    <t>714112S</t>
  </si>
  <si>
    <t>0100/714112S</t>
  </si>
  <si>
    <t>Prelog</t>
  </si>
  <si>
    <t>S294</t>
  </si>
  <si>
    <t>H294</t>
  </si>
  <si>
    <t>714115S</t>
  </si>
  <si>
    <t>0100/714115S</t>
  </si>
  <si>
    <t>Štrigova</t>
  </si>
  <si>
    <t>S288</t>
  </si>
  <si>
    <t>714109S</t>
  </si>
  <si>
    <t>0100/714109S</t>
  </si>
  <si>
    <t>Varaždin Breg</t>
  </si>
  <si>
    <t>S284</t>
  </si>
  <si>
    <t>H284</t>
  </si>
  <si>
    <t>714105S</t>
  </si>
  <si>
    <t>0100/714105S</t>
  </si>
  <si>
    <t>Varaždin-Krležina</t>
  </si>
  <si>
    <t>04.09. do 25.10.2018. rad iz kontejnera (implementacija FC - cca 45 dana); 17.12.2015. primopredaja MPM u ruke partnera - PSUM</t>
  </si>
  <si>
    <t>S295</t>
  </si>
  <si>
    <t>714116S</t>
  </si>
  <si>
    <t>0100/714116S</t>
  </si>
  <si>
    <t>Varaždin-Međimurska</t>
  </si>
  <si>
    <t>05.11.2015. primopredaja BP u ruke partnera - PSUM</t>
  </si>
  <si>
    <t>S280</t>
  </si>
  <si>
    <t>714101S</t>
  </si>
  <si>
    <t>0100/714101S</t>
  </si>
  <si>
    <t>Varaždinske Toplice</t>
  </si>
  <si>
    <t>S293</t>
  </si>
  <si>
    <t>714114S</t>
  </si>
  <si>
    <t>0100/714114S</t>
  </si>
  <si>
    <t>Vidovec</t>
  </si>
  <si>
    <t>S283</t>
  </si>
  <si>
    <t>714104S</t>
  </si>
  <si>
    <t>0100/714104S</t>
  </si>
  <si>
    <t>Vratno</t>
  </si>
  <si>
    <t>01007-10304</t>
  </si>
  <si>
    <t>Z4 Krapina</t>
  </si>
  <si>
    <t>S376</t>
  </si>
  <si>
    <t>712110S</t>
  </si>
  <si>
    <t>0100/712110S</t>
  </si>
  <si>
    <t>Bedekovčina</t>
  </si>
  <si>
    <t>19.03.2015. primopredaja BP u ruke partnera - PSUM</t>
  </si>
  <si>
    <t>S377</t>
  </si>
  <si>
    <t>712111S</t>
  </si>
  <si>
    <t>0100/712111S</t>
  </si>
  <si>
    <t>Donja Stubica</t>
  </si>
  <si>
    <t>29.04.2014. primopredaja BP u ruke partnera - PSUM</t>
  </si>
  <si>
    <t>S386</t>
  </si>
  <si>
    <t>712121S</t>
  </si>
  <si>
    <t>0100/712121S</t>
  </si>
  <si>
    <t>Jakovlje-istok</t>
  </si>
  <si>
    <t>14.10.2019. do ? 2019. modernizacija, implementacija FC (cca 70 dana, rad iz kontejnera)</t>
  </si>
  <si>
    <t>C386</t>
  </si>
  <si>
    <t>Jakovlje-istok AB</t>
  </si>
  <si>
    <t>Z. trajno 27.03.2019. (C+S); 31.01.2016.-brisana OJ 50001473</t>
  </si>
  <si>
    <t>S387</t>
  </si>
  <si>
    <t>712122S</t>
  </si>
  <si>
    <t>0100/712122S</t>
  </si>
  <si>
    <t>Jakovlje-zapad</t>
  </si>
  <si>
    <t>Zamjena glavnog razvodnog uređaja - RV 05.03.2019. (00-08), 06.03.2019. (12-24); Z. 04.09.-31.10.2017. (radovi na autocesti – nemogućnost pristupa); (modernizacija od 27.01. do 05.05.2016.  - kontejner)</t>
  </si>
  <si>
    <t>C387</t>
  </si>
  <si>
    <t>Jakovlje-zapad AB</t>
  </si>
  <si>
    <t>Z. trajno 15.10.2018.(C+S); 31.01.2016.-brisana OJ 50001474</t>
  </si>
  <si>
    <t>S390</t>
  </si>
  <si>
    <t>712135S</t>
  </si>
  <si>
    <t>0100/712135S</t>
  </si>
  <si>
    <t>Krapina-jug</t>
  </si>
  <si>
    <t>S400</t>
  </si>
  <si>
    <t>712156S</t>
  </si>
  <si>
    <t>0100/712156S</t>
  </si>
  <si>
    <t>Krapina-sjever</t>
  </si>
  <si>
    <t>Z. 16.10. do 28.12.2017. (projekt modernizacije cca 35 dana); 27.03.2015. primopredaja BP u ruke partnera - PSUM</t>
  </si>
  <si>
    <t>S378</t>
  </si>
  <si>
    <t>712112S</t>
  </si>
  <si>
    <t>0100/712112S</t>
  </si>
  <si>
    <t>Krapinske Toplice</t>
  </si>
  <si>
    <t>S389</t>
  </si>
  <si>
    <t>712134S</t>
  </si>
  <si>
    <t>0100/712134S</t>
  </si>
  <si>
    <t>Kumrovec</t>
  </si>
  <si>
    <t>S434</t>
  </si>
  <si>
    <t>711102S</t>
  </si>
  <si>
    <t>0100/711102S</t>
  </si>
  <si>
    <t>Lepa Bukva</t>
  </si>
  <si>
    <t>Z. 20.09.2019. do 06.10.2019. (AZM - sanacija u tunelu Frukov Krč - nemogućnost pristupa); Z. 02.10. do 08.12.2017. (projekt modernizacije FC cca 35 dana)</t>
  </si>
  <si>
    <t>C434</t>
  </si>
  <si>
    <t>Lepa Bukva AB</t>
  </si>
  <si>
    <t>Z. trajno 15.10.2018.(C+S); 31.01.2016.-brisana OJ 50163492</t>
  </si>
  <si>
    <t>S383</t>
  </si>
  <si>
    <t>712118S</t>
  </si>
  <si>
    <t>0100/712118S</t>
  </si>
  <si>
    <t>Lučko-jug</t>
  </si>
  <si>
    <t>S384</t>
  </si>
  <si>
    <t>712119S</t>
  </si>
  <si>
    <t>0100/712119S</t>
  </si>
  <si>
    <t>Lučko-sjever</t>
  </si>
  <si>
    <t>S407</t>
  </si>
  <si>
    <t>712167S</t>
  </si>
  <si>
    <t>0100/712167S</t>
  </si>
  <si>
    <t>Marija Bistrica</t>
  </si>
  <si>
    <t>S395</t>
  </si>
  <si>
    <t>712140S</t>
  </si>
  <si>
    <t>0100/712140S</t>
  </si>
  <si>
    <t>Mokrice-Oroslavje</t>
  </si>
  <si>
    <t>S394</t>
  </si>
  <si>
    <t>712139S</t>
  </si>
  <si>
    <t>0100/712139S</t>
  </si>
  <si>
    <t>Oroslavje</t>
  </si>
  <si>
    <t>S399</t>
  </si>
  <si>
    <t>712155S</t>
  </si>
  <si>
    <t>0100/712155S</t>
  </si>
  <si>
    <t>Zabok</t>
  </si>
  <si>
    <t>21.05.2015. primopredaja BP u ruke partnera - PSUM</t>
  </si>
  <si>
    <t>S403</t>
  </si>
  <si>
    <t>712160S</t>
  </si>
  <si>
    <t>0100/712160S</t>
  </si>
  <si>
    <t>Zaprešić</t>
  </si>
  <si>
    <t>22.07.2014. primopredaja BP u ruke partnera - PSUM</t>
  </si>
  <si>
    <t>S382</t>
  </si>
  <si>
    <t>712117S</t>
  </si>
  <si>
    <t>0100/712117S</t>
  </si>
  <si>
    <t>Zlatar</t>
  </si>
  <si>
    <t>Z. 29.01. do 22.03.2016. (modernizacija cca 40 dana)</t>
  </si>
  <si>
    <t>01007-10209</t>
  </si>
  <si>
    <t>I9 Zagreb-istok</t>
  </si>
  <si>
    <t>S392</t>
  </si>
  <si>
    <t>712137S</t>
  </si>
  <si>
    <t>0100/712137S</t>
  </si>
  <si>
    <t>Božjakovina</t>
  </si>
  <si>
    <t>S404</t>
  </si>
  <si>
    <t>712163S</t>
  </si>
  <si>
    <t>0100/712163S</t>
  </si>
  <si>
    <t>Dugo Selo</t>
  </si>
  <si>
    <t>S011</t>
  </si>
  <si>
    <t>714211S</t>
  </si>
  <si>
    <t>0100/714211S</t>
  </si>
  <si>
    <t>Đelekovec</t>
  </si>
  <si>
    <t>S012</t>
  </si>
  <si>
    <t>714212S</t>
  </si>
  <si>
    <t>0100/714212S</t>
  </si>
  <si>
    <t>Koprivnica-Bjelovarska</t>
  </si>
  <si>
    <t>Z. 16.05. do 26.06.2017. (projekt održavanja cca 35 dana);  16.12.2015. primopredaja BP u ruke partnera - PSUM</t>
  </si>
  <si>
    <t>S006</t>
  </si>
  <si>
    <t>714206S</t>
  </si>
  <si>
    <t>0100/714206S</t>
  </si>
  <si>
    <t>Koprivnica-Kolodvorska</t>
  </si>
  <si>
    <t>Z. 16.04. do 12.06.2018. (implementacija FC - cca 37 dana); 16.04.2018. promjena PSUM partnera (21.12.2015. primopredaja BP u ruke partnera - PSUM)</t>
  </si>
  <si>
    <t>C006</t>
  </si>
  <si>
    <t>Koprivnica-Kolodvorska AB</t>
  </si>
  <si>
    <t>Z. trajno 15.10.2018.(C+S);  Z. 16.04. do 18.06.2018. (implementacija FC - cca 37 dana); 16.04.2018. promjena PSUM partnera (21.12.2015. primopredaja BP u ruke partnera - PSUM); 31.01.2016.-brisana OJ 50001667</t>
  </si>
  <si>
    <t>S425</t>
  </si>
  <si>
    <t>714206L</t>
  </si>
  <si>
    <t>Koprivnica-Kolodvorska AP</t>
  </si>
  <si>
    <t>Z. trajno 31.01.2016.-brisana OJ 50001668; 21.12.2015. primopredaja BP u ruke partnera - PSUM</t>
  </si>
  <si>
    <t>S008</t>
  </si>
  <si>
    <t>714208S</t>
  </si>
  <si>
    <t>0100/714208S</t>
  </si>
  <si>
    <t>Križevci-Tomislavova</t>
  </si>
  <si>
    <t>Z. 29.08.2017. do 15.02.2018. (kapitalna rekonstrukcija - KDR - cca 120 dana)</t>
  </si>
  <si>
    <t>S014</t>
  </si>
  <si>
    <t>714214S</t>
  </si>
  <si>
    <t>0100/714214S</t>
  </si>
  <si>
    <t>Križevci-Zagrebačka</t>
  </si>
  <si>
    <t>Z. 18.07.2019. do 26.12.2019. (kapitalna rekonstrukcija - KDR - cca 140 dana)</t>
  </si>
  <si>
    <t>S405</t>
  </si>
  <si>
    <t>712165S</t>
  </si>
  <si>
    <t>0100/712165S</t>
  </si>
  <si>
    <t>Sesvete-jug</t>
  </si>
  <si>
    <t>Z. 14.03. do 20.05.2016. (zamjena spremnika cca. 45 dana)</t>
  </si>
  <si>
    <t>S397</t>
  </si>
  <si>
    <t>712142S</t>
  </si>
  <si>
    <t>0100/712142S</t>
  </si>
  <si>
    <t>Sesvete-sjever</t>
  </si>
  <si>
    <t>S415</t>
  </si>
  <si>
    <t>711101S</t>
  </si>
  <si>
    <t>0100/711101S</t>
  </si>
  <si>
    <t>Sesvetski Kraljevec</t>
  </si>
  <si>
    <t>04.11.2019. do 23.12.2019. implementacija FC (cca 28 dana, rad iz kontejnera); 28.02.2017. promjena PSUM partnera (05.05.2014. primopredaja BP u ruke partnera - PSUM)</t>
  </si>
  <si>
    <t>C415</t>
  </si>
  <si>
    <t>711101C</t>
  </si>
  <si>
    <t>Sesvetski Kraljevec AB</t>
  </si>
  <si>
    <t>Z. 30.08.2012.-brisana OJ 50006003 (Z. 18.08.2012  modernizacija BP)</t>
  </si>
  <si>
    <t>S393</t>
  </si>
  <si>
    <t>712138S</t>
  </si>
  <si>
    <t>0100/712138S</t>
  </si>
  <si>
    <t>Sv. Ivan Zelina</t>
  </si>
  <si>
    <t>11.03.2015. primopredaja BP u ruke partnera - PSUM</t>
  </si>
  <si>
    <t>S018</t>
  </si>
  <si>
    <t>714218S</t>
  </si>
  <si>
    <t>0100/714218S</t>
  </si>
  <si>
    <t>Sveti Ivan Žabno</t>
  </si>
  <si>
    <t>S401</t>
  </si>
  <si>
    <t>712157S</t>
  </si>
  <si>
    <t>0100/712157S</t>
  </si>
  <si>
    <t>Vrbovec</t>
  </si>
  <si>
    <t>S406</t>
  </si>
  <si>
    <t>712166S</t>
  </si>
  <si>
    <t>0100/712166S</t>
  </si>
  <si>
    <t>Vrbovec-Dubrava</t>
  </si>
  <si>
    <t>Z. 22.10. do 05.11.2018. (zamjena spremnika); (27.08.) 05.09. do 25.09.2018. (nadogradnja spremnika)</t>
  </si>
  <si>
    <t>01007-10207</t>
  </si>
  <si>
    <t>I7 Kutina</t>
  </si>
  <si>
    <t>S183</t>
  </si>
  <si>
    <t>712201S</t>
  </si>
  <si>
    <t>0100/712201S</t>
  </si>
  <si>
    <t>Banova Jaruga</t>
  </si>
  <si>
    <t>Z. 21.11. do 11.12.2016. (projekt održavanja cca. 20 dana)</t>
  </si>
  <si>
    <t>S010</t>
  </si>
  <si>
    <t>714210S</t>
  </si>
  <si>
    <t>0100/714210S</t>
  </si>
  <si>
    <t>Čazma</t>
  </si>
  <si>
    <t>S398</t>
  </si>
  <si>
    <t>712144S</t>
  </si>
  <si>
    <t>0100/712144S</t>
  </si>
  <si>
    <t>Ivanić Grad</t>
  </si>
  <si>
    <t>S373</t>
  </si>
  <si>
    <t>712104S</t>
  </si>
  <si>
    <t>0100/712104S</t>
  </si>
  <si>
    <t>Ježevo-jug</t>
  </si>
  <si>
    <t>C373</t>
  </si>
  <si>
    <t>Ježevo-jug AB</t>
  </si>
  <si>
    <t>Z. trajno 27.03.2019. (C+S); Z. 12.02. do 16.05.2018. (implementacija FC - cca 35 dana); 31.01.2016.-brisana OJ 50001471; 01.12.2014. promjena naziva (restoran=AB)</t>
  </si>
  <si>
    <t>S374</t>
  </si>
  <si>
    <t>712105S</t>
  </si>
  <si>
    <t>0100/712105S</t>
  </si>
  <si>
    <t>Ježevo-sjever</t>
  </si>
  <si>
    <t>C374</t>
  </si>
  <si>
    <t>Ježevo-sjever AB</t>
  </si>
  <si>
    <t>Z. trajno 27.03.2019. (C+S); 31.01.2016.-brisana OJ 50001472</t>
  </si>
  <si>
    <t>S375</t>
  </si>
  <si>
    <t>712109S</t>
  </si>
  <si>
    <t>0100/712109S</t>
  </si>
  <si>
    <t>Kloštar Ivanić</t>
  </si>
  <si>
    <t>Z. 16.03. do 06.05.2015. (projekt održavanja)</t>
  </si>
  <si>
    <t>S380</t>
  </si>
  <si>
    <t>712115S</t>
  </si>
  <si>
    <t>0100/712115S</t>
  </si>
  <si>
    <t>Križ-autocesta-jug</t>
  </si>
  <si>
    <t>Z. 20.02.2019. do ? 2019. (HAC rekonstrukcija parkirališta, a kasnije rekonstrukcija MPM - cca 1 god.)</t>
  </si>
  <si>
    <t>S381</t>
  </si>
  <si>
    <t>712116S</t>
  </si>
  <si>
    <t>0100/712116S</t>
  </si>
  <si>
    <t>Križ-autocesta-sjever</t>
  </si>
  <si>
    <t>Z. 20.04.2019. do ? 2019. (HAC rekonstrukcija parkirališta, a kasnije rekonstrukcija MPM - cca 1 god.)</t>
  </si>
  <si>
    <t>S188</t>
  </si>
  <si>
    <t>712208S</t>
  </si>
  <si>
    <t>0100/712208S</t>
  </si>
  <si>
    <t>Kutina-Krešimirova</t>
  </si>
  <si>
    <t>Z. 25.11. do 27.12.2015. (zamjena spremnika - cca 30 dana); 27.05.2015. primopredaja BP u ruke partnera - PSUM</t>
  </si>
  <si>
    <t>S187</t>
  </si>
  <si>
    <t>712207S</t>
  </si>
  <si>
    <t>0100/712207S</t>
  </si>
  <si>
    <t>Kutina-Posavskoga</t>
  </si>
  <si>
    <t>01.07.2019. do 02.08.2019. implementacija FC (cca 30 dana, rad iz kontejnera); Z. 13.03. do 23.08.2015. (kapitalna rekonstrukcija - KDR - cca 120 dana); 24.04.2014. primopredaja BP u ruke partnera - PSUM</t>
  </si>
  <si>
    <t>S191</t>
  </si>
  <si>
    <t>712211S</t>
  </si>
  <si>
    <t>0100/712211S</t>
  </si>
  <si>
    <t>Novska-autocesta-jug</t>
  </si>
  <si>
    <t>24.03.2015. primopredaja BP u ruke partnera - PSUM</t>
  </si>
  <si>
    <t>C191</t>
  </si>
  <si>
    <t>Novska-autocesta-jug AB</t>
  </si>
  <si>
    <t>Z. trajno 27.03.2019. (C+S); 24.03.2015. primopredaja BP u ruke partnera - PSUM;  31.01.2016.-brisana OJ 50001499</t>
  </si>
  <si>
    <t>S190</t>
  </si>
  <si>
    <t>712210S</t>
  </si>
  <si>
    <t>0100/712210S</t>
  </si>
  <si>
    <t>Novska-autocesta-sjever</t>
  </si>
  <si>
    <t>06.05. do 15.06.2019. rekonstrukcija sanitarnog čvora za kupce (MPM radi); 21.01.2016. primopredaja BP u ruke partnera - PSUM</t>
  </si>
  <si>
    <t>S184</t>
  </si>
  <si>
    <t>712204S</t>
  </si>
  <si>
    <t>0100/712204S</t>
  </si>
  <si>
    <t>Novska-grad</t>
  </si>
  <si>
    <t>23.04.2014. primopredaja BP u ruke partnera - PSUM</t>
  </si>
  <si>
    <t>S192</t>
  </si>
  <si>
    <t>712212S</t>
  </si>
  <si>
    <t>0100/712212S</t>
  </si>
  <si>
    <t>Popovača-autocesta-sjever</t>
  </si>
  <si>
    <t>Z. 31.03.2016. (raskid Ug HAC-INA) brisana OJ 50001488</t>
  </si>
  <si>
    <t>S201</t>
  </si>
  <si>
    <t>712222S</t>
  </si>
  <si>
    <t>0100/712222S</t>
  </si>
  <si>
    <t>Popovača-Kutinska</t>
  </si>
  <si>
    <t>24.04.2014. primopredaja BP u ruke partnera - PSUM</t>
  </si>
  <si>
    <t>01007-10208</t>
  </si>
  <si>
    <t>I8 Sisak</t>
  </si>
  <si>
    <t>S198</t>
  </si>
  <si>
    <t>712219S</t>
  </si>
  <si>
    <t>0100/712219S</t>
  </si>
  <si>
    <t>Dvor</t>
  </si>
  <si>
    <t>Z. 28.9.2017. (asfaltiranje pristupa MPM)</t>
  </si>
  <si>
    <t>S200</t>
  </si>
  <si>
    <t>H200</t>
  </si>
  <si>
    <t>712221S</t>
  </si>
  <si>
    <t>0100/712221S</t>
  </si>
  <si>
    <t>Galdovo</t>
  </si>
  <si>
    <t>S186</t>
  </si>
  <si>
    <t>H186</t>
  </si>
  <si>
    <t>712206S</t>
  </si>
  <si>
    <t>0100/712206S</t>
  </si>
  <si>
    <t>Gvozd</t>
  </si>
  <si>
    <t>Z. 25.03.2019. do 16.06.2019. (modernizacija - cca 45 dana)</t>
  </si>
  <si>
    <t>S199</t>
  </si>
  <si>
    <t>712220S</t>
  </si>
  <si>
    <t>0100/712220S</t>
  </si>
  <si>
    <t>Lekenik</t>
  </si>
  <si>
    <t>S193</t>
  </si>
  <si>
    <t>712213S</t>
  </si>
  <si>
    <t>0100/712213S</t>
  </si>
  <si>
    <t>Petrinja-Sisačka</t>
  </si>
  <si>
    <t>26.6.2019. do 06.08.2019. implementacija FC (cca 40 dana, rad iz kontejnera); Z. 15.12.2014. do 09.06.2015. (kapitalna rekonstrukcija - KDR - cca 120 dana)</t>
  </si>
  <si>
    <t>S385</t>
  </si>
  <si>
    <t>712120S</t>
  </si>
  <si>
    <t>01007-11120</t>
  </si>
  <si>
    <t>Pokupsko</t>
  </si>
  <si>
    <t>Z. 31.01.2013. (1.2.2013. brisana OJ 50001455)</t>
  </si>
  <si>
    <t>S197</t>
  </si>
  <si>
    <t>712218S</t>
  </si>
  <si>
    <t>0100/712218S</t>
  </si>
  <si>
    <t>Sisak-Cvetkovićeva</t>
  </si>
  <si>
    <t>S194</t>
  </si>
  <si>
    <t>712214S</t>
  </si>
  <si>
    <t>0100/712214S</t>
  </si>
  <si>
    <t>Sisak-Frankopanska</t>
  </si>
  <si>
    <t>Z. 24.07. do 14.09.2017. (projekt održavanja cca 35 dana);</t>
  </si>
  <si>
    <t>S189</t>
  </si>
  <si>
    <t>H189</t>
  </si>
  <si>
    <t>712209S</t>
  </si>
  <si>
    <t>0100/712209S</t>
  </si>
  <si>
    <t>Sisak-Zagrebačka</t>
  </si>
  <si>
    <t>(06.09.-14.11.2017. projekt modernizacije-FC cca 30 dana - rad iz kontejnera)</t>
  </si>
  <si>
    <t>C189</t>
  </si>
  <si>
    <t>Sisak-Zagrebačka AB</t>
  </si>
  <si>
    <t>Z. trajno 15.10.2018.(C+S); 31.01.2016.-brisana OJ 50073664</t>
  </si>
  <si>
    <t>S433</t>
  </si>
  <si>
    <t>712209L</t>
  </si>
  <si>
    <t>Sisak-Zagrebačka AP</t>
  </si>
  <si>
    <t xml:space="preserve">Z. trajno 31.01.2016.-brisana OJ 50073665; </t>
  </si>
  <si>
    <t>S196</t>
  </si>
  <si>
    <t>712216S</t>
  </si>
  <si>
    <t>0100/712216S</t>
  </si>
  <si>
    <t>Sunja</t>
  </si>
  <si>
    <t xml:space="preserve">Z. 04.04. do 28.05.2017. (modernizacija cca 35 dana)  </t>
  </si>
  <si>
    <t>S185</t>
  </si>
  <si>
    <t>712205S</t>
  </si>
  <si>
    <t>0100/712205S</t>
  </si>
  <si>
    <t>Topusko</t>
  </si>
  <si>
    <t>S391</t>
  </si>
  <si>
    <t>712136S</t>
  </si>
  <si>
    <t>0100/712136S</t>
  </si>
  <si>
    <t>Velika Gorica</t>
  </si>
  <si>
    <t>09.04. do 18.05.2018. rad iz kontejnera (implementacija FC - cca 37 dana)</t>
  </si>
  <si>
    <t>C391</t>
  </si>
  <si>
    <t>Velika Gorica AB</t>
  </si>
  <si>
    <t>Z. trajno 01.08.2018.(C+S); O. ? 2018. implementacija FC; (Z. 01.10.2011. brisana OJ 50009846; MT 70100; PC 712136C (Z. od 27.08.2011. modernizacija/prenamjena u prodajni prostor BP)</t>
  </si>
  <si>
    <t>S402</t>
  </si>
  <si>
    <t>712159S</t>
  </si>
  <si>
    <t>0100/712159S</t>
  </si>
  <si>
    <t>Velika Mlaka-jug</t>
  </si>
  <si>
    <t>20.01.2016. promjena PSUM partnera (31.10.2014. promjena PSUM partnera; 22.07.2014. primopredaja BP u ruke partnera - PSUM);  04.09. do 17.11.2015. (zamjena spremnika - cca 30 dana)</t>
  </si>
  <si>
    <t>S379</t>
  </si>
  <si>
    <t>712114S</t>
  </si>
  <si>
    <t>0100/712114S</t>
  </si>
  <si>
    <t>Velika Mlaka-sjever</t>
  </si>
  <si>
    <t xml:space="preserve">06.07.2016. promjena PSUM partnera (19.05.2014. primopredaja BP u ruke partnera - PSUM); 07.07. do 03.09.2015. (zamjena spremnika - cca 30 dana); </t>
  </si>
  <si>
    <t>01007-10308</t>
  </si>
  <si>
    <t>Z8 Zagreb-zapad</t>
  </si>
  <si>
    <t>S410</t>
  </si>
  <si>
    <t>712175S</t>
  </si>
  <si>
    <t>0100/712175S</t>
  </si>
  <si>
    <t>Gradna-jug</t>
  </si>
  <si>
    <t>C410</t>
  </si>
  <si>
    <t>Gradna-jug AB</t>
  </si>
  <si>
    <t>Z. trajno 01.08.2018.(C+S); 31.01.2016.-brisana OJ 50001477</t>
  </si>
  <si>
    <t>S409</t>
  </si>
  <si>
    <t>712173S</t>
  </si>
  <si>
    <t>0100/712173S</t>
  </si>
  <si>
    <t>Gradna-sjever</t>
  </si>
  <si>
    <t>28.01.2016. primopredaja BP u ruke partnera - PSUM</t>
  </si>
  <si>
    <t>C409</t>
  </si>
  <si>
    <t>Gradna-sjever AB</t>
  </si>
  <si>
    <t>Z. trajno 01.08.2018.(C+S);  28.01.2016. primopredaja BP u ruke partnera - PSUM; 31.01.2016.-brisana OJ 50001476</t>
  </si>
  <si>
    <t>S396</t>
  </si>
  <si>
    <t>712141S</t>
  </si>
  <si>
    <t>0100/712141S</t>
  </si>
  <si>
    <t>Jastrebarsko</t>
  </si>
  <si>
    <t>S388</t>
  </si>
  <si>
    <t>712123S</t>
  </si>
  <si>
    <t>0100/712123S</t>
  </si>
  <si>
    <t>Pisarovina</t>
  </si>
  <si>
    <t>S366</t>
  </si>
  <si>
    <t>H366</t>
  </si>
  <si>
    <t>712161S</t>
  </si>
  <si>
    <t>0100/712161S</t>
  </si>
  <si>
    <t>Zagreb-Adžijina</t>
  </si>
  <si>
    <t>Z. 19.01. do 19.02.2015. (projekt održavanja cca 20 dana)-(H366 trajno blokirana); (blokirana 29.05.2008. do 18.01.2015. prenamjena u LUEL)</t>
  </si>
  <si>
    <t>S363</t>
  </si>
  <si>
    <t>712153S</t>
  </si>
  <si>
    <t>0100/712153S</t>
  </si>
  <si>
    <t>Zagreb-Aleja Bologne</t>
  </si>
  <si>
    <t>Z. 21.08.2017. do 18.02.2018. (kapitalna rekonstrukcija - KDR - cca 120 dana)</t>
  </si>
  <si>
    <t>C363</t>
  </si>
  <si>
    <t>Zagreb-Aleja Bologne AB</t>
  </si>
  <si>
    <t xml:space="preserve">Z. trajno 01.08.2018.(C+S); O. 05.03.2018. Fresh corner </t>
  </si>
  <si>
    <t>S355</t>
  </si>
  <si>
    <t>712145S</t>
  </si>
  <si>
    <t>0100/712145S</t>
  </si>
  <si>
    <t>Zagreb-Črnomerec</t>
  </si>
  <si>
    <t>05.05.2014. primopredaja BP u ruke partnera - PSUM</t>
  </si>
  <si>
    <t>S348</t>
  </si>
  <si>
    <t>712128S</t>
  </si>
  <si>
    <t>0100/712128S</t>
  </si>
  <si>
    <t>Zagreb-Jagićeva</t>
  </si>
  <si>
    <t>Z. 10.07.2015. do 18.07.2016. (kapitalna rekonstrukcija - KDR - cca 100 dana)</t>
  </si>
  <si>
    <t>C348</t>
  </si>
  <si>
    <t>Z. trajno 01.08.2018.(C+S); Z. 01.07.2018. Pilot lokacija S&amp;C; (O. 19.07.2016. Fresh corner ( KDR - od 10.07.2015. do 18.07.2016.)</t>
  </si>
  <si>
    <t>S361</t>
  </si>
  <si>
    <t>712151S</t>
  </si>
  <si>
    <t>0100/712151S</t>
  </si>
  <si>
    <t>Zagreb-Selska</t>
  </si>
  <si>
    <t>Z. 20.07. do 26.07.2018. (plastificiranje spremnika - cca 6-7 dana)</t>
  </si>
  <si>
    <t>S339</t>
  </si>
  <si>
    <t>712103S</t>
  </si>
  <si>
    <t>0100/712103S</t>
  </si>
  <si>
    <t>Zagreb-Špansko</t>
  </si>
  <si>
    <t>S368</t>
  </si>
  <si>
    <t>712164S</t>
  </si>
  <si>
    <t>0100/712164S</t>
  </si>
  <si>
    <t>Zagreb-Vrapče</t>
  </si>
  <si>
    <t>01.06.2015. primopredaja BP u ruke partnera - PSUM</t>
  </si>
  <si>
    <t>S342</t>
  </si>
  <si>
    <t>712108S</t>
  </si>
  <si>
    <t>0100/712108S</t>
  </si>
  <si>
    <t>Zagreb-Zagrebačka av.-jug</t>
  </si>
  <si>
    <t>10.03.2015. primopredaja BP u ruke partnera - PSUM</t>
  </si>
  <si>
    <t>S343</t>
  </si>
  <si>
    <t>712113S</t>
  </si>
  <si>
    <t>0100/712113S</t>
  </si>
  <si>
    <t>Zagreb-Zagrebačka av.-sjever</t>
  </si>
  <si>
    <t>13.10.2015. primopredaja BP u ruke partnera - PSUM</t>
  </si>
  <si>
    <t>S372</t>
  </si>
  <si>
    <t>712172S</t>
  </si>
  <si>
    <t>0100/712172S</t>
  </si>
  <si>
    <t>Zagreb-Zagrebačka cesta-istok</t>
  </si>
  <si>
    <t>21.10.2019. do 8.12.2019. implementacija FC (cca 28 dana, rad iz kontejnera); 07.04.2014. primopredaja BP u ruke partnera - PSUM</t>
  </si>
  <si>
    <t>01007-10309</t>
  </si>
  <si>
    <t>Z9 Zagreb-jug</t>
  </si>
  <si>
    <t>S362</t>
  </si>
  <si>
    <t>712152S</t>
  </si>
  <si>
    <t>0100/712152S</t>
  </si>
  <si>
    <t>Zagreb-Av. Dubrovnik</t>
  </si>
  <si>
    <t>S412</t>
  </si>
  <si>
    <t>712176S</t>
  </si>
  <si>
    <t>0100/712176S</t>
  </si>
  <si>
    <t>Zagreb-Av. V. Holjevca-prodavaonica</t>
  </si>
  <si>
    <t>Z. 09.10. 2015. (GO)</t>
  </si>
  <si>
    <t>S352</t>
  </si>
  <si>
    <t>712132S</t>
  </si>
  <si>
    <t>0100/712132S</t>
  </si>
  <si>
    <t>Zagreb-Držićeva-autob. kolodvor</t>
  </si>
  <si>
    <t>31.08.2019. raskid ugovora sa PSUM partnerom; 10.03.2015. primopredaja BP u ruke partnera - PSUM</t>
  </si>
  <si>
    <t>S369</t>
  </si>
  <si>
    <t>712168S</t>
  </si>
  <si>
    <t>0100/712168S</t>
  </si>
  <si>
    <t>Zagreb-Držićeva-istok</t>
  </si>
  <si>
    <t>30.06.2018. promjena PSUM partnera; (18.03.2015. primopredaja BP u ruke partnera - PSUM)</t>
  </si>
  <si>
    <t>S370</t>
  </si>
  <si>
    <t>712169S</t>
  </si>
  <si>
    <t>0100/712169S</t>
  </si>
  <si>
    <t>Zagreb-Držićeva-zapad</t>
  </si>
  <si>
    <t>26.08.2019. do 26.09.2019. implementacija FC (cca 35 dana, rad iz kontejnera); 01.06.2015. primopredaja BP u ruke partnera - PSUM</t>
  </si>
  <si>
    <t>S337</t>
  </si>
  <si>
    <t>712101S</t>
  </si>
  <si>
    <t>0100/712101S</t>
  </si>
  <si>
    <t>Zagreb-Dugave-istok</t>
  </si>
  <si>
    <t>23.09.2019. do 29.10.2019. implementacija FC (cca 28 dana, rad iz kontejnera); 26.05.2014. primopredaja BP u ruke partnera - PSUM</t>
  </si>
  <si>
    <t>S338</t>
  </si>
  <si>
    <t>712102S</t>
  </si>
  <si>
    <t>0100/712102S</t>
  </si>
  <si>
    <t>Zagreb-Dugave-zapad</t>
  </si>
  <si>
    <t>07.10.2019. do 18.11.2019. implementacija FC (cca 28 dana, rad iz kontejnera); 30.09.2014. primopredaja BP u ruke partnera - PSUM</t>
  </si>
  <si>
    <t>S364</t>
  </si>
  <si>
    <t>712154S</t>
  </si>
  <si>
    <t>0100/712154S</t>
  </si>
  <si>
    <t>Zagreb-Folnegovićeva</t>
  </si>
  <si>
    <t>S358</t>
  </si>
  <si>
    <t>712148S</t>
  </si>
  <si>
    <t>0100/712148S</t>
  </si>
  <si>
    <t>Zagreb-Grada Vukovara</t>
  </si>
  <si>
    <t>31.08.2019. raskid ugovora sa PSUM partnerom; 07.05.2014. primopredaja BP u ruke partnera - PSUM</t>
  </si>
  <si>
    <t>S413</t>
  </si>
  <si>
    <t>711073S</t>
  </si>
  <si>
    <t>0100/711073S</t>
  </si>
  <si>
    <t>Zagreb-Grada Vukovara-prodavaonica</t>
  </si>
  <si>
    <t>S414</t>
  </si>
  <si>
    <t>711077S</t>
  </si>
  <si>
    <t>01007-11077</t>
  </si>
  <si>
    <t>Zagreb-INA maziva-prodavaonica</t>
  </si>
  <si>
    <t xml:space="preserve">Z. trajno 30.09.2015. - brisana OJ 50001386  </t>
  </si>
  <si>
    <t>S353</t>
  </si>
  <si>
    <t>712133S</t>
  </si>
  <si>
    <t>0100/712133S</t>
  </si>
  <si>
    <t>Zagreb-Miramarska</t>
  </si>
  <si>
    <t>Z. 03.10. do 08.12.2017. (projekt modernizacije-FC cca 30 dana); 17.03.2015. primopredaja BP u ruke partnera - PSUM</t>
  </si>
  <si>
    <t>C353</t>
  </si>
  <si>
    <t>Zagreb-Miramarska AB</t>
  </si>
  <si>
    <t xml:space="preserve">Z. trajno 01.08.2018.(C+S); O. 19.01.2018. Fresh corner </t>
  </si>
  <si>
    <t>S345</t>
  </si>
  <si>
    <t>712125S</t>
  </si>
  <si>
    <t>0100/712125S</t>
  </si>
  <si>
    <t>Zagreb-Stupnik-istok</t>
  </si>
  <si>
    <t>S371</t>
  </si>
  <si>
    <t>712170S</t>
  </si>
  <si>
    <t>0100/712170S</t>
  </si>
  <si>
    <t>Zagreb-Stupnik-zapad</t>
  </si>
  <si>
    <t>15.12.2015. primopredaja BP u ruke partnera - PSUM</t>
  </si>
  <si>
    <t>S435</t>
  </si>
  <si>
    <t>711078S</t>
  </si>
  <si>
    <t>0100/711078S</t>
  </si>
  <si>
    <t>Zagreb-Zapruđe</t>
  </si>
  <si>
    <t>01007-10201</t>
  </si>
  <si>
    <t>I1 Vinkovci</t>
  </si>
  <si>
    <t>S301</t>
  </si>
  <si>
    <t>H301</t>
  </si>
  <si>
    <t>715203S</t>
  </si>
  <si>
    <t>0100/715203S</t>
  </si>
  <si>
    <t>Bošnjaci</t>
  </si>
  <si>
    <t>S303</t>
  </si>
  <si>
    <t>715205S</t>
  </si>
  <si>
    <t>0100/715205S</t>
  </si>
  <si>
    <t>Drenovci</t>
  </si>
  <si>
    <t>Z. 09.06. do 11.06.2015. (zamjena MU)</t>
  </si>
  <si>
    <t>S308</t>
  </si>
  <si>
    <t>715210S</t>
  </si>
  <si>
    <t>0100/715210S</t>
  </si>
  <si>
    <t>Gunja</t>
  </si>
  <si>
    <t>S318</t>
  </si>
  <si>
    <t>715220S</t>
  </si>
  <si>
    <t>0100/715220S</t>
  </si>
  <si>
    <t>Ivankovo</t>
  </si>
  <si>
    <t>S317</t>
  </si>
  <si>
    <t>H317</t>
  </si>
  <si>
    <t>715219S</t>
  </si>
  <si>
    <t>0100/715219S</t>
  </si>
  <si>
    <t>Markušica</t>
  </si>
  <si>
    <t>S319</t>
  </si>
  <si>
    <t>715221S</t>
  </si>
  <si>
    <t>0100/715221S</t>
  </si>
  <si>
    <t>Mikluševci</t>
  </si>
  <si>
    <t>Z. 20.05. do 23.05.2015. (zamjena agregata)</t>
  </si>
  <si>
    <t>S315</t>
  </si>
  <si>
    <t>715217S</t>
  </si>
  <si>
    <t>0100/715217S</t>
  </si>
  <si>
    <t>Nijemci</t>
  </si>
  <si>
    <t>S314</t>
  </si>
  <si>
    <t>H314</t>
  </si>
  <si>
    <t>715216S</t>
  </si>
  <si>
    <t>0100/715216S</t>
  </si>
  <si>
    <t>Otok</t>
  </si>
  <si>
    <t>S311</t>
  </si>
  <si>
    <t>715213S</t>
  </si>
  <si>
    <t>0100/715213S</t>
  </si>
  <si>
    <t>Spačva-Lubanj</t>
  </si>
  <si>
    <t>20.03. do 04.05.2018. rad iz kontejnera (implementacija FC - cca 37 dana); 28.01.2016. primopredaja BP u ruke partnera - PSUM</t>
  </si>
  <si>
    <t>C311</t>
  </si>
  <si>
    <t>Spačva-Lubanj AB</t>
  </si>
  <si>
    <t>Z. trajno 15.10.2018.(C+S);  Z. 20.03. do 09.05.2018. (implementacija FC - cca 37 dana); 28.01.2016. primopredaja BP u ruke partnera - PSUM;  31.01.2016.-brisana OJ 50038562</t>
  </si>
  <si>
    <t>S313</t>
  </si>
  <si>
    <t>715215S</t>
  </si>
  <si>
    <t>0100/715215S</t>
  </si>
  <si>
    <t>Tovarnik</t>
  </si>
  <si>
    <t>S316</t>
  </si>
  <si>
    <t>715218S</t>
  </si>
  <si>
    <t>0100/715218S</t>
  </si>
  <si>
    <t>Vinkovci-Bana Jelačića</t>
  </si>
  <si>
    <t>26.01.2016. primopredaja BP u ruke partnera - PSUM</t>
  </si>
  <si>
    <t>S309</t>
  </si>
  <si>
    <t>715211S</t>
  </si>
  <si>
    <t>0100/715211S</t>
  </si>
  <si>
    <t>Vinkovci-Genscherova</t>
  </si>
  <si>
    <t>S306</t>
  </si>
  <si>
    <t>715208S</t>
  </si>
  <si>
    <t>0100/715208S</t>
  </si>
  <si>
    <t>Vinkovci-Kralja Zvonimira</t>
  </si>
  <si>
    <t>Z. 03.-04.03.2016. (instalacija GRO)</t>
  </si>
  <si>
    <t>S310</t>
  </si>
  <si>
    <t>715212S</t>
  </si>
  <si>
    <t>0100/715212S</t>
  </si>
  <si>
    <t>Vinkovci-Kunjevci</t>
  </si>
  <si>
    <t>Z. 21.10. do 11.12.2015. (zamjena spremnika - cca 30 dana); (projekt održavanja - II faza od 21.10. do 30.11.2013.; I faza od 22.10.2012.)</t>
  </si>
  <si>
    <t>S299</t>
  </si>
  <si>
    <t>715201S</t>
  </si>
  <si>
    <t>0100/715201S</t>
  </si>
  <si>
    <t>Vukovar-Borovo</t>
  </si>
  <si>
    <t>S305</t>
  </si>
  <si>
    <t>715207S</t>
  </si>
  <si>
    <t>0100/715207S</t>
  </si>
  <si>
    <t>Vukovar-Mitnica</t>
  </si>
  <si>
    <t>S304</t>
  </si>
  <si>
    <t>H304</t>
  </si>
  <si>
    <t>715206S</t>
  </si>
  <si>
    <t>0100/715206S</t>
  </si>
  <si>
    <t>Vukovar-Priljevo</t>
  </si>
  <si>
    <t>S300</t>
  </si>
  <si>
    <t>H300</t>
  </si>
  <si>
    <t>715202S</t>
  </si>
  <si>
    <t>0100/715202S</t>
  </si>
  <si>
    <t>Županja-Braće Radić</t>
  </si>
  <si>
    <t>S312</t>
  </si>
  <si>
    <t>715214S</t>
  </si>
  <si>
    <t>0100/715214S</t>
  </si>
  <si>
    <t>Županja-Motel Jelen</t>
  </si>
  <si>
    <t>01007-10202</t>
  </si>
  <si>
    <t>I2 Osijek</t>
  </si>
  <si>
    <t>S088</t>
  </si>
  <si>
    <t>715102S</t>
  </si>
  <si>
    <t>0100/715102S</t>
  </si>
  <si>
    <t>Beli Manastir-Bele Bartoka</t>
  </si>
  <si>
    <t>Z. 23.10.2017. do 01.01.2018. (projekt održavanja/modernizacija cca 35 dana);</t>
  </si>
  <si>
    <t>S098</t>
  </si>
  <si>
    <t>715114S</t>
  </si>
  <si>
    <t>0100/715114S</t>
  </si>
  <si>
    <t>Beli Manastir-Osječka</t>
  </si>
  <si>
    <t>11.09. do 19.11.2018. rad iz kontejnera (implementacija FC - cca 45 dana)</t>
  </si>
  <si>
    <t>S104</t>
  </si>
  <si>
    <t>715120S</t>
  </si>
  <si>
    <t>0100/715120S</t>
  </si>
  <si>
    <t>Bilje</t>
  </si>
  <si>
    <t>S107</t>
  </si>
  <si>
    <t>715124S</t>
  </si>
  <si>
    <t>0100/715124S</t>
  </si>
  <si>
    <t>Dalj</t>
  </si>
  <si>
    <t>S110</t>
  </si>
  <si>
    <t>715127S</t>
  </si>
  <si>
    <t>0100/715127S</t>
  </si>
  <si>
    <t>Darda</t>
  </si>
  <si>
    <t>S113</t>
  </si>
  <si>
    <t>715130S</t>
  </si>
  <si>
    <t>0100/715130S</t>
  </si>
  <si>
    <t>Donji Miholjac-jug</t>
  </si>
  <si>
    <t>S095</t>
  </si>
  <si>
    <t>715111S</t>
  </si>
  <si>
    <t>0100/715111S</t>
  </si>
  <si>
    <t>Donji Miholjac-sjever</t>
  </si>
  <si>
    <t>S109</t>
  </si>
  <si>
    <t>715126S</t>
  </si>
  <si>
    <t>0100/715126S</t>
  </si>
  <si>
    <t>Kneževi Vinogradi</t>
  </si>
  <si>
    <t>S428</t>
  </si>
  <si>
    <t>715131S</t>
  </si>
  <si>
    <t>0100/715131S</t>
  </si>
  <si>
    <t>Koška</t>
  </si>
  <si>
    <t>S087</t>
  </si>
  <si>
    <t>715101S</t>
  </si>
  <si>
    <t>0100/715101S</t>
  </si>
  <si>
    <t>Magadenovac</t>
  </si>
  <si>
    <t>S100</t>
  </si>
  <si>
    <t>715116S</t>
  </si>
  <si>
    <t>0100/715116S</t>
  </si>
  <si>
    <t>Osijek-Čepinska</t>
  </si>
  <si>
    <t>Z. 08.09. do 19.12.2015. (rekonstrukcija - cca 50 dana)</t>
  </si>
  <si>
    <t>S093</t>
  </si>
  <si>
    <t>715109S</t>
  </si>
  <si>
    <t>0100/715109S</t>
  </si>
  <si>
    <t>Osijek-Gajev trg</t>
  </si>
  <si>
    <t>Z. 31.05.2017. brisana OJ 50001697</t>
  </si>
  <si>
    <t>S103</t>
  </si>
  <si>
    <t>715119S</t>
  </si>
  <si>
    <t>0100/715119S</t>
  </si>
  <si>
    <t>Osijek-Kanižlićeva</t>
  </si>
  <si>
    <t>Z. 02.03. do 04.03.2019. (havarija), od 05.03.2019. do 02.06.2019.- rad iz kontejnera (od 01.04.2019. implementacija FC-a); 15.12.2017. promjena PSUM partnera (30.06.2017.; 25.01.2016. primopredaja BP u ruke partnera - PSUM)</t>
  </si>
  <si>
    <t>c</t>
  </si>
  <si>
    <t>S106</t>
  </si>
  <si>
    <t>715123S</t>
  </si>
  <si>
    <t>0100/715123S</t>
  </si>
  <si>
    <t>Osijek-Kovačićeva</t>
  </si>
  <si>
    <t>Z. 31.05.2017. brisana OJ 50001698</t>
  </si>
  <si>
    <t>S090</t>
  </si>
  <si>
    <t>715105S</t>
  </si>
  <si>
    <t>01007-15105</t>
  </si>
  <si>
    <t>Osijek-Lošinjska</t>
  </si>
  <si>
    <t>Z. 09.01.2012. (OJ 50001700 brisanje 31.01.2012.)</t>
  </si>
  <si>
    <t>S105</t>
  </si>
  <si>
    <t>715122S</t>
  </si>
  <si>
    <t>01007-15122</t>
  </si>
  <si>
    <t>Osijek-Petefijeva</t>
  </si>
  <si>
    <t>Z. 09.01.2012. (OJ 50001707 brisanje 31.01.2012.)</t>
  </si>
  <si>
    <t>S101</t>
  </si>
  <si>
    <t>715117S</t>
  </si>
  <si>
    <t>0100/715117S</t>
  </si>
  <si>
    <t>Osijek-Trpimirova-istok</t>
  </si>
  <si>
    <t>S102</t>
  </si>
  <si>
    <t>715118S</t>
  </si>
  <si>
    <t>0100/715118S</t>
  </si>
  <si>
    <t>Osijek-Trpimirova-zapad</t>
  </si>
  <si>
    <t>S089</t>
  </si>
  <si>
    <t>715103S</t>
  </si>
  <si>
    <t>0100/715103S</t>
  </si>
  <si>
    <t>Osijek-Vinkovačka</t>
  </si>
  <si>
    <t>S094</t>
  </si>
  <si>
    <t>715110S</t>
  </si>
  <si>
    <t>0100/715110S</t>
  </si>
  <si>
    <t>Osijek-Vukovarska</t>
  </si>
  <si>
    <t>S112</t>
  </si>
  <si>
    <t>715129S</t>
  </si>
  <si>
    <t>0100/715129S</t>
  </si>
  <si>
    <t>Valpovo-Bana Jelačića</t>
  </si>
  <si>
    <t>S097</t>
  </si>
  <si>
    <t>715113S</t>
  </si>
  <si>
    <t>0100/715113S</t>
  </si>
  <si>
    <t>Valpovo-I. L. Ribara</t>
  </si>
  <si>
    <t>01007-10203</t>
  </si>
  <si>
    <t>I3 Virovitica</t>
  </si>
  <si>
    <t>S005</t>
  </si>
  <si>
    <t>714205S</t>
  </si>
  <si>
    <t>0100/714205S</t>
  </si>
  <si>
    <t>Bjelovar-grad</t>
  </si>
  <si>
    <t>S001</t>
  </si>
  <si>
    <t>714201S</t>
  </si>
  <si>
    <t>0100/714201S</t>
  </si>
  <si>
    <t>Bjelovar-Markovac</t>
  </si>
  <si>
    <t>S009</t>
  </si>
  <si>
    <t>714209S</t>
  </si>
  <si>
    <t>0100/714209S</t>
  </si>
  <si>
    <t>Bjelovar-motel</t>
  </si>
  <si>
    <t>S032</t>
  </si>
  <si>
    <t>714311S</t>
  </si>
  <si>
    <t>0100/714311S</t>
  </si>
  <si>
    <t>Čađavica</t>
  </si>
  <si>
    <t>Z. 29.02. do 31.03.2016. (projekt održavanja)</t>
  </si>
  <si>
    <t>S007</t>
  </si>
  <si>
    <t>714207S</t>
  </si>
  <si>
    <t>0100/714207S</t>
  </si>
  <si>
    <t>Đurđevac</t>
  </si>
  <si>
    <t>S013</t>
  </si>
  <si>
    <t>714213S</t>
  </si>
  <si>
    <t>0100/714213S</t>
  </si>
  <si>
    <t>Ivanska</t>
  </si>
  <si>
    <t>S021</t>
  </si>
  <si>
    <t>714221S</t>
  </si>
  <si>
    <t>0100/714221S</t>
  </si>
  <si>
    <t>Kalinovac</t>
  </si>
  <si>
    <t>S031</t>
  </si>
  <si>
    <t>714310S</t>
  </si>
  <si>
    <t>0100/714310S</t>
  </si>
  <si>
    <t>Mikleuš</t>
  </si>
  <si>
    <t>S003</t>
  </si>
  <si>
    <t>H003</t>
  </si>
  <si>
    <t>714203S</t>
  </si>
  <si>
    <t>0100/714203S</t>
  </si>
  <si>
    <t>Nova Rača</t>
  </si>
  <si>
    <t>S016</t>
  </si>
  <si>
    <t>714216S</t>
  </si>
  <si>
    <t>0100/714216S</t>
  </si>
  <si>
    <t>Novigrad Podravski</t>
  </si>
  <si>
    <t>S017</t>
  </si>
  <si>
    <t>714217S</t>
  </si>
  <si>
    <t>0100/714217S</t>
  </si>
  <si>
    <t>Pitomača</t>
  </si>
  <si>
    <t>Z. 19.06. do 08.08.2017. (projekt održavanja cca 45 dana);</t>
  </si>
  <si>
    <t>S026</t>
  </si>
  <si>
    <t>714305S</t>
  </si>
  <si>
    <t>0100/714305S</t>
  </si>
  <si>
    <t>Slatina</t>
  </si>
  <si>
    <t>S417</t>
  </si>
  <si>
    <t>714317S</t>
  </si>
  <si>
    <t>01007-14317</t>
  </si>
  <si>
    <t>Slatina PM</t>
  </si>
  <si>
    <t>Z. 28.07.2014.; trajno Z. 31.07.2014. -brisanje OJ 50001685;</t>
  </si>
  <si>
    <t>S004</t>
  </si>
  <si>
    <t>714204S</t>
  </si>
  <si>
    <t>0100/714204S</t>
  </si>
  <si>
    <t>Suhopolje</t>
  </si>
  <si>
    <t>S019</t>
  </si>
  <si>
    <t>714219S</t>
  </si>
  <si>
    <t>01007-14219</t>
  </si>
  <si>
    <t>Velika Pisanica</t>
  </si>
  <si>
    <t>Z. 31.01.2013. (1.2.2013. brisana OJ 50001662)</t>
  </si>
  <si>
    <t>S015</t>
  </si>
  <si>
    <t>714215S</t>
  </si>
  <si>
    <t>0100/714215S</t>
  </si>
  <si>
    <t>Virje</t>
  </si>
  <si>
    <t>S002</t>
  </si>
  <si>
    <t>714202S</t>
  </si>
  <si>
    <t>0100/714202S</t>
  </si>
  <si>
    <t>Virovitica-Radićeva</t>
  </si>
  <si>
    <t>21.08. do 14.10.2018. rad iz kontejnera (implementacija FC - cca 45 dana);</t>
  </si>
  <si>
    <t>S020</t>
  </si>
  <si>
    <t>714220S</t>
  </si>
  <si>
    <t>0100/714220S</t>
  </si>
  <si>
    <t>Virovitica-Strossmayerova</t>
  </si>
  <si>
    <t>S028</t>
  </si>
  <si>
    <t>714307S</t>
  </si>
  <si>
    <t>01007-14307</t>
  </si>
  <si>
    <t>Voćin</t>
  </si>
  <si>
    <t>Z. 09.01.2012. (OJ 50001679 brisanje 31.01.2012.)</t>
  </si>
  <si>
    <t>01007-10204</t>
  </si>
  <si>
    <t>I4 Slavonski Brod</t>
  </si>
  <si>
    <t>S302</t>
  </si>
  <si>
    <t>H302</t>
  </si>
  <si>
    <t>715204S</t>
  </si>
  <si>
    <t>0100/715204S</t>
  </si>
  <si>
    <t>Babina Greda</t>
  </si>
  <si>
    <t>S214</t>
  </si>
  <si>
    <t>715309S</t>
  </si>
  <si>
    <t>01007-15309</t>
  </si>
  <si>
    <t>Brodski Stupnik-autocesta</t>
  </si>
  <si>
    <t>Z. 31.03.2012. (OJ 50001752 brisanje 31.03.2012.)</t>
  </si>
  <si>
    <t>S209</t>
  </si>
  <si>
    <t>715303S</t>
  </si>
  <si>
    <t>0100/715303S</t>
  </si>
  <si>
    <t>Čaglin</t>
  </si>
  <si>
    <t>Z. 01.06. do 02.06.2015. (instalacija GRO)</t>
  </si>
  <si>
    <t>S099</t>
  </si>
  <si>
    <t>715115S</t>
  </si>
  <si>
    <t>0100/715115S</t>
  </si>
  <si>
    <t>Đakovo-Nazorova</t>
  </si>
  <si>
    <t>20.08. do 17.10.2018. rad iz kontejnera (implementacija FC - cca 45 dana);</t>
  </si>
  <si>
    <t>C099</t>
  </si>
  <si>
    <t>715115C</t>
  </si>
  <si>
    <t>Đakovo-Nazorova AB</t>
  </si>
  <si>
    <t>O. ? 2018. (Z. 30.06.2013.-brisana OJ 50068596)</t>
  </si>
  <si>
    <t>S432</t>
  </si>
  <si>
    <t>715115L</t>
  </si>
  <si>
    <t>Đakovo-Nazorova AP</t>
  </si>
  <si>
    <t>Z. trajno 31.01.2016.-brisana OJ 50068597; Z. 01.06. do 02.06.2015. (kvar)</t>
  </si>
  <si>
    <t>S111</t>
  </si>
  <si>
    <t>715128S</t>
  </si>
  <si>
    <t>0100/715128S</t>
  </si>
  <si>
    <t>Đakovo-Preradovićeva</t>
  </si>
  <si>
    <t>S108</t>
  </si>
  <si>
    <t>H108</t>
  </si>
  <si>
    <t>715125S</t>
  </si>
  <si>
    <t>0100/715125S</t>
  </si>
  <si>
    <t>Feričanci</t>
  </si>
  <si>
    <t>S210</t>
  </si>
  <si>
    <t>715304S</t>
  </si>
  <si>
    <t>0100/715304S</t>
  </si>
  <si>
    <t>Marsonija-jug</t>
  </si>
  <si>
    <t>18.03. do 18.04.2019. rad iz kontejnera (rekonstrukcija prodajnog prostora - održavanje cca 30 dana)</t>
  </si>
  <si>
    <t>S207</t>
  </si>
  <si>
    <t>715301S</t>
  </si>
  <si>
    <t>0100/715301S</t>
  </si>
  <si>
    <t>Marsonija-sjever</t>
  </si>
  <si>
    <t>04.03. do 18.04.2019. rekonstrukcija sanitarnog čvora za kupce (MPM radi); iznimka rada 26.3.2019. (00-08)</t>
  </si>
  <si>
    <t>C207</t>
  </si>
  <si>
    <t>Marsonija-sjever AB</t>
  </si>
  <si>
    <t>Z. trajno 27.03.2019. (C+S); 31.01.2016.-brisana OJ 50691230; O. 24.04.2015. (kreirana 01.07.2013. u okviru projekta modernizacije - NE RADI do '04.2015.)</t>
  </si>
  <si>
    <t>S096</t>
  </si>
  <si>
    <t>715112S</t>
  </si>
  <si>
    <t>0100/715112S</t>
  </si>
  <si>
    <t>Našice-Kralja Tomislava</t>
  </si>
  <si>
    <t>S092</t>
  </si>
  <si>
    <t>715108S</t>
  </si>
  <si>
    <t>0100/715108S</t>
  </si>
  <si>
    <t>Našice-Osječka</t>
  </si>
  <si>
    <t>S091</t>
  </si>
  <si>
    <t>715106S</t>
  </si>
  <si>
    <t>0100/715106S</t>
  </si>
  <si>
    <t>Podgorač</t>
  </si>
  <si>
    <t>Z. 18.06.2015. (instalacija GRO)</t>
  </si>
  <si>
    <t>S307</t>
  </si>
  <si>
    <t>715209S</t>
  </si>
  <si>
    <t>0100/715209S</t>
  </si>
  <si>
    <t>Rastovica</t>
  </si>
  <si>
    <t>07.05.do 21.06.2018. rad iz kontejnera (implementacija FC - cca 40 dana);</t>
  </si>
  <si>
    <t>C307</t>
  </si>
  <si>
    <t>Rastovica AB</t>
  </si>
  <si>
    <t>Z. trajno 15.10.2018.(C+S);  Z. 07.05.do 03.07.2018. (implementacija FC - cca 40 dana); 31.01.2016.-brisana OJ 50001754</t>
  </si>
  <si>
    <t>S221</t>
  </si>
  <si>
    <t>715316S</t>
  </si>
  <si>
    <t>0100/715316S</t>
  </si>
  <si>
    <t>Slavonski Brod-Osječka</t>
  </si>
  <si>
    <t>20.08. do 11.10.2018. rad iz kontejnera (implementacija FC - cca 45 dana);</t>
  </si>
  <si>
    <t>C221</t>
  </si>
  <si>
    <t>715316C</t>
  </si>
  <si>
    <t>Slavonski Brod-Osječka AB</t>
  </si>
  <si>
    <t>O. ? 2018. (Z. 30.06.2013.-brisana OJ 50006805)</t>
  </si>
  <si>
    <t>S219</t>
  </si>
  <si>
    <t>H219</t>
  </si>
  <si>
    <t>715314S</t>
  </si>
  <si>
    <t>0100/715314S</t>
  </si>
  <si>
    <t>Slavonski Brod-Pilareva</t>
  </si>
  <si>
    <t>S224</t>
  </si>
  <si>
    <t>715320S</t>
  </si>
  <si>
    <t>0100/715320S</t>
  </si>
  <si>
    <t>Slavonski Brod-Strossmayerova</t>
  </si>
  <si>
    <t>S225</t>
  </si>
  <si>
    <t>715322S</t>
  </si>
  <si>
    <t>0100/715322S</t>
  </si>
  <si>
    <t>Slavonski Brod-Svačićeva</t>
  </si>
  <si>
    <t>Z. 03.05. do 12.07.2018. (implementacija FC - cca 45 dana);</t>
  </si>
  <si>
    <t>C225</t>
  </si>
  <si>
    <t>715322C</t>
  </si>
  <si>
    <t>Slavonski Brod-Svačićeva AB</t>
  </si>
  <si>
    <t>Radi od 01.09.2018. implementacija FC;  Z. trajno 01.08.2018.(C+S); (Z. 31.08.2012.-brisana OJ 50001755)</t>
  </si>
  <si>
    <t>S211</t>
  </si>
  <si>
    <t>715305S</t>
  </si>
  <si>
    <t>0100/715305S</t>
  </si>
  <si>
    <t>Sredanci-autocesta</t>
  </si>
  <si>
    <t>Z. 30.09.2019. (raskid Ug HAC-INA) brisana OJ 50001746</t>
  </si>
  <si>
    <t>01007-10205</t>
  </si>
  <si>
    <t>I5 Požega</t>
  </si>
  <si>
    <t>S023</t>
  </si>
  <si>
    <t>714302S</t>
  </si>
  <si>
    <t>0100/714302S</t>
  </si>
  <si>
    <t>Daruvar</t>
  </si>
  <si>
    <t>S418</t>
  </si>
  <si>
    <t>714316S</t>
  </si>
  <si>
    <t>01007-14316</t>
  </si>
  <si>
    <t>Daruvar PM</t>
  </si>
  <si>
    <t>Z. 01.07.2014. (BO); trajno Z. 31.07.2014.-brisanje OJ 50001683;</t>
  </si>
  <si>
    <t>S033</t>
  </si>
  <si>
    <t>714312S</t>
  </si>
  <si>
    <t>0100/714312S</t>
  </si>
  <si>
    <t>Donji Čaglić</t>
  </si>
  <si>
    <t>S029</t>
  </si>
  <si>
    <t>714308S</t>
  </si>
  <si>
    <t>0100/714308S</t>
  </si>
  <si>
    <t>Donji Daruvar</t>
  </si>
  <si>
    <t>Z. 29.09. do 08.10.2015. (zamjena MU)</t>
  </si>
  <si>
    <t>S024</t>
  </si>
  <si>
    <t>714303S</t>
  </si>
  <si>
    <t>0100/714303S</t>
  </si>
  <si>
    <t>Garešnica</t>
  </si>
  <si>
    <t>S027</t>
  </si>
  <si>
    <t>714306S</t>
  </si>
  <si>
    <t>0100/714306S</t>
  </si>
  <si>
    <t>Grubišno Polje</t>
  </si>
  <si>
    <t>S220</t>
  </si>
  <si>
    <t>715315S</t>
  </si>
  <si>
    <t>0100/715315S</t>
  </si>
  <si>
    <t>Kutjevo</t>
  </si>
  <si>
    <t>S213</t>
  </si>
  <si>
    <t>H213</t>
  </si>
  <si>
    <t>715307S</t>
  </si>
  <si>
    <t>0100/715307S</t>
  </si>
  <si>
    <t>Nova Gradiška-Relkovićeva</t>
  </si>
  <si>
    <t>28.08. do 22.10.2018. rad iz kontejnera (implementacija FC - cca 45 dana);</t>
  </si>
  <si>
    <t>S208</t>
  </si>
  <si>
    <t>715302S</t>
  </si>
  <si>
    <t>0100/715302S</t>
  </si>
  <si>
    <t>Okučani</t>
  </si>
  <si>
    <t>S222</t>
  </si>
  <si>
    <t>715318S</t>
  </si>
  <si>
    <t>0100/715318S</t>
  </si>
  <si>
    <t>Oriovac</t>
  </si>
  <si>
    <t>S034</t>
  </si>
  <si>
    <t>714313S</t>
  </si>
  <si>
    <t>0100/714313S</t>
  </si>
  <si>
    <t>Pakrac</t>
  </si>
  <si>
    <t>Z. 12.01.-15.01.2018. (provjera instalacija)</t>
  </si>
  <si>
    <t>S218</t>
  </si>
  <si>
    <t>H218</t>
  </si>
  <si>
    <t>715313S</t>
  </si>
  <si>
    <t>0100/715313S</t>
  </si>
  <si>
    <t>Pleternica</t>
  </si>
  <si>
    <t>S035</t>
  </si>
  <si>
    <t>H035</t>
  </si>
  <si>
    <t>714314S</t>
  </si>
  <si>
    <t>0100/714314S</t>
  </si>
  <si>
    <t>Poljana</t>
  </si>
  <si>
    <t>S215</t>
  </si>
  <si>
    <t>H215</t>
  </si>
  <si>
    <t>715310S</t>
  </si>
  <si>
    <t>0100/715310S</t>
  </si>
  <si>
    <t>Požega-Industrijska</t>
  </si>
  <si>
    <t>03.09. do 21.11.2018. rad iz kontejnera (implementacija FC - cca 45 dana);</t>
  </si>
  <si>
    <t>S217</t>
  </si>
  <si>
    <t>715312S</t>
  </si>
  <si>
    <t>0100/715312S</t>
  </si>
  <si>
    <t>Požega-Zagrebačka</t>
  </si>
  <si>
    <t>S212</t>
  </si>
  <si>
    <t>715306S</t>
  </si>
  <si>
    <t>0100/715306S</t>
  </si>
  <si>
    <t>Staro Petrovo Selo-autocesta</t>
  </si>
  <si>
    <t>S216</t>
  </si>
  <si>
    <t>715311S</t>
  </si>
  <si>
    <t>0100/715311S</t>
  </si>
  <si>
    <t>Velika</t>
  </si>
  <si>
    <t>S022</t>
  </si>
  <si>
    <t>714301S</t>
  </si>
  <si>
    <t>01007-14301</t>
  </si>
  <si>
    <t>Velika Trnovitica</t>
  </si>
  <si>
    <t>Z. 31.01.2013. (1.2.2013. brisana OJ 50001676)</t>
  </si>
  <si>
    <t>S030</t>
  </si>
  <si>
    <t>714309S</t>
  </si>
  <si>
    <t>0100/714309S</t>
  </si>
  <si>
    <t>Veliki Grđevac</t>
  </si>
  <si>
    <t>S025</t>
  </si>
  <si>
    <t>714304S</t>
  </si>
  <si>
    <t>0100/714304S</t>
  </si>
  <si>
    <t>Veliki Zdenci</t>
  </si>
  <si>
    <t>01007-10301</t>
  </si>
  <si>
    <t>Z1 Pazin</t>
  </si>
  <si>
    <t>S422</t>
  </si>
  <si>
    <t>713232S</t>
  </si>
  <si>
    <t>0100/713232S</t>
  </si>
  <si>
    <t>Bačva-jug</t>
  </si>
  <si>
    <t>04.11.2019. do 29.12.2019. implementacija FC (cca 45 dana, rad iz kontejnera); Z. 27.04. do 30.04.2015. (radovi na autocesti A9 – nemogućnost pristupa)</t>
  </si>
  <si>
    <t>C422</t>
  </si>
  <si>
    <t>Bačva-jug AB</t>
  </si>
  <si>
    <t>31.01.2016.-brisana OJ 50006003; Z. 27.04. do 30.04.2015. (radovi na autocesti A9 – nemogućnost pristupa)</t>
  </si>
  <si>
    <t>S423</t>
  </si>
  <si>
    <t>713233S</t>
  </si>
  <si>
    <t>0100/713233S</t>
  </si>
  <si>
    <t>Bačva-sjever</t>
  </si>
  <si>
    <t>18.09.2019. do 21.11.2019. implementacija FC (cca 45 dana, rad iz kontejnera)</t>
  </si>
  <si>
    <t>C423</t>
  </si>
  <si>
    <t>Bačva-sjever AB</t>
  </si>
  <si>
    <t>31.01.2016.-brisana OJ 50006001</t>
  </si>
  <si>
    <t>S130</t>
  </si>
  <si>
    <t>713218S</t>
  </si>
  <si>
    <t>0100/713218S</t>
  </si>
  <si>
    <t>Baderna</t>
  </si>
  <si>
    <t>Z. 21.10.2015. do 06.01.2016. (rekonstrukcija od 19.10.2012. - kontejner)</t>
  </si>
  <si>
    <t>S116</t>
  </si>
  <si>
    <t>713203S</t>
  </si>
  <si>
    <t>0100/713203S</t>
  </si>
  <si>
    <t>Buje</t>
  </si>
  <si>
    <t>S129</t>
  </si>
  <si>
    <t>713217S</t>
  </si>
  <si>
    <t>0100/713217S</t>
  </si>
  <si>
    <t>Buzet</t>
  </si>
  <si>
    <t>C129</t>
  </si>
  <si>
    <t>713217C</t>
  </si>
  <si>
    <t>Buzet AB</t>
  </si>
  <si>
    <t>Z. 31.07.2012.-brisana OJ 50001622 (Z. od 28.05.2012. - modernizacija/prenamjena prostora u rashladnu komoru)</t>
  </si>
  <si>
    <t>S132</t>
  </si>
  <si>
    <t>713220S</t>
  </si>
  <si>
    <t>0100/713220S</t>
  </si>
  <si>
    <t>Kaldanija</t>
  </si>
  <si>
    <t>Z. 21.04. do 16.06.2016. (projekt održavanja cca. 40 dana)</t>
  </si>
  <si>
    <t>S143</t>
  </si>
  <si>
    <t>713231S</t>
  </si>
  <si>
    <t>0100/713231S</t>
  </si>
  <si>
    <t>Motovun</t>
  </si>
  <si>
    <t>S128</t>
  </si>
  <si>
    <t>713216S</t>
  </si>
  <si>
    <t>0100/713216S</t>
  </si>
  <si>
    <t>Pazin</t>
  </si>
  <si>
    <t>26.09. do 09.12.2018. radi iz kontejnera (implementacija FC - cca 45 dana);</t>
  </si>
  <si>
    <t>S138</t>
  </si>
  <si>
    <t>713226S</t>
  </si>
  <si>
    <t>0100/713226S</t>
  </si>
  <si>
    <t>Poreč-obala</t>
  </si>
  <si>
    <t>Z. 27.11. do 26.12.2017. (projekt modernizacije cca 20 dana)</t>
  </si>
  <si>
    <t>S126</t>
  </si>
  <si>
    <t>713214S</t>
  </si>
  <si>
    <t>0100/713214S</t>
  </si>
  <si>
    <t>Poreč-Vukovarska</t>
  </si>
  <si>
    <t>10.10.2019. do 05.12.2019. implementacija FC (cca 45 dana, rad iz kontejnera); Z. 09.10.2015. do 16.03.2016. (kapitalna rekonstrukcija - KDR - cca 120 dana)</t>
  </si>
  <si>
    <t>S114</t>
  </si>
  <si>
    <t>713201S</t>
  </si>
  <si>
    <t>0100/713201S</t>
  </si>
  <si>
    <t>Rovinj-Gripole</t>
  </si>
  <si>
    <t>Z. 29.09.2014. do 15.02.2015. (kapitalna rekonstrukcija - KDR - cca 120 dana)</t>
  </si>
  <si>
    <t>S127</t>
  </si>
  <si>
    <t>713215S</t>
  </si>
  <si>
    <t>0100/713215S</t>
  </si>
  <si>
    <t>Rovinj-Istarska</t>
  </si>
  <si>
    <t>S134</t>
  </si>
  <si>
    <t>H134</t>
  </si>
  <si>
    <t>713222S</t>
  </si>
  <si>
    <t>0100/713222S</t>
  </si>
  <si>
    <t>Rovinj-obala</t>
  </si>
  <si>
    <t>Z. 15.12. do 30.12.2014. (modernizacija cca 35 dana - kontejner)</t>
  </si>
  <si>
    <t>S119</t>
  </si>
  <si>
    <t>713206S</t>
  </si>
  <si>
    <t>0100/713206S</t>
  </si>
  <si>
    <t>Tar-sjever</t>
  </si>
  <si>
    <t>S120</t>
  </si>
  <si>
    <t>713207S</t>
  </si>
  <si>
    <t>0100/713207S</t>
  </si>
  <si>
    <t>Umag-obala</t>
  </si>
  <si>
    <t>C120</t>
  </si>
  <si>
    <t>Umag-obala AB</t>
  </si>
  <si>
    <t xml:space="preserve"> 31.01.2016.-brisana OJ 50001623; Z. 28.12.2015.-09.01.2016. (GO jedina zap.); 12.11.2015.; 06.11. do 07.11.2015. (BO); 26.05.2015.(sist);  02.01. do 21.01.2015. (GO); </t>
  </si>
  <si>
    <t>S139</t>
  </si>
  <si>
    <t>H139</t>
  </si>
  <si>
    <t>713227S</t>
  </si>
  <si>
    <t>0100/713227S</t>
  </si>
  <si>
    <t>Vodnjan</t>
  </si>
  <si>
    <t>01007-10302</t>
  </si>
  <si>
    <t>Z2 Pula</t>
  </si>
  <si>
    <t>S115</t>
  </si>
  <si>
    <t>713202S</t>
  </si>
  <si>
    <t>0100/713202S</t>
  </si>
  <si>
    <t>Barban</t>
  </si>
  <si>
    <t>Z. 09.02. do 20.04.2018. (projekt modernizacije)</t>
  </si>
  <si>
    <t>S136</t>
  </si>
  <si>
    <t>713224S</t>
  </si>
  <si>
    <t>0100/713224S</t>
  </si>
  <si>
    <t>Fažana</t>
  </si>
  <si>
    <t>S436</t>
  </si>
  <si>
    <t>713234S</t>
  </si>
  <si>
    <t>0100/713234S</t>
  </si>
  <si>
    <t>Galižana-istok</t>
  </si>
  <si>
    <t>21.10.2019. do 26.12.2019. implementacija FC (cca 45 dana, rad iz kontejnera)</t>
  </si>
  <si>
    <t>C436</t>
  </si>
  <si>
    <t>Galižana-istok AB</t>
  </si>
  <si>
    <t>31.01.2016.-brisana OJ 50475797</t>
  </si>
  <si>
    <t>S437</t>
  </si>
  <si>
    <t>713235S</t>
  </si>
  <si>
    <t>0100/713235S</t>
  </si>
  <si>
    <t>Galižana-zapad</t>
  </si>
  <si>
    <t>09.10.2019. do 12.12.2019. implementacija FC (cca 50 dana, rad iz kontejnera)</t>
  </si>
  <si>
    <t>C437</t>
  </si>
  <si>
    <t>Galižana-zapad AB</t>
  </si>
  <si>
    <t>S121</t>
  </si>
  <si>
    <t>713208S</t>
  </si>
  <si>
    <t>0100/713208S</t>
  </si>
  <si>
    <t>Labin</t>
  </si>
  <si>
    <t>23.10. do 26.12.2018. rad iz kontejnera (implementacija FC - cca 45 dana);</t>
  </si>
  <si>
    <t>S440</t>
  </si>
  <si>
    <t>713237S</t>
  </si>
  <si>
    <t>0100/713237S</t>
  </si>
  <si>
    <t>Labin UNP</t>
  </si>
  <si>
    <t>O. 03.10.2011. reintegracija Proplina u INU</t>
  </si>
  <si>
    <t>S142</t>
  </si>
  <si>
    <t>713230S</t>
  </si>
  <si>
    <t>0100/713230S</t>
  </si>
  <si>
    <t>Medulin</t>
  </si>
  <si>
    <t>Z. 30.11.2017. do 21.01.2018. (projekt modernizacije cca 30 dana)</t>
  </si>
  <si>
    <t>S439</t>
  </si>
  <si>
    <t>713236S</t>
  </si>
  <si>
    <t>0100/713236S</t>
  </si>
  <si>
    <t>Pula UNP</t>
  </si>
  <si>
    <t>S125</t>
  </si>
  <si>
    <t>713213S</t>
  </si>
  <si>
    <t>01007-13213</t>
  </si>
  <si>
    <t>Pula-centar</t>
  </si>
  <si>
    <t>Z. 24.05.2013. (predaja u posjed LUKOILu - 31.5.2013. brisana OJ 50001598); O. 16.10.2012.</t>
  </si>
  <si>
    <t>S118</t>
  </si>
  <si>
    <t>713205S</t>
  </si>
  <si>
    <t>0100/713205S</t>
  </si>
  <si>
    <t>Pula-marina Veruda</t>
  </si>
  <si>
    <t>Z. trajno 31.05.2018. (brisana OJ 50001601); 22.1.2018. predaja nekretnine u posjed tužitelju TEHNOMONT d.d.; Z. 31.3.2011. (problem sa koncesijom)</t>
  </si>
  <si>
    <t>S140</t>
  </si>
  <si>
    <t>713228S</t>
  </si>
  <si>
    <t>0100/713228S</t>
  </si>
  <si>
    <t>Pula-obala</t>
  </si>
  <si>
    <t>Z. 19.01. do 27.01.2015. (modernizacija od 02.12.2014. cca 30 dana - kontejner)</t>
  </si>
  <si>
    <t>S124</t>
  </si>
  <si>
    <t>713212S</t>
  </si>
  <si>
    <t>0100/713212S</t>
  </si>
  <si>
    <t>Pula-Punta Šijana</t>
  </si>
  <si>
    <t>S133</t>
  </si>
  <si>
    <t>713221S</t>
  </si>
  <si>
    <t>01007-13221</t>
  </si>
  <si>
    <t>Pula-Šijana</t>
  </si>
  <si>
    <t>Z. 31.10.2012. brisanje OJ 50001609; (15.10.2012. predaju BP u posjed vlasniku Gradu Puli). Kupio ju je Lukoil</t>
  </si>
  <si>
    <t>S131</t>
  </si>
  <si>
    <t>713219S</t>
  </si>
  <si>
    <t>0100/713219S</t>
  </si>
  <si>
    <t>Pula-Veli Vrh</t>
  </si>
  <si>
    <t>Zamjena mjernih uređaja 27.03. od 10 do 28.03.2019. do 12 (ne prodaje gorivo)</t>
  </si>
  <si>
    <t>S141</t>
  </si>
  <si>
    <t>713229S</t>
  </si>
  <si>
    <t>0100/713229S</t>
  </si>
  <si>
    <t>Pula-Veruda</t>
  </si>
  <si>
    <t>S137</t>
  </si>
  <si>
    <t>713225S</t>
  </si>
  <si>
    <t>01007-13225</t>
  </si>
  <si>
    <t>Rabac</t>
  </si>
  <si>
    <t>Z. 31.01.2012. (OJ 50001619 brisanje 31.01.2012.)</t>
  </si>
  <si>
    <t>S117</t>
  </si>
  <si>
    <t>713204S</t>
  </si>
  <si>
    <t>0100/713204S</t>
  </si>
  <si>
    <t>Učka</t>
  </si>
  <si>
    <t>S122</t>
  </si>
  <si>
    <t>713210S</t>
  </si>
  <si>
    <t>0100/713210S</t>
  </si>
  <si>
    <t>Vozilići</t>
  </si>
  <si>
    <t>Z. 23.04.2019. do 06.07.2019. (modernizacija - cca 45 dana)</t>
  </si>
  <si>
    <t>01007-104</t>
  </si>
  <si>
    <t>JUG</t>
  </si>
  <si>
    <t>01007-10407</t>
  </si>
  <si>
    <t>J7 Gospić</t>
  </si>
  <si>
    <t>S057</t>
  </si>
  <si>
    <t>713301S</t>
  </si>
  <si>
    <t>0100/713301S</t>
  </si>
  <si>
    <t>Donji Lapac</t>
  </si>
  <si>
    <t>S059</t>
  </si>
  <si>
    <t>H059</t>
  </si>
  <si>
    <t>713303S</t>
  </si>
  <si>
    <t>0100/713303S</t>
  </si>
  <si>
    <t>Gospić-Bilajska</t>
  </si>
  <si>
    <t>Z. trajno 31.07.2018. (brisana OJ 50001516)</t>
  </si>
  <si>
    <t>S060</t>
  </si>
  <si>
    <t>H060</t>
  </si>
  <si>
    <t>713305S</t>
  </si>
  <si>
    <t>0100/713305S</t>
  </si>
  <si>
    <t>Gospić-Budačka</t>
  </si>
  <si>
    <t>Z. 07.07.2015. do 18.02.2016. (kapitalna rekonstrukcija - KDR - cca 120 dana)</t>
  </si>
  <si>
    <t>S066</t>
  </si>
  <si>
    <t>H066</t>
  </si>
  <si>
    <t>713313S</t>
  </si>
  <si>
    <t>0100/713313S</t>
  </si>
  <si>
    <t>Gračac</t>
  </si>
  <si>
    <t>Z. 25.10.2018. (sanacija spuštenog stropa cca 1-2 dana)</t>
  </si>
  <si>
    <t>S164</t>
  </si>
  <si>
    <t>713125S</t>
  </si>
  <si>
    <t>0100/713125S</t>
  </si>
  <si>
    <t>Jablanac</t>
  </si>
  <si>
    <t>S063</t>
  </si>
  <si>
    <t>713310S</t>
  </si>
  <si>
    <t>0100/713310S</t>
  </si>
  <si>
    <t>Karlobag-grad</t>
  </si>
  <si>
    <t>S065</t>
  </si>
  <si>
    <t>713312S</t>
  </si>
  <si>
    <t>0100/713312S</t>
  </si>
  <si>
    <t>Korenica</t>
  </si>
  <si>
    <t>Z. 21.03.2019. do 10.05.2019. (rekonstrukcija nadstrešnice - cca 40 dana)</t>
  </si>
  <si>
    <t>01007-10406</t>
  </si>
  <si>
    <t>J6 Zadar</t>
  </si>
  <si>
    <t>S336</t>
  </si>
  <si>
    <t>716219S</t>
  </si>
  <si>
    <t>0100/716219S</t>
  </si>
  <si>
    <t>Novalja-obala</t>
  </si>
  <si>
    <t>S323</t>
  </si>
  <si>
    <t>H323</t>
  </si>
  <si>
    <t>716206S</t>
  </si>
  <si>
    <t>0100/716206S</t>
  </si>
  <si>
    <t>Novalja-Špital</t>
  </si>
  <si>
    <t>S062</t>
  </si>
  <si>
    <t>713307S</t>
  </si>
  <si>
    <t>0100/713307S</t>
  </si>
  <si>
    <t>Otočac</t>
  </si>
  <si>
    <t>S332</t>
  </si>
  <si>
    <t>716215S</t>
  </si>
  <si>
    <t>0100/716215S</t>
  </si>
  <si>
    <t>Pag</t>
  </si>
  <si>
    <t>S149</t>
  </si>
  <si>
    <t>713109S</t>
  </si>
  <si>
    <t>0100/713109S</t>
  </si>
  <si>
    <t>Rab-Banjol</t>
  </si>
  <si>
    <t>S169</t>
  </si>
  <si>
    <t>713131S</t>
  </si>
  <si>
    <t>0100/713131S</t>
  </si>
  <si>
    <t>Rab-obala</t>
  </si>
  <si>
    <t>Z. 15.12.2014. do 13.02.2015. (modernizacija od 01.12.2014. cca 40 dana - radila iz objekta na obali)</t>
  </si>
  <si>
    <t>S064</t>
  </si>
  <si>
    <t>713311S</t>
  </si>
  <si>
    <t>0100/713311S</t>
  </si>
  <si>
    <t>Udbina</t>
  </si>
  <si>
    <t>S061</t>
  </si>
  <si>
    <t>713306S</t>
  </si>
  <si>
    <t>0100/713306S</t>
  </si>
  <si>
    <t>Vrhovine</t>
  </si>
  <si>
    <t>S069</t>
  </si>
  <si>
    <t>713316S</t>
  </si>
  <si>
    <t>0100/713316S</t>
  </si>
  <si>
    <t>Zir-istok</t>
  </si>
  <si>
    <t>Zamjena glavnog razvodnog ormara - RV 19.03.2019. (00-08); 20.03.2019. (11:54-24:00)</t>
  </si>
  <si>
    <t>C069</t>
  </si>
  <si>
    <t>Zir-istok AB</t>
  </si>
  <si>
    <t>Z. trajno 01.08.2018.(C+S); Z. 14.05. do 18.05.2018. 18:00h (izvedba zasebnog sustav odvodnje FC-a); 31.01.2016.-brisana OJ 50001531</t>
  </si>
  <si>
    <t>S070</t>
  </si>
  <si>
    <t>713317S</t>
  </si>
  <si>
    <t>0100/713317S</t>
  </si>
  <si>
    <t>Zir-zapad</t>
  </si>
  <si>
    <t>C070</t>
  </si>
  <si>
    <t>Zir-zapad AB</t>
  </si>
  <si>
    <t>Z. trajno 01.08.2018.(C+S); 31.01.2016.-brisana OJ 50001530</t>
  </si>
  <si>
    <t>01007-10305</t>
  </si>
  <si>
    <t>Z5 Rijeka</t>
  </si>
  <si>
    <t>S176</t>
  </si>
  <si>
    <t>713139S</t>
  </si>
  <si>
    <t>0100/713139S</t>
  </si>
  <si>
    <t>Cernik</t>
  </si>
  <si>
    <t>Z. 01.10.18. do 08.08.2019. (kapitalna rekonstrukcija - KDR - cca 140 dana); 29.01.2016. primopredaja BP u ruke partnera - PSUM</t>
  </si>
  <si>
    <t>S147</t>
  </si>
  <si>
    <t>713105S</t>
  </si>
  <si>
    <t>01007-13105</t>
  </si>
  <si>
    <t>Crni Lug</t>
  </si>
  <si>
    <t>Z. 31.03.2012. (OJ 50001558 brisanje 31.03.2012.); (1 val. zatvaranja 30.09.2011. - odgođen odlukom ID 13.09.2011.)</t>
  </si>
  <si>
    <t>S165</t>
  </si>
  <si>
    <t>713126S</t>
  </si>
  <si>
    <t>0100/713126S</t>
  </si>
  <si>
    <t>Čabar</t>
  </si>
  <si>
    <t>S152</t>
  </si>
  <si>
    <t>713112S</t>
  </si>
  <si>
    <t>0100/713112S</t>
  </si>
  <si>
    <t>Čavle</t>
  </si>
  <si>
    <t>S151</t>
  </si>
  <si>
    <t>713111S</t>
  </si>
  <si>
    <t>0100/713111S</t>
  </si>
  <si>
    <t>Delnice</t>
  </si>
  <si>
    <t>(04.2016. modernizirana autopraonica)</t>
  </si>
  <si>
    <t>S148</t>
  </si>
  <si>
    <t>713106S</t>
  </si>
  <si>
    <t>0100/713106S</t>
  </si>
  <si>
    <t>Fužine</t>
  </si>
  <si>
    <t>S155</t>
  </si>
  <si>
    <t>713115S</t>
  </si>
  <si>
    <t>0100/713115S</t>
  </si>
  <si>
    <t>Lovran</t>
  </si>
  <si>
    <t>S179</t>
  </si>
  <si>
    <t>713142S</t>
  </si>
  <si>
    <t>0100/713142S</t>
  </si>
  <si>
    <t>Matulji</t>
  </si>
  <si>
    <t>S154</t>
  </si>
  <si>
    <t>713114S</t>
  </si>
  <si>
    <t>0100/713114S</t>
  </si>
  <si>
    <t>Opatija-grad</t>
  </si>
  <si>
    <t>S172</t>
  </si>
  <si>
    <t>713135S</t>
  </si>
  <si>
    <t>0100/713135S</t>
  </si>
  <si>
    <t>Opatija-Lido</t>
  </si>
  <si>
    <t>S178</t>
  </si>
  <si>
    <t>713141S</t>
  </si>
  <si>
    <t>0100/713141S</t>
  </si>
  <si>
    <t>Ravna Gora</t>
  </si>
  <si>
    <t>Z. 18.06. do 18.09.2018. (projekt modernizacije)</t>
  </si>
  <si>
    <t>H419</t>
  </si>
  <si>
    <t>713148S</t>
  </si>
  <si>
    <t>01007-13148</t>
  </si>
  <si>
    <t>Rijeka LU EL</t>
  </si>
  <si>
    <t>Z. 30.11.2012. (projekt Regina) brisana OJ 50001589; block 21.12.2012</t>
  </si>
  <si>
    <t>S167</t>
  </si>
  <si>
    <t>713128S</t>
  </si>
  <si>
    <t>0100/713128S</t>
  </si>
  <si>
    <t>Rijeka-Kantrida-jug</t>
  </si>
  <si>
    <t>S166</t>
  </si>
  <si>
    <t>713127S</t>
  </si>
  <si>
    <t>0100/713127S</t>
  </si>
  <si>
    <t>Rijeka-Kantrida-sjever</t>
  </si>
  <si>
    <t>Z. 10.12. do 22.12.2019. (izmjena GRO); 11.11.2019. do 22.12.2019. implementacija FC (cca 35 dana, rad iz kontejnera do 10.12.)</t>
  </si>
  <si>
    <t>01007-10306</t>
  </si>
  <si>
    <t>Z6 Rijeka-otoci</t>
  </si>
  <si>
    <t>S153</t>
  </si>
  <si>
    <t>713113S</t>
  </si>
  <si>
    <t>0100/713113S</t>
  </si>
  <si>
    <t>Rijeka-Mlaka</t>
  </si>
  <si>
    <t>S144</t>
  </si>
  <si>
    <t>713101S</t>
  </si>
  <si>
    <t>0100/713101S</t>
  </si>
  <si>
    <t>Rijeka-Škurinje</t>
  </si>
  <si>
    <t>Z. 11.10.2019. do 27.10.2019.; 28.10. do 27.11.2019. rad iz kontejnera (implementacija FC-a - cca 45 dana); Z. 25.01. do 05.04.2016. (modernizacija cca 40 dana); 28.01.2016. primopredaja BP u ruke partnera - PSUM</t>
  </si>
  <si>
    <t>S170</t>
  </si>
  <si>
    <t>713132S</t>
  </si>
  <si>
    <t>0100/713132S</t>
  </si>
  <si>
    <t>Rupa</t>
  </si>
  <si>
    <t>Z. 07.11. do 14.12.2016. (projekt održavanja cca. 30 dana)</t>
  </si>
  <si>
    <t>S173</t>
  </si>
  <si>
    <t>713136S</t>
  </si>
  <si>
    <t>0100/713136S</t>
  </si>
  <si>
    <t>Severin na Kupi</t>
  </si>
  <si>
    <t>S168</t>
  </si>
  <si>
    <t>713129S</t>
  </si>
  <si>
    <t>01007-13129</t>
  </si>
  <si>
    <t>Skrad</t>
  </si>
  <si>
    <t>Z. 29.09.2014.; trajno Z. 30.09.2014. - brisana OJ 50001581; (planirano Z.31.03.2013. odgođeno - do daljnjeg)</t>
  </si>
  <si>
    <t>S182</t>
  </si>
  <si>
    <t>713146S</t>
  </si>
  <si>
    <t>0100/713146S</t>
  </si>
  <si>
    <t>Lepenica</t>
  </si>
  <si>
    <t>Z. 15.03. do 06.06.2017. - rad iz kontejnera do 24.7. 2017.(rekonstrukcija cca 60 dana);  promj.naziva (Tuhobić) 1.9.2015.</t>
  </si>
  <si>
    <t>C182</t>
  </si>
  <si>
    <t>Lepenica AB</t>
  </si>
  <si>
    <t>Z. trajno 15.10.2018.(C+S); 31.01.2016.-brisana OJ 50001591; promj.naziva (Tuhobić AB) 1.9.2015.; O.24.12.2008.</t>
  </si>
  <si>
    <t>S177</t>
  </si>
  <si>
    <t>713140S</t>
  </si>
  <si>
    <t>0100/713140S</t>
  </si>
  <si>
    <t>Vrbovsko</t>
  </si>
  <si>
    <t>Z. 13.04. do 06.06.2018. (projekt modernizacije)</t>
  </si>
  <si>
    <t>S058</t>
  </si>
  <si>
    <t>H058</t>
  </si>
  <si>
    <t>713302S</t>
  </si>
  <si>
    <t>0100/713302S</t>
  </si>
  <si>
    <t>Brinje</t>
  </si>
  <si>
    <t>S067</t>
  </si>
  <si>
    <t>713314S</t>
  </si>
  <si>
    <t>0100/713314S</t>
  </si>
  <si>
    <t>Brinje-istok</t>
  </si>
  <si>
    <t>C067</t>
  </si>
  <si>
    <t>Brinje-istok AB</t>
  </si>
  <si>
    <t>Z. trajno 01.08.2018.(C+S); 31.01.2016.-brisana OJ 50001529</t>
  </si>
  <si>
    <t>S068</t>
  </si>
  <si>
    <t>713315S</t>
  </si>
  <si>
    <t>0100/713315S</t>
  </si>
  <si>
    <t>Brinje-zapad</t>
  </si>
  <si>
    <t>C068</t>
  </si>
  <si>
    <t>Brinje-zapad AB</t>
  </si>
  <si>
    <t>Z. trajno 01.08.2018.(C+S); 31.01.2016.-brisana OJ 50001528</t>
  </si>
  <si>
    <t>S175</t>
  </si>
  <si>
    <t>713138S</t>
  </si>
  <si>
    <t>0100/713138S</t>
  </si>
  <si>
    <t>Cres-grad</t>
  </si>
  <si>
    <t>S145</t>
  </si>
  <si>
    <t>713102S</t>
  </si>
  <si>
    <t>0100/713102S</t>
  </si>
  <si>
    <t>Cres-marina</t>
  </si>
  <si>
    <t>od 01.01.2012. do 31.12.2030. Ug.o potkoncesiji (do 31.12.2011. Uzeta u zakup od ACI-a)</t>
  </si>
  <si>
    <t>S156</t>
  </si>
  <si>
    <t>713116S</t>
  </si>
  <si>
    <t>0100/713116S</t>
  </si>
  <si>
    <t>Crikvenica-magistrala</t>
  </si>
  <si>
    <t>S146</t>
  </si>
  <si>
    <t>713103S</t>
  </si>
  <si>
    <t>0100/713103S</t>
  </si>
  <si>
    <t>Crikvenica-obala</t>
  </si>
  <si>
    <t>S163</t>
  </si>
  <si>
    <t>713123S</t>
  </si>
  <si>
    <t>0100/713123S</t>
  </si>
  <si>
    <t>Kraljevica</t>
  </si>
  <si>
    <t>S150</t>
  </si>
  <si>
    <t>713110S</t>
  </si>
  <si>
    <t>0100/713110S</t>
  </si>
  <si>
    <t>Krk-Nova cesta</t>
  </si>
  <si>
    <t>S160</t>
  </si>
  <si>
    <t>713120S</t>
  </si>
  <si>
    <t>0100/713120S</t>
  </si>
  <si>
    <t>Krk-obala</t>
  </si>
  <si>
    <t>Uzeta u zakup od Autotrans RI</t>
  </si>
  <si>
    <t>S180</t>
  </si>
  <si>
    <t>713143S</t>
  </si>
  <si>
    <t>0100/713143S</t>
  </si>
  <si>
    <t>Mali Lošinj-grad</t>
  </si>
  <si>
    <t>S161</t>
  </si>
  <si>
    <t>713121S</t>
  </si>
  <si>
    <t>0100/713121S</t>
  </si>
  <si>
    <t>Mali Lošinj-obala</t>
  </si>
  <si>
    <t>S157</t>
  </si>
  <si>
    <t>713117S</t>
  </si>
  <si>
    <t>0100/713117S</t>
  </si>
  <si>
    <t>Novi Vinodolski-magistrala</t>
  </si>
  <si>
    <t>S453</t>
  </si>
  <si>
    <t>713318S</t>
  </si>
  <si>
    <t>0100/713318S</t>
  </si>
  <si>
    <t>Novi Vinodolski-obala</t>
  </si>
  <si>
    <t>O. 04.07.2018.</t>
  </si>
  <si>
    <t>S174</t>
  </si>
  <si>
    <t>713137S</t>
  </si>
  <si>
    <t>0100/713137S</t>
  </si>
  <si>
    <t>Rijeka-Čandekova</t>
  </si>
  <si>
    <t>Z. 20.08.2019. do 10.10.2019. (implementacija CC - cca 45 dana); 28.01.2016. primopredaja BP u ruke partnera - PSUM</t>
  </si>
  <si>
    <t>S171</t>
  </si>
  <si>
    <t>H171</t>
  </si>
  <si>
    <t>713134S</t>
  </si>
  <si>
    <t>0100/713134S</t>
  </si>
  <si>
    <t>Rijeka-Krimeja</t>
  </si>
  <si>
    <t>S159</t>
  </si>
  <si>
    <t>713119S</t>
  </si>
  <si>
    <t>0100/713119S</t>
  </si>
  <si>
    <t>Rijeka-Školjić</t>
  </si>
  <si>
    <t>29.01.2016. primopredaja BP u ruke partnera - PSUM</t>
  </si>
  <si>
    <t>S181</t>
  </si>
  <si>
    <t>713144S</t>
  </si>
  <si>
    <t>0100/713144S</t>
  </si>
  <si>
    <t>Rijeka-Vežica</t>
  </si>
  <si>
    <t>Z. 27.-28.05.2016. (radovi na nadstrešnici)</t>
  </si>
  <si>
    <t>S162</t>
  </si>
  <si>
    <t>713122S</t>
  </si>
  <si>
    <t>0100/713122S</t>
  </si>
  <si>
    <t>Rijeka-Žurkovo</t>
  </si>
  <si>
    <t>S158</t>
  </si>
  <si>
    <t>713118S</t>
  </si>
  <si>
    <t>0100/713118S</t>
  </si>
  <si>
    <t>Senj</t>
  </si>
  <si>
    <t>01007-10401</t>
  </si>
  <si>
    <t>J1 Dubrovnik</t>
  </si>
  <si>
    <t>S044</t>
  </si>
  <si>
    <t>716411S</t>
  </si>
  <si>
    <t>0100/716411S</t>
  </si>
  <si>
    <t>Čilipi</t>
  </si>
  <si>
    <t>H046</t>
  </si>
  <si>
    <t>716413S</t>
  </si>
  <si>
    <t>0100/716413S</t>
  </si>
  <si>
    <t>Dubrovnik LU EL</t>
  </si>
  <si>
    <t>Z. trajno 31.05.2018. (brisana OJ 50001814)</t>
  </si>
  <si>
    <t>S442</t>
  </si>
  <si>
    <t>716425S</t>
  </si>
  <si>
    <t>0100/716425S</t>
  </si>
  <si>
    <t>Dubrovnik UNP</t>
  </si>
  <si>
    <t>S047</t>
  </si>
  <si>
    <t>716414S</t>
  </si>
  <si>
    <t>0100/716414S</t>
  </si>
  <si>
    <t>Dubrovnik-grad</t>
  </si>
  <si>
    <t>Z. 13.03 do 15.03.2018. (nužni radovi); Z. 10.03.2015. do 02.06.2016. (kapitalna rekonstrukcija - KDR - cca 90 dana)</t>
  </si>
  <si>
    <t>S049</t>
  </si>
  <si>
    <t>H049</t>
  </si>
  <si>
    <t>716416S</t>
  </si>
  <si>
    <t>0100/716416S</t>
  </si>
  <si>
    <t>Dubrovnik-Komolac</t>
  </si>
  <si>
    <t>S037</t>
  </si>
  <si>
    <t>716401S</t>
  </si>
  <si>
    <t>0100/716401S</t>
  </si>
  <si>
    <t>Dubrovnik-Komolac-marina</t>
  </si>
  <si>
    <t>S045</t>
  </si>
  <si>
    <t>716412S</t>
  </si>
  <si>
    <t>0100/716412S</t>
  </si>
  <si>
    <t>Dubrovnik-Orsan</t>
  </si>
  <si>
    <t xml:space="preserve">Z. 13.03. do 12.04.2017. (modernizacija cca 20 dana)  </t>
  </si>
  <si>
    <t>S051</t>
  </si>
  <si>
    <t>H051</t>
  </si>
  <si>
    <t>716418S</t>
  </si>
  <si>
    <t>0100/716418S</t>
  </si>
  <si>
    <t>Korčula</t>
  </si>
  <si>
    <t>S056</t>
  </si>
  <si>
    <t>716420S</t>
  </si>
  <si>
    <t>0100/716420S</t>
  </si>
  <si>
    <t>Kupari</t>
  </si>
  <si>
    <t>C056</t>
  </si>
  <si>
    <t>716420C</t>
  </si>
  <si>
    <t>Kupari AB</t>
  </si>
  <si>
    <t xml:space="preserve">Z. 01.05.2012.-brisana OJ 50001856;  Z. 13.02.-14.03.2012. (GO); deblock 29.02.-09.03.2012. (PDV): (19.03.2012. -modernizacija BP); </t>
  </si>
  <si>
    <t>S039</t>
  </si>
  <si>
    <t>H039</t>
  </si>
  <si>
    <t>716404S</t>
  </si>
  <si>
    <t>0100/716404S</t>
  </si>
  <si>
    <t>Lastovo</t>
  </si>
  <si>
    <t>Z. 12.06.-13.06.2019. (radovi na spremnicima i ugradnja novih mjernih uređaja); od 10.04.2019. do 13.6.2019.- rad iz kontejnera (modernizacija)</t>
  </si>
  <si>
    <t>S040</t>
  </si>
  <si>
    <t>716405S</t>
  </si>
  <si>
    <t>0100/716405S</t>
  </si>
  <si>
    <t>Potomje</t>
  </si>
  <si>
    <t>S048</t>
  </si>
  <si>
    <t>716415S</t>
  </si>
  <si>
    <t>0100/716415S</t>
  </si>
  <si>
    <t>Ston</t>
  </si>
  <si>
    <t>S041</t>
  </si>
  <si>
    <t>716406S</t>
  </si>
  <si>
    <t>0100/716406S</t>
  </si>
  <si>
    <t>Vela Luka</t>
  </si>
  <si>
    <t>01007-10402</t>
  </si>
  <si>
    <t>J2 Makarska</t>
  </si>
  <si>
    <t>S248</t>
  </si>
  <si>
    <t>716126S</t>
  </si>
  <si>
    <t>0100/716126S</t>
  </si>
  <si>
    <t>Gradac</t>
  </si>
  <si>
    <t>S241</t>
  </si>
  <si>
    <t>716119S</t>
  </si>
  <si>
    <t>0100/716119S</t>
  </si>
  <si>
    <t>Imotski-Bleiburška</t>
  </si>
  <si>
    <t>S230</t>
  </si>
  <si>
    <t>716105S</t>
  </si>
  <si>
    <t>0100/716105S</t>
  </si>
  <si>
    <t>Imotski-magistrala</t>
  </si>
  <si>
    <t>S253</t>
  </si>
  <si>
    <t>716131S</t>
  </si>
  <si>
    <t>0100/716131S</t>
  </si>
  <si>
    <t>Makarska-Dugiš</t>
  </si>
  <si>
    <t>S258</t>
  </si>
  <si>
    <t>716136S</t>
  </si>
  <si>
    <t>0100/716136S</t>
  </si>
  <si>
    <t>Makarska-obala</t>
  </si>
  <si>
    <t>S242</t>
  </si>
  <si>
    <t>716120S</t>
  </si>
  <si>
    <t>0100/716120S</t>
  </si>
  <si>
    <t>Makarska-Ratac</t>
  </si>
  <si>
    <t>Z. 04.04. do 13.04.2016. ( radovi na nadstrešnici)</t>
  </si>
  <si>
    <t>S443</t>
  </si>
  <si>
    <t>716144S</t>
  </si>
  <si>
    <t>0100/716144S</t>
  </si>
  <si>
    <t>Metković UNP</t>
  </si>
  <si>
    <t>S038</t>
  </si>
  <si>
    <t>716402S</t>
  </si>
  <si>
    <t>0100/716402S</t>
  </si>
  <si>
    <t>Metković-Krvavac</t>
  </si>
  <si>
    <t>Z. 30.11.2017. do 28.02.2018. (projekt modernizacije cca 45 dana)</t>
  </si>
  <si>
    <t>S244</t>
  </si>
  <si>
    <t>716122S</t>
  </si>
  <si>
    <t>0100/716122S</t>
  </si>
  <si>
    <t>Omiš</t>
  </si>
  <si>
    <t>Z. 03.11.2014. do 11.06.2015. (kapitalna rekonstrukcija - KDR - cca 120 dana)</t>
  </si>
  <si>
    <t>S042</t>
  </si>
  <si>
    <t>716408S</t>
  </si>
  <si>
    <t>0100/716408S</t>
  </si>
  <si>
    <t>Opuzen</t>
  </si>
  <si>
    <t>S050</t>
  </si>
  <si>
    <t>716417S</t>
  </si>
  <si>
    <t>0100/716417S</t>
  </si>
  <si>
    <t>Ploče</t>
  </si>
  <si>
    <t>S247</t>
  </si>
  <si>
    <t>716125S</t>
  </si>
  <si>
    <t>0100/716125S</t>
  </si>
  <si>
    <t>Vrgorac</t>
  </si>
  <si>
    <t>S251</t>
  </si>
  <si>
    <t>716129S</t>
  </si>
  <si>
    <t>0100/716129S</t>
  </si>
  <si>
    <t>Zadvarje</t>
  </si>
  <si>
    <t>S438</t>
  </si>
  <si>
    <t>716143S</t>
  </si>
  <si>
    <t>0100/716143S</t>
  </si>
  <si>
    <t>Rašćane Gornje</t>
  </si>
  <si>
    <t>promj.naziva (Župa) 1.9.2015.</t>
  </si>
  <si>
    <t>C438</t>
  </si>
  <si>
    <t>Rašćane Gornje AB</t>
  </si>
  <si>
    <t>Z. trajno 15.10.2018.(C+S);  31.01.2016.-brisana OJ 50539292; promj.naziva (Župa AB) 1.9.2015.</t>
  </si>
  <si>
    <t>01007-10403</t>
  </si>
  <si>
    <t>J3 Split-otoci</t>
  </si>
  <si>
    <t>S229</t>
  </si>
  <si>
    <t>716104S</t>
  </si>
  <si>
    <t>0100/716104S</t>
  </si>
  <si>
    <t>Bol</t>
  </si>
  <si>
    <t>Z. 18.01. do 23.03.2016. (modernizacija cca 40 dana)</t>
  </si>
  <si>
    <t>S240</t>
  </si>
  <si>
    <t>716118S</t>
  </si>
  <si>
    <t>0100/716118S</t>
  </si>
  <si>
    <t>Hvar</t>
  </si>
  <si>
    <t>S243</t>
  </si>
  <si>
    <t>716121S</t>
  </si>
  <si>
    <t>0100/716121S</t>
  </si>
  <si>
    <t>Jelsa</t>
  </si>
  <si>
    <t>Z. trajno 31.10.2018. (brisana OJ 50001764); Z. 24.09.2018.</t>
  </si>
  <si>
    <t>S452</t>
  </si>
  <si>
    <t>716146S</t>
  </si>
  <si>
    <t>0100/716146S</t>
  </si>
  <si>
    <t>Jelsa-Pelinje</t>
  </si>
  <si>
    <t>O. 24.09.2018.</t>
  </si>
  <si>
    <t>S235</t>
  </si>
  <si>
    <t>716110S</t>
  </si>
  <si>
    <t>0100/716110S</t>
  </si>
  <si>
    <t>Milna-marina</t>
  </si>
  <si>
    <t>S249</t>
  </si>
  <si>
    <t>716127S</t>
  </si>
  <si>
    <t>0100/716127S</t>
  </si>
  <si>
    <t>Split-Kman-jug</t>
  </si>
  <si>
    <t>S259</t>
  </si>
  <si>
    <t>716137S</t>
  </si>
  <si>
    <t>0100/716137S</t>
  </si>
  <si>
    <t>Split-Kman-sjever</t>
  </si>
  <si>
    <t>S226</t>
  </si>
  <si>
    <t>716101S</t>
  </si>
  <si>
    <t>0100/716101S</t>
  </si>
  <si>
    <t>Split-Kopilica-jug</t>
  </si>
  <si>
    <t>S227</t>
  </si>
  <si>
    <t>716102S</t>
  </si>
  <si>
    <t>0100/716102S</t>
  </si>
  <si>
    <t>Split-Kopilica-sjever</t>
  </si>
  <si>
    <t>Z. 04.02.-17.02.2019. (ugradnja dvostruke stijenke na spremnicima)</t>
  </si>
  <si>
    <t>S236</t>
  </si>
  <si>
    <t>716112S</t>
  </si>
  <si>
    <t>0100/716112S</t>
  </si>
  <si>
    <t>Split-Pojišan</t>
  </si>
  <si>
    <t>Z. 03.12.2019. do ? 2020. (kapitalna rekonstrukcija - KDR - cca 120 dana)</t>
  </si>
  <si>
    <t>S231</t>
  </si>
  <si>
    <t>716106S</t>
  </si>
  <si>
    <t>0100/716106S</t>
  </si>
  <si>
    <t>Split-Smokovik</t>
  </si>
  <si>
    <t>Z 28.01.-10.02.2019. (radovi na moder.); 15.01.-28.02.2019. rad iz kontejnera (implementacija FC - cca 45 dana)</t>
  </si>
  <si>
    <t>S252</t>
  </si>
  <si>
    <t>716130S</t>
  </si>
  <si>
    <t>0100/716130S</t>
  </si>
  <si>
    <t>Split-Sućidar</t>
  </si>
  <si>
    <t>S256</t>
  </si>
  <si>
    <t>716134S</t>
  </si>
  <si>
    <t>0100/716134S</t>
  </si>
  <si>
    <t>Split-Visoka-sjever</t>
  </si>
  <si>
    <t>S245</t>
  </si>
  <si>
    <t>716123S</t>
  </si>
  <si>
    <t>0100/716123S</t>
  </si>
  <si>
    <t>Supetar</t>
  </si>
  <si>
    <t>Z. trajno 08.11.2017. (Odluka o trajnom zatvaranju od 01.07.2017. )</t>
  </si>
  <si>
    <t>S451</t>
  </si>
  <si>
    <t>716145S</t>
  </si>
  <si>
    <t>0100/716145S</t>
  </si>
  <si>
    <t>Supetar-Žedno Drage</t>
  </si>
  <si>
    <t>O. 08.11.2017.  (OJ od 01.07.2017.)</t>
  </si>
  <si>
    <t>S246</t>
  </si>
  <si>
    <t>716124S</t>
  </si>
  <si>
    <t>0100/716124S</t>
  </si>
  <si>
    <t>Vis</t>
  </si>
  <si>
    <t>S232</t>
  </si>
  <si>
    <t>716107S</t>
  </si>
  <si>
    <t>0100/716107S</t>
  </si>
  <si>
    <t>Vrboska-marina</t>
  </si>
  <si>
    <t>01007-10404</t>
  </si>
  <si>
    <t>J4 Split</t>
  </si>
  <si>
    <t>S257</t>
  </si>
  <si>
    <t>716135S</t>
  </si>
  <si>
    <t>0100/716135S</t>
  </si>
  <si>
    <t>Kaštel Stari-jug</t>
  </si>
  <si>
    <t xml:space="preserve">Z. od 29.5. do 14.06.2015. sanacija nadstrešnice; </t>
  </si>
  <si>
    <t>S250</t>
  </si>
  <si>
    <t>716128S</t>
  </si>
  <si>
    <t>0100/716128S</t>
  </si>
  <si>
    <t>Kaštel Stari-sjever</t>
  </si>
  <si>
    <t>Z. 04.02. do 11.02.2016. (rekonstrukcija nadstrešnice cca 15 dana)</t>
  </si>
  <si>
    <t>S263</t>
  </si>
  <si>
    <t>716141S</t>
  </si>
  <si>
    <t>0100/716141S</t>
  </si>
  <si>
    <t>Kozjak-jug</t>
  </si>
  <si>
    <t>C263</t>
  </si>
  <si>
    <t>Kozjak-jug AB</t>
  </si>
  <si>
    <t>Z. trajno 15.10.2018.(C+S); 31.01.2016.-brisana OJ 50001852</t>
  </si>
  <si>
    <t>S262</t>
  </si>
  <si>
    <t>716140S</t>
  </si>
  <si>
    <t>0100/716140S</t>
  </si>
  <si>
    <t>Kozjak-sjever</t>
  </si>
  <si>
    <t>C262</t>
  </si>
  <si>
    <t>Kozjak-sjever AB</t>
  </si>
  <si>
    <t>Z. trajno 15.10.2018.(C+S);  Z. 19.02. do 28.02.2018. (problem s instalacijama  otpadnih voda); 31.01.2016.-brisana OJ 50001851</t>
  </si>
  <si>
    <t>S238</t>
  </si>
  <si>
    <t>716115S</t>
  </si>
  <si>
    <t>0100/716115S</t>
  </si>
  <si>
    <t>Sinj</t>
  </si>
  <si>
    <t>S260</t>
  </si>
  <si>
    <t>716138S</t>
  </si>
  <si>
    <t>0100/716138S</t>
  </si>
  <si>
    <t>Solin-Meterize</t>
  </si>
  <si>
    <t>C260</t>
  </si>
  <si>
    <t>716138C</t>
  </si>
  <si>
    <t>Solin-Meterize AB</t>
  </si>
  <si>
    <t>Z. 01.05.2012.-brisana OJ 50001850; Z .01.01.2012. (deblock 15.-27.02.2012.) modernizacija BP 20.03.2012</t>
  </si>
  <si>
    <t>S237</t>
  </si>
  <si>
    <t>716113S</t>
  </si>
  <si>
    <t>0100/716113S</t>
  </si>
  <si>
    <t>Split-obala</t>
  </si>
  <si>
    <t>S255</t>
  </si>
  <si>
    <t>H255</t>
  </si>
  <si>
    <t>716133S</t>
  </si>
  <si>
    <t>0100/716133S</t>
  </si>
  <si>
    <t>Split-Špinut</t>
  </si>
  <si>
    <t>S234</t>
  </si>
  <si>
    <t>716109S</t>
  </si>
  <si>
    <t>0100/716109S</t>
  </si>
  <si>
    <t>Šolta</t>
  </si>
  <si>
    <t>Z. 04.-05.11.2015. (modernizacija od 19.10.2015. - kontejner)</t>
  </si>
  <si>
    <t>S254</t>
  </si>
  <si>
    <t>716132S</t>
  </si>
  <si>
    <t>0100/716132S</t>
  </si>
  <si>
    <t>Trilj</t>
  </si>
  <si>
    <t>S261</t>
  </si>
  <si>
    <t>716139S</t>
  </si>
  <si>
    <t>0100/716139S</t>
  </si>
  <si>
    <t>Trogir-Brigi</t>
  </si>
  <si>
    <t>15.11.2018. do 17.01.2019. rad iz kontejnera (implementacija FC - cca 45 dana)</t>
  </si>
  <si>
    <t>S233</t>
  </si>
  <si>
    <t>716108S</t>
  </si>
  <si>
    <t>0100/716108S</t>
  </si>
  <si>
    <t>Trogir-marina</t>
  </si>
  <si>
    <t>S228</t>
  </si>
  <si>
    <t>716103S</t>
  </si>
  <si>
    <t>0100/716103S</t>
  </si>
  <si>
    <t>Vrlika</t>
  </si>
  <si>
    <t>01007-10405</t>
  </si>
  <si>
    <t>J5 Šibenik</t>
  </si>
  <si>
    <t>S274</t>
  </si>
  <si>
    <t>716313S</t>
  </si>
  <si>
    <t>0100/716313S</t>
  </si>
  <si>
    <t>Drniš</t>
  </si>
  <si>
    <t>S267</t>
  </si>
  <si>
    <t>716306S</t>
  </si>
  <si>
    <t>0100/716306S</t>
  </si>
  <si>
    <t>Jezera-marina</t>
  </si>
  <si>
    <t>S264</t>
  </si>
  <si>
    <t>716301S</t>
  </si>
  <si>
    <t>0100/716301S</t>
  </si>
  <si>
    <t>Kistanje</t>
  </si>
  <si>
    <t>Z. 07.12.2018. (05.12.2018. u 10:30 -zbog tehničkih problema)</t>
  </si>
  <si>
    <t>S273</t>
  </si>
  <si>
    <t>716312S</t>
  </si>
  <si>
    <t>0100/716312S</t>
  </si>
  <si>
    <t>Knin-grad</t>
  </si>
  <si>
    <t>S268</t>
  </si>
  <si>
    <t>716307S</t>
  </si>
  <si>
    <t>0100/716307S</t>
  </si>
  <si>
    <t>Murter</t>
  </si>
  <si>
    <t>S275</t>
  </si>
  <si>
    <t>716314S</t>
  </si>
  <si>
    <t>0100/716314S</t>
  </si>
  <si>
    <t>Primošten</t>
  </si>
  <si>
    <t>S278</t>
  </si>
  <si>
    <t>716317S</t>
  </si>
  <si>
    <t>0100/716317S</t>
  </si>
  <si>
    <t>Prokljan-jug</t>
  </si>
  <si>
    <t>14.11.2017. do 31.01.2018. (projekt modernizacije-FC cca 40 dana) - rad iz kontejnera</t>
  </si>
  <si>
    <t>C278</t>
  </si>
  <si>
    <t>Prokljan-jug AB</t>
  </si>
  <si>
    <t>Z. trajno 15.10.2018.(C+S); 31.01.2016.-brisana OJ 50001855</t>
  </si>
  <si>
    <t>S279</t>
  </si>
  <si>
    <t>716318S</t>
  </si>
  <si>
    <t>0100/716318S</t>
  </si>
  <si>
    <t>Prokljan-sjever</t>
  </si>
  <si>
    <t>08.11.2017.  do 31.01.2018. (projekt modernizacije-FC cca 40 dana) - rad iz kontejnera</t>
  </si>
  <si>
    <t>C279</t>
  </si>
  <si>
    <t>Prokljan-sjever AB</t>
  </si>
  <si>
    <t>Z. trajno 15.10.2018.(C+S); 31.01.2016.-brisana OJ 50001854</t>
  </si>
  <si>
    <t>S270</t>
  </si>
  <si>
    <t>716309S</t>
  </si>
  <si>
    <t>0100/716309S</t>
  </si>
  <si>
    <t>Šibenik-grad</t>
  </si>
  <si>
    <t>Z. 13.03.2017.; trajno Z. 31.05.2017. brisana OJ 50001806</t>
  </si>
  <si>
    <t>S277</t>
  </si>
  <si>
    <t>716316S</t>
  </si>
  <si>
    <t>0100/716316S</t>
  </si>
  <si>
    <t>Šibenik-Njivice</t>
  </si>
  <si>
    <t>Z. 21.05. do 22.05.2018. (zamjena podne keramike u prodajnom prostoru)</t>
  </si>
  <si>
    <t>S276</t>
  </si>
  <si>
    <t>716315S</t>
  </si>
  <si>
    <t>0100/716315S</t>
  </si>
  <si>
    <t>Šibenik-obala</t>
  </si>
  <si>
    <t>Z. 30.12.2019. do ? 2020. (kapitalna rekonstrukcija - KDR - cca ? dana)</t>
  </si>
  <si>
    <t>S269</t>
  </si>
  <si>
    <t>716308S</t>
  </si>
  <si>
    <t>0100/716308S</t>
  </si>
  <si>
    <t>Šibenik-Ražine-istok</t>
  </si>
  <si>
    <t>31.01.2016. primopredaja BP u ruke partnera - PSUM</t>
  </si>
  <si>
    <t>S271</t>
  </si>
  <si>
    <t>716310S</t>
  </si>
  <si>
    <t>0100/716310S</t>
  </si>
  <si>
    <t>Šibenik-Ražine-zapad</t>
  </si>
  <si>
    <t>30.01.2016. primopredaja BP u ruke partnera - PSUM</t>
  </si>
  <si>
    <t>C271</t>
  </si>
  <si>
    <t>716310C</t>
  </si>
  <si>
    <t>Šibenik-Ražine-zapad AB</t>
  </si>
  <si>
    <t>Z. 01.05.2012.-brisana OJ 50001853; Z .01.01.2012.  (deblock 10.2.-14.02.2012. do) modernizacija BP 19.03.2012</t>
  </si>
  <si>
    <t>S272</t>
  </si>
  <si>
    <t>716311S</t>
  </si>
  <si>
    <t>0100/716311S</t>
  </si>
  <si>
    <t>Vodice</t>
  </si>
  <si>
    <t>25.10. do 18.12.2018. rad iz kontejnera (implementacija FC - cca 45 dana);</t>
  </si>
  <si>
    <t>S266</t>
  </si>
  <si>
    <t>716305S</t>
  </si>
  <si>
    <t>0100/716305S</t>
  </si>
  <si>
    <t>Vodice-marina</t>
  </si>
  <si>
    <t>S334</t>
  </si>
  <si>
    <t>H334</t>
  </si>
  <si>
    <t>716217S</t>
  </si>
  <si>
    <t>0100/716217S</t>
  </si>
  <si>
    <t>Benkovac</t>
  </si>
  <si>
    <t>Z 17.12.2019. ; brisana O.J. 50001758</t>
  </si>
  <si>
    <t>S329</t>
  </si>
  <si>
    <t>716212S</t>
  </si>
  <si>
    <t>0100/716212S</t>
  </si>
  <si>
    <t>Biograd na moru-magistrala</t>
  </si>
  <si>
    <t>S322</t>
  </si>
  <si>
    <t>716204S</t>
  </si>
  <si>
    <t>0100/716204S</t>
  </si>
  <si>
    <t>Biograd na moru-obala</t>
  </si>
  <si>
    <t>S330</t>
  </si>
  <si>
    <t>H330</t>
  </si>
  <si>
    <t>716213S</t>
  </si>
  <si>
    <t>0100/716213S</t>
  </si>
  <si>
    <t>Biograd na moru-Zagrebačka</t>
  </si>
  <si>
    <t>Z. 16.04. do 17.06.2018. (projekt modernizacije)</t>
  </si>
  <si>
    <t>S331</t>
  </si>
  <si>
    <t>716214S</t>
  </si>
  <si>
    <t>0100/716214S</t>
  </si>
  <si>
    <t>Obrovac</t>
  </si>
  <si>
    <t>S320</t>
  </si>
  <si>
    <t>716202S</t>
  </si>
  <si>
    <t>0100/716202S</t>
  </si>
  <si>
    <t>Preko</t>
  </si>
  <si>
    <t>C320</t>
  </si>
  <si>
    <t>716202C</t>
  </si>
  <si>
    <t>Preko AB</t>
  </si>
  <si>
    <t>Z. 31.05.2014. -brisana OJ 50001858;</t>
  </si>
  <si>
    <t>S321</t>
  </si>
  <si>
    <t>716203S</t>
  </si>
  <si>
    <t>0100/716203S</t>
  </si>
  <si>
    <t>Stankovci</t>
  </si>
  <si>
    <t>S328</t>
  </si>
  <si>
    <t>716211S</t>
  </si>
  <si>
    <t>0100/716211S</t>
  </si>
  <si>
    <t>Starigrad-Paklenica</t>
  </si>
  <si>
    <t>Z. 21.01. do 10.04.2016. (modernizacija cca 40 dana)</t>
  </si>
  <si>
    <t>S441</t>
  </si>
  <si>
    <t>716221S</t>
  </si>
  <si>
    <t>0100/716221S</t>
  </si>
  <si>
    <t>Zadar UNP</t>
  </si>
  <si>
    <t>Z. 31.05.2017. brisana OJ 50554485; O. 03.10.2011. reintegracija Proplina u INU</t>
  </si>
  <si>
    <t>S327</t>
  </si>
  <si>
    <t>716210S</t>
  </si>
  <si>
    <t>0100/716210S</t>
  </si>
  <si>
    <t>Zadar-Borik</t>
  </si>
  <si>
    <t>S326</t>
  </si>
  <si>
    <t>716209S</t>
  </si>
  <si>
    <t>0100/716209S</t>
  </si>
  <si>
    <t>Zadar-Franka Lisice</t>
  </si>
  <si>
    <t>C326</t>
  </si>
  <si>
    <t>Zadar-Franka Lisice AB</t>
  </si>
  <si>
    <t>Z. trajno 30.09.2016. (31.01.2016.-brisana OJ 50191402)</t>
  </si>
  <si>
    <t>S324</t>
  </si>
  <si>
    <t>716207S</t>
  </si>
  <si>
    <t>0100/716207S</t>
  </si>
  <si>
    <t>Zadar-Jazine</t>
  </si>
  <si>
    <t>S335</t>
  </si>
  <si>
    <t>H335</t>
  </si>
  <si>
    <t>716218S</t>
  </si>
  <si>
    <t>0100/716218S</t>
  </si>
  <si>
    <t>Zadar-Put Murvice-istok</t>
  </si>
  <si>
    <t>Z. 13.02. do 03.08.2017. (kapitalna rekonstrukcija - KDR - cca 100 dana)</t>
  </si>
  <si>
    <t>C335</t>
  </si>
  <si>
    <t>Zadar-Put Murvice-istok AB</t>
  </si>
  <si>
    <t>Z. trajno 15.10.2018.(C+S);  O. 04.08.2017. Fresh corner ( KDR - od 13.02. do 03.08.2017.)</t>
  </si>
  <si>
    <t>S333</t>
  </si>
  <si>
    <t>716216S</t>
  </si>
  <si>
    <t>0100/716216S</t>
  </si>
  <si>
    <t>Zadar-Put Murvice-zapad</t>
  </si>
  <si>
    <t>C333</t>
  </si>
  <si>
    <t>716216C</t>
  </si>
  <si>
    <t>Zadar-Put Murvice-zapad AB</t>
  </si>
  <si>
    <t>Z. 01.05.2012.-brisana OJ 50001857; Z .01.01.2012. (deblock 24.-30.01.2012) modernizacija BP 02.04.2012</t>
  </si>
  <si>
    <t>S325</t>
  </si>
  <si>
    <t>716208S</t>
  </si>
  <si>
    <t>0100/716208S</t>
  </si>
  <si>
    <t>Zadar-Voštarnica</t>
  </si>
  <si>
    <t>S444</t>
  </si>
  <si>
    <t>715225S</t>
  </si>
  <si>
    <t>0100/715225S</t>
  </si>
  <si>
    <t>Vukovar-Kudeljarska</t>
  </si>
  <si>
    <t>29.01.2016. primopredaja BP u ruke partnera - PSUM; 01.11.2015. integracija IOP-a u INU (modernizacija do 14.03.2016.)</t>
  </si>
  <si>
    <t>S445</t>
  </si>
  <si>
    <t>715132S</t>
  </si>
  <si>
    <t>0100/715132S</t>
  </si>
  <si>
    <t>Čepin</t>
  </si>
  <si>
    <t>29.01.2016. primopredaja BP u ruke partnera - PSUM; 01.11.2015. integracija IOP-a u INU (modernizacija do 17.05.2016.)</t>
  </si>
  <si>
    <t>S446</t>
  </si>
  <si>
    <t>715133S</t>
  </si>
  <si>
    <t>0100/715133S</t>
  </si>
  <si>
    <t>Josipovac</t>
  </si>
  <si>
    <t>S447</t>
  </si>
  <si>
    <t>H447</t>
  </si>
  <si>
    <t>715134S</t>
  </si>
  <si>
    <t>0100/715134S</t>
  </si>
  <si>
    <t>Osijek-Svačićeva</t>
  </si>
  <si>
    <t>29.01.2016. primopredaja BP u ruke partnera - PSUM; 01.11.2015. integracija IOP-a u INU (modernizacija do 08.06.2016.)</t>
  </si>
  <si>
    <t>C447</t>
  </si>
  <si>
    <t>Osijek-Svačićeva AB</t>
  </si>
  <si>
    <t>29.01.2016. primopredaja BP u ruke partnera - PSUM;  01.11.2015. integracija IOP-a u INU (modernizacija do 08.06.2016.); 31.01.2016.-brisana OJ 50717053</t>
  </si>
  <si>
    <t>S448</t>
  </si>
  <si>
    <t>715326S</t>
  </si>
  <si>
    <t>0100/715326S</t>
  </si>
  <si>
    <t>Babina Greda-autocesta</t>
  </si>
  <si>
    <t>24.04. do 01.06.2019. rekonstrukcija sanitarnog čvora za kupce (MPM radi); 27.01.2016. primopredaja BP u ruke partnera - PSUM; 01.11.2015. integracija IOP-a u INU (modernizacija do 15.05.2016. )</t>
  </si>
  <si>
    <t>C448</t>
  </si>
  <si>
    <t>Babina Greda-autocesta AB</t>
  </si>
  <si>
    <t xml:space="preserve">Z. trajno 15.10.2018.(C+S);  O. 19.03.2018. Fresh corner; 27.01.2016. primopredaja BP u ruke partnera - PSUM; Z. od 01.11.2015. integracija IOP-a u INU do 18.03.2018. (modernizacija); 31.01.2016.-brisana OJ 50716997 </t>
  </si>
  <si>
    <t>S449</t>
  </si>
  <si>
    <t>715327S</t>
  </si>
  <si>
    <t>0100/715327S</t>
  </si>
  <si>
    <t>Đurđenovac</t>
  </si>
  <si>
    <t>29.01.2016. primopredaja BP u ruke partnera - PSUM; 01.11.2015. integracija IOP-a u INU (modernizacija do 03.04.2016.)</t>
  </si>
  <si>
    <t>S450</t>
  </si>
  <si>
    <t>715328S</t>
  </si>
  <si>
    <t>0100/715328S</t>
  </si>
  <si>
    <t>Orahovica</t>
  </si>
  <si>
    <t>29.01.2016. primopredaja BP u ruke partnera - PSUM; 01.11.2015. integracija IOP-a u INU (modernizacija do 01.04.2016.)</t>
  </si>
  <si>
    <t>S454</t>
  </si>
  <si>
    <t>716426S</t>
  </si>
  <si>
    <t>0100/716426S</t>
  </si>
  <si>
    <t>Sveta Nedelja</t>
  </si>
  <si>
    <t>O. 19.07.2019. (Zakup od NAFTA CENTAR d.o.o. za trgovinu i usluge, Samobor)</t>
  </si>
  <si>
    <t>S455</t>
  </si>
  <si>
    <t>716427S</t>
  </si>
  <si>
    <t>0100/716427S</t>
  </si>
  <si>
    <t>Desinec</t>
  </si>
  <si>
    <t>O. 20.07.2019. (Zakup od NAFTA CENTAR d.o.o. za trgovinu i usluge, Samobor)</t>
  </si>
  <si>
    <t>S456</t>
  </si>
  <si>
    <t>716223S</t>
  </si>
  <si>
    <t>0100/716223S</t>
  </si>
  <si>
    <t xml:space="preserve">Zadar I-istok </t>
  </si>
  <si>
    <t>O. 19.11.2019. (Zakup od Brala d.o.o.)</t>
  </si>
  <si>
    <t>S457</t>
  </si>
  <si>
    <t>716222S</t>
  </si>
  <si>
    <t>0100/716222S</t>
  </si>
  <si>
    <t>Zadar I-zapad</t>
  </si>
  <si>
    <t>O. 18.11.2019. (Zakup od Brala d.o.o.)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</si>
</sst>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_-* #,##0.00_-;\-* #,##0.00_-;_-* &quot;-&quot;??_-;_-@_-"/>
    <numFmt numFmtId="165" formatCode="_-* #,##0.00\ &quot;kn&quot;_-;\-* #,##0.00\ &quot;kn&quot;_-;_-* &quot;-&quot;??\ &quot;kn&quot;_-;_-@_-"/>
    <numFmt numFmtId="166" formatCode="_-* #,##0.00\ _k_n_-;\-* #,##0.00\ _k_n_-;_-* &quot;-&quot;??\ _k_n_-;_-@_-"/>
    <numFmt numFmtId="167" formatCode="0.0"/>
    <numFmt numFmtId="168" formatCode="[Red][=1]&quot;Error&quot;;&quot;OK&quot;"/>
    <numFmt numFmtId="169" formatCode="yy/mm/dd\ \-\i\g"/>
    <numFmt numFmtId="170" formatCode="yy/mm/dd\ \-\t\ő\l"/>
    <numFmt numFmtId="171" formatCode="yyyy\.\ mmmm\ \ \ \ \ \."/>
    <numFmt numFmtId="172" formatCode="yyyy\.\ mmmm\ dd\."/>
    <numFmt numFmtId="173" formatCode="General\ \n\a\p"/>
    <numFmt numFmtId="174" formatCode="#,##0\ ;\(#,##0\)"/>
    <numFmt numFmtId="175" formatCode="#,##0.00\ ;\(#,##0.00\)"/>
    <numFmt numFmtId="176" formatCode="0.0%"/>
    <numFmt numFmtId="177" formatCode="#,##0\ &quot;kn&quot;"/>
    <numFmt numFmtId="178" formatCode="#,##0.00\ &quot;Ft&quot;"/>
    <numFmt numFmtId="179" formatCode="0.00&quot; &quot;\F\ő"/>
    <numFmt numFmtId="180" formatCode="#,##0\ &quot;Ft&quot;"/>
    <numFmt numFmtId="181" formatCode="#,##0&quot; &quot;\L"/>
    <numFmt numFmtId="182" formatCode="#,##0.00&quot; &quot;\L"/>
    <numFmt numFmtId="183" formatCode="#,##0.00&quot; L&quot;"/>
  </numFmts>
  <fonts count="106">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sz val="11"/>
      <color theme="0"/>
      <name val="Calibri"/>
      <family val="2"/>
      <charset val="238"/>
      <scheme val="minor"/>
    </font>
    <font>
      <sz val="8"/>
      <name val="Arial"/>
      <family val="2"/>
    </font>
    <font>
      <sz val="8"/>
      <name val="Arial"/>
      <family val="2"/>
      <charset val="238"/>
    </font>
    <font>
      <sz val="10"/>
      <name val="Arial"/>
      <family val="2"/>
      <charset val="238"/>
    </font>
    <font>
      <b/>
      <sz val="10"/>
      <name val="Arial"/>
      <family val="2"/>
      <charset val="238"/>
    </font>
    <font>
      <b/>
      <sz val="8"/>
      <name val="Arial"/>
      <family val="2"/>
    </font>
    <font>
      <sz val="8"/>
      <color indexed="62"/>
      <name val="Arial"/>
      <family val="2"/>
    </font>
    <font>
      <sz val="8"/>
      <color indexed="8"/>
      <name val="Arial"/>
      <family val="2"/>
    </font>
    <font>
      <sz val="10"/>
      <name val="Arial"/>
      <family val="2"/>
    </font>
    <font>
      <b/>
      <sz val="8"/>
      <color indexed="8"/>
      <name val="Arial"/>
      <family val="2"/>
    </font>
    <font>
      <sz val="19"/>
      <name val="Arial"/>
      <family val="2"/>
    </font>
    <font>
      <sz val="8"/>
      <color indexed="14"/>
      <name val="Arial"/>
      <family val="2"/>
    </font>
    <font>
      <sz val="11"/>
      <color indexed="9"/>
      <name val="Calibri"/>
      <family val="2"/>
    </font>
    <font>
      <sz val="11"/>
      <color indexed="8"/>
      <name val="Calibri"/>
      <family val="2"/>
    </font>
    <font>
      <sz val="11"/>
      <color indexed="37"/>
      <name val="Calibri"/>
      <family val="2"/>
    </font>
    <font>
      <b/>
      <sz val="11"/>
      <color indexed="17"/>
      <name val="Calibri"/>
      <family val="2"/>
    </font>
    <font>
      <b/>
      <sz val="11"/>
      <color indexed="9"/>
      <name val="Calibri"/>
      <family val="2"/>
    </font>
    <font>
      <b/>
      <sz val="11"/>
      <color indexed="8"/>
      <name val="Calibri"/>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sz val="11"/>
      <color indexed="17"/>
      <name val="Calibri"/>
      <family val="2"/>
    </font>
    <font>
      <b/>
      <sz val="11"/>
      <color indexed="63"/>
      <name val="Calibri"/>
      <family val="2"/>
    </font>
    <font>
      <b/>
      <sz val="18"/>
      <color indexed="62"/>
      <name val="Cambria"/>
      <family val="2"/>
    </font>
    <font>
      <sz val="11"/>
      <color indexed="14"/>
      <name val="Calibri"/>
      <family val="2"/>
    </font>
    <font>
      <sz val="9"/>
      <name val="Arial"/>
      <family val="2"/>
      <charset val="238"/>
    </font>
    <font>
      <sz val="10"/>
      <name val="MS Sans Serif"/>
      <family val="2"/>
      <charset val="238"/>
    </font>
    <font>
      <sz val="8"/>
      <color indexed="12"/>
      <name val="Helv"/>
      <charset val="238"/>
    </font>
    <font>
      <sz val="10"/>
      <name val="Geneva"/>
      <charset val="238"/>
    </font>
    <font>
      <sz val="8"/>
      <name val="Sans EE"/>
      <charset val="238"/>
    </font>
    <font>
      <sz val="11"/>
      <color indexed="20"/>
      <name val="Calibri"/>
      <family val="2"/>
    </font>
    <font>
      <b/>
      <sz val="11"/>
      <color indexed="53"/>
      <name val="Calibri"/>
      <family val="2"/>
    </font>
    <font>
      <sz val="8"/>
      <color indexed="56"/>
      <name val="Arial"/>
      <family val="2"/>
      <charset val="238"/>
    </font>
    <font>
      <sz val="10"/>
      <name val="World East"/>
      <charset val="238"/>
    </font>
    <font>
      <sz val="10"/>
      <name val="H-Arial"/>
      <charset val="238"/>
    </font>
    <font>
      <i/>
      <sz val="11"/>
      <color indexed="23"/>
      <name val="Calibri"/>
      <family val="2"/>
    </font>
    <font>
      <sz val="10"/>
      <name val="Times New Roman"/>
      <family val="1"/>
      <charset val="238"/>
    </font>
    <font>
      <u/>
      <sz val="10"/>
      <color theme="10"/>
      <name val="Arial"/>
      <family val="2"/>
      <charset val="238"/>
    </font>
    <font>
      <u/>
      <sz val="11"/>
      <color theme="10"/>
      <name val="Calibri"/>
      <family val="2"/>
      <charset val="238"/>
    </font>
    <font>
      <sz val="11"/>
      <color indexed="62"/>
      <name val="Calibri"/>
      <family val="2"/>
    </font>
    <font>
      <u/>
      <sz val="8"/>
      <name val="World East"/>
      <charset val="238"/>
    </font>
    <font>
      <sz val="10"/>
      <name val="Book Antiqua"/>
      <family val="1"/>
      <charset val="238"/>
    </font>
    <font>
      <sz val="11"/>
      <color indexed="53"/>
      <name val="Calibri"/>
      <family val="2"/>
    </font>
    <font>
      <sz val="8"/>
      <color indexed="8"/>
      <name val="Helv"/>
      <charset val="238"/>
    </font>
    <font>
      <sz val="10"/>
      <name val="Arial CE"/>
      <family val="2"/>
      <charset val="238"/>
    </font>
    <font>
      <sz val="11"/>
      <color indexed="60"/>
      <name val="Calibri"/>
      <family val="2"/>
    </font>
    <font>
      <sz val="10"/>
      <name val="Helvetica"/>
      <family val="2"/>
    </font>
    <font>
      <sz val="11"/>
      <color indexed="8"/>
      <name val="Calibri"/>
      <family val="2"/>
      <charset val="238"/>
    </font>
    <font>
      <sz val="10"/>
      <name val="Arial Narrow"/>
      <family val="2"/>
      <charset val="238"/>
    </font>
    <font>
      <sz val="10"/>
      <color indexed="10"/>
      <name val="MS Sans Serif"/>
      <family val="2"/>
      <charset val="238"/>
    </font>
    <font>
      <b/>
      <sz val="10"/>
      <color indexed="8"/>
      <name val="Arial"/>
      <family val="2"/>
    </font>
    <font>
      <sz val="10"/>
      <color indexed="8"/>
      <name val="Arial"/>
      <family val="2"/>
    </font>
    <font>
      <sz val="9"/>
      <color indexed="8"/>
      <name val="Arial"/>
      <family val="2"/>
    </font>
    <font>
      <sz val="10"/>
      <color indexed="39"/>
      <name val="Arial"/>
      <family val="2"/>
    </font>
    <font>
      <b/>
      <sz val="9"/>
      <color indexed="8"/>
      <name val="Arial"/>
      <family val="2"/>
    </font>
    <font>
      <b/>
      <sz val="12"/>
      <color indexed="8"/>
      <name val="Arial"/>
      <family val="2"/>
      <charset val="238"/>
    </font>
    <font>
      <sz val="10"/>
      <color indexed="8"/>
      <name val="Arial"/>
      <family val="2"/>
      <charset val="238"/>
    </font>
    <font>
      <sz val="9"/>
      <color indexed="8"/>
      <name val="Arial"/>
      <family val="2"/>
      <charset val="238"/>
    </font>
    <font>
      <b/>
      <sz val="11"/>
      <name val="Arial"/>
      <family val="2"/>
      <charset val="238"/>
    </font>
    <font>
      <sz val="10"/>
      <name val="Arial CE"/>
      <charset val="238"/>
    </font>
    <font>
      <sz val="9"/>
      <name val="Arial"/>
      <family val="2"/>
    </font>
    <font>
      <b/>
      <sz val="12"/>
      <color indexed="18"/>
      <name val="Arial"/>
      <family val="2"/>
      <charset val="238"/>
    </font>
    <font>
      <b/>
      <sz val="16"/>
      <color indexed="23"/>
      <name val="Arial"/>
      <family val="2"/>
      <charset val="238"/>
    </font>
    <font>
      <b/>
      <sz val="10"/>
      <color indexed="10"/>
      <name val="Arial"/>
      <family val="2"/>
    </font>
    <font>
      <sz val="10"/>
      <color indexed="10"/>
      <name val="Arial"/>
      <family val="2"/>
    </font>
    <font>
      <sz val="10"/>
      <name val="Helv"/>
    </font>
    <font>
      <sz val="8"/>
      <name val="Helv"/>
      <charset val="238"/>
    </font>
    <font>
      <sz val="11"/>
      <color indexed="10"/>
      <name val="Calibri"/>
      <family val="2"/>
    </font>
    <font>
      <b/>
      <sz val="16"/>
      <color theme="1"/>
      <name val="Calibri"/>
      <family val="2"/>
      <charset val="238"/>
      <scheme val="minor"/>
    </font>
    <font>
      <sz val="11"/>
      <name val="Calibri"/>
      <family val="2"/>
      <charset val="238"/>
      <scheme val="minor"/>
    </font>
    <font>
      <sz val="11"/>
      <color theme="1"/>
      <name val="Calibri"/>
      <family val="2"/>
      <charset val="238"/>
    </font>
    <font>
      <b/>
      <sz val="22"/>
      <color theme="1"/>
      <name val="Calibri"/>
      <family val="2"/>
      <charset val="238"/>
      <scheme val="minor"/>
    </font>
    <font>
      <sz val="11"/>
      <color rgb="FF0000FF"/>
      <name val="Calibri"/>
      <family val="2"/>
      <charset val="238"/>
      <scheme val="minor"/>
    </font>
    <font>
      <sz val="11"/>
      <color rgb="FFFF0000"/>
      <name val="Calibri"/>
      <family val="2"/>
      <charset val="238"/>
      <scheme val="minor"/>
    </font>
    <font>
      <sz val="9"/>
      <color theme="1"/>
      <name val="Calibri"/>
      <family val="2"/>
      <charset val="238"/>
      <scheme val="minor"/>
    </font>
    <font>
      <b/>
      <sz val="9"/>
      <color theme="1"/>
      <name val="Calibri"/>
      <family val="2"/>
      <charset val="238"/>
      <scheme val="minor"/>
    </font>
    <font>
      <b/>
      <sz val="10"/>
      <color theme="1"/>
      <name val="Calibri"/>
      <family val="2"/>
      <charset val="238"/>
      <scheme val="minor"/>
    </font>
    <font>
      <sz val="11"/>
      <color rgb="FF006100"/>
      <name val="Calibri"/>
      <family val="2"/>
      <charset val="238"/>
      <scheme val="minor"/>
    </font>
    <font>
      <b/>
      <sz val="11"/>
      <color rgb="FF006100"/>
      <name val="Calibri"/>
      <family val="2"/>
      <charset val="238"/>
      <scheme val="minor"/>
    </font>
    <font>
      <b/>
      <sz val="12"/>
      <color theme="1"/>
      <name val="Calibri"/>
      <family val="2"/>
      <charset val="238"/>
      <scheme val="minor"/>
    </font>
    <font>
      <b/>
      <sz val="9"/>
      <name val="Arial"/>
      <family val="2"/>
      <charset val="238"/>
    </font>
    <font>
      <b/>
      <sz val="11"/>
      <name val="Calibri"/>
      <family val="2"/>
      <charset val="238"/>
      <scheme val="minor"/>
    </font>
    <font>
      <b/>
      <sz val="11"/>
      <color rgb="FF0000FF"/>
      <name val="Calibri"/>
      <family val="2"/>
      <charset val="238"/>
      <scheme val="minor"/>
    </font>
    <font>
      <b/>
      <sz val="11"/>
      <color theme="0"/>
      <name val="Calibri"/>
      <family val="2"/>
      <charset val="238"/>
      <scheme val="minor"/>
    </font>
    <font>
      <b/>
      <sz val="12"/>
      <color rgb="FF0000FF"/>
      <name val="Calibri"/>
      <family val="2"/>
      <charset val="238"/>
      <scheme val="minor"/>
    </font>
    <font>
      <sz val="12"/>
      <color theme="1"/>
      <name val="Calibri"/>
      <family val="2"/>
      <charset val="238"/>
      <scheme val="minor"/>
    </font>
    <font>
      <b/>
      <sz val="12"/>
      <name val="Calibri"/>
      <family val="2"/>
      <charset val="238"/>
      <scheme val="minor"/>
    </font>
    <font>
      <sz val="10"/>
      <color theme="1"/>
      <name val="Calibri"/>
      <family val="2"/>
      <charset val="238"/>
      <scheme val="minor"/>
    </font>
    <font>
      <sz val="14"/>
      <color rgb="FFFF0000"/>
      <name val="Calibri"/>
      <family val="2"/>
      <charset val="238"/>
      <scheme val="minor"/>
    </font>
    <font>
      <sz val="9"/>
      <color indexed="81"/>
      <name val="Tahoma"/>
      <family val="2"/>
      <charset val="238"/>
    </font>
    <font>
      <b/>
      <sz val="9"/>
      <color indexed="81"/>
      <name val="Tahoma"/>
      <family val="2"/>
      <charset val="238"/>
    </font>
    <font>
      <sz val="14"/>
      <color theme="1"/>
      <name val="Wingdings"/>
      <charset val="2"/>
    </font>
    <font>
      <sz val="10"/>
      <name val="Calibri"/>
      <family val="2"/>
      <charset val="238"/>
      <scheme val="minor"/>
    </font>
    <font>
      <sz val="10"/>
      <color rgb="FFC00000"/>
      <name val="Calibri"/>
      <family val="2"/>
      <charset val="238"/>
      <scheme val="minor"/>
    </font>
    <font>
      <sz val="11"/>
      <color theme="1"/>
      <name val="72 Condensed"/>
      <family val="2"/>
      <charset val="238"/>
    </font>
    <font>
      <sz val="10"/>
      <color theme="1"/>
      <name val="72 Condensed"/>
      <family val="2"/>
      <charset val="238"/>
    </font>
    <font>
      <sz val="10"/>
      <name val="72 Condensed"/>
      <family val="2"/>
      <charset val="238"/>
    </font>
    <font>
      <b/>
      <sz val="9"/>
      <name val="Calibri"/>
      <family val="2"/>
      <charset val="238"/>
      <scheme val="minor"/>
    </font>
    <font>
      <b/>
      <sz val="10"/>
      <name val="Calibri"/>
      <family val="2"/>
      <charset val="238"/>
      <scheme val="minor"/>
    </font>
    <font>
      <b/>
      <sz val="14"/>
      <color theme="1"/>
      <name val="Calibri"/>
      <family val="2"/>
      <charset val="238"/>
      <scheme val="minor"/>
    </font>
    <font>
      <sz val="11"/>
      <color theme="2"/>
      <name val="Calibri"/>
      <family val="2"/>
      <charset val="238"/>
      <scheme val="minor"/>
    </font>
    <font>
      <sz val="11"/>
      <color theme="1"/>
      <name val="Calibri"/>
      <family val="2"/>
      <scheme val="minor"/>
    </font>
  </fonts>
  <fills count="97">
    <fill>
      <patternFill patternType="none"/>
    </fill>
    <fill>
      <patternFill patternType="gray125"/>
    </fill>
    <fill>
      <patternFill patternType="solid">
        <fgColor indexed="49"/>
      </patternFill>
    </fill>
    <fill>
      <patternFill patternType="solid">
        <fgColor indexed="31"/>
        <bgColor indexed="64"/>
      </patternFill>
    </fill>
    <fill>
      <patternFill patternType="solid">
        <fgColor indexed="60"/>
      </patternFill>
    </fill>
    <fill>
      <patternFill patternType="solid">
        <fgColor indexed="54"/>
      </patternFill>
    </fill>
    <fill>
      <patternFill patternType="solid">
        <fgColor indexed="9"/>
        <bgColor indexed="64"/>
      </patternFill>
    </fill>
    <fill>
      <patternFill patternType="solid">
        <fgColor indexed="40"/>
      </patternFill>
    </fill>
    <fill>
      <patternFill patternType="solid">
        <fgColor indexed="48"/>
        <bgColor indexed="48"/>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25"/>
        <bgColor indexed="25"/>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57"/>
        <b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18"/>
        <bgColor indexed="18"/>
      </patternFill>
    </fill>
    <fill>
      <patternFill patternType="solid">
        <fgColor indexed="55"/>
        <bgColor indexed="55"/>
      </patternFill>
    </fill>
    <fill>
      <patternFill patternType="solid">
        <fgColor indexed="41"/>
        <bgColor indexed="41"/>
      </patternFill>
    </fill>
    <fill>
      <patternFill patternType="solid">
        <fgColor indexed="54"/>
        <bgColor indexed="54"/>
      </patternFill>
    </fill>
    <fill>
      <patternFill patternType="solid">
        <fgColor indexed="53"/>
        <b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43"/>
      </patternFill>
    </fill>
    <fill>
      <patternFill patternType="solid">
        <fgColor indexed="43"/>
        <bgColor indexed="64"/>
      </patternFill>
    </fill>
    <fill>
      <patternFill patternType="solid">
        <fgColor indexed="45"/>
      </patternFill>
    </fill>
    <fill>
      <patternFill patternType="solid">
        <fgColor indexed="12"/>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22"/>
      </patternFill>
    </fill>
    <fill>
      <patternFill patternType="solid">
        <fgColor indexed="23"/>
      </patternFill>
    </fill>
    <fill>
      <patternFill patternType="solid">
        <fgColor indexed="44"/>
      </patternFill>
    </fill>
    <fill>
      <patternFill patternType="solid">
        <fgColor indexed="9"/>
      </patternFill>
    </fill>
    <fill>
      <patternFill patternType="solid">
        <fgColor indexed="26"/>
      </patternFill>
    </fill>
    <fill>
      <patternFill patternType="solid">
        <fgColor indexed="26"/>
        <bgColor indexed="64"/>
      </patternFill>
    </fill>
    <fill>
      <patternFill patternType="solid">
        <fgColor indexed="15"/>
      </patternFill>
    </fill>
    <fill>
      <patternFill patternType="solid">
        <fgColor indexed="20"/>
      </patternFill>
    </fill>
    <fill>
      <patternFill patternType="solid">
        <fgColor indexed="31"/>
      </patternFill>
    </fill>
    <fill>
      <patternFill patternType="solid">
        <fgColor indexed="29"/>
      </patternFill>
    </fill>
    <fill>
      <patternFill patternType="solid">
        <fgColor indexed="35"/>
      </patternFill>
    </fill>
    <fill>
      <patternFill patternType="solid">
        <fgColor indexed="55"/>
      </patternFill>
    </fill>
    <fill>
      <patternFill patternType="solid">
        <fgColor indexed="47"/>
      </patternFill>
    </fill>
    <fill>
      <patternFill patternType="solid">
        <fgColor indexed="46"/>
      </patternFill>
    </fill>
    <fill>
      <patternFill patternType="solid">
        <fgColor indexed="22"/>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darkUp">
        <fgColor indexed="22"/>
        <bgColor indexed="23"/>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C6EFCE"/>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theme="8"/>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18"/>
      </left>
      <right style="thin">
        <color indexed="18"/>
      </right>
      <top style="thin">
        <color indexed="18"/>
      </top>
      <bottom style="thin">
        <color indexed="18"/>
      </bottom>
      <diagonal/>
    </border>
    <border>
      <left style="thin">
        <color indexed="63"/>
      </left>
      <right style="thin">
        <color indexed="63"/>
      </right>
      <top style="thin">
        <color indexed="63"/>
      </top>
      <bottom style="thin">
        <color indexed="63"/>
      </bottom>
      <diagonal/>
    </border>
    <border>
      <left style="thin">
        <color indexed="54"/>
      </left>
      <right/>
      <top style="thin">
        <color indexed="54"/>
      </top>
      <bottom/>
      <diagonal/>
    </border>
    <border>
      <left style="thin">
        <color indexed="48"/>
      </left>
      <right style="thin">
        <color indexed="48"/>
      </right>
      <top style="thin">
        <color indexed="48"/>
      </top>
      <bottom style="thin">
        <color indexed="48"/>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58"/>
      </bottom>
      <diagonal/>
    </border>
    <border>
      <left/>
      <right/>
      <top/>
      <bottom style="medium">
        <color indexed="58"/>
      </bottom>
      <diagonal/>
    </border>
    <border>
      <left/>
      <right/>
      <top/>
      <bottom style="double">
        <color indexed="17"/>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right/>
      <top style="thin">
        <color indexed="48"/>
      </top>
      <bottom style="double">
        <color indexed="48"/>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55"/>
      </bottom>
      <diagonal/>
    </border>
    <border>
      <left/>
      <right/>
      <top/>
      <bottom style="medium">
        <color indexed="55"/>
      </bottom>
      <diagonal/>
    </border>
    <border>
      <left/>
      <right/>
      <top/>
      <bottom style="double">
        <color indexed="53"/>
      </bottom>
      <diagonal/>
    </border>
    <border>
      <left style="thin">
        <color indexed="63"/>
      </left>
      <right style="thin">
        <color indexed="63"/>
      </right>
      <top style="thin">
        <color indexed="64"/>
      </top>
      <bottom style="thin">
        <color indexed="63"/>
      </bottom>
      <diagonal/>
    </border>
    <border>
      <left/>
      <right/>
      <top style="thin">
        <color indexed="49"/>
      </top>
      <bottom style="double">
        <color indexed="49"/>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theme="8" tint="0.79998168889431442"/>
      </top>
      <bottom style="thin">
        <color theme="8" tint="0.79998168889431442"/>
      </bottom>
      <diagonal/>
    </border>
    <border>
      <left style="thin">
        <color indexed="64"/>
      </left>
      <right style="thin">
        <color indexed="64"/>
      </right>
      <top style="thin">
        <color indexed="64"/>
      </top>
      <bottom/>
      <diagonal/>
    </border>
    <border>
      <left/>
      <right/>
      <top/>
      <bottom style="thin">
        <color theme="8" tint="0.79998168889431442"/>
      </bottom>
      <diagonal/>
    </border>
    <border>
      <left/>
      <right/>
      <top style="thin">
        <color theme="8" tint="0.79995117038483843"/>
      </top>
      <bottom style="thin">
        <color theme="8" tint="0.79998168889431442"/>
      </bottom>
      <diagonal/>
    </border>
    <border>
      <left style="thin">
        <color theme="0"/>
      </left>
      <right/>
      <top/>
      <bottom/>
      <diagonal/>
    </border>
    <border>
      <left/>
      <right style="thin">
        <color theme="0"/>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right style="medium">
        <color theme="0"/>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bottom style="thin">
        <color theme="4" tint="0.39997558519241921"/>
      </bottom>
      <diagonal/>
    </border>
    <border>
      <left/>
      <right/>
      <top style="thin">
        <color theme="4" tint="0.39997558519241921"/>
      </top>
      <bottom/>
      <diagonal/>
    </border>
    <border>
      <left/>
      <right/>
      <top/>
      <bottom style="thin">
        <color theme="2"/>
      </bottom>
      <diagonal/>
    </border>
    <border>
      <left/>
      <right style="thin">
        <color theme="0"/>
      </right>
      <top/>
      <bottom style="thin">
        <color theme="8" tint="0.79998168889431442"/>
      </bottom>
      <diagonal/>
    </border>
    <border>
      <left style="thin">
        <color theme="0"/>
      </left>
      <right/>
      <top/>
      <bottom style="thin">
        <color theme="8" tint="0.79998168889431442"/>
      </bottom>
      <diagonal/>
    </border>
    <border>
      <left style="thin">
        <color theme="0" tint="-0.499984740745262"/>
      </left>
      <right/>
      <top style="double">
        <color theme="0" tint="-0.499984740745262"/>
      </top>
      <bottom style="double">
        <color theme="0" tint="-0.499984740745262"/>
      </bottom>
      <diagonal/>
    </border>
    <border>
      <left style="thin">
        <color theme="0" tint="-0.499984740745262"/>
      </left>
      <right style="thin">
        <color theme="0" tint="-0.499984740745262"/>
      </right>
      <top/>
      <bottom/>
      <diagonal/>
    </border>
  </borders>
  <cellStyleXfs count="318">
    <xf numFmtId="0" fontId="0" fillId="0" borderId="0"/>
    <xf numFmtId="9" fontId="1" fillId="0" borderId="0" applyFont="0" applyFill="0" applyBorder="0" applyAlignment="0" applyProtection="0"/>
    <xf numFmtId="4" fontId="4" fillId="2" borderId="2"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5" fillId="4" borderId="0"/>
    <xf numFmtId="0" fontId="8" fillId="5" borderId="4" applyBorder="0"/>
    <xf numFmtId="4" fontId="4" fillId="2" borderId="2" applyNumberFormat="0" applyProtection="0">
      <alignment horizontal="left" vertical="center" indent="1"/>
    </xf>
    <xf numFmtId="0" fontId="4" fillId="5" borderId="5" applyNumberFormat="0" applyProtection="0">
      <alignment horizontal="left" vertical="top" indent="1"/>
    </xf>
    <xf numFmtId="0" fontId="4" fillId="7" borderId="5" applyNumberFormat="0" applyProtection="0">
      <alignment horizontal="left" vertical="top" indent="1"/>
    </xf>
    <xf numFmtId="4" fontId="4" fillId="7" borderId="2" applyNumberFormat="0" applyProtection="0">
      <alignment horizontal="right" vertical="center"/>
    </xf>
    <xf numFmtId="4" fontId="9" fillId="6" borderId="2" applyNumberFormat="0" applyProtection="0">
      <alignment horizontal="right" vertical="center"/>
    </xf>
    <xf numFmtId="4" fontId="4" fillId="0" borderId="2" applyNumberFormat="0" applyProtection="0">
      <alignment horizontal="right" vertical="center"/>
    </xf>
    <xf numFmtId="0" fontId="15"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6" fillId="13" borderId="0" applyNumberFormat="0" applyBorder="0" applyAlignment="0" applyProtection="0"/>
    <xf numFmtId="0" fontId="16" fillId="21" borderId="0" applyNumberFormat="0" applyBorder="0" applyAlignment="0" applyProtection="0"/>
    <xf numFmtId="0" fontId="15" fillId="14" borderId="0" applyNumberFormat="0" applyBorder="0" applyAlignment="0" applyProtection="0"/>
    <xf numFmtId="0" fontId="15" fillId="1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5" fillId="11" borderId="0" applyNumberFormat="0" applyBorder="0" applyAlignment="0" applyProtection="0"/>
    <xf numFmtId="0" fontId="15"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5" fillId="27" borderId="0" applyNumberFormat="0" applyBorder="0" applyAlignment="0" applyProtection="0"/>
    <xf numFmtId="0" fontId="17" fillId="25" borderId="0" applyNumberFormat="0" applyBorder="0" applyAlignment="0" applyProtection="0"/>
    <xf numFmtId="0" fontId="18" fillId="28" borderId="2" applyNumberFormat="0" applyAlignment="0" applyProtection="0"/>
    <xf numFmtId="0" fontId="19" fillId="20" borderId="6" applyNumberFormat="0" applyAlignment="0" applyProtection="0"/>
    <xf numFmtId="0" fontId="20"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16" fillId="18" borderId="0" applyNumberFormat="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4" fillId="26" borderId="2" applyNumberFormat="0" applyAlignment="0" applyProtection="0"/>
    <xf numFmtId="0" fontId="25" fillId="0" borderId="10" applyNumberFormat="0" applyFill="0" applyAlignment="0" applyProtection="0"/>
    <xf numFmtId="0" fontId="25" fillId="26" borderId="0" applyNumberFormat="0" applyBorder="0" applyAlignment="0" applyProtection="0"/>
    <xf numFmtId="0" fontId="4" fillId="25" borderId="2" applyNumberFormat="0" applyFont="0" applyAlignment="0" applyProtection="0"/>
    <xf numFmtId="0" fontId="26" fillId="28" borderId="3" applyNumberFormat="0" applyAlignment="0" applyProtection="0"/>
    <xf numFmtId="4" fontId="4" fillId="32" borderId="2" applyNumberFormat="0" applyProtection="0">
      <alignment vertical="center"/>
    </xf>
    <xf numFmtId="4" fontId="9" fillId="33" borderId="2" applyNumberFormat="0" applyProtection="0">
      <alignment vertical="center"/>
    </xf>
    <xf numFmtId="4" fontId="4" fillId="33" borderId="2" applyNumberFormat="0" applyProtection="0">
      <alignment horizontal="left" vertical="center" indent="1"/>
    </xf>
    <xf numFmtId="0" fontId="12" fillId="32" borderId="5" applyNumberFormat="0" applyProtection="0">
      <alignment horizontal="left" vertical="top" indent="1"/>
    </xf>
    <xf numFmtId="4" fontId="4" fillId="34" borderId="2" applyNumberFormat="0" applyProtection="0">
      <alignment horizontal="right" vertical="center"/>
    </xf>
    <xf numFmtId="4" fontId="4" fillId="35" borderId="2" applyNumberFormat="0" applyProtection="0">
      <alignment horizontal="right" vertical="center"/>
    </xf>
    <xf numFmtId="4" fontId="4" fillId="36" borderId="11" applyNumberFormat="0" applyProtection="0">
      <alignment horizontal="right" vertical="center"/>
    </xf>
    <xf numFmtId="4" fontId="4" fillId="37" borderId="2" applyNumberFormat="0" applyProtection="0">
      <alignment horizontal="right" vertical="center"/>
    </xf>
    <xf numFmtId="4" fontId="4" fillId="38" borderId="2" applyNumberFormat="0" applyProtection="0">
      <alignment horizontal="right" vertical="center"/>
    </xf>
    <xf numFmtId="4" fontId="4" fillId="39" borderId="2" applyNumberFormat="0" applyProtection="0">
      <alignment horizontal="right" vertical="center"/>
    </xf>
    <xf numFmtId="4" fontId="4" fillId="40" borderId="2" applyNumberFormat="0" applyProtection="0">
      <alignment horizontal="right" vertical="center"/>
    </xf>
    <xf numFmtId="4" fontId="4" fillId="41" borderId="2" applyNumberFormat="0" applyProtection="0">
      <alignment horizontal="right" vertical="center"/>
    </xf>
    <xf numFmtId="4" fontId="4" fillId="42" borderId="2" applyNumberFormat="0" applyProtection="0">
      <alignment horizontal="right" vertical="center"/>
    </xf>
    <xf numFmtId="4" fontId="4" fillId="43" borderId="11" applyNumberFormat="0" applyProtection="0">
      <alignment horizontal="left" vertical="center" indent="1"/>
    </xf>
    <xf numFmtId="4" fontId="11" fillId="5" borderId="11" applyNumberFormat="0" applyProtection="0">
      <alignment horizontal="left" vertical="center" indent="1"/>
    </xf>
    <xf numFmtId="4" fontId="11" fillId="5" borderId="11" applyNumberFormat="0" applyProtection="0">
      <alignment horizontal="left" vertical="center" indent="1"/>
    </xf>
    <xf numFmtId="4" fontId="4" fillId="44" borderId="11" applyNumberFormat="0" applyProtection="0">
      <alignment horizontal="left" vertical="center" indent="1"/>
    </xf>
    <xf numFmtId="4" fontId="4" fillId="7" borderId="11" applyNumberFormat="0" applyProtection="0">
      <alignment horizontal="left" vertical="center" indent="1"/>
    </xf>
    <xf numFmtId="0" fontId="4" fillId="45" borderId="2" applyNumberFormat="0" applyProtection="0">
      <alignment horizontal="left" vertical="center" indent="1"/>
    </xf>
    <xf numFmtId="0" fontId="15" fillId="12" borderId="0" applyNumberFormat="0" applyBorder="0" applyAlignment="0" applyProtection="0"/>
    <xf numFmtId="0" fontId="4" fillId="46" borderId="2" applyNumberFormat="0" applyProtection="0">
      <alignment horizontal="left" vertical="center" indent="1"/>
    </xf>
    <xf numFmtId="0" fontId="4" fillId="47" borderId="2" applyNumberFormat="0" applyProtection="0">
      <alignment horizontal="left" vertical="center" indent="1"/>
    </xf>
    <xf numFmtId="0" fontId="4" fillId="47" borderId="5" applyNumberFormat="0" applyProtection="0">
      <alignment horizontal="left" vertical="top" indent="1"/>
    </xf>
    <xf numFmtId="0" fontId="4" fillId="44" borderId="2" applyNumberFormat="0" applyProtection="0">
      <alignment horizontal="left" vertical="center" indent="1"/>
    </xf>
    <xf numFmtId="0" fontId="4" fillId="44" borderId="5" applyNumberFormat="0" applyProtection="0">
      <alignment horizontal="left" vertical="top" indent="1"/>
    </xf>
    <xf numFmtId="0" fontId="4" fillId="48" borderId="12" applyNumberFormat="0">
      <protection locked="0"/>
    </xf>
    <xf numFmtId="4" fontId="10" fillId="49" borderId="5" applyNumberFormat="0" applyProtection="0">
      <alignment vertical="center"/>
    </xf>
    <xf numFmtId="4" fontId="9" fillId="50" borderId="1" applyNumberFormat="0" applyProtection="0">
      <alignment vertical="center"/>
    </xf>
    <xf numFmtId="4" fontId="10" fillId="45" borderId="5" applyNumberFormat="0" applyProtection="0">
      <alignment horizontal="left" vertical="center" indent="1"/>
    </xf>
    <xf numFmtId="0" fontId="10" fillId="49" borderId="5" applyNumberFormat="0" applyProtection="0">
      <alignment horizontal="left" vertical="top" indent="1"/>
    </xf>
    <xf numFmtId="0" fontId="15" fillId="8" borderId="0" applyNumberFormat="0" applyBorder="0" applyAlignment="0" applyProtection="0"/>
    <xf numFmtId="0" fontId="10" fillId="7" borderId="5" applyNumberFormat="0" applyProtection="0">
      <alignment horizontal="left" vertical="top" indent="1"/>
    </xf>
    <xf numFmtId="4" fontId="13" fillId="51" borderId="11" applyNumberFormat="0" applyProtection="0">
      <alignment horizontal="left" vertical="center" indent="1"/>
    </xf>
    <xf numFmtId="0" fontId="4" fillId="52" borderId="1"/>
    <xf numFmtId="4" fontId="14" fillId="48" borderId="2" applyNumberFormat="0" applyProtection="0">
      <alignment horizontal="right" vertical="center"/>
    </xf>
    <xf numFmtId="0" fontId="27" fillId="0" borderId="0" applyNumberFormat="0" applyFill="0" applyBorder="0" applyAlignment="0" applyProtection="0"/>
    <xf numFmtId="0" fontId="20" fillId="0" borderId="13" applyNumberFormat="0" applyFill="0" applyAlignment="0" applyProtection="0"/>
    <xf numFmtId="0" fontId="28" fillId="0" borderId="0" applyNumberFormat="0" applyFill="0" applyBorder="0" applyAlignment="0" applyProtection="0"/>
    <xf numFmtId="0" fontId="6" fillId="0" borderId="0"/>
    <xf numFmtId="167" fontId="30" fillId="0" borderId="14" applyFont="0" applyFill="0" applyBorder="0" applyAlignment="0" applyProtection="0">
      <alignment horizontal="center"/>
    </xf>
    <xf numFmtId="0" fontId="16" fillId="53" borderId="0" applyNumberFormat="0" applyBorder="0" applyAlignment="0" applyProtection="0"/>
    <xf numFmtId="0" fontId="16" fillId="54" borderId="0" applyNumberFormat="0" applyBorder="0" applyAlignment="0" applyProtection="0"/>
    <xf numFmtId="0" fontId="16" fillId="49" borderId="0" applyNumberFormat="0" applyBorder="0" applyAlignment="0" applyProtection="0"/>
    <xf numFmtId="0" fontId="16" fillId="55" borderId="0" applyNumberFormat="0" applyBorder="0" applyAlignment="0" applyProtection="0"/>
    <xf numFmtId="0" fontId="16" fillId="53" borderId="0" applyNumberFormat="0" applyBorder="0" applyAlignment="0" applyProtection="0"/>
    <xf numFmtId="0" fontId="16" fillId="34" borderId="0" applyNumberFormat="0" applyBorder="0" applyAlignment="0" applyProtection="0"/>
    <xf numFmtId="2" fontId="30" fillId="0" borderId="0" applyFont="0" applyFill="0" applyBorder="0" applyAlignment="0" applyProtection="0"/>
    <xf numFmtId="0" fontId="16" fillId="56" borderId="0" applyNumberFormat="0" applyBorder="0" applyAlignment="0" applyProtection="0"/>
    <xf numFmtId="0" fontId="16" fillId="54" borderId="0" applyNumberFormat="0" applyBorder="0" applyAlignment="0" applyProtection="0"/>
    <xf numFmtId="0" fontId="16" fillId="40" borderId="0" applyNumberFormat="0" applyBorder="0" applyAlignment="0" applyProtection="0"/>
    <xf numFmtId="0" fontId="16" fillId="45" borderId="0" applyNumberFormat="0" applyBorder="0" applyAlignment="0" applyProtection="0"/>
    <xf numFmtId="0" fontId="16" fillId="56" borderId="0" applyNumberFormat="0" applyBorder="0" applyAlignment="0" applyProtection="0"/>
    <xf numFmtId="0" fontId="16" fillId="57"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0" borderId="0" applyNumberFormat="0" applyBorder="0" applyAlignment="0" applyProtection="0"/>
    <xf numFmtId="0" fontId="15" fillId="45" borderId="0" applyNumberFormat="0" applyBorder="0" applyAlignment="0" applyProtection="0"/>
    <xf numFmtId="0" fontId="15" fillId="2" borderId="0" applyNumberFormat="0" applyBorder="0" applyAlignment="0" applyProtection="0"/>
    <xf numFmtId="0" fontId="15" fillId="57" borderId="0" applyNumberFormat="0" applyBorder="0" applyAlignment="0" applyProtection="0"/>
    <xf numFmtId="0" fontId="15" fillId="2" borderId="0" applyNumberFormat="0" applyBorder="0" applyAlignment="0" applyProtection="0"/>
    <xf numFmtId="0" fontId="15" fillId="36" borderId="0" applyNumberFormat="0" applyBorder="0" applyAlignment="0" applyProtection="0"/>
    <xf numFmtId="0" fontId="15" fillId="40" borderId="0" applyNumberFormat="0" applyBorder="0" applyAlignment="0" applyProtection="0"/>
    <xf numFmtId="0" fontId="15" fillId="5" borderId="0" applyNumberFormat="0" applyBorder="0" applyAlignment="0" applyProtection="0"/>
    <xf numFmtId="0" fontId="15" fillId="2" borderId="0" applyNumberFormat="0" applyBorder="0" applyAlignment="0" applyProtection="0"/>
    <xf numFmtId="0" fontId="15" fillId="37" borderId="0" applyNumberFormat="0" applyBorder="0" applyAlignment="0" applyProtection="0"/>
    <xf numFmtId="0" fontId="31" fillId="0" borderId="15">
      <protection hidden="1"/>
    </xf>
    <xf numFmtId="0" fontId="32" fillId="45" borderId="15" applyNumberFormat="0" applyFont="0" applyBorder="0" applyAlignment="0" applyProtection="0">
      <protection hidden="1"/>
    </xf>
    <xf numFmtId="0" fontId="31" fillId="0" borderId="15">
      <protection hidden="1"/>
    </xf>
    <xf numFmtId="1" fontId="33" fillId="0" borderId="0"/>
    <xf numFmtId="1" fontId="6" fillId="0" borderId="0"/>
    <xf numFmtId="0" fontId="34" fillId="58" borderId="0" applyNumberFormat="0" applyBorder="0" applyAlignment="0" applyProtection="0"/>
    <xf numFmtId="0" fontId="35" fillId="55" borderId="16" applyNumberFormat="0" applyAlignment="0" applyProtection="0"/>
    <xf numFmtId="0" fontId="19" fillId="46" borderId="6" applyNumberFormat="0" applyAlignment="0" applyProtection="0"/>
    <xf numFmtId="168" fontId="36" fillId="50" borderId="0">
      <alignment horizontal="center" vertical="top" wrapText="1"/>
    </xf>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7" fillId="59" borderId="0">
      <alignment vertical="center" wrapText="1"/>
    </xf>
    <xf numFmtId="165" fontId="6" fillId="0" borderId="0" applyFont="0" applyFill="0" applyBorder="0" applyAlignment="0" applyProtection="0"/>
    <xf numFmtId="15" fontId="7" fillId="0" borderId="0">
      <alignment horizontal="right" vertical="center"/>
    </xf>
    <xf numFmtId="15" fontId="7" fillId="0" borderId="0">
      <alignment horizontal="right" vertical="center"/>
    </xf>
    <xf numFmtId="169" fontId="38" fillId="0" borderId="0" applyFont="0" applyFill="0" applyBorder="0" applyAlignment="0" applyProtection="0"/>
    <xf numFmtId="170" fontId="38" fillId="0" borderId="0" applyFont="0" applyFill="0" applyBorder="0" applyAlignment="0" applyProtection="0"/>
    <xf numFmtId="37" fontId="5" fillId="0" borderId="14">
      <alignment horizontal="right" vertical="top" wrapText="1"/>
      <protection locked="0"/>
    </xf>
    <xf numFmtId="0" fontId="39" fillId="0" borderId="0" applyNumberFormat="0" applyFill="0" applyBorder="0" applyAlignment="0" applyProtection="0"/>
    <xf numFmtId="0" fontId="25" fillId="41"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171" fontId="40" fillId="0" borderId="0" applyFont="0" applyFill="0" applyBorder="0" applyAlignment="0" applyProtection="0"/>
    <xf numFmtId="172" fontId="40" fillId="0" borderId="0" applyFont="0" applyFill="0" applyBorder="0" applyAlignment="0" applyProtection="0"/>
    <xf numFmtId="14" fontId="40" fillId="0" borderId="0" applyFont="0" applyFill="0" applyBorder="0" applyAlignment="0" applyProtection="0"/>
    <xf numFmtId="0" fontId="41" fillId="0" borderId="0" applyNumberFormat="0" applyFill="0" applyBorder="0" applyAlignment="0" applyProtection="0">
      <alignment vertical="top"/>
      <protection locked="0"/>
    </xf>
    <xf numFmtId="0" fontId="41" fillId="0" borderId="0" applyNumberFormat="0" applyFill="0" applyBorder="0" applyAlignment="0" applyProtection="0"/>
    <xf numFmtId="0" fontId="42" fillId="0" borderId="0" applyNumberFormat="0" applyFill="0" applyBorder="0" applyAlignment="0" applyProtection="0"/>
    <xf numFmtId="0" fontId="43" fillId="57" borderId="16" applyNumberFormat="0" applyAlignment="0" applyProtection="0"/>
    <xf numFmtId="0" fontId="44" fillId="59" borderId="1">
      <alignment vertical="top" wrapText="1"/>
    </xf>
    <xf numFmtId="0" fontId="45" fillId="0" borderId="0"/>
    <xf numFmtId="0" fontId="46" fillId="0" borderId="20" applyNumberFormat="0" applyFill="0" applyAlignment="0" applyProtection="0"/>
    <xf numFmtId="0" fontId="47" fillId="0" borderId="15">
      <alignment horizontal="left"/>
      <protection locked="0"/>
    </xf>
    <xf numFmtId="173" fontId="48" fillId="0" borderId="0" applyFont="0" applyFill="0" applyBorder="0" applyAlignment="0" applyProtection="0"/>
    <xf numFmtId="0" fontId="49" fillId="32" borderId="0" applyNumberFormat="0" applyBorder="0" applyAlignment="0" applyProtection="0"/>
    <xf numFmtId="0" fontId="50" fillId="0" borderId="0"/>
    <xf numFmtId="0" fontId="1" fillId="0" borderId="0"/>
    <xf numFmtId="0" fontId="51" fillId="0" borderId="0"/>
    <xf numFmtId="0" fontId="1" fillId="0" borderId="0"/>
    <xf numFmtId="0" fontId="1" fillId="0" borderId="0"/>
    <xf numFmtId="0" fontId="51" fillId="0" borderId="0"/>
    <xf numFmtId="0" fontId="1" fillId="0" borderId="0"/>
    <xf numFmtId="0" fontId="1" fillId="0" borderId="0"/>
    <xf numFmtId="0" fontId="1" fillId="0" borderId="0"/>
    <xf numFmtId="0" fontId="1" fillId="0" borderId="0"/>
    <xf numFmtId="0" fontId="1" fillId="0" borderId="0"/>
    <xf numFmtId="0" fontId="52" fillId="0" borderId="0"/>
    <xf numFmtId="0" fontId="52" fillId="0" borderId="0"/>
    <xf numFmtId="0" fontId="6" fillId="0" borderId="0"/>
    <xf numFmtId="0" fontId="1" fillId="0" borderId="0"/>
    <xf numFmtId="0" fontId="6" fillId="0" borderId="0"/>
    <xf numFmtId="0" fontId="6" fillId="0" borderId="0"/>
    <xf numFmtId="0" fontId="1" fillId="0" borderId="0"/>
    <xf numFmtId="0" fontId="6" fillId="0" borderId="0"/>
    <xf numFmtId="0" fontId="1" fillId="0" borderId="0"/>
    <xf numFmtId="0" fontId="1" fillId="0" borderId="0"/>
    <xf numFmtId="0" fontId="6" fillId="0" borderId="0"/>
    <xf numFmtId="0" fontId="52" fillId="0" borderId="0"/>
    <xf numFmtId="0" fontId="1" fillId="0" borderId="0"/>
    <xf numFmtId="0" fontId="1" fillId="0" borderId="0"/>
    <xf numFmtId="0" fontId="1" fillId="0" borderId="0"/>
    <xf numFmtId="0" fontId="30" fillId="0" borderId="0"/>
    <xf numFmtId="0" fontId="1" fillId="0" borderId="0"/>
    <xf numFmtId="0" fontId="1" fillId="0" borderId="0"/>
    <xf numFmtId="0" fontId="1" fillId="0" borderId="0"/>
    <xf numFmtId="0" fontId="6" fillId="49" borderId="16" applyNumberFormat="0" applyFont="0" applyAlignment="0" applyProtection="0"/>
    <xf numFmtId="174" fontId="6" fillId="0" borderId="0"/>
    <xf numFmtId="174" fontId="6" fillId="0" borderId="0"/>
    <xf numFmtId="175" fontId="6" fillId="0" borderId="0" applyFont="0"/>
    <xf numFmtId="175" fontId="6" fillId="0" borderId="0" applyFont="0"/>
    <xf numFmtId="37" fontId="7" fillId="0" borderId="0">
      <alignment horizontal="right" vertical="center"/>
    </xf>
    <xf numFmtId="37" fontId="7" fillId="0" borderId="0">
      <alignment horizontal="right" vertical="center"/>
    </xf>
    <xf numFmtId="0" fontId="51" fillId="0" borderId="0"/>
    <xf numFmtId="0" fontId="26" fillId="55" borderId="3" applyNumberFormat="0" applyAlignment="0" applyProtection="0"/>
    <xf numFmtId="9" fontId="51" fillId="0" borderId="0" applyFont="0" applyFill="0" applyBorder="0" applyAlignment="0" applyProtection="0"/>
    <xf numFmtId="9" fontId="6" fillId="0" borderId="0" applyFont="0" applyFill="0" applyBorder="0" applyAlignment="0" applyProtection="0"/>
    <xf numFmtId="9" fontId="51"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53" fillId="0" borderId="15" applyNumberFormat="0" applyFill="0" applyBorder="0" applyAlignment="0" applyProtection="0">
      <protection hidden="1"/>
    </xf>
    <xf numFmtId="3" fontId="54" fillId="33" borderId="3" applyProtection="0">
      <alignment vertical="center"/>
    </xf>
    <xf numFmtId="4" fontId="55" fillId="33" borderId="3" applyNumberFormat="0" applyProtection="0">
      <alignment vertical="center"/>
    </xf>
    <xf numFmtId="4" fontId="56" fillId="33" borderId="3" applyNumberFormat="0" applyProtection="0">
      <alignment vertical="center"/>
    </xf>
    <xf numFmtId="4" fontId="56" fillId="33" borderId="3" applyNumberFormat="0" applyProtection="0">
      <alignment vertical="center"/>
    </xf>
    <xf numFmtId="4" fontId="57" fillId="33" borderId="3" applyNumberFormat="0" applyProtection="0">
      <alignment vertical="center"/>
    </xf>
    <xf numFmtId="4" fontId="55" fillId="33" borderId="3" applyNumberFormat="0" applyProtection="0">
      <alignment horizontal="left" vertical="center" indent="1"/>
    </xf>
    <xf numFmtId="4" fontId="55" fillId="33" borderId="3" applyNumberFormat="0" applyProtection="0">
      <alignment horizontal="left" vertical="center" indent="1"/>
    </xf>
    <xf numFmtId="4" fontId="56" fillId="33" borderId="3" applyNumberFormat="0" applyProtection="0">
      <alignment horizontal="left" vertical="center" indent="1"/>
    </xf>
    <xf numFmtId="4" fontId="55" fillId="33" borderId="3" applyNumberFormat="0" applyProtection="0">
      <alignment horizontal="left" vertical="center" indent="1"/>
    </xf>
    <xf numFmtId="4" fontId="55" fillId="3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29" fillId="3" borderId="3" applyNumberFormat="0" applyProtection="0">
      <alignment horizontal="left" vertical="center" indent="1"/>
    </xf>
    <xf numFmtId="0" fontId="29"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4" fontId="55" fillId="60" borderId="3" applyNumberFormat="0" applyProtection="0">
      <alignment horizontal="right" vertical="center"/>
    </xf>
    <xf numFmtId="4" fontId="55" fillId="61" borderId="3" applyNumberFormat="0" applyProtection="0">
      <alignment horizontal="right" vertical="center"/>
    </xf>
    <xf numFmtId="4" fontId="55" fillId="62" borderId="3" applyNumberFormat="0" applyProtection="0">
      <alignment horizontal="right" vertical="center"/>
    </xf>
    <xf numFmtId="4" fontId="55" fillId="63" borderId="3" applyNumberFormat="0" applyProtection="0">
      <alignment horizontal="right" vertical="center"/>
    </xf>
    <xf numFmtId="4" fontId="55" fillId="64" borderId="3" applyNumberFormat="0" applyProtection="0">
      <alignment horizontal="right" vertical="center"/>
    </xf>
    <xf numFmtId="4" fontId="55" fillId="65" borderId="3" applyNumberFormat="0" applyProtection="0">
      <alignment horizontal="right" vertical="center"/>
    </xf>
    <xf numFmtId="4" fontId="55" fillId="66" borderId="3" applyNumberFormat="0" applyProtection="0">
      <alignment horizontal="right" vertical="center"/>
    </xf>
    <xf numFmtId="4" fontId="55" fillId="67" borderId="3" applyNumberFormat="0" applyProtection="0">
      <alignment horizontal="right" vertical="center"/>
    </xf>
    <xf numFmtId="4" fontId="55" fillId="68" borderId="3" applyNumberFormat="0" applyProtection="0">
      <alignment horizontal="right" vertical="center"/>
    </xf>
    <xf numFmtId="4" fontId="54" fillId="69" borderId="3" applyNumberFormat="0" applyProtection="0">
      <alignment horizontal="left" vertical="center" indent="1"/>
    </xf>
    <xf numFmtId="4" fontId="58" fillId="70" borderId="3" applyNumberFormat="0" applyProtection="0">
      <alignment horizontal="left" vertical="center" indent="1"/>
    </xf>
    <xf numFmtId="4" fontId="55" fillId="71" borderId="21" applyNumberFormat="0" applyProtection="0">
      <alignment horizontal="left" vertical="center" indent="1"/>
    </xf>
    <xf numFmtId="4" fontId="56" fillId="0" borderId="21" applyNumberFormat="0" applyProtection="0">
      <alignment horizontal="left" vertical="center" indent="1"/>
    </xf>
    <xf numFmtId="4" fontId="59" fillId="72" borderId="0" applyNumberFormat="0" applyProtection="0">
      <alignment horizontal="left" vertical="center" indent="1"/>
    </xf>
    <xf numFmtId="4" fontId="59" fillId="72" borderId="0" applyNumberFormat="0" applyProtection="0">
      <alignment horizontal="left" vertical="center" indent="1"/>
    </xf>
    <xf numFmtId="4" fontId="59" fillId="72" borderId="0"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4" fontId="60" fillId="71" borderId="3" applyNumberFormat="0" applyProtection="0">
      <alignment horizontal="left" vertical="center" indent="1"/>
    </xf>
    <xf numFmtId="4" fontId="61" fillId="71" borderId="3" applyNumberFormat="0" applyProtection="0">
      <alignment horizontal="left" vertical="center" indent="1"/>
    </xf>
    <xf numFmtId="4" fontId="61" fillId="71" borderId="3" applyNumberFormat="0" applyProtection="0">
      <alignment horizontal="left" vertical="center" indent="1"/>
    </xf>
    <xf numFmtId="3" fontId="60" fillId="73" borderId="3" applyProtection="0">
      <alignment horizontal="left" vertical="center" indent="1"/>
    </xf>
    <xf numFmtId="4" fontId="61" fillId="73" borderId="3" applyNumberFormat="0" applyProtection="0">
      <alignment horizontal="left" vertical="center" indent="1"/>
    </xf>
    <xf numFmtId="4" fontId="61" fillId="73" borderId="3" applyNumberFormat="0" applyProtection="0">
      <alignment horizontal="left" vertical="center" indent="1"/>
    </xf>
    <xf numFmtId="0" fontId="62" fillId="21" borderId="3" applyNumberFormat="0" applyProtection="0">
      <alignment horizontal="left" vertical="center" indent="2"/>
    </xf>
    <xf numFmtId="0" fontId="29" fillId="73" borderId="3" applyNumberFormat="0" applyProtection="0">
      <alignment horizontal="left" vertical="center" indent="1"/>
    </xf>
    <xf numFmtId="0" fontId="29" fillId="73" borderId="3" applyNumberFormat="0" applyProtection="0">
      <alignment horizontal="left" vertical="center" indent="1"/>
    </xf>
    <xf numFmtId="0" fontId="6" fillId="73" borderId="3" applyNumberFormat="0" applyProtection="0">
      <alignment horizontal="left" vertical="center" indent="1"/>
    </xf>
    <xf numFmtId="0" fontId="6" fillId="73" borderId="3" applyNumberFormat="0" applyProtection="0">
      <alignment horizontal="left" vertical="center" indent="1"/>
    </xf>
    <xf numFmtId="0" fontId="6" fillId="73" borderId="3" applyNumberFormat="0" applyProtection="0">
      <alignment horizontal="left" vertical="center" indent="1"/>
    </xf>
    <xf numFmtId="0" fontId="6" fillId="73" borderId="3" applyNumberFormat="0" applyProtection="0">
      <alignment horizontal="left" vertical="center" indent="1"/>
    </xf>
    <xf numFmtId="0" fontId="6" fillId="53" borderId="3" applyNumberFormat="0" applyProtection="0">
      <alignment horizontal="left" vertical="center" indent="2"/>
    </xf>
    <xf numFmtId="0" fontId="29" fillId="74" borderId="3" applyNumberFormat="0" applyProtection="0">
      <alignment horizontal="left" vertical="center" indent="1"/>
    </xf>
    <xf numFmtId="0" fontId="29" fillId="74" borderId="3" applyNumberFormat="0" applyProtection="0">
      <alignment horizontal="left" vertical="center" indent="1"/>
    </xf>
    <xf numFmtId="0" fontId="6" fillId="74" borderId="3" applyNumberFormat="0" applyProtection="0">
      <alignment horizontal="left" vertical="center" indent="1"/>
    </xf>
    <xf numFmtId="0" fontId="6" fillId="74" borderId="3" applyNumberFormat="0" applyProtection="0">
      <alignment horizontal="left" vertical="center" indent="1"/>
    </xf>
    <xf numFmtId="0" fontId="6" fillId="74" borderId="3" applyNumberFormat="0" applyProtection="0">
      <alignment horizontal="left" vertical="center" indent="1"/>
    </xf>
    <xf numFmtId="0" fontId="6" fillId="74" borderId="3" applyNumberFormat="0" applyProtection="0">
      <alignment horizontal="left" vertical="center" indent="1"/>
    </xf>
    <xf numFmtId="0" fontId="6" fillId="59" borderId="3" applyNumberFormat="0" applyProtection="0">
      <alignment horizontal="left" vertical="center" indent="1"/>
    </xf>
    <xf numFmtId="0" fontId="29" fillId="59" borderId="3" applyNumberFormat="0" applyProtection="0">
      <alignment horizontal="left" vertical="center" indent="1"/>
    </xf>
    <xf numFmtId="0" fontId="29" fillId="59" borderId="3" applyNumberFormat="0" applyProtection="0">
      <alignment horizontal="left" vertical="center" indent="1"/>
    </xf>
    <xf numFmtId="0" fontId="6" fillId="59" borderId="3" applyNumberFormat="0" applyProtection="0">
      <alignment horizontal="left" vertical="center" indent="1"/>
    </xf>
    <xf numFmtId="0" fontId="6" fillId="59" borderId="3" applyNumberFormat="0" applyProtection="0">
      <alignment horizontal="left" vertical="center" indent="1"/>
    </xf>
    <xf numFmtId="0" fontId="6" fillId="59" borderId="3" applyNumberFormat="0" applyProtection="0">
      <alignment horizontal="left" vertical="center" indent="1"/>
    </xf>
    <xf numFmtId="0" fontId="6" fillId="59" borderId="3" applyNumberFormat="0" applyProtection="0">
      <alignment horizontal="left" vertical="center" indent="1"/>
    </xf>
    <xf numFmtId="0" fontId="6" fillId="59" borderId="3" applyNumberFormat="0" applyProtection="0">
      <alignment horizontal="left" vertical="center" indent="1"/>
    </xf>
    <xf numFmtId="0" fontId="29"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3" fillId="0" borderId="0"/>
    <xf numFmtId="4" fontId="55" fillId="50" borderId="3" applyNumberFormat="0" applyProtection="0">
      <alignment vertical="center"/>
    </xf>
    <xf numFmtId="4" fontId="57" fillId="50" borderId="3" applyNumberFormat="0" applyProtection="0">
      <alignment vertical="center"/>
    </xf>
    <xf numFmtId="4" fontId="55" fillId="50" borderId="3" applyNumberFormat="0" applyProtection="0">
      <alignment horizontal="left" vertical="center" indent="1"/>
    </xf>
    <xf numFmtId="4" fontId="55" fillId="50" borderId="3" applyNumberFormat="0" applyProtection="0">
      <alignment horizontal="left" vertical="center" indent="1"/>
    </xf>
    <xf numFmtId="4" fontId="56" fillId="50" borderId="3" applyNumberFormat="0" applyProtection="0">
      <alignment horizontal="left" vertical="center" indent="1"/>
    </xf>
    <xf numFmtId="4" fontId="55" fillId="50" borderId="3" applyNumberFormat="0" applyProtection="0">
      <alignment horizontal="left" vertical="center" indent="1"/>
    </xf>
    <xf numFmtId="4" fontId="55" fillId="0" borderId="3" applyNumberFormat="0" applyProtection="0">
      <alignment horizontal="right" vertical="center"/>
    </xf>
    <xf numFmtId="4" fontId="55" fillId="71" borderId="3" applyNumberFormat="0" applyProtection="0">
      <alignment horizontal="right" vertical="center"/>
    </xf>
    <xf numFmtId="4" fontId="56" fillId="0" borderId="3" applyNumberFormat="0" applyProtection="0">
      <alignment horizontal="right" vertical="center"/>
    </xf>
    <xf numFmtId="4" fontId="55" fillId="71" borderId="3" applyNumberFormat="0" applyProtection="0">
      <alignment horizontal="right" vertical="center"/>
    </xf>
    <xf numFmtId="4" fontId="64" fillId="0" borderId="3" applyNumberFormat="0" applyProtection="0">
      <alignment horizontal="right" vertical="center"/>
    </xf>
    <xf numFmtId="4" fontId="57" fillId="71" borderId="3" applyNumberFormat="0" applyProtection="0">
      <alignment horizontal="right" vertical="center"/>
    </xf>
    <xf numFmtId="0" fontId="29" fillId="3" borderId="3" applyNumberFormat="0" applyProtection="0">
      <alignment horizontal="left" vertical="center" indent="1"/>
    </xf>
    <xf numFmtId="0" fontId="6" fillId="3" borderId="3" applyNumberFormat="0" applyProtection="0">
      <alignment horizontal="left" vertical="center" indent="1"/>
    </xf>
    <xf numFmtId="0" fontId="29" fillId="3" borderId="3" applyNumberFormat="0" applyProtection="0">
      <alignment horizontal="left" vertical="center" indent="1"/>
    </xf>
    <xf numFmtId="0" fontId="29"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indent="1"/>
    </xf>
    <xf numFmtId="0" fontId="6" fillId="3" borderId="3" applyNumberFormat="0" applyProtection="0">
      <alignment horizontal="left" vertical="center" wrapText="1" indent="1"/>
    </xf>
    <xf numFmtId="0" fontId="29" fillId="3" borderId="3" applyNumberFormat="0" applyProtection="0">
      <alignment horizontal="left" vertical="center" indent="1"/>
    </xf>
    <xf numFmtId="0" fontId="6" fillId="3" borderId="3" applyNumberFormat="0" applyProtection="0">
      <alignment horizontal="left" vertical="center" wrapText="1" indent="1"/>
    </xf>
    <xf numFmtId="0" fontId="29" fillId="3" borderId="3" applyNumberFormat="0" applyProtection="0">
      <alignment horizontal="left" vertical="center" indent="1"/>
    </xf>
    <xf numFmtId="0" fontId="6" fillId="3" borderId="3" applyNumberFormat="0" applyProtection="0">
      <alignment horizontal="left" vertical="center" wrapText="1" indent="1"/>
    </xf>
    <xf numFmtId="0" fontId="65" fillId="0" borderId="0" applyNumberFormat="0" applyProtection="0"/>
    <xf numFmtId="0" fontId="65" fillId="0" borderId="0" applyNumberFormat="0" applyProtection="0"/>
    <xf numFmtId="0" fontId="65" fillId="0" borderId="0" applyNumberFormat="0" applyProtection="0"/>
    <xf numFmtId="0" fontId="66" fillId="0" borderId="0"/>
    <xf numFmtId="4" fontId="67" fillId="0" borderId="3" applyNumberFormat="0" applyProtection="0">
      <alignment horizontal="right" vertical="center"/>
    </xf>
    <xf numFmtId="4" fontId="68" fillId="71" borderId="3" applyNumberFormat="0" applyProtection="0">
      <alignment horizontal="right" vertical="center"/>
    </xf>
    <xf numFmtId="0" fontId="69" fillId="0" borderId="0"/>
    <xf numFmtId="0" fontId="27" fillId="0" borderId="0" applyNumberFormat="0" applyFill="0" applyBorder="0" applyAlignment="0" applyProtection="0"/>
    <xf numFmtId="0" fontId="70" fillId="45" borderId="15"/>
    <xf numFmtId="0" fontId="20" fillId="0" borderId="22" applyNumberFormat="0" applyFill="0" applyAlignment="0" applyProtection="0"/>
    <xf numFmtId="0" fontId="71" fillId="0" borderId="0" applyNumberFormat="0" applyFill="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11" borderId="0" applyNumberFormat="0" applyBorder="0" applyAlignment="0" applyProtection="0"/>
    <xf numFmtId="0" fontId="15" fillId="24" borderId="0" applyNumberFormat="0" applyBorder="0" applyAlignment="0" applyProtection="0"/>
    <xf numFmtId="0" fontId="81" fillId="80" borderId="0" applyNumberFormat="0" applyBorder="0" applyAlignment="0" applyProtection="0"/>
    <xf numFmtId="0" fontId="105" fillId="0" borderId="0"/>
    <xf numFmtId="164" fontId="1" fillId="0" borderId="0" applyFont="0" applyFill="0" applyBorder="0" applyAlignment="0" applyProtection="0"/>
  </cellStyleXfs>
  <cellXfs count="345">
    <xf numFmtId="0" fontId="0" fillId="0" borderId="0" xfId="0"/>
    <xf numFmtId="0" fontId="2" fillId="0" borderId="0" xfId="0" applyFont="1"/>
    <xf numFmtId="0" fontId="3" fillId="0" borderId="0" xfId="0" applyFont="1" applyAlignment="1">
      <alignment horizontal="center"/>
    </xf>
    <xf numFmtId="0" fontId="76" fillId="0" borderId="0" xfId="0" applyFont="1"/>
    <xf numFmtId="0" fontId="0" fillId="76" borderId="25" xfId="0" applyFill="1" applyBorder="1" applyAlignment="1">
      <alignment horizontal="center"/>
    </xf>
    <xf numFmtId="0" fontId="75" fillId="0" borderId="0" xfId="0" applyFont="1"/>
    <xf numFmtId="3" fontId="0" fillId="76" borderId="0" xfId="0" applyNumberFormat="1" applyFill="1"/>
    <xf numFmtId="3" fontId="0" fillId="76" borderId="30" xfId="0" applyNumberFormat="1" applyFill="1" applyBorder="1" applyAlignment="1">
      <alignment horizontal="center"/>
    </xf>
    <xf numFmtId="3" fontId="0" fillId="76" borderId="28" xfId="0" applyNumberFormat="1" applyFill="1" applyBorder="1" applyAlignment="1">
      <alignment horizontal="center"/>
    </xf>
    <xf numFmtId="3" fontId="0" fillId="76" borderId="0" xfId="0" applyNumberFormat="1" applyFill="1" applyAlignment="1">
      <alignment horizontal="right"/>
    </xf>
    <xf numFmtId="3" fontId="0" fillId="76" borderId="0" xfId="0" applyNumberFormat="1" applyFill="1" applyAlignment="1">
      <alignment horizontal="center"/>
    </xf>
    <xf numFmtId="3" fontId="74" fillId="76" borderId="25" xfId="0" applyNumberFormat="1" applyFont="1" applyFill="1" applyBorder="1" applyAlignment="1">
      <alignment horizontal="right"/>
    </xf>
    <xf numFmtId="0" fontId="0" fillId="76" borderId="24" xfId="0" applyFill="1" applyBorder="1"/>
    <xf numFmtId="0" fontId="0" fillId="0" borderId="0" xfId="0" applyAlignment="1">
      <alignment horizontal="center"/>
    </xf>
    <xf numFmtId="9" fontId="0" fillId="0" borderId="0" xfId="1" applyFont="1" applyAlignment="1">
      <alignment horizontal="center"/>
    </xf>
    <xf numFmtId="0" fontId="0" fillId="76" borderId="28" xfId="0" applyFill="1" applyBorder="1"/>
    <xf numFmtId="0" fontId="0" fillId="76" borderId="27" xfId="0" applyFill="1" applyBorder="1" applyAlignment="1">
      <alignment horizontal="center"/>
    </xf>
    <xf numFmtId="3" fontId="0" fillId="76" borderId="25" xfId="0" applyNumberFormat="1" applyFill="1" applyBorder="1" applyAlignment="1">
      <alignment horizontal="center"/>
    </xf>
    <xf numFmtId="3" fontId="74" fillId="76" borderId="30" xfId="0" applyNumberFormat="1" applyFont="1" applyFill="1" applyBorder="1" applyAlignment="1">
      <alignment horizontal="right"/>
    </xf>
    <xf numFmtId="0" fontId="0" fillId="76" borderId="30" xfId="0" applyFill="1" applyBorder="1"/>
    <xf numFmtId="3" fontId="0" fillId="76" borderId="30" xfId="0" applyNumberFormat="1" applyFill="1" applyBorder="1"/>
    <xf numFmtId="3" fontId="0" fillId="76" borderId="27" xfId="0" applyNumberFormat="1" applyFill="1" applyBorder="1" applyAlignment="1">
      <alignment horizontal="right"/>
    </xf>
    <xf numFmtId="3" fontId="0" fillId="76" borderId="25" xfId="0" applyNumberFormat="1" applyFill="1" applyBorder="1" applyAlignment="1">
      <alignment horizontal="right"/>
    </xf>
    <xf numFmtId="3" fontId="74" fillId="76" borderId="27" xfId="0" applyNumberFormat="1" applyFont="1" applyFill="1" applyBorder="1" applyAlignment="1">
      <alignment horizontal="right"/>
    </xf>
    <xf numFmtId="0" fontId="0" fillId="76" borderId="0" xfId="0" applyFill="1"/>
    <xf numFmtId="0" fontId="0" fillId="76" borderId="26" xfId="0" applyFill="1" applyBorder="1"/>
    <xf numFmtId="0" fontId="0" fillId="76" borderId="25" xfId="0" applyFill="1" applyBorder="1"/>
    <xf numFmtId="3" fontId="0" fillId="76" borderId="26" xfId="0" applyNumberFormat="1" applyFill="1" applyBorder="1" applyAlignment="1">
      <alignment horizontal="center"/>
    </xf>
    <xf numFmtId="0" fontId="0" fillId="76" borderId="0" xfId="0" applyFill="1" applyAlignment="1">
      <alignment horizontal="right"/>
    </xf>
    <xf numFmtId="0" fontId="0" fillId="76" borderId="29" xfId="0" applyFill="1" applyBorder="1"/>
    <xf numFmtId="0" fontId="0" fillId="76" borderId="0" xfId="0" applyFill="1" applyAlignment="1">
      <alignment horizontal="center"/>
    </xf>
    <xf numFmtId="0" fontId="73" fillId="0" borderId="0" xfId="0" applyFont="1"/>
    <xf numFmtId="0" fontId="72" fillId="0" borderId="0" xfId="0" applyFont="1"/>
    <xf numFmtId="0" fontId="77" fillId="0" borderId="0" xfId="0" applyFont="1"/>
    <xf numFmtId="0" fontId="2" fillId="78" borderId="31" xfId="0" applyFont="1" applyFill="1" applyBorder="1" applyAlignment="1">
      <alignment horizontal="center"/>
    </xf>
    <xf numFmtId="0" fontId="2" fillId="79" borderId="31" xfId="0" applyFont="1" applyFill="1" applyBorder="1" applyAlignment="1">
      <alignment horizontal="center"/>
    </xf>
    <xf numFmtId="0" fontId="2" fillId="76" borderId="31" xfId="0" applyFont="1" applyFill="1" applyBorder="1" applyAlignment="1">
      <alignment horizontal="center"/>
    </xf>
    <xf numFmtId="0" fontId="2" fillId="78" borderId="31" xfId="0" applyFont="1" applyFill="1" applyBorder="1" applyAlignment="1">
      <alignment horizontal="left" indent="1"/>
    </xf>
    <xf numFmtId="0" fontId="2" fillId="79" borderId="31" xfId="0" applyFont="1" applyFill="1" applyBorder="1" applyAlignment="1">
      <alignment horizontal="left" indent="1"/>
    </xf>
    <xf numFmtId="0" fontId="2" fillId="76" borderId="31" xfId="0" applyFont="1" applyFill="1" applyBorder="1" applyAlignment="1">
      <alignment horizontal="left" indent="1"/>
    </xf>
    <xf numFmtId="0" fontId="81" fillId="80" borderId="0" xfId="315"/>
    <xf numFmtId="0" fontId="0" fillId="81" borderId="0" xfId="0" applyFill="1"/>
    <xf numFmtId="0" fontId="82" fillId="80" borderId="0" xfId="315" applyFont="1"/>
    <xf numFmtId="0" fontId="0" fillId="75" borderId="0" xfId="0" applyFill="1"/>
    <xf numFmtId="0" fontId="0" fillId="77" borderId="0" xfId="0" applyFill="1"/>
    <xf numFmtId="0" fontId="81" fillId="0" borderId="0" xfId="315" applyFill="1"/>
    <xf numFmtId="0" fontId="0" fillId="0" borderId="0" xfId="0" quotePrefix="1" applyAlignment="1">
      <alignment horizontal="center"/>
    </xf>
    <xf numFmtId="0" fontId="83" fillId="0" borderId="0" xfId="0" applyFont="1"/>
    <xf numFmtId="3" fontId="79" fillId="76" borderId="1" xfId="0" applyNumberFormat="1" applyFont="1" applyFill="1" applyBorder="1"/>
    <xf numFmtId="9" fontId="79" fillId="76" borderId="1" xfId="1" applyFont="1" applyFill="1" applyBorder="1"/>
    <xf numFmtId="3" fontId="79" fillId="84" borderId="1" xfId="0" applyNumberFormat="1" applyFont="1" applyFill="1" applyBorder="1"/>
    <xf numFmtId="9" fontId="79" fillId="84" borderId="1" xfId="1" applyFont="1" applyFill="1" applyBorder="1"/>
    <xf numFmtId="176" fontId="79" fillId="76" borderId="1" xfId="1" applyNumberFormat="1" applyFont="1" applyFill="1" applyBorder="1"/>
    <xf numFmtId="176" fontId="79" fillId="84" borderId="1" xfId="1" applyNumberFormat="1" applyFont="1" applyFill="1" applyBorder="1"/>
    <xf numFmtId="0" fontId="85" fillId="0" borderId="31" xfId="4" quotePrefix="1" applyFont="1" applyFill="1" applyBorder="1" applyAlignment="1" applyProtection="1">
      <alignment horizontal="left" vertical="center"/>
      <protection locked="0"/>
    </xf>
    <xf numFmtId="0" fontId="73" fillId="0" borderId="31" xfId="4" quotePrefix="1" applyFont="1" applyFill="1" applyBorder="1" applyAlignment="1" applyProtection="1">
      <alignment horizontal="center" vertical="center"/>
      <protection locked="0"/>
    </xf>
    <xf numFmtId="3" fontId="0" fillId="0" borderId="31" xfId="0" applyNumberFormat="1" applyBorder="1" applyAlignment="1">
      <alignment vertical="center"/>
    </xf>
    <xf numFmtId="3" fontId="0" fillId="0" borderId="0" xfId="0" applyNumberFormat="1"/>
    <xf numFmtId="0" fontId="86" fillId="0" borderId="0" xfId="0" applyFont="1"/>
    <xf numFmtId="3" fontId="2" fillId="78" borderId="31" xfId="0" applyNumberFormat="1" applyFont="1" applyFill="1" applyBorder="1" applyAlignment="1">
      <alignment horizontal="left" indent="1"/>
    </xf>
    <xf numFmtId="3" fontId="2" fillId="78" borderId="31" xfId="0" applyNumberFormat="1" applyFont="1" applyFill="1" applyBorder="1" applyAlignment="1">
      <alignment horizontal="center"/>
    </xf>
    <xf numFmtId="3" fontId="2" fillId="79" borderId="31" xfId="0" applyNumberFormat="1" applyFont="1" applyFill="1" applyBorder="1" applyAlignment="1">
      <alignment horizontal="left" indent="1"/>
    </xf>
    <xf numFmtId="3" fontId="2" fillId="79" borderId="31" xfId="0" applyNumberFormat="1" applyFont="1" applyFill="1" applyBorder="1" applyAlignment="1">
      <alignment horizontal="center"/>
    </xf>
    <xf numFmtId="3" fontId="2" fillId="76" borderId="31" xfId="0" applyNumberFormat="1" applyFont="1" applyFill="1" applyBorder="1" applyAlignment="1">
      <alignment horizontal="left" indent="1"/>
    </xf>
    <xf numFmtId="3" fontId="2" fillId="76" borderId="31" xfId="0" applyNumberFormat="1" applyFont="1" applyFill="1" applyBorder="1" applyAlignment="1">
      <alignment horizontal="center"/>
    </xf>
    <xf numFmtId="3" fontId="1" fillId="84" borderId="0" xfId="183" applyNumberFormat="1" applyFill="1"/>
    <xf numFmtId="3" fontId="1" fillId="86" borderId="0" xfId="183" applyNumberFormat="1" applyFill="1"/>
    <xf numFmtId="3" fontId="1" fillId="87" borderId="0" xfId="183" applyNumberFormat="1" applyFill="1"/>
    <xf numFmtId="3" fontId="2" fillId="77" borderId="31" xfId="0" applyNumberFormat="1" applyFont="1" applyFill="1" applyBorder="1" applyAlignment="1">
      <alignment horizontal="center" vertical="center"/>
    </xf>
    <xf numFmtId="3" fontId="87" fillId="88" borderId="31" xfId="0" applyNumberFormat="1" applyFont="1" applyFill="1" applyBorder="1" applyAlignment="1">
      <alignment horizontal="center" vertical="center"/>
    </xf>
    <xf numFmtId="3" fontId="7" fillId="0" borderId="0" xfId="0" applyNumberFormat="1" applyFont="1" applyAlignment="1">
      <alignment horizontal="right" vertical="center"/>
    </xf>
    <xf numFmtId="3" fontId="6" fillId="0" borderId="0" xfId="0" applyNumberFormat="1" applyFont="1" applyAlignment="1">
      <alignment horizontal="right" vertical="center"/>
    </xf>
    <xf numFmtId="0" fontId="0" fillId="0" borderId="0" xfId="0" applyAlignment="1">
      <alignment vertical="center"/>
    </xf>
    <xf numFmtId="0" fontId="0" fillId="0" borderId="1" xfId="0" applyBorder="1" applyAlignment="1">
      <alignment vertical="top" wrapText="1"/>
    </xf>
    <xf numFmtId="0" fontId="2" fillId="0" borderId="1" xfId="0" applyFont="1" applyBorder="1"/>
    <xf numFmtId="0" fontId="2" fillId="89" borderId="31" xfId="0" applyFont="1" applyFill="1" applyBorder="1" applyAlignment="1">
      <alignment horizontal="center"/>
    </xf>
    <xf numFmtId="0" fontId="2" fillId="89" borderId="31" xfId="0" applyFont="1" applyFill="1" applyBorder="1" applyAlignment="1">
      <alignment horizontal="left" indent="1"/>
    </xf>
    <xf numFmtId="3" fontId="2" fillId="89" borderId="31" xfId="0" applyNumberFormat="1" applyFont="1" applyFill="1" applyBorder="1" applyAlignment="1">
      <alignment horizontal="left" indent="1"/>
    </xf>
    <xf numFmtId="3" fontId="2" fillId="89" borderId="31" xfId="0" applyNumberFormat="1" applyFont="1" applyFill="1" applyBorder="1" applyAlignment="1">
      <alignment horizontal="center"/>
    </xf>
    <xf numFmtId="9" fontId="1" fillId="76" borderId="31" xfId="1" applyFont="1" applyFill="1" applyBorder="1" applyAlignment="1">
      <alignment horizontal="center"/>
    </xf>
    <xf numFmtId="9" fontId="1" fillId="79" borderId="31" xfId="1" applyFont="1" applyFill="1" applyBorder="1" applyAlignment="1">
      <alignment horizontal="center"/>
    </xf>
    <xf numFmtId="9" fontId="1" fillId="78" borderId="31" xfId="1" applyFont="1" applyFill="1" applyBorder="1" applyAlignment="1">
      <alignment horizontal="center"/>
    </xf>
    <xf numFmtId="9" fontId="1" fillId="89" borderId="31" xfId="1" applyFont="1" applyFill="1" applyBorder="1" applyAlignment="1">
      <alignment horizontal="center"/>
    </xf>
    <xf numFmtId="0" fontId="62" fillId="0" borderId="34" xfId="3" applyFont="1" applyFill="1" applyBorder="1" applyAlignment="1" applyProtection="1">
      <alignment horizontal="center" vertical="center"/>
      <protection locked="0"/>
    </xf>
    <xf numFmtId="9" fontId="1" fillId="0" borderId="34" xfId="1" applyFont="1" applyBorder="1" applyAlignment="1">
      <alignment horizontal="center"/>
    </xf>
    <xf numFmtId="0" fontId="2" fillId="0" borderId="34" xfId="0" applyFont="1" applyBorder="1" applyAlignment="1">
      <alignment horizontal="left"/>
    </xf>
    <xf numFmtId="0" fontId="7" fillId="0" borderId="34" xfId="0" applyFont="1" applyBorder="1" applyAlignment="1">
      <alignment horizontal="center" vertical="center"/>
    </xf>
    <xf numFmtId="0" fontId="91" fillId="82" borderId="36" xfId="0" applyFont="1" applyFill="1" applyBorder="1" applyAlignment="1">
      <alignment horizontal="center" vertical="top" wrapText="1"/>
    </xf>
    <xf numFmtId="3" fontId="85" fillId="82" borderId="35" xfId="0" applyNumberFormat="1" applyFont="1" applyFill="1" applyBorder="1" applyAlignment="1">
      <alignment horizontal="right" vertical="center"/>
    </xf>
    <xf numFmtId="0" fontId="0" fillId="82" borderId="36" xfId="0" applyFill="1" applyBorder="1" applyAlignment="1">
      <alignment horizontal="center" vertical="center"/>
    </xf>
    <xf numFmtId="0" fontId="73" fillId="76" borderId="36" xfId="0" applyFont="1" applyFill="1" applyBorder="1"/>
    <xf numFmtId="0" fontId="92" fillId="80" borderId="0" xfId="315" applyFont="1" applyAlignment="1">
      <alignment horizontal="center"/>
    </xf>
    <xf numFmtId="3" fontId="2" fillId="0" borderId="31" xfId="0" applyNumberFormat="1" applyFont="1" applyBorder="1" applyAlignment="1">
      <alignment horizontal="right" vertical="center"/>
    </xf>
    <xf numFmtId="0" fontId="2" fillId="0" borderId="31" xfId="0" applyFont="1" applyBorder="1" applyAlignment="1">
      <alignment horizontal="center"/>
    </xf>
    <xf numFmtId="9" fontId="91" fillId="0" borderId="34" xfId="1" applyFont="1" applyBorder="1" applyAlignment="1">
      <alignment horizontal="center"/>
    </xf>
    <xf numFmtId="0" fontId="91" fillId="82" borderId="36" xfId="0" applyFont="1" applyFill="1" applyBorder="1" applyAlignment="1">
      <alignment horizontal="center" vertical="center" wrapText="1"/>
    </xf>
    <xf numFmtId="0" fontId="76" fillId="0" borderId="0" xfId="0" applyFont="1" applyAlignment="1">
      <alignment vertical="center"/>
    </xf>
    <xf numFmtId="0" fontId="0" fillId="0" borderId="0" xfId="0" pivotButton="1"/>
    <xf numFmtId="0" fontId="0" fillId="83" borderId="37" xfId="0" applyFill="1" applyBorder="1"/>
    <xf numFmtId="0" fontId="0" fillId="0" borderId="37" xfId="0" applyBorder="1" applyAlignment="1">
      <alignment vertical="top" wrapText="1"/>
    </xf>
    <xf numFmtId="3" fontId="79" fillId="76" borderId="32" xfId="0" applyNumberFormat="1" applyFont="1" applyFill="1" applyBorder="1"/>
    <xf numFmtId="176" fontId="79" fillId="76" borderId="32" xfId="1" applyNumberFormat="1" applyFont="1" applyFill="1" applyBorder="1"/>
    <xf numFmtId="3" fontId="79" fillId="84" borderId="32" xfId="0" applyNumberFormat="1" applyFont="1" applyFill="1" applyBorder="1"/>
    <xf numFmtId="176" fontId="79" fillId="84" borderId="32" xfId="1" applyNumberFormat="1" applyFont="1" applyFill="1" applyBorder="1"/>
    <xf numFmtId="0" fontId="79" fillId="76" borderId="38" xfId="0" applyFont="1" applyFill="1" applyBorder="1" applyAlignment="1">
      <alignment horizontal="center"/>
    </xf>
    <xf numFmtId="0" fontId="79" fillId="84" borderId="38" xfId="0" applyFont="1" applyFill="1" applyBorder="1" applyAlignment="1">
      <alignment horizontal="center"/>
    </xf>
    <xf numFmtId="0" fontId="29" fillId="0" borderId="1" xfId="0" applyFont="1" applyBorder="1" applyAlignment="1">
      <alignment vertical="center" wrapText="1"/>
    </xf>
    <xf numFmtId="0" fontId="29" fillId="0" borderId="1" xfId="0" applyFont="1" applyBorder="1" applyAlignment="1">
      <alignment horizontal="left" vertical="center" wrapText="1" indent="1"/>
    </xf>
    <xf numFmtId="0" fontId="29" fillId="0" borderId="32" xfId="0" applyFont="1" applyBorder="1" applyAlignment="1">
      <alignment horizontal="left" vertical="center" wrapText="1" indent="1"/>
    </xf>
    <xf numFmtId="0" fontId="0" fillId="0" borderId="1" xfId="0" applyBorder="1" applyAlignment="1">
      <alignment vertical="top"/>
    </xf>
    <xf numFmtId="0" fontId="0" fillId="0" borderId="0" xfId="0" applyAlignment="1">
      <alignment horizontal="left"/>
    </xf>
    <xf numFmtId="0" fontId="96" fillId="82" borderId="36" xfId="0" applyFont="1" applyFill="1" applyBorder="1" applyAlignment="1">
      <alignment horizontal="center" vertical="top" wrapText="1"/>
    </xf>
    <xf numFmtId="3" fontId="87" fillId="88" borderId="33" xfId="0" applyNumberFormat="1" applyFont="1" applyFill="1" applyBorder="1" applyAlignment="1">
      <alignment horizontal="center" vertical="center" wrapText="1"/>
    </xf>
    <xf numFmtId="0" fontId="97" fillId="0" borderId="0" xfId="0" applyFont="1"/>
    <xf numFmtId="3" fontId="99" fillId="76" borderId="36" xfId="0" applyNumberFormat="1" applyFont="1" applyFill="1" applyBorder="1" applyAlignment="1">
      <alignment wrapText="1"/>
    </xf>
    <xf numFmtId="0" fontId="99" fillId="82" borderId="36" xfId="0" applyFont="1" applyFill="1" applyBorder="1" applyAlignment="1">
      <alignment horizontal="center" vertical="center" wrapText="1"/>
    </xf>
    <xf numFmtId="0" fontId="2" fillId="75" borderId="41" xfId="0" applyFont="1" applyFill="1" applyBorder="1" applyAlignment="1">
      <alignment horizontal="center" vertical="center"/>
    </xf>
    <xf numFmtId="0" fontId="89" fillId="75" borderId="0" xfId="0" applyFont="1" applyFill="1" applyAlignment="1">
      <alignment horizontal="right"/>
    </xf>
    <xf numFmtId="3" fontId="90" fillId="75" borderId="0" xfId="0" applyNumberFormat="1" applyFont="1" applyFill="1" applyAlignment="1">
      <alignment horizontal="left" vertical="center"/>
    </xf>
    <xf numFmtId="0" fontId="83" fillId="75" borderId="0" xfId="0" applyFont="1" applyFill="1" applyAlignment="1">
      <alignment horizontal="right"/>
    </xf>
    <xf numFmtId="0" fontId="88" fillId="75" borderId="0" xfId="0" applyFont="1" applyFill="1" applyAlignment="1">
      <alignment horizontal="left"/>
    </xf>
    <xf numFmtId="0" fontId="85" fillId="75" borderId="0" xfId="0" applyFont="1" applyFill="1" applyAlignment="1">
      <alignment horizontal="center" vertical="center" wrapText="1"/>
    </xf>
    <xf numFmtId="0" fontId="102" fillId="75" borderId="0" xfId="0" applyFont="1" applyFill="1" applyAlignment="1">
      <alignment horizontal="center" vertical="center" wrapText="1"/>
    </xf>
    <xf numFmtId="3" fontId="2" fillId="76" borderId="33" xfId="0" applyNumberFormat="1" applyFont="1" applyFill="1" applyBorder="1" applyAlignment="1">
      <alignment horizontal="center" vertical="center" wrapText="1"/>
    </xf>
    <xf numFmtId="3" fontId="3" fillId="0" borderId="0" xfId="0" applyNumberFormat="1" applyFont="1" applyAlignment="1">
      <alignment vertical="center"/>
    </xf>
    <xf numFmtId="9" fontId="2" fillId="76" borderId="31" xfId="1" applyFont="1" applyFill="1" applyBorder="1" applyAlignment="1">
      <alignment horizontal="center"/>
    </xf>
    <xf numFmtId="9" fontId="2" fillId="79" borderId="31" xfId="1" applyFont="1" applyFill="1" applyBorder="1" applyAlignment="1">
      <alignment horizontal="center"/>
    </xf>
    <xf numFmtId="9" fontId="2" fillId="78" borderId="31" xfId="1" applyFont="1" applyFill="1" applyBorder="1" applyAlignment="1">
      <alignment horizontal="center"/>
    </xf>
    <xf numFmtId="9" fontId="2" fillId="89" borderId="31" xfId="1" applyFont="1" applyFill="1" applyBorder="1" applyAlignment="1">
      <alignment horizontal="center"/>
    </xf>
    <xf numFmtId="9" fontId="2" fillId="0" borderId="34" xfId="1" applyFont="1" applyBorder="1" applyAlignment="1">
      <alignment horizontal="center"/>
    </xf>
    <xf numFmtId="3" fontId="91" fillId="75" borderId="33" xfId="0" applyNumberFormat="1" applyFont="1" applyFill="1" applyBorder="1" applyAlignment="1">
      <alignment wrapText="1"/>
    </xf>
    <xf numFmtId="0" fontId="0" fillId="75" borderId="46" xfId="0" applyFill="1" applyBorder="1" applyAlignment="1">
      <alignment horizontal="center" wrapText="1"/>
    </xf>
    <xf numFmtId="1" fontId="0" fillId="0" borderId="0" xfId="1" applyNumberFormat="1" applyFont="1" applyAlignment="1">
      <alignment horizontal="center"/>
    </xf>
    <xf numFmtId="0" fontId="104" fillId="77" borderId="31" xfId="3" applyFont="1" applyFill="1" applyBorder="1" applyAlignment="1" applyProtection="1">
      <alignment horizontal="right" vertical="center"/>
      <protection locked="0"/>
    </xf>
    <xf numFmtId="0" fontId="0" fillId="0" borderId="0" xfId="0" pivotButton="1" applyAlignment="1">
      <alignment horizontal="center" wrapText="1"/>
    </xf>
    <xf numFmtId="0" fontId="0" fillId="0" borderId="0" xfId="0" applyAlignment="1">
      <alignment horizontal="center" vertical="center"/>
    </xf>
    <xf numFmtId="49" fontId="84" fillId="85" borderId="47" xfId="168" applyNumberFormat="1" applyFont="1" applyFill="1" applyBorder="1" applyAlignment="1">
      <alignment horizontal="center" vertical="center" wrapText="1"/>
    </xf>
    <xf numFmtId="0" fontId="29" fillId="0" borderId="47" xfId="122" applyNumberFormat="1" applyFont="1" applyBorder="1" applyAlignment="1">
      <alignment horizontal="center"/>
    </xf>
    <xf numFmtId="0" fontId="29" fillId="85" borderId="47" xfId="122" applyNumberFormat="1" applyFont="1" applyFill="1" applyBorder="1" applyAlignment="1">
      <alignment horizontal="center"/>
    </xf>
    <xf numFmtId="1" fontId="78" fillId="0" borderId="48" xfId="0" applyNumberFormat="1" applyFont="1" applyBorder="1" applyAlignment="1">
      <alignment horizontal="center"/>
    </xf>
    <xf numFmtId="1" fontId="0" fillId="0" borderId="0" xfId="0" applyNumberFormat="1" applyAlignment="1">
      <alignment horizontal="center" vertical="center"/>
    </xf>
    <xf numFmtId="3" fontId="0" fillId="0" borderId="0" xfId="0" applyNumberFormat="1" applyAlignment="1">
      <alignment horizontal="center" vertical="center"/>
    </xf>
    <xf numFmtId="3" fontId="0" fillId="0" borderId="0" xfId="0" applyNumberFormat="1" applyAlignment="1">
      <alignment horizontal="right" vertical="center"/>
    </xf>
    <xf numFmtId="0" fontId="0" fillId="75" borderId="0" xfId="0" applyFill="1" applyAlignment="1">
      <alignment horizontal="center" vertical="center" wrapText="1"/>
    </xf>
    <xf numFmtId="0" fontId="83" fillId="75" borderId="0" xfId="0" applyFont="1" applyFill="1" applyAlignment="1">
      <alignment horizontal="center"/>
    </xf>
    <xf numFmtId="0" fontId="0" fillId="90" borderId="0" xfId="0" applyFill="1" applyAlignment="1">
      <alignment horizontal="center" vertical="center" wrapText="1"/>
    </xf>
    <xf numFmtId="3" fontId="0" fillId="0" borderId="0" xfId="0" applyNumberFormat="1" applyAlignment="1">
      <alignment horizontal="center"/>
    </xf>
    <xf numFmtId="0" fontId="83" fillId="76" borderId="44" xfId="0" applyFont="1" applyFill="1" applyBorder="1" applyAlignment="1">
      <alignment horizontal="center"/>
    </xf>
    <xf numFmtId="0" fontId="89" fillId="76" borderId="0" xfId="0" applyFont="1" applyFill="1" applyAlignment="1">
      <alignment horizontal="right"/>
    </xf>
    <xf numFmtId="3" fontId="90" fillId="76" borderId="0" xfId="0" applyNumberFormat="1" applyFont="1" applyFill="1" applyAlignment="1">
      <alignment horizontal="left" vertical="center"/>
    </xf>
    <xf numFmtId="0" fontId="83" fillId="76" borderId="0" xfId="0" applyFont="1" applyFill="1" applyAlignment="1">
      <alignment horizontal="left" vertical="center"/>
    </xf>
    <xf numFmtId="0" fontId="83" fillId="79" borderId="44" xfId="0" applyFont="1" applyFill="1" applyBorder="1" applyAlignment="1">
      <alignment horizontal="center"/>
    </xf>
    <xf numFmtId="0" fontId="83" fillId="79" borderId="0" xfId="0" applyFont="1" applyFill="1" applyAlignment="1">
      <alignment horizontal="right"/>
    </xf>
    <xf numFmtId="0" fontId="88" fillId="79" borderId="0" xfId="0" applyFont="1" applyFill="1" applyAlignment="1">
      <alignment horizontal="left"/>
    </xf>
    <xf numFmtId="0" fontId="83" fillId="79" borderId="0" xfId="0" applyFont="1" applyFill="1" applyAlignment="1">
      <alignment horizontal="left" vertical="center"/>
    </xf>
    <xf numFmtId="0" fontId="83" fillId="78" borderId="44" xfId="0" applyFont="1" applyFill="1" applyBorder="1" applyAlignment="1">
      <alignment horizontal="center"/>
    </xf>
    <xf numFmtId="0" fontId="83" fillId="78" borderId="0" xfId="0" applyFont="1" applyFill="1" applyAlignment="1">
      <alignment horizontal="right"/>
    </xf>
    <xf numFmtId="0" fontId="88" fillId="78" borderId="0" xfId="0" applyFont="1" applyFill="1" applyAlignment="1">
      <alignment horizontal="left"/>
    </xf>
    <xf numFmtId="0" fontId="83" fillId="78" borderId="0" xfId="0" applyFont="1" applyFill="1" applyAlignment="1">
      <alignment horizontal="left" vertical="center"/>
    </xf>
    <xf numFmtId="0" fontId="83" fillId="89" borderId="44" xfId="0" applyFont="1" applyFill="1" applyBorder="1" applyAlignment="1">
      <alignment horizontal="center"/>
    </xf>
    <xf numFmtId="0" fontId="83" fillId="89" borderId="0" xfId="0" applyFont="1" applyFill="1" applyAlignment="1">
      <alignment horizontal="right"/>
    </xf>
    <xf numFmtId="0" fontId="88" fillId="89" borderId="0" xfId="0" applyFont="1" applyFill="1" applyAlignment="1">
      <alignment horizontal="left"/>
    </xf>
    <xf numFmtId="0" fontId="83" fillId="89" borderId="0" xfId="0" applyFont="1" applyFill="1" applyAlignment="1">
      <alignment horizontal="left" vertical="center"/>
    </xf>
    <xf numFmtId="0" fontId="77" fillId="82" borderId="0" xfId="0" applyFont="1" applyFill="1" applyAlignment="1">
      <alignment horizontal="left"/>
    </xf>
    <xf numFmtId="3" fontId="2" fillId="0" borderId="31" xfId="0" applyNumberFormat="1" applyFont="1" applyBorder="1" applyAlignment="1">
      <alignment horizontal="center" vertical="center"/>
    </xf>
    <xf numFmtId="9" fontId="0" fillId="0" borderId="0" xfId="0" applyNumberFormat="1"/>
    <xf numFmtId="3" fontId="2" fillId="91" borderId="33" xfId="0" applyNumberFormat="1" applyFont="1" applyFill="1" applyBorder="1" applyAlignment="1">
      <alignment wrapText="1"/>
    </xf>
    <xf numFmtId="10" fontId="0" fillId="76" borderId="45" xfId="1" applyNumberFormat="1" applyFont="1" applyFill="1" applyBorder="1" applyAlignment="1">
      <alignment horizontal="center"/>
    </xf>
    <xf numFmtId="10" fontId="0" fillId="79" borderId="45" xfId="1" applyNumberFormat="1" applyFont="1" applyFill="1" applyBorder="1" applyAlignment="1">
      <alignment horizontal="center"/>
    </xf>
    <xf numFmtId="10" fontId="0" fillId="78" borderId="45" xfId="1" applyNumberFormat="1" applyFont="1" applyFill="1" applyBorder="1" applyAlignment="1">
      <alignment horizontal="center"/>
    </xf>
    <xf numFmtId="10" fontId="0" fillId="89" borderId="45" xfId="1" applyNumberFormat="1" applyFont="1" applyFill="1" applyBorder="1" applyAlignment="1">
      <alignment horizontal="center"/>
    </xf>
    <xf numFmtId="4" fontId="2" fillId="0" borderId="0" xfId="0" applyNumberFormat="1" applyFont="1" applyAlignment="1">
      <alignment horizontal="right" vertical="center"/>
    </xf>
    <xf numFmtId="9" fontId="0" fillId="0" borderId="0" xfId="1" applyFont="1"/>
    <xf numFmtId="0" fontId="2" fillId="91" borderId="0" xfId="0" applyFont="1" applyFill="1" applyAlignment="1">
      <alignment horizontal="center" vertical="center" wrapText="1"/>
    </xf>
    <xf numFmtId="176" fontId="0" fillId="0" borderId="0" xfId="1" applyNumberFormat="1" applyFont="1"/>
    <xf numFmtId="176" fontId="0" fillId="81" borderId="0" xfId="1" applyNumberFormat="1" applyFont="1" applyFill="1"/>
    <xf numFmtId="164" fontId="0" fillId="81" borderId="0" xfId="317" applyFont="1" applyFill="1"/>
    <xf numFmtId="0" fontId="2" fillId="0" borderId="54" xfId="0" applyFont="1" applyBorder="1"/>
    <xf numFmtId="0" fontId="2" fillId="92" borderId="55" xfId="0" applyFont="1" applyFill="1" applyBorder="1"/>
    <xf numFmtId="0" fontId="0" fillId="93" borderId="0" xfId="0" applyFill="1"/>
    <xf numFmtId="0" fontId="0" fillId="94" borderId="0" xfId="0" applyFill="1"/>
    <xf numFmtId="3" fontId="2" fillId="77" borderId="0" xfId="0" applyNumberFormat="1" applyFont="1" applyFill="1" applyBorder="1" applyAlignment="1">
      <alignment horizontal="center" vertical="center"/>
    </xf>
    <xf numFmtId="3" fontId="2" fillId="76" borderId="0" xfId="0" applyNumberFormat="1" applyFont="1" applyFill="1" applyBorder="1" applyAlignment="1">
      <alignment horizontal="center" wrapText="1"/>
    </xf>
    <xf numFmtId="3" fontId="99" fillId="76" borderId="0" xfId="0" applyNumberFormat="1" applyFont="1" applyFill="1" applyBorder="1" applyAlignment="1">
      <alignment wrapText="1"/>
    </xf>
    <xf numFmtId="0" fontId="99" fillId="82" borderId="0" xfId="0" applyFont="1" applyFill="1" applyBorder="1" applyAlignment="1">
      <alignment horizontal="center" vertical="center" wrapText="1"/>
    </xf>
    <xf numFmtId="0" fontId="91" fillId="82" borderId="0" xfId="0" applyFont="1" applyFill="1" applyBorder="1" applyAlignment="1">
      <alignment horizontal="center" vertical="center" wrapText="1"/>
    </xf>
    <xf numFmtId="0" fontId="0" fillId="95" borderId="0" xfId="0" applyFill="1"/>
    <xf numFmtId="0" fontId="0" fillId="95" borderId="0" xfId="0" applyFill="1" applyBorder="1" applyAlignment="1">
      <alignment horizontal="center" vertical="center"/>
    </xf>
    <xf numFmtId="0" fontId="91" fillId="95" borderId="0" xfId="0" applyFont="1" applyFill="1" applyBorder="1" applyAlignment="1">
      <alignment horizontal="center" vertical="center" wrapText="1"/>
    </xf>
    <xf numFmtId="0" fontId="0" fillId="95" borderId="0" xfId="0" applyFill="1" applyAlignment="1">
      <alignment horizontal="center"/>
    </xf>
    <xf numFmtId="0" fontId="0" fillId="95" borderId="0" xfId="0" applyFill="1" applyAlignment="1">
      <alignment vertical="center"/>
    </xf>
    <xf numFmtId="178" fontId="1" fillId="87" borderId="0" xfId="183" applyNumberFormat="1" applyFill="1"/>
    <xf numFmtId="178" fontId="1" fillId="86" borderId="0" xfId="183" applyNumberFormat="1" applyFill="1"/>
    <xf numFmtId="178" fontId="1" fillId="84" borderId="0" xfId="183" applyNumberFormat="1" applyFill="1"/>
    <xf numFmtId="0" fontId="86" fillId="82" borderId="0" xfId="0" applyFont="1" applyFill="1" applyAlignment="1">
      <alignment horizontal="center"/>
    </xf>
    <xf numFmtId="0" fontId="96" fillId="82" borderId="0" xfId="0" applyFont="1" applyFill="1" applyBorder="1" applyAlignment="1">
      <alignment horizontal="center" vertical="top" wrapText="1"/>
    </xf>
    <xf numFmtId="0" fontId="0" fillId="82" borderId="0" xfId="0" applyFill="1" applyAlignment="1">
      <alignment horizontal="center"/>
    </xf>
    <xf numFmtId="0" fontId="0" fillId="82" borderId="0" xfId="0" applyFill="1" applyAlignment="1">
      <alignment vertical="center"/>
    </xf>
    <xf numFmtId="0" fontId="2" fillId="75" borderId="42" xfId="0" applyFont="1" applyFill="1" applyBorder="1" applyAlignment="1">
      <alignment vertical="center"/>
    </xf>
    <xf numFmtId="0" fontId="2" fillId="75" borderId="43" xfId="0" applyFont="1" applyFill="1" applyBorder="1" applyAlignment="1">
      <alignment horizontal="center"/>
    </xf>
    <xf numFmtId="0" fontId="2" fillId="95" borderId="0" xfId="0" applyFont="1" applyFill="1"/>
    <xf numFmtId="0" fontId="0" fillId="95" borderId="0" xfId="0" applyFill="1" applyAlignment="1">
      <alignment horizontal="left" vertical="center"/>
    </xf>
    <xf numFmtId="0" fontId="0" fillId="95" borderId="0" xfId="0" applyFill="1" applyAlignment="1">
      <alignment horizontal="right" vertical="center"/>
    </xf>
    <xf numFmtId="0" fontId="91" fillId="95" borderId="0" xfId="0" applyFont="1" applyFill="1" applyAlignment="1">
      <alignment horizontal="center" vertical="center" wrapText="1"/>
    </xf>
    <xf numFmtId="3" fontId="2" fillId="95" borderId="0" xfId="0" applyNumberFormat="1" applyFont="1" applyFill="1" applyAlignment="1">
      <alignment vertical="center"/>
    </xf>
    <xf numFmtId="3" fontId="91" fillId="95" borderId="0" xfId="0" applyNumberFormat="1" applyFont="1" applyFill="1" applyAlignment="1">
      <alignment horizontal="center" vertical="center" wrapText="1"/>
    </xf>
    <xf numFmtId="0" fontId="2" fillId="95" borderId="0" xfId="0" applyFont="1" applyFill="1" applyBorder="1" applyAlignment="1">
      <alignment vertical="center"/>
    </xf>
    <xf numFmtId="3" fontId="0" fillId="95" borderId="35" xfId="0" applyNumberFormat="1" applyFill="1" applyBorder="1" applyAlignment="1">
      <alignment horizontal="right" vertical="center"/>
    </xf>
    <xf numFmtId="3" fontId="80" fillId="95" borderId="0" xfId="0" applyNumberFormat="1" applyFont="1" applyFill="1" applyAlignment="1">
      <alignment vertical="center"/>
    </xf>
    <xf numFmtId="0" fontId="91" fillId="95" borderId="36" xfId="0" applyFont="1" applyFill="1" applyBorder="1" applyAlignment="1">
      <alignment horizontal="center" vertical="center" wrapText="1"/>
    </xf>
    <xf numFmtId="10" fontId="0" fillId="95" borderId="0" xfId="1" applyNumberFormat="1" applyFont="1" applyFill="1" applyBorder="1" applyAlignment="1">
      <alignment horizontal="center" vertical="center"/>
    </xf>
    <xf numFmtId="0" fontId="76" fillId="95" borderId="0" xfId="0" applyFont="1" applyFill="1" applyAlignment="1">
      <alignment vertical="center"/>
    </xf>
    <xf numFmtId="0" fontId="91" fillId="82" borderId="0" xfId="0" applyFont="1" applyFill="1" applyBorder="1" applyAlignment="1">
      <alignment horizontal="center" vertical="top" wrapText="1"/>
    </xf>
    <xf numFmtId="0" fontId="2" fillId="82" borderId="0" xfId="0" applyFont="1" applyFill="1" applyBorder="1"/>
    <xf numFmtId="0" fontId="0" fillId="82" borderId="0" xfId="0" applyFill="1" applyBorder="1" applyAlignment="1">
      <alignment horizontal="center" vertical="center"/>
    </xf>
    <xf numFmtId="0" fontId="86" fillId="82" borderId="36" xfId="0" applyFont="1" applyFill="1" applyBorder="1" applyAlignment="1">
      <alignment horizontal="center"/>
    </xf>
    <xf numFmtId="0" fontId="100" fillId="82" borderId="35" xfId="0" applyFont="1" applyFill="1" applyBorder="1" applyAlignment="1">
      <alignment horizontal="center" vertical="center"/>
    </xf>
    <xf numFmtId="3" fontId="85" fillId="82" borderId="0" xfId="0" applyNumberFormat="1" applyFont="1" applyFill="1" applyBorder="1" applyAlignment="1">
      <alignment horizontal="right" vertical="center"/>
    </xf>
    <xf numFmtId="178" fontId="86" fillId="82" borderId="0" xfId="0" applyNumberFormat="1" applyFont="1" applyFill="1" applyBorder="1" applyAlignment="1">
      <alignment horizontal="right"/>
    </xf>
    <xf numFmtId="0" fontId="100" fillId="82" borderId="0" xfId="0" applyFont="1" applyFill="1" applyBorder="1" applyAlignment="1">
      <alignment horizontal="center" vertical="center"/>
    </xf>
    <xf numFmtId="0" fontId="0" fillId="0" borderId="0" xfId="0" applyBorder="1"/>
    <xf numFmtId="0" fontId="0" fillId="0" borderId="36" xfId="0" applyBorder="1"/>
    <xf numFmtId="0" fontId="85" fillId="82" borderId="0" xfId="0" applyFont="1" applyFill="1" applyBorder="1" applyAlignment="1">
      <alignment horizontal="right" vertical="center"/>
    </xf>
    <xf numFmtId="179" fontId="86" fillId="82" borderId="0" xfId="0" applyNumberFormat="1" applyFont="1" applyFill="1" applyBorder="1" applyAlignment="1">
      <alignment horizontal="right"/>
    </xf>
    <xf numFmtId="0" fontId="85" fillId="82" borderId="0" xfId="0" applyFont="1" applyFill="1" applyBorder="1" applyAlignment="1">
      <alignment horizontal="right"/>
    </xf>
    <xf numFmtId="0" fontId="0" fillId="82" borderId="0" xfId="0" applyFill="1" applyBorder="1" applyAlignment="1">
      <alignment horizontal="right" vertical="center"/>
    </xf>
    <xf numFmtId="3" fontId="1" fillId="87" borderId="0" xfId="183" applyNumberFormat="1" applyFill="1" applyBorder="1"/>
    <xf numFmtId="3" fontId="1" fillId="86" borderId="0" xfId="183" applyNumberFormat="1" applyFill="1" applyBorder="1"/>
    <xf numFmtId="3" fontId="1" fillId="84" borderId="0" xfId="183" applyNumberFormat="1" applyFill="1" applyBorder="1"/>
    <xf numFmtId="3" fontId="2" fillId="82" borderId="0" xfId="0" applyNumberFormat="1" applyFont="1" applyFill="1" applyBorder="1"/>
    <xf numFmtId="3" fontId="91" fillId="82" borderId="0" xfId="0" applyNumberFormat="1" applyFont="1" applyFill="1" applyBorder="1" applyAlignment="1">
      <alignment horizontal="center" vertical="center" wrapText="1"/>
    </xf>
    <xf numFmtId="3" fontId="91" fillId="82" borderId="36" xfId="0" applyNumberFormat="1" applyFont="1" applyFill="1" applyBorder="1" applyAlignment="1">
      <alignment vertical="center" wrapText="1"/>
    </xf>
    <xf numFmtId="3" fontId="98" fillId="76" borderId="35" xfId="0" applyNumberFormat="1" applyFont="1" applyFill="1" applyBorder="1" applyAlignment="1">
      <alignment horizontal="center" wrapText="1"/>
    </xf>
    <xf numFmtId="3" fontId="1" fillId="87" borderId="35" xfId="183" applyNumberFormat="1" applyFill="1" applyBorder="1" applyAlignment="1">
      <alignment horizontal="center" vertical="center"/>
    </xf>
    <xf numFmtId="3" fontId="1" fillId="86" borderId="35" xfId="183" applyNumberFormat="1" applyFill="1" applyBorder="1" applyAlignment="1">
      <alignment horizontal="center" vertical="center"/>
    </xf>
    <xf numFmtId="3" fontId="1" fillId="84" borderId="35" xfId="183" applyNumberFormat="1" applyFill="1" applyBorder="1" applyAlignment="1">
      <alignment horizontal="center" vertical="center"/>
    </xf>
    <xf numFmtId="0" fontId="2" fillId="0" borderId="0" xfId="0" applyFont="1" applyBorder="1"/>
    <xf numFmtId="3" fontId="1" fillId="84" borderId="35" xfId="183" applyNumberFormat="1" applyFill="1" applyBorder="1"/>
    <xf numFmtId="0" fontId="0" fillId="77" borderId="0" xfId="0" applyFill="1" applyAlignment="1">
      <alignment vertical="center"/>
    </xf>
    <xf numFmtId="3" fontId="80" fillId="82" borderId="0" xfId="0" applyNumberFormat="1" applyFont="1" applyFill="1" applyBorder="1" applyAlignment="1">
      <alignment vertical="center"/>
    </xf>
    <xf numFmtId="3" fontId="85" fillId="82" borderId="0" xfId="0" applyNumberFormat="1" applyFont="1" applyFill="1" applyBorder="1"/>
    <xf numFmtId="3" fontId="0" fillId="82" borderId="0" xfId="0" applyNumberFormat="1" applyFill="1" applyBorder="1" applyAlignment="1">
      <alignment horizontal="right" vertical="center"/>
    </xf>
    <xf numFmtId="3" fontId="2" fillId="82" borderId="36" xfId="0" applyNumberFormat="1" applyFont="1" applyFill="1" applyBorder="1"/>
    <xf numFmtId="3" fontId="80" fillId="82" borderId="36" xfId="0" applyNumberFormat="1" applyFont="1" applyFill="1" applyBorder="1" applyAlignment="1">
      <alignment vertical="center"/>
    </xf>
    <xf numFmtId="3" fontId="91" fillId="82" borderId="0" xfId="0" applyNumberFormat="1" applyFont="1" applyFill="1" applyBorder="1" applyAlignment="1">
      <alignment vertical="center" wrapText="1"/>
    </xf>
    <xf numFmtId="178" fontId="86" fillId="82" borderId="35" xfId="0" applyNumberFormat="1" applyFont="1" applyFill="1" applyBorder="1" applyAlignment="1">
      <alignment horizontal="right"/>
    </xf>
    <xf numFmtId="3" fontId="2" fillId="82" borderId="35" xfId="0" applyNumberFormat="1" applyFont="1" applyFill="1" applyBorder="1"/>
    <xf numFmtId="3" fontId="2" fillId="82" borderId="35" xfId="0" applyNumberFormat="1" applyFont="1" applyFill="1" applyBorder="1" applyAlignment="1">
      <alignment vertical="center"/>
    </xf>
    <xf numFmtId="2" fontId="86" fillId="82" borderId="35" xfId="0" applyNumberFormat="1" applyFont="1" applyFill="1" applyBorder="1" applyAlignment="1">
      <alignment horizontal="right"/>
    </xf>
    <xf numFmtId="0" fontId="0" fillId="82" borderId="35" xfId="0" applyFill="1" applyBorder="1"/>
    <xf numFmtId="0" fontId="0" fillId="82" borderId="36" xfId="0" applyFill="1" applyBorder="1" applyAlignment="1">
      <alignment horizontal="center"/>
    </xf>
    <xf numFmtId="0" fontId="0" fillId="82" borderId="35" xfId="0" applyFill="1" applyBorder="1" applyAlignment="1">
      <alignment vertical="center"/>
    </xf>
    <xf numFmtId="0" fontId="104" fillId="77" borderId="33" xfId="3" applyFont="1" applyFill="1" applyBorder="1" applyAlignment="1" applyProtection="1">
      <alignment horizontal="right" vertical="center"/>
      <protection locked="0"/>
    </xf>
    <xf numFmtId="3" fontId="91" fillId="75" borderId="57" xfId="0" applyNumberFormat="1" applyFont="1" applyFill="1" applyBorder="1" applyAlignment="1">
      <alignment wrapText="1"/>
    </xf>
    <xf numFmtId="3" fontId="2" fillId="91" borderId="58" xfId="0" applyNumberFormat="1" applyFont="1" applyFill="1" applyBorder="1" applyAlignment="1">
      <alignment wrapText="1"/>
    </xf>
    <xf numFmtId="3" fontId="91" fillId="75" borderId="36" xfId="0" applyNumberFormat="1" applyFont="1" applyFill="1" applyBorder="1" applyAlignment="1">
      <alignment wrapText="1"/>
    </xf>
    <xf numFmtId="3" fontId="80" fillId="75" borderId="36" xfId="0" applyNumberFormat="1" applyFont="1" applyFill="1" applyBorder="1" applyAlignment="1">
      <alignment horizontal="center" wrapText="1"/>
    </xf>
    <xf numFmtId="3" fontId="91" fillId="75" borderId="36" xfId="0" applyNumberFormat="1" applyFont="1" applyFill="1" applyBorder="1" applyAlignment="1">
      <alignment vertical="center" wrapText="1"/>
    </xf>
    <xf numFmtId="3" fontId="80" fillId="75" borderId="57" xfId="0" applyNumberFormat="1" applyFont="1" applyFill="1" applyBorder="1" applyAlignment="1">
      <alignment horizontal="center" wrapText="1"/>
    </xf>
    <xf numFmtId="3" fontId="99" fillId="76" borderId="35" xfId="0" applyNumberFormat="1" applyFont="1" applyFill="1" applyBorder="1" applyAlignment="1">
      <alignment horizontal="center" wrapText="1"/>
    </xf>
    <xf numFmtId="0" fontId="90" fillId="82" borderId="36" xfId="0" applyFont="1" applyFill="1" applyBorder="1" applyAlignment="1">
      <alignment horizontal="center"/>
    </xf>
    <xf numFmtId="0" fontId="77" fillId="82" borderId="36" xfId="0" applyFont="1" applyFill="1" applyBorder="1" applyAlignment="1">
      <alignment horizontal="left"/>
    </xf>
    <xf numFmtId="0" fontId="73" fillId="82" borderId="36" xfId="0" applyFont="1" applyFill="1" applyBorder="1" applyAlignment="1">
      <alignment horizontal="center" vertical="center"/>
    </xf>
    <xf numFmtId="0" fontId="0" fillId="82" borderId="36" xfId="0" applyFill="1" applyBorder="1" applyAlignment="1">
      <alignment horizontal="left" vertical="center"/>
    </xf>
    <xf numFmtId="3" fontId="2" fillId="76" borderId="57" xfId="0" applyNumberFormat="1" applyFont="1" applyFill="1" applyBorder="1" applyAlignment="1">
      <alignment horizontal="center" vertical="center" wrapText="1"/>
    </xf>
    <xf numFmtId="0" fontId="0" fillId="0" borderId="0" xfId="0" applyAlignment="1">
      <alignment wrapText="1"/>
    </xf>
    <xf numFmtId="0" fontId="0" fillId="0" borderId="0" xfId="0" applyFont="1" applyAlignment="1">
      <alignment horizontal="center"/>
    </xf>
    <xf numFmtId="0" fontId="62" fillId="0" borderId="0" xfId="0" applyFont="1"/>
    <xf numFmtId="0" fontId="78" fillId="96" borderId="1" xfId="0" applyFont="1" applyFill="1" applyBorder="1"/>
    <xf numFmtId="0" fontId="29" fillId="0" borderId="50" xfId="122" applyNumberFormat="1" applyFont="1" applyBorder="1"/>
    <xf numFmtId="0" fontId="29" fillId="85" borderId="50" xfId="122" applyNumberFormat="1" applyFont="1" applyFill="1" applyBorder="1"/>
    <xf numFmtId="2" fontId="29" fillId="0" borderId="59" xfId="122" applyNumberFormat="1" applyFont="1" applyBorder="1" applyAlignment="1">
      <alignment horizontal="center"/>
    </xf>
    <xf numFmtId="0" fontId="84" fillId="85" borderId="53" xfId="122" applyNumberFormat="1" applyFont="1" applyFill="1" applyBorder="1" applyAlignment="1">
      <alignment horizontal="center" vertical="center"/>
    </xf>
    <xf numFmtId="0" fontId="29" fillId="96" borderId="1" xfId="122" applyNumberFormat="1" applyFont="1" applyFill="1" applyBorder="1"/>
    <xf numFmtId="1" fontId="84" fillId="96" borderId="1" xfId="122" applyFont="1" applyFill="1" applyBorder="1" applyAlignment="1">
      <alignment horizontal="center"/>
    </xf>
    <xf numFmtId="0" fontId="0" fillId="96" borderId="1" xfId="0" applyFill="1" applyBorder="1"/>
    <xf numFmtId="180" fontId="0" fillId="0" borderId="31" xfId="0" applyNumberFormat="1" applyBorder="1" applyAlignment="1">
      <alignment vertical="center"/>
    </xf>
    <xf numFmtId="180" fontId="0" fillId="0" borderId="31" xfId="0" applyNumberFormat="1" applyBorder="1" applyAlignment="1">
      <alignment horizontal="right"/>
    </xf>
    <xf numFmtId="0" fontId="2" fillId="91" borderId="0" xfId="0" applyFont="1" applyFill="1" applyAlignment="1">
      <alignment horizontal="center" wrapText="1"/>
    </xf>
    <xf numFmtId="0" fontId="2" fillId="75" borderId="0" xfId="0" applyFont="1" applyFill="1" applyAlignment="1">
      <alignment horizontal="center"/>
    </xf>
    <xf numFmtId="0" fontId="2" fillId="75" borderId="0" xfId="0" applyFont="1" applyFill="1" applyAlignment="1">
      <alignment horizontal="center" wrapText="1"/>
    </xf>
    <xf numFmtId="1" fontId="1" fillId="86" borderId="36" xfId="183" applyNumberFormat="1" applyFont="1" applyFill="1" applyBorder="1" applyAlignment="1">
      <alignment horizontal="center"/>
    </xf>
    <xf numFmtId="0" fontId="2" fillId="87" borderId="0" xfId="183" applyFont="1" applyFill="1" applyAlignment="1">
      <alignment horizontal="right"/>
    </xf>
    <xf numFmtId="0" fontId="2" fillId="86" borderId="0" xfId="183" applyFont="1" applyFill="1" applyAlignment="1">
      <alignment horizontal="right"/>
    </xf>
    <xf numFmtId="0" fontId="2" fillId="84" borderId="0" xfId="183" applyFont="1" applyFill="1" applyAlignment="1">
      <alignment horizontal="right"/>
    </xf>
    <xf numFmtId="0" fontId="2" fillId="87" borderId="36" xfId="183" applyFont="1" applyFill="1" applyBorder="1" applyAlignment="1">
      <alignment horizontal="right"/>
    </xf>
    <xf numFmtId="0" fontId="2" fillId="86" borderId="36" xfId="183" applyFont="1" applyFill="1" applyBorder="1" applyAlignment="1">
      <alignment horizontal="right"/>
    </xf>
    <xf numFmtId="0" fontId="2" fillId="84" borderId="36" xfId="183" applyFont="1" applyFill="1" applyBorder="1" applyAlignment="1">
      <alignment horizontal="right"/>
    </xf>
    <xf numFmtId="181" fontId="1" fillId="87" borderId="35" xfId="183" applyNumberFormat="1" applyFill="1" applyBorder="1"/>
    <xf numFmtId="181" fontId="1" fillId="86" borderId="35" xfId="183" applyNumberFormat="1" applyFill="1" applyBorder="1"/>
    <xf numFmtId="182" fontId="0" fillId="0" borderId="0" xfId="0" applyNumberFormat="1" applyAlignment="1"/>
    <xf numFmtId="183" fontId="86" fillId="82" borderId="0" xfId="0" applyNumberFormat="1" applyFont="1" applyFill="1" applyBorder="1" applyAlignment="1">
      <alignment horizontal="right"/>
    </xf>
    <xf numFmtId="3" fontId="99" fillId="76" borderId="0" xfId="0" applyNumberFormat="1" applyFont="1" applyFill="1" applyBorder="1" applyAlignment="1">
      <alignment horizontal="center" wrapText="1"/>
    </xf>
    <xf numFmtId="3" fontId="1" fillId="87" borderId="36" xfId="183" applyNumberFormat="1" applyFill="1" applyBorder="1" applyAlignment="1">
      <alignment horizontal="center"/>
    </xf>
    <xf numFmtId="3" fontId="1" fillId="84" borderId="36" xfId="183" applyNumberFormat="1" applyFill="1" applyBorder="1" applyAlignment="1">
      <alignment horizontal="center"/>
    </xf>
    <xf numFmtId="0" fontId="2" fillId="75" borderId="0" xfId="0" applyFont="1" applyFill="1" applyAlignment="1">
      <alignment horizontal="center" vertical="center"/>
    </xf>
    <xf numFmtId="0" fontId="0" fillId="76" borderId="23" xfId="0" applyFill="1" applyBorder="1" applyAlignment="1">
      <alignment horizontal="center"/>
    </xf>
    <xf numFmtId="0" fontId="0" fillId="76" borderId="29" xfId="0" applyFill="1" applyBorder="1" applyAlignment="1">
      <alignment horizontal="center"/>
    </xf>
    <xf numFmtId="0" fontId="103" fillId="0" borderId="0" xfId="0" applyFont="1" applyAlignment="1">
      <alignment horizontal="center" vertical="center" wrapText="1"/>
    </xf>
    <xf numFmtId="3" fontId="83" fillId="76" borderId="35" xfId="0" applyNumberFormat="1" applyFont="1" applyFill="1" applyBorder="1" applyAlignment="1">
      <alignment horizontal="center" vertical="center" wrapText="1"/>
    </xf>
    <xf numFmtId="3" fontId="83" fillId="76" borderId="0" xfId="0" applyNumberFormat="1" applyFont="1" applyFill="1" applyBorder="1" applyAlignment="1">
      <alignment horizontal="center" vertical="center" wrapText="1"/>
    </xf>
    <xf numFmtId="3" fontId="83" fillId="76" borderId="36" xfId="0" applyNumberFormat="1" applyFont="1" applyFill="1" applyBorder="1" applyAlignment="1">
      <alignment horizontal="center" vertical="center" wrapText="1"/>
    </xf>
    <xf numFmtId="3" fontId="1" fillId="87" borderId="36" xfId="183" applyNumberFormat="1" applyFill="1" applyBorder="1" applyAlignment="1">
      <alignment horizontal="center"/>
    </xf>
    <xf numFmtId="177" fontId="95" fillId="86" borderId="36" xfId="183" applyNumberFormat="1" applyFont="1" applyFill="1" applyBorder="1" applyAlignment="1">
      <alignment horizontal="center"/>
    </xf>
    <xf numFmtId="3" fontId="1" fillId="84" borderId="36" xfId="183" applyNumberFormat="1" applyFill="1" applyBorder="1" applyAlignment="1">
      <alignment horizontal="center"/>
    </xf>
    <xf numFmtId="3" fontId="99" fillId="76" borderId="0" xfId="0" applyNumberFormat="1" applyFont="1" applyFill="1" applyBorder="1" applyAlignment="1">
      <alignment horizontal="center" wrapText="1"/>
    </xf>
    <xf numFmtId="3" fontId="99" fillId="76" borderId="36" xfId="0" applyNumberFormat="1" applyFont="1" applyFill="1" applyBorder="1" applyAlignment="1">
      <alignment horizontal="center" wrapText="1"/>
    </xf>
    <xf numFmtId="3" fontId="1" fillId="87" borderId="0" xfId="183" applyNumberFormat="1" applyFill="1" applyBorder="1" applyAlignment="1">
      <alignment horizontal="center"/>
    </xf>
    <xf numFmtId="177" fontId="95" fillId="86" borderId="0" xfId="183" applyNumberFormat="1" applyFont="1" applyFill="1" applyBorder="1" applyAlignment="1">
      <alignment horizontal="center"/>
    </xf>
    <xf numFmtId="3" fontId="1" fillId="84" borderId="0" xfId="183" applyNumberFormat="1" applyFill="1" applyBorder="1" applyAlignment="1">
      <alignment horizontal="center"/>
    </xf>
    <xf numFmtId="0" fontId="2" fillId="0" borderId="0" xfId="0" applyFont="1" applyAlignment="1">
      <alignment horizontal="left" wrapText="1"/>
    </xf>
    <xf numFmtId="0" fontId="86" fillId="0" borderId="0" xfId="0" applyFont="1" applyAlignment="1">
      <alignment horizontal="left" wrapText="1"/>
    </xf>
    <xf numFmtId="0" fontId="0" fillId="0" borderId="0" xfId="0" applyAlignment="1">
      <alignment horizontal="left" wrapText="1"/>
    </xf>
    <xf numFmtId="0" fontId="0" fillId="75" borderId="0" xfId="0" applyFill="1" applyBorder="1" applyAlignment="1">
      <alignment horizontal="center" vertical="center"/>
    </xf>
    <xf numFmtId="10" fontId="0" fillId="75" borderId="0" xfId="1" applyNumberFormat="1" applyFont="1" applyFill="1" applyBorder="1" applyAlignment="1">
      <alignment horizontal="center" vertical="center"/>
    </xf>
    <xf numFmtId="0" fontId="2" fillId="75" borderId="42" xfId="0" applyFont="1" applyFill="1" applyBorder="1" applyAlignment="1">
      <alignment horizontal="center" vertical="center"/>
    </xf>
    <xf numFmtId="0" fontId="0" fillId="75" borderId="56" xfId="0" applyFill="1" applyBorder="1" applyAlignment="1">
      <alignment horizontal="center" vertical="center"/>
    </xf>
    <xf numFmtId="3" fontId="2" fillId="76" borderId="0" xfId="0" applyNumberFormat="1" applyFont="1" applyFill="1" applyBorder="1" applyAlignment="1">
      <alignment horizontal="center" vertical="center" wrapText="1"/>
    </xf>
    <xf numFmtId="3" fontId="2" fillId="76" borderId="36" xfId="0" applyNumberFormat="1" applyFont="1" applyFill="1" applyBorder="1" applyAlignment="1">
      <alignment horizontal="center" vertical="center" wrapText="1"/>
    </xf>
    <xf numFmtId="3" fontId="2" fillId="76" borderId="35" xfId="0" applyNumberFormat="1" applyFont="1" applyFill="1" applyBorder="1" applyAlignment="1">
      <alignment horizontal="center" vertical="center" wrapText="1"/>
    </xf>
    <xf numFmtId="0" fontId="83" fillId="76" borderId="0" xfId="0" applyFont="1" applyFill="1" applyAlignment="1">
      <alignment horizontal="center" vertical="center" wrapText="1"/>
    </xf>
    <xf numFmtId="0" fontId="83" fillId="76" borderId="36" xfId="0" applyFont="1" applyFill="1" applyBorder="1" applyAlignment="1">
      <alignment horizontal="center" vertical="center" wrapText="1"/>
    </xf>
    <xf numFmtId="3" fontId="2" fillId="76" borderId="35" xfId="0" applyNumberFormat="1" applyFont="1" applyFill="1" applyBorder="1" applyAlignment="1">
      <alignment horizontal="center" vertical="center"/>
    </xf>
    <xf numFmtId="3" fontId="2" fillId="76" borderId="0" xfId="0" applyNumberFormat="1" applyFont="1" applyFill="1" applyBorder="1" applyAlignment="1">
      <alignment horizontal="center" vertical="center"/>
    </xf>
    <xf numFmtId="3" fontId="2" fillId="76" borderId="36" xfId="0" applyNumberFormat="1" applyFont="1" applyFill="1" applyBorder="1" applyAlignment="1">
      <alignment horizontal="center" vertical="center"/>
    </xf>
    <xf numFmtId="0" fontId="2" fillId="76" borderId="35" xfId="0" applyFont="1" applyFill="1" applyBorder="1" applyAlignment="1">
      <alignment horizontal="center" vertical="center" wrapText="1"/>
    </xf>
    <xf numFmtId="0" fontId="2" fillId="76" borderId="0" xfId="0" applyFont="1" applyFill="1" applyBorder="1" applyAlignment="1">
      <alignment horizontal="center" vertical="center" wrapText="1"/>
    </xf>
    <xf numFmtId="0" fontId="2" fillId="76" borderId="36" xfId="0" applyFont="1" applyFill="1" applyBorder="1" applyAlignment="1">
      <alignment horizontal="center" vertical="center" wrapText="1"/>
    </xf>
    <xf numFmtId="0" fontId="2" fillId="76" borderId="0" xfId="0" applyFont="1" applyFill="1" applyAlignment="1">
      <alignment horizontal="center" wrapText="1"/>
    </xf>
    <xf numFmtId="0" fontId="2" fillId="76" borderId="36" xfId="0" applyFont="1" applyFill="1" applyBorder="1" applyAlignment="1">
      <alignment horizontal="center" wrapText="1"/>
    </xf>
    <xf numFmtId="0" fontId="101" fillId="75" borderId="0" xfId="0" applyFont="1" applyFill="1" applyAlignment="1">
      <alignment horizontal="center" vertical="center" wrapText="1"/>
    </xf>
    <xf numFmtId="49" fontId="29" fillId="85" borderId="50" xfId="168" applyNumberFormat="1" applyFont="1" applyFill="1" applyBorder="1" applyAlignment="1">
      <alignment horizontal="center" vertical="center" wrapText="1"/>
    </xf>
    <xf numFmtId="49" fontId="29" fillId="85" borderId="51" xfId="168" applyNumberFormat="1" applyFont="1" applyFill="1" applyBorder="1" applyAlignment="1">
      <alignment horizontal="center" vertical="center" wrapText="1"/>
    </xf>
    <xf numFmtId="49" fontId="29" fillId="85" borderId="52" xfId="168" applyNumberFormat="1" applyFont="1" applyFill="1" applyBorder="1" applyAlignment="1">
      <alignment horizontal="center" vertical="center" wrapText="1"/>
    </xf>
    <xf numFmtId="49" fontId="29" fillId="85" borderId="49" xfId="168" applyNumberFormat="1" applyFont="1" applyFill="1" applyBorder="1" applyAlignment="1">
      <alignment horizontal="center" vertical="center" wrapText="1"/>
    </xf>
    <xf numFmtId="49" fontId="29" fillId="85" borderId="53" xfId="168" applyNumberFormat="1" applyFont="1" applyFill="1" applyBorder="1" applyAlignment="1">
      <alignment horizontal="center" vertical="center" wrapText="1"/>
    </xf>
    <xf numFmtId="49" fontId="29" fillId="85" borderId="60" xfId="168" applyNumberFormat="1" applyFont="1" applyFill="1" applyBorder="1" applyAlignment="1">
      <alignment horizontal="center" vertical="center" wrapText="1"/>
    </xf>
    <xf numFmtId="0" fontId="2" fillId="75" borderId="0" xfId="0" applyFont="1" applyFill="1" applyAlignment="1">
      <alignment horizontal="center" vertical="center"/>
    </xf>
    <xf numFmtId="0" fontId="0" fillId="82" borderId="1" xfId="0" applyFill="1" applyBorder="1" applyAlignment="1">
      <alignment horizontal="center"/>
    </xf>
    <xf numFmtId="0" fontId="0" fillId="0" borderId="37"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76" borderId="23" xfId="0" applyFill="1" applyBorder="1" applyAlignment="1">
      <alignment horizontal="center"/>
    </xf>
    <xf numFmtId="0" fontId="0" fillId="76" borderId="24" xfId="0" applyFill="1" applyBorder="1" applyAlignment="1">
      <alignment horizontal="center"/>
    </xf>
    <xf numFmtId="0" fontId="0" fillId="76" borderId="29" xfId="0" applyFill="1" applyBorder="1" applyAlignment="1">
      <alignment horizontal="center"/>
    </xf>
  </cellXfs>
  <cellStyles count="318">
    <cellStyle name="1tizedes" xfId="92" xr:uid="{2314631C-6CAE-4C25-9742-AB5EE6262CBD}"/>
    <cellStyle name="20% - Accent1 2" xfId="93" xr:uid="{43B97EFF-BAB9-4D39-8D37-464A98BCE0CD}"/>
    <cellStyle name="20% - Accent2 2" xfId="94" xr:uid="{9190694B-A28D-4E53-B97A-71FD2E2A238F}"/>
    <cellStyle name="20% - Accent3 2" xfId="95" xr:uid="{05C41E02-4B8B-47B3-A491-FF390FC2C22A}"/>
    <cellStyle name="20% - Accent4 2" xfId="96" xr:uid="{25FEEDE9-8C05-4275-9F69-036A019BCEFC}"/>
    <cellStyle name="20% - Accent5 2" xfId="97" xr:uid="{E3B71529-1EB3-4A5C-B8BE-CF93C6A8E38E}"/>
    <cellStyle name="20% - Accent6 2" xfId="98" xr:uid="{35BD1C03-9951-4989-8D53-B67E4DD2858D}"/>
    <cellStyle name="2tizedes" xfId="99" xr:uid="{81755694-8A2D-4C21-807E-83B1B45ACBB8}"/>
    <cellStyle name="40% - Accent1 2" xfId="100" xr:uid="{FAE2C308-3C4A-4FAD-9D88-A5880ADDC3EC}"/>
    <cellStyle name="40% - Accent2 2" xfId="101" xr:uid="{43BFBE89-B324-4519-8279-9D4DDE5337F9}"/>
    <cellStyle name="40% - Accent3 2" xfId="102" xr:uid="{81F91BAC-E9EE-4E6B-ABAD-91F8DAE8954A}"/>
    <cellStyle name="40% - Accent4 2" xfId="103" xr:uid="{4E40BFAF-E18E-404E-ACA5-8138572D8322}"/>
    <cellStyle name="40% - Accent5 2" xfId="104" xr:uid="{F716306F-6FB5-4055-A445-C4BA87BE214E}"/>
    <cellStyle name="40% - Accent6 2" xfId="105" xr:uid="{A754D98F-DD9E-4AE6-8ECF-6B23003B75C0}"/>
    <cellStyle name="60% - Accent1 2" xfId="106" xr:uid="{F68FD311-ABE8-457C-B792-E98A934E1A02}"/>
    <cellStyle name="60% - Accent2 2" xfId="107" xr:uid="{F3A2DC61-D9C6-4610-8A2C-A3DA80FF1317}"/>
    <cellStyle name="60% - Accent3 2" xfId="108" xr:uid="{7C03CB33-D0E9-4E88-9983-AE39F5730EC9}"/>
    <cellStyle name="60% - Accent4 2" xfId="109" xr:uid="{26157737-D464-4871-A7DC-5631ADAF2FCF}"/>
    <cellStyle name="60% - Accent5 2" xfId="110" xr:uid="{85792671-56D7-413D-9CAD-C98BA8F975F4}"/>
    <cellStyle name="60% - Accent6 2" xfId="111" xr:uid="{D6BE25F3-4C6E-4D43-857D-5E8443C48BB8}"/>
    <cellStyle name="Accent1 - 20%" xfId="14" xr:uid="{15973FD7-BC6C-4E46-9210-DF8FA465589A}"/>
    <cellStyle name="Accent1 - 40%" xfId="15" xr:uid="{90F48C88-0BE7-4B44-A6B8-B9E144DBC4E2}"/>
    <cellStyle name="Accent1 - 60%" xfId="16" xr:uid="{186B0B83-A59D-4B38-AA79-3E2B29D7F7D0}"/>
    <cellStyle name="Accent1 2" xfId="112" xr:uid="{5F9E4363-F09D-4762-A9C9-9E9323C87C5B}"/>
    <cellStyle name="Accent1 3" xfId="13" xr:uid="{A1D1D75A-8BE2-4657-A88F-D4B9B52BF64E}"/>
    <cellStyle name="Accent1 4" xfId="83" xr:uid="{FDE9E5E8-1925-4753-A1EC-16D34C3625D2}"/>
    <cellStyle name="Accent2 - 20%" xfId="18" xr:uid="{CB97A917-A4BD-4CA8-9362-4DF8BE8D7364}"/>
    <cellStyle name="Accent2 - 40%" xfId="19" xr:uid="{EFE969EB-641C-4256-9304-A728D80B21F3}"/>
    <cellStyle name="Accent2 - 60%" xfId="20" xr:uid="{073FB53C-83F5-45B0-B2B8-390615908ECC}"/>
    <cellStyle name="Accent2 2" xfId="113" xr:uid="{C9FF33A1-5175-408A-AF95-33B7A0CD56CA}"/>
    <cellStyle name="Accent2 3" xfId="17" xr:uid="{EBEEC6F4-46D3-4A56-929D-978C8254BAB0}"/>
    <cellStyle name="Accent2 4" xfId="72" xr:uid="{481AB0B2-C576-4CE9-BA27-5012C1F16AF3}"/>
    <cellStyle name="Accent3 - 20%" xfId="22" xr:uid="{1A9AEE4C-AB2B-444E-8CDC-5BE857D72319}"/>
    <cellStyle name="Accent3 - 40%" xfId="23" xr:uid="{92F7C92F-F683-4CC1-BD2C-C0D2AD1B2866}"/>
    <cellStyle name="Accent3 - 60%" xfId="24" xr:uid="{7A727478-A6EC-4A29-B8C8-F5BD4BD2EE4B}"/>
    <cellStyle name="Accent3 2" xfId="114" xr:uid="{D06DC784-AA9E-4D1E-8834-736D1FED93E7}"/>
    <cellStyle name="Accent3 3" xfId="21" xr:uid="{C2502C2E-94CF-4DF3-8FC9-44A321B22FBF}"/>
    <cellStyle name="Accent3 4" xfId="311" xr:uid="{E848DDFE-1C2A-46E2-9ED6-33900B0B32E7}"/>
    <cellStyle name="Accent4 - 20%" xfId="26" xr:uid="{5FD5CC2D-FA99-4B8C-887F-DAC5AE833116}"/>
    <cellStyle name="Accent4 - 40%" xfId="27" xr:uid="{D899406D-E976-43FA-B937-2B12F7513847}"/>
    <cellStyle name="Accent4 - 60%" xfId="28" xr:uid="{41DC007E-E03B-4A51-9F19-156BF7DA7DC0}"/>
    <cellStyle name="Accent4 2" xfId="115" xr:uid="{1DE8BB8B-1271-4272-8923-B9909A0AE646}"/>
    <cellStyle name="Accent4 3" xfId="25" xr:uid="{45305F0D-B2A7-4677-A1C1-5E7217557927}"/>
    <cellStyle name="Accent4 4" xfId="312" xr:uid="{ECB35E7B-FFB8-427E-BE10-35977E94C9A5}"/>
    <cellStyle name="Accent5 - 20%" xfId="30" xr:uid="{679516F2-5139-47EA-B6E6-0CA21519E16C}"/>
    <cellStyle name="Accent5 - 40%" xfId="31" xr:uid="{CD755FF0-BC90-4D4A-A82F-00CC4C19E1B8}"/>
    <cellStyle name="Accent5 - 60%" xfId="32" xr:uid="{096B5E4A-DE9D-4D0F-9091-DE72601DF25B}"/>
    <cellStyle name="Accent5 2" xfId="116" xr:uid="{9BF201FA-D0E8-4AFD-A01A-D5A6ADF235FD}"/>
    <cellStyle name="Accent5 3" xfId="29" xr:uid="{C7CB8450-8FAD-49F1-AF9B-CC7A336B0DE0}"/>
    <cellStyle name="Accent5 4" xfId="313" xr:uid="{8A82046B-BAF7-4C52-82E8-8EFCD90356A3}"/>
    <cellStyle name="Accent6 - 20%" xfId="34" xr:uid="{E687182B-5D98-4D61-9EE0-9F24B4AE3947}"/>
    <cellStyle name="Accent6 - 40%" xfId="35" xr:uid="{12CF6BCD-EC19-412E-B8A7-6225F4091601}"/>
    <cellStyle name="Accent6 - 60%" xfId="36" xr:uid="{A9D5EFBF-F03E-413B-9B0C-EF039DFEC12F}"/>
    <cellStyle name="Accent6 2" xfId="117" xr:uid="{94E71FAA-959F-4F5C-844B-B7E66D7A7C28}"/>
    <cellStyle name="Accent6 3" xfId="33" xr:uid="{801A51AB-C8EB-4E02-9727-7B1C9AACB0F1}"/>
    <cellStyle name="Accent6 4" xfId="314" xr:uid="{2A36ECF4-CD01-43EB-9A0E-3D145C4A9427}"/>
    <cellStyle name="Array" xfId="118" xr:uid="{0A30FBCB-6716-4B46-B25C-177676B3C4EC}"/>
    <cellStyle name="Array Enter" xfId="119" xr:uid="{4F6EAB11-A537-4E38-AAFE-5AA89F80B022}"/>
    <cellStyle name="Array_2011_01-12_Station Complexity (Vidović Suzana) s MT_05_09_2012_inprogress" xfId="120" xr:uid="{2963F4FA-CF86-4C25-A39C-8B041AA8C526}"/>
    <cellStyle name="AutoFormat Options" xfId="121" xr:uid="{1F01CDB3-6240-44BD-BEF8-362181E27A91}"/>
    <cellStyle name="AutoFormat Options 2" xfId="122" xr:uid="{F9F8DA36-6085-4D59-A297-F6D88A6ECEC6}"/>
    <cellStyle name="Bad 2" xfId="123" xr:uid="{F2BCC331-698B-48C7-BCBA-2DD797A4DA32}"/>
    <cellStyle name="Bad 3" xfId="37" xr:uid="{21C7BEE8-3001-482E-9792-1F7E6367504E}"/>
    <cellStyle name="Calculation 2" xfId="124" xr:uid="{293362F6-3447-473E-AC28-6D31AABC2C19}"/>
    <cellStyle name="Calculation 3" xfId="38" xr:uid="{69E82514-ABB8-4D56-8780-07D44D41D2A4}"/>
    <cellStyle name="Check Cell 2" xfId="125" xr:uid="{0F10BE16-C626-4CF4-902E-A6DCAE1F00D8}"/>
    <cellStyle name="Check Cell 3" xfId="39" xr:uid="{13B0F156-329F-45CF-AEA8-C07C9CDDF9B9}"/>
    <cellStyle name="Checks" xfId="126" xr:uid="{102205B8-C950-4E98-8DE2-3933AD55E689}"/>
    <cellStyle name="Comma" xfId="317" builtinId="3"/>
    <cellStyle name="Comma 2" xfId="127" xr:uid="{CD5BD2FD-0209-486C-9619-FDF8D29EF7C8}"/>
    <cellStyle name="Comma 3" xfId="128" xr:uid="{8540325D-34A6-4E5B-B292-B99DC70A2911}"/>
    <cellStyle name="Comma 4" xfId="129" xr:uid="{9C6B3332-E739-47C1-A748-73CF1C3EDAA7}"/>
    <cellStyle name="Croattext" xfId="130" xr:uid="{C2690F31-FA48-4A01-968E-4C8A5FB7441D}"/>
    <cellStyle name="Currency 2" xfId="131" xr:uid="{A152C2E0-1708-4405-9B03-65FE97E23540}"/>
    <cellStyle name="Date" xfId="132" xr:uid="{989F43BA-5EC6-459B-9546-8CA2C63B410D}"/>
    <cellStyle name="Date 2" xfId="133" xr:uid="{CB40875C-997C-4086-B4E6-9A00C82FCDD9}"/>
    <cellStyle name="dátumig" xfId="134" xr:uid="{64457DF1-ECF5-43AA-80D7-6A6A69EEC155}"/>
    <cellStyle name="dátumtól" xfId="135" xr:uid="{963E98F8-0499-4EA7-985A-EADF0FA7BCBF}"/>
    <cellStyle name="Emphasis 1" xfId="40" xr:uid="{513E1A62-35BC-4C3D-9EB8-20F21467AD3D}"/>
    <cellStyle name="Emphasis 2" xfId="41" xr:uid="{6B1E036E-BFD6-495E-879A-F87E144BD173}"/>
    <cellStyle name="Emphasis 3" xfId="42" xr:uid="{3D3BC591-CB9D-4C0E-B35A-B7864B9A9BB3}"/>
    <cellStyle name="Entry" xfId="136" xr:uid="{93BA896D-537A-47B4-806B-CDCCF9D7437C}"/>
    <cellStyle name="Explanatory Text 2" xfId="137" xr:uid="{846CF551-AF20-41CB-A45A-A26693BBDE9C}"/>
    <cellStyle name="Good" xfId="315" builtinId="26"/>
    <cellStyle name="Good 2" xfId="138" xr:uid="{B5924529-CE1F-4B07-B3BB-F6E09B7584C2}"/>
    <cellStyle name="Good 3" xfId="43" xr:uid="{C95C28A7-5A12-4BFD-9EF1-65BF1ED22246}"/>
    <cellStyle name="Heading 1 2" xfId="139" xr:uid="{744C125E-4195-4A2A-ACC2-ED1C051E4D2D}"/>
    <cellStyle name="Heading 1 3" xfId="44" xr:uid="{752508D2-62ED-46FA-9D3B-589CDFB08AA1}"/>
    <cellStyle name="Heading 2 2" xfId="140" xr:uid="{52FA9BDE-E9F4-412E-B4B3-D43B0F676888}"/>
    <cellStyle name="Heading 2 3" xfId="45" xr:uid="{9719E09B-2693-42E1-99D3-E06580FC6679}"/>
    <cellStyle name="Heading 3 2" xfId="141" xr:uid="{15D74B63-20CE-4E4F-9E05-78EDF83BFB64}"/>
    <cellStyle name="Heading 3 3" xfId="46" xr:uid="{7312E576-EA8B-43A2-AD81-E33C52234D03}"/>
    <cellStyle name="Heading 4 2" xfId="142" xr:uid="{18ED2CB6-691B-49AB-9372-A8B6DC3C8010}"/>
    <cellStyle name="Heading 4 3" xfId="47" xr:uid="{9E05EFFF-63C2-4F7D-A046-D9216F9956AA}"/>
    <cellStyle name="hó.    ." xfId="143" xr:uid="{A083CA6B-3DB5-4898-A3FC-AFDF967AD57D}"/>
    <cellStyle name="hó. nap." xfId="144" xr:uid="{454D1503-A0E9-4517-9442-D5564E549432}"/>
    <cellStyle name="hungarian_date" xfId="145" xr:uid="{9D7283F3-B11D-410E-B9B6-B2376850D848}"/>
    <cellStyle name="Hyperlink 2" xfId="146" xr:uid="{16E61F90-9498-49B0-91FC-F7DAE3882CBD}"/>
    <cellStyle name="Hyperlink 3" xfId="147" xr:uid="{DB1C082B-B907-46E5-A1BA-1EA6654E0316}"/>
    <cellStyle name="Hyperlink 4" xfId="148" xr:uid="{164C2588-48A5-4DFF-AE6A-E5DE2D1D7D86}"/>
    <cellStyle name="Input 2" xfId="149" xr:uid="{7CB017D4-2247-4842-83E9-AA8595E6E81E}"/>
    <cellStyle name="Input 3" xfId="48" xr:uid="{82C16629-52BB-451B-92A9-6E8529487C16}"/>
    <cellStyle name="IntCoTitles" xfId="150" xr:uid="{79251B09-5F71-4FBC-BDCE-07718C5E2CAA}"/>
    <cellStyle name="InterCoT" xfId="151" xr:uid="{BB181A90-09AA-4FA6-BD42-C25655B06D3E}"/>
    <cellStyle name="Linked Cell 2" xfId="152" xr:uid="{59B22CDD-50B4-408D-990C-892FE8282ADB}"/>
    <cellStyle name="Linked Cell 3" xfId="49" xr:uid="{E98BA820-647F-439D-A021-3D77BD50F3DE}"/>
    <cellStyle name="MacroCode" xfId="153" xr:uid="{CEE39934-A393-4244-9F82-E1505D38F350}"/>
    <cellStyle name="nap" xfId="154" xr:uid="{5C9A0100-5F45-40E8-AF0D-1FA7751427DD}"/>
    <cellStyle name="Neutral 2" xfId="155" xr:uid="{AA74C582-B42D-4D3F-85EE-9317320C5483}"/>
    <cellStyle name="Neutral 3" xfId="50" xr:uid="{678C9C3D-037B-418D-B00A-1642F3D2336D}"/>
    <cellStyle name="Normal" xfId="0" builtinId="0"/>
    <cellStyle name="Normal 10" xfId="156" xr:uid="{1654892C-BBD0-47EE-9C66-3DE62A48F589}"/>
    <cellStyle name="Normal 11" xfId="157" xr:uid="{EB6012B6-0F09-4550-BA3F-A23B9A6E165A}"/>
    <cellStyle name="Normal 12" xfId="158" xr:uid="{C9113C28-82E9-4718-A78F-E3B99EE33335}"/>
    <cellStyle name="Normal 13" xfId="159" xr:uid="{FC3BD5B6-7A8E-499E-893F-0CB5B682560E}"/>
    <cellStyle name="Normal 13 2" xfId="160" xr:uid="{6E4C3F47-FA21-4A89-B6D3-F84DBE3F4868}"/>
    <cellStyle name="Normal 13 3" xfId="161" xr:uid="{E91770F5-B75C-4DEA-A9F3-2DE859CB3828}"/>
    <cellStyle name="Normal 13 4" xfId="162" xr:uid="{EADF2B4F-0B41-4920-941B-F01D5AC0B2EA}"/>
    <cellStyle name="Normal 14" xfId="163" xr:uid="{28BD7969-1266-4C84-A736-5B67730D7807}"/>
    <cellStyle name="Normal 15" xfId="164" xr:uid="{11EDB0F5-5FD2-406D-8026-29E06F07DF8F}"/>
    <cellStyle name="Normal 16" xfId="165" xr:uid="{7641DB15-89CF-4306-835D-D0B0934683AC}"/>
    <cellStyle name="Normal 17" xfId="166" xr:uid="{BD7615CC-A317-4CD2-96F7-99984D673581}"/>
    <cellStyle name="Normal 18" xfId="91" xr:uid="{C92F7E5C-199C-4236-B8E1-2F303089AAAC}"/>
    <cellStyle name="Normal 2" xfId="5" xr:uid="{C9D98DE1-3289-4F37-BA91-A9B1857F9620}"/>
    <cellStyle name="Normal 2 2" xfId="168" xr:uid="{A35541A4-C981-4459-ABCD-130A900EC727}"/>
    <cellStyle name="Normal 2 2 2" xfId="169" xr:uid="{841E8969-3D2E-4374-B3EF-273CBFD51F46}"/>
    <cellStyle name="Normal 2 2 3" xfId="170" xr:uid="{6F5E59D6-A89C-4BD5-A373-9D739486AC0F}"/>
    <cellStyle name="Normal 2 3" xfId="171" xr:uid="{31FE3160-592A-4742-A9A3-C1F05941602F}"/>
    <cellStyle name="Normal 2 3 2" xfId="172" xr:uid="{38F60BF1-AD4D-458D-AB23-78023406BCBE}"/>
    <cellStyle name="Normal 2 4" xfId="173" xr:uid="{00291FCF-FB80-448A-B217-B22A5B7711AF}"/>
    <cellStyle name="Normal 2 5" xfId="167" xr:uid="{35D62048-0090-4AF9-8CD1-244F0E51A9AC}"/>
    <cellStyle name="Normal 3" xfId="174" xr:uid="{B86CF20A-0E1C-4D55-A6F1-461503F0BEEE}"/>
    <cellStyle name="Normal 3 2" xfId="175" xr:uid="{7720F1C7-03BB-4563-8793-2F30AD0AF28B}"/>
    <cellStyle name="Normal 3 2 2" xfId="176" xr:uid="{36DECFE2-F0AA-46AF-B464-F40C73E64B4C}"/>
    <cellStyle name="Normal 4" xfId="177" xr:uid="{58A90D27-60BC-4658-9855-66E6098202D9}"/>
    <cellStyle name="Normal 4 2" xfId="178" xr:uid="{F48EA39C-3704-4C2F-8564-D9CFBB43FAA0}"/>
    <cellStyle name="Normal 5" xfId="179" xr:uid="{45E73E39-4A71-4681-978D-F66E7C0A7F26}"/>
    <cellStyle name="Normal 5 2" xfId="180" xr:uid="{0829E2CA-4D1E-4B37-912D-8D0A78DC74FA}"/>
    <cellStyle name="Normal 5 3" xfId="181" xr:uid="{E2ADC52D-4DEA-4ADA-90A3-138C0DFEBC22}"/>
    <cellStyle name="Normal 6" xfId="182" xr:uid="{D2488950-48E7-43AF-8D66-CB0BFFD08AF1}"/>
    <cellStyle name="Normal 7" xfId="183" xr:uid="{580CCDAD-DC52-4CA7-A65C-41EAE79987C7}"/>
    <cellStyle name="Normal 8" xfId="184" xr:uid="{AB5007E7-570B-4F38-ADA7-D7DFF695654F}"/>
    <cellStyle name="Normal 9" xfId="185" xr:uid="{E79972E2-B635-4746-8015-AC678E372F39}"/>
    <cellStyle name="Normálna 2" xfId="316" xr:uid="{88256CCB-17E8-4CA9-B3EA-4EB4F35E0860}"/>
    <cellStyle name="Note 2" xfId="186" xr:uid="{BA046BDE-5796-4569-BC27-70C00009F7CD}"/>
    <cellStyle name="Note 3" xfId="51" xr:uid="{5995EB40-A977-4915-A8B6-664F738410A8}"/>
    <cellStyle name="Number (0)" xfId="187" xr:uid="{DC3461A4-AE8D-4A1D-92AE-D87EF36CD61B}"/>
    <cellStyle name="Number (0) 2" xfId="188" xr:uid="{A142BE97-5466-4470-B50C-97CF19D1BAE9}"/>
    <cellStyle name="Number (0.00)" xfId="189" xr:uid="{16062C14-8872-447B-A365-938EAAE4BA7C}"/>
    <cellStyle name="Number (0.00) 2" xfId="190" xr:uid="{CE3929FB-9732-4FAF-8E91-F4A1A0998883}"/>
    <cellStyle name="NumberEng" xfId="191" xr:uid="{852DBFF4-30E0-4A4C-A159-D2DC7DA1AE6B}"/>
    <cellStyle name="NumberEng 2" xfId="192" xr:uid="{827F18DA-93C3-4BA3-943E-017662C46CA5}"/>
    <cellStyle name="Obično_2011_01-12_Station Complexity (Vidović Suzana) s MT_05_09_2012_inprogress" xfId="193" xr:uid="{8AA955C5-CAB1-4933-B046-1AC061299468}"/>
    <cellStyle name="Output 2" xfId="194" xr:uid="{82BE0C33-3DFC-4C51-8353-8A6062ECB000}"/>
    <cellStyle name="Output 3" xfId="52" xr:uid="{68333266-CE06-45D6-96FF-D3496E3A9C9F}"/>
    <cellStyle name="Percent" xfId="1" builtinId="5"/>
    <cellStyle name="Percent 2" xfId="195" xr:uid="{9F770AC9-18A5-460E-B043-F40E810FDBFD}"/>
    <cellStyle name="Percent 2 2" xfId="196" xr:uid="{C6D27AC2-64C0-4996-8FEF-5AFB031D1E1C}"/>
    <cellStyle name="Percent 2 3" xfId="197" xr:uid="{896DE2A0-68AC-429A-85EF-D50FF95BD321}"/>
    <cellStyle name="Percent 2 3 2" xfId="198" xr:uid="{E097FF96-D619-43B1-9D73-BBA3F4697FBC}"/>
    <cellStyle name="Percent 3" xfId="199" xr:uid="{44BFDAB4-7CF5-4822-A3CB-DCE2E8194064}"/>
    <cellStyle name="Percent 4" xfId="200" xr:uid="{D81A7F24-3603-49FF-96E0-D766560AAED0}"/>
    <cellStyle name="Percent 5" xfId="201" xr:uid="{03CAA494-15AA-4CFD-AC2B-621190BFFDFB}"/>
    <cellStyle name="Percent 6" xfId="202" xr:uid="{19EA23E7-B096-4775-BC58-4752502D7E4A}"/>
    <cellStyle name="Red Text" xfId="203" xr:uid="{5F251D33-3A30-49F2-B29A-B43020E5DBAE}"/>
    <cellStyle name="SAPBEXaggData" xfId="53" xr:uid="{76726BB2-F1E4-40F7-9C6B-432475BEC4E0}"/>
    <cellStyle name="SAPBEXaggData 2" xfId="205" xr:uid="{35AD9B33-41D8-462B-8BA4-310ACE0785B4}"/>
    <cellStyle name="SAPBEXaggData 3" xfId="206" xr:uid="{AFA70F60-EFDD-44CB-9C4E-BC88D3BD59EC}"/>
    <cellStyle name="SAPBEXaggData 4" xfId="204" xr:uid="{DD39FF10-1CA7-4900-9ED7-3161C76CB899}"/>
    <cellStyle name="SAPBEXaggData_RŠP" xfId="207" xr:uid="{9EC8FBAC-320F-4230-8DF9-78CD9511FB8D}"/>
    <cellStyle name="SAPBEXaggDataEmph" xfId="54" xr:uid="{DD82E3FA-33A2-4996-A9DB-8AB2CEA50C0F}"/>
    <cellStyle name="SAPBEXaggDataEmph 2" xfId="208" xr:uid="{1AD684A0-1622-4523-A587-98D69C5C4BD1}"/>
    <cellStyle name="SAPBEXaggItem" xfId="55" xr:uid="{55C4E1EA-6AEC-4924-9094-02A6A28BFE42}"/>
    <cellStyle name="SAPBEXaggItem 2" xfId="210" xr:uid="{EB0877AE-B68A-4962-B8AA-E356CA290B90}"/>
    <cellStyle name="SAPBEXaggItem 3" xfId="211" xr:uid="{95455649-48FB-4FB1-BB80-10DA9E98C0A3}"/>
    <cellStyle name="SAPBEXaggItem 4" xfId="209" xr:uid="{91E10AC3-0588-451E-9B05-EA111E7D07AB}"/>
    <cellStyle name="SAPBEXaggItem_E-bons 2011" xfId="212" xr:uid="{D2402BB8-735B-4B07-A202-DE2948F69EC4}"/>
    <cellStyle name="SAPBEXaggItemX" xfId="56" xr:uid="{8637CB9F-5213-450C-9496-2A6017A775AB}"/>
    <cellStyle name="SAPBEXaggItemX 2" xfId="213" xr:uid="{30F52658-F663-4B31-8A18-A28845FF593A}"/>
    <cellStyle name="SAPBEXchaText" xfId="7" xr:uid="{1C4D8B59-4856-4F52-9F17-9CFA9E4CA3EE}"/>
    <cellStyle name="SAPBEXchaText 2" xfId="215" xr:uid="{05D9B3B1-E5FE-4C64-9640-0EEFD99A7424}"/>
    <cellStyle name="SAPBEXchaText 2 2" xfId="216" xr:uid="{1C7977A3-7701-4A22-B4BA-E4BD30749E6B}"/>
    <cellStyle name="SAPBEXchaText 3" xfId="3" xr:uid="{0AE2A7D8-F092-4E15-98C8-173EBEF3F47C}"/>
    <cellStyle name="SAPBEXchaText 3 2" xfId="217" xr:uid="{E0462054-9614-4518-AD63-2CBEAE0AC6F8}"/>
    <cellStyle name="SAPBEXchaText 4" xfId="218" xr:uid="{D11C64C1-F919-48E8-BBA2-C81194698800}"/>
    <cellStyle name="SAPBEXchaText 5" xfId="214" xr:uid="{92E0DE23-3AB8-49E5-AD0A-E1D089F25748}"/>
    <cellStyle name="SAPBEXchaText_E-bons 2011" xfId="219" xr:uid="{BEACEBE3-7227-4C30-B8A7-1A01868223AD}"/>
    <cellStyle name="SAPBEXexcBad7" xfId="57" xr:uid="{FB61EC9C-146E-427A-BD25-45897F5CAE9B}"/>
    <cellStyle name="SAPBEXexcBad7 2" xfId="220" xr:uid="{BDD2CCE5-1F02-4800-A144-8866AFA1D5FE}"/>
    <cellStyle name="SAPBEXexcBad8" xfId="58" xr:uid="{4BBCBFE5-29BA-418C-B2CC-31A4D210F81A}"/>
    <cellStyle name="SAPBEXexcBad8 2" xfId="221" xr:uid="{455FA4D4-76D5-4E3F-855D-7D8B0524C0E2}"/>
    <cellStyle name="SAPBEXexcBad9" xfId="59" xr:uid="{3D1B2FCF-449E-40C8-85F5-0D6C7591AA25}"/>
    <cellStyle name="SAPBEXexcBad9 2" xfId="222" xr:uid="{65BAC27D-A578-4AB6-A17C-B2D1F8FEF2F2}"/>
    <cellStyle name="SAPBEXexcCritical4" xfId="60" xr:uid="{B9E209B9-73CA-4FA2-92FD-E2219B0ACEF1}"/>
    <cellStyle name="SAPBEXexcCritical4 2" xfId="223" xr:uid="{4209DD81-3115-4F55-A866-3C2AB6D264A3}"/>
    <cellStyle name="SAPBEXexcCritical5" xfId="61" xr:uid="{D862ABEE-CA1B-46F2-BE54-58606383E7E3}"/>
    <cellStyle name="SAPBEXexcCritical5 2" xfId="224" xr:uid="{AA1F1C5B-6D74-4D05-B1AF-BDCDB6C4F580}"/>
    <cellStyle name="SAPBEXexcCritical6" xfId="62" xr:uid="{585F9848-946E-4A39-A1BA-FEA654529870}"/>
    <cellStyle name="SAPBEXexcCritical6 2" xfId="225" xr:uid="{3834ED87-508D-48AB-B925-A6EDFC6EBC4D}"/>
    <cellStyle name="SAPBEXexcGood1" xfId="63" xr:uid="{98FC2A36-F12C-4802-A050-FC5D24189203}"/>
    <cellStyle name="SAPBEXexcGood1 2" xfId="226" xr:uid="{DE71A2FF-9133-47A5-A253-8F65C870C0C6}"/>
    <cellStyle name="SAPBEXexcGood2" xfId="64" xr:uid="{CE017CC9-BA9A-4B26-9A6A-23FDA7412ACB}"/>
    <cellStyle name="SAPBEXexcGood2 2" xfId="227" xr:uid="{2DFFF9B7-3E79-4018-ADD3-127AFDD46B70}"/>
    <cellStyle name="SAPBEXexcGood3" xfId="65" xr:uid="{2A3142A5-E3ED-4408-989E-4822F1EDE330}"/>
    <cellStyle name="SAPBEXexcGood3 2" xfId="228" xr:uid="{4E647DD7-4245-4849-8AD9-4C7C6F21DB38}"/>
    <cellStyle name="SAPBEXfilterDrill" xfId="66" xr:uid="{2E9D01DA-A663-475B-B984-A43C483FE1BD}"/>
    <cellStyle name="SAPBEXfilterDrill 2" xfId="230" xr:uid="{EC4BE18B-8DCE-4EE4-B60E-D916718EB722}"/>
    <cellStyle name="SAPBEXfilterDrill 3" xfId="229" xr:uid="{58CDB312-6185-4EB1-AA0B-6731B3E1CB11}"/>
    <cellStyle name="SAPBEXfilterItem" xfId="67" xr:uid="{8E1B9E58-06C1-494B-ACF9-1A11E429AA6F}"/>
    <cellStyle name="SAPBEXfilterItem 2" xfId="232" xr:uid="{C770E378-4A32-47BF-9F79-6F149422D61A}"/>
    <cellStyle name="SAPBEXfilterItem 3" xfId="231" xr:uid="{BBF89E75-B2AE-45A5-8539-93B36C96EE20}"/>
    <cellStyle name="SAPBEXfilterText" xfId="68" xr:uid="{397D7193-E51A-4055-ACF6-8CFAA1E558C2}"/>
    <cellStyle name="SAPBEXfilterText 2" xfId="234" xr:uid="{5FDF3A28-D401-4E43-916E-9399A991B3AC}"/>
    <cellStyle name="SAPBEXfilterText 3" xfId="235" xr:uid="{E4C74837-1AAF-4C6D-96A4-82062090CFE9}"/>
    <cellStyle name="SAPBEXfilterText 4" xfId="233" xr:uid="{99135271-DAD4-41FE-848A-B523B36EB724}"/>
    <cellStyle name="SAPBEXformats" xfId="10" xr:uid="{00B511F5-257A-429A-BB28-DE9770C053E1}"/>
    <cellStyle name="SAPBEXformats 2" xfId="237" xr:uid="{14F1516F-987F-4BFE-8750-625C92AAFE0C}"/>
    <cellStyle name="SAPBEXformats 2 2" xfId="238" xr:uid="{5119FA58-3AA6-42A6-B7CA-4329E16C57DE}"/>
    <cellStyle name="SAPBEXformats 3" xfId="239" xr:uid="{2764864C-8BE8-4A01-A00F-6F67875736A8}"/>
    <cellStyle name="SAPBEXformats 4" xfId="240" xr:uid="{51FFA3BA-1FE3-4167-BE6D-3837D2D47404}"/>
    <cellStyle name="SAPBEXformats 5" xfId="236" xr:uid="{1AC6F3FF-D224-4B98-BB82-863E30EEDE8F}"/>
    <cellStyle name="SAPBEXheaderItem" xfId="69" xr:uid="{8CFF02D5-7C78-4722-9A63-897AE82160CC}"/>
    <cellStyle name="SAPBEXheaderItem 2" xfId="242" xr:uid="{67E10B64-657E-42A7-BBAB-C19A3A91D92D}"/>
    <cellStyle name="SAPBEXheaderItem 3" xfId="243" xr:uid="{78F0077F-0807-4EDF-A9E1-4AB53C3C9B07}"/>
    <cellStyle name="SAPBEXheaderItem 4" xfId="241" xr:uid="{C19BBCAF-958D-45A2-95E0-FDBF1B5E944D}"/>
    <cellStyle name="SAPBEXheaderText" xfId="70" xr:uid="{891B7F68-47B2-4DFD-856B-7B9508557940}"/>
    <cellStyle name="SAPBEXheaderText 2" xfId="245" xr:uid="{9E379F18-73EC-4EE5-96E1-04BC3F4DF673}"/>
    <cellStyle name="SAPBEXheaderText 3" xfId="246" xr:uid="{BB0C358D-7126-4095-9110-2C1A3E8CE9B4}"/>
    <cellStyle name="SAPBEXheaderText 4" xfId="244" xr:uid="{49FCA93F-900B-4673-AC0C-C127B56A14EF}"/>
    <cellStyle name="SAPBEXHLevel0" xfId="71" xr:uid="{E088A049-97D8-4DC5-AEEC-760924E0032E}"/>
    <cellStyle name="SAPBEXHLevel0 2" xfId="248" xr:uid="{C79E2F22-AB94-429B-A8BE-76C9EE88C8E2}"/>
    <cellStyle name="SAPBEXHLevel0 3" xfId="249" xr:uid="{72666B6B-DB24-4DCC-8404-0D14A7E7192F}"/>
    <cellStyle name="SAPBEXHLevel0 4" xfId="247" xr:uid="{41DCEC5D-E0D3-49FC-92F1-8BB82FBD7748}"/>
    <cellStyle name="SAPBEXHLevel0_Sheet13" xfId="250" xr:uid="{1C431341-2ED2-42B1-A7D9-0B4ACBFA629D}"/>
    <cellStyle name="SAPBEXHLevel0X" xfId="8" xr:uid="{30106D38-77EB-4419-99FB-3E0F10196FF3}"/>
    <cellStyle name="SAPBEXHLevel0X 2" xfId="252" xr:uid="{3725980B-35E0-4287-B5B7-0297EA89051E}"/>
    <cellStyle name="SAPBEXHLevel0X 3" xfId="253" xr:uid="{DA1926BC-BCF2-46E7-86B7-A14C2FB4C216}"/>
    <cellStyle name="SAPBEXHLevel0X 4" xfId="251" xr:uid="{DFF3DA4F-489E-4013-A372-3D100F7C1355}"/>
    <cellStyle name="SAPBEXHLevel1" xfId="73" xr:uid="{420F5A27-D01B-4A7F-93DD-DE243641DB67}"/>
    <cellStyle name="SAPBEXHLevel1 2" xfId="255" xr:uid="{98815D54-A6A3-47BA-A1C4-9D091661E03F}"/>
    <cellStyle name="SAPBEXHLevel1 3" xfId="256" xr:uid="{168FDD94-E89C-4B92-9BB9-35BE9A2ABB92}"/>
    <cellStyle name="SAPBEXHLevel1 4" xfId="254" xr:uid="{AF8FF98F-9BF2-47A3-8737-BBD83886263B}"/>
    <cellStyle name="SAPBEXHLevel1_Sheet13" xfId="257" xr:uid="{E4C13950-9B5B-426C-83CB-858E0DF92EC6}"/>
    <cellStyle name="SAPBEXHLevel1X" xfId="9" xr:uid="{ECBDDA2E-4208-405E-9B32-87A3BC6944BA}"/>
    <cellStyle name="SAPBEXHLevel1X 2" xfId="259" xr:uid="{3A9C489D-F4A6-4509-8DB4-71C435DDD672}"/>
    <cellStyle name="SAPBEXHLevel1X 3" xfId="260" xr:uid="{769B9958-20E7-482E-8656-EAFD5B01B6A0}"/>
    <cellStyle name="SAPBEXHLevel1X 4" xfId="258" xr:uid="{B11CD83E-FFE3-4311-8448-5DAEF4F1D4CC}"/>
    <cellStyle name="SAPBEXHLevel2" xfId="74" xr:uid="{0C6EEB1A-5A98-497D-9B45-1E8836C5D933}"/>
    <cellStyle name="SAPBEXHLevel2 2" xfId="262" xr:uid="{C2103DD6-26CA-402A-9B68-0024F104674E}"/>
    <cellStyle name="SAPBEXHLevel2 3" xfId="263" xr:uid="{98FA5255-1E99-467B-9731-F3EBE09E3061}"/>
    <cellStyle name="SAPBEXHLevel2 4" xfId="264" xr:uid="{0DDC6922-61BE-4AA1-A75F-4C44E22BEF54}"/>
    <cellStyle name="SAPBEXHLevel2 5" xfId="261" xr:uid="{1DAB98F7-6696-4E85-A234-C2034D325D4C}"/>
    <cellStyle name="SAPBEXHLevel2_Sheet13" xfId="265" xr:uid="{F192F7E0-EE02-4F76-ABF5-0673E0669C9F}"/>
    <cellStyle name="SAPBEXHLevel2X" xfId="75" xr:uid="{3700344B-B3F3-4024-B58C-BEB999E4379E}"/>
    <cellStyle name="SAPBEXHLevel2X 2" xfId="267" xr:uid="{FD954C20-F7F0-4B47-8D1D-A4DEA7F7529E}"/>
    <cellStyle name="SAPBEXHLevel2X 3" xfId="268" xr:uid="{EFD8133D-AD54-44ED-B091-93911A860EC8}"/>
    <cellStyle name="SAPBEXHLevel2X 4" xfId="266" xr:uid="{72B38881-591C-41DA-932A-3CE600A1B8C3}"/>
    <cellStyle name="SAPBEXHLevel3" xfId="4" xr:uid="{81F4681D-4426-41BC-A3C2-A972818E9D46}"/>
    <cellStyle name="SAPBEXHLevel3 2" xfId="270" xr:uid="{CAFB7176-4F9B-4606-856F-412C8A4FD13E}"/>
    <cellStyle name="SAPBEXHLevel3 3" xfId="271" xr:uid="{0E0C9CE9-B208-4333-B39B-CB9CE3F3F040}"/>
    <cellStyle name="SAPBEXHLevel3 4" xfId="269" xr:uid="{C07F19C3-412E-40DA-ACE5-2A4BD5C569D9}"/>
    <cellStyle name="SAPBEXHLevel3 5" xfId="76" xr:uid="{D4B1DE0F-2194-4953-B9FF-297675277E02}"/>
    <cellStyle name="SAPBEXHLevel3_2011_01-12_Station Complexity (Vidović Suzana) s MT_05_09_2012_inprogress" xfId="272" xr:uid="{ADF7D0DE-3006-445A-AA0C-3F9C8644EDBC}"/>
    <cellStyle name="SAPBEXHLevel3X" xfId="77" xr:uid="{B065AC4B-D2D2-4BAF-81DD-FE5BC64995CD}"/>
    <cellStyle name="SAPBEXHLevel3X 2" xfId="274" xr:uid="{7421ADB0-A804-478D-883C-A0254478EF17}"/>
    <cellStyle name="SAPBEXHLevel3X 3" xfId="275" xr:uid="{7596D757-2143-4C1B-8C26-E636391967E4}"/>
    <cellStyle name="SAPBEXHLevel3X 4" xfId="273" xr:uid="{ECE18E24-421B-47B2-BEAA-C0DC0CD14DE5}"/>
    <cellStyle name="SAPBEXinputData" xfId="78" xr:uid="{22FECF1E-BAA0-416E-8F8A-FAFAFC90103C}"/>
    <cellStyle name="SAPBEXinputData 2" xfId="276" xr:uid="{10A09BCF-98C3-4BF4-B88F-12117A0C0B05}"/>
    <cellStyle name="SAPBEXItemHeader" xfId="6" xr:uid="{BACAE9D2-A20D-4DC1-B36D-282E9ED44479}"/>
    <cellStyle name="SAPBEXresData" xfId="79" xr:uid="{2520C851-198D-445B-BA4C-1DD28EB9FFDA}"/>
    <cellStyle name="SAPBEXresData 2" xfId="277" xr:uid="{72122D71-B656-484B-BCD3-E032B501702A}"/>
    <cellStyle name="SAPBEXresDataEmph" xfId="80" xr:uid="{22A2C382-BCE6-4B70-AC82-9B597EF659C4}"/>
    <cellStyle name="SAPBEXresDataEmph 2" xfId="278" xr:uid="{873EEC93-4C21-4DEF-B999-66A3625520D1}"/>
    <cellStyle name="SAPBEXresItem" xfId="81" xr:uid="{166AB295-C3A8-4F57-9AC5-D80B123F0AA2}"/>
    <cellStyle name="SAPBEXresItem 2" xfId="280" xr:uid="{CAF8C620-8CE4-4B69-B424-D5FABCFDF5A0}"/>
    <cellStyle name="SAPBEXresItem 3" xfId="281" xr:uid="{1CD59AB6-1992-4E0C-A205-E3AE5A9D8836}"/>
    <cellStyle name="SAPBEXresItem 4" xfId="279" xr:uid="{A775A27A-5580-4102-8CD4-9AD73E1B0DCE}"/>
    <cellStyle name="SAPBEXresItemX" xfId="82" xr:uid="{25138AF3-6C81-4202-A5CF-6CC24D2126FB}"/>
    <cellStyle name="SAPBEXresItemX 2" xfId="282" xr:uid="{0CF10A15-49E7-4392-B110-EED0347E5390}"/>
    <cellStyle name="SAPBEXstdData" xfId="12" xr:uid="{D347B221-FF0B-429F-AC85-3A6D1E9B8E54}"/>
    <cellStyle name="SAPBEXstdData 2" xfId="284" xr:uid="{6734FA5A-7DD5-4C88-ABB5-E793C74F3CA1}"/>
    <cellStyle name="SAPBEXstdData 3" xfId="285" xr:uid="{FA2FA202-C514-404A-8639-A5EB7E333EF1}"/>
    <cellStyle name="SAPBEXstdData 4" xfId="283" xr:uid="{D189A250-D4CF-40FE-824B-9920543950A2}"/>
    <cellStyle name="SAPBEXstdData_E-bons 2011" xfId="286" xr:uid="{44ABD4E2-9DBC-48C0-9DF6-7E579D80F01C}"/>
    <cellStyle name="SAPBEXstdDataEmph" xfId="11" xr:uid="{D95B74BC-C7AD-4881-8B69-1B5792F318E7}"/>
    <cellStyle name="SAPBEXstdDataEmph 2" xfId="288" xr:uid="{3A08B6AE-1C83-4A6C-8C2C-0AB8793685E0}"/>
    <cellStyle name="SAPBEXstdDataEmph 3" xfId="287" xr:uid="{597405EF-EACA-4C3B-A0BC-B467C4957EB0}"/>
    <cellStyle name="SAPBEXstdItem" xfId="2" xr:uid="{9FFA57CE-712B-441B-B18D-9E6635B7C490}"/>
    <cellStyle name="SAPBEXstdItem 2" xfId="290" xr:uid="{33BC8490-F52A-43B8-8148-AE88F2CEF3A7}"/>
    <cellStyle name="SAPBEXstdItem 2 2" xfId="291" xr:uid="{309BADED-2AD8-4D12-9ACD-612E7D6C7716}"/>
    <cellStyle name="SAPBEXstdItem 3" xfId="292" xr:uid="{22E1FC0B-6162-49EB-BC02-25A21874B565}"/>
    <cellStyle name="SAPBEXstdItem 4" xfId="293" xr:uid="{510EA800-6692-4FBF-BB6A-1B4C93046F68}"/>
    <cellStyle name="SAPBEXstdItem 5" xfId="289" xr:uid="{BDCD0587-75D5-4555-BBF3-8E81FFF6E760}"/>
    <cellStyle name="SAPBEXstdItemX" xfId="84" xr:uid="{B3B2944F-B1C6-4600-A5BF-5D75D4CEABF1}"/>
    <cellStyle name="SAPBEXstdItemX 2" xfId="295" xr:uid="{E0AC49A6-0320-4D84-AD25-5941D166C35C}"/>
    <cellStyle name="SAPBEXstdItemX 2 2" xfId="296" xr:uid="{F95EF303-C041-4154-9FD3-4808C0887C06}"/>
    <cellStyle name="SAPBEXstdItemX 2 3" xfId="297" xr:uid="{7F955998-A2E1-4D98-A82C-28F347639915}"/>
    <cellStyle name="SAPBEXstdItemX 3" xfId="298" xr:uid="{0CA0CCAE-B8CA-44AB-8A3F-CEFB72D22271}"/>
    <cellStyle name="SAPBEXstdItemX 4" xfId="294" xr:uid="{71B1BA1E-A8B9-4D50-8772-0C597EE8D028}"/>
    <cellStyle name="SAPBEXstdItemX_2011_01-12_Station Complexity (Vidović Suzana) s MT_05_09_2012_inprogress" xfId="299" xr:uid="{E9BACD3C-1CBD-4E46-BF52-26E7E8D2815B}"/>
    <cellStyle name="SAPBEXtitle" xfId="85" xr:uid="{499C9897-8F19-4B9C-BEF6-7385E452DE26}"/>
    <cellStyle name="SAPBEXtitle 2" xfId="301" xr:uid="{42142997-6D2F-4029-BAB6-8B1C531DEC76}"/>
    <cellStyle name="SAPBEXtitle 3" xfId="302" xr:uid="{815CBB25-F11F-40AD-AA30-C641CCCB8B55}"/>
    <cellStyle name="SAPBEXtitle 4" xfId="303" xr:uid="{D850D905-F19B-4A3C-8D6F-A278DB2FC323}"/>
    <cellStyle name="SAPBEXtitle 5" xfId="300" xr:uid="{BC23573A-270F-4C03-8130-5CEFE2EC8233}"/>
    <cellStyle name="SAPBEXunassignedItem" xfId="86" xr:uid="{9002CB37-DBED-4EE5-A572-D1D848784A52}"/>
    <cellStyle name="SAPBEXundefined" xfId="87" xr:uid="{75D32F32-BF3C-4116-BF21-53F13A8284D1}"/>
    <cellStyle name="SAPBEXundefined 2" xfId="305" xr:uid="{5BD982A9-A86C-44BA-91FC-C7F612D185F3}"/>
    <cellStyle name="SAPBEXundefined 3" xfId="304" xr:uid="{2F278DE7-2045-46E0-9E6D-42A2C17458D3}"/>
    <cellStyle name="Sheet Title" xfId="88" xr:uid="{DDC6C83C-63BE-4E90-A686-3E3F27672EBC}"/>
    <cellStyle name="Style 1" xfId="306" xr:uid="{15059137-8222-483F-BFD0-6A9DCC2397BB}"/>
    <cellStyle name="Title 2" xfId="307" xr:uid="{7CC7B245-DE55-4F47-918B-FB9F01857032}"/>
    <cellStyle name="TopGrey" xfId="308" xr:uid="{5152D77D-A3E4-4CB7-AFE7-DFA506788971}"/>
    <cellStyle name="Total 2" xfId="309" xr:uid="{6429BBFE-D583-492F-9CD2-AA415A3086EE}"/>
    <cellStyle name="Total 3" xfId="89" xr:uid="{BE6346A6-31B3-47E7-BEF9-A4068078C2AC}"/>
    <cellStyle name="Warning Text 2" xfId="310" xr:uid="{18CDB52E-0024-4891-99BC-839FDEDBFF07}"/>
    <cellStyle name="Warning Text 3" xfId="90" xr:uid="{732839AF-02A1-439A-A827-641D77D03E5F}"/>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patternFill>
      </fill>
    </dxf>
    <dxf>
      <alignment vertical="bottom"/>
    </dxf>
    <dxf>
      <alignment wrapText="1"/>
    </dxf>
    <dxf>
      <alignment wrapText="1"/>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CF743B8B-209C-48F8-89CF-3F9AB730383B}"/>
  </tableStyles>
  <colors>
    <mruColors>
      <color rgb="FFFF0000"/>
      <color rgb="FFFF7C80"/>
      <color rgb="FF0000FF"/>
      <color rgb="FFFFFFCC"/>
      <color rgb="FF008000"/>
      <color rgb="FFFD9A7F"/>
      <color rgb="FF000099"/>
      <color rgb="FFFFFF99"/>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10</xdr:col>
      <xdr:colOff>219075</xdr:colOff>
      <xdr:row>14</xdr:row>
      <xdr:rowOff>3672</xdr:rowOff>
    </xdr:to>
    <xdr:pic>
      <xdr:nvPicPr>
        <xdr:cNvPr id="2" name="Picture 1">
          <a:extLst>
            <a:ext uri="{FF2B5EF4-FFF2-40B4-BE49-F238E27FC236}">
              <a16:creationId xmlns:a16="http://schemas.microsoft.com/office/drawing/2014/main" id="{C504D7B0-E4EF-48B6-9EBE-60AD7F68C8CF}"/>
            </a:ext>
          </a:extLst>
        </xdr:cNvPr>
        <xdr:cNvPicPr>
          <a:picLocks noChangeAspect="1"/>
        </xdr:cNvPicPr>
      </xdr:nvPicPr>
      <xdr:blipFill>
        <a:blip xmlns:r="http://schemas.openxmlformats.org/officeDocument/2006/relationships" r:embed="rId1"/>
        <a:stretch>
          <a:fillRect/>
        </a:stretch>
      </xdr:blipFill>
      <xdr:spPr>
        <a:xfrm>
          <a:off x="1828800" y="952500"/>
          <a:ext cx="4486275" cy="1880097"/>
        </a:xfrm>
        <a:prstGeom prst="rect">
          <a:avLst/>
        </a:prstGeom>
      </xdr:spPr>
    </xdr:pic>
    <xdr:clientData/>
  </xdr:twoCellAnchor>
  <xdr:twoCellAnchor>
    <xdr:from>
      <xdr:col>3</xdr:col>
      <xdr:colOff>28575</xdr:colOff>
      <xdr:row>16</xdr:row>
      <xdr:rowOff>0</xdr:rowOff>
    </xdr:from>
    <xdr:to>
      <xdr:col>10</xdr:col>
      <xdr:colOff>266700</xdr:colOff>
      <xdr:row>26</xdr:row>
      <xdr:rowOff>172733</xdr:rowOff>
    </xdr:to>
    <xdr:pic>
      <xdr:nvPicPr>
        <xdr:cNvPr id="3" name="Picture 2">
          <a:extLst>
            <a:ext uri="{FF2B5EF4-FFF2-40B4-BE49-F238E27FC236}">
              <a16:creationId xmlns:a16="http://schemas.microsoft.com/office/drawing/2014/main" id="{93324DF9-0532-44AC-B8CC-5B69485D2FED}"/>
            </a:ext>
          </a:extLst>
        </xdr:cNvPr>
        <xdr:cNvPicPr>
          <a:picLocks noChangeAspect="1"/>
        </xdr:cNvPicPr>
      </xdr:nvPicPr>
      <xdr:blipFill>
        <a:blip xmlns:r="http://schemas.openxmlformats.org/officeDocument/2006/relationships" r:embed="rId2"/>
        <a:stretch>
          <a:fillRect/>
        </a:stretch>
      </xdr:blipFill>
      <xdr:spPr>
        <a:xfrm>
          <a:off x="1857375" y="3048000"/>
          <a:ext cx="4505325" cy="2077733"/>
        </a:xfrm>
        <a:prstGeom prst="rect">
          <a:avLst/>
        </a:prstGeom>
      </xdr:spPr>
    </xdr:pic>
    <xdr:clientData/>
  </xdr:twoCellAnchor>
  <xdr:twoCellAnchor>
    <xdr:from>
      <xdr:col>10</xdr:col>
      <xdr:colOff>600074</xdr:colOff>
      <xdr:row>15</xdr:row>
      <xdr:rowOff>161926</xdr:rowOff>
    </xdr:from>
    <xdr:to>
      <xdr:col>18</xdr:col>
      <xdr:colOff>530611</xdr:colOff>
      <xdr:row>26</xdr:row>
      <xdr:rowOff>19050</xdr:rowOff>
    </xdr:to>
    <xdr:pic>
      <xdr:nvPicPr>
        <xdr:cNvPr id="4" name="Picture 3">
          <a:extLst>
            <a:ext uri="{FF2B5EF4-FFF2-40B4-BE49-F238E27FC236}">
              <a16:creationId xmlns:a16="http://schemas.microsoft.com/office/drawing/2014/main" id="{EE9614C8-69E6-4809-8343-1B128F053921}"/>
            </a:ext>
          </a:extLst>
        </xdr:cNvPr>
        <xdr:cNvPicPr>
          <a:picLocks noChangeAspect="1"/>
        </xdr:cNvPicPr>
      </xdr:nvPicPr>
      <xdr:blipFill>
        <a:blip xmlns:r="http://schemas.openxmlformats.org/officeDocument/2006/relationships" r:embed="rId3"/>
        <a:stretch>
          <a:fillRect/>
        </a:stretch>
      </xdr:blipFill>
      <xdr:spPr>
        <a:xfrm>
          <a:off x="6696074" y="3019426"/>
          <a:ext cx="4807337" cy="1952624"/>
        </a:xfrm>
        <a:prstGeom prst="rect">
          <a:avLst/>
        </a:prstGeom>
      </xdr:spPr>
    </xdr:pic>
    <xdr:clientData/>
  </xdr:twoCellAnchor>
  <xdr:twoCellAnchor editAs="oneCell">
    <xdr:from>
      <xdr:col>19</xdr:col>
      <xdr:colOff>219076</xdr:colOff>
      <xdr:row>15</xdr:row>
      <xdr:rowOff>152400</xdr:rowOff>
    </xdr:from>
    <xdr:to>
      <xdr:col>33</xdr:col>
      <xdr:colOff>325164</xdr:colOff>
      <xdr:row>27</xdr:row>
      <xdr:rowOff>66675</xdr:rowOff>
    </xdr:to>
    <xdr:pic>
      <xdr:nvPicPr>
        <xdr:cNvPr id="6" name="Picture 5">
          <a:extLst>
            <a:ext uri="{FF2B5EF4-FFF2-40B4-BE49-F238E27FC236}">
              <a16:creationId xmlns:a16="http://schemas.microsoft.com/office/drawing/2014/main" id="{08210943-C059-4B62-9294-9B9995110F27}"/>
            </a:ext>
          </a:extLst>
        </xdr:cNvPr>
        <xdr:cNvPicPr>
          <a:picLocks noChangeAspect="1"/>
        </xdr:cNvPicPr>
      </xdr:nvPicPr>
      <xdr:blipFill>
        <a:blip xmlns:r="http://schemas.openxmlformats.org/officeDocument/2006/relationships" r:embed="rId4"/>
        <a:stretch>
          <a:fillRect/>
        </a:stretch>
      </xdr:blipFill>
      <xdr:spPr>
        <a:xfrm>
          <a:off x="11458576" y="3181350"/>
          <a:ext cx="4792388" cy="2371725"/>
        </a:xfrm>
        <a:prstGeom prst="rect">
          <a:avLst/>
        </a:prstGeom>
      </xdr:spPr>
    </xdr:pic>
    <xdr:clientData/>
  </xdr:twoCellAnchor>
  <xdr:twoCellAnchor editAs="oneCell">
    <xdr:from>
      <xdr:col>3</xdr:col>
      <xdr:colOff>57151</xdr:colOff>
      <xdr:row>29</xdr:row>
      <xdr:rowOff>9525</xdr:rowOff>
    </xdr:from>
    <xdr:to>
      <xdr:col>11</xdr:col>
      <xdr:colOff>19050</xdr:colOff>
      <xdr:row>40</xdr:row>
      <xdr:rowOff>175312</xdr:rowOff>
    </xdr:to>
    <xdr:pic>
      <xdr:nvPicPr>
        <xdr:cNvPr id="7" name="Picture 6">
          <a:extLst>
            <a:ext uri="{FF2B5EF4-FFF2-40B4-BE49-F238E27FC236}">
              <a16:creationId xmlns:a16="http://schemas.microsoft.com/office/drawing/2014/main" id="{15F0C2D7-4312-4F54-B8C1-44125F886DAC}"/>
            </a:ext>
          </a:extLst>
        </xdr:cNvPr>
        <xdr:cNvPicPr>
          <a:picLocks noChangeAspect="1"/>
        </xdr:cNvPicPr>
      </xdr:nvPicPr>
      <xdr:blipFill>
        <a:blip xmlns:r="http://schemas.openxmlformats.org/officeDocument/2006/relationships" r:embed="rId5"/>
        <a:stretch>
          <a:fillRect/>
        </a:stretch>
      </xdr:blipFill>
      <xdr:spPr>
        <a:xfrm>
          <a:off x="1885951" y="5534025"/>
          <a:ext cx="4838699" cy="243273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lló Ágota (MOL Nyrt.)" refreshedDate="44312.562303472223" createdVersion="6" refreshedVersion="6" minRefreshableVersion="3" recordCount="439" xr:uid="{32BA5C00-C2C9-4EE0-B691-24F9BA23D817}">
  <cacheSource type="worksheet">
    <worksheetSource ref="B24:AB248" sheet="NEW MODEL BY SES"/>
  </cacheSource>
  <cacheFields count="33">
    <cacheField name="Region" numFmtId="0">
      <sharedItems count="3">
        <s v="Nyugati"/>
        <s v="Központi"/>
        <s v="Keleti"/>
      </sharedItems>
    </cacheField>
    <cacheField name="Retail Sales Area" numFmtId="0">
      <sharedItems count="20">
        <s v="HU-12"/>
        <s v="HU-06"/>
        <s v="HU-17"/>
        <s v="HU-14"/>
        <s v="HU-05"/>
        <s v="HU-07"/>
        <s v="HU-02"/>
        <s v="HU-15"/>
        <s v="HU-16"/>
        <s v="HU-19"/>
        <s v="HU-01"/>
        <s v="HU-13"/>
        <s v="HU-04"/>
        <s v="HU-10"/>
        <s v="HU-09"/>
        <s v="HU-11"/>
        <s v="HU-08"/>
        <s v="HU-18"/>
        <s v="HU-20"/>
        <s v="HU-03"/>
      </sharedItems>
    </cacheField>
    <cacheField name="Profit center" numFmtId="0">
      <sharedItems containsNonDate="0" containsString="0" containsBlank="1"/>
    </cacheField>
    <cacheField name="PC BW" numFmtId="0">
      <sharedItems containsNonDate="0" containsString="0" containsBlank="1"/>
    </cacheField>
    <cacheField name="Code" numFmtId="0">
      <sharedItems containsSemiMixedTypes="0" containsString="0" containsNumber="1" containsInteger="1" minValue="11012" maxValue="65400"/>
    </cacheField>
    <cacheField name="SeS name" numFmtId="0">
      <sharedItems count="439">
        <s v="Abda, Bécsi u. 1."/>
        <s v="Abony, Radák u."/>
        <s v="Adony, 6. sz. főút"/>
        <s v="Ajka, Fõ út"/>
        <s v="Aszód, Pesti út"/>
        <s v="Bácsalmás, Backnang út"/>
        <s v="Badacsony, 71.sz. főút"/>
        <s v="Baja, Dózsa Gy. u. 97."/>
        <s v="Baja, Szegedi út"/>
        <s v="Bakonygyepes, 8. sz. fkl. út"/>
        <s v="Baktalórántháza, 41. sz. főút"/>
        <s v="Balassagyarmat, Kõvári út"/>
        <s v="Balatonakarattya, 71.sz. főút"/>
        <s v="Balatonalmádi, Fűzfői út"/>
        <s v="Balatonederics, 71-es főút"/>
        <s v="Balatonföldvár, Szentgyörgyi út"/>
        <s v="Balatonfüred, Széchenyi út"/>
        <s v="Balatonkeresztúr, 7. sz. főút"/>
        <s v="Balatonlelle, M7 I. (jobb)"/>
        <s v="Balatonlelle, M7 II. (bal)"/>
        <s v="Balatonlelle, Rákóczi út"/>
        <s v="Barcs, Erkel F. út"/>
        <s v="Bátaszék, Budai út"/>
        <s v="Bátonyterenye, 21. sz. főút"/>
        <s v="Békéscsaba, Bartók Béla út"/>
        <s v="Békéscsaba, Corvin u. 31."/>
        <s v="Békéscsaba, Sportcsarnok"/>
        <s v="Békéscsaba, Szegedi út"/>
        <s v="Beled, 86. sz. főút"/>
        <s v="Berettyóújfalu, 42. sz. főút"/>
        <s v="Berettyóújfalu, 42-47 út körforg"/>
        <s v="Berettyóújfalu, 47. sz. főút"/>
        <s v="Bicske, Botond tér"/>
        <s v="Biharkeresztes, 42. sz. főút"/>
        <s v="Bócsa, III. körzet 1."/>
        <s v="Bonyhád, Kossuth u."/>
        <s v="Bonyhád, Zrínyi út"/>
        <s v="Böhönye, Szabadság u."/>
        <s v="Budakeszi, Budaörsi u. "/>
        <s v="Budakeszi, Temető út"/>
        <s v="Budaörs, Garibaldi u. 2."/>
        <s v="Budaörs, Metro"/>
        <s v="Budaörs, Repülőtér"/>
        <s v="Budaörs, Rubik E. u."/>
        <s v="Budapest, Ady Endre út 22. (XIX)"/>
        <s v="Budapest, Ady Endre út 67. (XX)"/>
        <s v="Budapest, Arany J. u."/>
        <s v="Budapest, Árpád fejedelem út"/>
        <s v="Budapest, Bogáncs u."/>
        <s v="Budapest, Borszéki út"/>
        <s v="Budapest, Budaörsi út 126. (XI.)"/>
        <s v="Budapest, Cinkotai út (XVII)"/>
        <s v="Budapest, Csömöri út 27 (XIV)"/>
        <s v="Budapest, Fehér u."/>
        <s v="Budapest, Fóti út"/>
        <s v="Budapest, Futó u."/>
        <s v="Budapest, Garam u."/>
        <s v="Budapest, Gémeskút u. 12. (III.)"/>
        <s v="Budapest, Golgota tér"/>
        <s v="Budapest, Gubacsi út"/>
        <s v="Budapest, Gyáli út (IX.)"/>
        <s v="Budapest, Helsinki u. 108. (XX)"/>
        <s v="Budapest, Hõs u."/>
        <s v="Budapest, Hungária körút"/>
        <s v="Budapest, Hunyadi J. út"/>
        <s v="Budapest, Hűvösvölgyi út"/>
        <s v="Budapest, Irinyi u."/>
        <s v="Budapest, Istenhegyi út"/>
        <s v="Budapest, Kõbányai út"/>
        <s v="Budapest, Kossuth L. u."/>
        <s v="Budapest, Mészáros u."/>
        <s v="Budapest, Méta u. (XIX)"/>
        <s v="Budapest, Mezőkövesd út 1. (XI.)"/>
        <s v="Budapest, Mozaik u."/>
        <s v="Budapest, Nagykőrösi út"/>
        <s v="Budapest, Nagyszőlős u. 47.(XI.)"/>
        <s v="Budapest, Nagytétényi út"/>
        <s v="Budapest, Napfény u."/>
        <s v="Budapest, Ócsai út"/>
        <s v="Budapest, Ógyalla tér 1. (XIV)"/>
        <s v="Budapest, Pap Károly u."/>
        <s v="Budapest, Pesti út"/>
        <s v="Budapest, Prielle K. u."/>
        <s v="Budapest, Puskás F. u."/>
        <s v="Budapest, Rétköz u."/>
        <s v="Budapest, Róna u."/>
        <s v="Budapest, Szabadföldi út 81.(XV)"/>
        <s v="Budapest, Szabadkikötő út (XXI)"/>
        <s v="Budapest, Szent István út"/>
        <s v="Budapest, Szentendrei út 100.(III.)"/>
        <s v="Budapest, Szentendrei út 255.(III.)"/>
        <s v="Budapest, Szentendrei út 59.(III.)"/>
        <s v="Budapest, Üllõi út 661."/>
        <s v="Budapest, Üllői út 303. (XIX)"/>
        <s v="Budapest, Üllői út 738."/>
        <s v="Budapest, Váci út"/>
        <s v="Budapest, Váci út 19. (XIII)"/>
        <s v="Budapest, Váci út 84-92. (IV)"/>
        <s v="Budapest, Vágány u."/>
        <s v="Budapest, Veres Péter u."/>
        <s v="Budapest,Kerepesi út 5-7. (VIII.)"/>
        <s v="Budapest,Könyves Kálmán krt. 41(X.)"/>
        <s v="Budapest,Szentmihályi út 148.(XV.)"/>
        <s v="Cegléd, Külsõpesti u."/>
        <s v="Cegléd, M4 I."/>
        <s v="Cegléd, M4 II."/>
        <s v="Cegléd, Nagykőrösi út"/>
        <s v="Celldömölk, Ostffy tér"/>
        <s v="Csávoly, Dózsa Gy. u. 50."/>
        <s v="Csenger, Ady E. u."/>
        <s v="Cserkeszőlő, Kecskeméti út"/>
        <s v="Csongrád, Szentesi út"/>
        <s v="Csorna, Soproni út"/>
        <s v="Csurgó, Iharos út"/>
        <s v="Dabas, 50. sz. főút"/>
        <s v="Debrecen, Benedek tér"/>
        <s v="Debrecen, Böszörményi út"/>
        <s v="Debrecen, István út"/>
        <s v="Debrecen, Kassai út 27."/>
        <s v="Debrecen, Mikepércsi út I."/>
        <s v="Debrecen, Mikepércsi út II."/>
        <s v="Debrecen, Sámsoni út"/>
        <s v="Debrecen, Segner tér"/>
        <s v="Dég, 64. sz. főút"/>
        <s v="Dévaványa, Sport u."/>
        <s v="Devecser, Pápai út"/>
        <s v="Diósd, 70. sz. főút"/>
        <s v="Diósd, Balatoni út 11."/>
        <s v="Dombóvár, Köztársaság u."/>
        <s v="Dorog, Bécsi út"/>
        <s v="Dunaföldvár, 6. sz. főút"/>
        <s v="Dunaharaszti, Fő út"/>
        <s v="Dunakeszi, 2-es sz. főút"/>
        <s v="Dunaújváros, 6. sz. főút"/>
        <s v="Edelény, 27. sz. főút"/>
        <s v="Eger, Kistályai út 1."/>
        <s v="Eger, Kővágó tér"/>
        <s v="Eger, Mátyás király út"/>
        <s v="Eger, Rákóczi út"/>
        <s v="Encs, 3. sz. főút"/>
        <s v="Ercsi, M6 I. jobb (jobb)"/>
        <s v="Ercsi, M6 II. bal (bal)"/>
        <s v="Érd, Budai út I."/>
        <s v="Érd, Budai út II."/>
        <s v="Érd, Ercsi út"/>
        <s v="Esztergom, Dorogi út"/>
        <s v="Esztergom, Visegrádi út"/>
        <s v="Fegyvernek, 4. sz. főút"/>
        <s v="Fehérgyarmat, Alkotmány út"/>
        <s v="Felsőzsolca, 2034/14 hrsz"/>
        <s v="Fonyód, József A. u."/>
        <s v="Fót, M2"/>
        <s v="Füle, M7 autópálya I. 83 km"/>
        <s v="Füle, M7 autópálya II. 83 km"/>
        <s v="Fülöpszállás, Kurjantópuszta (52. sz. főút)"/>
        <s v="Füzesabony, Maklári út"/>
        <s v="Galgaguta, Kossuth u."/>
        <s v="Gárdony, Szabadság u."/>
        <s v="Gödöllõ, Szabadság u."/>
        <s v="Gödöllő, Dózsa György út 61."/>
        <s v="Gödöllő, Pattantyús Ábrahám krt. 4"/>
        <s v="Görbeháza, M3 I."/>
        <s v="Görbeháza, M3 II."/>
        <s v="Gyál, Kőrösi út"/>
        <s v="Gyomaendrőd, Fő út"/>
        <s v="Gyõr, Budai út"/>
        <s v="Gyõr, Nagy Imre u."/>
        <s v="Gyõr, Nagymegyeri út  (Galántai út)"/>
        <s v="Gyõr, Tatai út"/>
        <s v="Gyömrő, Mendei út"/>
        <s v="Gyöngyös, Alkotmány út"/>
        <s v="Gyöngyös, Pesti út"/>
        <s v="Győr AUDI HUNGÁRIA út. 1."/>
        <s v="Győr, Szent Imre u. 55."/>
        <s v="Győrújbarát, M1 autópálya 119.km"/>
        <s v="Gyula, Csabai út"/>
        <s v="Gyula, Temesvári út "/>
        <s v="Hajdúböszörmény, Debreceni út"/>
        <s v="Hajdúdorog, Böszörményi út"/>
        <s v="Hajdúnánás, Tiszavasvári út"/>
        <s v="Hajdúszoboszló, Debreceni út"/>
        <s v="Hajmáskér, 8-as főút"/>
        <s v="Harkány, Pécsi út"/>
        <s v="Hatvan, Csányi út"/>
        <s v="Hatvan, M3 I."/>
        <s v="Hatvan, M3 II."/>
        <s v="Hatvan, Rákóczi út"/>
        <s v="Hegyeshalom, Fő út 1."/>
        <s v="Heves, Csáti út"/>
        <s v="Hévíz, Hévízi út"/>
        <s v="Hódmezővásárhely, Szántó Kovács János út"/>
        <s v="Hódmezővásárhely, Tóalj út"/>
        <s v="Hosszúpályi, Földvár u."/>
        <s v="Isaszeg, 455 hrsz"/>
        <s v="Jánoshalma, Halasi út 91."/>
        <s v="Jászberény, Nagykátai út"/>
        <s v="Jászberény, Szolnoki u."/>
        <s v="Jászjákóhalma, Fő út 130/B. (31. sz. főút)"/>
        <s v="Kadarkút, Kaposvári u."/>
        <s v="Kalocsa, Negyvennyolcas út"/>
        <s v="Kám, Jókai Mór út"/>
        <s v="Kápolna, 3. sz. főút"/>
        <s v="Kaposvár, Füredi út"/>
        <s v="Kaposvár, Guba Sándor út"/>
        <s v="Kaposvár, Kanizsai u."/>
        <s v="Kaposvár, Vásár tér"/>
        <s v="Kaposszekcső, 611-es főút"/>
        <s v="Kapuvár, Gyõri út"/>
        <s v="Karcag, Gyarmati u."/>
        <s v="Karcag, Madarasi út"/>
        <s v="Kazincbarcika, 26. sz. főút"/>
        <s v="Kazincbarcika, Mucsonyi út"/>
        <s v="Kecel, Császártöltési u."/>
        <s v="Kecskemét, Békéscsabai út"/>
        <s v="Kecskemét, Budai u."/>
        <s v="Kecskemét, Izsáki u. 67."/>
        <s v="Kecskemét, Izsáki út 12/a"/>
        <s v="Kecskemét, Katona József tér"/>
        <s v="Kecskemét, M5 autópálya (bal)"/>
        <s v="Kecskemét, M5 autópálya (jobb)"/>
        <s v="Kecskemét, Szegedi út 19."/>
        <s v="Kenderes, Petőfi út 73."/>
        <s v="Kerepes, Szabadság út"/>
        <s v="Keszthely, Festetics Gy. út"/>
        <s v="Keszthely, Tapolcai út"/>
        <s v="Kiskőrös, Petőfi u."/>
        <s v="Kiskunfélegyháza, Bajcsy-Zs. u."/>
        <s v="Kiskunhalas, Majsai út"/>
        <s v="Kiskunlacháza, Hatház u."/>
        <s v="Kiskunmajsa, Halasi u."/>
        <s v="Kistelek, 5. sz. főút"/>
        <s v="Kisújszállás, 4. sz. főút"/>
        <s v="Kisvárda, Attila út"/>
        <s v="Komádi, Szent István út"/>
        <s v="Komárom, Mártírok út"/>
        <s v="Komló, Feketegyémánt tér"/>
        <s v="Körmend, Rákóczi F. út"/>
        <s v="Kőszeg, Petőfi S. tér"/>
        <s v="Kunhegyes, Kossuth Lajos u."/>
        <s v="Kunszentmárton, Szentesi út"/>
        <s v="Kunszentmiklós, Szabadság u."/>
        <s v="Lajosmizse, 50. sz. főút"/>
        <s v="Lakitelek, Szikra u. 206/c"/>
        <s v="Leányfalu, Móricz Zs. út"/>
        <s v="Lenti, Széchenyi tér"/>
        <s v="Letenye, Bajcsy-Zs. u."/>
        <s v="Lövő, Kőszegi út hrsz.0179/39 "/>
        <s v="M1 autópálya, 22 km I. (jobb)"/>
        <s v="M1 autópálya, 22 km II. (bal)"/>
        <s v="Marcali, Noszlopy u."/>
        <s v="Martfű, Földvári út 4."/>
        <s v="Mátészalka, Vásár tér"/>
        <s v="Mezőberény, Békési út"/>
        <s v="Mezőcsát, Nyékládházi út"/>
        <s v="Mezőhegyes, Kinizsi tér"/>
        <s v="Mezőkovácsháza, Mezőhegyesi út"/>
        <s v="Mezőkovácsháza, Vásárhelyi Sándor u. 1"/>
        <s v="Mezőkövesd, Nyárádi út"/>
        <s v="Mezőtúr, Balassi u."/>
        <s v="Miskolc, Boldva u. 2."/>
        <s v="Miskolc, Búza tér"/>
        <s v="Miskolc, Pesti út I. (jobb)"/>
        <s v="Miskolc, Pesti út II. (bal)"/>
        <s v="Miskolc, Újgyőri főtér 3."/>
        <s v="Mogyoród, Hungaroring"/>
        <s v="Mohács, Eszéki út"/>
        <s v="Mohács, Pécsi út"/>
        <s v="Monor, 4. sz. főút"/>
        <s v="Mór, Nemes u."/>
        <s v="Mór, Nemes u. 24."/>
        <s v="Mosonmagyaróvár, Királyhidai út "/>
        <s v="Mosonmagyaróvár, M1 I. (jobb)"/>
        <s v="Mosonmagyaróvár, M1 II. (bal)"/>
        <s v="Nagyatád, Lábodi út"/>
        <s v="Nagycenk, 84. sz. főút"/>
        <s v="Nagykanizsa, Balatoni út"/>
        <s v="Nagykanizsa, Camping"/>
        <s v="Nagykanizsa, Elkerülő út"/>
        <s v="Nagykáta, Ady E. u."/>
        <s v="Nagykőrös, Téglagyári u. 1"/>
        <s v="Nagymaros, Váci út"/>
        <s v="Nagyszénás, Orosházi út"/>
        <s v="Nagyvázsony, Templom kert"/>
        <s v="Nyírbátor, Császári út"/>
        <s v="Nyíregyháza, László u."/>
        <s v="Nyíregyháza, Pazonyi út"/>
        <s v="Nyíregyháza, Széna tér"/>
        <s v="Nyíregyháza, Tokaji út"/>
        <s v="Nyíregyháza, Vasgyár u. 18."/>
        <s v="Orosháza, Elkerülő út"/>
        <s v="Orosháza, Kettőssánc tér"/>
        <s v="Oroszlány, Rákóczi Ferenc út 94."/>
        <s v="Ózd, Vasvár út"/>
        <s v="Paks, 6. sz. főút"/>
        <s v="Pápa, Gyõri út"/>
        <s v="Pápa, Jókai út"/>
        <s v="Parádfürdö, 24. sz. főút"/>
        <s v="Pécel, Köztársaság tér"/>
        <s v="Pécs, 6. sz. főút"/>
        <s v="Pécs, Endresz út"/>
        <s v="Pécs, Komlói út"/>
        <s v="Pécs, Maléter P. u."/>
        <s v="Pécs, Pécsváradi út 12."/>
        <s v="Pécs, Siklósi út 9"/>
        <s v="Pécs, Szigeti út"/>
        <s v="Pécsvárad, 6. sz. főút"/>
        <s v="Pétervására, Orgona út"/>
        <s v="Piliscsaba, 10-es fő út"/>
        <s v="Pilisvörösvár, 10. sz. főút"/>
        <s v="Polgár, Hajdú u."/>
        <s v="Pomáz, Árpád fejedelem út"/>
        <s v="Putnok, 26. sz. főút"/>
        <s v="Püspökladány, Keleti sor"/>
        <s v="Rábafüzes, 8. sz. főút"/>
        <s v="Ráckeve, Kossuth L. u."/>
        <s v="Rajka, Bem József u."/>
        <s v="Rédics, 86. sz. főút"/>
        <s v="Rekettyés pihenőhely, M3 I. (jobb)"/>
        <s v="Rekettyés pihenőhely, M3 II. (bal)"/>
        <s v="Rétság, 2. sz. főút"/>
        <s v="Ságvár, 65-ös főút"/>
        <s v="Sajószentpéter, Kossuth L. út"/>
        <s v="Sajtoskál, 84-es főút"/>
        <s v="Salgótarján, Budapesti u."/>
        <s v="Salgótarján, Rákóczi út"/>
        <s v="Sárbogárd, Köztársaság út"/>
        <s v="Sarkad, Vásár tér"/>
        <s v="Sárkeresztes, 81-es főút"/>
        <s v="Sárospatak, Wesselényi út"/>
        <s v="Sárvár, Vágóhíd u."/>
        <s v="Sásd, Szent Imre út 42."/>
        <s v="Sátoraljaújhely, Várhegy u."/>
        <s v="Siklós, Szent István tér"/>
        <s v="Simontornya, 61-es főút"/>
        <s v="Siófok, M7 autópálya I. 94. km"/>
        <s v="Siófok, M7 autópálya II. 94. km"/>
        <s v="Siófok, Wesselényi u."/>
        <s v="Solt, Vecsei u."/>
        <s v="Sopron, Győri út 42."/>
        <s v="Sopron, Határátkelő I. (jobb)"/>
        <s v="Sopron, Kõfaragó tér"/>
        <s v="Sümeg, Alkotmány u."/>
        <s v="Szabadszállás, Petőfi S. út"/>
        <s v="Szalánta, 58. főút"/>
        <s v="Szarvas, Békéscsabai út"/>
        <s v="Szarvas, Szabadság út 51-53."/>
        <s v="Szatymaz, M5 autópálya I. (jobb)"/>
        <s v="Szatymaz, M5 autópálya II. (bal)"/>
        <s v="Százhalombatta, Bekötõ út"/>
        <s v="Százhalombatta, Dunai Finomító"/>
        <s v="Szécsény, Salgótarjáni út"/>
        <s v="Szeged, 47.sz. főút"/>
        <s v="Szeged, Csongrádi sugárút"/>
        <s v="Szeged, Dorozsmai út"/>
        <s v="Szeged, Dorozsmai út 16."/>
        <s v="Szeged, Kálvária sugárút"/>
        <s v="Szeged, Makai út"/>
        <s v="Szeged, Makkosházi krt. 6."/>
        <s v="Szeged, Vásárhelyi Pál u."/>
        <s v="Szeghalom, Ady Endre út"/>
        <s v="Székesfehérvár, Balatoni út"/>
        <s v="Székesfehérvár, Sárkeresztúri út"/>
        <s v="Székesfehérvár, Seregélyesi út"/>
        <s v="Székesfehérvár, Seregélyesi út 1"/>
        <s v="Székesfehérvár, Szent Flórián u."/>
        <s v="Szekszárd, Csatári Torok"/>
        <s v="Szekszárd, M6 I."/>
        <s v="Szekszárd, M6 II."/>
        <s v="Szekszárd, Pásztor út"/>
        <s v="Szentendre, Vasúti villasor"/>
        <s v="Szentes, Attila út"/>
        <s v="Szentgotthárd, Rábafüzesi út"/>
        <s v="Szentlőrinc, Törökföld u."/>
        <s v="Szerencs, 37. sz. főút"/>
        <s v="Szerencs, Gyár út 38."/>
        <s v="Szigethalom, Petőfi S. u."/>
        <s v="Szigetszentmiklós, HRSZ12902/13"/>
        <s v="Szigetvár, József A. u."/>
        <s v="Szikszó, Vásár tér/Miskolci u."/>
        <s v="Szolnok, Abonyi út"/>
        <s v="Szolnok, Elkerülő út"/>
        <s v="Szolnok, Gábor Áron tér"/>
        <s v="Szolnok, Pozsonyi út"/>
        <s v="Szolnok, Tószegi út 18."/>
        <s v="Szombathely, Márkus Emília u. 10"/>
        <s v="Szombathely, Viktória út 1."/>
        <s v="Szombathely, Zanati út I."/>
        <s v="Szombathely, Zanati út II.  "/>
        <s v="Tab, Siófoki út"/>
        <s v="Tamási, Szabadság u."/>
        <s v="Tapolca, Keszthelyi u."/>
        <s v="Tapolca, Kossuth út"/>
        <s v="Tata, Vértesszőlősi út"/>
        <s v="Tatabánya, Gyõri út"/>
        <s v="Tatabánya, Kossuth L. u."/>
        <s v="Téglás, 4. sz. főút"/>
        <s v="Tiszafüred, Ady E. út"/>
        <s v="Tiszakécske, Szolnoki u."/>
        <s v="Tiszalök, Táncsics u."/>
        <s v="Tiszaújváros, 35. sz. főút"/>
        <s v="Tokaj, Tarcali út"/>
        <s v="Tolna, Szedresi u."/>
        <s v="Tolna-Mözs, Béri Balogh Ádám u. "/>
        <s v="Törökbálint, M0 6 km."/>
        <s v="Törökbálint, Raktárvárosi u. 3."/>
        <s v="Törökszentmiklós, Kossuth L. út"/>
        <s v="Túrkeve, Kisújszállási u."/>
        <s v="Újfehértó, 4. sz. főút"/>
        <s v="Vác, Balassagyarmati út"/>
        <s v="Vác, Diadal tér"/>
        <s v="Vajszló, Széchenyi út"/>
        <s v="Vámospércs, Debreceni út"/>
        <s v="Várpalota, 8. sz. főút I. (jobb)"/>
        <s v="Várpalota, 8. sz. főút II. (bal)"/>
        <s v="Várpalota, 8-as főút"/>
        <s v="Vásárosnamény, Nyíregyházi út"/>
        <s v="Vasvár, Dr. Tretter L. u."/>
        <s v="Vecsés, Fő út"/>
        <s v="Vecsés, M0 I. (jobb)"/>
        <s v="Vecsés, M0 II. (bal)"/>
        <s v="Velence, M7 I. (jobb)"/>
        <s v="Velence, M7 II. (bal)"/>
        <s v="Veresegyház, Fő u."/>
        <s v="Vértesszőlős, Határ u. 1-3."/>
        <s v="Veszprém, Almádi u."/>
        <s v="Veszprém, belterület HRSZ: 6608/11"/>
        <s v="Veszprém, Budapesti u."/>
        <s v="Veszprém, Budapesti út 91."/>
        <s v="Villány, Virágosi út"/>
        <s v="Visegrád, 11. sz. főút"/>
        <s v="Záhony, 4. sz. főút"/>
        <s v="Zalaegerszeg, Balatoni út I."/>
        <s v="Zalaegerszeg, Göcseji u. 37"/>
        <s v="Zalaegerszeg, Zrínyi út"/>
        <s v="Zalakomár, M7 I. (jobb)"/>
        <s v="Zalakomár, M7 II. (bal)"/>
        <s v="ZalaZone Járműtechnikai Tesztpálya "/>
        <s v="Zamárdi, Endrédi út"/>
        <s v="Zirc, Kossuth L. út"/>
      </sharedItems>
    </cacheField>
    <cacheField name="Model" numFmtId="0">
      <sharedItems/>
    </cacheField>
    <cacheField name="No. of Employees" numFmtId="3">
      <sharedItems containsSemiMixedTypes="0" containsString="0" containsNumber="1" minValue="0" maxValue="20"/>
    </cacheField>
    <cacheField name="No. of Emp._x000a_POINTS" numFmtId="3">
      <sharedItems containsSemiMixedTypes="0" containsString="0" containsNumber="1" containsInteger="1" minValue="0" maxValue="60"/>
    </cacheField>
    <cacheField name="FUEL_x000a_(lit)" numFmtId="3">
      <sharedItems containsSemiMixedTypes="0" containsString="0" containsNumber="1" minValue="4699.49" maxValue="15931602.390005019"/>
    </cacheField>
    <cacheField name="FUEL_x000a_POINTS" numFmtId="3">
      <sharedItems containsSemiMixedTypes="0" containsString="0" containsNumber="1" containsInteger="1" minValue="5" maxValue="20"/>
    </cacheField>
    <cacheField name="LPG_x000a_(lit)" numFmtId="3">
      <sharedItems containsSemiMixedTypes="0" containsString="0" containsNumber="1" minValue="0" maxValue="250566.74000000002"/>
    </cacheField>
    <cacheField name="LPG_x000a_POINTS" numFmtId="3">
      <sharedItems containsSemiMixedTypes="0" containsString="0" containsNumber="1" containsInteger="1" minValue="0" maxValue="20"/>
    </cacheField>
    <cacheField name="NON-FUEL SHOP_x000a_revenue (HUF)" numFmtId="3">
      <sharedItems containsSemiMixedTypes="0" containsString="0" containsNumber="1" minValue="0" maxValue="142965097.88360199"/>
    </cacheField>
    <cacheField name="NF SHOP_x000a_POINTS" numFmtId="3">
      <sharedItems containsSemiMixedTypes="0" containsString="0" containsNumber="1" containsInteger="1" minValue="0" maxValue="50"/>
    </cacheField>
    <cacheField name="LUBRICANTS_x000a_(revenue HUF)" numFmtId="3">
      <sharedItems containsSemiMixedTypes="0" containsString="0" containsNumber="1" minValue="0" maxValue="7823700.2019000305"/>
    </cacheField>
    <cacheField name="LUBES_x000a_POINTS" numFmtId="3">
      <sharedItems containsSemiMixedTypes="0" containsString="0" containsNumber="1" containsInteger="1" minValue="0" maxValue="5"/>
    </cacheField>
    <cacheField name="LPG BOTTLED_x000a_revenue (HUF)" numFmtId="3">
      <sharedItems containsSemiMixedTypes="0" containsString="0" containsNumber="1" minValue="0" maxValue="25029504.315699946"/>
    </cacheField>
    <cacheField name="LPG BOT._x000a_POINTS" numFmtId="3">
      <sharedItems containsSemiMixedTypes="0" containsString="0" containsNumber="1" containsInteger="1" minValue="0" maxValue="20"/>
    </cacheField>
    <cacheField name="GASTRO_x000a_revenue (HUF)" numFmtId="3">
      <sharedItems containsSemiMixedTypes="0" containsString="0" containsNumber="1" minValue="0" maxValue="108476815.47929914"/>
    </cacheField>
    <cacheField name="AB/FC/CC" numFmtId="3">
      <sharedItems containsBlank="1"/>
    </cacheField>
    <cacheField name="GASTRO_x000a_POINTS" numFmtId="3">
      <sharedItems containsSemiMixedTypes="0" containsString="0" containsNumber="1" containsInteger="1" minValue="0" maxValue="40"/>
    </cacheField>
    <cacheField name="CAR WASH_x000a_revenue (HUF)" numFmtId="3">
      <sharedItems containsSemiMixedTypes="0" containsString="0" containsNumber="1" minValue="0" maxValue="24305808.908901718"/>
    </cacheField>
    <cacheField name="CAR WASH_x000a_POINTS" numFmtId="3">
      <sharedItems containsSemiMixedTypes="0" containsString="0" containsNumber="1" containsInteger="1" minValue="0" maxValue="20"/>
    </cacheField>
    <cacheField name="EXCHANGE OFFFICE" numFmtId="3">
      <sharedItems/>
    </cacheField>
    <cacheField name="EXCH. OFF._x000a_POINTS" numFmtId="3">
      <sharedItems containsSemiMixedTypes="0" containsString="0" containsNumber="1" containsInteger="1" minValue="0" maxValue="0"/>
    </cacheField>
    <cacheField name="0" numFmtId="0">
      <sharedItems containsNonDate="0" containsString="0" containsBlank="1"/>
    </cacheField>
    <cacheField name="TOTAL SCORE" numFmtId="3">
      <sharedItems containsSemiMixedTypes="0" containsString="0" containsNumber="1" containsInteger="1" minValue="5" maxValue="219" count="105">
        <n v="72"/>
        <n v="79"/>
        <n v="93"/>
        <n v="127"/>
        <n v="83"/>
        <n v="82"/>
        <n v="92"/>
        <n v="78"/>
        <n v="154"/>
        <n v="180"/>
        <n v="119"/>
        <n v="87"/>
        <n v="105"/>
        <n v="170"/>
        <n v="88"/>
        <n v="112"/>
        <n v="107"/>
        <n v="124"/>
        <n v="94"/>
        <n v="74"/>
        <n v="62"/>
        <n v="108"/>
        <n v="138"/>
        <n v="52"/>
        <n v="158"/>
        <n v="132"/>
        <n v="109"/>
        <n v="53"/>
        <n v="73"/>
        <n v="118"/>
        <n v="110"/>
        <n v="123"/>
        <n v="143"/>
        <n v="128"/>
        <n v="113"/>
        <n v="164"/>
        <n v="133"/>
        <n v="67"/>
        <n v="195"/>
        <n v="42"/>
        <n v="185"/>
        <n v="47"/>
        <n v="103"/>
        <n v="102"/>
        <n v="117"/>
        <n v="160"/>
        <n v="100"/>
        <n v="149"/>
        <n v="68"/>
        <n v="63"/>
        <n v="57"/>
        <n v="134"/>
        <n v="58"/>
        <n v="77"/>
        <n v="219"/>
        <n v="144"/>
        <n v="55"/>
        <n v="97"/>
        <n v="98"/>
        <n v="89"/>
        <n v="159"/>
        <n v="148"/>
        <n v="114"/>
        <n v="84"/>
        <n v="147"/>
        <n v="174"/>
        <n v="168"/>
        <n v="200"/>
        <n v="210"/>
        <n v="152"/>
        <n v="179"/>
        <n v="173"/>
        <n v="165"/>
        <n v="190"/>
        <n v="145"/>
        <n v="5"/>
        <n v="54"/>
        <n v="125"/>
        <n v="153"/>
        <n v="104"/>
        <n v="80"/>
        <n v="169"/>
        <n v="189"/>
        <n v="85"/>
        <n v="95"/>
        <n v="139"/>
        <n v="183"/>
        <n v="69"/>
        <n v="142"/>
        <n v="155"/>
        <n v="48"/>
        <n v="59"/>
        <n v="120"/>
        <n v="184"/>
        <n v="90"/>
        <n v="99"/>
        <n v="194"/>
        <n v="122"/>
        <n v="163"/>
        <n v="137"/>
        <n v="188"/>
        <n v="64"/>
        <n v="70"/>
        <n v="129"/>
        <n v="178"/>
      </sharedItems>
    </cacheField>
    <cacheField name="NEW_x000a_CATEGORY_x000a_(ROMAN)" numFmtId="0">
      <sharedItems count="4">
        <s v="IV"/>
        <s v="III"/>
        <s v="II"/>
        <s v="I"/>
      </sharedItems>
    </cacheField>
    <cacheField name="NEW_x000a_CATEGORY_x000a_(ARABIC)" numFmtId="0">
      <sharedItems containsSemiMixedTypes="0" containsString="0" containsNumber="1" containsInteger="1" minValue="1" maxValue="4"/>
    </cacheField>
    <cacheField name="02" numFmtId="0">
      <sharedItems containsNonDate="0" containsString="0" containsBlank="1"/>
    </cacheField>
    <cacheField name="CURRENT_x000a_CATEGORY_x000a_(ROMAN)" numFmtId="0">
      <sharedItems containsBlank="1"/>
    </cacheField>
    <cacheField name="CURRENT_x000a_CATEGORY_x000a_(ARABIC)" numFmtId="0">
      <sharedItems containsString="0" containsBlank="1"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dzierski Vojtech" refreshedDate="45575.642887268521" createdVersion="8" refreshedVersion="8" minRefreshableVersion="3" recordCount="232" xr:uid="{984B19F0-4293-4C7B-BD89-8E7F25E2AB91}">
  <cacheSource type="worksheet">
    <worksheetSource ref="A1:F233" sheet="Sheet1"/>
  </cacheSource>
  <cacheFields count="6">
    <cacheField name="Code" numFmtId="0">
      <sharedItems containsSemiMixedTypes="0" containsString="0" containsNumber="1" containsInteger="1" minValue="10101" maxValue="40213" count="232">
        <n v="10748"/>
        <n v="10612"/>
        <n v="30418"/>
        <n v="11412"/>
        <n v="10611"/>
        <n v="10105"/>
        <n v="30608"/>
        <n v="10706"/>
        <n v="10101"/>
        <n v="40141"/>
        <n v="11701"/>
        <n v="20216"/>
        <n v="40131"/>
        <n v="40130"/>
        <n v="11123"/>
        <n v="10737"/>
        <n v="11706"/>
        <n v="40144"/>
        <n v="11906"/>
        <n v="10120"/>
        <n v="11420"/>
        <n v="40124"/>
        <n v="11807"/>
        <n v="30602"/>
        <n v="40139"/>
        <n v="10106"/>
        <n v="11501"/>
        <n v="40137"/>
        <n v="30111"/>
        <n v="11802"/>
        <n v="30609"/>
        <n v="40123"/>
        <n v="11305"/>
        <n v="30216"/>
        <n v="11409"/>
        <n v="40206"/>
        <n v="11611"/>
        <n v="30417"/>
        <n v="40104"/>
        <n v="20517"/>
        <n v="10605"/>
        <n v="20520"/>
        <n v="40145"/>
        <n v="20210"/>
        <n v="11803"/>
        <n v="40128"/>
        <n v="20528"/>
        <n v="40114"/>
        <n v="40117"/>
        <n v="10742"/>
        <n v="20214"/>
        <n v="20406"/>
        <n v="10124"/>
        <n v="11215"/>
        <n v="20519"/>
        <n v="30214"/>
        <n v="40108"/>
        <n v="20913"/>
        <n v="11122"/>
        <n v="11507"/>
        <n v="40120"/>
        <n v="20401"/>
        <n v="10527"/>
        <n v="40118"/>
        <n v="40129"/>
        <n v="40102"/>
        <n v="40138"/>
        <n v="20404"/>
        <n v="11211"/>
        <n v="40125"/>
        <n v="30412"/>
        <n v="40121"/>
        <n v="11811"/>
        <n v="40142"/>
        <n v="30207"/>
        <n v="30205"/>
        <n v="11509"/>
        <n v="11901"/>
        <n v="30127"/>
        <n v="11417"/>
        <n v="30612"/>
        <n v="10518"/>
        <n v="30607"/>
        <n v="11503"/>
        <n v="20418"/>
        <n v="11307"/>
        <n v="11401"/>
        <n v="30402"/>
        <n v="10714"/>
        <n v="40111"/>
        <n v="10609"/>
        <n v="11218"/>
        <n v="40116"/>
        <n v="20907"/>
        <n v="11809"/>
        <n v="30203"/>
        <n v="10501"/>
        <n v="20903"/>
        <n v="11304"/>
        <n v="30618"/>
        <n v="20429"/>
        <n v="11601"/>
        <n v="11510"/>
        <n v="20503"/>
        <n v="40113"/>
        <n v="40211"/>
        <n v="40109"/>
        <n v="11208"/>
        <n v="10138"/>
        <n v="20912"/>
        <n v="20408"/>
        <n v="40136"/>
        <n v="11909"/>
        <n v="11214"/>
        <n v="20905"/>
        <n v="20416"/>
        <n v="20205"/>
        <n v="20435"/>
        <n v="30405"/>
        <n v="11710"/>
        <n v="10736"/>
        <n v="11618"/>
        <n v="20513"/>
        <n v="20523"/>
        <n v="10724"/>
        <n v="11705"/>
        <n v="10103"/>
        <n v="11210"/>
        <n v="10128"/>
        <n v="20536"/>
        <n v="11415"/>
        <n v="11413"/>
        <n v="11204"/>
        <n v="11303"/>
        <n v="11616"/>
        <n v="20514"/>
        <n v="11311"/>
        <n v="40115"/>
        <n v="10507"/>
        <n v="20915"/>
        <n v="20215"/>
        <n v="10721"/>
        <n v="20902"/>
        <n v="11606"/>
        <n v="30202"/>
        <n v="11613"/>
        <n v="20916"/>
        <n v="40133"/>
        <n v="40112"/>
        <n v="40212"/>
        <n v="10702"/>
        <n v="20908"/>
        <n v="20424"/>
        <n v="11306"/>
        <n v="10738"/>
        <n v="40213"/>
        <n v="30614"/>
        <n v="11708"/>
        <n v="11911"/>
        <n v="11814"/>
        <n v="11212"/>
        <n v="20911"/>
        <n v="20212"/>
        <n v="10137"/>
        <n v="30108"/>
        <n v="10744"/>
        <n v="11508"/>
        <n v="10743"/>
        <n v="30616"/>
        <n v="11406"/>
        <n v="11109"/>
        <n v="11502"/>
        <n v="10140"/>
        <n v="30112"/>
        <n v="11902"/>
        <n v="40202"/>
        <n v="10118"/>
        <n v="40122"/>
        <n v="40126"/>
        <n v="40106"/>
        <n v="10711"/>
        <n v="40203"/>
        <n v="40207"/>
        <n v="11609"/>
        <n v="20511"/>
        <n v="11117"/>
        <n v="11403"/>
        <n v="11904"/>
        <n v="11116"/>
        <n v="20431"/>
        <n v="20433"/>
        <n v="20906"/>
        <n v="30619"/>
        <n v="20541"/>
        <n v="40103"/>
        <n v="40105"/>
        <n v="20909"/>
        <n v="30421"/>
        <n v="10516"/>
        <n v="11312"/>
        <n v="20421"/>
        <n v="40208"/>
        <n v="30121"/>
        <n v="30104"/>
        <n v="30109"/>
        <n v="11812"/>
        <n v="40209"/>
        <n v="40204"/>
        <n v="40119"/>
        <n v="10601"/>
        <n v="10502"/>
        <n v="10526"/>
        <n v="11410"/>
        <n v="10144"/>
        <n v="30407"/>
        <n v="30615"/>
        <n v="40127"/>
        <n v="20526"/>
        <n v="10741"/>
        <n v="11602"/>
        <n v="10109"/>
        <n v="10504"/>
        <n v="11124"/>
        <n v="40132"/>
        <n v="40107"/>
        <n v="11912"/>
        <n v="10712"/>
        <n v="11404"/>
        <n v="10747"/>
        <n v="11617"/>
        <n v="10133"/>
        <n v="10130"/>
      </sharedItems>
    </cacheField>
    <cacheField name="SeS name" numFmtId="0">
      <sharedItems count="232">
        <s v="Zeleneč I."/>
        <s v="Sekule I."/>
        <s v="Štrba"/>
        <s v="Trenčín-Zamarovce"/>
        <s v="Sekule II."/>
        <s v="Bratislava-DČS Zlaté Piesky"/>
        <s v="Malý Šariš-sever"/>
        <s v="Ilava II."/>
        <s v="Bratislava-Záhorská Bystrica"/>
        <s v="Žilina-Kysucká"/>
        <s v="Bytča"/>
        <s v="Ivachnová"/>
        <s v="Budča-Sever"/>
        <s v="Budča-Juh"/>
        <s v="Komárno-Novozámocká"/>
        <s v="Trnava-Bučianska"/>
        <s v="Námestovo"/>
        <s v="Pohranice - Juh"/>
        <s v="Poprad-Predné hony"/>
        <s v="Pezinok-Šenkvická"/>
        <s v="Nové Mesto nad Váhom - Zelená Voda"/>
        <s v="Bratislava-Botanická"/>
        <s v="Moldava nad Bodvou"/>
        <s v="Bardejov-Duklianska"/>
        <s v="Trenčín-Električná"/>
        <s v="Bratislava – Prístavná"/>
        <s v="Dolná Streda"/>
        <s v="Poprad-Moyzesova"/>
        <s v="Košice-Šaca"/>
        <s v="Košice-Barca"/>
        <s v="Malý Šariš-juh"/>
        <s v="Bratislava-Bajkalská II."/>
        <s v="Nitra-Drážovská"/>
        <s v="Vranov-Čemerné"/>
        <s v="Prievidza-Necpaly"/>
        <s v="DČS Hrádok"/>
        <s v="Rimavská Sobota-Hlavná"/>
        <s v="Stará Ľubovňa-Pri motoreste"/>
        <s v="Zvolen-Lieskovec"/>
        <s v="Žilina-Šibenice"/>
        <s v="Kúty"/>
        <s v="Žilina-Kragujevská"/>
        <s v="Pohranice - Sever"/>
        <s v="Ružomberok-Roveň"/>
        <s v="Košice-KVP"/>
        <s v="Bratislava-Vrakunská"/>
        <s v="Nováky"/>
        <s v="Zlaté Moravce - M.Urbana"/>
        <s v="Kalná nad Hronom"/>
        <s v="Sládkovičovo"/>
        <s v="Vyšný Kubín"/>
        <s v="Detva-sídlisko"/>
        <s v="Bratislava-Dvory IV."/>
        <s v="Senec-Trnavská"/>
        <s v="Žilina-Vysokoškolákov"/>
        <s v="Trebišov-Hlavná"/>
        <s v="Bánovce nad Bebravou - Trenčianska II."/>
        <s v="Liptovský Hrádok-Pod celinami"/>
        <s v="Veľký Meder"/>
        <s v="Senica"/>
        <s v="Holíč-Bratislavská"/>
        <s v="Banská Bystrica-Partizánska"/>
        <s v="Nová Baňa"/>
        <s v="Dunajská Lužná"/>
        <s v="Banská Bystrica-Zvolenská"/>
        <s v="Janovík-Západ"/>
        <s v="Považská Bystrica-Slovenských partizánov"/>
        <s v="Brezno"/>
        <s v="Malacky"/>
        <s v="Bratislava-Bratská"/>
        <s v="Spišská Nová Ves-Markušovská"/>
        <s v="Senec - Senecká"/>
        <s v="Sobrance"/>
        <s v="Košice-Poľov"/>
        <s v="Michalovce - Sobranecká"/>
        <s v="Michalovce-Močaranská"/>
        <s v="Trnava-Bratislavská"/>
        <s v="Bardejov-Prešovská"/>
        <s v="Rožňava-Brzotín"/>
        <s v="Sverepec"/>
        <s v="Prešov-Levočská"/>
        <s v="Zlaté Moravce-Hlavná"/>
        <s v="Hanušovce nad Topľou"/>
        <s v="Galanta-Šalská cesta"/>
        <s v="Zvolen-Neresnícka"/>
        <s v="Nitra-Chrenová"/>
        <s v="Bánovce nad Bebravou"/>
        <s v="Kežmarok-Nižná brána"/>
        <s v="Piešťany-Bratislavská"/>
        <s v="Trenčianska Turná"/>
        <s v="Skalica"/>
        <s v="Bratislava-Vajnory I."/>
        <s v="Levice-Ku Bratke"/>
        <s v="Šamorín-Bratislavská"/>
        <s v="Sečovce-Kochanovská"/>
        <s v="Kráľovský Chlmec II."/>
        <s v="Banská Štiavnica"/>
        <s v="Bratislava-Petržalka I."/>
        <s v="Levice-Družstevnícka"/>
        <s v="Stropkov"/>
        <s v="Lučenec-Opatová"/>
        <s v="Banská Bystrica-Jakub"/>
        <s v="Vrbové"/>
        <s v="Radoľa"/>
        <s v="Martin-Francúzskych partizánov"/>
        <s v="Ľubotice​"/>
        <s v="Bratislava - Dolnozemská II."/>
        <s v="Bratislava-Bajkalská"/>
        <s v="Dunajská Streda-Komárňanská"/>
        <s v="Šahy-Hontianska II."/>
        <s v="Krupina"/>
        <s v="Piešťany-Vrbovská"/>
        <s v="Sabinov"/>
        <s v="Pezinok-Bratislavská"/>
        <s v="Bratislava-Podunaj.Biskupice II."/>
        <s v="Veľký Krtíš"/>
        <s v="Liptovský Mikuláš-Okoličné"/>
        <s v="Banská Bystrica-Kremnička"/>
        <s v="Krompachy"/>
        <s v="Zákamenné"/>
        <s v="Trnava-Nitrianska I."/>
        <s v="Revúca-M.R.Štefánika"/>
        <s v="Turzovka"/>
        <s v="Handlová-Prievidzská"/>
        <s v="Hlohovec-Šulekovo"/>
        <s v="Martin-sever"/>
        <s v="Bratislava-Zlaté Piesky"/>
        <s v="Bratislava-Devínska Nová Ves"/>
        <s v="Senec-Bratislavská"/>
        <s v="Turčianske Teplice"/>
        <s v="Považská Bystrica-Orlové"/>
        <s v="Trenčín-Žemberov dom"/>
        <s v="Bratislava-Pod. Biskupice I."/>
        <s v="Kolárovo"/>
        <s v="Žiar n.Hronom-SNP"/>
        <s v="Terchová"/>
        <s v="Želiezovce"/>
        <s v="Žiar nad Hronom - Ladomerská Vieska"/>
        <s v="Levice-Kálnická"/>
        <s v="Zvolen-Tulská"/>
        <s v="Nižná na Orave"/>
        <s v="Topoľčany-Nitrianska"/>
        <s v="Bratislava-ul.Sch.-Trnavského"/>
        <s v="Lučenec-Halíčska"/>
        <s v="Humenné-ul.Mieru"/>
        <s v="Tornaľa"/>
        <s v="Košice-Sečovská"/>
        <s v="Košice-Jantárová"/>
        <s v="Jablonov nad Turňou"/>
        <s v="Prešov – Ľ. Svobodu​"/>
        <s v="Partizánske"/>
        <s v="Nové Zámky-Výpalisko"/>
        <s v="Hnúšťa"/>
        <s v="Nitra-Krškany"/>
        <s v="Bošany"/>
        <s v="Prievidza – Nadjazdová​"/>
        <s v="Prešov-Sekčov"/>
        <s v="Svrčinovec"/>
        <s v="Svit"/>
        <s v="Veľké Kapušany"/>
        <s v="Modra"/>
        <s v="Nitra-Baničova"/>
        <s v="Trstená"/>
        <s v="Blatná na Ostrove"/>
        <s v="Košice-Moldavská"/>
        <s v="Šaľa-Galantská"/>
        <s v="Sereď"/>
        <s v="Šaľa-Veča"/>
        <s v="Raslavice"/>
        <s v="Myjava"/>
        <s v="Komárno-Bratislavská"/>
        <s v="Dunajská Streda-Bratislavská I."/>
        <s v="Gabčíkovo"/>
        <s v="Košice-Festivalové námestie"/>
        <s v="Humenné-ul.Osloboditeľov"/>
        <s v="Bratislava - Dúbravka II."/>
        <s v="Bernolákovo"/>
        <s v="Banská Bystrica-Rudlovská"/>
        <s v="Bratislava-Tomášikova II."/>
        <s v="Košice-Palackého"/>
        <s v="Trenčín-Záblatie"/>
        <s v="Bratislava - Panónska"/>
        <s v="Košice - Textilná"/>
        <s v="Poltár"/>
        <s v="Rajec"/>
        <s v="Šurany"/>
        <s v="Dubnica nad Váhom"/>
        <s v="Levoča"/>
        <s v="Štúrovo"/>
        <s v="Rimavská Sobota-Cukrovarská"/>
        <s v="Slovenské Ďarmoty"/>
        <s v="Dunajská Streda-Bratislavská II."/>
        <s v="Svidník"/>
        <s v="Púchov-Streženická"/>
        <s v="Prievidza - Rad L.N.Tolstého"/>
        <s v="Dunajská Streda-Galantská"/>
        <s v="Štúrovo-Železničný rad"/>
        <s v="Ždiar"/>
        <s v="Vráble-Nitrianska"/>
        <s v="Nové Zámky-Komárňanská II."/>
        <s v="Zvolen-Rákoš"/>
        <s v="Košice - Dargovských hrdinov "/>
        <s v="Gelnica"/>
        <s v="Košice-Hutnícka"/>
        <s v="Košice-Luník"/>
        <s v="Spišská Nová Ves-Harichovská"/>
        <s v="Michalovce - Močarianska II."/>
        <s v="Bratislava - Slovnaftská"/>
        <s v="Sládkovičovo - Pionierska"/>
        <s v="Brezová pod Bradlom"/>
        <s v="Beladice"/>
        <s v="Kremnica"/>
        <s v="Púchov-Nimnická"/>
        <s v="Bratislava-Púchovská"/>
        <s v="Nový Smokovec-Cesta slobody"/>
        <s v="Veľký Šariš"/>
        <s v="Bratislava - Vajnorská II."/>
        <s v="Martin-Kollárova"/>
        <s v="Madunice"/>
        <s v="Banská Bystrica-Štiavničky"/>
        <s v="Bratislava-Viedenská"/>
        <s v="Dudince"/>
        <s v="Demandice"/>
        <s v="Košice-Alejová"/>
        <s v="Medveďov"/>
        <s v="Medzilaborce-Dobrianska"/>
        <s v="Trenčianske Teplice"/>
        <s v="Lednické Rovne"/>
        <s v="Jaslovské Bohunice"/>
        <s v="Zvolen-Lesnícka cesta"/>
        <s v="Vnútropodniková - lobby"/>
        <s v="Slovnaft-vnútropodniková"/>
      </sharedItems>
    </cacheField>
    <cacheField name="old fee" numFmtId="0">
      <sharedItems containsSemiMixedTypes="0" containsString="0" containsNumber="1" containsInteger="1" minValue="50" maxValue="300"/>
    </cacheField>
    <cacheField name="new fee" numFmtId="0">
      <sharedItems containsSemiMixedTypes="0" containsString="0" containsNumber="1" containsInteger="1" minValue="50" maxValue="300"/>
    </cacheField>
    <cacheField name="diff" numFmtId="0">
      <sharedItems containsSemiMixedTypes="0" containsString="0" containsNumber="1" containsInteger="1" minValue="-100" maxValue="100"/>
    </cacheField>
    <cacheField name="koment" numFmtId="0">
      <sharedItems containsMixedTypes="1" containsNumber="1" containsInteger="1" minValue="0" maxValue="0" count="3">
        <n v="0"/>
        <s v="Increase"/>
        <s v="Decras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9">
  <r>
    <x v="0"/>
    <x v="0"/>
    <m/>
    <m/>
    <n v="62550"/>
    <x v="0"/>
    <s v="COCA"/>
    <n v="4.74"/>
    <n v="15"/>
    <n v="3487193.0300020021"/>
    <n v="10"/>
    <n v="0"/>
    <n v="0"/>
    <n v="21686778.512299992"/>
    <n v="30"/>
    <n v="1835137.0467999997"/>
    <n v="2"/>
    <n v="16667.717000000001"/>
    <n v="5"/>
    <n v="6029659.7101000268"/>
    <s v="FC"/>
    <n v="10"/>
    <n v="0"/>
    <n v="0"/>
    <s v="N/A"/>
    <n v="0"/>
    <m/>
    <x v="0"/>
    <x v="0"/>
    <n v="4"/>
    <m/>
    <s v="I"/>
    <n v="1"/>
  </r>
  <r>
    <x v="1"/>
    <x v="1"/>
    <m/>
    <m/>
    <n v="44369"/>
    <x v="1"/>
    <s v="COCA"/>
    <n v="5.76"/>
    <n v="30"/>
    <n v="3061017.1000080029"/>
    <n v="10"/>
    <n v="0"/>
    <n v="0"/>
    <n v="24525957.212499965"/>
    <n v="30"/>
    <n v="3584925.3376000063"/>
    <n v="4"/>
    <n v="20065.354899999998"/>
    <n v="5"/>
    <n v="4339977.1308999993"/>
    <s v=""/>
    <n v="0"/>
    <n v="0"/>
    <n v="0"/>
    <s v="N/A"/>
    <n v="0"/>
    <m/>
    <x v="1"/>
    <x v="1"/>
    <n v="3"/>
    <m/>
    <s v="III"/>
    <n v="3"/>
  </r>
  <r>
    <x v="0"/>
    <x v="2"/>
    <m/>
    <m/>
    <n v="21010"/>
    <x v="2"/>
    <s v="COCA"/>
    <n v="6.03"/>
    <n v="30"/>
    <n v="2747062.5500000017"/>
    <n v="10"/>
    <n v="16992.009999999998"/>
    <n v="5"/>
    <n v="19494526.61730301"/>
    <n v="30"/>
    <n v="3213203.259700004"/>
    <n v="3"/>
    <n v="12007583.610499999"/>
    <n v="15"/>
    <n v="4357622.2762000011"/>
    <s v=""/>
    <n v="0"/>
    <n v="0"/>
    <n v="0"/>
    <s v="N/A"/>
    <n v="0"/>
    <m/>
    <x v="2"/>
    <x v="1"/>
    <n v="3"/>
    <m/>
    <s v="I"/>
    <n v="1"/>
  </r>
  <r>
    <x v="0"/>
    <x v="3"/>
    <m/>
    <m/>
    <n v="25524"/>
    <x v="3"/>
    <s v="COCA"/>
    <n v="6.88"/>
    <n v="30"/>
    <n v="4016458.7400000049"/>
    <n v="10"/>
    <n v="18196.970000000005"/>
    <n v="5"/>
    <n v="20173180.324803006"/>
    <n v="30"/>
    <n v="2028798.4928000011"/>
    <n v="2"/>
    <n v="11316072.566399997"/>
    <n v="15"/>
    <n v="11971124.872205088"/>
    <s v="FC"/>
    <n v="20"/>
    <n v="10350258.615500985"/>
    <n v="15"/>
    <s v="N/A"/>
    <n v="0"/>
    <m/>
    <x v="3"/>
    <x v="2"/>
    <n v="2"/>
    <m/>
    <s v="I"/>
    <n v="1"/>
  </r>
  <r>
    <x v="1"/>
    <x v="4"/>
    <m/>
    <m/>
    <n v="18247"/>
    <x v="4"/>
    <s v="COCA"/>
    <n v="6.05"/>
    <n v="30"/>
    <n v="3401484.8899950059"/>
    <n v="10"/>
    <n v="25596.289999999997"/>
    <n v="5"/>
    <n v="28502198.339304961"/>
    <n v="30"/>
    <n v="2960248.1258000038"/>
    <n v="3"/>
    <n v="10840868.629399994"/>
    <n v="15"/>
    <n v="5122198.7824000185"/>
    <s v=""/>
    <n v="0"/>
    <n v="0"/>
    <n v="0"/>
    <s v="N/A"/>
    <n v="0"/>
    <m/>
    <x v="2"/>
    <x v="1"/>
    <n v="3"/>
    <m/>
    <s v="I"/>
    <n v="1"/>
  </r>
  <r>
    <x v="1"/>
    <x v="5"/>
    <m/>
    <m/>
    <n v="45114"/>
    <x v="5"/>
    <s v="COCA"/>
    <n v="5.97"/>
    <n v="30"/>
    <n v="2324819.1799980029"/>
    <n v="5"/>
    <n v="26302.390000000003"/>
    <n v="5"/>
    <n v="14964991.788899003"/>
    <n v="20"/>
    <n v="4110897.8035000069"/>
    <n v="4"/>
    <n v="9455830.8268999923"/>
    <n v="15"/>
    <n v="2650401.7304990003"/>
    <s v=""/>
    <n v="0"/>
    <n v="0"/>
    <n v="0"/>
    <s v="N/A"/>
    <n v="0"/>
    <m/>
    <x v="1"/>
    <x v="1"/>
    <n v="3"/>
    <m/>
    <s v="II"/>
    <n v="2"/>
  </r>
  <r>
    <x v="0"/>
    <x v="3"/>
    <m/>
    <m/>
    <n v="25022"/>
    <x v="6"/>
    <s v="COCA"/>
    <n v="5.35"/>
    <n v="15"/>
    <n v="1744976.9300009988"/>
    <n v="5"/>
    <n v="0"/>
    <n v="0"/>
    <n v="34766348.91380012"/>
    <n v="40"/>
    <n v="2619651.2420999999"/>
    <n v="3"/>
    <n v="8343667.8307000054"/>
    <n v="10"/>
    <n v="12287685.822000058"/>
    <s v="FC"/>
    <n v="20"/>
    <n v="0"/>
    <n v="0"/>
    <s v="N/A"/>
    <n v="0"/>
    <m/>
    <x v="2"/>
    <x v="1"/>
    <n v="3"/>
    <m/>
    <s v="I"/>
    <n v="1"/>
  </r>
  <r>
    <x v="1"/>
    <x v="5"/>
    <m/>
    <m/>
    <n v="61350"/>
    <x v="7"/>
    <s v="COCA"/>
    <n v="5.64"/>
    <n v="30"/>
    <n v="2171215.6527260006"/>
    <n v="5"/>
    <n v="26401.270000000004"/>
    <n v="5"/>
    <n v="13190078.765400004"/>
    <n v="20"/>
    <n v="2155800.8154000007"/>
    <n v="3"/>
    <n v="3671986.6568000009"/>
    <n v="10"/>
    <n v="8019536.8797000432"/>
    <s v=""/>
    <n v="0"/>
    <n v="8926299.2629999984"/>
    <n v="10"/>
    <s v="N/A"/>
    <n v="0"/>
    <m/>
    <x v="4"/>
    <x v="1"/>
    <n v="3"/>
    <m/>
    <s v="I"/>
    <n v="1"/>
  </r>
  <r>
    <x v="1"/>
    <x v="5"/>
    <m/>
    <m/>
    <n v="45158"/>
    <x v="8"/>
    <s v="COCA"/>
    <n v="6.46"/>
    <n v="30"/>
    <n v="3941901.8300060057"/>
    <n v="10"/>
    <n v="0"/>
    <n v="0"/>
    <n v="18473541.274401013"/>
    <n v="30"/>
    <n v="1662085.0892000005"/>
    <n v="2"/>
    <n v="76405.514400000015"/>
    <n v="5"/>
    <n v="4753793.1544999992"/>
    <s v=""/>
    <n v="0"/>
    <n v="1686.6143999999999"/>
    <n v="5"/>
    <s v="N/A"/>
    <n v="0"/>
    <m/>
    <x v="5"/>
    <x v="1"/>
    <n v="3"/>
    <m/>
    <s v="I"/>
    <n v="1"/>
  </r>
  <r>
    <x v="0"/>
    <x v="3"/>
    <m/>
    <m/>
    <n v="25033"/>
    <x v="9"/>
    <s v="COCA"/>
    <n v="6.01"/>
    <n v="30"/>
    <n v="2790134.4800039986"/>
    <n v="10"/>
    <n v="0"/>
    <n v="0"/>
    <n v="39376647.806804024"/>
    <n v="40"/>
    <n v="1660636.2641000005"/>
    <n v="2"/>
    <n v="2884647.2765999991"/>
    <n v="10"/>
    <n v="23925011.116497681"/>
    <s v=""/>
    <n v="0"/>
    <n v="0"/>
    <n v="0"/>
    <s v="N/A"/>
    <n v="0"/>
    <m/>
    <x v="6"/>
    <x v="1"/>
    <n v="3"/>
    <m/>
    <s v="I"/>
    <n v="1"/>
  </r>
  <r>
    <x v="2"/>
    <x v="6"/>
    <m/>
    <m/>
    <n v="56019"/>
    <x v="10"/>
    <s v="COCA"/>
    <n v="5.96"/>
    <n v="30"/>
    <n v="2826818.9600010021"/>
    <n v="10"/>
    <n v="0"/>
    <n v="0"/>
    <n v="15849568.013201006"/>
    <n v="20"/>
    <n v="2466729.2187000024"/>
    <n v="3"/>
    <n v="4843337.8506000023"/>
    <n v="10"/>
    <n v="3604169.2126999954"/>
    <s v=""/>
    <n v="0"/>
    <n v="42727.564799999993"/>
    <n v="5"/>
    <s v="N/A"/>
    <n v="0"/>
    <m/>
    <x v="7"/>
    <x v="0"/>
    <n v="4"/>
    <m/>
    <s v="I"/>
    <n v="1"/>
  </r>
  <r>
    <x v="2"/>
    <x v="4"/>
    <m/>
    <m/>
    <n v="18107"/>
    <x v="11"/>
    <s v="COCA"/>
    <n v="11.23"/>
    <n v="45"/>
    <n v="5919578.570004018"/>
    <n v="20"/>
    <n v="38382.11"/>
    <n v="10"/>
    <n v="31129707.957997929"/>
    <n v="30"/>
    <n v="3595821.3565000007"/>
    <n v="4"/>
    <n v="9679958.3779999968"/>
    <n v="15"/>
    <n v="15662950.619200069"/>
    <s v="FC"/>
    <n v="20"/>
    <n v="2010416.561700003"/>
    <n v="10"/>
    <s v="N/A"/>
    <n v="0"/>
    <m/>
    <x v="8"/>
    <x v="2"/>
    <n v="2"/>
    <m/>
    <s v="I"/>
    <n v="1"/>
  </r>
  <r>
    <x v="0"/>
    <x v="7"/>
    <m/>
    <m/>
    <n v="25077"/>
    <x v="12"/>
    <s v="COCA"/>
    <n v="8.14"/>
    <n v="45"/>
    <n v="4421167.6200030083"/>
    <n v="15"/>
    <n v="38479.31"/>
    <n v="10"/>
    <n v="73359984.791299999"/>
    <n v="50"/>
    <n v="5166620.5807000045"/>
    <n v="5"/>
    <n v="11539877.323500002"/>
    <n v="15"/>
    <n v="35432308.167100444"/>
    <s v="FC"/>
    <n v="40"/>
    <n v="0"/>
    <n v="0"/>
    <s v="N/A"/>
    <n v="0"/>
    <m/>
    <x v="9"/>
    <x v="3"/>
    <n v="1"/>
    <m/>
    <s v="I"/>
    <n v="1"/>
  </r>
  <r>
    <x v="0"/>
    <x v="7"/>
    <m/>
    <m/>
    <n v="25332"/>
    <x v="13"/>
    <s v="COCA"/>
    <n v="5.62"/>
    <n v="30"/>
    <n v="3789533.4100010013"/>
    <n v="10"/>
    <n v="0"/>
    <n v="0"/>
    <n v="48615337.746801063"/>
    <n v="40"/>
    <n v="4272673.3133000005"/>
    <n v="4"/>
    <n v="13008752.150599999"/>
    <n v="15"/>
    <n v="15558243.098404018"/>
    <s v="FC"/>
    <n v="20"/>
    <n v="0"/>
    <n v="0"/>
    <s v="N/A"/>
    <n v="0"/>
    <m/>
    <x v="10"/>
    <x v="1"/>
    <n v="3"/>
    <m/>
    <s v="III"/>
    <n v="3"/>
  </r>
  <r>
    <x v="0"/>
    <x v="7"/>
    <m/>
    <m/>
    <n v="65100"/>
    <x v="14"/>
    <s v="COCA"/>
    <n v="5.18"/>
    <n v="15"/>
    <n v="1657601.3999999978"/>
    <n v="5"/>
    <n v="0"/>
    <n v="0"/>
    <n v="22096214.902998991"/>
    <n v="30"/>
    <n v="1444589.0145999999"/>
    <n v="2"/>
    <n v="5053474.8759000031"/>
    <n v="10"/>
    <n v="11865561.516600056"/>
    <s v="FC"/>
    <n v="20"/>
    <n v="3740.1578"/>
    <n v="5"/>
    <s v="N/A"/>
    <n v="0"/>
    <m/>
    <x v="11"/>
    <x v="1"/>
    <n v="3"/>
    <m/>
    <s v="III"/>
    <n v="3"/>
  </r>
  <r>
    <x v="0"/>
    <x v="7"/>
    <m/>
    <m/>
    <n v="33302"/>
    <x v="15"/>
    <s v="COCA"/>
    <n v="6.11"/>
    <n v="30"/>
    <n v="3553612.3200000022"/>
    <n v="10"/>
    <n v="0"/>
    <n v="0"/>
    <n v="32558898.805800967"/>
    <n v="30"/>
    <n v="4929967.0617000051"/>
    <n v="5"/>
    <n v="9067598.5450999998"/>
    <n v="15"/>
    <n v="9391325.4973000567"/>
    <s v="FC"/>
    <n v="10"/>
    <n v="34610.254300000015"/>
    <n v="5"/>
    <s v="N/A"/>
    <n v="0"/>
    <m/>
    <x v="12"/>
    <x v="1"/>
    <n v="3"/>
    <m/>
    <s v="I"/>
    <n v="1"/>
  </r>
  <r>
    <x v="0"/>
    <x v="7"/>
    <m/>
    <m/>
    <n v="25055"/>
    <x v="16"/>
    <s v="COCA"/>
    <n v="8.14"/>
    <n v="45"/>
    <n v="5121499.0400010049"/>
    <n v="15"/>
    <n v="0"/>
    <n v="0"/>
    <n v="60722761.01829607"/>
    <n v="50"/>
    <n v="4488736.2972000027"/>
    <n v="5"/>
    <n v="8604357.5960000008"/>
    <n v="10"/>
    <n v="23418218.861400731"/>
    <s v="FC"/>
    <n v="30"/>
    <n v="11402766.519200977"/>
    <n v="15"/>
    <s v="N/A"/>
    <n v="0"/>
    <m/>
    <x v="13"/>
    <x v="3"/>
    <n v="1"/>
    <m/>
    <s v="II"/>
    <n v="2"/>
  </r>
  <r>
    <x v="0"/>
    <x v="7"/>
    <m/>
    <m/>
    <n v="33346"/>
    <x v="17"/>
    <s v="COCA"/>
    <n v="5.83"/>
    <n v="30"/>
    <n v="2413163.060000001"/>
    <n v="5"/>
    <n v="0"/>
    <n v="0"/>
    <n v="24832692.888005927"/>
    <n v="30"/>
    <n v="2822782.7528000008"/>
    <n v="3"/>
    <n v="10988671.891500022"/>
    <n v="15"/>
    <n v="7149960.7110020276"/>
    <s v=""/>
    <n v="0"/>
    <n v="38792.131200000003"/>
    <n v="5"/>
    <s v="N/A"/>
    <n v="0"/>
    <m/>
    <x v="14"/>
    <x v="1"/>
    <n v="3"/>
    <m/>
    <s v="II"/>
    <n v="2"/>
  </r>
  <r>
    <x v="0"/>
    <x v="7"/>
    <m/>
    <m/>
    <n v="33040"/>
    <x v="18"/>
    <s v="COCA"/>
    <n v="10.47"/>
    <n v="45"/>
    <n v="2949643.5900000003"/>
    <n v="10"/>
    <n v="20871.379999999994"/>
    <n v="5"/>
    <n v="65400822.53830719"/>
    <n v="50"/>
    <n v="1747996.8685999999"/>
    <n v="2"/>
    <n v="0"/>
    <n v="0"/>
    <n v="9833745.0266000163"/>
    <s v=""/>
    <n v="0"/>
    <n v="0"/>
    <n v="0"/>
    <s v="N/A"/>
    <n v="0"/>
    <m/>
    <x v="15"/>
    <x v="1"/>
    <n v="3"/>
    <m/>
    <s v="II"/>
    <n v="2"/>
  </r>
  <r>
    <x v="0"/>
    <x v="7"/>
    <m/>
    <m/>
    <n v="33050"/>
    <x v="19"/>
    <s v="COCA"/>
    <n v="10.47"/>
    <n v="45"/>
    <n v="2311540.0399999986"/>
    <n v="5"/>
    <n v="54925.98000000001"/>
    <n v="15"/>
    <n v="46481589.439798065"/>
    <n v="40"/>
    <n v="1435858.2834999999"/>
    <n v="2"/>
    <n v="0"/>
    <n v="0"/>
    <n v="9278280.0318000223"/>
    <s v=""/>
    <n v="0"/>
    <n v="0"/>
    <n v="0"/>
    <s v="N/A"/>
    <n v="0"/>
    <m/>
    <x v="16"/>
    <x v="1"/>
    <n v="3"/>
    <m/>
    <s v="I"/>
    <n v="1"/>
  </r>
  <r>
    <x v="0"/>
    <x v="7"/>
    <m/>
    <m/>
    <n v="33036"/>
    <x v="20"/>
    <s v="COCA"/>
    <n v="5.55"/>
    <n v="15"/>
    <n v="3541095.819999001"/>
    <n v="10"/>
    <n v="51153.130000000005"/>
    <n v="15"/>
    <n v="30035308.469499934"/>
    <n v="30"/>
    <n v="4475256.8076000027"/>
    <n v="4"/>
    <n v="13627248.22059999"/>
    <n v="20"/>
    <n v="13039021.907200029"/>
    <s v="FC"/>
    <n v="20"/>
    <n v="7204080.5777999992"/>
    <n v="10"/>
    <s v="N/A"/>
    <n v="0"/>
    <m/>
    <x v="17"/>
    <x v="2"/>
    <n v="2"/>
    <m/>
    <s v="II"/>
    <n v="2"/>
  </r>
  <r>
    <x v="0"/>
    <x v="8"/>
    <m/>
    <m/>
    <n v="33357"/>
    <x v="21"/>
    <s v="COCA"/>
    <n v="5.37"/>
    <n v="15"/>
    <n v="3911597.4899990093"/>
    <n v="10"/>
    <n v="57018.989999999983"/>
    <n v="15"/>
    <n v="14143678.103098998"/>
    <n v="20"/>
    <n v="3038904.8635000004"/>
    <n v="3"/>
    <n v="13605896.216899991"/>
    <n v="20"/>
    <n v="4236271.289099996"/>
    <s v=""/>
    <n v="0"/>
    <n v="62362.217400000001"/>
    <n v="5"/>
    <s v="N/A"/>
    <n v="0"/>
    <m/>
    <x v="14"/>
    <x v="1"/>
    <n v="3"/>
    <m/>
    <s v="I"/>
    <n v="1"/>
  </r>
  <r>
    <x v="0"/>
    <x v="8"/>
    <m/>
    <m/>
    <n v="34231"/>
    <x v="22"/>
    <s v="COCA"/>
    <n v="5.81"/>
    <n v="30"/>
    <n v="3367139.1700000069"/>
    <n v="10"/>
    <n v="0"/>
    <n v="0"/>
    <n v="22954990.590020966"/>
    <n v="30"/>
    <n v="3814078.0874000061"/>
    <n v="4"/>
    <n v="13666119.057400012"/>
    <n v="20"/>
    <n v="8020016.5587000037"/>
    <s v=""/>
    <n v="0"/>
    <n v="0"/>
    <n v="0"/>
    <s v="N/A"/>
    <n v="0"/>
    <m/>
    <x v="18"/>
    <x v="1"/>
    <n v="3"/>
    <m/>
    <s v="II"/>
    <n v="2"/>
  </r>
  <r>
    <x v="2"/>
    <x v="4"/>
    <m/>
    <m/>
    <n v="18151"/>
    <x v="23"/>
    <s v="COCA"/>
    <n v="5.42"/>
    <n v="15"/>
    <n v="3647759.4900010051"/>
    <n v="10"/>
    <n v="0"/>
    <n v="0"/>
    <n v="22202672.08919397"/>
    <n v="30"/>
    <n v="3862238.7165980064"/>
    <n v="4"/>
    <n v="11283330.839499999"/>
    <n v="15"/>
    <n v="4033259.9727080003"/>
    <s v=""/>
    <n v="0"/>
    <n v="0"/>
    <n v="0"/>
    <s v="N/A"/>
    <n v="0"/>
    <m/>
    <x v="19"/>
    <x v="0"/>
    <n v="4"/>
    <m/>
    <s v="II"/>
    <n v="2"/>
  </r>
  <r>
    <x v="2"/>
    <x v="9"/>
    <m/>
    <m/>
    <n v="41286"/>
    <x v="24"/>
    <s v="COCA"/>
    <n v="6.55"/>
    <n v="30"/>
    <n v="2484543.939999002"/>
    <n v="5"/>
    <n v="0"/>
    <n v="0"/>
    <n v="16650617.399095971"/>
    <n v="20"/>
    <n v="1718600.8431010009"/>
    <n v="2"/>
    <n v="20065.355000000003"/>
    <n v="5"/>
    <n v="3574991.486899999"/>
    <s v=""/>
    <n v="0"/>
    <n v="0"/>
    <n v="0"/>
    <s v="N/A"/>
    <n v="0"/>
    <m/>
    <x v="20"/>
    <x v="0"/>
    <n v="4"/>
    <m/>
    <s v="I"/>
    <n v="1"/>
  </r>
  <r>
    <x v="2"/>
    <x v="9"/>
    <m/>
    <m/>
    <n v="61600"/>
    <x v="25"/>
    <s v="COCA"/>
    <n v="6.15"/>
    <n v="30"/>
    <n v="1263507.2400019981"/>
    <n v="5"/>
    <n v="36847.349999999991"/>
    <n v="10"/>
    <n v="8815294.8565030079"/>
    <n v="20"/>
    <n v="1168431.5317000002"/>
    <n v="2"/>
    <n v="5406300.0635000039"/>
    <n v="10"/>
    <n v="2069701.2061989948"/>
    <s v=""/>
    <n v="0"/>
    <n v="6439803.9977999981"/>
    <n v="10"/>
    <s v="N/A"/>
    <n v="0"/>
    <m/>
    <x v="11"/>
    <x v="1"/>
    <n v="3"/>
    <m/>
    <s v="II"/>
    <n v="2"/>
  </r>
  <r>
    <x v="2"/>
    <x v="9"/>
    <m/>
    <m/>
    <n v="41353"/>
    <x v="26"/>
    <s v="COCA"/>
    <n v="6.14"/>
    <n v="30"/>
    <n v="2524583.5400050017"/>
    <n v="5"/>
    <n v="88811.610000999994"/>
    <n v="15"/>
    <n v="20216794.337998986"/>
    <n v="30"/>
    <n v="2583017.3715000004"/>
    <n v="3"/>
    <n v="6049477.2323010024"/>
    <n v="10"/>
    <n v="4131218.1841999991"/>
    <s v=""/>
    <n v="0"/>
    <n v="11330171.287302967"/>
    <n v="15"/>
    <s v="N/A"/>
    <n v="0"/>
    <m/>
    <x v="21"/>
    <x v="1"/>
    <n v="3"/>
    <m/>
    <s v="I"/>
    <n v="1"/>
  </r>
  <r>
    <x v="2"/>
    <x v="10"/>
    <m/>
    <m/>
    <n v="41327"/>
    <x v="27"/>
    <s v="COCA"/>
    <n v="9.74"/>
    <n v="45"/>
    <n v="7260453.2900070101"/>
    <n v="20"/>
    <n v="0"/>
    <n v="0"/>
    <n v="33780998.113001786"/>
    <n v="40"/>
    <n v="2559189.8152000001"/>
    <n v="3"/>
    <n v="3689767.7568999995"/>
    <n v="10"/>
    <n v="15579817.956798984"/>
    <s v="FC"/>
    <n v="20"/>
    <n v="0"/>
    <n v="0"/>
    <s v="N/A"/>
    <n v="0"/>
    <m/>
    <x v="22"/>
    <x v="2"/>
    <n v="2"/>
    <m/>
    <s v="II"/>
    <n v="2"/>
  </r>
  <r>
    <x v="0"/>
    <x v="11"/>
    <m/>
    <m/>
    <n v="22024"/>
    <x v="28"/>
    <s v="COCA"/>
    <n v="2.59"/>
    <n v="15"/>
    <n v="2460280.3600000008"/>
    <n v="5"/>
    <n v="0"/>
    <n v="0"/>
    <n v="11955668.031900007"/>
    <n v="20"/>
    <n v="1482313.4435999999"/>
    <n v="2"/>
    <n v="3783309.4912999985"/>
    <n v="10"/>
    <n v="2130511.6973000015"/>
    <s v=""/>
    <n v="0"/>
    <n v="0"/>
    <n v="0"/>
    <s v="N/A"/>
    <n v="0"/>
    <m/>
    <x v="23"/>
    <x v="0"/>
    <n v="4"/>
    <m/>
    <s v="I"/>
    <n v="1"/>
  </r>
  <r>
    <x v="2"/>
    <x v="12"/>
    <m/>
    <m/>
    <n v="53150"/>
    <x v="29"/>
    <s v="COCA"/>
    <n v="10.72"/>
    <n v="45"/>
    <n v="4384480.5600060094"/>
    <n v="15"/>
    <n v="65148.669999999991"/>
    <n v="15"/>
    <n v="34213154.098999992"/>
    <n v="40"/>
    <n v="2092206.3506999996"/>
    <n v="3"/>
    <n v="5735422.9001000021"/>
    <n v="10"/>
    <n v="16569075.287999947"/>
    <s v="FC"/>
    <n v="20"/>
    <n v="3179093.0324000008"/>
    <n v="10"/>
    <s v="N/A"/>
    <n v="0"/>
    <m/>
    <x v="24"/>
    <x v="2"/>
    <n v="2"/>
    <m/>
    <s v="I"/>
    <n v="1"/>
  </r>
  <r>
    <x v="2"/>
    <x v="6"/>
    <m/>
    <m/>
    <n v="62900"/>
    <x v="30"/>
    <s v="COCA"/>
    <n v="6.48"/>
    <n v="30"/>
    <n v="3189236.4300010004"/>
    <n v="10"/>
    <n v="33630.959999999992"/>
    <n v="10"/>
    <n v="31476864.969297893"/>
    <n v="30"/>
    <n v="1972574.0548000003"/>
    <n v="2"/>
    <n v="2963663.8123009987"/>
    <n v="10"/>
    <n v="22450399.597098768"/>
    <s v="FC"/>
    <n v="30"/>
    <n v="2250197.6570999995"/>
    <n v="10"/>
    <s v="N/A"/>
    <n v="0"/>
    <m/>
    <x v="25"/>
    <x v="2"/>
    <n v="2"/>
    <m/>
    <s v="II"/>
    <n v="2"/>
  </r>
  <r>
    <x v="2"/>
    <x v="12"/>
    <m/>
    <m/>
    <n v="53268"/>
    <x v="31"/>
    <s v="COCA"/>
    <n v="6.02"/>
    <n v="30"/>
    <n v="3130788.9500040039"/>
    <n v="10"/>
    <n v="0"/>
    <n v="0"/>
    <n v="25326740.850592963"/>
    <n v="30"/>
    <n v="2646967.8110990031"/>
    <n v="3"/>
    <n v="4935758.3214000035"/>
    <n v="10"/>
    <n v="10462057.864800038"/>
    <s v=""/>
    <n v="0"/>
    <n v="0"/>
    <n v="0"/>
    <s v="N/A"/>
    <n v="0"/>
    <m/>
    <x v="4"/>
    <x v="1"/>
    <n v="3"/>
    <m/>
    <s v="I"/>
    <n v="1"/>
  </r>
  <r>
    <x v="0"/>
    <x v="2"/>
    <m/>
    <m/>
    <n v="21213"/>
    <x v="32"/>
    <s v="COCA"/>
    <n v="6.05"/>
    <n v="30"/>
    <n v="4475039.8100009998"/>
    <n v="15"/>
    <n v="0"/>
    <n v="0"/>
    <n v="27095595.351902995"/>
    <n v="30"/>
    <n v="3845359.1883000047"/>
    <n v="4"/>
    <n v="20928989.230200041"/>
    <n v="20"/>
    <n v="4306809.6994000096"/>
    <s v=""/>
    <n v="0"/>
    <n v="2877146.5702000009"/>
    <n v="10"/>
    <s v="N/A"/>
    <n v="0"/>
    <m/>
    <x v="26"/>
    <x v="1"/>
    <n v="3"/>
    <m/>
    <s v="II"/>
    <n v="2"/>
  </r>
  <r>
    <x v="2"/>
    <x v="12"/>
    <m/>
    <m/>
    <n v="53032"/>
    <x v="33"/>
    <s v="COCA"/>
    <n v="5.6"/>
    <n v="15"/>
    <n v="1849579.3499989994"/>
    <n v="5"/>
    <n v="0"/>
    <n v="0"/>
    <n v="10419990.697699018"/>
    <n v="20"/>
    <n v="3163640.2544000028"/>
    <n v="3"/>
    <n v="6539878.0274000019"/>
    <n v="10"/>
    <n v="2370823.0330000008"/>
    <s v=""/>
    <n v="0"/>
    <n v="0"/>
    <n v="0"/>
    <s v="N/A"/>
    <n v="0"/>
    <m/>
    <x v="27"/>
    <x v="0"/>
    <n v="4"/>
    <m/>
    <s v="I"/>
    <n v="1"/>
  </r>
  <r>
    <x v="1"/>
    <x v="5"/>
    <m/>
    <m/>
    <n v="61400"/>
    <x v="34"/>
    <s v="COCA"/>
    <n v="5.32"/>
    <n v="15"/>
    <n v="2286451.580000001"/>
    <n v="5"/>
    <n v="14910.429999999998"/>
    <n v="5"/>
    <n v="14304122.208500022"/>
    <n v="20"/>
    <n v="1699257.5224000001"/>
    <n v="2"/>
    <n v="2845328.3773999992"/>
    <n v="10"/>
    <n v="4440062.8133000117"/>
    <s v=""/>
    <n v="0"/>
    <n v="17007.874400000001"/>
    <n v="5"/>
    <s v="N/A"/>
    <n v="0"/>
    <m/>
    <x v="20"/>
    <x v="0"/>
    <n v="4"/>
    <m/>
    <s v="I"/>
    <n v="1"/>
  </r>
  <r>
    <x v="0"/>
    <x v="8"/>
    <m/>
    <m/>
    <n v="64350"/>
    <x v="35"/>
    <s v="COCA"/>
    <n v="5.5"/>
    <n v="15"/>
    <n v="2887881.1400019997"/>
    <n v="10"/>
    <n v="73958.49000000002"/>
    <n v="15"/>
    <n v="14035768.025200021"/>
    <n v="20"/>
    <n v="2161427.6313999989"/>
    <n v="3"/>
    <n v="5290429.1941000018"/>
    <n v="10"/>
    <n v="4951044.8366000094"/>
    <s v=""/>
    <n v="0"/>
    <n v="0"/>
    <n v="0"/>
    <s v="N/A"/>
    <n v="0"/>
    <m/>
    <x v="28"/>
    <x v="0"/>
    <n v="4"/>
    <m/>
    <s v="I"/>
    <n v="1"/>
  </r>
  <r>
    <x v="0"/>
    <x v="8"/>
    <m/>
    <m/>
    <n v="34039"/>
    <x v="36"/>
    <s v="COCA"/>
    <n v="10.85"/>
    <n v="45"/>
    <n v="5027832.0999950236"/>
    <n v="15"/>
    <n v="0"/>
    <n v="0"/>
    <n v="37088997.070399866"/>
    <n v="40"/>
    <n v="3009870.1512999996"/>
    <n v="3"/>
    <n v="6944521.347299994"/>
    <n v="10"/>
    <n v="15898985.000998056"/>
    <s v=""/>
    <n v="0"/>
    <n v="19944.892800000005"/>
    <n v="5"/>
    <s v="N/A"/>
    <n v="0"/>
    <m/>
    <x v="29"/>
    <x v="1"/>
    <n v="3"/>
    <m/>
    <s v="I"/>
    <n v="1"/>
  </r>
  <r>
    <x v="0"/>
    <x v="3"/>
    <m/>
    <m/>
    <n v="33283"/>
    <x v="37"/>
    <s v="COCA"/>
    <n v="2.76"/>
    <n v="15"/>
    <n v="1862193.2699989993"/>
    <n v="5"/>
    <n v="0"/>
    <n v="0"/>
    <n v="8353014.2213000078"/>
    <n v="20"/>
    <n v="2625325.3163000047"/>
    <n v="3"/>
    <n v="6038089.067900002"/>
    <n v="10"/>
    <n v="860658.62680000055"/>
    <s v=""/>
    <n v="0"/>
    <n v="0"/>
    <n v="0"/>
    <s v="N/A"/>
    <n v="0"/>
    <m/>
    <x v="27"/>
    <x v="0"/>
    <n v="4"/>
    <m/>
    <s v="I"/>
    <n v="1"/>
  </r>
  <r>
    <x v="1"/>
    <x v="13"/>
    <m/>
    <m/>
    <n v="63650"/>
    <x v="38"/>
    <s v="COCA"/>
    <n v="5.45"/>
    <n v="15"/>
    <n v="2835081.019998"/>
    <n v="10"/>
    <n v="44211.26999999999"/>
    <n v="10"/>
    <n v="31113080.485500064"/>
    <n v="30"/>
    <n v="2257942.5613000002"/>
    <n v="3"/>
    <n v="5556370.9309"/>
    <n v="10"/>
    <n v="8283908.7734000394"/>
    <s v="FC"/>
    <n v="10"/>
    <n v="0"/>
    <n v="0"/>
    <s v="N/A"/>
    <n v="0"/>
    <m/>
    <x v="14"/>
    <x v="1"/>
    <n v="3"/>
    <m/>
    <s v="I"/>
    <n v="1"/>
  </r>
  <r>
    <x v="1"/>
    <x v="13"/>
    <m/>
    <m/>
    <n v="17521"/>
    <x v="39"/>
    <s v="COCA"/>
    <n v="6.85"/>
    <n v="30"/>
    <n v="4278426.4400030086"/>
    <n v="15"/>
    <n v="0"/>
    <n v="0"/>
    <n v="48047325.768601023"/>
    <n v="40"/>
    <n v="5706121.3555000043"/>
    <n v="5"/>
    <n v="11132996.189100001"/>
    <n v="15"/>
    <n v="10445807.391299082"/>
    <s v=""/>
    <n v="0"/>
    <n v="93154.381000000038"/>
    <n v="5"/>
    <s v="N/A"/>
    <n v="0"/>
    <m/>
    <x v="30"/>
    <x v="1"/>
    <n v="3"/>
    <m/>
    <s v="I"/>
    <n v="1"/>
  </r>
  <r>
    <x v="1"/>
    <x v="14"/>
    <m/>
    <m/>
    <n v="63300"/>
    <x v="40"/>
    <s v="COCA"/>
    <n v="10.72"/>
    <n v="45"/>
    <n v="3300291.6799990032"/>
    <n v="10"/>
    <n v="21130.480000000003"/>
    <n v="5"/>
    <n v="73151821.674897939"/>
    <n v="50"/>
    <n v="3047523.6585000004"/>
    <n v="3"/>
    <n v="4011824.4489989998"/>
    <n v="10"/>
    <n v="18911089.560201898"/>
    <s v=""/>
    <n v="0"/>
    <n v="0"/>
    <n v="0"/>
    <s v="N/A"/>
    <n v="0"/>
    <m/>
    <x v="31"/>
    <x v="1"/>
    <n v="3"/>
    <m/>
    <s v="I"/>
    <n v="1"/>
  </r>
  <r>
    <x v="1"/>
    <x v="14"/>
    <m/>
    <m/>
    <n v="18225"/>
    <x v="41"/>
    <s v="COCA"/>
    <n v="9.14"/>
    <n v="45"/>
    <n v="5569609.690007003"/>
    <n v="15"/>
    <n v="53054.3"/>
    <n v="15"/>
    <n v="31314178.426198993"/>
    <n v="30"/>
    <n v="3040710.2780000004"/>
    <n v="3"/>
    <n v="5991682.7385900002"/>
    <n v="10"/>
    <n v="9276786.3332980424"/>
    <s v="FC"/>
    <n v="10"/>
    <n v="10371912.946199976"/>
    <n v="15"/>
    <s v="N/A"/>
    <n v="0"/>
    <m/>
    <x v="32"/>
    <x v="2"/>
    <n v="2"/>
    <m/>
    <s v="I"/>
    <n v="1"/>
  </r>
  <r>
    <x v="1"/>
    <x v="15"/>
    <m/>
    <m/>
    <n v="17510"/>
    <x v="42"/>
    <s v="COCA"/>
    <n v="6.55"/>
    <n v="30"/>
    <n v="3934178.590001002"/>
    <n v="10"/>
    <n v="0"/>
    <n v="0"/>
    <n v="36767418.717999995"/>
    <n v="40"/>
    <n v="2352419.7253"/>
    <n v="3"/>
    <n v="8925410.3304999974"/>
    <n v="15"/>
    <n v="15185064.27060004"/>
    <s v="FC"/>
    <n v="20"/>
    <n v="15792.131200000003"/>
    <n v="5"/>
    <s v="N/A"/>
    <n v="0"/>
    <m/>
    <x v="31"/>
    <x v="1"/>
    <n v="3"/>
    <m/>
    <s v="II"/>
    <n v="2"/>
  </r>
  <r>
    <x v="1"/>
    <x v="14"/>
    <m/>
    <m/>
    <n v="63350"/>
    <x v="43"/>
    <s v="COCA"/>
    <n v="5.81"/>
    <n v="30"/>
    <n v="3167153.6500010025"/>
    <n v="10"/>
    <n v="46531.62"/>
    <n v="10"/>
    <n v="44706591.349102989"/>
    <n v="40"/>
    <n v="2168092.9397999994"/>
    <n v="3"/>
    <n v="847968.51369999978"/>
    <n v="5"/>
    <n v="19178027.709499877"/>
    <s v="FC"/>
    <n v="30"/>
    <n v="0"/>
    <n v="0"/>
    <s v="N/A"/>
    <n v="0"/>
    <m/>
    <x v="33"/>
    <x v="2"/>
    <n v="2"/>
    <m/>
    <s v="II"/>
    <n v="2"/>
  </r>
  <r>
    <x v="1"/>
    <x v="1"/>
    <m/>
    <m/>
    <n v="60640"/>
    <x v="44"/>
    <s v="COCA"/>
    <n v="6.93"/>
    <n v="30"/>
    <n v="2691354.449998999"/>
    <n v="10"/>
    <n v="63597.119999999995"/>
    <n v="15"/>
    <n v="26964740.893699955"/>
    <n v="30"/>
    <n v="2579280.362699999"/>
    <n v="3"/>
    <n v="55564.568600000021"/>
    <n v="5"/>
    <n v="12104427.610100057"/>
    <s v="FC"/>
    <n v="20"/>
    <n v="0"/>
    <n v="0"/>
    <s v="N/A"/>
    <n v="0"/>
    <m/>
    <x v="34"/>
    <x v="1"/>
    <n v="3"/>
    <m/>
    <s v="II"/>
    <n v="2"/>
  </r>
  <r>
    <x v="1"/>
    <x v="14"/>
    <m/>
    <m/>
    <n v="60760"/>
    <x v="45"/>
    <s v="COCA"/>
    <n v="5.78"/>
    <n v="30"/>
    <n v="1796452.5400009989"/>
    <n v="5"/>
    <n v="0"/>
    <n v="0"/>
    <n v="12470462.991702016"/>
    <n v="20"/>
    <n v="2144376.4208"/>
    <n v="3"/>
    <n v="4244978.0039999997"/>
    <n v="10"/>
    <n v="1617339.9171999965"/>
    <s v=""/>
    <n v="0"/>
    <n v="3862767.0360000166"/>
    <n v="10"/>
    <s v="N/A"/>
    <n v="0"/>
    <m/>
    <x v="7"/>
    <x v="0"/>
    <n v="4"/>
    <m/>
    <s v="II"/>
    <n v="2"/>
  </r>
  <r>
    <x v="1"/>
    <x v="15"/>
    <m/>
    <m/>
    <n v="12144"/>
    <x v="46"/>
    <s v="COCA"/>
    <n v="6.5"/>
    <n v="30"/>
    <n v="2979841.730001003"/>
    <n v="10"/>
    <n v="56728.37"/>
    <n v="15"/>
    <n v="25300139.35710096"/>
    <n v="30"/>
    <n v="2676035.4890000015"/>
    <n v="3"/>
    <n v="4485585.8757000007"/>
    <n v="10"/>
    <n v="2707006.9869000013"/>
    <s v=""/>
    <n v="0"/>
    <n v="6736266.3733989978"/>
    <n v="10"/>
    <s v="N/A"/>
    <n v="0"/>
    <m/>
    <x v="21"/>
    <x v="1"/>
    <n v="3"/>
    <m/>
    <s v="III"/>
    <n v="3"/>
  </r>
  <r>
    <x v="1"/>
    <x v="1"/>
    <m/>
    <m/>
    <n v="11045"/>
    <x v="47"/>
    <s v="COCA"/>
    <n v="9.14"/>
    <n v="45"/>
    <n v="5685173.6691800114"/>
    <n v="20"/>
    <n v="0"/>
    <n v="0"/>
    <n v="53660636.812402003"/>
    <n v="50"/>
    <n v="4459700.052099999"/>
    <n v="4"/>
    <n v="26213.386200000001"/>
    <n v="5"/>
    <n v="10949600.558000045"/>
    <s v="FC"/>
    <n v="20"/>
    <n v="19209177.816001758"/>
    <n v="20"/>
    <s v="N/A"/>
    <n v="0"/>
    <m/>
    <x v="35"/>
    <x v="2"/>
    <n v="2"/>
    <m/>
    <s v="II"/>
    <n v="2"/>
  </r>
  <r>
    <x v="1"/>
    <x v="16"/>
    <m/>
    <m/>
    <n v="12539"/>
    <x v="48"/>
    <s v="COCA"/>
    <n v="6.42"/>
    <n v="30"/>
    <n v="4633069.5100020077"/>
    <n v="15"/>
    <n v="0"/>
    <n v="0"/>
    <n v="22215527.64869998"/>
    <n v="30"/>
    <n v="2808213.4330000002"/>
    <n v="3"/>
    <n v="212125.98440000002"/>
    <n v="5"/>
    <n v="3489530.726000004"/>
    <s v=""/>
    <n v="0"/>
    <n v="3331338.5914999996"/>
    <n v="10"/>
    <s v="N/A"/>
    <n v="0"/>
    <m/>
    <x v="2"/>
    <x v="1"/>
    <n v="3"/>
    <m/>
    <s v="I"/>
    <n v="1"/>
  </r>
  <r>
    <x v="1"/>
    <x v="13"/>
    <m/>
    <m/>
    <n v="11800"/>
    <x v="49"/>
    <s v="COCA"/>
    <n v="5.91"/>
    <n v="30"/>
    <n v="4842153.7400020026"/>
    <n v="15"/>
    <n v="0"/>
    <n v="0"/>
    <n v="37660329.94840119"/>
    <n v="40"/>
    <n v="1961794.5151"/>
    <n v="2"/>
    <n v="1856244.1159999997"/>
    <n v="5"/>
    <n v="15619150.633599985"/>
    <s v="FC"/>
    <n v="20"/>
    <n v="0"/>
    <n v="0"/>
    <s v="N/A"/>
    <n v="0"/>
    <m/>
    <x v="15"/>
    <x v="1"/>
    <n v="3"/>
    <m/>
    <s v="II"/>
    <n v="2"/>
  </r>
  <r>
    <x v="1"/>
    <x v="15"/>
    <m/>
    <m/>
    <n v="60360"/>
    <x v="50"/>
    <s v="COCA"/>
    <n v="6.12"/>
    <n v="30"/>
    <n v="2607111.2199980011"/>
    <n v="10"/>
    <n v="125473.59000000001"/>
    <n v="20"/>
    <n v="42881444.006607093"/>
    <n v="40"/>
    <n v="2677246.4911000007"/>
    <n v="3"/>
    <n v="0"/>
    <n v="0"/>
    <n v="13681067.126900015"/>
    <s v="FC"/>
    <n v="20"/>
    <n v="9489254.5037999898"/>
    <n v="10"/>
    <s v="N/A"/>
    <n v="0"/>
    <m/>
    <x v="36"/>
    <x v="2"/>
    <n v="2"/>
    <m/>
    <s v="II"/>
    <n v="2"/>
  </r>
  <r>
    <x v="1"/>
    <x v="14"/>
    <m/>
    <m/>
    <n v="60600"/>
    <x v="51"/>
    <s v="COCA"/>
    <n v="4.13"/>
    <n v="15"/>
    <n v="1975530.0900020001"/>
    <n v="5"/>
    <n v="93166.59"/>
    <n v="20"/>
    <n v="15200706.947338006"/>
    <n v="20"/>
    <n v="1584633.1003"/>
    <n v="2"/>
    <n v="1682227.5780999998"/>
    <n v="5"/>
    <n v="3417385.8876999966"/>
    <s v=""/>
    <n v="0"/>
    <n v="0"/>
    <n v="0"/>
    <s v="N/A"/>
    <n v="0"/>
    <m/>
    <x v="37"/>
    <x v="0"/>
    <n v="4"/>
    <m/>
    <s v="I"/>
    <n v="1"/>
  </r>
  <r>
    <x v="1"/>
    <x v="15"/>
    <m/>
    <m/>
    <n v="60480"/>
    <x v="52"/>
    <s v="COCA"/>
    <n v="9.5299999999999994"/>
    <n v="45"/>
    <n v="5692207.5299970126"/>
    <n v="20"/>
    <n v="126089.51"/>
    <n v="20"/>
    <n v="77234339.758897811"/>
    <n v="50"/>
    <n v="5713604.820500005"/>
    <n v="5"/>
    <n v="77822.049700000003"/>
    <n v="5"/>
    <n v="21572452.606398862"/>
    <s v="FC"/>
    <n v="30"/>
    <n v="22891474.62349971"/>
    <n v="20"/>
    <s v="N/A"/>
    <n v="0"/>
    <m/>
    <x v="38"/>
    <x v="3"/>
    <n v="1"/>
    <m/>
    <s v="II"/>
    <n v="2"/>
  </r>
  <r>
    <x v="1"/>
    <x v="14"/>
    <m/>
    <m/>
    <n v="11237"/>
    <x v="53"/>
    <s v="COCA"/>
    <n v="2.59"/>
    <n v="15"/>
    <n v="665621.21000099985"/>
    <n v="5"/>
    <n v="0"/>
    <n v="0"/>
    <n v="2968334.4178989995"/>
    <n v="20"/>
    <n v="608440.96329999994"/>
    <n v="2"/>
    <n v="0"/>
    <n v="0"/>
    <n v="504454.54520000005"/>
    <s v=""/>
    <n v="0"/>
    <n v="0"/>
    <n v="0"/>
    <s v="N/A"/>
    <n v="0"/>
    <m/>
    <x v="39"/>
    <x v="0"/>
    <n v="4"/>
    <m/>
    <s v="I"/>
    <n v="1"/>
  </r>
  <r>
    <x v="1"/>
    <x v="16"/>
    <m/>
    <m/>
    <n v="12177"/>
    <x v="54"/>
    <s v="COCA"/>
    <n v="9.8800000000000008"/>
    <n v="45"/>
    <n v="7380740.6099980138"/>
    <n v="20"/>
    <n v="137212.49"/>
    <n v="20"/>
    <n v="48915685.697498985"/>
    <n v="40"/>
    <n v="5574826.8733000048"/>
    <n v="5"/>
    <n v="12015374.1439"/>
    <n v="15"/>
    <n v="16887626.128296975"/>
    <s v="FC"/>
    <n v="20"/>
    <n v="18520087.987803806"/>
    <n v="20"/>
    <s v="N/A"/>
    <n v="0"/>
    <m/>
    <x v="40"/>
    <x v="3"/>
    <n v="1"/>
    <m/>
    <s v="I"/>
    <n v="1"/>
  </r>
  <r>
    <x v="1"/>
    <x v="14"/>
    <m/>
    <m/>
    <n v="12347"/>
    <x v="55"/>
    <s v="COCA"/>
    <n v="3.02"/>
    <n v="15"/>
    <n v="1080507.2299989997"/>
    <n v="5"/>
    <n v="0"/>
    <n v="0"/>
    <n v="15414186.459500017"/>
    <n v="20"/>
    <n v="1698003.9782000002"/>
    <n v="2"/>
    <n v="9442.5200000000023"/>
    <n v="5"/>
    <n v="1562790.6431999996"/>
    <s v=""/>
    <n v="0"/>
    <n v="0"/>
    <n v="0"/>
    <s v="N/A"/>
    <n v="0"/>
    <m/>
    <x v="41"/>
    <x v="0"/>
    <n v="4"/>
    <m/>
    <s v="II"/>
    <n v="2"/>
  </r>
  <r>
    <x v="1"/>
    <x v="16"/>
    <m/>
    <m/>
    <n v="11333"/>
    <x v="56"/>
    <s v="COCA"/>
    <n v="6.22"/>
    <n v="30"/>
    <n v="3884817.6499920078"/>
    <n v="10"/>
    <n v="0"/>
    <n v="0"/>
    <n v="33634602.782799952"/>
    <n v="40"/>
    <n v="3120504.7699000002"/>
    <n v="3"/>
    <n v="0"/>
    <n v="0"/>
    <n v="3638234.7923019961"/>
    <s v=""/>
    <n v="0"/>
    <n v="18905939.210599735"/>
    <n v="20"/>
    <s v="N/A"/>
    <n v="0"/>
    <m/>
    <x v="42"/>
    <x v="1"/>
    <n v="3"/>
    <m/>
    <s v="I"/>
    <n v="1"/>
  </r>
  <r>
    <x v="1"/>
    <x v="15"/>
    <m/>
    <m/>
    <n v="60000"/>
    <x v="57"/>
    <s v="COCA"/>
    <n v="6.39"/>
    <n v="30"/>
    <n v="3295144.5100040035"/>
    <n v="10"/>
    <n v="83393.48000000001"/>
    <n v="15"/>
    <n v="36768315.523800999"/>
    <n v="40"/>
    <n v="2202066.1773000001"/>
    <n v="3"/>
    <n v="8865232.3761000019"/>
    <n v="10"/>
    <n v="7818358.5445000418"/>
    <s v="FC"/>
    <n v="10"/>
    <n v="19960787.80850086"/>
    <n v="20"/>
    <s v="N/A"/>
    <n v="0"/>
    <m/>
    <x v="22"/>
    <x v="2"/>
    <n v="2"/>
    <m/>
    <s v="II"/>
    <n v="2"/>
  </r>
  <r>
    <x v="1"/>
    <x v="14"/>
    <m/>
    <m/>
    <n v="12476"/>
    <x v="58"/>
    <s v="COCA"/>
    <n v="9.0500000000000007"/>
    <n v="45"/>
    <n v="3150032.6899980018"/>
    <n v="10"/>
    <n v="0"/>
    <n v="0"/>
    <n v="27602897.943299949"/>
    <n v="30"/>
    <n v="2370444.1533000018"/>
    <n v="3"/>
    <n v="10335858.374299988"/>
    <n v="15"/>
    <n v="4197920.2609000038"/>
    <s v=""/>
    <n v="0"/>
    <n v="9945687.7801999617"/>
    <n v="15"/>
    <s v="N/A"/>
    <n v="0"/>
    <m/>
    <x v="29"/>
    <x v="1"/>
    <n v="3"/>
    <m/>
    <s v="II"/>
    <n v="2"/>
  </r>
  <r>
    <x v="1"/>
    <x v="1"/>
    <m/>
    <m/>
    <n v="11226"/>
    <x v="59"/>
    <s v="COCA"/>
    <n v="5.17"/>
    <n v="15"/>
    <n v="2638935.2600000007"/>
    <n v="10"/>
    <n v="15254.859999999999"/>
    <n v="5"/>
    <n v="13822165.197200036"/>
    <n v="20"/>
    <n v="1444366.1762000001"/>
    <n v="2"/>
    <n v="2512751.9938979996"/>
    <n v="5"/>
    <n v="2768327.4812989994"/>
    <s v=""/>
    <n v="0"/>
    <n v="1246693.7273000001"/>
    <n v="5"/>
    <s v="N/A"/>
    <n v="0"/>
    <m/>
    <x v="20"/>
    <x v="0"/>
    <n v="4"/>
    <m/>
    <s v="II"/>
    <n v="2"/>
  </r>
  <r>
    <x v="1"/>
    <x v="14"/>
    <m/>
    <m/>
    <n v="60240"/>
    <x v="60"/>
    <s v="COCA"/>
    <n v="6.05"/>
    <n v="30"/>
    <n v="5047498.6599990036"/>
    <n v="15"/>
    <n v="0"/>
    <n v="0"/>
    <n v="32116251.229100026"/>
    <n v="30"/>
    <n v="2004523.6488999999"/>
    <n v="2"/>
    <n v="578032.29040000006"/>
    <n v="5"/>
    <n v="9315565.4282000735"/>
    <s v="FC"/>
    <n v="10"/>
    <n v="6272834.6742000002"/>
    <n v="10"/>
    <s v="N/A"/>
    <n v="0"/>
    <m/>
    <x v="43"/>
    <x v="1"/>
    <n v="3"/>
    <m/>
    <s v="I"/>
    <n v="1"/>
  </r>
  <r>
    <x v="1"/>
    <x v="1"/>
    <m/>
    <m/>
    <n v="60840"/>
    <x v="61"/>
    <s v="COCA"/>
    <n v="5.78"/>
    <n v="30"/>
    <n v="2871218.1499939999"/>
    <n v="10"/>
    <n v="48927.69"/>
    <n v="10"/>
    <n v="24734135.525798969"/>
    <n v="30"/>
    <n v="2332520.5160999997"/>
    <n v="3"/>
    <n v="4490096.1157000009"/>
    <n v="10"/>
    <n v="5033175.455301024"/>
    <s v=""/>
    <n v="0"/>
    <n v="4846929.1805999996"/>
    <n v="10"/>
    <s v="N/A"/>
    <n v="0"/>
    <m/>
    <x v="42"/>
    <x v="1"/>
    <n v="3"/>
    <m/>
    <s v="II"/>
    <n v="2"/>
  </r>
  <r>
    <x v="1"/>
    <x v="16"/>
    <m/>
    <m/>
    <n v="12391"/>
    <x v="62"/>
    <s v="COCA"/>
    <n v="7.31"/>
    <n v="45"/>
    <n v="4852680.0599970073"/>
    <n v="15"/>
    <n v="0"/>
    <n v="0"/>
    <n v="31492647.882594969"/>
    <n v="30"/>
    <n v="2241536.2566"/>
    <n v="3"/>
    <n v="25463.78"/>
    <n v="5"/>
    <n v="12048378.204101034"/>
    <s v="FC"/>
    <n v="20"/>
    <n v="9376104.9799999762"/>
    <n v="10"/>
    <s v="N/A"/>
    <n v="0"/>
    <m/>
    <x v="33"/>
    <x v="2"/>
    <n v="2"/>
    <m/>
    <s v="III"/>
    <n v="3"/>
  </r>
  <r>
    <x v="1"/>
    <x v="16"/>
    <m/>
    <m/>
    <n v="12465"/>
    <x v="63"/>
    <s v="COCA"/>
    <n v="5.0199999999999996"/>
    <n v="15"/>
    <n v="2089434.7799970007"/>
    <n v="5"/>
    <n v="0"/>
    <n v="0"/>
    <n v="18978970.710199025"/>
    <n v="30"/>
    <n v="1565710.2588000002"/>
    <n v="2"/>
    <n v="1777274.8221000002"/>
    <n v="5"/>
    <n v="4709735.0967000164"/>
    <s v=""/>
    <n v="0"/>
    <n v="5327173.2579000005"/>
    <n v="10"/>
    <s v="N/A"/>
    <n v="0"/>
    <m/>
    <x v="37"/>
    <x v="0"/>
    <n v="4"/>
    <m/>
    <s v="I"/>
    <n v="1"/>
  </r>
  <r>
    <x v="1"/>
    <x v="13"/>
    <m/>
    <m/>
    <n v="12251"/>
    <x v="64"/>
    <s v="COCA"/>
    <n v="6.05"/>
    <n v="30"/>
    <n v="3464937.5499970014"/>
    <n v="10"/>
    <n v="77487.319998999999"/>
    <n v="15"/>
    <n v="27061929.292597935"/>
    <n v="30"/>
    <n v="1813945.6984999999"/>
    <n v="2"/>
    <n v="2385161.4408029993"/>
    <n v="5"/>
    <n v="9230608.8683000505"/>
    <s v="FC"/>
    <n v="10"/>
    <n v="9776981.5259999521"/>
    <n v="15"/>
    <s v="N/A"/>
    <n v="0"/>
    <m/>
    <x v="44"/>
    <x v="1"/>
    <n v="3"/>
    <m/>
    <s v="I"/>
    <n v="1"/>
  </r>
  <r>
    <x v="1"/>
    <x v="1"/>
    <m/>
    <m/>
    <n v="12303"/>
    <x v="65"/>
    <s v="COCA"/>
    <n v="9.57"/>
    <n v="45"/>
    <n v="4808306.67"/>
    <n v="15"/>
    <n v="0"/>
    <n v="0"/>
    <n v="80566294.508398786"/>
    <n v="50"/>
    <n v="5622388.2642000029"/>
    <n v="5"/>
    <n v="491279.53370000009"/>
    <n v="5"/>
    <n v="13783274.372200038"/>
    <s v="FC"/>
    <n v="20"/>
    <n v="16502621.809897846"/>
    <n v="20"/>
    <s v="N/A"/>
    <n v="0"/>
    <m/>
    <x v="45"/>
    <x v="2"/>
    <n v="2"/>
    <m/>
    <s v="II"/>
    <n v="2"/>
  </r>
  <r>
    <x v="1"/>
    <x v="13"/>
    <m/>
    <m/>
    <n v="12070"/>
    <x v="66"/>
    <s v="COCA"/>
    <n v="6.02"/>
    <n v="30"/>
    <n v="2763858.130001002"/>
    <n v="10"/>
    <n v="0"/>
    <n v="0"/>
    <n v="34973349.688300021"/>
    <n v="40"/>
    <n v="2848505.5548999999"/>
    <n v="3"/>
    <n v="38988.1895"/>
    <n v="5"/>
    <n v="6353588.6447990378"/>
    <s v=""/>
    <n v="0"/>
    <n v="0"/>
    <n v="0"/>
    <s v="N/A"/>
    <n v="0"/>
    <m/>
    <x v="14"/>
    <x v="1"/>
    <n v="3"/>
    <m/>
    <s v="I"/>
    <n v="1"/>
  </r>
  <r>
    <x v="1"/>
    <x v="15"/>
    <m/>
    <m/>
    <n v="11311"/>
    <x v="67"/>
    <s v="COCA"/>
    <n v="6.9"/>
    <n v="30"/>
    <n v="3582976.3599980022"/>
    <n v="10"/>
    <n v="0"/>
    <n v="0"/>
    <n v="88944299.110405177"/>
    <n v="50"/>
    <n v="4786635.498300001"/>
    <n v="5"/>
    <n v="157913.39050000001"/>
    <n v="5"/>
    <n v="14011461.3228999"/>
    <s v=""/>
    <n v="0"/>
    <n v="0"/>
    <n v="0"/>
    <s v="N/A"/>
    <n v="0"/>
    <m/>
    <x v="46"/>
    <x v="1"/>
    <n v="3"/>
    <m/>
    <s v="I"/>
    <n v="1"/>
  </r>
  <r>
    <x v="1"/>
    <x v="16"/>
    <m/>
    <m/>
    <n v="12336"/>
    <x v="68"/>
    <s v="COCA"/>
    <n v="10.16"/>
    <n v="45"/>
    <n v="4312861.8100000024"/>
    <n v="15"/>
    <n v="0"/>
    <n v="0"/>
    <n v="45069121.941399857"/>
    <n v="40"/>
    <n v="4289294.5893000029"/>
    <n v="4"/>
    <n v="3729268.5471000001"/>
    <n v="10"/>
    <n v="11245554.836101066"/>
    <s v="FC"/>
    <n v="20"/>
    <n v="10250012.931299953"/>
    <n v="15"/>
    <s v="N/A"/>
    <n v="0"/>
    <m/>
    <x v="47"/>
    <x v="2"/>
    <n v="2"/>
    <m/>
    <s v="I"/>
    <n v="1"/>
  </r>
  <r>
    <x v="1"/>
    <x v="14"/>
    <m/>
    <m/>
    <n v="11514"/>
    <x v="69"/>
    <s v="COCA"/>
    <n v="5.26"/>
    <n v="15"/>
    <n v="2682333.1500080009"/>
    <n v="10"/>
    <n v="32726.879999999997"/>
    <n v="10"/>
    <n v="13528030.105701018"/>
    <n v="20"/>
    <n v="2516255.1549"/>
    <n v="3"/>
    <n v="4420240.1978000011"/>
    <n v="10"/>
    <n v="3252582.0533969929"/>
    <s v=""/>
    <n v="0"/>
    <n v="0"/>
    <n v="0"/>
    <s v="N/A"/>
    <n v="0"/>
    <m/>
    <x v="48"/>
    <x v="0"/>
    <n v="4"/>
    <m/>
    <s v="I"/>
    <n v="1"/>
  </r>
  <r>
    <x v="1"/>
    <x v="15"/>
    <m/>
    <m/>
    <n v="11012"/>
    <x v="70"/>
    <s v="COCA"/>
    <n v="9.67"/>
    <n v="45"/>
    <n v="4397466.2099980116"/>
    <n v="15"/>
    <n v="0"/>
    <n v="0"/>
    <n v="62500340.046398997"/>
    <n v="50"/>
    <n v="5244343.3761999998"/>
    <n v="5"/>
    <n v="64331.497700000007"/>
    <n v="5"/>
    <n v="11584686.669200024"/>
    <s v="FC"/>
    <n v="20"/>
    <n v="24305808.908901718"/>
    <n v="20"/>
    <s v="N/A"/>
    <n v="0"/>
    <m/>
    <x v="45"/>
    <x v="2"/>
    <n v="2"/>
    <m/>
    <s v="II"/>
    <n v="2"/>
  </r>
  <r>
    <x v="1"/>
    <x v="1"/>
    <m/>
    <m/>
    <n v="60720"/>
    <x v="71"/>
    <s v="COCA"/>
    <n v="6.22"/>
    <n v="30"/>
    <n v="2731046.550001001"/>
    <n v="10"/>
    <n v="61956.829998999987"/>
    <n v="15"/>
    <n v="20295453.951100007"/>
    <n v="30"/>
    <n v="1506956.7192000002"/>
    <n v="2"/>
    <n v="15344.095000000003"/>
    <n v="5"/>
    <n v="6547733.8177990317"/>
    <s v="FC"/>
    <n v="10"/>
    <n v="1087307.0990999998"/>
    <n v="5"/>
    <s v="N/A"/>
    <n v="0"/>
    <m/>
    <x v="16"/>
    <x v="1"/>
    <n v="3"/>
    <m/>
    <s v="I"/>
    <n v="1"/>
  </r>
  <r>
    <x v="1"/>
    <x v="14"/>
    <m/>
    <m/>
    <n v="60380"/>
    <x v="72"/>
    <s v="COCA"/>
    <n v="6.05"/>
    <n v="30"/>
    <n v="2622843.279999001"/>
    <n v="10"/>
    <n v="38700.730000000003"/>
    <n v="10"/>
    <n v="16242761.123001002"/>
    <n v="20"/>
    <n v="1222260.6477999999"/>
    <n v="2"/>
    <n v="1125464.5795"/>
    <n v="5"/>
    <n v="5165049.6394990236"/>
    <s v="FC"/>
    <n v="10"/>
    <n v="14278381.416499911"/>
    <n v="15"/>
    <s v="N/A"/>
    <n v="0"/>
    <m/>
    <x v="43"/>
    <x v="1"/>
    <n v="3"/>
    <m/>
    <s v="I"/>
    <n v="1"/>
  </r>
  <r>
    <x v="1"/>
    <x v="14"/>
    <m/>
    <m/>
    <n v="12081"/>
    <x v="73"/>
    <s v="COCA"/>
    <n v="6.05"/>
    <n v="30"/>
    <n v="1604220.3399959996"/>
    <n v="5"/>
    <n v="0"/>
    <n v="0"/>
    <n v="20967320.872501884"/>
    <n v="30"/>
    <n v="1067428.3629000001"/>
    <n v="2"/>
    <n v="13341.732500000002"/>
    <n v="5"/>
    <n v="5618625.6395000145"/>
    <s v=""/>
    <n v="0"/>
    <n v="0"/>
    <n v="0"/>
    <s v="N/A"/>
    <n v="0"/>
    <m/>
    <x v="0"/>
    <x v="0"/>
    <n v="4"/>
    <m/>
    <s v="I"/>
    <n v="1"/>
  </r>
  <r>
    <x v="1"/>
    <x v="1"/>
    <m/>
    <m/>
    <n v="12284"/>
    <x v="74"/>
    <s v="COCA"/>
    <n v="8.01"/>
    <n v="45"/>
    <n v="4073603.2500000084"/>
    <n v="15"/>
    <n v="0"/>
    <n v="0"/>
    <n v="33326201.447499048"/>
    <n v="30"/>
    <n v="2601401.6293000011"/>
    <n v="3"/>
    <n v="62501.575900000003"/>
    <n v="5"/>
    <n v="9285319.3562040515"/>
    <s v="FC"/>
    <n v="10"/>
    <n v="30827.563200000001"/>
    <n v="5"/>
    <s v="N/A"/>
    <n v="0"/>
    <m/>
    <x v="34"/>
    <x v="1"/>
    <n v="3"/>
    <m/>
    <s v="III"/>
    <n v="3"/>
  </r>
  <r>
    <x v="1"/>
    <x v="13"/>
    <m/>
    <m/>
    <n v="60320"/>
    <x v="75"/>
    <s v="COCA"/>
    <n v="6.05"/>
    <n v="30"/>
    <n v="2998049.5100019998"/>
    <n v="10"/>
    <n v="97354.770000000033"/>
    <n v="20"/>
    <n v="39891760.779502019"/>
    <n v="40"/>
    <n v="2422169.3259999994"/>
    <n v="3"/>
    <n v="1392761.4305999998"/>
    <n v="5"/>
    <n v="11212838.793099066"/>
    <s v=""/>
    <n v="0"/>
    <n v="16687398.150799992"/>
    <n v="20"/>
    <s v="N/A"/>
    <n v="0"/>
    <m/>
    <x v="33"/>
    <x v="2"/>
    <n v="2"/>
    <m/>
    <s v="I"/>
    <n v="1"/>
  </r>
  <r>
    <x v="1"/>
    <x v="13"/>
    <m/>
    <m/>
    <n v="12560"/>
    <x v="76"/>
    <s v="COCA"/>
    <n v="5.59"/>
    <n v="15"/>
    <n v="3116660.8400030043"/>
    <n v="10"/>
    <n v="0"/>
    <n v="0"/>
    <n v="25366879.945502944"/>
    <n v="30"/>
    <n v="2625165.4061999987"/>
    <n v="3"/>
    <n v="0"/>
    <n v="0"/>
    <n v="3527204.1634999895"/>
    <s v=""/>
    <n v="0"/>
    <n v="59921.261400000003"/>
    <n v="5"/>
    <s v="N/A"/>
    <n v="0"/>
    <m/>
    <x v="49"/>
    <x v="0"/>
    <n v="4"/>
    <m/>
    <s v="III"/>
    <n v="3"/>
  </r>
  <r>
    <x v="1"/>
    <x v="1"/>
    <m/>
    <m/>
    <n v="11215"/>
    <x v="77"/>
    <s v="COCA"/>
    <n v="6.03"/>
    <n v="30"/>
    <n v="3201710.4000040018"/>
    <n v="10"/>
    <n v="44463.780000999999"/>
    <n v="10"/>
    <n v="27911959.368799973"/>
    <n v="30"/>
    <n v="2527555.1513999999"/>
    <n v="3"/>
    <n v="3608187.4402000001"/>
    <n v="10"/>
    <n v="6117531.4161000252"/>
    <s v=""/>
    <n v="0"/>
    <n v="11769886.988999939"/>
    <n v="15"/>
    <s v="N/A"/>
    <n v="0"/>
    <m/>
    <x v="21"/>
    <x v="1"/>
    <n v="3"/>
    <m/>
    <s v="I"/>
    <n v="1"/>
  </r>
  <r>
    <x v="1"/>
    <x v="1"/>
    <m/>
    <m/>
    <n v="12092"/>
    <x v="78"/>
    <s v="COCA"/>
    <n v="10.72"/>
    <n v="45"/>
    <n v="8363738.4499980099"/>
    <n v="20"/>
    <n v="88036.909999999974"/>
    <n v="15"/>
    <n v="41228659.834098965"/>
    <n v="40"/>
    <n v="3882575.6450000014"/>
    <n v="4"/>
    <n v="3365231.5340000009"/>
    <n v="10"/>
    <n v="15003354.152000003"/>
    <s v="FC"/>
    <n v="20"/>
    <n v="5468949.0030000014"/>
    <n v="10"/>
    <s v="N/A"/>
    <n v="0"/>
    <m/>
    <x v="35"/>
    <x v="2"/>
    <n v="2"/>
    <m/>
    <s v="I"/>
    <n v="1"/>
  </r>
  <r>
    <x v="1"/>
    <x v="16"/>
    <m/>
    <m/>
    <n v="60440"/>
    <x v="79"/>
    <s v="COCA"/>
    <n v="3.82"/>
    <n v="15"/>
    <n v="2087703.4100019985"/>
    <n v="5"/>
    <n v="0"/>
    <n v="0"/>
    <n v="22795603.358801987"/>
    <n v="30"/>
    <n v="1298832.3058"/>
    <n v="2"/>
    <n v="51463.780200000008"/>
    <n v="5"/>
    <n v="5828457.4034000272"/>
    <s v=""/>
    <n v="0"/>
    <n v="4833543.3463000003"/>
    <n v="10"/>
    <s v="N/A"/>
    <n v="0"/>
    <m/>
    <x v="37"/>
    <x v="0"/>
    <n v="4"/>
    <m/>
    <s v="I"/>
    <n v="1"/>
  </r>
  <r>
    <x v="1"/>
    <x v="16"/>
    <m/>
    <m/>
    <n v="11761"/>
    <x v="80"/>
    <s v="COCA"/>
    <n v="6.82"/>
    <n v="30"/>
    <n v="3021923.5399950026"/>
    <n v="10"/>
    <n v="0"/>
    <n v="0"/>
    <n v="28095253.425799981"/>
    <n v="30"/>
    <n v="2840972.4873000002"/>
    <n v="3"/>
    <n v="176771.65380000003"/>
    <n v="5"/>
    <n v="3213617.5574000054"/>
    <s v=""/>
    <n v="0"/>
    <n v="14307482.371399932"/>
    <n v="15"/>
    <s v="N/A"/>
    <n v="0"/>
    <m/>
    <x v="2"/>
    <x v="1"/>
    <n v="3"/>
    <m/>
    <s v="I"/>
    <n v="1"/>
  </r>
  <r>
    <x v="1"/>
    <x v="14"/>
    <m/>
    <m/>
    <n v="11783"/>
    <x v="81"/>
    <s v="COCA"/>
    <n v="6.02"/>
    <n v="30"/>
    <n v="3474369.0799890049"/>
    <n v="10"/>
    <n v="0"/>
    <n v="0"/>
    <n v="24326624.941799942"/>
    <n v="30"/>
    <n v="2675388.2477000006"/>
    <n v="3"/>
    <n v="7847161.4974999996"/>
    <n v="10"/>
    <n v="2438437.3372000004"/>
    <s v=""/>
    <n v="0"/>
    <n v="0"/>
    <n v="0"/>
    <s v="N/A"/>
    <n v="0"/>
    <m/>
    <x v="4"/>
    <x v="1"/>
    <n v="3"/>
    <m/>
    <s v="III"/>
    <n v="3"/>
  </r>
  <r>
    <x v="1"/>
    <x v="15"/>
    <m/>
    <m/>
    <n v="12380"/>
    <x v="82"/>
    <s v="COCA"/>
    <n v="9.8800000000000008"/>
    <n v="45"/>
    <n v="3617173.4700000044"/>
    <n v="10"/>
    <n v="0"/>
    <n v="0"/>
    <n v="44938480.664199084"/>
    <n v="40"/>
    <n v="2905450.4295999999"/>
    <n v="3"/>
    <n v="3237787.4329000004"/>
    <n v="10"/>
    <n v="19225998.906200916"/>
    <s v="FC"/>
    <n v="30"/>
    <n v="19328865.052399825"/>
    <n v="20"/>
    <s v="N/A"/>
    <n v="0"/>
    <m/>
    <x v="24"/>
    <x v="2"/>
    <n v="2"/>
    <m/>
    <s v="III"/>
    <n v="3"/>
  </r>
  <r>
    <x v="1"/>
    <x v="2"/>
    <m/>
    <m/>
    <n v="12233"/>
    <x v="83"/>
    <s v="COCA"/>
    <n v="5.81"/>
    <n v="30"/>
    <n v="2413976.7100070016"/>
    <n v="5"/>
    <n v="0"/>
    <n v="0"/>
    <n v="18049167.646099009"/>
    <n v="20"/>
    <n v="2632939.4482000023"/>
    <n v="3"/>
    <n v="4990040.2141000004"/>
    <n v="10"/>
    <n v="2924980.4191989931"/>
    <s v=""/>
    <n v="0"/>
    <n v="0"/>
    <n v="0"/>
    <s v="N/A"/>
    <n v="0"/>
    <m/>
    <x v="48"/>
    <x v="0"/>
    <n v="4"/>
    <m/>
    <s v="III"/>
    <n v="3"/>
  </r>
  <r>
    <x v="1"/>
    <x v="16"/>
    <m/>
    <m/>
    <n v="12325"/>
    <x v="84"/>
    <s v="COCA"/>
    <n v="6.22"/>
    <n v="30"/>
    <n v="3238489.8100039978"/>
    <n v="10"/>
    <n v="0"/>
    <n v="0"/>
    <n v="33845444.958999"/>
    <n v="40"/>
    <n v="3047738.6301000006"/>
    <n v="3"/>
    <n v="21245.670000000002"/>
    <n v="5"/>
    <n v="5333938.3513000188"/>
    <s v="FC"/>
    <n v="10"/>
    <n v="9708738.1190019865"/>
    <n v="15"/>
    <s v="N/A"/>
    <n v="0"/>
    <m/>
    <x v="34"/>
    <x v="1"/>
    <n v="3"/>
    <m/>
    <s v="III"/>
    <n v="3"/>
  </r>
  <r>
    <x v="1"/>
    <x v="16"/>
    <m/>
    <m/>
    <n v="11399"/>
    <x v="85"/>
    <s v="COCA"/>
    <n v="9.57"/>
    <n v="45"/>
    <n v="3255978.0699979989"/>
    <n v="10"/>
    <n v="0"/>
    <n v="0"/>
    <n v="33013169.366291974"/>
    <n v="30"/>
    <n v="3543691.4003999997"/>
    <n v="4"/>
    <n v="40990.552100000001"/>
    <n v="5"/>
    <n v="15685586.553200928"/>
    <s v="FC"/>
    <n v="20"/>
    <n v="17522.049600000002"/>
    <n v="5"/>
    <s v="N/A"/>
    <n v="0"/>
    <m/>
    <x v="10"/>
    <x v="1"/>
    <n v="3"/>
    <m/>
    <s v="II"/>
    <n v="2"/>
  </r>
  <r>
    <x v="1"/>
    <x v="15"/>
    <m/>
    <m/>
    <n v="60560"/>
    <x v="86"/>
    <s v="COCA"/>
    <n v="3.02"/>
    <n v="15"/>
    <n v="2014826.3000019977"/>
    <n v="5"/>
    <n v="0"/>
    <n v="0"/>
    <n v="23855944.791500032"/>
    <n v="30"/>
    <n v="1489433.8830000001"/>
    <n v="2"/>
    <n v="2696894.5187999997"/>
    <n v="5"/>
    <n v="6750312.5931010377"/>
    <s v=""/>
    <n v="0"/>
    <n v="0"/>
    <n v="0"/>
    <s v="N/A"/>
    <n v="0"/>
    <m/>
    <x v="50"/>
    <x v="0"/>
    <n v="4"/>
    <m/>
    <s v="II"/>
    <n v="2"/>
  </r>
  <r>
    <x v="1"/>
    <x v="14"/>
    <m/>
    <m/>
    <n v="60800"/>
    <x v="87"/>
    <s v="COCA"/>
    <n v="6.05"/>
    <n v="30"/>
    <n v="3020778.6699990006"/>
    <n v="10"/>
    <n v="18418.960000000003"/>
    <n v="5"/>
    <n v="22896035.684399012"/>
    <n v="30"/>
    <n v="1891025.2272999999"/>
    <n v="2"/>
    <n v="886987.41219999979"/>
    <n v="5"/>
    <n v="9863494.9216000885"/>
    <s v="FC"/>
    <n v="10"/>
    <n v="0"/>
    <n v="0"/>
    <s v="N/A"/>
    <n v="0"/>
    <m/>
    <x v="6"/>
    <x v="1"/>
    <n v="3"/>
    <m/>
    <s v="I"/>
    <n v="1"/>
  </r>
  <r>
    <x v="1"/>
    <x v="14"/>
    <m/>
    <m/>
    <n v="12432"/>
    <x v="88"/>
    <s v="COCA"/>
    <n v="9.68"/>
    <n v="45"/>
    <n v="5025211.4799920078"/>
    <n v="15"/>
    <n v="0"/>
    <n v="0"/>
    <n v="38437769.393697895"/>
    <n v="40"/>
    <n v="4387204.0620000046"/>
    <n v="4"/>
    <n v="11025651.294299994"/>
    <n v="15"/>
    <n v="3560266.4787000008"/>
    <s v=""/>
    <n v="0"/>
    <n v="12790191.760399928"/>
    <n v="15"/>
    <s v="N/A"/>
    <n v="0"/>
    <m/>
    <x v="51"/>
    <x v="2"/>
    <n v="2"/>
    <m/>
    <s v="II"/>
    <n v="2"/>
  </r>
  <r>
    <x v="1"/>
    <x v="15"/>
    <m/>
    <m/>
    <n v="60080"/>
    <x v="89"/>
    <s v="COCA"/>
    <n v="11.72"/>
    <n v="60"/>
    <n v="4606180.1000010082"/>
    <n v="15"/>
    <n v="0"/>
    <n v="0"/>
    <n v="62989736.566000782"/>
    <n v="50"/>
    <n v="3630386.6634000014"/>
    <n v="4"/>
    <n v="46838.583700000003"/>
    <n v="5"/>
    <n v="28312468.2470956"/>
    <s v="FC"/>
    <n v="30"/>
    <n v="0"/>
    <n v="0"/>
    <s v="N/A"/>
    <n v="0"/>
    <m/>
    <x v="35"/>
    <x v="2"/>
    <n v="2"/>
    <m/>
    <s v="II"/>
    <n v="2"/>
  </r>
  <r>
    <x v="1"/>
    <x v="15"/>
    <m/>
    <m/>
    <n v="60120"/>
    <x v="90"/>
    <s v="COCA"/>
    <n v="6.05"/>
    <n v="30"/>
    <n v="2977142.6400000015"/>
    <n v="10"/>
    <n v="0"/>
    <n v="0"/>
    <n v="30121618.620800007"/>
    <n v="30"/>
    <n v="1935326.0175999999"/>
    <n v="2"/>
    <n v="4917228.3976000007"/>
    <n v="10"/>
    <n v="9763633.8162990697"/>
    <s v="FC"/>
    <n v="10"/>
    <n v="12127274.201799968"/>
    <n v="15"/>
    <s v="N/A"/>
    <n v="0"/>
    <m/>
    <x v="16"/>
    <x v="1"/>
    <n v="3"/>
    <m/>
    <s v="II"/>
    <n v="2"/>
  </r>
  <r>
    <x v="1"/>
    <x v="14"/>
    <m/>
    <m/>
    <n v="60040"/>
    <x v="91"/>
    <s v="COCA"/>
    <n v="2.59"/>
    <n v="15"/>
    <n v="1026984.5399970005"/>
    <n v="5"/>
    <n v="0"/>
    <n v="0"/>
    <n v="7848552.3443000065"/>
    <n v="20"/>
    <n v="705104.73829999985"/>
    <n v="2"/>
    <n v="0"/>
    <n v="0"/>
    <n v="1240494.7804999994"/>
    <s v=""/>
    <n v="0"/>
    <n v="0"/>
    <n v="0"/>
    <s v="N/A"/>
    <n v="0"/>
    <m/>
    <x v="39"/>
    <x v="0"/>
    <n v="4"/>
    <m/>
    <s v="III"/>
    <n v="3"/>
  </r>
  <r>
    <x v="1"/>
    <x v="14"/>
    <m/>
    <m/>
    <n v="12410"/>
    <x v="92"/>
    <s v="COCA"/>
    <n v="5.52"/>
    <n v="15"/>
    <n v="2904628.8000080003"/>
    <n v="10"/>
    <n v="28532.109999999997"/>
    <n v="10"/>
    <n v="29578764.68980198"/>
    <n v="30"/>
    <n v="2993423.6766999988"/>
    <n v="3"/>
    <n v="7029274.0995999984"/>
    <n v="10"/>
    <n v="4510543.7358000036"/>
    <s v=""/>
    <n v="0"/>
    <n v="12168653.952797933"/>
    <n v="15"/>
    <s v="N/A"/>
    <n v="0"/>
    <m/>
    <x v="2"/>
    <x v="1"/>
    <n v="3"/>
    <m/>
    <s v="II"/>
    <n v="2"/>
  </r>
  <r>
    <x v="1"/>
    <x v="13"/>
    <m/>
    <m/>
    <n v="60680"/>
    <x v="93"/>
    <s v="COCA"/>
    <n v="6.02"/>
    <n v="30"/>
    <n v="2496900.9299980015"/>
    <n v="5"/>
    <n v="0"/>
    <n v="0"/>
    <n v="27844791.013801973"/>
    <n v="30"/>
    <n v="3157737.0740999989"/>
    <n v="3"/>
    <n v="4091066.1857000003"/>
    <n v="10"/>
    <n v="9652612.3956990782"/>
    <s v="FC"/>
    <n v="10"/>
    <n v="164251.9737"/>
    <n v="5"/>
    <s v="N/A"/>
    <n v="0"/>
    <m/>
    <x v="2"/>
    <x v="1"/>
    <n v="3"/>
    <m/>
    <s v="III"/>
    <n v="3"/>
  </r>
  <r>
    <x v="1"/>
    <x v="1"/>
    <m/>
    <m/>
    <n v="11451"/>
    <x v="94"/>
    <s v="COCA"/>
    <n v="5.81"/>
    <n v="30"/>
    <n v="1525479.6700039997"/>
    <n v="5"/>
    <n v="0"/>
    <n v="0"/>
    <n v="13440161.468202023"/>
    <n v="20"/>
    <n v="1315889.7969000004"/>
    <n v="2"/>
    <n v="22381.103000000003"/>
    <n v="5"/>
    <n v="1620873.7459999986"/>
    <s v=""/>
    <n v="0"/>
    <n v="0"/>
    <n v="0"/>
    <s v="N/A"/>
    <n v="0"/>
    <m/>
    <x v="20"/>
    <x v="0"/>
    <n v="4"/>
    <m/>
    <s v="I"/>
    <n v="1"/>
  </r>
  <r>
    <x v="1"/>
    <x v="16"/>
    <m/>
    <m/>
    <n v="12358"/>
    <x v="95"/>
    <s v="COCA"/>
    <n v="5.59"/>
    <n v="15"/>
    <n v="2370381.440002"/>
    <n v="5"/>
    <n v="0"/>
    <n v="0"/>
    <n v="22319956.076100975"/>
    <n v="30"/>
    <n v="2356587.4480000008"/>
    <n v="3"/>
    <n v="21259.8426"/>
    <n v="5"/>
    <n v="3883887.1016000006"/>
    <s v=""/>
    <n v="0"/>
    <n v="0"/>
    <n v="0"/>
    <s v="N/A"/>
    <n v="0"/>
    <m/>
    <x v="52"/>
    <x v="0"/>
    <n v="4"/>
    <m/>
    <s v="II"/>
    <n v="2"/>
  </r>
  <r>
    <x v="1"/>
    <x v="16"/>
    <m/>
    <m/>
    <n v="60400"/>
    <x v="96"/>
    <s v="COCA"/>
    <n v="7.23"/>
    <n v="45"/>
    <n v="2896517.7400030014"/>
    <n v="10"/>
    <n v="0"/>
    <n v="0"/>
    <n v="37714520.870398998"/>
    <n v="40"/>
    <n v="3171747.2958999993"/>
    <n v="3"/>
    <n v="0"/>
    <n v="0"/>
    <n v="12245359.082500068"/>
    <s v=""/>
    <n v="0"/>
    <n v="2377795.3509000004"/>
    <n v="10"/>
    <s v="N/A"/>
    <n v="0"/>
    <m/>
    <x v="21"/>
    <x v="1"/>
    <n v="3"/>
    <m/>
    <s v="III"/>
    <n v="3"/>
  </r>
  <r>
    <x v="1"/>
    <x v="16"/>
    <m/>
    <m/>
    <n v="60160"/>
    <x v="97"/>
    <s v="COCA"/>
    <n v="5.69"/>
    <n v="30"/>
    <n v="1548501.3000049992"/>
    <n v="5"/>
    <n v="25511.609999999997"/>
    <n v="5"/>
    <n v="14063422.216400005"/>
    <n v="20"/>
    <n v="972489.7816000001"/>
    <n v="2"/>
    <n v="1067122.0587999998"/>
    <n v="5"/>
    <n v="3445641.5099000018"/>
    <s v=""/>
    <n v="0"/>
    <n v="4545196.8862999994"/>
    <n v="10"/>
    <s v="N/A"/>
    <n v="0"/>
    <m/>
    <x v="53"/>
    <x v="0"/>
    <n v="4"/>
    <m/>
    <s v="II"/>
    <n v="2"/>
  </r>
  <r>
    <x v="1"/>
    <x v="16"/>
    <m/>
    <m/>
    <n v="12063"/>
    <x v="98"/>
    <s v="COCA"/>
    <n v="12.56"/>
    <n v="60"/>
    <n v="5719248.7200060058"/>
    <n v="20"/>
    <n v="250566.74000000002"/>
    <n v="20"/>
    <n v="63237599.099796966"/>
    <n v="50"/>
    <n v="4064716.6053000004"/>
    <n v="4"/>
    <n v="10525819.003499996"/>
    <n v="15"/>
    <n v="20718341.227499936"/>
    <s v="FC"/>
    <n v="30"/>
    <n v="14512722.591601865"/>
    <n v="20"/>
    <s v="N/A"/>
    <n v="0"/>
    <m/>
    <x v="54"/>
    <x v="3"/>
    <n v="1"/>
    <m/>
    <s v="I"/>
    <n v="1"/>
  </r>
  <r>
    <x v="1"/>
    <x v="15"/>
    <m/>
    <m/>
    <n v="12403"/>
    <x v="99"/>
    <s v="COCA"/>
    <n v="5.31"/>
    <n v="15"/>
    <n v="2073073.2100019993"/>
    <n v="5"/>
    <n v="0"/>
    <n v="0"/>
    <n v="26528394.223900944"/>
    <n v="30"/>
    <n v="2943005.5752000012"/>
    <n v="3"/>
    <n v="50753.545000000006"/>
    <n v="5"/>
    <n v="2717462.7593000005"/>
    <s v=""/>
    <n v="0"/>
    <n v="3323622.1121000005"/>
    <n v="10"/>
    <s v="N/A"/>
    <n v="0"/>
    <m/>
    <x v="48"/>
    <x v="0"/>
    <n v="4"/>
    <m/>
    <s v="I"/>
    <n v="1"/>
  </r>
  <r>
    <x v="1"/>
    <x v="16"/>
    <m/>
    <m/>
    <n v="60200"/>
    <x v="100"/>
    <s v="COCA"/>
    <n v="7.84"/>
    <n v="45"/>
    <n v="2948798.1100010024"/>
    <n v="10"/>
    <n v="0"/>
    <n v="0"/>
    <n v="41687370.144805983"/>
    <n v="40"/>
    <n v="3420203.2015000004"/>
    <n v="4"/>
    <n v="4110066.969101001"/>
    <n v="10"/>
    <n v="18253119.293602943"/>
    <s v="FC"/>
    <n v="30"/>
    <n v="5628582.7481999975"/>
    <n v="10"/>
    <s v="N/A"/>
    <n v="0"/>
    <m/>
    <x v="47"/>
    <x v="2"/>
    <n v="2"/>
    <m/>
    <s v="II"/>
    <n v="2"/>
  </r>
  <r>
    <x v="1"/>
    <x v="14"/>
    <m/>
    <m/>
    <n v="60280"/>
    <x v="101"/>
    <s v="COCA"/>
    <n v="10.72"/>
    <n v="45"/>
    <n v="2917399.7300030007"/>
    <n v="10"/>
    <n v="0"/>
    <n v="0"/>
    <n v="51753982.02519986"/>
    <n v="40"/>
    <n v="2687925.2433999996"/>
    <n v="3"/>
    <n v="1744822.0657999997"/>
    <n v="5"/>
    <n v="16743551.037401054"/>
    <s v="FC"/>
    <n v="20"/>
    <n v="16111157.016599901"/>
    <n v="20"/>
    <s v="N/A"/>
    <n v="0"/>
    <m/>
    <x v="32"/>
    <x v="2"/>
    <n v="2"/>
    <m/>
    <s v="I"/>
    <n v="1"/>
  </r>
  <r>
    <x v="1"/>
    <x v="16"/>
    <m/>
    <m/>
    <n v="60520"/>
    <x v="102"/>
    <s v="COCA"/>
    <n v="5.85"/>
    <n v="30"/>
    <n v="2496762.1300020013"/>
    <n v="5"/>
    <n v="0"/>
    <n v="0"/>
    <n v="20559706.443201009"/>
    <n v="30"/>
    <n v="1956145.7028999999"/>
    <n v="2"/>
    <n v="56576.379799999995"/>
    <n v="5"/>
    <n v="4055294.4028000017"/>
    <s v="FC"/>
    <n v="10"/>
    <n v="18494204.385999847"/>
    <n v="20"/>
    <s v="N/A"/>
    <n v="0"/>
    <m/>
    <x v="43"/>
    <x v="1"/>
    <n v="3"/>
    <m/>
    <s v="I"/>
    <n v="1"/>
  </r>
  <r>
    <x v="1"/>
    <x v="17"/>
    <m/>
    <m/>
    <n v="44373"/>
    <x v="103"/>
    <s v="COCA"/>
    <n v="7.51"/>
    <n v="45"/>
    <n v="5354419.059997011"/>
    <n v="15"/>
    <n v="59378.729999999996"/>
    <n v="15"/>
    <n v="21067128.686300959"/>
    <n v="30"/>
    <n v="3778993.0322000044"/>
    <n v="4"/>
    <n v="10737309.571499998"/>
    <n v="15"/>
    <n v="7471989.8680000296"/>
    <s v="FC"/>
    <n v="10"/>
    <n v="7625840.4338019975"/>
    <n v="10"/>
    <s v="N/A"/>
    <n v="0"/>
    <m/>
    <x v="55"/>
    <x v="2"/>
    <n v="2"/>
    <m/>
    <s v="II"/>
    <n v="2"/>
  </r>
  <r>
    <x v="1"/>
    <x v="12"/>
    <m/>
    <m/>
    <n v="44380"/>
    <x v="104"/>
    <s v="COCA"/>
    <n v="12"/>
    <n v="60"/>
    <n v="3306569.2099930025"/>
    <n v="10"/>
    <n v="0"/>
    <n v="0"/>
    <n v="60794491.407800391"/>
    <n v="50"/>
    <n v="2106117.3530000001"/>
    <n v="3"/>
    <n v="0"/>
    <n v="0"/>
    <n v="60228375.452590875"/>
    <s v=""/>
    <n v="0"/>
    <n v="0"/>
    <n v="0"/>
    <s v="N/A"/>
    <n v="0"/>
    <m/>
    <x v="31"/>
    <x v="1"/>
    <n v="3"/>
    <m/>
    <s v="I"/>
    <n v="1"/>
  </r>
  <r>
    <x v="1"/>
    <x v="12"/>
    <m/>
    <m/>
    <n v="44390"/>
    <x v="105"/>
    <s v="COCA"/>
    <n v="12"/>
    <n v="60"/>
    <n v="3981809.7600000002"/>
    <n v="10"/>
    <n v="0"/>
    <n v="0"/>
    <n v="61159049.809199139"/>
    <n v="50"/>
    <n v="2120178.7692999998"/>
    <n v="3"/>
    <n v="0"/>
    <n v="0"/>
    <n v="53781437.168799549"/>
    <s v=""/>
    <n v="0"/>
    <n v="0"/>
    <n v="0"/>
    <s v="N/A"/>
    <n v="0"/>
    <m/>
    <x v="31"/>
    <x v="1"/>
    <n v="3"/>
    <m/>
    <s v="III"/>
    <n v="3"/>
  </r>
  <r>
    <x v="1"/>
    <x v="17"/>
    <m/>
    <m/>
    <n v="44391"/>
    <x v="106"/>
    <s v="COCA"/>
    <n v="6.22"/>
    <n v="30"/>
    <n v="3315567.3999920031"/>
    <n v="10"/>
    <n v="0"/>
    <n v="0"/>
    <n v="22536602.718299985"/>
    <n v="30"/>
    <n v="2921166.2398960036"/>
    <n v="3"/>
    <n v="7170151.2640000004"/>
    <n v="10"/>
    <n v="4828835.5690999962"/>
    <s v=""/>
    <n v="0"/>
    <n v="0"/>
    <n v="0"/>
    <s v="N/A"/>
    <n v="0"/>
    <m/>
    <x v="4"/>
    <x v="1"/>
    <n v="3"/>
    <m/>
    <s v="III"/>
    <n v="3"/>
  </r>
  <r>
    <x v="0"/>
    <x v="3"/>
    <m/>
    <m/>
    <n v="24023"/>
    <x v="107"/>
    <s v="COCA"/>
    <n v="5.99"/>
    <n v="30"/>
    <n v="3907540.9699990018"/>
    <n v="10"/>
    <n v="0"/>
    <n v="0"/>
    <n v="36018581.81450095"/>
    <n v="40"/>
    <n v="3237888.273899999"/>
    <n v="3"/>
    <n v="11359449.733899994"/>
    <n v="15"/>
    <n v="10271398.504999025"/>
    <s v=""/>
    <n v="0"/>
    <n v="10869.292800000001"/>
    <n v="5"/>
    <s v="N/A"/>
    <n v="0"/>
    <m/>
    <x v="42"/>
    <x v="1"/>
    <n v="3"/>
    <m/>
    <s v="I"/>
    <n v="1"/>
  </r>
  <r>
    <x v="1"/>
    <x v="5"/>
    <m/>
    <m/>
    <n v="61300"/>
    <x v="108"/>
    <s v="COCA"/>
    <n v="4.22"/>
    <n v="15"/>
    <n v="1893322.3600030018"/>
    <n v="5"/>
    <n v="19170.400000000001"/>
    <n v="5"/>
    <n v="11722129.00600202"/>
    <n v="20"/>
    <n v="1970937.8703999992"/>
    <n v="2"/>
    <n v="3205151.2186999987"/>
    <n v="10"/>
    <n v="4699050.0707990108"/>
    <s v=""/>
    <n v="0"/>
    <n v="31102.377099999998"/>
    <n v="5"/>
    <s v="N/A"/>
    <n v="0"/>
    <m/>
    <x v="20"/>
    <x v="0"/>
    <n v="4"/>
    <m/>
    <s v="III"/>
    <n v="3"/>
  </r>
  <r>
    <x v="2"/>
    <x v="6"/>
    <m/>
    <m/>
    <n v="56023"/>
    <x v="109"/>
    <s v="COCA"/>
    <n v="3.31"/>
    <n v="15"/>
    <n v="2209666.0699990019"/>
    <n v="5"/>
    <n v="0"/>
    <n v="0"/>
    <n v="11879927.611703012"/>
    <n v="20"/>
    <n v="5988685.183500004"/>
    <n v="5"/>
    <n v="7978296.1568010012"/>
    <n v="10"/>
    <n v="2234673.0295000002"/>
    <s v=""/>
    <n v="0"/>
    <n v="0"/>
    <n v="0"/>
    <s v="N/A"/>
    <n v="0"/>
    <m/>
    <x v="56"/>
    <x v="0"/>
    <n v="4"/>
    <m/>
    <s v="III"/>
    <n v="3"/>
  </r>
  <r>
    <x v="2"/>
    <x v="10"/>
    <m/>
    <m/>
    <n v="44284"/>
    <x v="110"/>
    <s v="COCA"/>
    <n v="5.76"/>
    <n v="30"/>
    <n v="2212969.8200000012"/>
    <n v="5"/>
    <n v="0"/>
    <n v="0"/>
    <n v="16932691.749598008"/>
    <n v="20"/>
    <n v="3067665.4322999981"/>
    <n v="3"/>
    <n v="6940592.9920000015"/>
    <n v="10"/>
    <n v="4530920.6507000066"/>
    <s v=""/>
    <n v="0"/>
    <n v="703.93740000000003"/>
    <n v="5"/>
    <s v="N/A"/>
    <n v="0"/>
    <m/>
    <x v="28"/>
    <x v="0"/>
    <n v="4"/>
    <m/>
    <s v="II"/>
    <n v="2"/>
  </r>
  <r>
    <x v="2"/>
    <x v="10"/>
    <m/>
    <m/>
    <n v="42020"/>
    <x v="111"/>
    <s v="COCA"/>
    <n v="5.15"/>
    <n v="15"/>
    <n v="2733050.6000030041"/>
    <n v="10"/>
    <n v="0"/>
    <n v="0"/>
    <n v="19679760.974299986"/>
    <n v="30"/>
    <n v="2389692.1820999989"/>
    <n v="3"/>
    <n v="105474.80620000001"/>
    <n v="5"/>
    <n v="5996260.5154000232"/>
    <s v=""/>
    <n v="0"/>
    <n v="0"/>
    <n v="0"/>
    <s v="N/A"/>
    <n v="0"/>
    <m/>
    <x v="49"/>
    <x v="0"/>
    <n v="4"/>
    <m/>
    <s v="III"/>
    <n v="3"/>
  </r>
  <r>
    <x v="0"/>
    <x v="0"/>
    <m/>
    <m/>
    <n v="22046"/>
    <x v="112"/>
    <s v="COCA"/>
    <n v="6.05"/>
    <n v="30"/>
    <n v="5450604.9700020002"/>
    <n v="15"/>
    <n v="22584.699999999997"/>
    <n v="5"/>
    <n v="31141391.644899961"/>
    <n v="30"/>
    <n v="2880190.6184"/>
    <n v="3"/>
    <n v="9909096.1770000011"/>
    <n v="15"/>
    <n v="8049549.6849000314"/>
    <s v=""/>
    <n v="0"/>
    <n v="4865195.4383000005"/>
    <n v="10"/>
    <s v="N/A"/>
    <n v="0"/>
    <m/>
    <x v="21"/>
    <x v="1"/>
    <n v="3"/>
    <m/>
    <s v="I"/>
    <n v="1"/>
  </r>
  <r>
    <x v="0"/>
    <x v="3"/>
    <m/>
    <m/>
    <n v="33073"/>
    <x v="113"/>
    <s v="COCA"/>
    <n v="3.19"/>
    <n v="15"/>
    <n v="1902089.2900010021"/>
    <n v="5"/>
    <n v="0"/>
    <n v="0"/>
    <n v="10632111.794100029"/>
    <n v="20"/>
    <n v="1287427.6002"/>
    <n v="2"/>
    <n v="5487338.6679000016"/>
    <n v="10"/>
    <n v="2325613.8832980013"/>
    <s v=""/>
    <n v="0"/>
    <n v="0"/>
    <n v="0"/>
    <s v="N/A"/>
    <n v="0"/>
    <m/>
    <x v="23"/>
    <x v="0"/>
    <n v="4"/>
    <m/>
    <s v="III"/>
    <n v="3"/>
  </r>
  <r>
    <x v="1"/>
    <x v="1"/>
    <m/>
    <m/>
    <n v="17307"/>
    <x v="114"/>
    <s v="COCA"/>
    <n v="6.65"/>
    <n v="30"/>
    <n v="5820895.4800020065"/>
    <n v="20"/>
    <n v="40228.029999999992"/>
    <n v="10"/>
    <n v="26102071.895001043"/>
    <n v="30"/>
    <n v="2868286.6884000017"/>
    <n v="3"/>
    <n v="7394208.7551999995"/>
    <n v="10"/>
    <n v="5509435.4923000038"/>
    <s v="FC"/>
    <n v="10"/>
    <n v="12045924.811801957"/>
    <n v="15"/>
    <s v="N/A"/>
    <n v="0"/>
    <m/>
    <x v="33"/>
    <x v="2"/>
    <n v="2"/>
    <m/>
    <s v="I"/>
    <n v="1"/>
  </r>
  <r>
    <x v="2"/>
    <x v="6"/>
    <m/>
    <m/>
    <n v="54013"/>
    <x v="115"/>
    <s v="COCA"/>
    <n v="6.02"/>
    <n v="30"/>
    <n v="2192570.949996999"/>
    <n v="5"/>
    <n v="0"/>
    <n v="0"/>
    <n v="10663004.96360201"/>
    <n v="20"/>
    <n v="2048347.3071000008"/>
    <n v="2"/>
    <n v="34071.654700000006"/>
    <n v="5"/>
    <n v="1207709.9240999999"/>
    <s v=""/>
    <n v="0"/>
    <n v="0"/>
    <n v="0"/>
    <s v="N/A"/>
    <n v="0"/>
    <m/>
    <x v="20"/>
    <x v="0"/>
    <n v="4"/>
    <m/>
    <s v="I"/>
    <n v="1"/>
  </r>
  <r>
    <x v="2"/>
    <x v="6"/>
    <m/>
    <m/>
    <n v="54083"/>
    <x v="116"/>
    <s v="COCA"/>
    <n v="10.5"/>
    <n v="45"/>
    <n v="5729372.1299850112"/>
    <n v="20"/>
    <n v="0"/>
    <n v="0"/>
    <n v="39671230.056501046"/>
    <n v="40"/>
    <n v="3108355.1833000015"/>
    <n v="3"/>
    <n v="3192135.4720000015"/>
    <n v="10"/>
    <n v="14834356.919796992"/>
    <s v="FC"/>
    <n v="20"/>
    <n v="0"/>
    <n v="0"/>
    <s v="N/A"/>
    <n v="0"/>
    <m/>
    <x v="22"/>
    <x v="2"/>
    <n v="2"/>
    <m/>
    <s v="II"/>
    <n v="2"/>
  </r>
  <r>
    <x v="2"/>
    <x v="18"/>
    <m/>
    <m/>
    <n v="54070"/>
    <x v="117"/>
    <s v="COCA"/>
    <n v="6.48"/>
    <n v="30"/>
    <n v="3757271.9900000067"/>
    <n v="10"/>
    <n v="50874.59000199999"/>
    <n v="15"/>
    <n v="18410468.360599004"/>
    <n v="30"/>
    <n v="1836698.4722000002"/>
    <n v="2"/>
    <n v="2600727.5924000004"/>
    <n v="5"/>
    <n v="4108240.0991999861"/>
    <s v=""/>
    <n v="0"/>
    <n v="1295433.1123000006"/>
    <n v="5"/>
    <s v="N/A"/>
    <n v="0"/>
    <m/>
    <x v="57"/>
    <x v="1"/>
    <n v="3"/>
    <m/>
    <s v="I"/>
    <n v="1"/>
  </r>
  <r>
    <x v="2"/>
    <x v="6"/>
    <m/>
    <m/>
    <n v="62850"/>
    <x v="118"/>
    <s v="COCA"/>
    <n v="6.05"/>
    <n v="30"/>
    <n v="2442102.1599969976"/>
    <n v="5"/>
    <n v="38990.829999999987"/>
    <n v="10"/>
    <n v="25150802.277998969"/>
    <n v="30"/>
    <n v="2245416.5825999994"/>
    <n v="3"/>
    <n v="62588.977700000003"/>
    <n v="5"/>
    <n v="5502658.593000005"/>
    <s v=""/>
    <n v="0"/>
    <n v="5490629.9765999988"/>
    <n v="10"/>
    <s v="N/A"/>
    <n v="0"/>
    <m/>
    <x v="2"/>
    <x v="1"/>
    <n v="3"/>
    <m/>
    <s v="I"/>
    <n v="1"/>
  </r>
  <r>
    <x v="2"/>
    <x v="6"/>
    <m/>
    <m/>
    <n v="54046"/>
    <x v="119"/>
    <s v="COCA"/>
    <n v="6.62"/>
    <n v="30"/>
    <n v="3523366.9300050046"/>
    <n v="10"/>
    <n v="0"/>
    <n v="0"/>
    <n v="21444628.58180099"/>
    <n v="30"/>
    <n v="1772687.4535990006"/>
    <n v="2"/>
    <n v="1659286.6364000002"/>
    <n v="5"/>
    <n v="7082656.0926020136"/>
    <s v=""/>
    <n v="0"/>
    <n v="41414.983700000019"/>
    <n v="5"/>
    <s v="N/A"/>
    <n v="0"/>
    <m/>
    <x v="5"/>
    <x v="1"/>
    <n v="3"/>
    <m/>
    <s v="III"/>
    <n v="3"/>
  </r>
  <r>
    <x v="2"/>
    <x v="6"/>
    <m/>
    <m/>
    <n v="54057"/>
    <x v="120"/>
    <s v="COCA"/>
    <n v="6.62"/>
    <n v="30"/>
    <n v="3658275.7899919995"/>
    <n v="10"/>
    <n v="54231.600000000006"/>
    <n v="15"/>
    <n v="18873320.058303975"/>
    <n v="30"/>
    <n v="1790708.7146000012"/>
    <n v="2"/>
    <n v="4845859.905000004"/>
    <n v="10"/>
    <n v="4512915.3118010042"/>
    <s v=""/>
    <n v="0"/>
    <n v="10424537.363301961"/>
    <n v="15"/>
    <s v="N/A"/>
    <n v="0"/>
    <m/>
    <x v="15"/>
    <x v="1"/>
    <n v="3"/>
    <m/>
    <s v="I"/>
    <n v="1"/>
  </r>
  <r>
    <x v="2"/>
    <x v="6"/>
    <m/>
    <m/>
    <n v="54068"/>
    <x v="121"/>
    <s v="COCA"/>
    <n v="11.39"/>
    <n v="60"/>
    <n v="5578188.780017009"/>
    <n v="15"/>
    <n v="107397.93000000004"/>
    <n v="20"/>
    <n v="37272838.57121893"/>
    <n v="40"/>
    <n v="5359679.6611000076"/>
    <n v="5"/>
    <n v="15415780.503699988"/>
    <n v="20"/>
    <n v="14155452.497998014"/>
    <s v="FC"/>
    <n v="20"/>
    <n v="0"/>
    <n v="0"/>
    <s v="N/A"/>
    <n v="0"/>
    <m/>
    <x v="9"/>
    <x v="3"/>
    <n v="1"/>
    <m/>
    <s v="I"/>
    <n v="1"/>
  </r>
  <r>
    <x v="2"/>
    <x v="18"/>
    <m/>
    <m/>
    <n v="54035"/>
    <x v="122"/>
    <s v="COCA"/>
    <n v="6.65"/>
    <n v="30"/>
    <n v="3407446.3800000064"/>
    <n v="10"/>
    <n v="0"/>
    <n v="0"/>
    <n v="22037761.483105984"/>
    <n v="30"/>
    <n v="2373962.263100001"/>
    <n v="3"/>
    <n v="51933.859800000006"/>
    <n v="5"/>
    <n v="5229952.2868000111"/>
    <s v="FC"/>
    <n v="10"/>
    <n v="7392997.0878010001"/>
    <n v="10"/>
    <s v="N/A"/>
    <n v="0"/>
    <m/>
    <x v="58"/>
    <x v="1"/>
    <n v="3"/>
    <m/>
    <s v="II"/>
    <n v="2"/>
  </r>
  <r>
    <x v="0"/>
    <x v="7"/>
    <m/>
    <m/>
    <n v="21224"/>
    <x v="123"/>
    <s v="COCA"/>
    <n v="5.22"/>
    <n v="15"/>
    <n v="2079731.6200020001"/>
    <n v="5"/>
    <n v="0"/>
    <n v="0"/>
    <n v="15706656.188700026"/>
    <n v="20"/>
    <n v="2318251.2632000018"/>
    <n v="3"/>
    <n v="4515936.2765999986"/>
    <n v="10"/>
    <n v="3612733.6265000035"/>
    <s v=""/>
    <n v="0"/>
    <n v="0"/>
    <n v="0"/>
    <s v="N/A"/>
    <n v="0"/>
    <m/>
    <x v="27"/>
    <x v="0"/>
    <n v="4"/>
    <m/>
    <s v="III"/>
    <n v="3"/>
  </r>
  <r>
    <x v="2"/>
    <x v="10"/>
    <m/>
    <m/>
    <n v="41072"/>
    <x v="124"/>
    <s v="COCA"/>
    <n v="2.33"/>
    <n v="15"/>
    <n v="1274039.58"/>
    <n v="5"/>
    <n v="0"/>
    <n v="0"/>
    <n v="3997792.7528000004"/>
    <n v="20"/>
    <n v="2917194.5886000022"/>
    <n v="3"/>
    <n v="9770588.2927999999"/>
    <n v="15"/>
    <n v="347850.47010000004"/>
    <s v=""/>
    <n v="0"/>
    <n v="0"/>
    <n v="0"/>
    <s v="N/A"/>
    <n v="0"/>
    <m/>
    <x v="52"/>
    <x v="0"/>
    <n v="4"/>
    <m/>
    <s v="II"/>
    <n v="2"/>
  </r>
  <r>
    <x v="0"/>
    <x v="3"/>
    <m/>
    <m/>
    <n v="25118"/>
    <x v="125"/>
    <s v="COCA"/>
    <n v="5.89"/>
    <n v="30"/>
    <n v="2482727.4299999997"/>
    <n v="5"/>
    <n v="0"/>
    <n v="0"/>
    <n v="22603897.543900963"/>
    <n v="30"/>
    <n v="3725467.0549000013"/>
    <n v="4"/>
    <n v="15570559.234099993"/>
    <n v="20"/>
    <n v="5693618.779403029"/>
    <s v=""/>
    <n v="0"/>
    <n v="0"/>
    <n v="0"/>
    <s v="N/A"/>
    <n v="0"/>
    <m/>
    <x v="59"/>
    <x v="1"/>
    <n v="3"/>
    <m/>
    <s v="I"/>
    <n v="1"/>
  </r>
  <r>
    <x v="1"/>
    <x v="13"/>
    <m/>
    <m/>
    <n v="18184"/>
    <x v="126"/>
    <s v="COCA"/>
    <n v="6.98"/>
    <n v="30"/>
    <n v="4926099.3900040062"/>
    <n v="15"/>
    <n v="0"/>
    <n v="0"/>
    <n v="46897631.488100119"/>
    <n v="40"/>
    <n v="3922624.4724000013"/>
    <n v="4"/>
    <n v="16218630.095199985"/>
    <n v="20"/>
    <n v="18147905.599899907"/>
    <s v="FC"/>
    <n v="30"/>
    <n v="14664769.039299898"/>
    <n v="20"/>
    <s v="N/A"/>
    <n v="0"/>
    <m/>
    <x v="60"/>
    <x v="2"/>
    <n v="2"/>
    <m/>
    <s v="II"/>
    <n v="2"/>
  </r>
  <r>
    <x v="1"/>
    <x v="13"/>
    <m/>
    <m/>
    <n v="63450"/>
    <x v="127"/>
    <s v="COCA"/>
    <n v="6.55"/>
    <n v="30"/>
    <n v="2305645.3200010019"/>
    <n v="5"/>
    <n v="0"/>
    <n v="0"/>
    <n v="26942018.485200007"/>
    <n v="30"/>
    <n v="2662785.8728"/>
    <n v="3"/>
    <n v="4673843.3620999996"/>
    <n v="10"/>
    <n v="9062019.1123000458"/>
    <s v="FC"/>
    <n v="10"/>
    <n v="5877322.8721999992"/>
    <n v="10"/>
    <s v="N/A"/>
    <n v="0"/>
    <m/>
    <x v="58"/>
    <x v="1"/>
    <n v="3"/>
    <m/>
    <s v="II"/>
    <n v="2"/>
  </r>
  <r>
    <x v="0"/>
    <x v="8"/>
    <m/>
    <m/>
    <n v="34043"/>
    <x v="128"/>
    <s v="COCA"/>
    <n v="10.119999999999999"/>
    <n v="45"/>
    <n v="4908007.460000013"/>
    <n v="15"/>
    <n v="43993.840000000004"/>
    <n v="10"/>
    <n v="35108683.551900022"/>
    <n v="40"/>
    <n v="2837574.8976000031"/>
    <n v="3"/>
    <n v="5259841.7924000025"/>
    <n v="10"/>
    <n v="12728153.566300057"/>
    <s v="FC"/>
    <n v="20"/>
    <n v="5434.6464000000005"/>
    <n v="5"/>
    <s v="N/A"/>
    <n v="0"/>
    <m/>
    <x v="61"/>
    <x v="2"/>
    <n v="2"/>
    <m/>
    <s v="I"/>
    <n v="1"/>
  </r>
  <r>
    <x v="0"/>
    <x v="15"/>
    <m/>
    <m/>
    <n v="23027"/>
    <x v="129"/>
    <s v="COCA"/>
    <n v="6.77"/>
    <n v="30"/>
    <n v="5249316.6599990139"/>
    <n v="15"/>
    <n v="0"/>
    <n v="0"/>
    <n v="30738388.962199952"/>
    <n v="30"/>
    <n v="3555532.362900001"/>
    <n v="4"/>
    <n v="99079.529700000014"/>
    <n v="5"/>
    <n v="8530865.1307850517"/>
    <s v="FC"/>
    <n v="10"/>
    <n v="21099557.407507773"/>
    <n v="20"/>
    <s v="N/A"/>
    <n v="0"/>
    <m/>
    <x v="62"/>
    <x v="1"/>
    <n v="3"/>
    <m/>
    <s v="III"/>
    <n v="3"/>
  </r>
  <r>
    <x v="0"/>
    <x v="2"/>
    <m/>
    <m/>
    <n v="34220"/>
    <x v="130"/>
    <s v="COCA"/>
    <n v="5.37"/>
    <n v="15"/>
    <n v="2070089.2199999983"/>
    <n v="5"/>
    <n v="0"/>
    <n v="0"/>
    <n v="12489668.836498"/>
    <n v="20"/>
    <n v="1714637.0482999999"/>
    <n v="2"/>
    <n v="4854341.7886000015"/>
    <n v="10"/>
    <n v="3105770.0245000063"/>
    <s v=""/>
    <n v="0"/>
    <n v="234.64580000000001"/>
    <n v="5"/>
    <s v="N/A"/>
    <n v="0"/>
    <m/>
    <x v="50"/>
    <x v="0"/>
    <n v="4"/>
    <m/>
    <s v="III"/>
    <n v="3"/>
  </r>
  <r>
    <x v="1"/>
    <x v="1"/>
    <m/>
    <m/>
    <n v="34330"/>
    <x v="131"/>
    <s v="COCA"/>
    <n v="5.88"/>
    <n v="30"/>
    <n v="3512782.3099980005"/>
    <n v="10"/>
    <n v="48988.090000000004"/>
    <n v="10"/>
    <n v="26232050.514396898"/>
    <n v="30"/>
    <n v="3413016.6089999992"/>
    <n v="4"/>
    <n v="9580741.8347999994"/>
    <n v="15"/>
    <n v="3512102.8823999986"/>
    <s v=""/>
    <n v="0"/>
    <n v="9818976.4235999957"/>
    <n v="15"/>
    <s v="N/A"/>
    <n v="0"/>
    <m/>
    <x v="62"/>
    <x v="1"/>
    <n v="3"/>
    <m/>
    <s v="II"/>
    <n v="2"/>
  </r>
  <r>
    <x v="1"/>
    <x v="16"/>
    <m/>
    <m/>
    <n v="63750"/>
    <x v="132"/>
    <s v="COCA"/>
    <n v="7.72"/>
    <n v="45"/>
    <n v="4422045.0400030091"/>
    <n v="15"/>
    <n v="0"/>
    <n v="0"/>
    <n v="44454492.906198896"/>
    <n v="40"/>
    <n v="3399276.4365000008"/>
    <n v="4"/>
    <n v="6254015.8160999976"/>
    <n v="10"/>
    <n v="10094932.936500067"/>
    <s v="FC"/>
    <n v="20"/>
    <n v="20731564.134899884"/>
    <n v="20"/>
    <s v="N/A"/>
    <n v="0"/>
    <m/>
    <x v="8"/>
    <x v="2"/>
    <n v="2"/>
    <m/>
    <s v="II"/>
    <n v="2"/>
  </r>
  <r>
    <x v="0"/>
    <x v="2"/>
    <m/>
    <m/>
    <n v="21054"/>
    <x v="133"/>
    <s v="COCA"/>
    <n v="11.56"/>
    <n v="60"/>
    <n v="7199415.8500010036"/>
    <n v="20"/>
    <n v="48865.949999000004"/>
    <n v="10"/>
    <n v="54127551.326401852"/>
    <n v="50"/>
    <n v="5025182.0299000051"/>
    <n v="5"/>
    <n v="13866067.875600003"/>
    <n v="20"/>
    <n v="18533073.857401073"/>
    <s v="FC"/>
    <n v="30"/>
    <n v="0"/>
    <n v="0"/>
    <s v="N/A"/>
    <n v="0"/>
    <m/>
    <x v="38"/>
    <x v="3"/>
    <n v="1"/>
    <m/>
    <s v="III"/>
    <n v="3"/>
  </r>
  <r>
    <x v="2"/>
    <x v="19"/>
    <m/>
    <m/>
    <n v="51391"/>
    <x v="134"/>
    <s v="COCA"/>
    <n v="5.59"/>
    <n v="15"/>
    <n v="3391722.8699960015"/>
    <n v="10"/>
    <n v="0"/>
    <n v="0"/>
    <n v="20435243.305700984"/>
    <n v="30"/>
    <n v="3368023.7417000057"/>
    <n v="4"/>
    <n v="13070197.781299999"/>
    <n v="15"/>
    <n v="2914240.9115000009"/>
    <s v=""/>
    <n v="0"/>
    <n v="3177792.2404000014"/>
    <n v="10"/>
    <s v="N/A"/>
    <n v="0"/>
    <m/>
    <x v="63"/>
    <x v="1"/>
    <n v="3"/>
    <m/>
    <s v="III"/>
    <n v="3"/>
  </r>
  <r>
    <x v="2"/>
    <x v="16"/>
    <m/>
    <m/>
    <n v="63000"/>
    <x v="135"/>
    <s v="COCA"/>
    <n v="5.52"/>
    <n v="15"/>
    <n v="2898259.0299980016"/>
    <n v="10"/>
    <n v="18272.05"/>
    <n v="5"/>
    <n v="20152206.299101021"/>
    <n v="30"/>
    <n v="2522264.6113"/>
    <n v="3"/>
    <n v="3932763.0376000018"/>
    <n v="10"/>
    <n v="10521336.202399084"/>
    <s v="FC"/>
    <n v="20"/>
    <n v="5234448.8713999996"/>
    <n v="10"/>
    <s v="N/A"/>
    <n v="0"/>
    <m/>
    <x v="42"/>
    <x v="1"/>
    <n v="3"/>
    <m/>
    <s v="III"/>
    <n v="3"/>
  </r>
  <r>
    <x v="2"/>
    <x v="16"/>
    <m/>
    <m/>
    <n v="55016"/>
    <x v="136"/>
    <s v="COCA"/>
    <n v="5.89"/>
    <n v="30"/>
    <n v="2448637.0900040031"/>
    <n v="5"/>
    <n v="0"/>
    <n v="0"/>
    <n v="20534286.965001978"/>
    <n v="30"/>
    <n v="2820738.6556000002"/>
    <n v="3"/>
    <n v="32585.040000000001"/>
    <n v="5"/>
    <n v="5930834.1942000361"/>
    <s v=""/>
    <n v="0"/>
    <n v="0"/>
    <n v="0"/>
    <s v="N/A"/>
    <n v="0"/>
    <m/>
    <x v="28"/>
    <x v="0"/>
    <n v="4"/>
    <m/>
    <s v="II"/>
    <n v="2"/>
  </r>
  <r>
    <x v="2"/>
    <x v="16"/>
    <m/>
    <m/>
    <n v="55027"/>
    <x v="137"/>
    <s v="COCA"/>
    <n v="7.78"/>
    <n v="45"/>
    <n v="4270026.6900030011"/>
    <n v="15"/>
    <n v="36306.370000000003"/>
    <n v="10"/>
    <n v="29882199.666203011"/>
    <n v="30"/>
    <n v="3240033.1498000021"/>
    <n v="3"/>
    <n v="3979896.1069999994"/>
    <n v="10"/>
    <n v="13614048.131902074"/>
    <s v="FC"/>
    <n v="20"/>
    <n v="8026994.7674999898"/>
    <n v="10"/>
    <s v="N/A"/>
    <n v="0"/>
    <m/>
    <x v="32"/>
    <x v="2"/>
    <n v="2"/>
    <m/>
    <s v="II"/>
    <n v="2"/>
  </r>
  <r>
    <x v="2"/>
    <x v="16"/>
    <m/>
    <m/>
    <n v="55296"/>
    <x v="138"/>
    <s v="COCA"/>
    <n v="5.55"/>
    <n v="15"/>
    <n v="3579819.1000039992"/>
    <n v="10"/>
    <n v="64975.180000000015"/>
    <n v="15"/>
    <n v="23371143.448298998"/>
    <n v="30"/>
    <n v="4090844.2323000063"/>
    <n v="4"/>
    <n v="19010685.256899972"/>
    <n v="20"/>
    <n v="4453157.6481980123"/>
    <s v=""/>
    <n v="0"/>
    <n v="0"/>
    <n v="0"/>
    <s v="N/A"/>
    <n v="0"/>
    <m/>
    <x v="18"/>
    <x v="1"/>
    <n v="3"/>
    <m/>
    <s v="II"/>
    <n v="2"/>
  </r>
  <r>
    <x v="2"/>
    <x v="19"/>
    <m/>
    <m/>
    <n v="51403"/>
    <x v="139"/>
    <s v="COCA"/>
    <n v="10.72"/>
    <n v="45"/>
    <n v="6263237.7400010088"/>
    <n v="20"/>
    <n v="33264.78"/>
    <n v="10"/>
    <n v="51528253.683397032"/>
    <n v="40"/>
    <n v="3964451.2641000012"/>
    <n v="4"/>
    <n v="8876825.2955000028"/>
    <n v="10"/>
    <n v="23021578.121598624"/>
    <s v="FC"/>
    <n v="30"/>
    <n v="0"/>
    <n v="0"/>
    <s v="N/A"/>
    <n v="0"/>
    <m/>
    <x v="60"/>
    <x v="2"/>
    <n v="2"/>
    <m/>
    <s v="I"/>
    <n v="1"/>
  </r>
  <r>
    <x v="0"/>
    <x v="2"/>
    <m/>
    <m/>
    <n v="18350"/>
    <x v="140"/>
    <s v="COCA"/>
    <n v="10.72"/>
    <n v="45"/>
    <n v="1855834.3199999998"/>
    <n v="5"/>
    <n v="8791.9199989999997"/>
    <n v="5"/>
    <n v="59438820.432600237"/>
    <n v="50"/>
    <n v="1828223.6435000002"/>
    <n v="2"/>
    <n v="0"/>
    <n v="0"/>
    <n v="43885597.133096054"/>
    <s v="FC"/>
    <n v="40"/>
    <n v="0"/>
    <n v="0"/>
    <s v="N/A"/>
    <n v="0"/>
    <m/>
    <x v="64"/>
    <x v="2"/>
    <n v="2"/>
    <m/>
    <s v="I"/>
    <n v="1"/>
  </r>
  <r>
    <x v="0"/>
    <x v="2"/>
    <m/>
    <m/>
    <n v="18355"/>
    <x v="141"/>
    <s v="COCA"/>
    <n v="11.99"/>
    <n v="60"/>
    <n v="2458569.7399980002"/>
    <n v="5"/>
    <n v="5200.7200000000012"/>
    <n v="5"/>
    <n v="46828253.535200074"/>
    <n v="40"/>
    <n v="1806501.5972"/>
    <n v="2"/>
    <n v="7081.8900000000012"/>
    <n v="5"/>
    <n v="34825094.411598742"/>
    <s v="FC"/>
    <n v="30"/>
    <n v="0"/>
    <n v="0"/>
    <s v="N/A"/>
    <n v="0"/>
    <m/>
    <x v="64"/>
    <x v="2"/>
    <n v="2"/>
    <m/>
    <s v="III"/>
    <n v="3"/>
  </r>
  <r>
    <x v="1"/>
    <x v="2"/>
    <m/>
    <m/>
    <n v="17115"/>
    <x v="142"/>
    <s v="COCA"/>
    <n v="6.2"/>
    <n v="30"/>
    <n v="2283379.2799989977"/>
    <n v="5"/>
    <n v="42590.13"/>
    <n v="10"/>
    <n v="17968407.715999998"/>
    <n v="20"/>
    <n v="2548363.0384999998"/>
    <n v="3"/>
    <n v="6299533.1428000024"/>
    <n v="10"/>
    <n v="2803493.8551000063"/>
    <s v=""/>
    <n v="0"/>
    <n v="12501124.097799916"/>
    <n v="15"/>
    <s v="N/A"/>
    <n v="0"/>
    <m/>
    <x v="2"/>
    <x v="1"/>
    <n v="3"/>
    <m/>
    <s v="III"/>
    <n v="3"/>
  </r>
  <r>
    <x v="1"/>
    <x v="2"/>
    <m/>
    <m/>
    <n v="17447"/>
    <x v="143"/>
    <s v="COCA"/>
    <n v="3.19"/>
    <n v="15"/>
    <n v="2230467.9000040004"/>
    <n v="5"/>
    <n v="0"/>
    <n v="0"/>
    <n v="6568783.6128039956"/>
    <n v="20"/>
    <n v="1159836.2542999999"/>
    <n v="2"/>
    <n v="4596369.3440999994"/>
    <n v="10"/>
    <n v="1129385.2656989999"/>
    <s v=""/>
    <n v="0"/>
    <n v="0"/>
    <n v="0"/>
    <s v="N/A"/>
    <n v="0"/>
    <m/>
    <x v="23"/>
    <x v="0"/>
    <n v="4"/>
    <m/>
    <s v="I"/>
    <n v="1"/>
  </r>
  <r>
    <x v="1"/>
    <x v="2"/>
    <m/>
    <m/>
    <n v="17100"/>
    <x v="144"/>
    <s v="COCA"/>
    <n v="7.84"/>
    <n v="45"/>
    <n v="8298600.7499970142"/>
    <n v="20"/>
    <n v="83799.950000000026"/>
    <n v="15"/>
    <n v="52180103.785505973"/>
    <n v="40"/>
    <n v="4120178.8170010014"/>
    <n v="4"/>
    <n v="5006333.1280000005"/>
    <n v="10"/>
    <n v="22076893.510194942"/>
    <s v="FC"/>
    <n v="30"/>
    <n v="6035433.1050999993"/>
    <n v="10"/>
    <s v="N/A"/>
    <n v="0"/>
    <m/>
    <x v="65"/>
    <x v="3"/>
    <n v="1"/>
    <m/>
    <s v="II"/>
    <n v="2"/>
  </r>
  <r>
    <x v="0"/>
    <x v="15"/>
    <m/>
    <m/>
    <n v="23208"/>
    <x v="145"/>
    <s v="COCA"/>
    <n v="5.33"/>
    <n v="15"/>
    <n v="3027736.2299960013"/>
    <n v="10"/>
    <n v="0"/>
    <n v="0"/>
    <n v="11803828.602600012"/>
    <n v="20"/>
    <n v="1842078.0039000011"/>
    <n v="2"/>
    <n v="5365726.1012000013"/>
    <n v="10"/>
    <n v="2078134.7546999999"/>
    <s v=""/>
    <n v="0"/>
    <n v="69397.644100000005"/>
    <n v="5"/>
    <s v="N/A"/>
    <n v="0"/>
    <m/>
    <x v="20"/>
    <x v="0"/>
    <n v="4"/>
    <m/>
    <s v="II"/>
    <n v="2"/>
  </r>
  <r>
    <x v="0"/>
    <x v="15"/>
    <m/>
    <m/>
    <n v="23223"/>
    <x v="146"/>
    <s v="COCA"/>
    <n v="8.66"/>
    <n v="45"/>
    <n v="4068218.0600030064"/>
    <n v="15"/>
    <n v="36900.149999999994"/>
    <n v="10"/>
    <n v="36612783.820701018"/>
    <n v="40"/>
    <n v="3042809.530600002"/>
    <n v="3"/>
    <n v="16367364.767400032"/>
    <n v="20"/>
    <n v="14266937.543500995"/>
    <s v="FC"/>
    <n v="20"/>
    <n v="13290579.195898892"/>
    <n v="15"/>
    <s v="N/A"/>
    <n v="0"/>
    <m/>
    <x v="66"/>
    <x v="3"/>
    <n v="1"/>
    <m/>
    <s v="III"/>
    <n v="3"/>
  </r>
  <r>
    <x v="2"/>
    <x v="12"/>
    <m/>
    <m/>
    <n v="44421"/>
    <x v="147"/>
    <s v="COCA"/>
    <n v="6.03"/>
    <n v="30"/>
    <n v="3003101.4800010007"/>
    <n v="10"/>
    <n v="24459.38"/>
    <n v="5"/>
    <n v="26214531.037298948"/>
    <n v="30"/>
    <n v="4457387.5655000079"/>
    <n v="4"/>
    <n v="13049157.641300002"/>
    <n v="15"/>
    <n v="12957686.47579905"/>
    <s v="FC"/>
    <n v="20"/>
    <n v="0"/>
    <n v="0"/>
    <s v="N/A"/>
    <n v="0"/>
    <m/>
    <x v="62"/>
    <x v="1"/>
    <n v="3"/>
    <m/>
    <s v="I"/>
    <n v="1"/>
  </r>
  <r>
    <x v="2"/>
    <x v="6"/>
    <m/>
    <m/>
    <n v="56277"/>
    <x v="148"/>
    <s v="COCA"/>
    <n v="12.64"/>
    <n v="60"/>
    <n v="5357818.3400020171"/>
    <n v="15"/>
    <n v="0"/>
    <n v="0"/>
    <n v="48577877.425099976"/>
    <n v="40"/>
    <n v="3385972.5377000002"/>
    <n v="4"/>
    <n v="11594484.427900011"/>
    <n v="15"/>
    <n v="16982525.40370097"/>
    <s v="FC"/>
    <n v="20"/>
    <n v="7971990.0424999958"/>
    <n v="10"/>
    <s v="N/A"/>
    <n v="0"/>
    <m/>
    <x v="35"/>
    <x v="2"/>
    <n v="2"/>
    <m/>
    <s v="III"/>
    <n v="3"/>
  </r>
  <r>
    <x v="2"/>
    <x v="19"/>
    <m/>
    <m/>
    <n v="52100"/>
    <x v="149"/>
    <s v="COCA"/>
    <n v="12"/>
    <n v="60"/>
    <n v="9779125.189998012"/>
    <n v="20"/>
    <n v="92005.269999999975"/>
    <n v="20"/>
    <n v="50614440.833204076"/>
    <n v="40"/>
    <n v="5010504.0339000029"/>
    <n v="5"/>
    <n v="4627611.8616999993"/>
    <n v="10"/>
    <n v="24489308.539787792"/>
    <s v="FC"/>
    <n v="30"/>
    <n v="13834567.021599993"/>
    <n v="15"/>
    <s v="N/A"/>
    <n v="0"/>
    <m/>
    <x v="67"/>
    <x v="3"/>
    <n v="1"/>
    <m/>
    <s v="III"/>
    <n v="3"/>
  </r>
  <r>
    <x v="0"/>
    <x v="7"/>
    <m/>
    <m/>
    <n v="33080"/>
    <x v="150"/>
    <s v="COCA"/>
    <n v="5.01"/>
    <n v="15"/>
    <n v="2245716.1700009988"/>
    <n v="5"/>
    <n v="0"/>
    <n v="0"/>
    <n v="16881398.293498002"/>
    <n v="20"/>
    <n v="2685548.1180000016"/>
    <n v="3"/>
    <n v="12299887.58149999"/>
    <n v="15"/>
    <n v="4527536.5523010064"/>
    <s v=""/>
    <n v="0"/>
    <n v="0"/>
    <n v="0"/>
    <s v="N/A"/>
    <n v="0"/>
    <m/>
    <x v="52"/>
    <x v="0"/>
    <n v="4"/>
    <m/>
    <s v="I"/>
    <n v="1"/>
  </r>
  <r>
    <x v="1"/>
    <x v="4"/>
    <m/>
    <m/>
    <n v="17820"/>
    <x v="151"/>
    <s v="COCA"/>
    <n v="12.17"/>
    <n v="60"/>
    <n v="9197074.2800090071"/>
    <n v="20"/>
    <n v="235234.20999999996"/>
    <n v="20"/>
    <n v="58383933.765105687"/>
    <n v="50"/>
    <n v="4874150.5059000039"/>
    <n v="5"/>
    <n v="12608204.840199996"/>
    <n v="15"/>
    <n v="22518716.259999849"/>
    <s v="FC"/>
    <n v="30"/>
    <n v="6387283.4998000013"/>
    <n v="10"/>
    <s v="N/A"/>
    <n v="0"/>
    <m/>
    <x v="68"/>
    <x v="3"/>
    <n v="1"/>
    <m/>
    <s v="II"/>
    <n v="2"/>
  </r>
  <r>
    <x v="0"/>
    <x v="7"/>
    <m/>
    <m/>
    <n v="62350"/>
    <x v="152"/>
    <s v="COCA"/>
    <n v="12"/>
    <n v="60"/>
    <n v="1664163.049998"/>
    <n v="5"/>
    <n v="16654.719999999998"/>
    <n v="5"/>
    <n v="70925088.242804199"/>
    <n v="50"/>
    <n v="2360795.2982000005"/>
    <n v="3"/>
    <n v="12983.464899999999"/>
    <n v="5"/>
    <n v="57089990.359302029"/>
    <s v="FC"/>
    <n v="40"/>
    <n v="0"/>
    <n v="0"/>
    <s v="N/A"/>
    <n v="0"/>
    <m/>
    <x v="66"/>
    <x v="3"/>
    <n v="1"/>
    <m/>
    <s v="I"/>
    <n v="1"/>
  </r>
  <r>
    <x v="0"/>
    <x v="7"/>
    <m/>
    <m/>
    <n v="62400"/>
    <x v="153"/>
    <s v="COCA"/>
    <n v="12"/>
    <n v="60"/>
    <n v="1384325.5600009998"/>
    <n v="5"/>
    <n v="13436.579999999996"/>
    <n v="5"/>
    <n v="49924827.87579909"/>
    <n v="40"/>
    <n v="1743749.6288000003"/>
    <n v="2"/>
    <n v="0"/>
    <n v="0"/>
    <n v="40149286.03229744"/>
    <s v="FC"/>
    <n v="40"/>
    <n v="0"/>
    <n v="0"/>
    <s v="N/A"/>
    <n v="0"/>
    <m/>
    <x v="69"/>
    <x v="2"/>
    <n v="2"/>
    <m/>
    <s v="III"/>
    <n v="3"/>
  </r>
  <r>
    <x v="1"/>
    <x v="2"/>
    <m/>
    <m/>
    <n v="45460"/>
    <x v="154"/>
    <s v="COCA"/>
    <n v="5.18"/>
    <n v="15"/>
    <n v="1399619.4400020004"/>
    <n v="5"/>
    <n v="49910.69000000001"/>
    <n v="15"/>
    <n v="12060601.711702021"/>
    <n v="20"/>
    <n v="1033763.8154"/>
    <n v="2"/>
    <n v="1451547.2597999997"/>
    <n v="5"/>
    <n v="4356479.0600000098"/>
    <m/>
    <n v="0"/>
    <n v="0"/>
    <n v="0"/>
    <s v="N/A"/>
    <n v="0"/>
    <m/>
    <x v="20"/>
    <x v="0"/>
    <n v="4"/>
    <m/>
    <s v="III"/>
    <n v="3"/>
  </r>
  <r>
    <x v="2"/>
    <x v="4"/>
    <m/>
    <m/>
    <n v="55100"/>
    <x v="155"/>
    <s v="COCA"/>
    <n v="11.72"/>
    <n v="60"/>
    <n v="4488287.5999990115"/>
    <n v="15"/>
    <n v="36420.76999999999"/>
    <n v="10"/>
    <n v="64933160.919702254"/>
    <n v="50"/>
    <n v="3615118.2144000037"/>
    <n v="4"/>
    <n v="4700494.5428990014"/>
    <n v="10"/>
    <n v="32252286.975299492"/>
    <s v="FC"/>
    <n v="30"/>
    <n v="0"/>
    <n v="0"/>
    <s v="N/A"/>
    <n v="0"/>
    <m/>
    <x v="70"/>
    <x v="3"/>
    <n v="1"/>
    <m/>
    <s v="I"/>
    <n v="1"/>
  </r>
  <r>
    <x v="2"/>
    <x v="4"/>
    <m/>
    <m/>
    <n v="18140"/>
    <x v="156"/>
    <s v="COCA"/>
    <n v="2.09"/>
    <n v="15"/>
    <n v="1863737.2900000024"/>
    <n v="5"/>
    <n v="0"/>
    <n v="0"/>
    <n v="10263016.006299987"/>
    <n v="20"/>
    <n v="2841171.7561000041"/>
    <n v="3"/>
    <n v="5271689.0285000009"/>
    <n v="10"/>
    <n v="879202.21680000017"/>
    <s v=""/>
    <n v="0"/>
    <n v="0"/>
    <n v="0"/>
    <s v="N/A"/>
    <n v="0"/>
    <m/>
    <x v="27"/>
    <x v="0"/>
    <n v="4"/>
    <m/>
    <s v="I"/>
    <n v="1"/>
  </r>
  <r>
    <x v="0"/>
    <x v="13"/>
    <m/>
    <m/>
    <n v="21279"/>
    <x v="157"/>
    <s v="COCA"/>
    <n v="5.55"/>
    <n v="15"/>
    <n v="5126498.9000020111"/>
    <n v="15"/>
    <n v="0"/>
    <n v="0"/>
    <n v="34436477.918102026"/>
    <n v="40"/>
    <n v="3965778.0746000032"/>
    <n v="4"/>
    <n v="22933313.678599961"/>
    <n v="20"/>
    <n v="7822149.5989990374"/>
    <s v="FC"/>
    <n v="10"/>
    <n v="13663658.803998908"/>
    <n v="15"/>
    <s v="N/A"/>
    <n v="0"/>
    <m/>
    <x v="10"/>
    <x v="1"/>
    <n v="3"/>
    <m/>
    <s v="I"/>
    <n v="1"/>
  </r>
  <r>
    <x v="1"/>
    <x v="16"/>
    <m/>
    <m/>
    <n v="17288"/>
    <x v="158"/>
    <s v="COCA"/>
    <n v="7.84"/>
    <n v="45"/>
    <n v="5244039.299994004"/>
    <n v="15"/>
    <n v="75316.280000000013"/>
    <n v="15"/>
    <n v="43097099.480501927"/>
    <n v="40"/>
    <n v="5551138.7001000056"/>
    <n v="5"/>
    <n v="14578543.466099991"/>
    <n v="20"/>
    <n v="8905795.467500044"/>
    <s v="FC"/>
    <n v="10"/>
    <n v="7799990.9125000015"/>
    <n v="10"/>
    <s v="N/A"/>
    <n v="0"/>
    <m/>
    <x v="45"/>
    <x v="2"/>
    <n v="2"/>
    <m/>
    <s v="II"/>
    <n v="2"/>
  </r>
  <r>
    <x v="1"/>
    <x v="16"/>
    <m/>
    <m/>
    <n v="63700"/>
    <x v="159"/>
    <s v="COCA"/>
    <n v="4.32"/>
    <n v="15"/>
    <n v="3468887.2599970037"/>
    <n v="10"/>
    <n v="0"/>
    <n v="0"/>
    <n v="21256836.414200991"/>
    <n v="30"/>
    <n v="1856285.8626999999"/>
    <n v="2"/>
    <n v="3098025.2322999989"/>
    <n v="10"/>
    <n v="3701384.8407000019"/>
    <s v=""/>
    <n v="0"/>
    <n v="4974127.7315000026"/>
    <n v="10"/>
    <s v="N/A"/>
    <n v="0"/>
    <m/>
    <x v="53"/>
    <x v="0"/>
    <n v="4"/>
    <m/>
    <s v="II"/>
    <n v="2"/>
  </r>
  <r>
    <x v="1"/>
    <x v="4"/>
    <m/>
    <m/>
    <n v="17290"/>
    <x v="160"/>
    <s v="COCA"/>
    <n v="9.9499999999999993"/>
    <n v="45"/>
    <n v="4158829.63"/>
    <n v="15"/>
    <n v="77583.50999999998"/>
    <n v="15"/>
    <n v="40004295.347999066"/>
    <n v="40"/>
    <n v="2736674.8699000021"/>
    <n v="3"/>
    <n v="1621795.2939000002"/>
    <n v="5"/>
    <n v="22075566.016599905"/>
    <s v="FC"/>
    <n v="30"/>
    <n v="21241889.822399992"/>
    <n v="20"/>
    <s v="N/A"/>
    <n v="0"/>
    <m/>
    <x v="71"/>
    <x v="3"/>
    <n v="1"/>
    <m/>
    <s v="I"/>
    <n v="1"/>
  </r>
  <r>
    <x v="2"/>
    <x v="19"/>
    <m/>
    <m/>
    <n v="53608"/>
    <x v="161"/>
    <s v="COCA"/>
    <n v="12.72"/>
    <n v="60"/>
    <n v="3685696.1900000069"/>
    <n v="10"/>
    <n v="12066.78"/>
    <n v="5"/>
    <n v="59326939.571397953"/>
    <n v="50"/>
    <n v="2479770.1054000002"/>
    <n v="3"/>
    <n v="3535.4331000000002"/>
    <n v="5"/>
    <n v="52359893.31709943"/>
    <s v="FC"/>
    <n v="40"/>
    <n v="0"/>
    <n v="0"/>
    <s v="N/A"/>
    <n v="0"/>
    <m/>
    <x v="71"/>
    <x v="3"/>
    <n v="1"/>
    <m/>
    <s v="III"/>
    <n v="3"/>
  </r>
  <r>
    <x v="2"/>
    <x v="19"/>
    <m/>
    <m/>
    <n v="53619"/>
    <x v="162"/>
    <s v="COCA"/>
    <n v="12.72"/>
    <n v="60"/>
    <n v="4136778.9900010042"/>
    <n v="15"/>
    <n v="13153.460000000003"/>
    <n v="5"/>
    <n v="58790344.292702898"/>
    <n v="50"/>
    <n v="2421221.2853999999"/>
    <n v="3"/>
    <n v="0"/>
    <n v="0"/>
    <n v="51739451.797803745"/>
    <s v="FC"/>
    <n v="40"/>
    <n v="0"/>
    <n v="0"/>
    <s v="N/A"/>
    <n v="0"/>
    <m/>
    <x v="71"/>
    <x v="3"/>
    <n v="1"/>
    <m/>
    <s v="III"/>
    <n v="3"/>
  </r>
  <r>
    <x v="1"/>
    <x v="1"/>
    <m/>
    <m/>
    <n v="17340"/>
    <x v="163"/>
    <s v="COCA"/>
    <n v="7.51"/>
    <n v="45"/>
    <n v="6283026.8499990134"/>
    <n v="20"/>
    <n v="0"/>
    <n v="0"/>
    <n v="40785808.586498879"/>
    <n v="40"/>
    <n v="6396600.9335000124"/>
    <n v="5"/>
    <n v="21882379.774699964"/>
    <n v="20"/>
    <n v="10398739.110000091"/>
    <s v="FC"/>
    <n v="20"/>
    <n v="11368436.605901958"/>
    <n v="15"/>
    <s v="N/A"/>
    <n v="0"/>
    <m/>
    <x v="72"/>
    <x v="3"/>
    <n v="1"/>
    <m/>
    <s v="I"/>
    <n v="1"/>
  </r>
  <r>
    <x v="2"/>
    <x v="12"/>
    <m/>
    <m/>
    <n v="41382"/>
    <x v="164"/>
    <s v="COCA"/>
    <n v="7.06"/>
    <n v="30"/>
    <n v="2418714.2699990026"/>
    <n v="5"/>
    <n v="28490.170000000002"/>
    <n v="10"/>
    <n v="15658425.715499993"/>
    <n v="20"/>
    <n v="3192146.5642000036"/>
    <n v="3"/>
    <n v="10027750.500499997"/>
    <n v="15"/>
    <n v="3286397.2283999939"/>
    <s v=""/>
    <n v="0"/>
    <n v="109606.35780000006"/>
    <n v="5"/>
    <s v="N/A"/>
    <n v="0"/>
    <m/>
    <x v="14"/>
    <x v="1"/>
    <n v="3"/>
    <m/>
    <s v="III"/>
    <n v="3"/>
  </r>
  <r>
    <x v="0"/>
    <x v="0"/>
    <m/>
    <m/>
    <n v="22079"/>
    <x v="165"/>
    <s v="COCA"/>
    <n v="6.7"/>
    <n v="30"/>
    <n v="4825707.5200090036"/>
    <n v="15"/>
    <n v="0"/>
    <n v="0"/>
    <n v="36655594.816297986"/>
    <n v="40"/>
    <n v="3246069.3467999999"/>
    <n v="3"/>
    <n v="5544173.2907000016"/>
    <n v="10"/>
    <n v="10494212.736301046"/>
    <s v="FC"/>
    <n v="20"/>
    <n v="9528306.6318999659"/>
    <n v="10"/>
    <s v="N/A"/>
    <n v="0"/>
    <m/>
    <x v="33"/>
    <x v="2"/>
    <n v="2"/>
    <m/>
    <s v="III"/>
    <n v="3"/>
  </r>
  <r>
    <x v="0"/>
    <x v="0"/>
    <m/>
    <m/>
    <n v="22083"/>
    <x v="166"/>
    <s v="COCA"/>
    <n v="4.83"/>
    <n v="15"/>
    <n v="2489287.6600049995"/>
    <n v="5"/>
    <n v="0"/>
    <n v="0"/>
    <n v="11406754.811301004"/>
    <n v="20"/>
    <n v="1545315.7820000001"/>
    <n v="2"/>
    <n v="2687385.8561999993"/>
    <n v="5"/>
    <n v="800603.98960000055"/>
    <s v=""/>
    <n v="0"/>
    <n v="22525.995800000008"/>
    <n v="5"/>
    <s v="N/A"/>
    <n v="0"/>
    <m/>
    <x v="23"/>
    <x v="0"/>
    <n v="4"/>
    <m/>
    <s v="II"/>
    <n v="2"/>
  </r>
  <r>
    <x v="0"/>
    <x v="0"/>
    <m/>
    <m/>
    <n v="22238"/>
    <x v="167"/>
    <s v="COCA"/>
    <n v="7.78"/>
    <n v="45"/>
    <n v="7394147.8599990131"/>
    <n v="20"/>
    <n v="32815.39"/>
    <n v="10"/>
    <n v="74637121.77619794"/>
    <n v="50"/>
    <n v="4797812.7338000033"/>
    <n v="5"/>
    <n v="15927021.45020001"/>
    <n v="20"/>
    <n v="13712800.587398034"/>
    <s v="FC"/>
    <n v="20"/>
    <n v="16027981.679699875"/>
    <n v="20"/>
    <s v="N/A"/>
    <n v="0"/>
    <m/>
    <x v="73"/>
    <x v="3"/>
    <n v="1"/>
    <m/>
    <s v="I"/>
    <n v="1"/>
  </r>
  <r>
    <x v="0"/>
    <x v="0"/>
    <m/>
    <m/>
    <n v="22250"/>
    <x v="168"/>
    <s v="COCA"/>
    <n v="11.92"/>
    <n v="60"/>
    <n v="7270439.0000010105"/>
    <n v="20"/>
    <n v="26853.519999999997"/>
    <n v="10"/>
    <n v="58143878.692995653"/>
    <n v="50"/>
    <n v="4868513.4855000032"/>
    <n v="5"/>
    <n v="10068134.069900019"/>
    <n v="15"/>
    <n v="15682147.184500964"/>
    <s v="FC"/>
    <n v="20"/>
    <n v="15985526.569499901"/>
    <n v="20"/>
    <s v="N/A"/>
    <n v="0"/>
    <m/>
    <x v="67"/>
    <x v="3"/>
    <n v="1"/>
    <m/>
    <s v="II"/>
    <n v="2"/>
  </r>
  <r>
    <x v="1"/>
    <x v="14"/>
    <m/>
    <m/>
    <n v="18214"/>
    <x v="169"/>
    <s v="COCA"/>
    <n v="8.3699999999999992"/>
    <n v="45"/>
    <n v="5517246.5999980038"/>
    <n v="15"/>
    <n v="73777.869999999981"/>
    <n v="15"/>
    <n v="28399807.595599927"/>
    <n v="30"/>
    <n v="4787900.1062000068"/>
    <n v="5"/>
    <n v="16846199.398301981"/>
    <n v="20"/>
    <n v="6316845.2716000276"/>
    <s v="FC"/>
    <n v="10"/>
    <n v="22314.967700000001"/>
    <n v="5"/>
    <s v="N/A"/>
    <n v="0"/>
    <m/>
    <x v="74"/>
    <x v="2"/>
    <n v="2"/>
    <m/>
    <s v="I"/>
    <n v="1"/>
  </r>
  <r>
    <x v="2"/>
    <x v="4"/>
    <m/>
    <m/>
    <n v="55038"/>
    <x v="170"/>
    <s v="COCA"/>
    <n v="6.41"/>
    <n v="30"/>
    <n v="4733398.7000050116"/>
    <n v="15"/>
    <n v="0"/>
    <n v="0"/>
    <n v="35533424.838802144"/>
    <n v="40"/>
    <n v="4642997.7882000068"/>
    <n v="5"/>
    <n v="127379.53080000001"/>
    <n v="5"/>
    <n v="8025541.8613980478"/>
    <s v="FC"/>
    <n v="10"/>
    <n v="28744.108700000008"/>
    <n v="5"/>
    <s v="N/A"/>
    <n v="0"/>
    <m/>
    <x v="30"/>
    <x v="1"/>
    <n v="3"/>
    <m/>
    <s v="II"/>
    <n v="2"/>
  </r>
  <r>
    <x v="2"/>
    <x v="16"/>
    <m/>
    <m/>
    <n v="55304"/>
    <x v="171"/>
    <s v="COCA"/>
    <n v="5.88"/>
    <n v="30"/>
    <n v="3470729.1399980024"/>
    <n v="10"/>
    <n v="28759.489999999998"/>
    <n v="10"/>
    <n v="20320450.308299985"/>
    <n v="30"/>
    <n v="2065440.9903000006"/>
    <n v="2"/>
    <n v="4337704.7718000002"/>
    <n v="10"/>
    <n v="4812897.7610000204"/>
    <s v=""/>
    <n v="0"/>
    <n v="8444882.104399994"/>
    <n v="10"/>
    <s v="N/A"/>
    <n v="0"/>
    <m/>
    <x v="43"/>
    <x v="1"/>
    <n v="3"/>
    <m/>
    <s v="I"/>
    <n v="1"/>
  </r>
  <r>
    <x v="0"/>
    <x v="0"/>
    <m/>
    <m/>
    <n v="22070"/>
    <x v="172"/>
    <s v="COCA"/>
    <n v="0"/>
    <n v="0"/>
    <n v="440348.7"/>
    <n v="5"/>
    <n v="0"/>
    <n v="0"/>
    <n v="0"/>
    <n v="0"/>
    <n v="0"/>
    <n v="0"/>
    <n v="0"/>
    <n v="0"/>
    <n v="0"/>
    <s v=""/>
    <n v="0"/>
    <n v="0"/>
    <n v="0"/>
    <s v="N/A"/>
    <n v="0"/>
    <m/>
    <x v="75"/>
    <x v="0"/>
    <n v="4"/>
    <m/>
    <s v="III"/>
    <n v="3"/>
  </r>
  <r>
    <x v="0"/>
    <x v="0"/>
    <m/>
    <m/>
    <n v="62450"/>
    <x v="173"/>
    <s v="COCA"/>
    <n v="7.61"/>
    <n v="45"/>
    <n v="3537281.1100030015"/>
    <n v="10"/>
    <n v="31221.159999999996"/>
    <n v="10"/>
    <n v="32167119.416801009"/>
    <n v="30"/>
    <n v="2298983.5096999998"/>
    <n v="3"/>
    <n v="2974735.4664999996"/>
    <n v="10"/>
    <n v="11499846.743199021"/>
    <s v="FC"/>
    <n v="20"/>
    <n v="4208184.2866000002"/>
    <n v="10"/>
    <s v="N/A"/>
    <n v="0"/>
    <m/>
    <x v="22"/>
    <x v="2"/>
    <n v="2"/>
    <m/>
    <s v="I"/>
    <n v="1"/>
  </r>
  <r>
    <x v="0"/>
    <x v="7"/>
    <m/>
    <m/>
    <n v="62500"/>
    <x v="174"/>
    <s v="COCA"/>
    <n v="12"/>
    <n v="60"/>
    <n v="5577091.0899970047"/>
    <n v="15"/>
    <n v="20023.909999999996"/>
    <n v="5"/>
    <n v="68543263.479701102"/>
    <n v="50"/>
    <n v="2469987.4277999997"/>
    <n v="3"/>
    <n v="0"/>
    <n v="0"/>
    <n v="52996193.799000487"/>
    <s v="FC"/>
    <n v="40"/>
    <n v="0"/>
    <n v="0"/>
    <s v="N/A"/>
    <n v="0"/>
    <m/>
    <x v="71"/>
    <x v="3"/>
    <n v="1"/>
    <m/>
    <s v="III"/>
    <n v="3"/>
  </r>
  <r>
    <x v="2"/>
    <x v="10"/>
    <m/>
    <m/>
    <n v="41102"/>
    <x v="175"/>
    <s v="COCA"/>
    <n v="5.86"/>
    <n v="30"/>
    <n v="2996388.4100010004"/>
    <n v="10"/>
    <n v="0"/>
    <n v="0"/>
    <n v="13101352.173201995"/>
    <n v="20"/>
    <n v="1486277.2105000003"/>
    <n v="2"/>
    <n v="2877613.4187999987"/>
    <n v="10"/>
    <n v="3413670.9839999895"/>
    <s v=""/>
    <n v="0"/>
    <n v="0"/>
    <n v="0"/>
    <s v="N/A"/>
    <n v="0"/>
    <m/>
    <x v="0"/>
    <x v="0"/>
    <n v="4"/>
    <m/>
    <s v="III"/>
    <n v="3"/>
  </r>
  <r>
    <x v="2"/>
    <x v="10"/>
    <m/>
    <m/>
    <n v="61650"/>
    <x v="176"/>
    <s v="COCA"/>
    <n v="4.84"/>
    <n v="15"/>
    <n v="1816159.1700000004"/>
    <n v="5"/>
    <n v="0"/>
    <n v="0"/>
    <n v="8637055.1700000111"/>
    <n v="20"/>
    <n v="1521402.4199000003"/>
    <n v="2"/>
    <n v="5978273.2971000029"/>
    <n v="10"/>
    <n v="1840270.9488000055"/>
    <s v=""/>
    <n v="0"/>
    <n v="12699370.124099994"/>
    <n v="15"/>
    <s v="N/A"/>
    <n v="0"/>
    <m/>
    <x v="37"/>
    <x v="0"/>
    <n v="4"/>
    <m/>
    <s v="I"/>
    <n v="1"/>
  </r>
  <r>
    <x v="2"/>
    <x v="6"/>
    <m/>
    <m/>
    <n v="53054"/>
    <x v="177"/>
    <s v="COCA"/>
    <n v="6.55"/>
    <n v="30"/>
    <n v="4856917.9700110117"/>
    <n v="15"/>
    <n v="42384.950000000012"/>
    <n v="10"/>
    <n v="11773356.081692006"/>
    <n v="20"/>
    <n v="2864674.0906999982"/>
    <n v="3"/>
    <n v="4974228.4038000014"/>
    <n v="10"/>
    <n v="4307840.4833999993"/>
    <s v=""/>
    <n v="0"/>
    <n v="0"/>
    <n v="0"/>
    <s v="N/A"/>
    <n v="0"/>
    <m/>
    <x v="14"/>
    <x v="1"/>
    <n v="3"/>
    <m/>
    <s v="II"/>
    <n v="2"/>
  </r>
  <r>
    <x v="2"/>
    <x v="6"/>
    <m/>
    <m/>
    <n v="53235"/>
    <x v="178"/>
    <s v="COCA"/>
    <n v="2.59"/>
    <n v="15"/>
    <n v="1253388.2799989993"/>
    <n v="5"/>
    <n v="0"/>
    <n v="0"/>
    <n v="5344435.7171999952"/>
    <n v="20"/>
    <n v="1012366.9748000002"/>
    <n v="2"/>
    <n v="3505934.6854009996"/>
    <n v="10"/>
    <n v="1599889.8003000007"/>
    <s v=""/>
    <n v="0"/>
    <n v="0"/>
    <n v="0"/>
    <s v="N/A"/>
    <n v="0"/>
    <m/>
    <x v="23"/>
    <x v="0"/>
    <n v="4"/>
    <m/>
    <s v="III"/>
    <n v="3"/>
  </r>
  <r>
    <x v="2"/>
    <x v="6"/>
    <m/>
    <m/>
    <n v="53290"/>
    <x v="179"/>
    <s v="COCA"/>
    <n v="5.99"/>
    <n v="30"/>
    <n v="2768293.0400029998"/>
    <n v="10"/>
    <n v="44593.689999999995"/>
    <n v="10"/>
    <n v="12787868.150905011"/>
    <n v="20"/>
    <n v="1344709.4983999999"/>
    <n v="2"/>
    <n v="6923800.8647000007"/>
    <n v="10"/>
    <n v="3014103.9577000015"/>
    <s v=""/>
    <n v="0"/>
    <n v="0"/>
    <n v="0"/>
    <s v="N/A"/>
    <n v="0"/>
    <m/>
    <x v="5"/>
    <x v="1"/>
    <n v="3"/>
    <m/>
    <s v="II"/>
    <n v="2"/>
  </r>
  <r>
    <x v="2"/>
    <x v="18"/>
    <m/>
    <m/>
    <n v="53087"/>
    <x v="180"/>
    <s v="COCA"/>
    <n v="7.08"/>
    <n v="30"/>
    <n v="3950875.7099970016"/>
    <n v="10"/>
    <n v="80638.16"/>
    <n v="15"/>
    <n v="21518635.235200971"/>
    <n v="30"/>
    <n v="2479354.3863999993"/>
    <n v="3"/>
    <n v="6289066.9989000019"/>
    <n v="10"/>
    <n v="7594831.8010990322"/>
    <s v="FC"/>
    <n v="10"/>
    <n v="0"/>
    <n v="0"/>
    <s v="N/A"/>
    <n v="0"/>
    <m/>
    <x v="21"/>
    <x v="1"/>
    <n v="3"/>
    <m/>
    <s v="II"/>
    <n v="2"/>
  </r>
  <r>
    <x v="0"/>
    <x v="3"/>
    <m/>
    <m/>
    <n v="64900"/>
    <x v="181"/>
    <s v="COCA"/>
    <n v="2.76"/>
    <n v="15"/>
    <n v="1659902.2900029994"/>
    <n v="5"/>
    <n v="0"/>
    <n v="0"/>
    <n v="19009629.755599923"/>
    <n v="30"/>
    <n v="1506668.5381000002"/>
    <n v="2"/>
    <n v="1774237.8153999993"/>
    <n v="5"/>
    <n v="8198862.4545000512"/>
    <s v=""/>
    <n v="0"/>
    <n v="0"/>
    <n v="0"/>
    <s v="N/A"/>
    <n v="0"/>
    <m/>
    <x v="50"/>
    <x v="0"/>
    <n v="4"/>
    <m/>
    <s v="III"/>
    <n v="3"/>
  </r>
  <r>
    <x v="0"/>
    <x v="8"/>
    <m/>
    <m/>
    <n v="31148"/>
    <x v="182"/>
    <s v="COCA"/>
    <n v="5.62"/>
    <n v="30"/>
    <n v="2926441.8800000008"/>
    <n v="10"/>
    <n v="0"/>
    <n v="0"/>
    <n v="16544650.732100956"/>
    <n v="20"/>
    <n v="3407308.0008000005"/>
    <n v="4"/>
    <n v="12438314.316999994"/>
    <n v="15"/>
    <n v="5735307.4710999979"/>
    <s v=""/>
    <n v="0"/>
    <n v="0"/>
    <n v="0"/>
    <s v="N/A"/>
    <n v="0"/>
    <m/>
    <x v="1"/>
    <x v="1"/>
    <n v="3"/>
    <m/>
    <s v="II"/>
    <n v="2"/>
  </r>
  <r>
    <x v="2"/>
    <x v="16"/>
    <m/>
    <m/>
    <n v="62950"/>
    <x v="183"/>
    <s v="COCA"/>
    <n v="5.42"/>
    <n v="15"/>
    <n v="2100190.56"/>
    <n v="5"/>
    <n v="13561.08"/>
    <n v="5"/>
    <n v="26967068.305899974"/>
    <n v="30"/>
    <n v="2096426.0212000001"/>
    <n v="3"/>
    <n v="1468298.4413000001"/>
    <n v="5"/>
    <n v="12139575.675800053"/>
    <s v=""/>
    <n v="0"/>
    <n v="9741023.678299997"/>
    <n v="15"/>
    <s v="N/A"/>
    <n v="0"/>
    <m/>
    <x v="7"/>
    <x v="0"/>
    <n v="4"/>
    <m/>
    <s v="II"/>
    <n v="2"/>
  </r>
  <r>
    <x v="2"/>
    <x v="1"/>
    <m/>
    <m/>
    <n v="55219"/>
    <x v="184"/>
    <s v="COCA"/>
    <n v="17.11"/>
    <n v="60"/>
    <n v="3923525.6399980029"/>
    <n v="10"/>
    <n v="0"/>
    <n v="0"/>
    <n v="118429754.00339986"/>
    <n v="50"/>
    <n v="5598489.8270000024"/>
    <n v="5"/>
    <n v="49496.063200000004"/>
    <n v="5"/>
    <n v="108476815.47929914"/>
    <s v="FC"/>
    <n v="40"/>
    <n v="0"/>
    <n v="0"/>
    <s v="N/A"/>
    <n v="0"/>
    <m/>
    <x v="13"/>
    <x v="3"/>
    <n v="1"/>
    <m/>
    <s v="II"/>
    <n v="2"/>
  </r>
  <r>
    <x v="2"/>
    <x v="1"/>
    <m/>
    <m/>
    <n v="55223"/>
    <x v="185"/>
    <s v="COCA"/>
    <n v="12"/>
    <n v="60"/>
    <n v="4025941.0100000058"/>
    <n v="10"/>
    <n v="0"/>
    <n v="0"/>
    <n v="87548826.452906847"/>
    <n v="50"/>
    <n v="4076007.9235000014"/>
    <n v="4"/>
    <n v="0"/>
    <n v="0"/>
    <n v="76877539.143897057"/>
    <s v="FC"/>
    <n v="40"/>
    <n v="0"/>
    <n v="0"/>
    <s v="N/A"/>
    <n v="0"/>
    <m/>
    <x v="35"/>
    <x v="2"/>
    <n v="2"/>
    <m/>
    <s v="III"/>
    <n v="3"/>
  </r>
  <r>
    <x v="2"/>
    <x v="16"/>
    <m/>
    <m/>
    <n v="55049"/>
    <x v="186"/>
    <s v="COCA"/>
    <n v="5.46"/>
    <n v="15"/>
    <n v="2884570.7699990026"/>
    <n v="10"/>
    <n v="0"/>
    <n v="0"/>
    <n v="23594908.05069996"/>
    <n v="30"/>
    <n v="2630721.3139999998"/>
    <n v="3"/>
    <n v="4814437.8495000005"/>
    <n v="10"/>
    <n v="7947109.2418000558"/>
    <s v=""/>
    <n v="0"/>
    <n v="8506112.9192999881"/>
    <n v="10"/>
    <s v="N/A"/>
    <n v="0"/>
    <m/>
    <x v="7"/>
    <x v="0"/>
    <n v="4"/>
    <m/>
    <s v="III"/>
    <n v="3"/>
  </r>
  <r>
    <x v="0"/>
    <x v="0"/>
    <m/>
    <m/>
    <n v="62650"/>
    <x v="187"/>
    <s v="COCA"/>
    <n v="3.66"/>
    <n v="15"/>
    <n v="1850300.5600010001"/>
    <n v="5"/>
    <n v="0"/>
    <n v="0"/>
    <n v="16333853.250297032"/>
    <n v="20"/>
    <n v="1373351.9971"/>
    <n v="2"/>
    <n v="2308460.6572999987"/>
    <n v="5"/>
    <n v="3380615.8118999954"/>
    <s v=""/>
    <n v="0"/>
    <n v="0"/>
    <n v="0"/>
    <s v="N/A"/>
    <n v="0"/>
    <m/>
    <x v="41"/>
    <x v="0"/>
    <n v="4"/>
    <m/>
    <s v="III"/>
    <n v="3"/>
  </r>
  <r>
    <x v="2"/>
    <x v="4"/>
    <m/>
    <m/>
    <n v="55285"/>
    <x v="188"/>
    <s v="COCA"/>
    <n v="7.48"/>
    <n v="45"/>
    <n v="5975167.8499980131"/>
    <n v="20"/>
    <n v="14428.399999999996"/>
    <n v="5"/>
    <n v="48220515.30940301"/>
    <n v="40"/>
    <n v="3649575.7027000031"/>
    <n v="4"/>
    <n v="7158301.6554000005"/>
    <n v="10"/>
    <n v="21966320.253900018"/>
    <s v="FC"/>
    <n v="30"/>
    <n v="0"/>
    <n v="0"/>
    <s v="N/A"/>
    <n v="0"/>
    <m/>
    <x v="8"/>
    <x v="2"/>
    <n v="2"/>
    <m/>
    <s v="III"/>
    <n v="3"/>
  </r>
  <r>
    <x v="0"/>
    <x v="7"/>
    <m/>
    <m/>
    <n v="35234"/>
    <x v="189"/>
    <s v="COCA"/>
    <n v="6.05"/>
    <n v="30"/>
    <n v="3098218.4500010014"/>
    <n v="10"/>
    <n v="28088.970000000005"/>
    <n v="10"/>
    <n v="29698790.169499982"/>
    <n v="30"/>
    <n v="2773474.8654999998"/>
    <n v="3"/>
    <n v="6867055.9778000033"/>
    <n v="10"/>
    <n v="10035531.018399034"/>
    <s v="FC"/>
    <n v="20"/>
    <n v="4641141.8876990005"/>
    <n v="10"/>
    <s v="N/A"/>
    <n v="0"/>
    <m/>
    <x v="31"/>
    <x v="1"/>
    <n v="3"/>
    <m/>
    <s v="I"/>
    <n v="1"/>
  </r>
  <r>
    <x v="2"/>
    <x v="10"/>
    <m/>
    <m/>
    <n v="42149"/>
    <x v="190"/>
    <s v="COCA"/>
    <n v="6.22"/>
    <n v="30"/>
    <n v="2491485.2100070035"/>
    <n v="5"/>
    <n v="27508.09"/>
    <n v="10"/>
    <n v="12592289.189800004"/>
    <n v="20"/>
    <n v="1930951.2484000009"/>
    <n v="2"/>
    <n v="12393129.265799994"/>
    <n v="15"/>
    <n v="3130682.5341009973"/>
    <s v=""/>
    <n v="0"/>
    <n v="3511048.1493000034"/>
    <n v="10"/>
    <s v="N/A"/>
    <n v="0"/>
    <m/>
    <x v="6"/>
    <x v="1"/>
    <n v="3"/>
    <m/>
    <s v="III"/>
    <n v="3"/>
  </r>
  <r>
    <x v="2"/>
    <x v="5"/>
    <m/>
    <m/>
    <n v="42031"/>
    <x v="191"/>
    <s v="COCA"/>
    <n v="6.55"/>
    <n v="30"/>
    <n v="3494099.180001006"/>
    <n v="10"/>
    <n v="0"/>
    <n v="0"/>
    <n v="20311503.949800998"/>
    <n v="30"/>
    <n v="2360674.0751999989"/>
    <n v="3"/>
    <n v="102107.87510000002"/>
    <n v="5"/>
    <n v="4358519.6143009998"/>
    <s v=""/>
    <n v="0"/>
    <n v="0"/>
    <n v="0"/>
    <s v="N/A"/>
    <n v="0"/>
    <m/>
    <x v="7"/>
    <x v="0"/>
    <n v="4"/>
    <m/>
    <s v="III"/>
    <n v="3"/>
  </r>
  <r>
    <x v="2"/>
    <x v="6"/>
    <m/>
    <m/>
    <n v="53224"/>
    <x v="192"/>
    <s v="COCA"/>
    <n v="2.93"/>
    <n v="15"/>
    <n v="1757132.61"/>
    <n v="5"/>
    <n v="0"/>
    <n v="0"/>
    <n v="7601386.3417010047"/>
    <n v="20"/>
    <n v="3360130.835600005"/>
    <n v="4"/>
    <n v="5164218.1681000004"/>
    <n v="10"/>
    <n v="2070448.5088000011"/>
    <s v=""/>
    <n v="0"/>
    <n v="0"/>
    <n v="0"/>
    <s v="N/A"/>
    <n v="0"/>
    <m/>
    <x v="76"/>
    <x v="0"/>
    <n v="4"/>
    <m/>
    <s v="III"/>
    <n v="3"/>
  </r>
  <r>
    <x v="1"/>
    <x v="14"/>
    <m/>
    <m/>
    <n v="17400"/>
    <x v="193"/>
    <s v="COCA"/>
    <n v="7.64"/>
    <n v="45"/>
    <n v="4650078.0499970112"/>
    <n v="15"/>
    <n v="0"/>
    <n v="0"/>
    <n v="31634890.732099988"/>
    <n v="30"/>
    <n v="6362467.9147000071"/>
    <n v="5"/>
    <n v="11754706.435399994"/>
    <n v="15"/>
    <n v="5411465.3468000144"/>
    <s v=""/>
    <n v="0"/>
    <n v="11694330.759599993"/>
    <n v="15"/>
    <s v="N/A"/>
    <n v="0"/>
    <m/>
    <x v="77"/>
    <x v="2"/>
    <n v="2"/>
    <m/>
    <s v="II"/>
    <n v="2"/>
  </r>
  <r>
    <x v="1"/>
    <x v="5"/>
    <m/>
    <m/>
    <n v="61250"/>
    <x v="194"/>
    <s v="COCA"/>
    <n v="5.35"/>
    <n v="15"/>
    <n v="1895670.2400210006"/>
    <n v="5"/>
    <n v="0"/>
    <n v="0"/>
    <n v="11022944.257495023"/>
    <n v="20"/>
    <n v="1980463.0601989997"/>
    <n v="2"/>
    <n v="4624963.8334950022"/>
    <n v="10"/>
    <n v="2135816.898199995"/>
    <s v=""/>
    <n v="0"/>
    <n v="0"/>
    <n v="0"/>
    <s v="N/A"/>
    <n v="0"/>
    <m/>
    <x v="23"/>
    <x v="0"/>
    <n v="4"/>
    <m/>
    <s v="III"/>
    <n v="3"/>
  </r>
  <r>
    <x v="2"/>
    <x v="12"/>
    <m/>
    <m/>
    <n v="44358"/>
    <x v="195"/>
    <s v="COCA"/>
    <n v="5.18"/>
    <n v="15"/>
    <n v="3651420.8400040055"/>
    <n v="10"/>
    <n v="84843.280000000013"/>
    <n v="15"/>
    <n v="19171735.356099997"/>
    <n v="30"/>
    <n v="3101173.3434000039"/>
    <n v="3"/>
    <n v="11942297.783000002"/>
    <n v="15"/>
    <n v="6590011.9655019995"/>
    <s v=""/>
    <n v="0"/>
    <n v="1109550.4183999996"/>
    <n v="5"/>
    <s v="N/A"/>
    <n v="0"/>
    <m/>
    <x v="2"/>
    <x v="1"/>
    <n v="3"/>
    <m/>
    <s v="III"/>
    <n v="3"/>
  </r>
  <r>
    <x v="2"/>
    <x v="16"/>
    <m/>
    <m/>
    <n v="44240"/>
    <x v="196"/>
    <s v="COCA"/>
    <n v="13.28"/>
    <n v="60"/>
    <n v="5158638.0899960045"/>
    <n v="15"/>
    <n v="0"/>
    <n v="0"/>
    <n v="41495871.809602"/>
    <n v="40"/>
    <n v="3056231.5670000003"/>
    <n v="3"/>
    <n v="29402.362499999999"/>
    <n v="5"/>
    <n v="12752792.399998082"/>
    <s v="FC"/>
    <n v="20"/>
    <n v="7853367.9770009946"/>
    <n v="10"/>
    <s v="N/A"/>
    <n v="0"/>
    <m/>
    <x v="78"/>
    <x v="2"/>
    <n v="2"/>
    <m/>
    <s v="III"/>
    <n v="3"/>
  </r>
  <r>
    <x v="2"/>
    <x v="12"/>
    <m/>
    <m/>
    <n v="44250"/>
    <x v="197"/>
    <s v="COCA"/>
    <n v="5.56"/>
    <n v="15"/>
    <n v="2291920.5599990017"/>
    <n v="5"/>
    <n v="0"/>
    <n v="0"/>
    <n v="18634573.701199982"/>
    <n v="30"/>
    <n v="2838658.3848000038"/>
    <n v="3"/>
    <n v="6364728.4194000019"/>
    <n v="10"/>
    <n v="6702956.7215000466"/>
    <s v="FC"/>
    <n v="10"/>
    <n v="0"/>
    <n v="0"/>
    <s v="N/A"/>
    <n v="0"/>
    <m/>
    <x v="28"/>
    <x v="0"/>
    <n v="4"/>
    <m/>
    <s v="I"/>
    <n v="1"/>
  </r>
  <r>
    <x v="0"/>
    <x v="8"/>
    <m/>
    <m/>
    <n v="33103"/>
    <x v="198"/>
    <s v="COCA"/>
    <n v="2.56"/>
    <n v="15"/>
    <n v="1471008.7900019989"/>
    <n v="5"/>
    <n v="0"/>
    <n v="0"/>
    <n v="8099273.4854990123"/>
    <n v="20"/>
    <n v="2546524.5141000026"/>
    <n v="3"/>
    <n v="6634202.4630000042"/>
    <n v="10"/>
    <n v="1758570.9916999999"/>
    <s v=""/>
    <n v="0"/>
    <n v="0"/>
    <n v="0"/>
    <s v="N/A"/>
    <n v="0"/>
    <m/>
    <x v="27"/>
    <x v="0"/>
    <n v="4"/>
    <m/>
    <s v="II"/>
    <n v="2"/>
  </r>
  <r>
    <x v="1"/>
    <x v="5"/>
    <m/>
    <m/>
    <n v="45457"/>
    <x v="199"/>
    <s v="COCA"/>
    <n v="6"/>
    <n v="30"/>
    <n v="3488835.4800030016"/>
    <n v="10"/>
    <n v="32246.519999999997"/>
    <n v="10"/>
    <n v="15346887.891301023"/>
    <n v="20"/>
    <n v="2653955.9912000019"/>
    <n v="3"/>
    <n v="6969969.3942000046"/>
    <n v="10"/>
    <n v="5142599.9513000092"/>
    <s v=""/>
    <n v="0"/>
    <n v="5051848.2104990045"/>
    <n v="10"/>
    <s v="N/A"/>
    <n v="0"/>
    <m/>
    <x v="2"/>
    <x v="1"/>
    <n v="3"/>
    <m/>
    <s v="III"/>
    <n v="3"/>
  </r>
  <r>
    <x v="0"/>
    <x v="11"/>
    <m/>
    <m/>
    <n v="24163"/>
    <x v="200"/>
    <s v="COCA"/>
    <n v="2.76"/>
    <n v="15"/>
    <n v="1479012.7999999989"/>
    <n v="5"/>
    <n v="0"/>
    <n v="0"/>
    <n v="9570834.3080000188"/>
    <n v="20"/>
    <n v="2049864.6412000018"/>
    <n v="2"/>
    <n v="5408818.9588000011"/>
    <n v="10"/>
    <n v="965933.53410000028"/>
    <s v=""/>
    <n v="0"/>
    <n v="0"/>
    <n v="0"/>
    <s v="N/A"/>
    <n v="0"/>
    <m/>
    <x v="23"/>
    <x v="0"/>
    <n v="4"/>
    <m/>
    <s v="III"/>
    <n v="3"/>
  </r>
  <r>
    <x v="2"/>
    <x v="19"/>
    <m/>
    <m/>
    <n v="55060"/>
    <x v="201"/>
    <s v="COCA"/>
    <n v="4.97"/>
    <n v="15"/>
    <n v="2335033.1800000011"/>
    <n v="5"/>
    <n v="0"/>
    <n v="0"/>
    <n v="24694813.317401975"/>
    <n v="30"/>
    <n v="2571429.2125000022"/>
    <n v="3"/>
    <n v="3286007.9114999995"/>
    <n v="10"/>
    <n v="8652722.8965000752"/>
    <s v="FC"/>
    <n v="10"/>
    <n v="0"/>
    <n v="0"/>
    <s v="N/A"/>
    <n v="0"/>
    <m/>
    <x v="28"/>
    <x v="0"/>
    <n v="4"/>
    <m/>
    <s v="II"/>
    <n v="2"/>
  </r>
  <r>
    <x v="0"/>
    <x v="3"/>
    <m/>
    <m/>
    <n v="33379"/>
    <x v="202"/>
    <s v="COCA"/>
    <n v="5.66"/>
    <n v="30"/>
    <n v="4540809.0799990073"/>
    <n v="15"/>
    <n v="33254.090000000004"/>
    <n v="10"/>
    <n v="26161591.084102016"/>
    <n v="30"/>
    <n v="2794119.7789000035"/>
    <n v="3"/>
    <n v="4488110.3033000007"/>
    <n v="10"/>
    <n v="5752863.1078990297"/>
    <s v=""/>
    <n v="0"/>
    <n v="0"/>
    <n v="0"/>
    <s v="N/A"/>
    <n v="0"/>
    <m/>
    <x v="58"/>
    <x v="1"/>
    <n v="3"/>
    <m/>
    <s v="II"/>
    <n v="2"/>
  </r>
  <r>
    <x v="0"/>
    <x v="3"/>
    <m/>
    <m/>
    <n v="33200"/>
    <x v="203"/>
    <s v="COCA"/>
    <n v="10.39"/>
    <n v="45"/>
    <n v="7062062.4399990197"/>
    <n v="20"/>
    <n v="42309.340000000004"/>
    <n v="10"/>
    <n v="34403257.15019998"/>
    <n v="40"/>
    <n v="3512147.3407000001"/>
    <n v="4"/>
    <n v="4436628.395800001"/>
    <n v="10"/>
    <n v="14200407.995500056"/>
    <s v="FC"/>
    <n v="20"/>
    <n v="6324574.8354999973"/>
    <n v="10"/>
    <s v="N/A"/>
    <n v="0"/>
    <m/>
    <x v="60"/>
    <x v="2"/>
    <n v="2"/>
    <m/>
    <s v="III"/>
    <n v="3"/>
  </r>
  <r>
    <x v="0"/>
    <x v="3"/>
    <m/>
    <m/>
    <n v="64000"/>
    <x v="204"/>
    <s v="COCA"/>
    <n v="5.39"/>
    <n v="15"/>
    <n v="2255477.920001002"/>
    <n v="5"/>
    <n v="26603.089999999997"/>
    <n v="10"/>
    <n v="13227957.605001017"/>
    <n v="20"/>
    <n v="1822403.9974999998"/>
    <n v="2"/>
    <n v="2149708.6858999995"/>
    <n v="5"/>
    <n v="4472107.5155000072"/>
    <s v=""/>
    <n v="0"/>
    <n v="2205827.5781"/>
    <n v="10"/>
    <s v="N/A"/>
    <n v="0"/>
    <m/>
    <x v="37"/>
    <x v="0"/>
    <n v="4"/>
    <m/>
    <s v="III"/>
    <n v="3"/>
  </r>
  <r>
    <x v="0"/>
    <x v="8"/>
    <m/>
    <m/>
    <n v="33121"/>
    <x v="205"/>
    <s v="COCA"/>
    <n v="6.22"/>
    <n v="30"/>
    <n v="3569009.4300020058"/>
    <n v="10"/>
    <n v="0"/>
    <n v="0"/>
    <n v="19691920.724598989"/>
    <n v="30"/>
    <n v="3922484.3984000054"/>
    <n v="4"/>
    <n v="6089307.9642000003"/>
    <n v="10"/>
    <n v="5941288.0085009895"/>
    <s v="FC"/>
    <n v="10"/>
    <n v="8397516.0425999705"/>
    <n v="10"/>
    <s v="N/A"/>
    <n v="0"/>
    <m/>
    <x v="79"/>
    <x v="1"/>
    <n v="3"/>
    <m/>
    <s v="II"/>
    <n v="2"/>
  </r>
  <r>
    <x v="0"/>
    <x v="3"/>
    <m/>
    <m/>
    <n v="64450"/>
    <x v="206"/>
    <s v="COCA"/>
    <n v="3.55"/>
    <n v="15"/>
    <n v="1282394.4000000004"/>
    <n v="5"/>
    <n v="8575.56"/>
    <n v="5"/>
    <n v="9782836.39340101"/>
    <n v="20"/>
    <n v="1531995.3542000009"/>
    <n v="2"/>
    <n v="3363964.605200999"/>
    <n v="10"/>
    <n v="2104140.3546980056"/>
    <s v=""/>
    <n v="0"/>
    <n v="0"/>
    <n v="0"/>
    <s v="N/A"/>
    <n v="0"/>
    <m/>
    <x v="50"/>
    <x v="0"/>
    <n v="4"/>
    <m/>
    <s v="III"/>
    <n v="3"/>
  </r>
  <r>
    <x v="0"/>
    <x v="0"/>
    <m/>
    <m/>
    <n v="22120"/>
    <x v="207"/>
    <s v="COCA"/>
    <n v="6.65"/>
    <n v="30"/>
    <n v="4049232.2699990049"/>
    <n v="15"/>
    <n v="0"/>
    <n v="0"/>
    <n v="21271127.176800039"/>
    <n v="30"/>
    <n v="1994633.1278990004"/>
    <n v="2"/>
    <n v="12457674.206100002"/>
    <n v="15"/>
    <n v="5463320.7356000273"/>
    <s v=""/>
    <n v="0"/>
    <n v="2061.4175999999998"/>
    <n v="5"/>
    <s v="N/A"/>
    <n v="0"/>
    <m/>
    <x v="57"/>
    <x v="1"/>
    <n v="3"/>
    <m/>
    <s v="I"/>
    <n v="1"/>
  </r>
  <r>
    <x v="2"/>
    <x v="12"/>
    <m/>
    <m/>
    <n v="44059"/>
    <x v="208"/>
    <s v="COCA"/>
    <n v="7.78"/>
    <n v="45"/>
    <n v="3575125.0700010029"/>
    <n v="10"/>
    <n v="0"/>
    <n v="0"/>
    <n v="48204148.486194916"/>
    <n v="40"/>
    <n v="2436899.2796000019"/>
    <n v="3"/>
    <n v="9285.0397000000012"/>
    <n v="5"/>
    <n v="23331086.388198886"/>
    <s v=""/>
    <n v="0"/>
    <n v="0"/>
    <n v="0"/>
    <s v="N/A"/>
    <n v="0"/>
    <m/>
    <x v="42"/>
    <x v="1"/>
    <n v="3"/>
    <m/>
    <s v="III"/>
    <n v="3"/>
  </r>
  <r>
    <x v="2"/>
    <x v="12"/>
    <m/>
    <m/>
    <n v="44432"/>
    <x v="209"/>
    <s v="COCA"/>
    <n v="5.68"/>
    <n v="30"/>
    <n v="2986090.5899990033"/>
    <n v="10"/>
    <n v="27797.059999000005"/>
    <n v="10"/>
    <n v="16924045.781697012"/>
    <n v="20"/>
    <n v="2900463.874900003"/>
    <n v="3"/>
    <n v="11056945.796899995"/>
    <n v="15"/>
    <n v="3355619.5740000075"/>
    <s v=""/>
    <n v="0"/>
    <n v="0"/>
    <n v="0"/>
    <s v="N/A"/>
    <n v="0"/>
    <m/>
    <x v="14"/>
    <x v="1"/>
    <n v="3"/>
    <m/>
    <s v="I"/>
    <n v="1"/>
  </r>
  <r>
    <x v="2"/>
    <x v="4"/>
    <m/>
    <m/>
    <n v="61850"/>
    <x v="210"/>
    <s v="COCA"/>
    <n v="5.35"/>
    <n v="15"/>
    <n v="1409062.2600000005"/>
    <n v="5"/>
    <n v="0"/>
    <n v="0"/>
    <n v="13117954.314900024"/>
    <n v="20"/>
    <n v="518132.29469999997"/>
    <n v="2"/>
    <n v="974584.26229999983"/>
    <n v="5"/>
    <n v="8626927.4260000382"/>
    <s v=""/>
    <n v="0"/>
    <n v="1094740.1663000002"/>
    <n v="5"/>
    <s v="N/A"/>
    <n v="0"/>
    <m/>
    <x v="23"/>
    <x v="0"/>
    <n v="4"/>
    <m/>
    <s v="I"/>
    <n v="1"/>
  </r>
  <r>
    <x v="2"/>
    <x v="4"/>
    <m/>
    <m/>
    <n v="51070"/>
    <x v="211"/>
    <s v="COCA"/>
    <n v="7.54"/>
    <n v="45"/>
    <n v="6024234.1999990167"/>
    <n v="20"/>
    <n v="0"/>
    <n v="0"/>
    <n v="34799713.730299957"/>
    <n v="40"/>
    <n v="3207989.0829000035"/>
    <n v="3"/>
    <n v="5773178.016599996"/>
    <n v="10"/>
    <n v="12523556.653901095"/>
    <s v="FC"/>
    <n v="20"/>
    <n v="14212214.668699905"/>
    <n v="15"/>
    <s v="N/A"/>
    <n v="0"/>
    <m/>
    <x v="78"/>
    <x v="2"/>
    <n v="2"/>
    <m/>
    <s v="I"/>
    <n v="1"/>
  </r>
  <r>
    <x v="1"/>
    <x v="5"/>
    <m/>
    <m/>
    <n v="45446"/>
    <x v="212"/>
    <s v="COCA"/>
    <n v="5.97"/>
    <n v="30"/>
    <n v="3373001.3799990034"/>
    <n v="10"/>
    <n v="0"/>
    <n v="0"/>
    <n v="16074994.378902996"/>
    <n v="20"/>
    <n v="4953634.8192000063"/>
    <n v="5"/>
    <n v="10942732.412699994"/>
    <n v="15"/>
    <n v="3643653.1650000047"/>
    <s v=""/>
    <n v="0"/>
    <n v="0"/>
    <n v="0"/>
    <s v="N/A"/>
    <n v="0"/>
    <m/>
    <x v="80"/>
    <x v="1"/>
    <n v="3"/>
    <m/>
    <s v="II"/>
    <n v="2"/>
  </r>
  <r>
    <x v="1"/>
    <x v="1"/>
    <m/>
    <m/>
    <n v="45343"/>
    <x v="213"/>
    <s v="COCA"/>
    <n v="10.72"/>
    <n v="45"/>
    <n v="5135854.3599999994"/>
    <n v="15"/>
    <n v="46882.45"/>
    <n v="10"/>
    <n v="38732409.269202895"/>
    <n v="40"/>
    <n v="3563412.6704000011"/>
    <n v="4"/>
    <n v="11907543.438099995"/>
    <n v="15"/>
    <n v="12001268.389200045"/>
    <s v="FC"/>
    <n v="20"/>
    <n v="15472937.663803888"/>
    <n v="20"/>
    <s v="N/A"/>
    <n v="0"/>
    <m/>
    <x v="81"/>
    <x v="3"/>
    <n v="1"/>
    <m/>
    <s v="I"/>
    <n v="1"/>
  </r>
  <r>
    <x v="1"/>
    <x v="1"/>
    <m/>
    <m/>
    <n v="45203"/>
    <x v="214"/>
    <s v="COCA"/>
    <n v="5.39"/>
    <n v="15"/>
    <n v="2118489.8200059999"/>
    <n v="5"/>
    <n v="0"/>
    <n v="0"/>
    <n v="15192081.128997998"/>
    <n v="20"/>
    <n v="1669124.4524000001"/>
    <n v="2"/>
    <n v="6924.4097000000002"/>
    <n v="5"/>
    <n v="2229931.3930000034"/>
    <s v=""/>
    <n v="0"/>
    <n v="10755864.087200973"/>
    <n v="15"/>
    <s v="N/A"/>
    <n v="0"/>
    <m/>
    <x v="20"/>
    <x v="0"/>
    <n v="4"/>
    <m/>
    <s v="III"/>
    <n v="3"/>
  </r>
  <r>
    <x v="1"/>
    <x v="5"/>
    <m/>
    <m/>
    <n v="61000"/>
    <x v="215"/>
    <s v="COCA"/>
    <n v="4.04"/>
    <n v="15"/>
    <n v="2649212.7400030009"/>
    <n v="10"/>
    <n v="92245.55"/>
    <n v="20"/>
    <n v="14443157.263801023"/>
    <n v="20"/>
    <n v="1614820.5142999997"/>
    <n v="2"/>
    <n v="4071027.6006"/>
    <n v="10"/>
    <n v="2680546.0614999952"/>
    <s v=""/>
    <n v="0"/>
    <n v="12559.055599999998"/>
    <n v="5"/>
    <s v="N/A"/>
    <n v="0"/>
    <m/>
    <x v="5"/>
    <x v="1"/>
    <n v="3"/>
    <m/>
    <s v="II"/>
    <n v="2"/>
  </r>
  <r>
    <x v="1"/>
    <x v="10"/>
    <m/>
    <m/>
    <n v="61050"/>
    <x v="216"/>
    <s v="COCA"/>
    <n v="4.97"/>
    <n v="15"/>
    <n v="2272293.280005001"/>
    <n v="5"/>
    <n v="0"/>
    <n v="0"/>
    <n v="15006960.433101002"/>
    <n v="20"/>
    <n v="1208045.6998000001"/>
    <n v="2"/>
    <n v="2634089.794199999"/>
    <n v="5"/>
    <n v="5669356.1906000106"/>
    <s v="FC"/>
    <n v="10"/>
    <n v="0"/>
    <n v="0"/>
    <s v="N/A"/>
    <n v="0"/>
    <m/>
    <x v="50"/>
    <x v="0"/>
    <n v="4"/>
    <m/>
    <s v="II"/>
    <n v="2"/>
  </r>
  <r>
    <x v="1"/>
    <x v="1"/>
    <m/>
    <m/>
    <n v="45103"/>
    <x v="217"/>
    <s v="COCA"/>
    <n v="5.76"/>
    <n v="30"/>
    <n v="986945.05"/>
    <n v="5"/>
    <n v="0"/>
    <n v="0"/>
    <n v="9771243.7848000173"/>
    <n v="20"/>
    <n v="906655.14010000008"/>
    <n v="2"/>
    <n v="27697.638600000002"/>
    <n v="5"/>
    <n v="1713606.5194999992"/>
    <s v=""/>
    <n v="0"/>
    <n v="0"/>
    <n v="0"/>
    <s v="N/A"/>
    <n v="0"/>
    <m/>
    <x v="20"/>
    <x v="0"/>
    <n v="4"/>
    <m/>
    <s v="I"/>
    <n v="1"/>
  </r>
  <r>
    <x v="1"/>
    <x v="10"/>
    <m/>
    <m/>
    <n v="45435"/>
    <x v="218"/>
    <s v="COCA"/>
    <n v="12"/>
    <n v="60"/>
    <n v="3318584.8100020024"/>
    <n v="10"/>
    <n v="0"/>
    <n v="0"/>
    <n v="54040069.834997065"/>
    <n v="50"/>
    <n v="2292770.8873999994"/>
    <n v="3"/>
    <n v="224185.04180000001"/>
    <n v="5"/>
    <n v="53786453.454394832"/>
    <s v="FC"/>
    <n v="40"/>
    <n v="0"/>
    <n v="0"/>
    <s v="N/A"/>
    <n v="0"/>
    <m/>
    <x v="66"/>
    <x v="3"/>
    <n v="1"/>
    <m/>
    <s v="III"/>
    <n v="3"/>
  </r>
  <r>
    <x v="1"/>
    <x v="10"/>
    <m/>
    <m/>
    <n v="45436"/>
    <x v="219"/>
    <s v="COCA"/>
    <n v="12"/>
    <n v="60"/>
    <n v="3505344.2000009981"/>
    <n v="10"/>
    <n v="0"/>
    <n v="0"/>
    <n v="48840408.29899992"/>
    <n v="40"/>
    <n v="2506997.6601000004"/>
    <n v="3"/>
    <n v="0"/>
    <n v="0"/>
    <n v="47111990.327696994"/>
    <s v="FC"/>
    <n v="40"/>
    <n v="0"/>
    <n v="0"/>
    <s v="N/A"/>
    <n v="0"/>
    <m/>
    <x v="78"/>
    <x v="2"/>
    <n v="2"/>
    <m/>
    <s v="II"/>
    <n v="2"/>
  </r>
  <r>
    <x v="1"/>
    <x v="1"/>
    <m/>
    <m/>
    <n v="61100"/>
    <x v="220"/>
    <s v="COCA"/>
    <n v="6.55"/>
    <n v="30"/>
    <n v="4186755.1500010053"/>
    <n v="15"/>
    <n v="0"/>
    <n v="0"/>
    <n v="18224631.791900016"/>
    <n v="30"/>
    <n v="1182678.7581"/>
    <n v="2"/>
    <n v="955320.4835999998"/>
    <n v="5"/>
    <n v="15316908.732199039"/>
    <s v="FC"/>
    <n v="20"/>
    <n v="0"/>
    <n v="0"/>
    <s v="N/A"/>
    <n v="0"/>
    <m/>
    <x v="43"/>
    <x v="1"/>
    <n v="3"/>
    <m/>
    <s v="III"/>
    <n v="3"/>
  </r>
  <r>
    <x v="2"/>
    <x v="12"/>
    <m/>
    <m/>
    <n v="63100"/>
    <x v="221"/>
    <s v="COCA"/>
    <n v="5.98"/>
    <n v="30"/>
    <n v="1947912.6799989995"/>
    <n v="5"/>
    <n v="8746.07"/>
    <n v="5"/>
    <n v="21217345.184101012"/>
    <n v="30"/>
    <n v="2303126.8202"/>
    <n v="3"/>
    <n v="5497472.5015000021"/>
    <n v="10"/>
    <n v="11122221.19170003"/>
    <s v=""/>
    <n v="0"/>
    <n v="2176220.4802999999"/>
    <n v="10"/>
    <s v="N/A"/>
    <n v="0"/>
    <m/>
    <x v="2"/>
    <x v="1"/>
    <n v="3"/>
    <m/>
    <s v="III"/>
    <n v="3"/>
  </r>
  <r>
    <x v="1"/>
    <x v="15"/>
    <m/>
    <m/>
    <n v="18269"/>
    <x v="222"/>
    <s v="COCA"/>
    <n v="5.59"/>
    <n v="15"/>
    <n v="2658362.4300060011"/>
    <n v="10"/>
    <n v="0"/>
    <n v="0"/>
    <n v="15051356.261699995"/>
    <n v="20"/>
    <n v="2672458.3518000022"/>
    <n v="3"/>
    <n v="12554216.668499989"/>
    <n v="15"/>
    <n v="3008345.8986999961"/>
    <s v=""/>
    <n v="0"/>
    <n v="2604566.9682"/>
    <n v="10"/>
    <s v="N/A"/>
    <n v="0"/>
    <m/>
    <x v="28"/>
    <x v="0"/>
    <n v="4"/>
    <m/>
    <s v="III"/>
    <n v="3"/>
  </r>
  <r>
    <x v="0"/>
    <x v="7"/>
    <m/>
    <m/>
    <n v="35212"/>
    <x v="223"/>
    <s v="COCA"/>
    <n v="5.55"/>
    <n v="15"/>
    <n v="3309616.2800060003"/>
    <n v="10"/>
    <n v="0"/>
    <n v="0"/>
    <n v="25990784.270001009"/>
    <n v="30"/>
    <n v="1650420.5086000003"/>
    <n v="2"/>
    <n v="3433359.8896000013"/>
    <n v="10"/>
    <n v="12884013.376501044"/>
    <s v="FC"/>
    <n v="20"/>
    <n v="10432629.477598991"/>
    <n v="15"/>
    <s v="N/A"/>
    <n v="0"/>
    <m/>
    <x v="43"/>
    <x v="1"/>
    <n v="3"/>
    <m/>
    <s v="II"/>
    <n v="2"/>
  </r>
  <r>
    <x v="0"/>
    <x v="11"/>
    <m/>
    <m/>
    <n v="35201"/>
    <x v="224"/>
    <s v="COCA"/>
    <n v="5.18"/>
    <n v="15"/>
    <n v="2332441.1900029997"/>
    <n v="5"/>
    <n v="0"/>
    <n v="0"/>
    <n v="14767548.898299994"/>
    <n v="20"/>
    <n v="1822343.3600000003"/>
    <n v="2"/>
    <n v="5751424.4749000035"/>
    <n v="10"/>
    <n v="2768562.629900001"/>
    <s v=""/>
    <n v="0"/>
    <n v="7693834.9114999855"/>
    <n v="10"/>
    <s v="N/A"/>
    <n v="0"/>
    <m/>
    <x v="20"/>
    <x v="0"/>
    <n v="4"/>
    <m/>
    <s v="III"/>
    <n v="3"/>
  </r>
  <r>
    <x v="1"/>
    <x v="5"/>
    <m/>
    <m/>
    <n v="45450"/>
    <x v="225"/>
    <s v="COCA"/>
    <n v="6.51"/>
    <n v="30"/>
    <n v="3617552.0200009993"/>
    <n v="10"/>
    <n v="0"/>
    <n v="0"/>
    <n v="21431769.065797992"/>
    <n v="30"/>
    <n v="2040027.6126999995"/>
    <n v="2"/>
    <n v="4716031.5494999997"/>
    <n v="10"/>
    <n v="9699698.7627000753"/>
    <s v=""/>
    <n v="0"/>
    <n v="4840236.2485000007"/>
    <n v="10"/>
    <s v="N/A"/>
    <n v="0"/>
    <m/>
    <x v="6"/>
    <x v="1"/>
    <n v="3"/>
    <m/>
    <s v="III"/>
    <n v="3"/>
  </r>
  <r>
    <x v="1"/>
    <x v="1"/>
    <m/>
    <m/>
    <n v="45430"/>
    <x v="226"/>
    <s v="COCA"/>
    <n v="6.02"/>
    <n v="30"/>
    <n v="3679820.9399980055"/>
    <n v="10"/>
    <n v="53715.500000000015"/>
    <n v="15"/>
    <n v="16246355.809095001"/>
    <n v="20"/>
    <n v="2487176.4622000023"/>
    <n v="3"/>
    <n v="8451168.6025000028"/>
    <n v="10"/>
    <n v="4341836.7008000053"/>
    <s v="FC"/>
    <n v="10"/>
    <n v="0"/>
    <n v="0"/>
    <s v="N/A"/>
    <n v="0"/>
    <m/>
    <x v="58"/>
    <x v="1"/>
    <n v="3"/>
    <m/>
    <s v="III"/>
    <n v="3"/>
  </r>
  <r>
    <x v="1"/>
    <x v="5"/>
    <m/>
    <m/>
    <n v="45328"/>
    <x v="227"/>
    <s v="COCA"/>
    <n v="6.26"/>
    <n v="30"/>
    <n v="3866713.7299990053"/>
    <n v="10"/>
    <n v="19238.580000000002"/>
    <n v="5"/>
    <n v="14578344.524200004"/>
    <n v="20"/>
    <n v="1460583.5099000002"/>
    <n v="2"/>
    <n v="3497485.0862999992"/>
    <n v="10"/>
    <n v="4241310.7799000014"/>
    <s v=""/>
    <n v="0"/>
    <n v="0"/>
    <n v="0"/>
    <s v="N/A"/>
    <n v="0"/>
    <m/>
    <x v="53"/>
    <x v="0"/>
    <n v="4"/>
    <m/>
    <s v="II"/>
    <n v="2"/>
  </r>
  <r>
    <x v="1"/>
    <x v="2"/>
    <m/>
    <m/>
    <n v="17137"/>
    <x v="228"/>
    <s v="COCA"/>
    <n v="9.2200000000000006"/>
    <n v="45"/>
    <n v="5785773.7300000107"/>
    <n v="20"/>
    <n v="81200.090000000026"/>
    <n v="15"/>
    <n v="54011551.650300041"/>
    <n v="50"/>
    <n v="4164711.9033000022"/>
    <n v="4"/>
    <n v="5949070.9332000008"/>
    <n v="10"/>
    <n v="19360612.306094069"/>
    <s v="FC"/>
    <n v="30"/>
    <n v="9798314.5179009847"/>
    <n v="15"/>
    <s v="N/A"/>
    <n v="0"/>
    <m/>
    <x v="82"/>
    <x v="3"/>
    <n v="1"/>
    <m/>
    <s v="III"/>
    <n v="3"/>
  </r>
  <r>
    <x v="1"/>
    <x v="5"/>
    <m/>
    <m/>
    <n v="45254"/>
    <x v="229"/>
    <s v="COCA"/>
    <n v="5.39"/>
    <n v="15"/>
    <n v="4555059.2500000102"/>
    <n v="15"/>
    <n v="0"/>
    <n v="0"/>
    <n v="19231779.014996"/>
    <n v="30"/>
    <n v="3263654.4402990039"/>
    <n v="4"/>
    <n v="10802717.441398995"/>
    <n v="15"/>
    <n v="5524809.6270010108"/>
    <s v=""/>
    <n v="0"/>
    <n v="4322447.4083000058"/>
    <n v="10"/>
    <s v="N/A"/>
    <n v="0"/>
    <m/>
    <x v="59"/>
    <x v="1"/>
    <n v="3"/>
    <m/>
    <s v="III"/>
    <n v="3"/>
  </r>
  <r>
    <x v="2"/>
    <x v="5"/>
    <m/>
    <m/>
    <n v="42064"/>
    <x v="230"/>
    <s v="COCA"/>
    <n v="4.8899999999999997"/>
    <n v="15"/>
    <n v="3278604.3100020024"/>
    <n v="10"/>
    <n v="0"/>
    <n v="0"/>
    <n v="19992700.869199988"/>
    <n v="30"/>
    <n v="4774367.0901000053"/>
    <n v="5"/>
    <n v="13212896.205700001"/>
    <n v="20"/>
    <n v="2045684.0443000009"/>
    <s v=""/>
    <n v="0"/>
    <n v="27829.137600000002"/>
    <n v="5"/>
    <s v="N/A"/>
    <n v="0"/>
    <m/>
    <x v="83"/>
    <x v="1"/>
    <n v="3"/>
    <m/>
    <s v="I"/>
    <n v="1"/>
  </r>
  <r>
    <x v="2"/>
    <x v="12"/>
    <m/>
    <m/>
    <n v="44070"/>
    <x v="231"/>
    <s v="COCA"/>
    <n v="5.77"/>
    <n v="30"/>
    <n v="2961389.4200020065"/>
    <n v="10"/>
    <n v="26743.99"/>
    <n v="10"/>
    <n v="17407023.298000976"/>
    <n v="20"/>
    <n v="3115145.7897000038"/>
    <n v="3"/>
    <n v="13767763.947000008"/>
    <n v="20"/>
    <n v="4822985.7721009953"/>
    <s v=""/>
    <n v="0"/>
    <n v="0"/>
    <n v="0"/>
    <s v="N/A"/>
    <n v="0"/>
    <m/>
    <x v="2"/>
    <x v="1"/>
    <n v="3"/>
    <m/>
    <s v="I"/>
    <n v="1"/>
  </r>
  <r>
    <x v="2"/>
    <x v="6"/>
    <m/>
    <m/>
    <n v="56041"/>
    <x v="232"/>
    <s v="COCA"/>
    <n v="5.85"/>
    <n v="30"/>
    <n v="5356675.5199930081"/>
    <n v="15"/>
    <n v="0"/>
    <n v="0"/>
    <n v="19717403.279001001"/>
    <n v="30"/>
    <n v="1789234.7084000008"/>
    <n v="2"/>
    <n v="5877601.6449000007"/>
    <n v="10"/>
    <n v="4006065.3152979994"/>
    <s v=""/>
    <n v="0"/>
    <n v="12467731.128102958"/>
    <n v="15"/>
    <s v="N/A"/>
    <n v="0"/>
    <m/>
    <x v="43"/>
    <x v="1"/>
    <n v="3"/>
    <m/>
    <s v="I"/>
    <n v="1"/>
  </r>
  <r>
    <x v="2"/>
    <x v="10"/>
    <m/>
    <m/>
    <n v="53172"/>
    <x v="233"/>
    <s v="COCA"/>
    <n v="2.59"/>
    <n v="15"/>
    <n v="2028329.5999989994"/>
    <n v="5"/>
    <n v="0"/>
    <n v="0"/>
    <n v="6940251.8001009943"/>
    <n v="20"/>
    <n v="2855349.7088000039"/>
    <n v="3"/>
    <n v="5510193.7605000017"/>
    <n v="10"/>
    <n v="705472.60810000019"/>
    <s v=""/>
    <n v="0"/>
    <n v="0"/>
    <n v="0"/>
    <s v="N/A"/>
    <n v="0"/>
    <m/>
    <x v="27"/>
    <x v="0"/>
    <n v="4"/>
    <m/>
    <s v="I"/>
    <n v="1"/>
  </r>
  <r>
    <x v="0"/>
    <x v="0"/>
    <m/>
    <m/>
    <n v="23230"/>
    <x v="234"/>
    <s v="COCA"/>
    <n v="10.130000000000001"/>
    <n v="45"/>
    <n v="5894340.8499960052"/>
    <n v="20"/>
    <n v="0"/>
    <n v="0"/>
    <n v="36097557.057300001"/>
    <n v="40"/>
    <n v="2802587.4638999999"/>
    <n v="3"/>
    <n v="15087179.697899986"/>
    <n v="20"/>
    <n v="6644327.1130000111"/>
    <s v=""/>
    <n v="0"/>
    <n v="1421220.5198000001"/>
    <n v="5"/>
    <s v="N/A"/>
    <n v="0"/>
    <m/>
    <x v="36"/>
    <x v="2"/>
    <n v="2"/>
    <m/>
    <s v="I"/>
    <n v="1"/>
  </r>
  <r>
    <x v="0"/>
    <x v="8"/>
    <m/>
    <m/>
    <n v="31266"/>
    <x v="235"/>
    <s v="COCA"/>
    <n v="5.41"/>
    <n v="15"/>
    <n v="3436732.4100010009"/>
    <n v="10"/>
    <n v="0"/>
    <n v="0"/>
    <n v="13039222.773000013"/>
    <n v="20"/>
    <n v="1944175.6669000017"/>
    <n v="2"/>
    <n v="14705628.569500985"/>
    <n v="20"/>
    <n v="3400523.4316999973"/>
    <s v=""/>
    <n v="0"/>
    <n v="0"/>
    <n v="0"/>
    <s v="N/A"/>
    <n v="0"/>
    <m/>
    <x v="37"/>
    <x v="0"/>
    <n v="4"/>
    <m/>
    <s v="III"/>
    <n v="3"/>
  </r>
  <r>
    <x v="0"/>
    <x v="11"/>
    <m/>
    <m/>
    <n v="24052"/>
    <x v="236"/>
    <s v="COCA"/>
    <n v="5.76"/>
    <n v="30"/>
    <n v="3681011.8500040025"/>
    <n v="10"/>
    <n v="0"/>
    <n v="0"/>
    <n v="22067020.71640094"/>
    <n v="30"/>
    <n v="1783012.6527000004"/>
    <n v="2"/>
    <n v="11782065.488899995"/>
    <n v="15"/>
    <n v="7253688.3241020311"/>
    <s v=""/>
    <n v="0"/>
    <n v="8780090.8424999937"/>
    <n v="10"/>
    <s v="N/A"/>
    <n v="0"/>
    <m/>
    <x v="57"/>
    <x v="1"/>
    <n v="3"/>
    <m/>
    <s v="III"/>
    <n v="3"/>
  </r>
  <r>
    <x v="0"/>
    <x v="11"/>
    <m/>
    <m/>
    <n v="24200"/>
    <x v="237"/>
    <s v="COCA"/>
    <n v="5.39"/>
    <n v="15"/>
    <n v="1801434.8000059987"/>
    <n v="5"/>
    <n v="0"/>
    <n v="0"/>
    <n v="16443076.071899999"/>
    <n v="20"/>
    <n v="2403955.187799999"/>
    <n v="3"/>
    <n v="17696355.319599979"/>
    <n v="20"/>
    <n v="3232993.0112000047"/>
    <s v=""/>
    <n v="0"/>
    <n v="4394628.5232999995"/>
    <n v="10"/>
    <s v="N/A"/>
    <n v="0"/>
    <m/>
    <x v="28"/>
    <x v="0"/>
    <n v="4"/>
    <m/>
    <s v="I"/>
    <n v="1"/>
  </r>
  <r>
    <x v="2"/>
    <x v="12"/>
    <m/>
    <m/>
    <n v="44410"/>
    <x v="238"/>
    <s v="COCA"/>
    <n v="5.99"/>
    <n v="30"/>
    <n v="3837346.8599990113"/>
    <n v="10"/>
    <n v="0"/>
    <n v="0"/>
    <n v="19158096.063499957"/>
    <n v="30"/>
    <n v="7075059.1978000076"/>
    <n v="5"/>
    <n v="14402354.540699987"/>
    <n v="20"/>
    <n v="2868896.4875999941"/>
    <s v=""/>
    <n v="0"/>
    <n v="0"/>
    <n v="0"/>
    <s v="N/A"/>
    <n v="0"/>
    <m/>
    <x v="84"/>
    <x v="1"/>
    <n v="3"/>
    <m/>
    <s v="III"/>
    <n v="3"/>
  </r>
  <r>
    <x v="2"/>
    <x v="10"/>
    <m/>
    <m/>
    <n v="44347"/>
    <x v="239"/>
    <s v="COCA"/>
    <n v="4"/>
    <n v="15"/>
    <n v="2317155.8399999989"/>
    <n v="5"/>
    <n v="16679.13"/>
    <n v="5"/>
    <n v="9910305.5529009998"/>
    <n v="20"/>
    <n v="1647941.7962000002"/>
    <n v="2"/>
    <n v="4835162.2610000018"/>
    <n v="10"/>
    <n v="2024087.9927000003"/>
    <s v=""/>
    <n v="0"/>
    <n v="0"/>
    <n v="0"/>
    <s v="N/A"/>
    <n v="0"/>
    <m/>
    <x v="50"/>
    <x v="0"/>
    <n v="4"/>
    <m/>
    <s v="I"/>
    <n v="1"/>
  </r>
  <r>
    <x v="1"/>
    <x v="2"/>
    <m/>
    <m/>
    <n v="45180"/>
    <x v="240"/>
    <s v="COCA"/>
    <n v="2.95"/>
    <n v="15"/>
    <n v="2293258.9600000028"/>
    <n v="5"/>
    <n v="0"/>
    <n v="0"/>
    <n v="9105946.6227020044"/>
    <n v="20"/>
    <n v="2723277.2553000031"/>
    <n v="3"/>
    <n v="5160338.6415999979"/>
    <n v="10"/>
    <n v="838716.49899999995"/>
    <s v=""/>
    <n v="0"/>
    <n v="0"/>
    <n v="0"/>
    <s v="N/A"/>
    <n v="0"/>
    <m/>
    <x v="27"/>
    <x v="0"/>
    <n v="4"/>
    <m/>
    <s v="I"/>
    <n v="1"/>
  </r>
  <r>
    <x v="1"/>
    <x v="1"/>
    <m/>
    <m/>
    <n v="45232"/>
    <x v="241"/>
    <s v="COCA"/>
    <n v="7.34"/>
    <n v="45"/>
    <n v="4663622.1000110116"/>
    <n v="15"/>
    <n v="74871.920000000013"/>
    <n v="15"/>
    <n v="29039945.333894998"/>
    <n v="30"/>
    <n v="4015559.9543040041"/>
    <n v="4"/>
    <n v="14949260.061899982"/>
    <n v="20"/>
    <n v="6126693.5797000248"/>
    <s v=""/>
    <n v="0"/>
    <n v="4118760.7720000027"/>
    <n v="10"/>
    <s v="N/A"/>
    <n v="0"/>
    <m/>
    <x v="85"/>
    <x v="2"/>
    <n v="2"/>
    <m/>
    <s v="II"/>
    <n v="2"/>
  </r>
  <r>
    <x v="1"/>
    <x v="10"/>
    <m/>
    <m/>
    <n v="61200"/>
    <x v="242"/>
    <s v="COCA"/>
    <n v="7.05"/>
    <n v="30"/>
    <n v="2558724.5000000019"/>
    <n v="5"/>
    <n v="14128.259999999998"/>
    <n v="5"/>
    <n v="34726408.263499901"/>
    <n v="40"/>
    <n v="1415281.1317000003"/>
    <n v="2"/>
    <n v="1665407.8914999997"/>
    <n v="5"/>
    <n v="26894606.551301058"/>
    <s v="FC"/>
    <n v="30"/>
    <n v="0"/>
    <n v="0"/>
    <s v="N/A"/>
    <n v="0"/>
    <m/>
    <x v="44"/>
    <x v="1"/>
    <n v="3"/>
    <m/>
    <s v="II"/>
    <n v="2"/>
  </r>
  <r>
    <x v="1"/>
    <x v="15"/>
    <m/>
    <m/>
    <n v="17148"/>
    <x v="243"/>
    <s v="COCA"/>
    <n v="6.42"/>
    <n v="30"/>
    <n v="3585821.7600000054"/>
    <n v="10"/>
    <n v="0"/>
    <n v="0"/>
    <n v="37676759.43060004"/>
    <n v="40"/>
    <n v="3774326.866400002"/>
    <n v="4"/>
    <n v="0"/>
    <n v="0"/>
    <n v="14659493.887399998"/>
    <s v=""/>
    <n v="0"/>
    <n v="0"/>
    <n v="0"/>
    <s v="N/A"/>
    <n v="0"/>
    <m/>
    <x v="63"/>
    <x v="1"/>
    <n v="3"/>
    <m/>
    <s v="II"/>
    <n v="2"/>
  </r>
  <r>
    <x v="0"/>
    <x v="11"/>
    <m/>
    <m/>
    <n v="35278"/>
    <x v="244"/>
    <s v="COCA"/>
    <n v="7.05"/>
    <n v="30"/>
    <n v="4654631.1600040067"/>
    <n v="15"/>
    <n v="36901.969999999987"/>
    <n v="10"/>
    <n v="29436381.44740697"/>
    <n v="30"/>
    <n v="3338715.0860000006"/>
    <n v="4"/>
    <n v="11563520.60209999"/>
    <n v="15"/>
    <n v="10879245.299200002"/>
    <s v="FC"/>
    <n v="20"/>
    <n v="0"/>
    <n v="0"/>
    <s v="N/A"/>
    <n v="0"/>
    <m/>
    <x v="17"/>
    <x v="2"/>
    <n v="2"/>
    <m/>
    <s v="III"/>
    <n v="3"/>
  </r>
  <r>
    <x v="0"/>
    <x v="11"/>
    <m/>
    <m/>
    <n v="35031"/>
    <x v="245"/>
    <s v="COCA"/>
    <n v="10.18"/>
    <n v="45"/>
    <n v="5888079.6100020139"/>
    <n v="20"/>
    <n v="7693.1000000000031"/>
    <n v="5"/>
    <n v="27129391.378000021"/>
    <n v="30"/>
    <n v="3093382.7885000026"/>
    <n v="3"/>
    <n v="11164741.071099997"/>
    <n v="15"/>
    <n v="12113857.454394976"/>
    <s v="FC"/>
    <n v="20"/>
    <n v="20866.142"/>
    <n v="5"/>
    <s v="N/A"/>
    <n v="0"/>
    <m/>
    <x v="32"/>
    <x v="2"/>
    <n v="2"/>
    <m/>
    <s v="II"/>
    <n v="2"/>
  </r>
  <r>
    <x v="0"/>
    <x v="11"/>
    <m/>
    <m/>
    <n v="22350"/>
    <x v="246"/>
    <s v="COCA"/>
    <n v="5.98"/>
    <n v="30"/>
    <n v="2932044.8099949979"/>
    <n v="10"/>
    <n v="0"/>
    <n v="0"/>
    <n v="31378094.025803048"/>
    <n v="30"/>
    <n v="3001480.3885009997"/>
    <n v="3"/>
    <n v="6037323.7111"/>
    <n v="10"/>
    <n v="13872675.507999096"/>
    <s v="FC"/>
    <n v="20"/>
    <n v="0"/>
    <n v="0"/>
    <s v="N/A"/>
    <n v="0"/>
    <m/>
    <x v="42"/>
    <x v="1"/>
    <n v="3"/>
    <m/>
    <s v="II"/>
    <n v="2"/>
  </r>
  <r>
    <x v="1"/>
    <x v="0"/>
    <m/>
    <m/>
    <n v="18310"/>
    <x v="247"/>
    <s v="COCA"/>
    <n v="10.220000000000001"/>
    <n v="45"/>
    <n v="4149219.3799990024"/>
    <n v="15"/>
    <n v="15330.01"/>
    <n v="5"/>
    <n v="76345825.663299531"/>
    <n v="50"/>
    <n v="3082578.7760000005"/>
    <n v="3"/>
    <n v="0"/>
    <n v="0"/>
    <n v="14401529.04550002"/>
    <s v=""/>
    <n v="0"/>
    <n v="0"/>
    <n v="0"/>
    <s v="N/A"/>
    <n v="0"/>
    <m/>
    <x v="29"/>
    <x v="1"/>
    <n v="3"/>
    <m/>
    <s v="I"/>
    <n v="1"/>
  </r>
  <r>
    <x v="1"/>
    <x v="0"/>
    <m/>
    <m/>
    <n v="18332"/>
    <x v="248"/>
    <s v="COCA"/>
    <n v="12.23"/>
    <n v="60"/>
    <n v="2900094.74"/>
    <n v="10"/>
    <n v="0"/>
    <n v="0"/>
    <n v="50031630.992400132"/>
    <n v="40"/>
    <n v="2921303.1817000005"/>
    <n v="3"/>
    <n v="0"/>
    <n v="0"/>
    <n v="42308371.35509818"/>
    <s v="FC"/>
    <n v="40"/>
    <n v="0"/>
    <n v="0"/>
    <s v="N/A"/>
    <n v="0"/>
    <m/>
    <x v="78"/>
    <x v="2"/>
    <n v="2"/>
    <m/>
    <s v="I"/>
    <n v="1"/>
  </r>
  <r>
    <x v="0"/>
    <x v="3"/>
    <m/>
    <m/>
    <n v="33250"/>
    <x v="249"/>
    <s v="COCA"/>
    <n v="5.7"/>
    <n v="30"/>
    <n v="3784950.7200000058"/>
    <n v="10"/>
    <n v="0"/>
    <n v="0"/>
    <n v="18612555.793999989"/>
    <n v="30"/>
    <n v="2165471.7312999996"/>
    <n v="3"/>
    <n v="7187063.0742000025"/>
    <n v="10"/>
    <n v="5392994.3868000098"/>
    <s v=""/>
    <n v="0"/>
    <n v="34258.286400000005"/>
    <n v="5"/>
    <s v="N/A"/>
    <n v="0"/>
    <m/>
    <x v="14"/>
    <x v="1"/>
    <n v="3"/>
    <m/>
    <s v="III"/>
    <n v="3"/>
  </r>
  <r>
    <x v="2"/>
    <x v="12"/>
    <m/>
    <m/>
    <n v="63150"/>
    <x v="250"/>
    <s v="COCA"/>
    <n v="6.1"/>
    <n v="30"/>
    <n v="3305369.2600000058"/>
    <n v="10"/>
    <n v="12766.84"/>
    <n v="5"/>
    <n v="21344033.229100015"/>
    <n v="30"/>
    <n v="2435866.1983999992"/>
    <n v="3"/>
    <n v="3315664.6049999977"/>
    <n v="10"/>
    <n v="9750239.3938000761"/>
    <s v="FC"/>
    <n v="10"/>
    <n v="1497952.7662"/>
    <n v="5"/>
    <s v="N/A"/>
    <n v="0"/>
    <m/>
    <x v="42"/>
    <x v="1"/>
    <n v="3"/>
    <m/>
    <s v="III"/>
    <n v="3"/>
  </r>
  <r>
    <x v="2"/>
    <x v="6"/>
    <m/>
    <m/>
    <n v="56052"/>
    <x v="251"/>
    <s v="COCA"/>
    <n v="11.41"/>
    <n v="60"/>
    <n v="5891534.6800080175"/>
    <n v="20"/>
    <n v="34622.83"/>
    <n v="10"/>
    <n v="36342331.076300047"/>
    <n v="40"/>
    <n v="3191388.3061000034"/>
    <n v="3"/>
    <n v="13247585.226399995"/>
    <n v="20"/>
    <n v="10305416.717100052"/>
    <s v="FC"/>
    <n v="20"/>
    <n v="5981353.7453000015"/>
    <n v="10"/>
    <s v="N/A"/>
    <n v="0"/>
    <m/>
    <x v="86"/>
    <x v="3"/>
    <n v="1"/>
    <m/>
    <s v="III"/>
    <n v="3"/>
  </r>
  <r>
    <x v="2"/>
    <x v="10"/>
    <m/>
    <m/>
    <n v="41371"/>
    <x v="252"/>
    <s v="COCA"/>
    <n v="6.01"/>
    <n v="30"/>
    <n v="2782450.2800010019"/>
    <n v="10"/>
    <n v="0"/>
    <n v="0"/>
    <n v="13653714.241600011"/>
    <n v="20"/>
    <n v="3124852.8765000035"/>
    <n v="3"/>
    <n v="11037719.808599997"/>
    <n v="15"/>
    <n v="2644446.4565999885"/>
    <s v=""/>
    <n v="0"/>
    <n v="0"/>
    <n v="0"/>
    <s v="N/A"/>
    <n v="0"/>
    <m/>
    <x v="7"/>
    <x v="0"/>
    <n v="4"/>
    <m/>
    <s v="III"/>
    <n v="3"/>
  </r>
  <r>
    <x v="2"/>
    <x v="19"/>
    <m/>
    <m/>
    <n v="51218"/>
    <x v="253"/>
    <s v="COCA"/>
    <n v="6.83"/>
    <n v="30"/>
    <n v="2644038.5200010021"/>
    <n v="10"/>
    <n v="0"/>
    <n v="0"/>
    <n v="20454398.534373958"/>
    <n v="30"/>
    <n v="3014178.825600002"/>
    <n v="3"/>
    <n v="9134600.8929000013"/>
    <n v="15"/>
    <n v="4214579.9012020053"/>
    <s v=""/>
    <n v="0"/>
    <n v="0"/>
    <n v="0"/>
    <s v="N/A"/>
    <n v="0"/>
    <m/>
    <x v="14"/>
    <x v="1"/>
    <n v="3"/>
    <m/>
    <s v="I"/>
    <n v="1"/>
  </r>
  <r>
    <x v="2"/>
    <x v="5"/>
    <m/>
    <m/>
    <n v="41297"/>
    <x v="254"/>
    <s v="COCA"/>
    <n v="6.05"/>
    <n v="30"/>
    <n v="3027940.2500029989"/>
    <n v="10"/>
    <n v="34905.15"/>
    <n v="10"/>
    <n v="24212283.796201944"/>
    <n v="30"/>
    <n v="3381598.5416000043"/>
    <n v="4"/>
    <n v="8647822.1426000055"/>
    <n v="10"/>
    <n v="2791272.3855009996"/>
    <s v=""/>
    <n v="0"/>
    <n v="0"/>
    <n v="0"/>
    <s v="N/A"/>
    <n v="0"/>
    <m/>
    <x v="18"/>
    <x v="1"/>
    <n v="3"/>
    <m/>
    <s v="II"/>
    <n v="2"/>
  </r>
  <r>
    <x v="2"/>
    <x v="5"/>
    <m/>
    <m/>
    <n v="41253"/>
    <x v="255"/>
    <s v="COCA"/>
    <n v="1.55"/>
    <n v="15"/>
    <n v="1338637.3700010004"/>
    <n v="5"/>
    <n v="0"/>
    <n v="0"/>
    <n v="3194029.9423009991"/>
    <n v="20"/>
    <n v="1088747.2772000001"/>
    <n v="2"/>
    <n v="3801329.9791999999"/>
    <n v="10"/>
    <n v="0"/>
    <s v=""/>
    <n v="0"/>
    <n v="0"/>
    <n v="0"/>
    <s v="N/A"/>
    <n v="0"/>
    <m/>
    <x v="23"/>
    <x v="0"/>
    <n v="4"/>
    <m/>
    <s v="II"/>
    <n v="2"/>
  </r>
  <r>
    <x v="2"/>
    <x v="5"/>
    <m/>
    <m/>
    <n v="41260"/>
    <x v="256"/>
    <s v="COCA"/>
    <n v="3.85"/>
    <n v="15"/>
    <n v="1848480.3800029992"/>
    <n v="5"/>
    <n v="0"/>
    <n v="0"/>
    <n v="8896402.6660000179"/>
    <n v="20"/>
    <n v="1962679.6133000015"/>
    <n v="2"/>
    <n v="6523448.8915000008"/>
    <n v="10"/>
    <n v="1216945.0242000001"/>
    <m/>
    <n v="0"/>
    <n v="0"/>
    <n v="0"/>
    <s v="N/A"/>
    <n v="0"/>
    <m/>
    <x v="23"/>
    <x v="0"/>
    <n v="4"/>
    <m/>
    <s v="I"/>
    <n v="1"/>
  </r>
  <r>
    <x v="2"/>
    <x v="19"/>
    <m/>
    <m/>
    <n v="51111"/>
    <x v="257"/>
    <s v="COCA"/>
    <n v="5.8"/>
    <n v="30"/>
    <n v="3386555.3299930026"/>
    <n v="10"/>
    <n v="0"/>
    <n v="0"/>
    <n v="16939941.267603993"/>
    <n v="20"/>
    <n v="2631591.4203000022"/>
    <n v="3"/>
    <n v="8423233.9527989998"/>
    <n v="10"/>
    <n v="2793805.0081990049"/>
    <s v=""/>
    <n v="0"/>
    <n v="13844.101700000001"/>
    <n v="5"/>
    <s v="N/A"/>
    <n v="0"/>
    <m/>
    <x v="7"/>
    <x v="0"/>
    <n v="4"/>
    <m/>
    <s v="I"/>
    <n v="1"/>
  </r>
  <r>
    <x v="2"/>
    <x v="12"/>
    <m/>
    <m/>
    <n v="44100"/>
    <x v="258"/>
    <s v="COCA"/>
    <n v="5.6"/>
    <n v="15"/>
    <n v="2966371.3899970092"/>
    <n v="10"/>
    <n v="0"/>
    <n v="0"/>
    <n v="18132840.597304996"/>
    <n v="20"/>
    <n v="4234354.5005000094"/>
    <n v="4"/>
    <n v="13984767.879404007"/>
    <n v="20"/>
    <n v="3446344.8068000032"/>
    <s v=""/>
    <n v="0"/>
    <n v="0"/>
    <n v="0"/>
    <s v="N/A"/>
    <n v="0"/>
    <m/>
    <x v="87"/>
    <x v="0"/>
    <n v="4"/>
    <m/>
    <s v="III"/>
    <n v="3"/>
  </r>
  <r>
    <x v="2"/>
    <x v="19"/>
    <m/>
    <m/>
    <n v="61700"/>
    <x v="259"/>
    <s v="COCA"/>
    <n v="5.17"/>
    <n v="15"/>
    <n v="2926429.0399960014"/>
    <n v="10"/>
    <n v="0"/>
    <n v="0"/>
    <n v="12542334.076100014"/>
    <n v="20"/>
    <n v="978096.08020000008"/>
    <n v="2"/>
    <n v="1067385.8388"/>
    <n v="5"/>
    <n v="5747658.2352020163"/>
    <s v="FC"/>
    <n v="10"/>
    <n v="1956850.4066999999"/>
    <n v="5"/>
    <s v="N/A"/>
    <n v="0"/>
    <m/>
    <x v="37"/>
    <x v="0"/>
    <n v="4"/>
    <m/>
    <s v="II"/>
    <n v="2"/>
  </r>
  <r>
    <x v="2"/>
    <x v="19"/>
    <m/>
    <m/>
    <n v="52018"/>
    <x v="260"/>
    <s v="COCA"/>
    <n v="6.42"/>
    <n v="30"/>
    <n v="3482117.330006999"/>
    <n v="10"/>
    <n v="0"/>
    <n v="0"/>
    <n v="22936981.558700938"/>
    <n v="30"/>
    <n v="2344828.3966999999"/>
    <n v="3"/>
    <n v="36149.606399999997"/>
    <n v="5"/>
    <n v="9259077.7890960854"/>
    <s v="FC"/>
    <n v="10"/>
    <n v="9538209.0219999794"/>
    <n v="10"/>
    <s v="N/A"/>
    <n v="0"/>
    <m/>
    <x v="58"/>
    <x v="1"/>
    <n v="3"/>
    <m/>
    <s v="III"/>
    <n v="3"/>
  </r>
  <r>
    <x v="2"/>
    <x v="19"/>
    <m/>
    <m/>
    <n v="52062"/>
    <x v="261"/>
    <s v="COCA"/>
    <n v="4.92"/>
    <n v="15"/>
    <n v="2937692.4500010065"/>
    <n v="10"/>
    <n v="0"/>
    <n v="0"/>
    <n v="19676659.951701988"/>
    <n v="30"/>
    <n v="2104774.0709000011"/>
    <n v="3"/>
    <n v="4814762.2579000015"/>
    <n v="10"/>
    <n v="3810215.012299994"/>
    <s v=""/>
    <n v="0"/>
    <n v="0"/>
    <n v="0"/>
    <s v="N/A"/>
    <n v="0"/>
    <m/>
    <x v="48"/>
    <x v="0"/>
    <n v="4"/>
    <m/>
    <s v="III"/>
    <n v="3"/>
  </r>
  <r>
    <x v="2"/>
    <x v="19"/>
    <m/>
    <m/>
    <n v="52033"/>
    <x v="262"/>
    <s v="COCA"/>
    <n v="10.72"/>
    <n v="45"/>
    <n v="6427313.9700080091"/>
    <n v="20"/>
    <n v="95441.499999999985"/>
    <n v="20"/>
    <n v="57338126.124400087"/>
    <n v="50"/>
    <n v="4732454.4218000015"/>
    <n v="5"/>
    <n v="4806066.9826990012"/>
    <n v="10"/>
    <n v="19533297.19559991"/>
    <s v="FC"/>
    <n v="30"/>
    <n v="14323457.225999884"/>
    <n v="20"/>
    <s v="N/A"/>
    <n v="0"/>
    <m/>
    <x v="67"/>
    <x v="3"/>
    <n v="1"/>
    <m/>
    <s v="II"/>
    <n v="2"/>
  </r>
  <r>
    <x v="2"/>
    <x v="19"/>
    <m/>
    <m/>
    <n v="61800"/>
    <x v="263"/>
    <s v="COCA"/>
    <n v="6.05"/>
    <n v="30"/>
    <n v="2684235.2700070026"/>
    <n v="10"/>
    <n v="62107.399999999994"/>
    <n v="15"/>
    <n v="22173672.83959996"/>
    <n v="30"/>
    <n v="2938001.6669999985"/>
    <n v="3"/>
    <n v="7627778.8200000003"/>
    <n v="10"/>
    <n v="6400258.2665000102"/>
    <s v="FC"/>
    <n v="10"/>
    <n v="9301045.9532009866"/>
    <n v="10"/>
    <s v="N/A"/>
    <n v="0"/>
    <m/>
    <x v="29"/>
    <x v="1"/>
    <n v="3"/>
    <m/>
    <s v="I"/>
    <n v="1"/>
  </r>
  <r>
    <x v="1"/>
    <x v="4"/>
    <m/>
    <m/>
    <n v="18280"/>
    <x v="264"/>
    <s v="COCA"/>
    <n v="3.88"/>
    <n v="15"/>
    <n v="990515.51999599929"/>
    <n v="5"/>
    <n v="0"/>
    <n v="0"/>
    <n v="9887364.6307000052"/>
    <n v="20"/>
    <n v="1056357.5162999998"/>
    <n v="2"/>
    <n v="99207.874599999996"/>
    <n v="5"/>
    <n v="2606804.5585000007"/>
    <s v=""/>
    <n v="0"/>
    <n v="0"/>
    <n v="0"/>
    <s v="N/A"/>
    <n v="0"/>
    <m/>
    <x v="41"/>
    <x v="0"/>
    <n v="4"/>
    <m/>
    <s v="I"/>
    <n v="1"/>
  </r>
  <r>
    <x v="0"/>
    <x v="2"/>
    <m/>
    <m/>
    <n v="31244"/>
    <x v="265"/>
    <s v="COCA"/>
    <n v="6.27"/>
    <n v="30"/>
    <n v="3052022.7000010051"/>
    <n v="10"/>
    <n v="0"/>
    <n v="0"/>
    <n v="15875361.423694011"/>
    <n v="20"/>
    <n v="2237815.051599999"/>
    <n v="3"/>
    <n v="8650799.3115000036"/>
    <n v="10"/>
    <n v="4720892.4122990016"/>
    <s v=""/>
    <n v="0"/>
    <n v="3666693.8338000025"/>
    <n v="10"/>
    <s v="N/A"/>
    <n v="0"/>
    <m/>
    <x v="4"/>
    <x v="1"/>
    <n v="3"/>
    <m/>
    <s v="I"/>
    <n v="1"/>
  </r>
  <r>
    <x v="0"/>
    <x v="2"/>
    <m/>
    <m/>
    <n v="31030"/>
    <x v="266"/>
    <s v="COCA"/>
    <n v="3.4"/>
    <n v="15"/>
    <n v="2869398.7199990018"/>
    <n v="10"/>
    <n v="0"/>
    <n v="0"/>
    <n v="6471426.1946990192"/>
    <n v="20"/>
    <n v="1997764.6374999997"/>
    <n v="2"/>
    <n v="5153889.0337000024"/>
    <n v="10"/>
    <n v="684159.1348990004"/>
    <s v=""/>
    <n v="0"/>
    <n v="0"/>
    <n v="0"/>
    <s v="N/A"/>
    <n v="0"/>
    <m/>
    <x v="50"/>
    <x v="0"/>
    <n v="4"/>
    <m/>
    <s v="III"/>
    <n v="3"/>
  </r>
  <r>
    <x v="1"/>
    <x v="1"/>
    <m/>
    <m/>
    <n v="17414"/>
    <x v="267"/>
    <s v="COCA"/>
    <n v="6.63"/>
    <n v="30"/>
    <n v="4228908.4900049986"/>
    <n v="15"/>
    <n v="104190.76999999999"/>
    <n v="20"/>
    <n v="19726973.214300003"/>
    <n v="30"/>
    <n v="3069417.4226000039"/>
    <n v="3"/>
    <n v="10357682.784699995"/>
    <n v="15"/>
    <n v="3618449.8900000025"/>
    <s v=""/>
    <n v="0"/>
    <n v="9146860.1526009869"/>
    <n v="10"/>
    <s v="N/A"/>
    <n v="0"/>
    <m/>
    <x v="31"/>
    <x v="1"/>
    <n v="3"/>
    <m/>
    <s v="I"/>
    <n v="1"/>
  </r>
  <r>
    <x v="0"/>
    <x v="13"/>
    <m/>
    <m/>
    <n v="21283"/>
    <x v="268"/>
    <s v="COCA"/>
    <n v="10.17"/>
    <n v="45"/>
    <n v="4358273.499998007"/>
    <n v="15"/>
    <n v="27805.189999999991"/>
    <n v="10"/>
    <n v="24244025.526800025"/>
    <n v="30"/>
    <n v="1472290.5823000001"/>
    <n v="2"/>
    <n v="4230513.4428980006"/>
    <n v="10"/>
    <n v="12216265.237800054"/>
    <s v="FC"/>
    <n v="20"/>
    <n v="7195814.4113019994"/>
    <n v="10"/>
    <s v="N/A"/>
    <n v="0"/>
    <m/>
    <x v="88"/>
    <x v="2"/>
    <n v="2"/>
    <m/>
    <s v="I"/>
    <n v="1"/>
  </r>
  <r>
    <x v="0"/>
    <x v="13"/>
    <m/>
    <m/>
    <n v="62300"/>
    <x v="269"/>
    <s v="COCA"/>
    <n v="5.16"/>
    <n v="15"/>
    <n v="2870883.5500009987"/>
    <n v="10"/>
    <n v="20131.189999999999"/>
    <n v="5"/>
    <n v="11944835.370900009"/>
    <n v="20"/>
    <n v="1183995.3043000002"/>
    <n v="2"/>
    <n v="2310811.050199999"/>
    <n v="5"/>
    <n v="2820013.455699997"/>
    <s v=""/>
    <n v="0"/>
    <n v="0"/>
    <n v="0"/>
    <s v="N/A"/>
    <n v="0"/>
    <m/>
    <x v="50"/>
    <x v="0"/>
    <n v="4"/>
    <m/>
    <s v="I"/>
    <n v="1"/>
  </r>
  <r>
    <x v="0"/>
    <x v="0"/>
    <m/>
    <m/>
    <n v="62600"/>
    <x v="270"/>
    <s v="COCA"/>
    <n v="6.26"/>
    <n v="30"/>
    <n v="2572950.1299969987"/>
    <n v="5"/>
    <n v="16057.619999999999"/>
    <n v="5"/>
    <n v="18650014.173101991"/>
    <n v="30"/>
    <n v="1795489.0108999996"/>
    <n v="2"/>
    <n v="31566.142199999995"/>
    <n v="5"/>
    <n v="7127517.2220030492"/>
    <s v="FC"/>
    <n v="10"/>
    <n v="14329580.004802931"/>
    <n v="20"/>
    <s v="N/A"/>
    <n v="0"/>
    <m/>
    <x v="16"/>
    <x v="1"/>
    <n v="3"/>
    <m/>
    <s v="I"/>
    <n v="1"/>
  </r>
  <r>
    <x v="0"/>
    <x v="0"/>
    <m/>
    <m/>
    <n v="22271"/>
    <x v="271"/>
    <s v="COCA"/>
    <n v="20"/>
    <n v="60"/>
    <n v="15931602.390005019"/>
    <n v="20"/>
    <n v="146188.41"/>
    <n v="20"/>
    <n v="142965097.88360199"/>
    <n v="50"/>
    <n v="4447564.6066000005"/>
    <n v="4"/>
    <n v="0"/>
    <n v="0"/>
    <n v="33524201.781698976"/>
    <s v=""/>
    <n v="0"/>
    <n v="0"/>
    <n v="0"/>
    <s v="N/A"/>
    <n v="0"/>
    <m/>
    <x v="8"/>
    <x v="2"/>
    <n v="2"/>
    <m/>
    <s v="III"/>
    <n v="3"/>
  </r>
  <r>
    <x v="0"/>
    <x v="0"/>
    <m/>
    <m/>
    <n v="22282"/>
    <x v="272"/>
    <s v="COCA"/>
    <n v="20"/>
    <n v="60"/>
    <n v="9878449.909999026"/>
    <n v="20"/>
    <n v="200746.59000000003"/>
    <n v="20"/>
    <n v="128474916.31460184"/>
    <n v="50"/>
    <n v="5453302.4152999995"/>
    <n v="5"/>
    <n v="0"/>
    <n v="0"/>
    <n v="40488404.18399971"/>
    <s v=""/>
    <n v="0"/>
    <n v="0"/>
    <n v="0"/>
    <s v="N/A"/>
    <n v="0"/>
    <m/>
    <x v="89"/>
    <x v="2"/>
    <n v="2"/>
    <m/>
    <s v="III"/>
    <n v="3"/>
  </r>
  <r>
    <x v="0"/>
    <x v="3"/>
    <m/>
    <m/>
    <n v="33154"/>
    <x v="273"/>
    <s v="COCA"/>
    <n v="5.76"/>
    <n v="30"/>
    <n v="3557527.6800000034"/>
    <n v="10"/>
    <n v="0"/>
    <n v="0"/>
    <n v="17354332.020599"/>
    <n v="20"/>
    <n v="2149967.8216009988"/>
    <n v="3"/>
    <n v="6587563.0672000032"/>
    <n v="10"/>
    <n v="4585968.5228000022"/>
    <s v=""/>
    <n v="0"/>
    <n v="6379545.1046999991"/>
    <n v="10"/>
    <s v="N/A"/>
    <n v="0"/>
    <m/>
    <x v="4"/>
    <x v="1"/>
    <n v="3"/>
    <m/>
    <s v="III"/>
    <n v="3"/>
  </r>
  <r>
    <x v="0"/>
    <x v="11"/>
    <m/>
    <m/>
    <n v="22227"/>
    <x v="274"/>
    <s v="COCA"/>
    <n v="10.17"/>
    <n v="45"/>
    <n v="6219782.7299940167"/>
    <n v="20"/>
    <n v="45132.51999999999"/>
    <n v="10"/>
    <n v="61007186.180499963"/>
    <n v="50"/>
    <n v="5616391.4500000048"/>
    <n v="5"/>
    <n v="9558626.0902999975"/>
    <n v="15"/>
    <n v="15055440.646999912"/>
    <s v=""/>
    <n v="0"/>
    <n v="0"/>
    <n v="0"/>
    <s v="N/A"/>
    <n v="0"/>
    <m/>
    <x v="74"/>
    <x v="2"/>
    <n v="2"/>
    <m/>
    <s v="I"/>
    <n v="1"/>
  </r>
  <r>
    <x v="0"/>
    <x v="11"/>
    <m/>
    <m/>
    <n v="35042"/>
    <x v="275"/>
    <s v="COCA"/>
    <n v="4.97"/>
    <n v="15"/>
    <n v="2083399.3499999999"/>
    <n v="5"/>
    <n v="0"/>
    <n v="0"/>
    <n v="11976827.081099011"/>
    <n v="20"/>
    <n v="1798056.7244000004"/>
    <n v="2"/>
    <n v="2075353.5662999994"/>
    <n v="5"/>
    <n v="3972430.4719989966"/>
    <s v=""/>
    <n v="0"/>
    <n v="5404697.8330000015"/>
    <n v="10"/>
    <s v="N/A"/>
    <n v="0"/>
    <m/>
    <x v="50"/>
    <x v="0"/>
    <n v="4"/>
    <m/>
    <s v="II"/>
    <n v="2"/>
  </r>
  <r>
    <x v="0"/>
    <x v="3"/>
    <m/>
    <m/>
    <n v="35153"/>
    <x v="276"/>
    <s v="COCA"/>
    <n v="5.59"/>
    <n v="15"/>
    <n v="3246679.7900010026"/>
    <n v="10"/>
    <n v="16835.59"/>
    <n v="5"/>
    <n v="19529641.567001"/>
    <n v="30"/>
    <n v="3396895.3720000014"/>
    <n v="4"/>
    <n v="6676429.9949010005"/>
    <n v="10"/>
    <n v="4553514.1394000053"/>
    <s v=""/>
    <n v="0"/>
    <n v="35783.484100000016"/>
    <n v="5"/>
    <s v="N/A"/>
    <n v="0"/>
    <m/>
    <x v="1"/>
    <x v="1"/>
    <n v="3"/>
    <m/>
    <s v="I"/>
    <n v="1"/>
  </r>
  <r>
    <x v="0"/>
    <x v="11"/>
    <m/>
    <m/>
    <n v="35245"/>
    <x v="277"/>
    <s v="COCA"/>
    <n v="10.18"/>
    <n v="45"/>
    <n v="8882261.7899960298"/>
    <n v="20"/>
    <n v="32149.279999999995"/>
    <n v="10"/>
    <n v="26319674.728899989"/>
    <n v="30"/>
    <n v="2426640.9907000004"/>
    <n v="3"/>
    <n v="4651343.3586999997"/>
    <n v="10"/>
    <n v="12568865.212101055"/>
    <s v="FC"/>
    <n v="20"/>
    <n v="86584.298900000023"/>
    <n v="5"/>
    <s v="N/A"/>
    <n v="0"/>
    <m/>
    <x v="32"/>
    <x v="2"/>
    <n v="2"/>
    <m/>
    <s v="II"/>
    <n v="2"/>
  </r>
  <r>
    <x v="1"/>
    <x v="17"/>
    <m/>
    <m/>
    <n v="17052"/>
    <x v="278"/>
    <s v="COCA"/>
    <n v="6.63"/>
    <n v="30"/>
    <n v="4936872.5900020031"/>
    <n v="15"/>
    <n v="0"/>
    <n v="0"/>
    <n v="22124185.728598945"/>
    <n v="30"/>
    <n v="3328115.0269000004"/>
    <n v="4"/>
    <n v="51659.843699999998"/>
    <n v="5"/>
    <n v="5186085.8321000123"/>
    <s v=""/>
    <n v="0"/>
    <n v="550651.9863999997"/>
    <n v="5"/>
    <s v="N/A"/>
    <n v="0"/>
    <m/>
    <x v="59"/>
    <x v="1"/>
    <n v="3"/>
    <m/>
    <s v="I"/>
    <n v="1"/>
  </r>
  <r>
    <x v="1"/>
    <x v="1"/>
    <m/>
    <m/>
    <n v="63950"/>
    <x v="279"/>
    <s v="COCA"/>
    <n v="5.46"/>
    <n v="15"/>
    <n v="3315153.299991"/>
    <n v="10"/>
    <n v="63999.91"/>
    <n v="15"/>
    <n v="12801930.13509902"/>
    <n v="20"/>
    <n v="3013859.1371999988"/>
    <n v="3"/>
    <n v="8766844.1966990009"/>
    <n v="10"/>
    <n v="4466219.4815010028"/>
    <s v=""/>
    <n v="0"/>
    <n v="9512047.2771999985"/>
    <n v="10"/>
    <s v="N/A"/>
    <n v="0"/>
    <m/>
    <x v="4"/>
    <x v="1"/>
    <n v="3"/>
    <m/>
    <s v="III"/>
    <n v="3"/>
  </r>
  <r>
    <x v="1"/>
    <x v="4"/>
    <m/>
    <m/>
    <n v="17351"/>
    <x v="280"/>
    <s v="COCA"/>
    <n v="5.81"/>
    <n v="30"/>
    <n v="3171211.7199990028"/>
    <n v="10"/>
    <n v="0"/>
    <n v="0"/>
    <n v="27273765.084300004"/>
    <n v="30"/>
    <n v="4513318.2393000042"/>
    <n v="5"/>
    <n v="19566295.501299985"/>
    <n v="20"/>
    <n v="4142045.3598000011"/>
    <s v=""/>
    <n v="0"/>
    <n v="2317.3236000000006"/>
    <n v="5"/>
    <s v="N/A"/>
    <n v="0"/>
    <m/>
    <x v="46"/>
    <x v="1"/>
    <n v="3"/>
    <m/>
    <s v="III"/>
    <n v="3"/>
  </r>
  <r>
    <x v="2"/>
    <x v="10"/>
    <m/>
    <m/>
    <n v="41168"/>
    <x v="281"/>
    <s v="COCA"/>
    <n v="2.4900000000000002"/>
    <n v="15"/>
    <n v="1173398.9600009995"/>
    <n v="5"/>
    <n v="0"/>
    <n v="0"/>
    <n v="3591937.8148999983"/>
    <n v="20"/>
    <n v="2100696.915000001"/>
    <n v="3"/>
    <n v="2753966.9609999992"/>
    <n v="5"/>
    <n v="199700.89480000018"/>
    <s v=""/>
    <n v="0"/>
    <n v="0"/>
    <n v="0"/>
    <s v="N/A"/>
    <n v="0"/>
    <m/>
    <x v="90"/>
    <x v="0"/>
    <n v="4"/>
    <m/>
    <s v="II"/>
    <n v="2"/>
  </r>
  <r>
    <x v="0"/>
    <x v="11"/>
    <m/>
    <m/>
    <n v="25173"/>
    <x v="282"/>
    <s v="COCA"/>
    <n v="5.18"/>
    <n v="15"/>
    <n v="2020076.6000029997"/>
    <n v="5"/>
    <n v="0"/>
    <n v="0"/>
    <n v="26275109.738403019"/>
    <n v="30"/>
    <n v="2612107.941099999"/>
    <n v="3"/>
    <n v="5142739.4288000017"/>
    <n v="10"/>
    <n v="5811677.1210000068"/>
    <s v=""/>
    <n v="0"/>
    <n v="0"/>
    <n v="0"/>
    <s v="N/A"/>
    <n v="0"/>
    <m/>
    <x v="49"/>
    <x v="0"/>
    <n v="4"/>
    <m/>
    <s v="II"/>
    <n v="2"/>
  </r>
  <r>
    <x v="2"/>
    <x v="6"/>
    <m/>
    <m/>
    <n v="56074"/>
    <x v="283"/>
    <s v="COCA"/>
    <n v="6.49"/>
    <n v="30"/>
    <n v="4961573.0799970077"/>
    <n v="15"/>
    <n v="0"/>
    <n v="0"/>
    <n v="17839957.175299991"/>
    <n v="20"/>
    <n v="2920996.1769000059"/>
    <n v="3"/>
    <n v="6538161.493900002"/>
    <n v="10"/>
    <n v="2349427.9207999948"/>
    <s v=""/>
    <n v="0"/>
    <n v="0"/>
    <n v="0"/>
    <s v="N/A"/>
    <n v="0"/>
    <m/>
    <x v="7"/>
    <x v="0"/>
    <n v="4"/>
    <m/>
    <s v="II"/>
    <n v="2"/>
  </r>
  <r>
    <x v="2"/>
    <x v="6"/>
    <m/>
    <m/>
    <n v="64200"/>
    <x v="284"/>
    <s v="COCA"/>
    <n v="6.12"/>
    <n v="30"/>
    <n v="2143275.1700030002"/>
    <n v="5"/>
    <n v="38314.43"/>
    <n v="10"/>
    <n v="21617915.843596037"/>
    <n v="30"/>
    <n v="1093040.9698000001"/>
    <n v="2"/>
    <n v="585821.26670000004"/>
    <n v="5"/>
    <n v="12098948.355800085"/>
    <s v="FC"/>
    <n v="20"/>
    <n v="804015.7620000001"/>
    <n v="5"/>
    <s v="N/A"/>
    <n v="0"/>
    <m/>
    <x v="16"/>
    <x v="1"/>
    <n v="3"/>
    <m/>
    <s v="I"/>
    <n v="1"/>
  </r>
  <r>
    <x v="2"/>
    <x v="6"/>
    <m/>
    <m/>
    <n v="56233"/>
    <x v="285"/>
    <s v="COCA"/>
    <n v="6.19"/>
    <n v="30"/>
    <n v="3242801.2800050038"/>
    <n v="10"/>
    <n v="94366.169999999984"/>
    <n v="20"/>
    <n v="17925149.924405985"/>
    <n v="20"/>
    <n v="1139286.6396000001"/>
    <n v="2"/>
    <n v="3417159.8803999987"/>
    <n v="10"/>
    <n v="5331363.2815000108"/>
    <s v=""/>
    <n v="0"/>
    <n v="8334970.3696999811"/>
    <n v="10"/>
    <s v="N/A"/>
    <n v="0"/>
    <m/>
    <x v="43"/>
    <x v="1"/>
    <n v="3"/>
    <m/>
    <s v="II"/>
    <n v="2"/>
  </r>
  <r>
    <x v="2"/>
    <x v="6"/>
    <m/>
    <m/>
    <n v="56115"/>
    <x v="286"/>
    <s v="COCA"/>
    <n v="11.5"/>
    <n v="60"/>
    <n v="4552165.3500020141"/>
    <n v="15"/>
    <n v="0"/>
    <n v="0"/>
    <n v="32314294.819500968"/>
    <n v="30"/>
    <n v="4110316.6189000034"/>
    <n v="4"/>
    <n v="4681456.7448000005"/>
    <n v="10"/>
    <n v="9769656.7887000758"/>
    <s v="FC"/>
    <n v="10"/>
    <n v="12833793.470399927"/>
    <n v="15"/>
    <s v="N/A"/>
    <n v="0"/>
    <m/>
    <x v="55"/>
    <x v="2"/>
    <n v="2"/>
    <m/>
    <s v="II"/>
    <n v="2"/>
  </r>
  <r>
    <x v="2"/>
    <x v="6"/>
    <m/>
    <m/>
    <n v="56255"/>
    <x v="287"/>
    <s v="COCA"/>
    <n v="7.05"/>
    <n v="30"/>
    <n v="2853112.2200050014"/>
    <n v="10"/>
    <n v="32648.669999999995"/>
    <n v="10"/>
    <n v="22769248.701698963"/>
    <n v="30"/>
    <n v="3490569.3990000039"/>
    <n v="4"/>
    <n v="5540493.765099003"/>
    <n v="10"/>
    <n v="10565815.441100065"/>
    <s v="FC"/>
    <n v="20"/>
    <n v="0"/>
    <n v="0"/>
    <s v="N/A"/>
    <n v="0"/>
    <m/>
    <x v="62"/>
    <x v="1"/>
    <n v="3"/>
    <m/>
    <s v="III"/>
    <n v="3"/>
  </r>
  <r>
    <x v="2"/>
    <x v="6"/>
    <m/>
    <m/>
    <n v="64150"/>
    <x v="288"/>
    <s v="COCA"/>
    <n v="5.58"/>
    <n v="15"/>
    <n v="1765324.690003"/>
    <n v="5"/>
    <n v="43684.369999999995"/>
    <n v="10"/>
    <n v="12256713.193499995"/>
    <n v="20"/>
    <n v="1173691.3670999999"/>
    <n v="2"/>
    <n v="1604924.4271999998"/>
    <n v="5"/>
    <n v="3453426.6353000016"/>
    <s v=""/>
    <n v="0"/>
    <n v="5962937.1657999987"/>
    <n v="10"/>
    <s v="N/A"/>
    <n v="0"/>
    <m/>
    <x v="37"/>
    <x v="0"/>
    <n v="4"/>
    <m/>
    <s v="I"/>
    <n v="1"/>
  </r>
  <r>
    <x v="2"/>
    <x v="10"/>
    <m/>
    <m/>
    <n v="41200"/>
    <x v="289"/>
    <s v="COCA"/>
    <n v="12.18"/>
    <n v="60"/>
    <n v="4828069.750001004"/>
    <n v="15"/>
    <n v="46620.359999999993"/>
    <n v="10"/>
    <n v="35918476.078998871"/>
    <n v="40"/>
    <n v="2529106.3594999993"/>
    <n v="3"/>
    <n v="37267.716799999995"/>
    <n v="5"/>
    <n v="18565887.887101095"/>
    <s v=""/>
    <n v="0"/>
    <n v="0"/>
    <n v="0"/>
    <s v="N/A"/>
    <n v="0"/>
    <m/>
    <x v="36"/>
    <x v="2"/>
    <n v="2"/>
    <m/>
    <s v="III"/>
    <n v="3"/>
  </r>
  <r>
    <x v="2"/>
    <x v="10"/>
    <m/>
    <m/>
    <n v="41349"/>
    <x v="290"/>
    <s v="COCA"/>
    <n v="7.08"/>
    <n v="30"/>
    <n v="4190208.160004003"/>
    <n v="15"/>
    <n v="45891.93"/>
    <n v="10"/>
    <n v="23449251.447699938"/>
    <n v="30"/>
    <n v="3121704.0427000024"/>
    <n v="3"/>
    <n v="8717819.7838000003"/>
    <n v="10"/>
    <n v="5151627.2261000006"/>
    <s v=""/>
    <n v="0"/>
    <n v="0"/>
    <n v="0"/>
    <s v="N/A"/>
    <n v="0"/>
    <m/>
    <x v="58"/>
    <x v="1"/>
    <n v="3"/>
    <m/>
    <s v="I"/>
    <n v="1"/>
  </r>
  <r>
    <x v="0"/>
    <x v="0"/>
    <m/>
    <m/>
    <n v="63250"/>
    <x v="291"/>
    <s v="COCA"/>
    <n v="5.73"/>
    <n v="30"/>
    <n v="3749887.4999990063"/>
    <n v="10"/>
    <n v="14176.59"/>
    <n v="5"/>
    <n v="18821081.984098975"/>
    <n v="30"/>
    <n v="1956388.2291999992"/>
    <n v="2"/>
    <n v="11311298.555399992"/>
    <n v="15"/>
    <n v="5485305.2775000148"/>
    <s v="FC"/>
    <n v="10"/>
    <n v="458307.09159999993"/>
    <n v="5"/>
    <s v="N/A"/>
    <n v="0"/>
    <m/>
    <x v="16"/>
    <x v="1"/>
    <n v="3"/>
    <m/>
    <s v="II"/>
    <n v="2"/>
  </r>
  <r>
    <x v="2"/>
    <x v="4"/>
    <m/>
    <m/>
    <n v="51325"/>
    <x v="292"/>
    <s v="COCA"/>
    <n v="10.09"/>
    <n v="45"/>
    <n v="4520586.3399980003"/>
    <n v="15"/>
    <n v="46099.77"/>
    <n v="10"/>
    <n v="29939407.931998912"/>
    <n v="30"/>
    <n v="5502061.603600014"/>
    <n v="5"/>
    <n v="11056329.257500002"/>
    <n v="15"/>
    <n v="14021821.408400062"/>
    <s v="FC"/>
    <n v="20"/>
    <n v="13943349.292703927"/>
    <n v="15"/>
    <s v="N/A"/>
    <n v="0"/>
    <m/>
    <x v="89"/>
    <x v="2"/>
    <n v="2"/>
    <m/>
    <s v="II"/>
    <n v="2"/>
  </r>
  <r>
    <x v="0"/>
    <x v="2"/>
    <m/>
    <m/>
    <n v="34183"/>
    <x v="293"/>
    <s v="COCA"/>
    <n v="10.72"/>
    <n v="45"/>
    <n v="5311362.1400040071"/>
    <n v="15"/>
    <n v="38465.49"/>
    <n v="10"/>
    <n v="29234821.098901"/>
    <n v="30"/>
    <n v="2825965.4246989996"/>
    <n v="3"/>
    <n v="10195289.0922"/>
    <n v="15"/>
    <n v="11382871.568401063"/>
    <s v="FC"/>
    <n v="20"/>
    <n v="2463.7809000000007"/>
    <n v="5"/>
    <s v="N/A"/>
    <n v="0"/>
    <m/>
    <x v="32"/>
    <x v="2"/>
    <n v="2"/>
    <m/>
    <s v="II"/>
    <n v="2"/>
  </r>
  <r>
    <x v="0"/>
    <x v="3"/>
    <m/>
    <m/>
    <n v="25195"/>
    <x v="294"/>
    <s v="COCA"/>
    <n v="2.5"/>
    <n v="15"/>
    <n v="1852631.3300020001"/>
    <n v="5"/>
    <n v="0"/>
    <n v="0"/>
    <n v="6440048.9626009995"/>
    <n v="20"/>
    <n v="1130426.8179000001"/>
    <n v="2"/>
    <n v="1733574.8232999996"/>
    <n v="5"/>
    <n v="1062437.2242000005"/>
    <s v=""/>
    <n v="0"/>
    <n v="0"/>
    <n v="0"/>
    <s v="N/A"/>
    <n v="0"/>
    <m/>
    <x v="41"/>
    <x v="0"/>
    <n v="4"/>
    <m/>
    <s v="III"/>
    <n v="3"/>
  </r>
  <r>
    <x v="0"/>
    <x v="3"/>
    <m/>
    <m/>
    <n v="25535"/>
    <x v="295"/>
    <s v="COCA"/>
    <n v="7.82"/>
    <n v="45"/>
    <n v="3753883.8600010006"/>
    <n v="10"/>
    <n v="0"/>
    <n v="0"/>
    <n v="41255089.609399967"/>
    <n v="40"/>
    <n v="3115686.7026999998"/>
    <n v="3"/>
    <n v="69948.820300000007"/>
    <n v="5"/>
    <n v="21459482.950500969"/>
    <s v="FC"/>
    <n v="30"/>
    <n v="10396321.635399975"/>
    <n v="15"/>
    <s v="N/A"/>
    <n v="0"/>
    <m/>
    <x v="61"/>
    <x v="2"/>
    <n v="2"/>
    <m/>
    <s v="III"/>
    <n v="3"/>
  </r>
  <r>
    <x v="2"/>
    <x v="4"/>
    <m/>
    <m/>
    <n v="55189"/>
    <x v="296"/>
    <s v="COCA"/>
    <n v="3.37"/>
    <n v="15"/>
    <n v="1884277.4399999985"/>
    <n v="5"/>
    <n v="0"/>
    <n v="0"/>
    <n v="22307648.495599963"/>
    <n v="30"/>
    <n v="3262456.7937000045"/>
    <n v="4"/>
    <n v="8144.0946999999996"/>
    <n v="5"/>
    <n v="4130237.8789999932"/>
    <s v=""/>
    <n v="0"/>
    <n v="0"/>
    <n v="0"/>
    <s v="N/A"/>
    <n v="0"/>
    <m/>
    <x v="91"/>
    <x v="0"/>
    <n v="4"/>
    <m/>
    <s v="II"/>
    <n v="2"/>
  </r>
  <r>
    <x v="1"/>
    <x v="14"/>
    <m/>
    <m/>
    <n v="18258"/>
    <x v="297"/>
    <s v="COCA"/>
    <n v="7.64"/>
    <n v="45"/>
    <n v="5534914.350003005"/>
    <n v="15"/>
    <n v="0"/>
    <n v="0"/>
    <n v="37443577.938503169"/>
    <n v="40"/>
    <n v="5554174.1854000054"/>
    <n v="5"/>
    <n v="131014.965"/>
    <n v="5"/>
    <n v="7799196.9866000237"/>
    <s v="FC"/>
    <n v="10"/>
    <n v="0"/>
    <n v="0"/>
    <s v="N/A"/>
    <n v="0"/>
    <m/>
    <x v="92"/>
    <x v="1"/>
    <n v="3"/>
    <m/>
    <s v="I"/>
    <n v="1"/>
  </r>
  <r>
    <x v="0"/>
    <x v="8"/>
    <m/>
    <m/>
    <n v="31255"/>
    <x v="298"/>
    <s v="COCA"/>
    <n v="6.39"/>
    <n v="30"/>
    <n v="4066543.1499930043"/>
    <n v="15"/>
    <n v="72590.729999999981"/>
    <n v="15"/>
    <n v="20622191.772597998"/>
    <n v="30"/>
    <n v="2487947.3288000016"/>
    <n v="3"/>
    <n v="9261284.365399994"/>
    <n v="15"/>
    <n v="6941738.0199000342"/>
    <s v="FC"/>
    <n v="10"/>
    <n v="8688230.2181009855"/>
    <n v="10"/>
    <s v="N/A"/>
    <n v="0"/>
    <m/>
    <x v="33"/>
    <x v="2"/>
    <n v="2"/>
    <m/>
    <s v="I"/>
    <n v="1"/>
  </r>
  <r>
    <x v="0"/>
    <x v="8"/>
    <m/>
    <m/>
    <n v="32129"/>
    <x v="299"/>
    <s v="COCA"/>
    <n v="12.23"/>
    <n v="60"/>
    <n v="5788811.0600000005"/>
    <n v="20"/>
    <n v="0"/>
    <n v="0"/>
    <n v="50299106.962996885"/>
    <n v="40"/>
    <n v="3275345.7404999994"/>
    <n v="4"/>
    <n v="5066221.3166000014"/>
    <n v="10"/>
    <n v="18415422.230201054"/>
    <s v="FC"/>
    <n v="30"/>
    <n v="18379971.505302779"/>
    <n v="20"/>
    <s v="N/A"/>
    <n v="0"/>
    <m/>
    <x v="93"/>
    <x v="3"/>
    <n v="1"/>
    <m/>
    <s v="I"/>
    <n v="1"/>
  </r>
  <r>
    <x v="0"/>
    <x v="8"/>
    <m/>
    <m/>
    <n v="32107"/>
    <x v="300"/>
    <s v="COCA"/>
    <n v="5.78"/>
    <n v="30"/>
    <n v="2651663.4699980021"/>
    <n v="10"/>
    <n v="31698.699999999997"/>
    <n v="10"/>
    <n v="25193986.924200013"/>
    <n v="30"/>
    <n v="2679886.6872999994"/>
    <n v="3"/>
    <n v="9242218.2163999993"/>
    <n v="15"/>
    <n v="5526507.6378000304"/>
    <s v=""/>
    <n v="0"/>
    <n v="6694.4904000000006"/>
    <n v="5"/>
    <s v="N/A"/>
    <n v="0"/>
    <m/>
    <x v="42"/>
    <x v="1"/>
    <n v="3"/>
    <m/>
    <s v="II"/>
    <n v="2"/>
  </r>
  <r>
    <x v="0"/>
    <x v="8"/>
    <m/>
    <m/>
    <n v="31329"/>
    <x v="301"/>
    <s v="COCA"/>
    <n v="12.23"/>
    <n v="60"/>
    <n v="7324254.579998007"/>
    <n v="20"/>
    <n v="0"/>
    <n v="0"/>
    <n v="38756097.329692021"/>
    <n v="40"/>
    <n v="4872470.2120000068"/>
    <n v="5"/>
    <n v="10251121.376600001"/>
    <n v="15"/>
    <n v="11843473.570800077"/>
    <s v="FC"/>
    <n v="20"/>
    <n v="9102848.3483999744"/>
    <n v="10"/>
    <s v="N/A"/>
    <n v="0"/>
    <m/>
    <x v="13"/>
    <x v="3"/>
    <n v="1"/>
    <m/>
    <s v="I"/>
    <n v="1"/>
  </r>
  <r>
    <x v="0"/>
    <x v="8"/>
    <m/>
    <m/>
    <n v="65300"/>
    <x v="302"/>
    <s v="COCA"/>
    <n v="8.6300000000000008"/>
    <n v="45"/>
    <n v="4475858.040000014"/>
    <n v="15"/>
    <n v="93543.760000000009"/>
    <n v="20"/>
    <n v="24470886.423999988"/>
    <n v="30"/>
    <n v="2937842.5952999988"/>
    <n v="3"/>
    <n v="9254562.3086999953"/>
    <n v="15"/>
    <n v="10046465.264201075"/>
    <s v="FC"/>
    <n v="20"/>
    <n v="4576299.2571999989"/>
    <n v="10"/>
    <s v="N/A"/>
    <n v="0"/>
    <m/>
    <x v="24"/>
    <x v="2"/>
    <n v="2"/>
    <m/>
    <s v="I"/>
    <n v="1"/>
  </r>
  <r>
    <x v="0"/>
    <x v="8"/>
    <m/>
    <m/>
    <n v="32090"/>
    <x v="303"/>
    <s v="COCA"/>
    <n v="6.05"/>
    <n v="30"/>
    <n v="2394128.0999980015"/>
    <n v="5"/>
    <n v="0"/>
    <n v="0"/>
    <n v="14429325.631694045"/>
    <n v="20"/>
    <n v="1767808.7215000005"/>
    <n v="2"/>
    <n v="3057391.3743999996"/>
    <n v="10"/>
    <n v="8612005.8622001"/>
    <s v="FC"/>
    <n v="10"/>
    <n v="0"/>
    <n v="0"/>
    <s v="N/A"/>
    <n v="0"/>
    <m/>
    <x v="53"/>
    <x v="0"/>
    <n v="4"/>
    <m/>
    <s v="III"/>
    <n v="3"/>
  </r>
  <r>
    <x v="0"/>
    <x v="8"/>
    <m/>
    <m/>
    <n v="32099"/>
    <x v="304"/>
    <s v="COCA"/>
    <n v="6.48"/>
    <n v="30"/>
    <n v="3177679.0800090036"/>
    <n v="10"/>
    <n v="0"/>
    <n v="0"/>
    <n v="23420825.239899959"/>
    <n v="30"/>
    <n v="2462255.9717000015"/>
    <n v="3"/>
    <n v="4927382.7323000021"/>
    <n v="10"/>
    <n v="7728303.9523020294"/>
    <s v="FC"/>
    <n v="10"/>
    <n v="0"/>
    <n v="0"/>
    <s v="N/A"/>
    <n v="0"/>
    <m/>
    <x v="2"/>
    <x v="1"/>
    <n v="3"/>
    <m/>
    <s v="I"/>
    <n v="1"/>
  </r>
  <r>
    <x v="0"/>
    <x v="8"/>
    <m/>
    <m/>
    <n v="31277"/>
    <x v="305"/>
    <s v="COCA"/>
    <n v="5.59"/>
    <n v="15"/>
    <n v="3324427.5500010005"/>
    <n v="10"/>
    <n v="29532.670000000006"/>
    <n v="10"/>
    <n v="25926544.704999987"/>
    <n v="30"/>
    <n v="3719850.505499999"/>
    <n v="4"/>
    <n v="11866295.408299996"/>
    <n v="15"/>
    <n v="6937063.0802000053"/>
    <s v=""/>
    <n v="0"/>
    <n v="3754.3327000000008"/>
    <n v="5"/>
    <s v="N/A"/>
    <n v="0"/>
    <m/>
    <x v="59"/>
    <x v="1"/>
    <n v="3"/>
    <m/>
    <s v="II"/>
    <n v="2"/>
  </r>
  <r>
    <x v="2"/>
    <x v="4"/>
    <m/>
    <m/>
    <n v="55359"/>
    <x v="306"/>
    <s v="COCA"/>
    <n v="5.99"/>
    <n v="30"/>
    <n v="3105037.5300030052"/>
    <n v="10"/>
    <n v="0"/>
    <n v="0"/>
    <n v="32849018.626699999"/>
    <n v="30"/>
    <n v="5263778.1555000106"/>
    <n v="5"/>
    <n v="54294.490000000013"/>
    <n v="5"/>
    <n v="7113711.5750000058"/>
    <s v=""/>
    <n v="0"/>
    <n v="0"/>
    <n v="0"/>
    <s v="N/A"/>
    <n v="0"/>
    <m/>
    <x v="80"/>
    <x v="1"/>
    <n v="3"/>
    <m/>
    <s v="III"/>
    <n v="3"/>
  </r>
  <r>
    <x v="1"/>
    <x v="15"/>
    <m/>
    <m/>
    <n v="63600"/>
    <x v="307"/>
    <s v="COCA"/>
    <n v="10.92"/>
    <n v="45"/>
    <n v="5514507.5699910028"/>
    <n v="15"/>
    <n v="44804.4"/>
    <n v="10"/>
    <n v="52661661.826005876"/>
    <n v="40"/>
    <n v="3670455.1818999997"/>
    <n v="4"/>
    <n v="6392781.9624000043"/>
    <n v="10"/>
    <n v="21462786.331800897"/>
    <s v="FC"/>
    <n v="30"/>
    <n v="6118543.3343000002"/>
    <n v="10"/>
    <s v="N/A"/>
    <n v="0"/>
    <m/>
    <x v="35"/>
    <x v="2"/>
    <n v="2"/>
    <m/>
    <s v="III"/>
    <n v="3"/>
  </r>
  <r>
    <x v="1"/>
    <x v="15"/>
    <m/>
    <m/>
    <n v="18354"/>
    <x v="308"/>
    <s v="COCA"/>
    <n v="5.85"/>
    <n v="30"/>
    <n v="3722075.860006006"/>
    <n v="10"/>
    <n v="46674.380000000005"/>
    <n v="10"/>
    <n v="26014837.748892054"/>
    <n v="30"/>
    <n v="2150223.6581989997"/>
    <n v="3"/>
    <n v="7989694.5754999984"/>
    <n v="10"/>
    <n v="8589757.31940406"/>
    <s v="FC"/>
    <n v="10"/>
    <n v="0"/>
    <n v="0"/>
    <s v="N/A"/>
    <n v="0"/>
    <m/>
    <x v="42"/>
    <x v="1"/>
    <n v="3"/>
    <m/>
    <s v="III"/>
    <n v="3"/>
  </r>
  <r>
    <x v="2"/>
    <x v="6"/>
    <m/>
    <m/>
    <n v="53106"/>
    <x v="309"/>
    <s v="COCA"/>
    <n v="3.82"/>
    <n v="15"/>
    <n v="2709626.3700040034"/>
    <n v="10"/>
    <n v="0"/>
    <n v="0"/>
    <n v="10755417.680800013"/>
    <n v="20"/>
    <n v="2634484.3516000016"/>
    <n v="3"/>
    <n v="11619278.8726"/>
    <n v="15"/>
    <n v="1342302.1312999993"/>
    <s v=""/>
    <n v="0"/>
    <n v="0"/>
    <n v="0"/>
    <s v="N/A"/>
    <n v="0"/>
    <m/>
    <x v="49"/>
    <x v="0"/>
    <n v="4"/>
    <m/>
    <s v="I"/>
    <n v="1"/>
  </r>
  <r>
    <x v="1"/>
    <x v="15"/>
    <m/>
    <m/>
    <n v="17329"/>
    <x v="310"/>
    <s v="COCA"/>
    <n v="6.15"/>
    <n v="30"/>
    <n v="3581653.8900110028"/>
    <n v="10"/>
    <n v="0"/>
    <n v="0"/>
    <n v="25178624.386099983"/>
    <n v="30"/>
    <n v="4654877.2736000046"/>
    <n v="5"/>
    <n v="14659582.842499996"/>
    <n v="20"/>
    <n v="3167508.1391999926"/>
    <s v=""/>
    <n v="0"/>
    <n v="20648.829800000007"/>
    <n v="5"/>
    <s v="N/A"/>
    <n v="0"/>
    <m/>
    <x v="46"/>
    <x v="1"/>
    <n v="3"/>
    <m/>
    <s v="I"/>
    <n v="1"/>
  </r>
  <r>
    <x v="2"/>
    <x v="4"/>
    <m/>
    <m/>
    <n v="51133"/>
    <x v="311"/>
    <s v="COCA"/>
    <n v="4.92"/>
    <n v="15"/>
    <n v="1411351.47"/>
    <n v="5"/>
    <n v="0"/>
    <n v="0"/>
    <n v="9704878.65200001"/>
    <n v="20"/>
    <n v="3034983.5814000037"/>
    <n v="3"/>
    <n v="9006298.5349999927"/>
    <n v="15"/>
    <n v="2271274.198499999"/>
    <s v=""/>
    <n v="0"/>
    <n v="0"/>
    <n v="0"/>
    <s v="N/A"/>
    <n v="0"/>
    <m/>
    <x v="52"/>
    <x v="0"/>
    <n v="4"/>
    <m/>
    <s v="I"/>
    <n v="1"/>
  </r>
  <r>
    <x v="2"/>
    <x v="12"/>
    <m/>
    <m/>
    <n v="53213"/>
    <x v="312"/>
    <s v="COCA"/>
    <n v="5.59"/>
    <n v="15"/>
    <n v="2753721.6699980013"/>
    <n v="10"/>
    <n v="0"/>
    <n v="0"/>
    <n v="10155026.260905012"/>
    <n v="20"/>
    <n v="2176011.8850000012"/>
    <n v="3"/>
    <n v="5702343.373300002"/>
    <n v="10"/>
    <n v="3092122.9932999983"/>
    <s v=""/>
    <n v="0"/>
    <n v="655.90559999999994"/>
    <n v="5"/>
    <s v="N/A"/>
    <n v="0"/>
    <m/>
    <x v="49"/>
    <x v="0"/>
    <n v="4"/>
    <m/>
    <s v="III"/>
    <n v="3"/>
  </r>
  <r>
    <x v="0"/>
    <x v="11"/>
    <m/>
    <m/>
    <n v="24299"/>
    <x v="313"/>
    <s v="COCA"/>
    <n v="6.45"/>
    <n v="30"/>
    <n v="2430777.3700019992"/>
    <n v="5"/>
    <n v="11394.170000000002"/>
    <n v="5"/>
    <n v="21922776.341400962"/>
    <n v="30"/>
    <n v="906948.84089999995"/>
    <n v="2"/>
    <n v="1319520.4873999998"/>
    <n v="5"/>
    <n v="11919008.711097114"/>
    <s v="FC"/>
    <n v="20"/>
    <n v="0"/>
    <n v="0"/>
    <s v="N/A"/>
    <n v="0"/>
    <m/>
    <x v="57"/>
    <x v="1"/>
    <n v="3"/>
    <m/>
    <s v="I"/>
    <n v="1"/>
  </r>
  <r>
    <x v="1"/>
    <x v="2"/>
    <m/>
    <m/>
    <n v="18077"/>
    <x v="314"/>
    <s v="COCA"/>
    <n v="5.49"/>
    <n v="15"/>
    <n v="3526327.6200010041"/>
    <n v="10"/>
    <n v="0"/>
    <n v="0"/>
    <n v="31440552.491096988"/>
    <n v="30"/>
    <n v="6051536.4405000061"/>
    <n v="5"/>
    <n v="15487941.93589998"/>
    <n v="20"/>
    <n v="3830338.6466000015"/>
    <s v=""/>
    <n v="0"/>
    <n v="9042648.3425999917"/>
    <n v="10"/>
    <s v="N/A"/>
    <n v="0"/>
    <m/>
    <x v="94"/>
    <x v="1"/>
    <n v="3"/>
    <m/>
    <s v="I"/>
    <n v="1"/>
  </r>
  <r>
    <x v="0"/>
    <x v="0"/>
    <m/>
    <m/>
    <n v="22186"/>
    <x v="315"/>
    <s v="COCA"/>
    <n v="7.95"/>
    <n v="45"/>
    <n v="2738854.7900010003"/>
    <n v="10"/>
    <n v="5241.01"/>
    <n v="5"/>
    <n v="47166440.717495799"/>
    <n v="40"/>
    <n v="2308347.303700001"/>
    <n v="3"/>
    <n v="5245211.8725000024"/>
    <n v="10"/>
    <n v="5808639.8822000036"/>
    <s v=""/>
    <n v="0"/>
    <n v="0"/>
    <n v="0"/>
    <s v="N/A"/>
    <n v="0"/>
    <m/>
    <x v="34"/>
    <x v="1"/>
    <n v="3"/>
    <m/>
    <s v="I"/>
    <n v="1"/>
  </r>
  <r>
    <x v="0"/>
    <x v="11"/>
    <m/>
    <m/>
    <n v="35267"/>
    <x v="316"/>
    <s v="COCA"/>
    <n v="10.72"/>
    <n v="45"/>
    <n v="6220369.899998012"/>
    <n v="20"/>
    <n v="0"/>
    <n v="0"/>
    <n v="29381161.83980393"/>
    <n v="30"/>
    <n v="962061.43749999988"/>
    <n v="2"/>
    <n v="2171920.4973999988"/>
    <n v="5"/>
    <n v="14504974.730699968"/>
    <s v="FC"/>
    <n v="20"/>
    <n v="1526370.1004000001"/>
    <n v="5"/>
    <s v="N/A"/>
    <n v="0"/>
    <m/>
    <x v="3"/>
    <x v="2"/>
    <n v="2"/>
    <m/>
    <s v="II"/>
    <n v="2"/>
  </r>
  <r>
    <x v="2"/>
    <x v="19"/>
    <m/>
    <m/>
    <n v="55337"/>
    <x v="317"/>
    <s v="COCA"/>
    <n v="12"/>
    <n v="60"/>
    <n v="2880637.5300010019"/>
    <n v="10"/>
    <n v="25475.200000000001"/>
    <n v="5"/>
    <n v="92884747.549306646"/>
    <n v="50"/>
    <n v="2981095.3124000006"/>
    <n v="3"/>
    <n v="0"/>
    <n v="0"/>
    <n v="90638772.394392967"/>
    <s v="FC"/>
    <n v="40"/>
    <n v="0"/>
    <n v="0"/>
    <s v="N/A"/>
    <n v="0"/>
    <m/>
    <x v="66"/>
    <x v="3"/>
    <n v="1"/>
    <m/>
    <s v="II"/>
    <n v="2"/>
  </r>
  <r>
    <x v="2"/>
    <x v="19"/>
    <m/>
    <m/>
    <n v="55348"/>
    <x v="318"/>
    <s v="COCA"/>
    <n v="12"/>
    <n v="60"/>
    <n v="2710351.930002002"/>
    <n v="10"/>
    <n v="23137.230000000007"/>
    <n v="5"/>
    <n v="92511763.882815599"/>
    <n v="50"/>
    <n v="3536974.0536000002"/>
    <n v="4"/>
    <n v="0"/>
    <n v="0"/>
    <n v="82576943.990824416"/>
    <s v="FC"/>
    <n v="40"/>
    <n v="0"/>
    <n v="0"/>
    <s v="N/A"/>
    <n v="0"/>
    <m/>
    <x v="81"/>
    <x v="3"/>
    <n v="1"/>
    <m/>
    <s v="II"/>
    <n v="2"/>
  </r>
  <r>
    <x v="2"/>
    <x v="4"/>
    <m/>
    <m/>
    <n v="18118"/>
    <x v="319"/>
    <s v="COCA"/>
    <n v="9.2200000000000006"/>
    <n v="45"/>
    <n v="5140302.9300020123"/>
    <n v="15"/>
    <n v="32975.660000000003"/>
    <n v="10"/>
    <n v="61735612.593600042"/>
    <n v="50"/>
    <n v="5217751.3153000101"/>
    <n v="5"/>
    <n v="11807122.177699996"/>
    <n v="15"/>
    <n v="18597961.29679988"/>
    <s v="FC"/>
    <n v="30"/>
    <n v="6017744.958800002"/>
    <n v="10"/>
    <s v="N/A"/>
    <n v="0"/>
    <m/>
    <x v="9"/>
    <x v="3"/>
    <n v="1"/>
    <m/>
    <s v="II"/>
    <n v="2"/>
  </r>
  <r>
    <x v="0"/>
    <x v="7"/>
    <m/>
    <m/>
    <n v="64100"/>
    <x v="320"/>
    <s v="COCA"/>
    <n v="3.89"/>
    <n v="15"/>
    <n v="1685535.9200009983"/>
    <n v="5"/>
    <n v="0"/>
    <n v="0"/>
    <n v="11010275.721802019"/>
    <n v="20"/>
    <n v="1034092.9435999998"/>
    <n v="2"/>
    <n v="1794192.1469999996"/>
    <n v="5"/>
    <n v="2521341.3045999953"/>
    <s v=""/>
    <n v="0"/>
    <n v="0"/>
    <n v="0"/>
    <s v="N/A"/>
    <n v="0"/>
    <m/>
    <x v="41"/>
    <x v="0"/>
    <n v="4"/>
    <m/>
    <s v="I"/>
    <n v="1"/>
  </r>
  <r>
    <x v="2"/>
    <x v="4"/>
    <m/>
    <m/>
    <n v="51144"/>
    <x v="321"/>
    <s v="COCA"/>
    <n v="5.76"/>
    <n v="30"/>
    <n v="2983552.7200010028"/>
    <n v="10"/>
    <n v="0"/>
    <n v="0"/>
    <n v="27359780.831523992"/>
    <n v="30"/>
    <n v="3285952.8752000048"/>
    <n v="4"/>
    <n v="10201449.722199991"/>
    <n v="15"/>
    <n v="4929537.9335000105"/>
    <s v=""/>
    <n v="0"/>
    <n v="0"/>
    <n v="0"/>
    <s v="N/A"/>
    <n v="0"/>
    <m/>
    <x v="59"/>
    <x v="1"/>
    <n v="3"/>
    <m/>
    <s v="I"/>
    <n v="1"/>
  </r>
  <r>
    <x v="0"/>
    <x v="11"/>
    <m/>
    <m/>
    <n v="64550"/>
    <x v="322"/>
    <s v="COCA"/>
    <n v="2.59"/>
    <n v="15"/>
    <n v="1411467.0499979996"/>
    <n v="5"/>
    <n v="0"/>
    <n v="0"/>
    <n v="13436544.040999021"/>
    <n v="20"/>
    <n v="1240788.2167000002"/>
    <n v="2"/>
    <n v="2587862.2344999993"/>
    <n v="5"/>
    <n v="5651655.2490990208"/>
    <s v=""/>
    <n v="0"/>
    <n v="0"/>
    <n v="0"/>
    <s v="N/A"/>
    <n v="0"/>
    <m/>
    <x v="41"/>
    <x v="0"/>
    <n v="4"/>
    <m/>
    <s v="II"/>
    <n v="2"/>
  </r>
  <r>
    <x v="2"/>
    <x v="4"/>
    <m/>
    <m/>
    <n v="18129"/>
    <x v="323"/>
    <s v="COCA"/>
    <n v="11.67"/>
    <n v="60"/>
    <n v="5260359.9800020121"/>
    <n v="15"/>
    <n v="182444.81999900003"/>
    <n v="20"/>
    <n v="51525198.016707927"/>
    <n v="40"/>
    <n v="7823700.2019000305"/>
    <n v="5"/>
    <n v="15703144.272398992"/>
    <n v="20"/>
    <n v="19104156.713290039"/>
    <s v="FC"/>
    <n v="30"/>
    <n v="42440.945799999994"/>
    <n v="5"/>
    <s v="N/A"/>
    <n v="0"/>
    <m/>
    <x v="38"/>
    <x v="3"/>
    <n v="1"/>
    <m/>
    <s v="II"/>
    <n v="2"/>
  </r>
  <r>
    <x v="2"/>
    <x v="4"/>
    <m/>
    <m/>
    <n v="18273"/>
    <x v="324"/>
    <s v="COCA"/>
    <n v="6.11"/>
    <n v="30"/>
    <n v="2771654.6800030046"/>
    <n v="10"/>
    <n v="0"/>
    <n v="0"/>
    <n v="18200880.392499994"/>
    <n v="20"/>
    <n v="3189522.9456000049"/>
    <n v="3"/>
    <n v="13547594.631799996"/>
    <n v="20"/>
    <n v="4791006.8325000098"/>
    <s v=""/>
    <n v="0"/>
    <n v="4467074.1664000023"/>
    <n v="10"/>
    <s v="N/A"/>
    <n v="0"/>
    <m/>
    <x v="2"/>
    <x v="1"/>
    <n v="3"/>
    <m/>
    <s v="II"/>
    <n v="2"/>
  </r>
  <r>
    <x v="0"/>
    <x v="13"/>
    <m/>
    <m/>
    <n v="21290"/>
    <x v="325"/>
    <s v="COCA"/>
    <n v="6.48"/>
    <n v="30"/>
    <n v="3773063.5600029984"/>
    <n v="10"/>
    <n v="42543.160000000011"/>
    <n v="10"/>
    <n v="16738358.936200015"/>
    <n v="20"/>
    <n v="3400712.7182000047"/>
    <n v="4"/>
    <n v="5969360.7025999967"/>
    <n v="10"/>
    <n v="3477502.222600996"/>
    <s v=""/>
    <n v="0"/>
    <n v="1328211.900300001"/>
    <n v="5"/>
    <s v="N/A"/>
    <n v="0"/>
    <m/>
    <x v="59"/>
    <x v="1"/>
    <n v="3"/>
    <m/>
    <s v="III"/>
    <n v="3"/>
  </r>
  <r>
    <x v="2"/>
    <x v="10"/>
    <m/>
    <m/>
    <n v="41190"/>
    <x v="326"/>
    <s v="COCA"/>
    <n v="6.05"/>
    <n v="30"/>
    <n v="3000257.2400000021"/>
    <n v="10"/>
    <n v="34471.910000999997"/>
    <n v="10"/>
    <n v="15156463.590999983"/>
    <n v="20"/>
    <n v="4090323.0120000076"/>
    <n v="4"/>
    <n v="16521425.372499987"/>
    <n v="20"/>
    <n v="2594666.7272999971"/>
    <s v=""/>
    <n v="0"/>
    <n v="0"/>
    <n v="0"/>
    <s v="N/A"/>
    <n v="0"/>
    <m/>
    <x v="18"/>
    <x v="1"/>
    <n v="3"/>
    <m/>
    <s v="III"/>
    <n v="3"/>
  </r>
  <r>
    <x v="0"/>
    <x v="13"/>
    <m/>
    <m/>
    <n v="62250"/>
    <x v="327"/>
    <s v="COCA"/>
    <n v="5.45"/>
    <n v="15"/>
    <n v="2742153.6800029995"/>
    <n v="10"/>
    <n v="0"/>
    <n v="0"/>
    <n v="23565672.637400925"/>
    <n v="30"/>
    <n v="1527998.4661000001"/>
    <n v="2"/>
    <n v="4601300.8400999997"/>
    <n v="10"/>
    <n v="10686888.001300042"/>
    <s v="FC"/>
    <n v="20"/>
    <n v="0"/>
    <n v="0"/>
    <s v="N/A"/>
    <n v="0"/>
    <m/>
    <x v="11"/>
    <x v="1"/>
    <n v="3"/>
    <m/>
    <s v="I"/>
    <n v="1"/>
  </r>
  <r>
    <x v="2"/>
    <x v="19"/>
    <m/>
    <m/>
    <n v="51207"/>
    <x v="328"/>
    <s v="COCA"/>
    <n v="6.05"/>
    <n v="30"/>
    <n v="5029052.7200070051"/>
    <n v="15"/>
    <n v="25841.559999999994"/>
    <n v="5"/>
    <n v="25656959.200600956"/>
    <n v="30"/>
    <n v="3148277.2474000002"/>
    <n v="3"/>
    <n v="10005527.674699999"/>
    <n v="15"/>
    <n v="9740742.628697101"/>
    <s v="FC"/>
    <n v="10"/>
    <n v="5979171.0662009995"/>
    <n v="10"/>
    <s v="N/A"/>
    <n v="0"/>
    <m/>
    <x v="29"/>
    <x v="1"/>
    <n v="3"/>
    <m/>
    <s v="III"/>
    <n v="3"/>
  </r>
  <r>
    <x v="0"/>
    <x v="11"/>
    <m/>
    <m/>
    <n v="24096"/>
    <x v="329"/>
    <s v="COCA"/>
    <n v="5.46"/>
    <n v="15"/>
    <n v="3288484.6399990027"/>
    <n v="10"/>
    <n v="0"/>
    <n v="0"/>
    <n v="14066109.085198997"/>
    <n v="20"/>
    <n v="2092051.2423999992"/>
    <n v="3"/>
    <n v="7052448.1125000026"/>
    <n v="10"/>
    <n v="4330875.8347990056"/>
    <s v=""/>
    <n v="0"/>
    <n v="58937.803200000009"/>
    <n v="5"/>
    <s v="N/A"/>
    <n v="0"/>
    <m/>
    <x v="49"/>
    <x v="0"/>
    <n v="4"/>
    <m/>
    <s v="III"/>
    <n v="3"/>
  </r>
  <r>
    <x v="0"/>
    <x v="8"/>
    <m/>
    <m/>
    <n v="31233"/>
    <x v="330"/>
    <s v="COCA"/>
    <n v="5.96"/>
    <n v="30"/>
    <n v="3319016.8799980027"/>
    <n v="10"/>
    <n v="20569.020000000004"/>
    <n v="5"/>
    <n v="26373458.540791031"/>
    <n v="30"/>
    <n v="3501777.2989010047"/>
    <n v="4"/>
    <n v="14129611.202203017"/>
    <n v="20"/>
    <n v="6409187.9594999971"/>
    <s v=""/>
    <n v="0"/>
    <n v="0"/>
    <n v="0"/>
    <s v="N/A"/>
    <n v="0"/>
    <m/>
    <x v="95"/>
    <x v="1"/>
    <n v="3"/>
    <m/>
    <s v="II"/>
    <n v="2"/>
  </r>
  <r>
    <x v="2"/>
    <x v="19"/>
    <m/>
    <m/>
    <n v="51421"/>
    <x v="331"/>
    <s v="COCA"/>
    <n v="9.68"/>
    <n v="45"/>
    <n v="4243346.0800040057"/>
    <n v="15"/>
    <n v="29976.600000000002"/>
    <n v="10"/>
    <n v="27486336.323600993"/>
    <n v="30"/>
    <n v="2162401.6250999989"/>
    <n v="3"/>
    <n v="14371008.035699993"/>
    <n v="20"/>
    <n v="13458308.85360207"/>
    <s v="FC"/>
    <n v="20"/>
    <n v="6637619.9129989957"/>
    <n v="10"/>
    <s v="N/A"/>
    <n v="0"/>
    <m/>
    <x v="78"/>
    <x v="2"/>
    <n v="2"/>
    <m/>
    <s v="I"/>
    <n v="1"/>
  </r>
  <r>
    <x v="0"/>
    <x v="8"/>
    <m/>
    <m/>
    <n v="31307"/>
    <x v="332"/>
    <s v="COCA"/>
    <n v="6.39"/>
    <n v="30"/>
    <n v="3591129.9500040049"/>
    <n v="10"/>
    <n v="0"/>
    <n v="0"/>
    <n v="17036895.053198017"/>
    <n v="20"/>
    <n v="4110680.4767000093"/>
    <n v="4"/>
    <n v="10962441.855699994"/>
    <n v="15"/>
    <n v="12163439.487699026"/>
    <s v="FC"/>
    <n v="20"/>
    <n v="5899086.8287000014"/>
    <n v="10"/>
    <s v="N/A"/>
    <n v="0"/>
    <m/>
    <x v="26"/>
    <x v="1"/>
    <n v="3"/>
    <m/>
    <s v="I"/>
    <n v="1"/>
  </r>
  <r>
    <x v="0"/>
    <x v="13"/>
    <m/>
    <m/>
    <n v="64250"/>
    <x v="333"/>
    <s v="COCA"/>
    <n v="5.61"/>
    <n v="30"/>
    <n v="2448869.1300000008"/>
    <n v="5"/>
    <n v="51027.580000000016"/>
    <n v="15"/>
    <n v="16153205.47760101"/>
    <n v="20"/>
    <n v="1968478.8025999996"/>
    <n v="2"/>
    <n v="2685161.4437999995"/>
    <n v="5"/>
    <n v="5476915.7029010216"/>
    <s v=""/>
    <n v="0"/>
    <n v="2609763.7859"/>
    <n v="10"/>
    <s v="N/A"/>
    <n v="0"/>
    <m/>
    <x v="11"/>
    <x v="1"/>
    <n v="3"/>
    <m/>
    <s v="II"/>
    <n v="2"/>
  </r>
  <r>
    <x v="0"/>
    <x v="7"/>
    <m/>
    <m/>
    <n v="65150"/>
    <x v="334"/>
    <s v="COCA"/>
    <n v="5.18"/>
    <n v="15"/>
    <n v="363047.58999999985"/>
    <n v="5"/>
    <n v="0"/>
    <n v="0"/>
    <n v="16794496.769900013"/>
    <n v="20"/>
    <n v="621359.8504"/>
    <n v="2"/>
    <n v="682976.38869999989"/>
    <n v="5"/>
    <n v="10691666.822699998"/>
    <s v=""/>
    <n v="0"/>
    <n v="0"/>
    <n v="0"/>
    <s v="N/A"/>
    <n v="0"/>
    <m/>
    <x v="41"/>
    <x v="0"/>
    <n v="4"/>
    <m/>
    <s v="I"/>
    <n v="1"/>
  </r>
  <r>
    <x v="0"/>
    <x v="7"/>
    <m/>
    <m/>
    <n v="65200"/>
    <x v="335"/>
    <s v="COCA"/>
    <n v="5.18"/>
    <n v="15"/>
    <n v="1121268.3000009987"/>
    <n v="5"/>
    <n v="15443.21"/>
    <n v="5"/>
    <n v="39164791.529399931"/>
    <n v="40"/>
    <n v="1651472.4618000002"/>
    <n v="2"/>
    <n v="0"/>
    <n v="0"/>
    <n v="24510421.203999933"/>
    <s v=""/>
    <n v="0"/>
    <n v="0"/>
    <n v="0"/>
    <s v="N/A"/>
    <n v="0"/>
    <m/>
    <x v="37"/>
    <x v="0"/>
    <n v="4"/>
    <m/>
    <s v="II"/>
    <n v="2"/>
  </r>
  <r>
    <x v="0"/>
    <x v="7"/>
    <m/>
    <m/>
    <n v="33324"/>
    <x v="336"/>
    <s v="COCA"/>
    <n v="10"/>
    <n v="45"/>
    <n v="5255008.4299990097"/>
    <n v="15"/>
    <n v="27340.830000000009"/>
    <n v="10"/>
    <n v="61640278.534700558"/>
    <n v="50"/>
    <n v="4796541.8444000026"/>
    <n v="5"/>
    <n v="10981314.327599991"/>
    <n v="15"/>
    <n v="25280408.558197815"/>
    <s v="FC"/>
    <n v="30"/>
    <n v="9088668.8812999949"/>
    <n v="10"/>
    <s v="N/A"/>
    <n v="0"/>
    <m/>
    <x v="9"/>
    <x v="3"/>
    <n v="1"/>
    <m/>
    <s v="I"/>
    <n v="1"/>
  </r>
  <r>
    <x v="1"/>
    <x v="2"/>
    <m/>
    <m/>
    <n v="45265"/>
    <x v="337"/>
    <s v="COCA"/>
    <n v="13.4"/>
    <n v="60"/>
    <n v="8018044.4066420095"/>
    <n v="20"/>
    <n v="62104.34"/>
    <n v="15"/>
    <n v="49987142.350499824"/>
    <n v="40"/>
    <n v="4222098.5408000043"/>
    <n v="4"/>
    <n v="10104211.917699993"/>
    <n v="15"/>
    <n v="21990549.634801969"/>
    <s v="FC"/>
    <n v="30"/>
    <n v="1995609.5160999997"/>
    <n v="10"/>
    <s v="N/A"/>
    <n v="0"/>
    <m/>
    <x v="96"/>
    <x v="3"/>
    <n v="1"/>
    <m/>
    <s v="III"/>
    <n v="3"/>
  </r>
  <r>
    <x v="0"/>
    <x v="11"/>
    <m/>
    <m/>
    <n v="62750"/>
    <x v="338"/>
    <s v="COCA"/>
    <n v="6.17"/>
    <n v="30"/>
    <n v="2165927.1175849992"/>
    <n v="5"/>
    <n v="0"/>
    <n v="0"/>
    <n v="19124799.010662012"/>
    <n v="30"/>
    <n v="1334874.8284"/>
    <n v="2"/>
    <n v="8913728.4459999986"/>
    <n v="10"/>
    <n v="10467237.423757095"/>
    <s v="FC"/>
    <n v="20"/>
    <n v="42795.279699999999"/>
    <n v="5"/>
    <s v="N/A"/>
    <n v="0"/>
    <m/>
    <x v="43"/>
    <x v="1"/>
    <n v="3"/>
    <m/>
    <s v="III"/>
    <n v="3"/>
  </r>
  <r>
    <x v="0"/>
    <x v="11"/>
    <m/>
    <m/>
    <n v="22249"/>
    <x v="339"/>
    <s v="COCA"/>
    <n v="6.98"/>
    <n v="30"/>
    <n v="1171347.53"/>
    <n v="5"/>
    <n v="8829.52"/>
    <n v="5"/>
    <n v="25867187.823799938"/>
    <n v="30"/>
    <n v="1303566.9520999999"/>
    <n v="2"/>
    <n v="0"/>
    <n v="0"/>
    <n v="16394413.770499891"/>
    <s v=""/>
    <n v="0"/>
    <n v="0"/>
    <n v="0"/>
    <s v="N/A"/>
    <n v="0"/>
    <m/>
    <x v="0"/>
    <x v="0"/>
    <n v="4"/>
    <m/>
    <s v="III"/>
    <n v="3"/>
  </r>
  <r>
    <x v="0"/>
    <x v="11"/>
    <m/>
    <m/>
    <n v="22153"/>
    <x v="340"/>
    <s v="COCA"/>
    <n v="4.1900000000000004"/>
    <n v="15"/>
    <n v="2238951.5700000012"/>
    <n v="5"/>
    <n v="0"/>
    <n v="0"/>
    <n v="19705228.486401975"/>
    <n v="30"/>
    <n v="3339843.3805999998"/>
    <n v="4"/>
    <n v="2503.9369999999999"/>
    <n v="5"/>
    <n v="3901529.4282999942"/>
    <s v=""/>
    <n v="0"/>
    <n v="0"/>
    <n v="0"/>
    <s v="N/A"/>
    <n v="0"/>
    <m/>
    <x v="91"/>
    <x v="0"/>
    <n v="4"/>
    <m/>
    <s v="III"/>
    <n v="3"/>
  </r>
  <r>
    <x v="0"/>
    <x v="11"/>
    <m/>
    <m/>
    <n v="25236"/>
    <x v="341"/>
    <s v="COCA"/>
    <n v="3.36"/>
    <n v="15"/>
    <n v="1516720.1100009996"/>
    <n v="5"/>
    <n v="7821.6900000000005"/>
    <n v="5"/>
    <n v="7098956.6342020007"/>
    <n v="20"/>
    <n v="1270567.763"/>
    <n v="2"/>
    <n v="3343385.0774999997"/>
    <n v="10"/>
    <n v="488576.22090000013"/>
    <s v=""/>
    <n v="0"/>
    <n v="0"/>
    <n v="0"/>
    <s v="N/A"/>
    <n v="0"/>
    <m/>
    <x v="50"/>
    <x v="0"/>
    <n v="4"/>
    <m/>
    <s v="III"/>
    <n v="3"/>
  </r>
  <r>
    <x v="1"/>
    <x v="2"/>
    <m/>
    <m/>
    <n v="45169"/>
    <x v="342"/>
    <s v="COCA"/>
    <n v="3.16"/>
    <n v="15"/>
    <n v="1901229.6199999992"/>
    <n v="5"/>
    <n v="39816.939999999995"/>
    <n v="10"/>
    <n v="6804221.3832000028"/>
    <n v="20"/>
    <n v="3916467.8431000044"/>
    <n v="4"/>
    <n v="9586630.0218999982"/>
    <n v="15"/>
    <n v="0"/>
    <s v=""/>
    <n v="0"/>
    <n v="0"/>
    <n v="0"/>
    <s v="N/A"/>
    <n v="0"/>
    <m/>
    <x v="87"/>
    <x v="0"/>
    <n v="4"/>
    <m/>
    <s v="III"/>
    <n v="3"/>
  </r>
  <r>
    <x v="0"/>
    <x v="8"/>
    <m/>
    <m/>
    <n v="61450"/>
    <x v="343"/>
    <s v="COCA"/>
    <n v="3.16"/>
    <n v="15"/>
    <n v="1412491.7500010005"/>
    <n v="5"/>
    <n v="27662.079999999998"/>
    <n v="10"/>
    <n v="7791206.1354000214"/>
    <n v="20"/>
    <n v="1498876.4402999994"/>
    <n v="2"/>
    <n v="2325811.0497999988"/>
    <n v="5"/>
    <n v="3204200.8599999966"/>
    <s v=""/>
    <n v="0"/>
    <n v="0"/>
    <n v="0"/>
    <s v="N/A"/>
    <n v="0"/>
    <m/>
    <x v="50"/>
    <x v="0"/>
    <n v="4"/>
    <m/>
    <s v="II"/>
    <n v="2"/>
  </r>
  <r>
    <x v="2"/>
    <x v="10"/>
    <m/>
    <m/>
    <n v="41213"/>
    <x v="344"/>
    <s v="COCA"/>
    <n v="6.22"/>
    <n v="30"/>
    <n v="3332068.2300000023"/>
    <n v="10"/>
    <n v="9986.5000000000018"/>
    <n v="5"/>
    <n v="14258910.844704997"/>
    <n v="20"/>
    <n v="1973315.8080010007"/>
    <n v="2"/>
    <n v="2046545.6924999992"/>
    <n v="5"/>
    <n v="4667739.5414000098"/>
    <s v=""/>
    <n v="0"/>
    <n v="0"/>
    <n v="0"/>
    <s v="N/A"/>
    <n v="0"/>
    <m/>
    <x v="0"/>
    <x v="0"/>
    <n v="4"/>
    <m/>
    <s v="II"/>
    <n v="2"/>
  </r>
  <r>
    <x v="2"/>
    <x v="10"/>
    <m/>
    <m/>
    <n v="61550"/>
    <x v="345"/>
    <s v="COCA"/>
    <n v="5.81"/>
    <n v="30"/>
    <n v="1869925.4100010002"/>
    <n v="5"/>
    <n v="5246.75"/>
    <n v="5"/>
    <n v="11990377.807198005"/>
    <n v="20"/>
    <n v="1868704.7941000019"/>
    <n v="2"/>
    <n v="3734766.1860999996"/>
    <n v="10"/>
    <n v="3899294.3224999988"/>
    <s v=""/>
    <n v="0"/>
    <n v="9988629.9732999913"/>
    <n v="15"/>
    <s v="N/A"/>
    <n v="0"/>
    <m/>
    <x v="11"/>
    <x v="1"/>
    <n v="3"/>
    <m/>
    <s v="I"/>
    <n v="1"/>
  </r>
  <r>
    <x v="2"/>
    <x v="10"/>
    <m/>
    <m/>
    <n v="18500"/>
    <x v="346"/>
    <s v="COCA"/>
    <n v="13.28"/>
    <n v="60"/>
    <n v="2361078.9569059992"/>
    <n v="5"/>
    <n v="51909.929999999993"/>
    <n v="15"/>
    <n v="46299137.626279078"/>
    <n v="40"/>
    <n v="3203025.2221999997"/>
    <n v="3"/>
    <n v="2203.1496999999999"/>
    <n v="5"/>
    <n v="36358251.575275451"/>
    <s v="FC"/>
    <n v="40"/>
    <n v="0"/>
    <n v="0"/>
    <s v="N/A"/>
    <n v="0"/>
    <m/>
    <x v="66"/>
    <x v="3"/>
    <n v="1"/>
    <m/>
    <s v="I"/>
    <n v="1"/>
  </r>
  <r>
    <x v="2"/>
    <x v="10"/>
    <m/>
    <m/>
    <n v="18510"/>
    <x v="347"/>
    <s v="COCA"/>
    <n v="13.28"/>
    <n v="60"/>
    <n v="2833512.7499980005"/>
    <n v="10"/>
    <n v="48101.389999999992"/>
    <n v="10"/>
    <n v="69662827.514303327"/>
    <n v="50"/>
    <n v="3717894.519599"/>
    <n v="4"/>
    <n v="4563.7797"/>
    <n v="5"/>
    <n v="60131803.259496421"/>
    <s v="FC"/>
    <n v="40"/>
    <n v="0"/>
    <n v="0"/>
    <s v="N/A"/>
    <n v="0"/>
    <m/>
    <x v="70"/>
    <x v="3"/>
    <n v="1"/>
    <m/>
    <s v="III"/>
    <n v="3"/>
  </r>
  <r>
    <x v="1"/>
    <x v="2"/>
    <m/>
    <m/>
    <n v="17469"/>
    <x v="348"/>
    <s v="COCA"/>
    <n v="6.03"/>
    <n v="30"/>
    <n v="3693187.5200039977"/>
    <n v="10"/>
    <n v="0"/>
    <n v="0"/>
    <n v="25694896.263298977"/>
    <n v="30"/>
    <n v="3683174.8792000012"/>
    <n v="4"/>
    <n v="6079531.5610000016"/>
    <n v="10"/>
    <n v="5102662.3313090047"/>
    <s v=""/>
    <n v="0"/>
    <n v="11432708.264500948"/>
    <n v="15"/>
    <s v="N/A"/>
    <n v="0"/>
    <m/>
    <x v="95"/>
    <x v="1"/>
    <n v="3"/>
    <m/>
    <s v="II"/>
    <n v="2"/>
  </r>
  <r>
    <x v="1"/>
    <x v="2"/>
    <m/>
    <m/>
    <n v="12125"/>
    <x v="349"/>
    <s v="COCA"/>
    <n v="1.0900000000000001"/>
    <n v="15"/>
    <n v="883194.38000000012"/>
    <n v="5"/>
    <n v="0"/>
    <n v="0"/>
    <n v="5498233.7424979992"/>
    <n v="20"/>
    <n v="1115863.7943"/>
    <n v="2"/>
    <n v="0"/>
    <n v="0"/>
    <n v="0"/>
    <s v=""/>
    <n v="0"/>
    <n v="0"/>
    <n v="0"/>
    <s v="N/A"/>
    <n v="0"/>
    <m/>
    <x v="39"/>
    <x v="0"/>
    <n v="4"/>
    <m/>
    <s v="I"/>
    <n v="1"/>
  </r>
  <r>
    <x v="2"/>
    <x v="4"/>
    <m/>
    <m/>
    <n v="18133"/>
    <x v="350"/>
    <s v="COCA"/>
    <n v="6.05"/>
    <n v="30"/>
    <n v="3075761.350004002"/>
    <n v="10"/>
    <n v="0"/>
    <n v="0"/>
    <n v="34935751.873700999"/>
    <n v="40"/>
    <n v="5284137.1799010094"/>
    <n v="5"/>
    <n v="12117677.296100002"/>
    <n v="15"/>
    <n v="6163845.5455000019"/>
    <s v=""/>
    <n v="0"/>
    <n v="9972.446100000001"/>
    <n v="5"/>
    <s v="N/A"/>
    <n v="0"/>
    <m/>
    <x v="12"/>
    <x v="1"/>
    <n v="3"/>
    <m/>
    <s v="II"/>
    <n v="2"/>
  </r>
  <r>
    <x v="2"/>
    <x v="5"/>
    <m/>
    <m/>
    <n v="42171"/>
    <x v="351"/>
    <s v="COCA"/>
    <n v="6.05"/>
    <n v="30"/>
    <n v="5262148.9900000114"/>
    <n v="15"/>
    <n v="38928.880000000005"/>
    <n v="10"/>
    <n v="35811407.397198059"/>
    <n v="40"/>
    <n v="2690807.9432000006"/>
    <n v="3"/>
    <n v="3921868.5449000001"/>
    <n v="10"/>
    <n v="20522862.097002055"/>
    <s v="FC"/>
    <n v="30"/>
    <n v="0"/>
    <n v="0"/>
    <s v="N/A"/>
    <n v="0"/>
    <m/>
    <x v="22"/>
    <x v="2"/>
    <n v="2"/>
    <m/>
    <s v="II"/>
    <n v="2"/>
  </r>
  <r>
    <x v="2"/>
    <x v="5"/>
    <m/>
    <m/>
    <n v="43089"/>
    <x v="352"/>
    <s v="COCA"/>
    <n v="6.19"/>
    <n v="30"/>
    <n v="3405880.5899960059"/>
    <n v="10"/>
    <n v="0"/>
    <n v="0"/>
    <n v="22097922.002697974"/>
    <n v="30"/>
    <n v="3236841.8230000031"/>
    <n v="3"/>
    <n v="0"/>
    <n v="0"/>
    <n v="2255035.9920010008"/>
    <s v=""/>
    <n v="0"/>
    <n v="62966.937600000012"/>
    <n v="5"/>
    <s v="N/A"/>
    <n v="0"/>
    <m/>
    <x v="7"/>
    <x v="0"/>
    <n v="4"/>
    <m/>
    <s v="II"/>
    <n v="2"/>
  </r>
  <r>
    <x v="2"/>
    <x v="5"/>
    <m/>
    <m/>
    <n v="43078"/>
    <x v="353"/>
    <s v="COCA"/>
    <n v="9.68"/>
    <n v="45"/>
    <n v="5630567.8399960063"/>
    <n v="20"/>
    <n v="73447.560000000012"/>
    <n v="15"/>
    <n v="20840414.142799012"/>
    <n v="30"/>
    <n v="1830385.0726999999"/>
    <n v="2"/>
    <n v="2757465.3833999992"/>
    <n v="5"/>
    <n v="8504334.7922040727"/>
    <s v="FC"/>
    <n v="10"/>
    <n v="96340.17140000005"/>
    <n v="5"/>
    <s v="N/A"/>
    <n v="0"/>
    <m/>
    <x v="25"/>
    <x v="2"/>
    <n v="2"/>
    <m/>
    <s v="I"/>
    <n v="1"/>
  </r>
  <r>
    <x v="2"/>
    <x v="5"/>
    <m/>
    <m/>
    <n v="61950"/>
    <x v="354"/>
    <s v="COCA"/>
    <n v="3.92"/>
    <n v="15"/>
    <n v="1854645.4600009993"/>
    <n v="5"/>
    <n v="0"/>
    <n v="0"/>
    <n v="10389671.198002025"/>
    <n v="20"/>
    <n v="1078800.8086999999"/>
    <n v="2"/>
    <n v="2873240.1865999992"/>
    <n v="10"/>
    <n v="4187048.653599001"/>
    <s v=""/>
    <n v="0"/>
    <n v="1689433.0988999999"/>
    <n v="5"/>
    <s v="N/A"/>
    <n v="0"/>
    <m/>
    <x v="50"/>
    <x v="0"/>
    <n v="4"/>
    <m/>
    <s v="II"/>
    <n v="2"/>
  </r>
  <r>
    <x v="2"/>
    <x v="5"/>
    <m/>
    <m/>
    <n v="43108"/>
    <x v="355"/>
    <s v="COCA"/>
    <n v="6.19"/>
    <n v="30"/>
    <n v="4013480.6100010038"/>
    <n v="10"/>
    <n v="0"/>
    <n v="0"/>
    <n v="25572446.650601011"/>
    <n v="30"/>
    <n v="2103759.8888000008"/>
    <n v="3"/>
    <n v="2341866.1679999991"/>
    <n v="5"/>
    <n v="4812937.6723000091"/>
    <s v=""/>
    <n v="0"/>
    <n v="10207859.407299967"/>
    <n v="15"/>
    <s v="N/A"/>
    <n v="0"/>
    <m/>
    <x v="2"/>
    <x v="1"/>
    <n v="3"/>
    <m/>
    <s v="I"/>
    <n v="1"/>
  </r>
  <r>
    <x v="2"/>
    <x v="5"/>
    <m/>
    <m/>
    <n v="43093"/>
    <x v="356"/>
    <s v="COCA"/>
    <n v="6.05"/>
    <n v="30"/>
    <n v="3081053.5800050059"/>
    <n v="10"/>
    <n v="11116.360000000002"/>
    <n v="5"/>
    <n v="25412653.485702984"/>
    <n v="30"/>
    <n v="3600484.3337000003"/>
    <n v="4"/>
    <n v="6150449.698900003"/>
    <n v="10"/>
    <n v="5083388.4272000166"/>
    <s v="FC"/>
    <n v="10"/>
    <n v="11930831.770701017"/>
    <n v="15"/>
    <s v="N/A"/>
    <n v="0"/>
    <m/>
    <x v="62"/>
    <x v="1"/>
    <n v="3"/>
    <m/>
    <s v="III"/>
    <n v="3"/>
  </r>
  <r>
    <x v="2"/>
    <x v="5"/>
    <m/>
    <m/>
    <n v="62000"/>
    <x v="357"/>
    <s v="COCA"/>
    <n v="5.18"/>
    <n v="15"/>
    <n v="2239683.0899989973"/>
    <n v="5"/>
    <n v="40619.539999999994"/>
    <n v="10"/>
    <n v="17597422.2863"/>
    <n v="20"/>
    <n v="2430152.0160999992"/>
    <n v="3"/>
    <n v="2592707.1165999998"/>
    <n v="5"/>
    <n v="4662951.1100000069"/>
    <s v="FC"/>
    <n v="10"/>
    <n v="12011535.474100001"/>
    <n v="15"/>
    <s v="N/A"/>
    <n v="0"/>
    <m/>
    <x v="4"/>
    <x v="1"/>
    <n v="3"/>
    <m/>
    <s v="III"/>
    <n v="3"/>
  </r>
  <r>
    <x v="2"/>
    <x v="5"/>
    <m/>
    <m/>
    <n v="62050"/>
    <x v="358"/>
    <s v="COCA"/>
    <n v="4.0599999999999996"/>
    <n v="15"/>
    <n v="1737463.6499999987"/>
    <n v="5"/>
    <n v="0"/>
    <n v="0"/>
    <n v="11919540.374599019"/>
    <n v="20"/>
    <n v="987755.13950000005"/>
    <n v="2"/>
    <n v="3281512.6310999999"/>
    <n v="10"/>
    <n v="5552808.619100011"/>
    <s v=""/>
    <n v="0"/>
    <n v="3152716.5671000006"/>
    <n v="10"/>
    <s v="N/A"/>
    <n v="0"/>
    <m/>
    <x v="20"/>
    <x v="0"/>
    <n v="4"/>
    <m/>
    <s v="III"/>
    <n v="3"/>
  </r>
  <r>
    <x v="2"/>
    <x v="10"/>
    <m/>
    <m/>
    <n v="41393"/>
    <x v="359"/>
    <s v="COCA"/>
    <n v="6.89"/>
    <n v="30"/>
    <n v="4038408.2899970086"/>
    <n v="15"/>
    <n v="23150.720000000001"/>
    <n v="5"/>
    <n v="17608224.654298984"/>
    <n v="20"/>
    <n v="2066992.9942000012"/>
    <n v="2"/>
    <n v="4801985.0946000014"/>
    <n v="10"/>
    <n v="7711082.2296960633"/>
    <s v=""/>
    <n v="0"/>
    <n v="0"/>
    <n v="0"/>
    <s v="N/A"/>
    <n v="0"/>
    <m/>
    <x v="5"/>
    <x v="1"/>
    <n v="3"/>
    <m/>
    <s v="II"/>
    <n v="2"/>
  </r>
  <r>
    <x v="0"/>
    <x v="7"/>
    <m/>
    <m/>
    <n v="21271"/>
    <x v="360"/>
    <s v="COCA"/>
    <n v="10.18"/>
    <n v="45"/>
    <n v="7702475.9099990083"/>
    <n v="20"/>
    <n v="94634.89999999998"/>
    <n v="20"/>
    <n v="44058941.690806933"/>
    <n v="40"/>
    <n v="4438685.1766000036"/>
    <n v="4"/>
    <n v="12402805.645399993"/>
    <n v="15"/>
    <n v="9668612.6317990478"/>
    <s v="FC"/>
    <n v="10"/>
    <n v="1055818.9301"/>
    <n v="5"/>
    <s v="N/A"/>
    <n v="0"/>
    <m/>
    <x v="60"/>
    <x v="2"/>
    <n v="2"/>
    <m/>
    <s v="II"/>
    <n v="2"/>
  </r>
  <r>
    <x v="0"/>
    <x v="13"/>
    <m/>
    <m/>
    <n v="21202"/>
    <x v="361"/>
    <s v="COCA"/>
    <n v="8.2799999999999994"/>
    <n v="45"/>
    <n v="5025588.4500030046"/>
    <n v="15"/>
    <n v="0"/>
    <n v="0"/>
    <n v="23819630.884400018"/>
    <n v="30"/>
    <n v="1675001.6075999998"/>
    <n v="2"/>
    <n v="3907007.9172"/>
    <n v="10"/>
    <n v="11071282.283500085"/>
    <s v="FC"/>
    <n v="20"/>
    <n v="4902989.9426000044"/>
    <n v="10"/>
    <s v="N/A"/>
    <n v="0"/>
    <m/>
    <x v="25"/>
    <x v="2"/>
    <n v="2"/>
    <m/>
    <s v="III"/>
    <n v="3"/>
  </r>
  <r>
    <x v="0"/>
    <x v="13"/>
    <m/>
    <m/>
    <n v="21268"/>
    <x v="362"/>
    <s v="COCA"/>
    <n v="5.59"/>
    <n v="15"/>
    <n v="2467627.5200009998"/>
    <n v="5"/>
    <n v="0"/>
    <n v="0"/>
    <n v="16486524.61700101"/>
    <n v="20"/>
    <n v="1348694.5181000002"/>
    <n v="2"/>
    <n v="1933543.3364000004"/>
    <n v="5"/>
    <n v="4079040.5301000024"/>
    <s v=""/>
    <n v="0"/>
    <n v="5851415.1640999988"/>
    <n v="10"/>
    <s v="N/A"/>
    <n v="0"/>
    <m/>
    <x v="50"/>
    <x v="0"/>
    <n v="4"/>
    <m/>
    <s v="III"/>
    <n v="3"/>
  </r>
  <r>
    <x v="0"/>
    <x v="13"/>
    <m/>
    <m/>
    <n v="62200"/>
    <x v="363"/>
    <s v="COCA"/>
    <n v="6.62"/>
    <n v="30"/>
    <n v="5213607.0100040054"/>
    <n v="15"/>
    <n v="86193.290000000008"/>
    <n v="15"/>
    <n v="29443299.806104034"/>
    <n v="30"/>
    <n v="1498026.0082000003"/>
    <n v="2"/>
    <n v="802541.7415"/>
    <n v="5"/>
    <n v="14617976.79940108"/>
    <s v="FC"/>
    <n v="20"/>
    <n v="438110.23899999994"/>
    <n v="5"/>
    <s v="N/A"/>
    <n v="0"/>
    <m/>
    <x v="97"/>
    <x v="1"/>
    <n v="3"/>
    <m/>
    <s v="II"/>
    <n v="2"/>
  </r>
  <r>
    <x v="0"/>
    <x v="13"/>
    <m/>
    <m/>
    <n v="62150"/>
    <x v="364"/>
    <s v="COCA"/>
    <n v="6.16"/>
    <n v="30"/>
    <n v="5277400.0681650024"/>
    <n v="15"/>
    <n v="48683.69000000001"/>
    <n v="10"/>
    <n v="24480441.848363038"/>
    <n v="30"/>
    <n v="1646753.5763000005"/>
    <n v="2"/>
    <n v="2087840.9679999996"/>
    <n v="5"/>
    <n v="10252966.094507087"/>
    <s v="FC"/>
    <n v="20"/>
    <n v="3097422.1600989988"/>
    <n v="10"/>
    <s v="N/A"/>
    <n v="0"/>
    <m/>
    <x v="97"/>
    <x v="1"/>
    <n v="3"/>
    <m/>
    <s v="III"/>
    <n v="3"/>
  </r>
  <r>
    <x v="0"/>
    <x v="2"/>
    <m/>
    <m/>
    <n v="34242"/>
    <x v="365"/>
    <s v="COCA"/>
    <n v="11.41"/>
    <n v="60"/>
    <n v="5949160.029997007"/>
    <n v="20"/>
    <n v="118300.48000000001"/>
    <n v="20"/>
    <n v="27925826.621498004"/>
    <n v="30"/>
    <n v="3455382.7680000002"/>
    <n v="4"/>
    <n v="14675803.310900021"/>
    <n v="20"/>
    <n v="12710890.139003094"/>
    <s v="FC"/>
    <n v="20"/>
    <n v="4215650.5492010005"/>
    <n v="10"/>
    <s v="N/A"/>
    <n v="0"/>
    <m/>
    <x v="93"/>
    <x v="3"/>
    <n v="1"/>
    <m/>
    <s v="III"/>
    <n v="3"/>
  </r>
  <r>
    <x v="0"/>
    <x v="2"/>
    <m/>
    <m/>
    <n v="34210"/>
    <x v="366"/>
    <s v="COCA"/>
    <n v="10.72"/>
    <n v="45"/>
    <n v="1443379.5400020003"/>
    <n v="5"/>
    <n v="0"/>
    <n v="0"/>
    <n v="31486606.791100919"/>
    <n v="30"/>
    <n v="804540.16480000014"/>
    <n v="2"/>
    <n v="3540.9450000000002"/>
    <n v="5"/>
    <n v="21596995.48149975"/>
    <s v=""/>
    <n v="0"/>
    <n v="0"/>
    <n v="0"/>
    <s v="N/A"/>
    <n v="0"/>
    <m/>
    <x v="11"/>
    <x v="1"/>
    <n v="3"/>
    <m/>
    <s v="II"/>
    <n v="2"/>
  </r>
  <r>
    <x v="0"/>
    <x v="2"/>
    <m/>
    <m/>
    <n v="34211"/>
    <x v="367"/>
    <s v="COCA"/>
    <n v="10.72"/>
    <n v="45"/>
    <n v="1756639.9499999995"/>
    <n v="5"/>
    <n v="0"/>
    <n v="0"/>
    <n v="36657188.603098944"/>
    <n v="40"/>
    <n v="1333157.493"/>
    <n v="2"/>
    <n v="0"/>
    <n v="0"/>
    <n v="29005143.511997513"/>
    <s v=""/>
    <n v="0"/>
    <n v="0"/>
    <n v="0"/>
    <s v="N/A"/>
    <n v="0"/>
    <m/>
    <x v="6"/>
    <x v="1"/>
    <n v="3"/>
    <m/>
    <s v="II"/>
    <n v="2"/>
  </r>
  <r>
    <x v="0"/>
    <x v="2"/>
    <m/>
    <m/>
    <n v="27412"/>
    <x v="368"/>
    <s v="COCA"/>
    <n v="6.89"/>
    <n v="30"/>
    <n v="5402184.1100010127"/>
    <n v="15"/>
    <n v="0"/>
    <n v="0"/>
    <n v="22657358.552399058"/>
    <n v="30"/>
    <n v="2563005.5740999994"/>
    <n v="3"/>
    <n v="7088045.7410999946"/>
    <n v="10"/>
    <n v="10804201.653101021"/>
    <s v=""/>
    <n v="0"/>
    <n v="0"/>
    <n v="0"/>
    <s v="N/A"/>
    <n v="0"/>
    <m/>
    <x v="14"/>
    <x v="1"/>
    <n v="3"/>
    <m/>
    <s v="I"/>
    <n v="1"/>
  </r>
  <r>
    <x v="1"/>
    <x v="15"/>
    <m/>
    <m/>
    <n v="17480"/>
    <x v="369"/>
    <s v="COCA"/>
    <n v="6.15"/>
    <n v="30"/>
    <n v="3764938.7799980016"/>
    <n v="10"/>
    <n v="0"/>
    <n v="0"/>
    <n v="19920921.653101016"/>
    <n v="30"/>
    <n v="3697473.3221000023"/>
    <n v="4"/>
    <n v="13303537.940601991"/>
    <n v="20"/>
    <n v="2334666.5558999991"/>
    <s v=""/>
    <n v="0"/>
    <n v="12788.196100000003"/>
    <n v="5"/>
    <s v="N/A"/>
    <n v="0"/>
    <m/>
    <x v="95"/>
    <x v="1"/>
    <n v="3"/>
    <m/>
    <s v="II"/>
    <n v="2"/>
  </r>
  <r>
    <x v="2"/>
    <x v="10"/>
    <m/>
    <m/>
    <n v="42193"/>
    <x v="370"/>
    <s v="COCA"/>
    <n v="10.33"/>
    <n v="45"/>
    <n v="6434702.4600110119"/>
    <n v="20"/>
    <n v="34865.210000000006"/>
    <n v="10"/>
    <n v="34470792.902005009"/>
    <n v="40"/>
    <n v="3072594.5941000031"/>
    <n v="3"/>
    <n v="13421471.017799996"/>
    <n v="20"/>
    <n v="11930982.346201144"/>
    <s v="FC"/>
    <n v="20"/>
    <n v="26801.579600000001"/>
    <n v="5"/>
    <s v="N/A"/>
    <n v="0"/>
    <m/>
    <x v="98"/>
    <x v="2"/>
    <n v="2"/>
    <m/>
    <s v="II"/>
    <n v="2"/>
  </r>
  <r>
    <x v="0"/>
    <x v="11"/>
    <m/>
    <m/>
    <n v="24170"/>
    <x v="371"/>
    <s v="COCA"/>
    <n v="5.6"/>
    <n v="15"/>
    <n v="2912465.3299980015"/>
    <n v="10"/>
    <n v="0"/>
    <n v="0"/>
    <n v="14457019.178203009"/>
    <n v="20"/>
    <n v="2941850.4995000027"/>
    <n v="3"/>
    <n v="14045475.752699984"/>
    <n v="20"/>
    <n v="2911282.7527000071"/>
    <s v=""/>
    <n v="0"/>
    <n v="9830607.4174009804"/>
    <n v="15"/>
    <s v="N/A"/>
    <n v="0"/>
    <m/>
    <x v="4"/>
    <x v="1"/>
    <n v="3"/>
    <m/>
    <s v="II"/>
    <n v="2"/>
  </r>
  <r>
    <x v="0"/>
    <x v="8"/>
    <m/>
    <m/>
    <n v="61500"/>
    <x v="372"/>
    <s v="COCA"/>
    <n v="6.45"/>
    <n v="30"/>
    <n v="4307488.6599960122"/>
    <n v="15"/>
    <n v="30257.389999999996"/>
    <n v="10"/>
    <n v="20643732.787999019"/>
    <n v="30"/>
    <n v="3275533.2115999986"/>
    <n v="4"/>
    <n v="8687204.0379999969"/>
    <n v="10"/>
    <n v="9397477.6263020672"/>
    <s v="FC"/>
    <n v="10"/>
    <n v="0"/>
    <n v="0"/>
    <s v="N/A"/>
    <n v="0"/>
    <m/>
    <x v="26"/>
    <x v="1"/>
    <n v="3"/>
    <m/>
    <s v="I"/>
    <n v="1"/>
  </r>
  <r>
    <x v="2"/>
    <x v="19"/>
    <m/>
    <m/>
    <n v="51177"/>
    <x v="373"/>
    <s v="COCA"/>
    <n v="5.99"/>
    <n v="30"/>
    <n v="3175049.9200030025"/>
    <n v="10"/>
    <n v="0"/>
    <n v="0"/>
    <n v="20519118.746197961"/>
    <n v="30"/>
    <n v="2346586.6832000017"/>
    <n v="3"/>
    <n v="9251426.092199998"/>
    <n v="15"/>
    <n v="6877716.0584000219"/>
    <s v=""/>
    <n v="0"/>
    <n v="10494025.52800096"/>
    <n v="15"/>
    <s v="N/A"/>
    <n v="0"/>
    <m/>
    <x v="42"/>
    <x v="1"/>
    <n v="3"/>
    <m/>
    <s v="II"/>
    <n v="2"/>
  </r>
  <r>
    <x v="2"/>
    <x v="19"/>
    <m/>
    <m/>
    <n v="61900"/>
    <x v="374"/>
    <s v="COCA"/>
    <n v="6.86"/>
    <n v="30"/>
    <n v="4815809.2099990025"/>
    <n v="15"/>
    <n v="44672.24"/>
    <n v="10"/>
    <n v="35432243.316001922"/>
    <n v="40"/>
    <n v="3442178.8292"/>
    <n v="4"/>
    <n v="9372230.0297000017"/>
    <n v="15"/>
    <n v="15228627.11290005"/>
    <s v="FC"/>
    <n v="20"/>
    <n v="7334173.2646000003"/>
    <n v="10"/>
    <s v="N/A"/>
    <n v="0"/>
    <m/>
    <x v="55"/>
    <x v="2"/>
    <n v="2"/>
    <m/>
    <s v="II"/>
    <n v="2"/>
  </r>
  <r>
    <x v="1"/>
    <x v="14"/>
    <m/>
    <m/>
    <n v="17362"/>
    <x v="375"/>
    <s v="COCA"/>
    <n v="6.05"/>
    <n v="30"/>
    <n v="3724455.1999980034"/>
    <n v="10"/>
    <n v="33985.599999999999"/>
    <n v="10"/>
    <n v="22718422.15309995"/>
    <n v="30"/>
    <n v="3684952.8635000032"/>
    <n v="4"/>
    <n v="10378811.971300002"/>
    <n v="15"/>
    <n v="5889073.6346000275"/>
    <s v="FC"/>
    <n v="10"/>
    <n v="4305862.3589000031"/>
    <n v="10"/>
    <s v="N/A"/>
    <n v="0"/>
    <m/>
    <x v="10"/>
    <x v="1"/>
    <n v="3"/>
    <m/>
    <s v="I"/>
    <n v="1"/>
  </r>
  <r>
    <x v="1"/>
    <x v="14"/>
    <m/>
    <m/>
    <n v="17363"/>
    <x v="376"/>
    <s v="COCA"/>
    <n v="10.47"/>
    <n v="45"/>
    <n v="7355528.8799989978"/>
    <n v="20"/>
    <n v="63252.100000000006"/>
    <n v="15"/>
    <n v="62177805.940902278"/>
    <n v="50"/>
    <n v="4083230.0091000018"/>
    <n v="4"/>
    <n v="2261132.3098999993"/>
    <n v="5"/>
    <n v="31123052.605996724"/>
    <s v="FC"/>
    <n v="30"/>
    <n v="11754094.530399997"/>
    <n v="15"/>
    <s v="N/A"/>
    <n v="0"/>
    <m/>
    <x v="93"/>
    <x v="3"/>
    <n v="1"/>
    <m/>
    <s v="III"/>
    <n v="3"/>
  </r>
  <r>
    <x v="0"/>
    <x v="8"/>
    <m/>
    <m/>
    <n v="31211"/>
    <x v="377"/>
    <s v="COCA"/>
    <n v="6.56"/>
    <n v="30"/>
    <n v="5333901.2000020053"/>
    <n v="15"/>
    <n v="54450.710000999992"/>
    <n v="15"/>
    <n v="26572299.544701993"/>
    <n v="30"/>
    <n v="3680230.8373010019"/>
    <n v="4"/>
    <n v="24523416.044400051"/>
    <n v="20"/>
    <n v="10621369.489202052"/>
    <s v="FC"/>
    <n v="20"/>
    <n v="6555837.2922010059"/>
    <n v="10"/>
    <s v="N/A"/>
    <n v="0"/>
    <m/>
    <x v="55"/>
    <x v="2"/>
    <n v="2"/>
    <m/>
    <s v="II"/>
    <n v="2"/>
  </r>
  <r>
    <x v="2"/>
    <x v="19"/>
    <m/>
    <m/>
    <n v="51188"/>
    <x v="378"/>
    <s v="COCA"/>
    <n v="4.92"/>
    <n v="15"/>
    <n v="2764079.1800009999"/>
    <n v="10"/>
    <n v="0"/>
    <n v="0"/>
    <n v="5503192.1176020009"/>
    <n v="20"/>
    <n v="3365741.0905000069"/>
    <n v="4"/>
    <n v="14132482.051199989"/>
    <n v="20"/>
    <n v="1357162.3650000005"/>
    <s v=""/>
    <n v="0"/>
    <n v="0"/>
    <n v="0"/>
    <s v="N/A"/>
    <n v="0"/>
    <m/>
    <x v="87"/>
    <x v="0"/>
    <n v="4"/>
    <m/>
    <s v="I"/>
    <n v="1"/>
  </r>
  <r>
    <x v="2"/>
    <x v="12"/>
    <m/>
    <m/>
    <n v="44122"/>
    <x v="379"/>
    <s v="COCA"/>
    <n v="5.52"/>
    <n v="15"/>
    <n v="5069594.240004004"/>
    <n v="15"/>
    <n v="0"/>
    <n v="0"/>
    <n v="25258652.332898982"/>
    <n v="30"/>
    <n v="2458047.3180000023"/>
    <n v="3"/>
    <n v="6486734.7144999988"/>
    <n v="10"/>
    <n v="5114740.5814000014"/>
    <s v=""/>
    <n v="0"/>
    <n v="0"/>
    <n v="0"/>
    <s v="N/A"/>
    <n v="0"/>
    <m/>
    <x v="28"/>
    <x v="0"/>
    <n v="4"/>
    <m/>
    <s v="I"/>
    <n v="1"/>
  </r>
  <r>
    <x v="2"/>
    <x v="12"/>
    <m/>
    <m/>
    <n v="44403"/>
    <x v="380"/>
    <s v="COCA"/>
    <n v="11.72"/>
    <n v="60"/>
    <n v="4411848.7400080087"/>
    <n v="15"/>
    <n v="61656.229999999996"/>
    <n v="15"/>
    <n v="40731040.987099901"/>
    <n v="40"/>
    <n v="3715568.5637000008"/>
    <n v="4"/>
    <n v="4419468.5537999999"/>
    <n v="10"/>
    <n v="20954867.531205695"/>
    <s v=""/>
    <n v="0"/>
    <n v="3396141.8371000038"/>
    <n v="10"/>
    <s v="N/A"/>
    <n v="0"/>
    <m/>
    <x v="8"/>
    <x v="2"/>
    <n v="2"/>
    <m/>
    <s v="II"/>
    <n v="2"/>
  </r>
  <r>
    <x v="2"/>
    <x v="12"/>
    <m/>
    <m/>
    <n v="44111"/>
    <x v="381"/>
    <s v="COCA"/>
    <n v="5.18"/>
    <n v="15"/>
    <n v="1256729.4200019999"/>
    <n v="5"/>
    <n v="0"/>
    <n v="0"/>
    <n v="9627164.7106020078"/>
    <n v="20"/>
    <n v="1167324.4442000003"/>
    <n v="2"/>
    <n v="9442.52"/>
    <n v="5"/>
    <n v="1421163.9931999992"/>
    <s v=""/>
    <n v="0"/>
    <n v="0"/>
    <n v="0"/>
    <s v="N/A"/>
    <n v="0"/>
    <m/>
    <x v="41"/>
    <x v="0"/>
    <n v="4"/>
    <m/>
    <s v="I"/>
    <n v="1"/>
  </r>
  <r>
    <x v="2"/>
    <x v="12"/>
    <m/>
    <m/>
    <n v="44144"/>
    <x v="382"/>
    <s v="COCA"/>
    <n v="7.16"/>
    <n v="30"/>
    <n v="2405131.0399989975"/>
    <n v="5"/>
    <n v="0"/>
    <n v="0"/>
    <n v="18107949.663201001"/>
    <n v="20"/>
    <n v="2426276.4701000028"/>
    <n v="3"/>
    <n v="31868.505000000001"/>
    <n v="5"/>
    <n v="3671702.8836009875"/>
    <s v=""/>
    <n v="0"/>
    <n v="10814811.379999965"/>
    <n v="15"/>
    <s v="N/A"/>
    <n v="0"/>
    <m/>
    <x v="7"/>
    <x v="0"/>
    <n v="4"/>
    <m/>
    <s v="I"/>
    <n v="1"/>
  </r>
  <r>
    <x v="2"/>
    <x v="12"/>
    <m/>
    <m/>
    <n v="63050"/>
    <x v="383"/>
    <s v="COCA"/>
    <n v="5.35"/>
    <n v="15"/>
    <n v="2611232.8700059992"/>
    <n v="10"/>
    <n v="42119.150000000009"/>
    <n v="10"/>
    <n v="17495546.00240102"/>
    <n v="20"/>
    <n v="1751724.4447999997"/>
    <n v="2"/>
    <n v="2338637.8218999989"/>
    <n v="5"/>
    <n v="6554978.1370010255"/>
    <s v=""/>
    <n v="0"/>
    <n v="2435433.0821000002"/>
    <n v="10"/>
    <s v="N/A"/>
    <n v="0"/>
    <m/>
    <x v="0"/>
    <x v="0"/>
    <n v="4"/>
    <m/>
    <s v="I"/>
    <n v="1"/>
  </r>
  <r>
    <x v="0"/>
    <x v="11"/>
    <m/>
    <m/>
    <n v="64750"/>
    <x v="384"/>
    <s v="COCA"/>
    <n v="5.76"/>
    <n v="30"/>
    <n v="1939757.3899999997"/>
    <n v="5"/>
    <n v="0"/>
    <n v="0"/>
    <n v="21752274.026304986"/>
    <n v="30"/>
    <n v="1248622.0718999999"/>
    <n v="2"/>
    <n v="2360.63"/>
    <n v="5"/>
    <n v="8881528.5441010576"/>
    <s v="FC"/>
    <n v="10"/>
    <n v="1642834.6610999999"/>
    <n v="5"/>
    <s v="N/A"/>
    <n v="0"/>
    <m/>
    <x v="11"/>
    <x v="1"/>
    <n v="3"/>
    <m/>
    <s v="II"/>
    <n v="2"/>
  </r>
  <r>
    <x v="0"/>
    <x v="0"/>
    <m/>
    <m/>
    <n v="64700"/>
    <x v="385"/>
    <s v="COCA"/>
    <n v="6.22"/>
    <n v="30"/>
    <n v="4046714.2399990051"/>
    <n v="15"/>
    <n v="30445.050000000003"/>
    <n v="10"/>
    <n v="37889447.144204006"/>
    <n v="40"/>
    <n v="1845400.8211999997"/>
    <n v="2"/>
    <n v="2840555.1490999996"/>
    <n v="5"/>
    <n v="22678663.27859997"/>
    <s v="FC"/>
    <n v="30"/>
    <n v="1551811.0366999998"/>
    <n v="5"/>
    <s v="N/A"/>
    <n v="0"/>
    <m/>
    <x v="99"/>
    <x v="2"/>
    <n v="2"/>
    <m/>
    <s v="I"/>
    <n v="1"/>
  </r>
  <r>
    <x v="0"/>
    <x v="0"/>
    <m/>
    <m/>
    <n v="24211"/>
    <x v="386"/>
    <s v="COCA"/>
    <n v="6.22"/>
    <n v="30"/>
    <n v="2673321.9599949997"/>
    <n v="10"/>
    <n v="0"/>
    <n v="0"/>
    <n v="15837431.852000009"/>
    <n v="20"/>
    <n v="1437784.2904000003"/>
    <n v="2"/>
    <n v="0"/>
    <n v="0"/>
    <n v="2714042.2249000021"/>
    <s v=""/>
    <n v="0"/>
    <n v="7620121.515301995"/>
    <n v="10"/>
    <s v="N/A"/>
    <n v="0"/>
    <m/>
    <x v="0"/>
    <x v="0"/>
    <n v="4"/>
    <m/>
    <s v="II"/>
    <n v="2"/>
  </r>
  <r>
    <x v="0"/>
    <x v="3"/>
    <m/>
    <m/>
    <n v="24266"/>
    <x v="387"/>
    <s v="COCA"/>
    <n v="13.4"/>
    <n v="60"/>
    <n v="8735134.6000060178"/>
    <n v="20"/>
    <n v="81242.200000000041"/>
    <n v="15"/>
    <n v="60719319.632401384"/>
    <n v="50"/>
    <n v="3128407.1566000008"/>
    <n v="3"/>
    <n v="6917611.0979000023"/>
    <n v="10"/>
    <n v="34930959.349306755"/>
    <s v="FC"/>
    <n v="30"/>
    <n v="0"/>
    <n v="0"/>
    <s v="N/A"/>
    <n v="0"/>
    <m/>
    <x v="100"/>
    <x v="3"/>
    <n v="1"/>
    <m/>
    <s v="I"/>
    <n v="1"/>
  </r>
  <r>
    <x v="0"/>
    <x v="7"/>
    <m/>
    <m/>
    <n v="33187"/>
    <x v="388"/>
    <s v="COCA"/>
    <n v="4.79"/>
    <n v="15"/>
    <n v="2651143.4200020032"/>
    <n v="10"/>
    <n v="0"/>
    <n v="0"/>
    <n v="12627900.537501015"/>
    <n v="20"/>
    <n v="4383704.0821010061"/>
    <n v="4"/>
    <n v="11603584.430598997"/>
    <n v="15"/>
    <n v="1479531.4535000005"/>
    <s v=""/>
    <n v="0"/>
    <n v="0"/>
    <n v="0"/>
    <s v="N/A"/>
    <n v="0"/>
    <m/>
    <x v="101"/>
    <x v="0"/>
    <n v="4"/>
    <m/>
    <s v="II"/>
    <n v="2"/>
  </r>
  <r>
    <x v="0"/>
    <x v="13"/>
    <m/>
    <m/>
    <n v="34157"/>
    <x v="389"/>
    <s v="COCA"/>
    <n v="5.52"/>
    <n v="15"/>
    <n v="4037302.9900020012"/>
    <n v="15"/>
    <n v="37248.649999999994"/>
    <n v="10"/>
    <n v="21929744.789498053"/>
    <n v="30"/>
    <n v="1913470.9306000012"/>
    <n v="2"/>
    <n v="9647897.7457999922"/>
    <n v="15"/>
    <n v="11285883.999901062"/>
    <s v="FC"/>
    <n v="20"/>
    <n v="5492683.6532000005"/>
    <n v="10"/>
    <s v="N/A"/>
    <n v="0"/>
    <m/>
    <x v="44"/>
    <x v="1"/>
    <n v="3"/>
    <m/>
    <s v="II"/>
    <n v="2"/>
  </r>
  <r>
    <x v="0"/>
    <x v="3"/>
    <m/>
    <m/>
    <n v="25247"/>
    <x v="390"/>
    <s v="COCA"/>
    <n v="6.65"/>
    <n v="30"/>
    <n v="3310983.8400020027"/>
    <n v="10"/>
    <n v="0"/>
    <n v="0"/>
    <n v="49090556.608501822"/>
    <n v="40"/>
    <n v="2321926.0672000009"/>
    <n v="3"/>
    <n v="9243647.3844000064"/>
    <n v="15"/>
    <n v="16271329.171600031"/>
    <s v=""/>
    <n v="0"/>
    <n v="13372635.14350096"/>
    <n v="15"/>
    <s v="N/A"/>
    <n v="0"/>
    <m/>
    <x v="34"/>
    <x v="1"/>
    <n v="3"/>
    <m/>
    <s v="II"/>
    <n v="2"/>
  </r>
  <r>
    <x v="0"/>
    <x v="3"/>
    <m/>
    <m/>
    <n v="25546"/>
    <x v="391"/>
    <s v="COCA"/>
    <n v="7.51"/>
    <n v="45"/>
    <n v="4870540.7900050068"/>
    <n v="15"/>
    <n v="30649.22"/>
    <n v="10"/>
    <n v="37423218.295501009"/>
    <n v="40"/>
    <n v="3847189.9021000038"/>
    <n v="4"/>
    <n v="25029504.315699946"/>
    <n v="20"/>
    <n v="8939698.5699999891"/>
    <s v=""/>
    <n v="0"/>
    <n v="5530968.5796000026"/>
    <n v="10"/>
    <s v="N/A"/>
    <n v="0"/>
    <m/>
    <x v="55"/>
    <x v="2"/>
    <n v="2"/>
    <m/>
    <s v="II"/>
    <n v="2"/>
  </r>
  <r>
    <x v="0"/>
    <x v="0"/>
    <m/>
    <m/>
    <n v="23123"/>
    <x v="392"/>
    <s v="COCA"/>
    <n v="5.18"/>
    <n v="15"/>
    <n v="2807400.0599980024"/>
    <n v="10"/>
    <n v="11405.81"/>
    <n v="5"/>
    <n v="26429244.608598959"/>
    <n v="30"/>
    <n v="2185651.2275"/>
    <n v="3"/>
    <n v="6934083.5411000028"/>
    <n v="10"/>
    <n v="3353350.5232999972"/>
    <s v=""/>
    <n v="0"/>
    <n v="15004513.099899895"/>
    <n v="20"/>
    <s v="N/A"/>
    <n v="0"/>
    <m/>
    <x v="2"/>
    <x v="1"/>
    <n v="3"/>
    <m/>
    <s v="II"/>
    <n v="2"/>
  </r>
  <r>
    <x v="0"/>
    <x v="0"/>
    <m/>
    <m/>
    <n v="23241"/>
    <x v="393"/>
    <s v="COCA"/>
    <n v="10.17"/>
    <n v="45"/>
    <n v="5231950.9400020065"/>
    <n v="15"/>
    <n v="14652.220000000001"/>
    <n v="5"/>
    <n v="23881042.914098993"/>
    <n v="30"/>
    <n v="2240970.9070999995"/>
    <n v="3"/>
    <n v="8312460.7254999978"/>
    <n v="10"/>
    <n v="3476547.384300008"/>
    <s v=""/>
    <n v="0"/>
    <n v="9740092.4746009856"/>
    <n v="15"/>
    <s v="N/A"/>
    <n v="0"/>
    <m/>
    <x v="31"/>
    <x v="1"/>
    <n v="3"/>
    <m/>
    <s v="I"/>
    <n v="1"/>
  </r>
  <r>
    <x v="0"/>
    <x v="0"/>
    <m/>
    <m/>
    <n v="23145"/>
    <x v="394"/>
    <s v="COCA"/>
    <n v="4.95"/>
    <n v="15"/>
    <n v="3663304.9899960067"/>
    <n v="10"/>
    <n v="0"/>
    <n v="0"/>
    <n v="27319655.050199941"/>
    <n v="30"/>
    <n v="5348148.1188000012"/>
    <n v="5"/>
    <n v="51541.733500000017"/>
    <n v="5"/>
    <n v="3883734.9289030051"/>
    <s v=""/>
    <n v="0"/>
    <n v="73700.811499999996"/>
    <n v="5"/>
    <s v="N/A"/>
    <n v="0"/>
    <m/>
    <x v="102"/>
    <x v="0"/>
    <n v="4"/>
    <m/>
    <m/>
    <m/>
  </r>
  <r>
    <x v="2"/>
    <x v="6"/>
    <m/>
    <m/>
    <n v="53246"/>
    <x v="395"/>
    <s v="COCA"/>
    <n v="7.94"/>
    <n v="45"/>
    <n v="5838921.9600050095"/>
    <n v="20"/>
    <n v="31644.810000000005"/>
    <n v="10"/>
    <n v="36914258.339703046"/>
    <n v="40"/>
    <n v="3727533.1716000033"/>
    <n v="4"/>
    <n v="6799391.4186999956"/>
    <n v="10"/>
    <n v="12022098.605201002"/>
    <s v=""/>
    <n v="0"/>
    <n v="0"/>
    <n v="0"/>
    <s v="N/A"/>
    <n v="0"/>
    <m/>
    <x v="103"/>
    <x v="2"/>
    <n v="2"/>
    <m/>
    <m/>
    <m/>
  </r>
  <r>
    <x v="2"/>
    <x v="12"/>
    <m/>
    <m/>
    <n v="44443"/>
    <x v="396"/>
    <s v="COCA"/>
    <n v="7.05"/>
    <n v="30"/>
    <n v="3804417.5028109988"/>
    <n v="10"/>
    <n v="49721.95"/>
    <n v="10"/>
    <n v="25009305.565598961"/>
    <n v="30"/>
    <n v="2968791.4079999998"/>
    <n v="3"/>
    <n v="10896839.491999999"/>
    <n v="15"/>
    <n v="8692318.2876000199"/>
    <s v="FC"/>
    <n v="10"/>
    <n v="3207677.2720000003"/>
    <n v="10"/>
    <s v="N/A"/>
    <n v="0"/>
    <m/>
    <x v="29"/>
    <x v="1"/>
    <n v="3"/>
    <m/>
    <m/>
    <m/>
  </r>
  <r>
    <x v="1"/>
    <x v="10"/>
    <m/>
    <m/>
    <n v="45191"/>
    <x v="397"/>
    <s v="COCA"/>
    <n v="6.56"/>
    <n v="30"/>
    <n v="3446153.7800020026"/>
    <n v="10"/>
    <n v="38107.68"/>
    <n v="10"/>
    <n v="24350746.060001984"/>
    <n v="30"/>
    <n v="4637103.2838000041"/>
    <n v="5"/>
    <n v="11300678.872499997"/>
    <n v="15"/>
    <n v="5130756.8376010116"/>
    <s v=""/>
    <n v="0"/>
    <n v="26081.896400000001"/>
    <n v="5"/>
    <s v="N/A"/>
    <n v="0"/>
    <m/>
    <x v="12"/>
    <x v="1"/>
    <n v="3"/>
    <m/>
    <m/>
    <m/>
  </r>
  <r>
    <x v="2"/>
    <x v="6"/>
    <m/>
    <m/>
    <n v="56200"/>
    <x v="398"/>
    <s v="COCA"/>
    <n v="3.3"/>
    <n v="15"/>
    <n v="2107608.6300100014"/>
    <n v="5"/>
    <n v="0"/>
    <n v="0"/>
    <n v="7744251.7021989962"/>
    <n v="20"/>
    <n v="3558885.9630990052"/>
    <n v="4"/>
    <n v="11673058.400199998"/>
    <n v="15"/>
    <n v="592661.46539800044"/>
    <s v=""/>
    <n v="0"/>
    <n v="0"/>
    <n v="0"/>
    <s v="N/A"/>
    <n v="0"/>
    <m/>
    <x v="91"/>
    <x v="0"/>
    <n v="4"/>
    <m/>
    <m/>
    <m/>
  </r>
  <r>
    <x v="2"/>
    <x v="19"/>
    <m/>
    <m/>
    <n v="51092"/>
    <x v="399"/>
    <s v="COCA"/>
    <n v="12"/>
    <n v="60"/>
    <n v="6765433.7999990201"/>
    <n v="20"/>
    <n v="41155.49"/>
    <n v="10"/>
    <n v="51266070.480906084"/>
    <n v="40"/>
    <n v="3980414.2481000018"/>
    <n v="4"/>
    <n v="5942397.7035999987"/>
    <n v="10"/>
    <n v="21845919.347699814"/>
    <s v="FC"/>
    <n v="30"/>
    <n v="11380743.720899956"/>
    <n v="15"/>
    <s v="N/A"/>
    <n v="0"/>
    <m/>
    <x v="82"/>
    <x v="3"/>
    <n v="1"/>
    <m/>
    <m/>
    <m/>
  </r>
  <r>
    <x v="2"/>
    <x v="19"/>
    <m/>
    <m/>
    <n v="51199"/>
    <x v="400"/>
    <s v="COCA"/>
    <n v="6.4"/>
    <n v="30"/>
    <n v="2611156.9799980023"/>
    <n v="10"/>
    <n v="0"/>
    <n v="0"/>
    <n v="23107836.151900031"/>
    <n v="30"/>
    <n v="2404273.2966000019"/>
    <n v="3"/>
    <n v="8670033.9518000018"/>
    <n v="10"/>
    <n v="4428914.6940000039"/>
    <s v=""/>
    <n v="0"/>
    <n v="2019274.0602999995"/>
    <n v="10"/>
    <s v="N/A"/>
    <n v="0"/>
    <m/>
    <x v="2"/>
    <x v="1"/>
    <n v="3"/>
    <m/>
    <m/>
    <m/>
  </r>
  <r>
    <x v="0"/>
    <x v="2"/>
    <m/>
    <m/>
    <n v="34179"/>
    <x v="401"/>
    <s v="COCA"/>
    <n v="3"/>
    <n v="15"/>
    <n v="2344202.4499980016"/>
    <n v="5"/>
    <n v="0"/>
    <n v="0"/>
    <n v="3589286.755400002"/>
    <n v="20"/>
    <n v="3109826.1049000048"/>
    <n v="3"/>
    <n v="10999246.689800033"/>
    <n v="15"/>
    <n v="0"/>
    <s v=""/>
    <n v="0"/>
    <n v="0"/>
    <n v="0"/>
    <s v="N/A"/>
    <n v="0"/>
    <m/>
    <x v="52"/>
    <x v="0"/>
    <n v="4"/>
    <m/>
    <m/>
    <m/>
  </r>
  <r>
    <x v="0"/>
    <x v="2"/>
    <m/>
    <m/>
    <n v="64300"/>
    <x v="402"/>
    <s v="COCA"/>
    <n v="4.5599999999999996"/>
    <n v="15"/>
    <n v="2018519.5100010002"/>
    <n v="5"/>
    <n v="0"/>
    <n v="0"/>
    <n v="12023472.91939701"/>
    <n v="20"/>
    <n v="2361470.9260019991"/>
    <n v="3"/>
    <n v="4007840.2043979997"/>
    <n v="10"/>
    <n v="5411110.0422990136"/>
    <s v=""/>
    <n v="0"/>
    <n v="21023.629000000001"/>
    <n v="5"/>
    <s v="N/A"/>
    <n v="0"/>
    <m/>
    <x v="52"/>
    <x v="0"/>
    <n v="4"/>
    <m/>
    <m/>
    <m/>
  </r>
  <r>
    <x v="1"/>
    <x v="15"/>
    <m/>
    <m/>
    <n v="18195"/>
    <x v="403"/>
    <s v="COCA"/>
    <n v="10.72"/>
    <n v="45"/>
    <n v="2505812.7600009996"/>
    <n v="5"/>
    <n v="11428.979999999998"/>
    <n v="5"/>
    <n v="43787823.261005044"/>
    <n v="40"/>
    <n v="2207562.23"/>
    <n v="3"/>
    <n v="191555.12009999997"/>
    <n v="5"/>
    <n v="29806891.816601489"/>
    <s v="FC"/>
    <n v="30"/>
    <n v="0"/>
    <n v="0"/>
    <s v="N/A"/>
    <n v="0"/>
    <m/>
    <x v="36"/>
    <x v="2"/>
    <n v="2"/>
    <m/>
    <m/>
    <m/>
  </r>
  <r>
    <x v="1"/>
    <x v="15"/>
    <m/>
    <m/>
    <n v="63400"/>
    <x v="404"/>
    <s v="COCA"/>
    <n v="6.21"/>
    <n v="30"/>
    <n v="4199603.0699990047"/>
    <n v="15"/>
    <n v="0"/>
    <n v="0"/>
    <n v="35053753.71279905"/>
    <n v="40"/>
    <n v="2236958.3073999998"/>
    <n v="3"/>
    <n v="6019796.1291000014"/>
    <n v="10"/>
    <n v="10506683.846800111"/>
    <s v="FC"/>
    <n v="20"/>
    <n v="9313461.6179999821"/>
    <n v="10"/>
    <s v="N/A"/>
    <n v="0"/>
    <m/>
    <x v="33"/>
    <x v="2"/>
    <n v="2"/>
    <m/>
    <m/>
    <m/>
  </r>
  <r>
    <x v="2"/>
    <x v="12"/>
    <m/>
    <m/>
    <n v="44476"/>
    <x v="405"/>
    <s v="COCA"/>
    <n v="5.39"/>
    <n v="15"/>
    <n v="3909024.669997009"/>
    <n v="10"/>
    <n v="0"/>
    <n v="0"/>
    <n v="18652065.013000991"/>
    <n v="30"/>
    <n v="4939093.8887000121"/>
    <n v="5"/>
    <n v="16991981.305400025"/>
    <n v="20"/>
    <n v="4309002.2788999975"/>
    <s v=""/>
    <n v="0"/>
    <n v="0"/>
    <n v="0"/>
    <s v="N/A"/>
    <n v="0"/>
    <m/>
    <x v="80"/>
    <x v="1"/>
    <n v="3"/>
    <m/>
    <m/>
    <m/>
  </r>
  <r>
    <x v="2"/>
    <x v="10"/>
    <m/>
    <m/>
    <n v="44336"/>
    <x v="406"/>
    <s v="COCA"/>
    <n v="3.25"/>
    <n v="15"/>
    <n v="1809207.8800010015"/>
    <n v="5"/>
    <n v="0"/>
    <n v="0"/>
    <n v="10145506.823002016"/>
    <n v="20"/>
    <n v="2990540.2495000036"/>
    <n v="3"/>
    <n v="12213376.632000033"/>
    <n v="15"/>
    <n v="1783844.1176999984"/>
    <s v=""/>
    <n v="0"/>
    <n v="0"/>
    <n v="0"/>
    <s v="N/A"/>
    <n v="0"/>
    <m/>
    <x v="52"/>
    <x v="0"/>
    <n v="4"/>
    <m/>
    <m/>
    <m/>
  </r>
  <r>
    <x v="2"/>
    <x v="6"/>
    <m/>
    <m/>
    <n v="56163"/>
    <x v="407"/>
    <s v="COCA"/>
    <n v="5.59"/>
    <n v="15"/>
    <n v="3395366.3000010047"/>
    <n v="10"/>
    <n v="0"/>
    <n v="0"/>
    <n v="12488317.559500029"/>
    <n v="20"/>
    <n v="3326333.9988000053"/>
    <n v="4"/>
    <n v="6766518.186900001"/>
    <n v="10"/>
    <n v="1413070.0592000003"/>
    <s v=""/>
    <n v="0"/>
    <n v="0"/>
    <n v="0"/>
    <s v="N/A"/>
    <n v="0"/>
    <m/>
    <x v="91"/>
    <x v="0"/>
    <n v="4"/>
    <m/>
    <m/>
    <m/>
  </r>
  <r>
    <x v="1"/>
    <x v="4"/>
    <m/>
    <m/>
    <n v="18303"/>
    <x v="408"/>
    <s v="COCA"/>
    <n v="7.95"/>
    <n v="45"/>
    <n v="5149869.7900010049"/>
    <n v="15"/>
    <n v="0"/>
    <n v="0"/>
    <n v="37751172.325798012"/>
    <n v="40"/>
    <n v="4666409.5817000028"/>
    <n v="5"/>
    <n v="14234697.805499986"/>
    <n v="20"/>
    <n v="15988814.17179996"/>
    <s v="FC"/>
    <n v="20"/>
    <n v="20112697.5200078"/>
    <n v="20"/>
    <s v="N/A"/>
    <n v="0"/>
    <m/>
    <x v="72"/>
    <x v="3"/>
    <n v="1"/>
    <m/>
    <m/>
    <m/>
  </r>
  <r>
    <x v="1"/>
    <x v="4"/>
    <m/>
    <m/>
    <n v="17222"/>
    <x v="409"/>
    <s v="COCA"/>
    <n v="6.91"/>
    <n v="30"/>
    <n v="3699745.1799980015"/>
    <n v="10"/>
    <n v="72713.570000000007"/>
    <n v="15"/>
    <n v="25445745.540699001"/>
    <n v="30"/>
    <n v="3489018.1745000016"/>
    <n v="4"/>
    <n v="9815486.7224999964"/>
    <n v="15"/>
    <n v="8425536.4359000362"/>
    <s v="FC"/>
    <n v="10"/>
    <n v="9601226.3349999562"/>
    <n v="10"/>
    <s v="N/A"/>
    <n v="0"/>
    <m/>
    <x v="17"/>
    <x v="2"/>
    <n v="2"/>
    <m/>
    <m/>
    <m/>
  </r>
  <r>
    <x v="0"/>
    <x v="8"/>
    <m/>
    <m/>
    <n v="31200"/>
    <x v="410"/>
    <s v="COCA"/>
    <n v="3.02"/>
    <n v="15"/>
    <n v="2043852.8799999994"/>
    <n v="5"/>
    <n v="0"/>
    <n v="0"/>
    <n v="3791726.5580999977"/>
    <n v="20"/>
    <n v="3859073.4055000092"/>
    <n v="4"/>
    <n v="4768761.4720999999"/>
    <n v="10"/>
    <n v="0"/>
    <s v=""/>
    <n v="0"/>
    <n v="0"/>
    <n v="0"/>
    <s v="N/A"/>
    <n v="0"/>
    <m/>
    <x v="76"/>
    <x v="0"/>
    <n v="4"/>
    <m/>
    <m/>
    <m/>
  </r>
  <r>
    <x v="2"/>
    <x v="6"/>
    <m/>
    <m/>
    <n v="53202"/>
    <x v="411"/>
    <s v="COCA"/>
    <n v="2.76"/>
    <n v="15"/>
    <n v="1693201.3999980011"/>
    <n v="5"/>
    <n v="0"/>
    <n v="0"/>
    <n v="7108757.6298999982"/>
    <n v="20"/>
    <n v="1525144.9347000003"/>
    <n v="2"/>
    <n v="3055008.6922999993"/>
    <n v="10"/>
    <n v="248535.51090000011"/>
    <s v=""/>
    <n v="0"/>
    <n v="0"/>
    <n v="0"/>
    <s v="N/A"/>
    <n v="0"/>
    <m/>
    <x v="23"/>
    <x v="0"/>
    <n v="4"/>
    <m/>
    <m/>
    <m/>
  </r>
  <r>
    <x v="0"/>
    <x v="13"/>
    <m/>
    <m/>
    <n v="25280"/>
    <x v="412"/>
    <s v="COCA"/>
    <n v="3.19"/>
    <n v="15"/>
    <n v="2153404.2600000026"/>
    <n v="5"/>
    <n v="0"/>
    <n v="0"/>
    <n v="9979859.7272000127"/>
    <n v="20"/>
    <n v="1577818.1609000002"/>
    <n v="2"/>
    <n v="8842885.9651000071"/>
    <n v="10"/>
    <n v="2945993.4463980026"/>
    <s v=""/>
    <n v="0"/>
    <n v="0"/>
    <n v="0"/>
    <s v="N/A"/>
    <n v="0"/>
    <m/>
    <x v="23"/>
    <x v="0"/>
    <n v="4"/>
    <m/>
    <m/>
    <m/>
  </r>
  <r>
    <x v="0"/>
    <x v="13"/>
    <m/>
    <m/>
    <n v="25376"/>
    <x v="413"/>
    <s v="COCA"/>
    <n v="5.85"/>
    <n v="30"/>
    <n v="2120494.4300010004"/>
    <n v="5"/>
    <n v="4003.78"/>
    <n v="5"/>
    <n v="16678083.536998011"/>
    <n v="20"/>
    <n v="1602627.6026000003"/>
    <n v="2"/>
    <n v="3895081.1463999995"/>
    <n v="10"/>
    <n v="7366751.6840000525"/>
    <s v=""/>
    <n v="0"/>
    <n v="0"/>
    <n v="0"/>
    <s v="N/A"/>
    <n v="0"/>
    <m/>
    <x v="0"/>
    <x v="0"/>
    <n v="4"/>
    <m/>
    <m/>
    <m/>
  </r>
  <r>
    <x v="0"/>
    <x v="13"/>
    <m/>
    <m/>
    <n v="64850"/>
    <x v="414"/>
    <s v="COCA"/>
    <n v="8.14"/>
    <n v="45"/>
    <n v="3445012.0000030035"/>
    <n v="10"/>
    <n v="11196.47"/>
    <n v="5"/>
    <n v="32776784.146500971"/>
    <n v="30"/>
    <n v="2332984.3223000015"/>
    <n v="3"/>
    <n v="52956.694700000007"/>
    <n v="5"/>
    <n v="18395980.744900092"/>
    <s v="FC"/>
    <n v="30"/>
    <n v="12277807.391500946"/>
    <n v="15"/>
    <s v="N/A"/>
    <n v="0"/>
    <m/>
    <x v="32"/>
    <x v="2"/>
    <n v="2"/>
    <m/>
    <m/>
    <m/>
  </r>
  <r>
    <x v="2"/>
    <x v="6"/>
    <m/>
    <m/>
    <n v="56159"/>
    <x v="415"/>
    <s v="COCA"/>
    <n v="7.41"/>
    <n v="45"/>
    <n v="4649737.3300030045"/>
    <n v="15"/>
    <n v="37915.39"/>
    <n v="10"/>
    <n v="37500100.307801992"/>
    <n v="40"/>
    <n v="3066845.7837000033"/>
    <n v="3"/>
    <n v="10739549.735699991"/>
    <n v="15"/>
    <n v="8731806.1966000199"/>
    <s v=""/>
    <n v="0"/>
    <n v="0"/>
    <n v="0"/>
    <s v="N/A"/>
    <n v="0"/>
    <m/>
    <x v="33"/>
    <x v="2"/>
    <n v="2"/>
    <m/>
    <m/>
    <m/>
  </r>
  <r>
    <x v="0"/>
    <x v="11"/>
    <m/>
    <m/>
    <n v="24159"/>
    <x v="416"/>
    <s v="COCA"/>
    <n v="5.09"/>
    <n v="15"/>
    <n v="4063750.170003003"/>
    <n v="15"/>
    <n v="16025.110000000002"/>
    <n v="5"/>
    <n v="33948003.833300076"/>
    <n v="40"/>
    <n v="3742356.0376000032"/>
    <n v="4"/>
    <n v="12208821.400600992"/>
    <n v="15"/>
    <n v="13423736.387498042"/>
    <s v=""/>
    <n v="0"/>
    <n v="27454.334399999996"/>
    <n v="5"/>
    <s v="N/A"/>
    <n v="0"/>
    <m/>
    <x v="95"/>
    <x v="1"/>
    <n v="3"/>
    <m/>
    <m/>
    <m/>
  </r>
  <r>
    <x v="1"/>
    <x v="15"/>
    <m/>
    <m/>
    <n v="63800"/>
    <x v="417"/>
    <s v="COCA"/>
    <n v="6.55"/>
    <n v="30"/>
    <n v="4692300.3600080116"/>
    <n v="15"/>
    <n v="94020.72000000003"/>
    <n v="20"/>
    <n v="38271786.557702057"/>
    <n v="40"/>
    <n v="2760706.3437999999"/>
    <n v="3"/>
    <n v="980125.99579999992"/>
    <n v="5"/>
    <n v="14752402.419201054"/>
    <s v="FC"/>
    <n v="20"/>
    <n v="3091574.840199999"/>
    <n v="10"/>
    <s v="N/A"/>
    <n v="0"/>
    <m/>
    <x v="32"/>
    <x v="2"/>
    <n v="2"/>
    <m/>
    <m/>
    <m/>
  </r>
  <r>
    <x v="1"/>
    <x v="1"/>
    <m/>
    <m/>
    <n v="18200"/>
    <x v="418"/>
    <s v="COCA"/>
    <n v="10.47"/>
    <n v="45"/>
    <n v="8124285.4299990088"/>
    <n v="20"/>
    <n v="0"/>
    <n v="0"/>
    <n v="75814945.810101032"/>
    <n v="50"/>
    <n v="3689118.150700001"/>
    <n v="4"/>
    <n v="3755.9054999999998"/>
    <n v="5"/>
    <n v="16468799.877699934"/>
    <s v=""/>
    <n v="0"/>
    <n v="0"/>
    <n v="0"/>
    <s v="N/A"/>
    <n v="0"/>
    <m/>
    <x v="17"/>
    <x v="2"/>
    <n v="2"/>
    <m/>
    <m/>
    <m/>
  </r>
  <r>
    <x v="1"/>
    <x v="14"/>
    <m/>
    <m/>
    <n v="18210"/>
    <x v="419"/>
    <s v="COCA"/>
    <n v="10.44"/>
    <n v="45"/>
    <n v="7710993.9500000142"/>
    <n v="20"/>
    <n v="0"/>
    <n v="0"/>
    <n v="89002077.840700105"/>
    <n v="50"/>
    <n v="3298518.1516999998"/>
    <n v="4"/>
    <n v="12983.465000000002"/>
    <n v="5"/>
    <n v="19486867.371499952"/>
    <s v=""/>
    <n v="0"/>
    <n v="0"/>
    <n v="0"/>
    <s v="N/A"/>
    <n v="0"/>
    <m/>
    <x v="17"/>
    <x v="2"/>
    <n v="2"/>
    <m/>
    <m/>
    <m/>
  </r>
  <r>
    <x v="0"/>
    <x v="15"/>
    <m/>
    <m/>
    <n v="21183"/>
    <x v="420"/>
    <s v="COCA"/>
    <n v="12"/>
    <n v="60"/>
    <n v="3111801.3500000015"/>
    <n v="10"/>
    <n v="9841.470000000003"/>
    <n v="5"/>
    <n v="69953173.905401289"/>
    <n v="50"/>
    <n v="3148253.5870999997"/>
    <n v="3"/>
    <n v="3354040.2000999982"/>
    <n v="10"/>
    <n v="54814566.157200769"/>
    <s v="FC"/>
    <n v="40"/>
    <n v="0"/>
    <n v="0"/>
    <s v="N/A"/>
    <n v="0"/>
    <m/>
    <x v="104"/>
    <x v="3"/>
    <n v="1"/>
    <m/>
    <m/>
    <m/>
  </r>
  <r>
    <x v="0"/>
    <x v="15"/>
    <m/>
    <m/>
    <n v="21194"/>
    <x v="421"/>
    <s v="COCA"/>
    <n v="12"/>
    <n v="60"/>
    <n v="2622629.2700030007"/>
    <n v="10"/>
    <n v="0"/>
    <n v="0"/>
    <n v="74558512.090900525"/>
    <n v="50"/>
    <n v="2937506.3347999998"/>
    <n v="3"/>
    <n v="24786.615000000005"/>
    <n v="5"/>
    <n v="64180092.771698214"/>
    <s v="FC"/>
    <n v="40"/>
    <n v="0"/>
    <n v="0"/>
    <s v="N/A"/>
    <n v="0"/>
    <m/>
    <x v="66"/>
    <x v="3"/>
    <n v="1"/>
    <m/>
    <m/>
    <m/>
  </r>
  <r>
    <x v="1"/>
    <x v="4"/>
    <m/>
    <m/>
    <n v="17299"/>
    <x v="422"/>
    <s v="COCA"/>
    <n v="6.42"/>
    <n v="30"/>
    <n v="4101004.1700010104"/>
    <n v="15"/>
    <n v="0"/>
    <n v="0"/>
    <n v="27641169.949500918"/>
    <n v="30"/>
    <n v="5772660.7597000096"/>
    <n v="5"/>
    <n v="9585.8270000000011"/>
    <n v="5"/>
    <n v="3003771.9506999967"/>
    <s v=""/>
    <n v="0"/>
    <n v="0"/>
    <n v="0"/>
    <s v="N/A"/>
    <n v="0"/>
    <m/>
    <x v="83"/>
    <x v="1"/>
    <n v="3"/>
    <m/>
    <m/>
    <m/>
  </r>
  <r>
    <x v="0"/>
    <x v="0"/>
    <m/>
    <m/>
    <n v="63200"/>
    <x v="423"/>
    <s v="COCA"/>
    <n v="4.1500000000000004"/>
    <n v="15"/>
    <n v="1843456.580006998"/>
    <n v="5"/>
    <n v="18975.36"/>
    <n v="5"/>
    <n v="10356602.266701018"/>
    <n v="20"/>
    <n v="1077862.2217000001"/>
    <n v="2"/>
    <n v="1487685.0545999995"/>
    <n v="5"/>
    <n v="2875024.425798995"/>
    <s v=""/>
    <n v="0"/>
    <n v="24409.4529"/>
    <n v="5"/>
    <s v="N/A"/>
    <n v="0"/>
    <m/>
    <x v="50"/>
    <x v="0"/>
    <n v="4"/>
    <m/>
    <m/>
    <m/>
  </r>
  <r>
    <x v="0"/>
    <x v="3"/>
    <m/>
    <m/>
    <n v="64950"/>
    <x v="424"/>
    <s v="COCA"/>
    <n v="6.19"/>
    <n v="30"/>
    <n v="2698886.6400020015"/>
    <n v="10"/>
    <n v="29193.560000999998"/>
    <n v="10"/>
    <n v="17212070.612501014"/>
    <n v="20"/>
    <n v="1708167.7472999999"/>
    <n v="2"/>
    <n v="2350648.8455999987"/>
    <n v="5"/>
    <n v="10480934.578302059"/>
    <s v="FC"/>
    <n v="20"/>
    <n v="361496.07410000003"/>
    <n v="5"/>
    <s v="N/A"/>
    <n v="0"/>
    <m/>
    <x v="43"/>
    <x v="1"/>
    <n v="3"/>
    <m/>
    <m/>
    <m/>
  </r>
  <r>
    <x v="0"/>
    <x v="7"/>
    <m/>
    <m/>
    <n v="65400"/>
    <x v="425"/>
    <s v="COCA"/>
    <n v="7.2"/>
    <n v="45"/>
    <n v="3772985.3700010031"/>
    <n v="10"/>
    <n v="11352.55"/>
    <n v="5"/>
    <n v="26044559.103601027"/>
    <n v="30"/>
    <n v="1702574.0602000002"/>
    <n v="2"/>
    <n v="2202377.9768999992"/>
    <n v="5"/>
    <n v="13624717.679895043"/>
    <m/>
    <n v="0"/>
    <n v="0"/>
    <n v="0"/>
    <s v="N/A"/>
    <n v="0"/>
    <m/>
    <x v="57"/>
    <x v="1"/>
    <n v="3"/>
    <m/>
    <m/>
    <m/>
  </r>
  <r>
    <x v="0"/>
    <x v="13"/>
    <m/>
    <m/>
    <n v="25291"/>
    <x v="426"/>
    <s v="COCA"/>
    <n v="10.34"/>
    <n v="45"/>
    <n v="3732472.1600020044"/>
    <n v="10"/>
    <n v="22600.859999999997"/>
    <n v="5"/>
    <n v="25803236.575500984"/>
    <n v="30"/>
    <n v="2019123.6717000008"/>
    <n v="2"/>
    <n v="4375891.3843"/>
    <n v="10"/>
    <n v="13076960.292099081"/>
    <s v="FC"/>
    <n v="20"/>
    <n v="10903831.10390199"/>
    <n v="15"/>
    <s v="N/A"/>
    <n v="0"/>
    <m/>
    <x v="99"/>
    <x v="2"/>
    <n v="2"/>
    <m/>
    <m/>
    <m/>
  </r>
  <r>
    <x v="0"/>
    <x v="3"/>
    <m/>
    <m/>
    <n v="65000"/>
    <x v="427"/>
    <s v="COCA"/>
    <n v="6.22"/>
    <n v="30"/>
    <n v="2882278.9700010009"/>
    <n v="10"/>
    <n v="0"/>
    <n v="0"/>
    <n v="21838796.578898054"/>
    <n v="30"/>
    <n v="1593557.5094000001"/>
    <n v="2"/>
    <n v="17704.725000000002"/>
    <n v="5"/>
    <n v="9453158.3605030663"/>
    <s v="FC"/>
    <n v="10"/>
    <n v="5250866.1554000005"/>
    <n v="10"/>
    <s v="N/A"/>
    <n v="0"/>
    <m/>
    <x v="57"/>
    <x v="1"/>
    <n v="3"/>
    <m/>
    <m/>
    <m/>
  </r>
  <r>
    <x v="0"/>
    <x v="8"/>
    <m/>
    <m/>
    <n v="31288"/>
    <x v="428"/>
    <s v="COCA"/>
    <n v="5.5"/>
    <n v="15"/>
    <n v="2614784.629999999"/>
    <n v="10"/>
    <n v="0"/>
    <n v="0"/>
    <n v="13721677.840900015"/>
    <n v="20"/>
    <n v="2529650.4935999983"/>
    <n v="3"/>
    <n v="10398181.220399998"/>
    <n v="15"/>
    <n v="4413893.0930000106"/>
    <s v=""/>
    <n v="0"/>
    <n v="0"/>
    <n v="0"/>
    <s v="N/A"/>
    <n v="0"/>
    <m/>
    <x v="49"/>
    <x v="0"/>
    <n v="4"/>
    <m/>
    <m/>
    <m/>
  </r>
  <r>
    <x v="1"/>
    <x v="15"/>
    <m/>
    <m/>
    <n v="17318"/>
    <x v="429"/>
    <s v="COCA"/>
    <n v="2.97"/>
    <n v="15"/>
    <n v="1257355.9499999997"/>
    <n v="5"/>
    <n v="0"/>
    <n v="0"/>
    <n v="18585493.046399988"/>
    <n v="30"/>
    <n v="2259254.3749000002"/>
    <n v="3"/>
    <n v="31118.1109"/>
    <n v="5"/>
    <n v="2909469.4127000002"/>
    <s v=""/>
    <n v="0"/>
    <n v="26048.822400000001"/>
    <n v="5"/>
    <s v="N/A"/>
    <n v="0"/>
    <m/>
    <x v="49"/>
    <x v="0"/>
    <n v="4"/>
    <m/>
    <m/>
    <m/>
  </r>
  <r>
    <x v="2"/>
    <x v="6"/>
    <m/>
    <m/>
    <n v="56244"/>
    <x v="430"/>
    <s v="COCA"/>
    <n v="9.69"/>
    <n v="45"/>
    <n v="2215252.7399989995"/>
    <n v="5"/>
    <n v="0"/>
    <n v="0"/>
    <n v="21023017.197299998"/>
    <n v="30"/>
    <n v="1745474.0647999996"/>
    <n v="2"/>
    <n v="7188919.7641000031"/>
    <n v="10"/>
    <n v="8096317.4415000267"/>
    <s v=""/>
    <n v="0"/>
    <n v="0"/>
    <n v="0"/>
    <s v="N/A"/>
    <n v="0"/>
    <m/>
    <x v="6"/>
    <x v="1"/>
    <n v="3"/>
    <m/>
    <m/>
    <m/>
  </r>
  <r>
    <x v="0"/>
    <x v="11"/>
    <m/>
    <m/>
    <n v="35182"/>
    <x v="431"/>
    <s v="COCA"/>
    <n v="12"/>
    <n v="60"/>
    <n v="8314513.1400050167"/>
    <n v="20"/>
    <n v="27351.319999999996"/>
    <n v="10"/>
    <n v="57648783.301502943"/>
    <n v="50"/>
    <n v="4357415.8582000015"/>
    <n v="4"/>
    <n v="7775263.866100003"/>
    <n v="10"/>
    <n v="24103095.441999909"/>
    <s v="FC"/>
    <n v="30"/>
    <n v="5733658.4607989965"/>
    <n v="10"/>
    <s v="N/A"/>
    <n v="0"/>
    <m/>
    <x v="96"/>
    <x v="3"/>
    <n v="1"/>
    <m/>
    <m/>
    <m/>
  </r>
  <r>
    <x v="0"/>
    <x v="11"/>
    <m/>
    <m/>
    <n v="65250"/>
    <x v="432"/>
    <s v="COCA"/>
    <n v="6.5"/>
    <n v="30"/>
    <n v="2433402.7400040017"/>
    <n v="5"/>
    <n v="0"/>
    <n v="0"/>
    <n v="21570765.835097939"/>
    <n v="30"/>
    <n v="1750480.3691009998"/>
    <n v="2"/>
    <n v="5063132.3402000004"/>
    <n v="10"/>
    <n v="17760480.843401175"/>
    <s v="FC"/>
    <n v="20"/>
    <n v="10379527.596599996"/>
    <n v="15"/>
    <s v="N/A"/>
    <n v="0"/>
    <m/>
    <x v="15"/>
    <x v="1"/>
    <n v="3"/>
    <m/>
    <m/>
    <m/>
  </r>
  <r>
    <x v="0"/>
    <x v="11"/>
    <m/>
    <m/>
    <n v="35075"/>
    <x v="433"/>
    <s v="COCA"/>
    <n v="4.03"/>
    <n v="15"/>
    <n v="2072669.1900040007"/>
    <n v="5"/>
    <n v="0"/>
    <n v="0"/>
    <n v="10635683.78670004"/>
    <n v="20"/>
    <n v="2072538.6579000014"/>
    <n v="3"/>
    <n v="12655502.50059999"/>
    <n v="15"/>
    <n v="1145433.4709999997"/>
    <s v=""/>
    <n v="0"/>
    <n v="0"/>
    <n v="0"/>
    <s v="N/A"/>
    <n v="0"/>
    <m/>
    <x v="52"/>
    <x v="0"/>
    <n v="4"/>
    <m/>
    <m/>
    <m/>
  </r>
  <r>
    <x v="0"/>
    <x v="3"/>
    <m/>
    <m/>
    <n v="35130"/>
    <x v="434"/>
    <s v="COCA"/>
    <n v="10.72"/>
    <n v="45"/>
    <n v="3892431.299999"/>
    <n v="10"/>
    <n v="0"/>
    <n v="0"/>
    <n v="41024256.460502885"/>
    <n v="40"/>
    <n v="1004540.9536"/>
    <n v="2"/>
    <n v="0"/>
    <n v="0"/>
    <n v="29506041.472902723"/>
    <s v="FC"/>
    <n v="30"/>
    <n v="0"/>
    <n v="0"/>
    <s v="N/A"/>
    <n v="0"/>
    <m/>
    <x v="3"/>
    <x v="2"/>
    <n v="2"/>
    <m/>
    <m/>
    <m/>
  </r>
  <r>
    <x v="0"/>
    <x v="3"/>
    <m/>
    <m/>
    <n v="35140"/>
    <x v="435"/>
    <s v="COCA"/>
    <n v="12"/>
    <n v="60"/>
    <n v="2464910.9099999992"/>
    <n v="5"/>
    <n v="0"/>
    <n v="0"/>
    <n v="50994869.48990187"/>
    <n v="40"/>
    <n v="1597245.6822000002"/>
    <n v="2"/>
    <n v="0"/>
    <n v="0"/>
    <n v="52916052.011299446"/>
    <s v="FC"/>
    <n v="40"/>
    <n v="0"/>
    <n v="0"/>
    <s v="N/A"/>
    <n v="0"/>
    <m/>
    <x v="64"/>
    <x v="2"/>
    <n v="2"/>
    <m/>
    <m/>
    <m/>
  </r>
  <r>
    <x v="0"/>
    <x v="11"/>
    <m/>
    <m/>
    <n v="35185"/>
    <x v="436"/>
    <s v="COCA"/>
    <n v="0"/>
    <n v="0"/>
    <n v="4699.49"/>
    <n v="5"/>
    <n v="0"/>
    <n v="0"/>
    <n v="0"/>
    <n v="0"/>
    <n v="0"/>
    <n v="0"/>
    <n v="0"/>
    <n v="0"/>
    <n v="0"/>
    <s v=""/>
    <n v="0"/>
    <n v="0"/>
    <n v="0"/>
    <s v="N/A"/>
    <n v="0"/>
    <m/>
    <x v="75"/>
    <x v="0"/>
    <n v="4"/>
    <m/>
    <m/>
    <m/>
  </r>
  <r>
    <x v="0"/>
    <x v="7"/>
    <m/>
    <m/>
    <n v="33198"/>
    <x v="437"/>
    <s v="COCA"/>
    <n v="5.18"/>
    <n v="15"/>
    <n v="2084074.920001002"/>
    <n v="5"/>
    <n v="25387.460000000006"/>
    <n v="5"/>
    <n v="19102065.948999003"/>
    <n v="30"/>
    <n v="2620830.7852000026"/>
    <n v="3"/>
    <n v="8458502.4777999986"/>
    <n v="10"/>
    <n v="5188825.9443980185"/>
    <s v="FC"/>
    <n v="10"/>
    <n v="0"/>
    <n v="0"/>
    <s v="N/A"/>
    <n v="0"/>
    <m/>
    <x v="7"/>
    <x v="0"/>
    <n v="4"/>
    <m/>
    <m/>
    <m/>
  </r>
  <r>
    <x v="0"/>
    <x v="3"/>
    <m/>
    <m/>
    <n v="25321"/>
    <x v="438"/>
    <s v="COCA"/>
    <n v="6.03"/>
    <n v="30"/>
    <n v="4534633.909997005"/>
    <n v="15"/>
    <n v="0"/>
    <n v="0"/>
    <n v="32375098.894701049"/>
    <n v="30"/>
    <n v="2762207.1532999999"/>
    <n v="3"/>
    <n v="9726955.2212999985"/>
    <n v="15"/>
    <n v="13343777.056099037"/>
    <s v="FC"/>
    <n v="20"/>
    <n v="0"/>
    <n v="0"/>
    <s v="N/A"/>
    <n v="0"/>
    <m/>
    <x v="34"/>
    <x v="1"/>
    <n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
  <r>
    <x v="0"/>
    <x v="0"/>
    <n v="300"/>
    <n v="300"/>
    <n v="0"/>
    <x v="0"/>
  </r>
  <r>
    <x v="1"/>
    <x v="1"/>
    <n v="300"/>
    <n v="300"/>
    <n v="0"/>
    <x v="0"/>
  </r>
  <r>
    <x v="2"/>
    <x v="2"/>
    <n v="300"/>
    <n v="300"/>
    <n v="0"/>
    <x v="0"/>
  </r>
  <r>
    <x v="3"/>
    <x v="3"/>
    <n v="300"/>
    <n v="300"/>
    <n v="0"/>
    <x v="0"/>
  </r>
  <r>
    <x v="4"/>
    <x v="4"/>
    <n v="300"/>
    <n v="300"/>
    <n v="0"/>
    <x v="0"/>
  </r>
  <r>
    <x v="5"/>
    <x v="5"/>
    <n v="300"/>
    <n v="300"/>
    <n v="0"/>
    <x v="0"/>
  </r>
  <r>
    <x v="6"/>
    <x v="6"/>
    <n v="300"/>
    <n v="300"/>
    <n v="0"/>
    <x v="0"/>
  </r>
  <r>
    <x v="7"/>
    <x v="7"/>
    <n v="300"/>
    <n v="300"/>
    <n v="0"/>
    <x v="0"/>
  </r>
  <r>
    <x v="8"/>
    <x v="8"/>
    <n v="200"/>
    <n v="200"/>
    <n v="0"/>
    <x v="0"/>
  </r>
  <r>
    <x v="9"/>
    <x v="9"/>
    <n v="200"/>
    <n v="300"/>
    <n v="100"/>
    <x v="1"/>
  </r>
  <r>
    <x v="10"/>
    <x v="10"/>
    <n v="300"/>
    <n v="300"/>
    <n v="0"/>
    <x v="0"/>
  </r>
  <r>
    <x v="11"/>
    <x v="11"/>
    <n v="300"/>
    <n v="300"/>
    <n v="0"/>
    <x v="0"/>
  </r>
  <r>
    <x v="12"/>
    <x v="12"/>
    <n v="300"/>
    <n v="300"/>
    <n v="0"/>
    <x v="0"/>
  </r>
  <r>
    <x v="13"/>
    <x v="13"/>
    <n v="300"/>
    <n v="300"/>
    <n v="0"/>
    <x v="0"/>
  </r>
  <r>
    <x v="14"/>
    <x v="14"/>
    <n v="300"/>
    <n v="300"/>
    <n v="0"/>
    <x v="0"/>
  </r>
  <r>
    <x v="15"/>
    <x v="15"/>
    <n v="200"/>
    <n v="200"/>
    <n v="0"/>
    <x v="0"/>
  </r>
  <r>
    <x v="16"/>
    <x v="16"/>
    <n v="300"/>
    <n v="300"/>
    <n v="0"/>
    <x v="0"/>
  </r>
  <r>
    <x v="17"/>
    <x v="17"/>
    <n v="300"/>
    <n v="300"/>
    <n v="0"/>
    <x v="0"/>
  </r>
  <r>
    <x v="18"/>
    <x v="18"/>
    <n v="300"/>
    <n v="200"/>
    <n v="-100"/>
    <x v="2"/>
  </r>
  <r>
    <x v="19"/>
    <x v="19"/>
    <n v="300"/>
    <n v="300"/>
    <n v="0"/>
    <x v="0"/>
  </r>
  <r>
    <x v="20"/>
    <x v="20"/>
    <n v="300"/>
    <n v="300"/>
    <n v="0"/>
    <x v="0"/>
  </r>
  <r>
    <x v="21"/>
    <x v="21"/>
    <n v="300"/>
    <n v="200"/>
    <n v="-100"/>
    <x v="2"/>
  </r>
  <r>
    <x v="22"/>
    <x v="22"/>
    <n v="300"/>
    <n v="300"/>
    <n v="0"/>
    <x v="0"/>
  </r>
  <r>
    <x v="23"/>
    <x v="23"/>
    <n v="200"/>
    <n v="300"/>
    <n v="100"/>
    <x v="1"/>
  </r>
  <r>
    <x v="24"/>
    <x v="24"/>
    <n v="300"/>
    <n v="200"/>
    <n v="-100"/>
    <x v="2"/>
  </r>
  <r>
    <x v="25"/>
    <x v="25"/>
    <n v="300"/>
    <n v="300"/>
    <n v="0"/>
    <x v="0"/>
  </r>
  <r>
    <x v="26"/>
    <x v="26"/>
    <n v="300"/>
    <n v="300"/>
    <n v="0"/>
    <x v="0"/>
  </r>
  <r>
    <x v="27"/>
    <x v="27"/>
    <n v="300"/>
    <n v="200"/>
    <n v="-100"/>
    <x v="2"/>
  </r>
  <r>
    <x v="28"/>
    <x v="28"/>
    <n v="200"/>
    <n v="200"/>
    <n v="0"/>
    <x v="0"/>
  </r>
  <r>
    <x v="29"/>
    <x v="29"/>
    <n v="200"/>
    <n v="200"/>
    <n v="0"/>
    <x v="0"/>
  </r>
  <r>
    <x v="30"/>
    <x v="30"/>
    <n v="200"/>
    <n v="300"/>
    <n v="100"/>
    <x v="1"/>
  </r>
  <r>
    <x v="31"/>
    <x v="31"/>
    <n v="300"/>
    <n v="200"/>
    <n v="-100"/>
    <x v="2"/>
  </r>
  <r>
    <x v="32"/>
    <x v="32"/>
    <n v="200"/>
    <n v="200"/>
    <n v="0"/>
    <x v="0"/>
  </r>
  <r>
    <x v="33"/>
    <x v="33"/>
    <n v="200"/>
    <n v="200"/>
    <n v="0"/>
    <x v="0"/>
  </r>
  <r>
    <x v="34"/>
    <x v="34"/>
    <n v="200"/>
    <n v="200"/>
    <n v="0"/>
    <x v="0"/>
  </r>
  <r>
    <x v="35"/>
    <x v="35"/>
    <n v="200"/>
    <n v="300"/>
    <n v="100"/>
    <x v="1"/>
  </r>
  <r>
    <x v="36"/>
    <x v="36"/>
    <n v="200"/>
    <n v="200"/>
    <n v="0"/>
    <x v="0"/>
  </r>
  <r>
    <x v="37"/>
    <x v="37"/>
    <n v="200"/>
    <n v="200"/>
    <n v="0"/>
    <x v="0"/>
  </r>
  <r>
    <x v="38"/>
    <x v="38"/>
    <n v="200"/>
    <n v="200"/>
    <n v="0"/>
    <x v="0"/>
  </r>
  <r>
    <x v="39"/>
    <x v="39"/>
    <n v="200"/>
    <n v="200"/>
    <n v="0"/>
    <x v="0"/>
  </r>
  <r>
    <x v="40"/>
    <x v="40"/>
    <n v="200"/>
    <n v="200"/>
    <n v="0"/>
    <x v="0"/>
  </r>
  <r>
    <x v="41"/>
    <x v="41"/>
    <n v="200"/>
    <n v="200"/>
    <n v="0"/>
    <x v="0"/>
  </r>
  <r>
    <x v="42"/>
    <x v="42"/>
    <n v="200"/>
    <n v="300"/>
    <n v="100"/>
    <x v="1"/>
  </r>
  <r>
    <x v="43"/>
    <x v="43"/>
    <n v="200"/>
    <n v="200"/>
    <n v="0"/>
    <x v="0"/>
  </r>
  <r>
    <x v="44"/>
    <x v="44"/>
    <n v="200"/>
    <n v="200"/>
    <n v="0"/>
    <x v="0"/>
  </r>
  <r>
    <x v="45"/>
    <x v="45"/>
    <n v="300"/>
    <n v="200"/>
    <n v="-100"/>
    <x v="2"/>
  </r>
  <r>
    <x v="46"/>
    <x v="46"/>
    <n v="200"/>
    <n v="100"/>
    <n v="-100"/>
    <x v="2"/>
  </r>
  <r>
    <x v="47"/>
    <x v="47"/>
    <n v="200"/>
    <n v="100"/>
    <n v="-100"/>
    <x v="2"/>
  </r>
  <r>
    <x v="48"/>
    <x v="48"/>
    <n v="200"/>
    <n v="100"/>
    <n v="-100"/>
    <x v="2"/>
  </r>
  <r>
    <x v="49"/>
    <x v="49"/>
    <n v="200"/>
    <n v="200"/>
    <n v="0"/>
    <x v="0"/>
  </r>
  <r>
    <x v="50"/>
    <x v="50"/>
    <n v="200"/>
    <n v="200"/>
    <n v="0"/>
    <x v="0"/>
  </r>
  <r>
    <x v="51"/>
    <x v="51"/>
    <n v="200"/>
    <n v="200"/>
    <n v="0"/>
    <x v="0"/>
  </r>
  <r>
    <x v="52"/>
    <x v="52"/>
    <n v="200"/>
    <n v="200"/>
    <n v="0"/>
    <x v="0"/>
  </r>
  <r>
    <x v="53"/>
    <x v="53"/>
    <n v="200"/>
    <n v="100"/>
    <n v="-100"/>
    <x v="2"/>
  </r>
  <r>
    <x v="54"/>
    <x v="54"/>
    <n v="200"/>
    <n v="100"/>
    <n v="-100"/>
    <x v="2"/>
  </r>
  <r>
    <x v="55"/>
    <x v="55"/>
    <n v="100"/>
    <n v="200"/>
    <n v="100"/>
    <x v="1"/>
  </r>
  <r>
    <x v="56"/>
    <x v="56"/>
    <n v="200"/>
    <n v="100"/>
    <n v="-100"/>
    <x v="2"/>
  </r>
  <r>
    <x v="57"/>
    <x v="57"/>
    <n v="200"/>
    <n v="100"/>
    <n v="-100"/>
    <x v="2"/>
  </r>
  <r>
    <x v="58"/>
    <x v="58"/>
    <n v="100"/>
    <n v="100"/>
    <n v="0"/>
    <x v="0"/>
  </r>
  <r>
    <x v="59"/>
    <x v="59"/>
    <n v="200"/>
    <n v="200"/>
    <n v="0"/>
    <x v="0"/>
  </r>
  <r>
    <x v="60"/>
    <x v="60"/>
    <n v="200"/>
    <n v="100"/>
    <n v="-100"/>
    <x v="2"/>
  </r>
  <r>
    <x v="61"/>
    <x v="61"/>
    <n v="200"/>
    <n v="200"/>
    <n v="0"/>
    <x v="0"/>
  </r>
  <r>
    <x v="62"/>
    <x v="62"/>
    <n v="200"/>
    <n v="100"/>
    <n v="-100"/>
    <x v="2"/>
  </r>
  <r>
    <x v="63"/>
    <x v="63"/>
    <n v="200"/>
    <n v="100"/>
    <n v="-100"/>
    <x v="2"/>
  </r>
  <r>
    <x v="64"/>
    <x v="64"/>
    <n v="200"/>
    <n v="200"/>
    <n v="0"/>
    <x v="0"/>
  </r>
  <r>
    <x v="65"/>
    <x v="65"/>
    <n v="200"/>
    <n v="200"/>
    <n v="0"/>
    <x v="0"/>
  </r>
  <r>
    <x v="66"/>
    <x v="66"/>
    <n v="200"/>
    <n v="200"/>
    <n v="0"/>
    <x v="0"/>
  </r>
  <r>
    <x v="67"/>
    <x v="67"/>
    <n v="200"/>
    <n v="200"/>
    <n v="0"/>
    <x v="0"/>
  </r>
  <r>
    <x v="68"/>
    <x v="68"/>
    <n v="100"/>
    <n v="200"/>
    <n v="100"/>
    <x v="1"/>
  </r>
  <r>
    <x v="69"/>
    <x v="69"/>
    <n v="200"/>
    <n v="200"/>
    <n v="0"/>
    <x v="0"/>
  </r>
  <r>
    <x v="70"/>
    <x v="70"/>
    <n v="200"/>
    <n v="100"/>
    <n v="-100"/>
    <x v="2"/>
  </r>
  <r>
    <x v="71"/>
    <x v="71"/>
    <n v="200"/>
    <n v="200"/>
    <n v="0"/>
    <x v="0"/>
  </r>
  <r>
    <x v="72"/>
    <x v="72"/>
    <n v="100"/>
    <n v="100"/>
    <n v="0"/>
    <x v="0"/>
  </r>
  <r>
    <x v="73"/>
    <x v="73"/>
    <n v="200"/>
    <n v="200"/>
    <n v="0"/>
    <x v="0"/>
  </r>
  <r>
    <x v="74"/>
    <x v="74"/>
    <n v="200"/>
    <n v="200"/>
    <n v="0"/>
    <x v="0"/>
  </r>
  <r>
    <x v="75"/>
    <x v="75"/>
    <n v="100"/>
    <n v="100"/>
    <n v="0"/>
    <x v="0"/>
  </r>
  <r>
    <x v="76"/>
    <x v="76"/>
    <n v="100"/>
    <n v="100"/>
    <n v="0"/>
    <x v="0"/>
  </r>
  <r>
    <x v="77"/>
    <x v="77"/>
    <n v="200"/>
    <n v="100"/>
    <n v="-100"/>
    <x v="2"/>
  </r>
  <r>
    <x v="78"/>
    <x v="78"/>
    <n v="200"/>
    <n v="200"/>
    <n v="0"/>
    <x v="0"/>
  </r>
  <r>
    <x v="79"/>
    <x v="79"/>
    <n v="200"/>
    <n v="200"/>
    <n v="0"/>
    <x v="0"/>
  </r>
  <r>
    <x v="80"/>
    <x v="80"/>
    <n v="100"/>
    <n v="200"/>
    <n v="100"/>
    <x v="1"/>
  </r>
  <r>
    <x v="81"/>
    <x v="81"/>
    <n v="100"/>
    <n v="100"/>
    <n v="0"/>
    <x v="0"/>
  </r>
  <r>
    <x v="82"/>
    <x v="82"/>
    <n v="100"/>
    <n v="100"/>
    <n v="0"/>
    <x v="0"/>
  </r>
  <r>
    <x v="83"/>
    <x v="83"/>
    <n v="200"/>
    <n v="100"/>
    <n v="-100"/>
    <x v="2"/>
  </r>
  <r>
    <x v="84"/>
    <x v="84"/>
    <n v="100"/>
    <n v="200"/>
    <n v="100"/>
    <x v="1"/>
  </r>
  <r>
    <x v="85"/>
    <x v="85"/>
    <n v="200"/>
    <n v="100"/>
    <n v="-100"/>
    <x v="2"/>
  </r>
  <r>
    <x v="86"/>
    <x v="86"/>
    <n v="100"/>
    <n v="100"/>
    <n v="0"/>
    <x v="0"/>
  </r>
  <r>
    <x v="87"/>
    <x v="87"/>
    <n v="100"/>
    <n v="100"/>
    <n v="0"/>
    <x v="0"/>
  </r>
  <r>
    <x v="88"/>
    <x v="88"/>
    <n v="100"/>
    <n v="100"/>
    <n v="0"/>
    <x v="0"/>
  </r>
  <r>
    <x v="89"/>
    <x v="89"/>
    <n v="100"/>
    <n v="200"/>
    <n v="100"/>
    <x v="1"/>
  </r>
  <r>
    <x v="90"/>
    <x v="90"/>
    <n v="200"/>
    <n v="100"/>
    <n v="-100"/>
    <x v="2"/>
  </r>
  <r>
    <x v="91"/>
    <x v="91"/>
    <n v="200"/>
    <n v="200"/>
    <n v="0"/>
    <x v="0"/>
  </r>
  <r>
    <x v="92"/>
    <x v="92"/>
    <n v="100"/>
    <n v="100"/>
    <n v="0"/>
    <x v="0"/>
  </r>
  <r>
    <x v="93"/>
    <x v="93"/>
    <n v="100"/>
    <n v="100"/>
    <n v="0"/>
    <x v="0"/>
  </r>
  <r>
    <x v="94"/>
    <x v="94"/>
    <n v="100"/>
    <n v="100"/>
    <n v="0"/>
    <x v="0"/>
  </r>
  <r>
    <x v="95"/>
    <x v="95"/>
    <n v="100"/>
    <n v="100"/>
    <n v="0"/>
    <x v="0"/>
  </r>
  <r>
    <x v="96"/>
    <x v="96"/>
    <n v="100"/>
    <n v="100"/>
    <n v="0"/>
    <x v="0"/>
  </r>
  <r>
    <x v="97"/>
    <x v="97"/>
    <n v="200"/>
    <n v="100"/>
    <n v="-100"/>
    <x v="2"/>
  </r>
  <r>
    <x v="98"/>
    <x v="98"/>
    <n v="100"/>
    <n v="100"/>
    <n v="0"/>
    <x v="0"/>
  </r>
  <r>
    <x v="99"/>
    <x v="99"/>
    <n v="100"/>
    <n v="100"/>
    <n v="0"/>
    <x v="0"/>
  </r>
  <r>
    <x v="100"/>
    <x v="100"/>
    <n v="200"/>
    <n v="200"/>
    <n v="0"/>
    <x v="0"/>
  </r>
  <r>
    <x v="101"/>
    <x v="101"/>
    <n v="100"/>
    <n v="100"/>
    <n v="0"/>
    <x v="0"/>
  </r>
  <r>
    <x v="102"/>
    <x v="102"/>
    <n v="100"/>
    <n v="100"/>
    <n v="0"/>
    <x v="0"/>
  </r>
  <r>
    <x v="103"/>
    <x v="103"/>
    <n v="100"/>
    <n v="100"/>
    <n v="0"/>
    <x v="0"/>
  </r>
  <r>
    <x v="104"/>
    <x v="104"/>
    <n v="100"/>
    <n v="100"/>
    <n v="0"/>
    <x v="0"/>
  </r>
  <r>
    <x v="105"/>
    <x v="105"/>
    <n v="100"/>
    <n v="200"/>
    <n v="100"/>
    <x v="1"/>
  </r>
  <r>
    <x v="106"/>
    <x v="106"/>
    <n v="200"/>
    <n v="100"/>
    <n v="-100"/>
    <x v="2"/>
  </r>
  <r>
    <x v="107"/>
    <x v="107"/>
    <n v="100"/>
    <n v="100"/>
    <n v="0"/>
    <x v="0"/>
  </r>
  <r>
    <x v="108"/>
    <x v="108"/>
    <n v="100"/>
    <n v="100"/>
    <n v="0"/>
    <x v="0"/>
  </r>
  <r>
    <x v="109"/>
    <x v="109"/>
    <n v="200"/>
    <n v="100"/>
    <n v="-100"/>
    <x v="2"/>
  </r>
  <r>
    <x v="110"/>
    <x v="110"/>
    <n v="100"/>
    <n v="100"/>
    <n v="0"/>
    <x v="0"/>
  </r>
  <r>
    <x v="111"/>
    <x v="111"/>
    <n v="100"/>
    <n v="100"/>
    <n v="0"/>
    <x v="0"/>
  </r>
  <r>
    <x v="112"/>
    <x v="112"/>
    <n v="100"/>
    <n v="100"/>
    <n v="0"/>
    <x v="0"/>
  </r>
  <r>
    <x v="113"/>
    <x v="113"/>
    <n v="100"/>
    <n v="50"/>
    <n v="-50"/>
    <x v="2"/>
  </r>
  <r>
    <x v="114"/>
    <x v="114"/>
    <n v="100"/>
    <n v="100"/>
    <n v="0"/>
    <x v="0"/>
  </r>
  <r>
    <x v="115"/>
    <x v="115"/>
    <n v="100"/>
    <n v="100"/>
    <n v="0"/>
    <x v="0"/>
  </r>
  <r>
    <x v="116"/>
    <x v="116"/>
    <n v="100"/>
    <n v="100"/>
    <n v="0"/>
    <x v="0"/>
  </r>
  <r>
    <x v="117"/>
    <x v="117"/>
    <n v="100"/>
    <n v="100"/>
    <n v="0"/>
    <x v="0"/>
  </r>
  <r>
    <x v="118"/>
    <x v="118"/>
    <n v="100"/>
    <n v="100"/>
    <n v="0"/>
    <x v="0"/>
  </r>
  <r>
    <x v="119"/>
    <x v="119"/>
    <n v="100"/>
    <n v="100"/>
    <n v="0"/>
    <x v="0"/>
  </r>
  <r>
    <x v="120"/>
    <x v="120"/>
    <n v="100"/>
    <n v="50"/>
    <n v="-50"/>
    <x v="2"/>
  </r>
  <r>
    <x v="121"/>
    <x v="121"/>
    <n v="100"/>
    <n v="50"/>
    <n v="-50"/>
    <x v="2"/>
  </r>
  <r>
    <x v="122"/>
    <x v="122"/>
    <n v="100"/>
    <n v="100"/>
    <n v="0"/>
    <x v="0"/>
  </r>
  <r>
    <x v="123"/>
    <x v="123"/>
    <n v="100"/>
    <n v="100"/>
    <n v="0"/>
    <x v="0"/>
  </r>
  <r>
    <x v="124"/>
    <x v="124"/>
    <n v="200"/>
    <n v="200"/>
    <n v="0"/>
    <x v="0"/>
  </r>
  <r>
    <x v="125"/>
    <x v="125"/>
    <n v="200"/>
    <n v="200"/>
    <n v="0"/>
    <x v="0"/>
  </r>
  <r>
    <x v="126"/>
    <x v="126"/>
    <n v="100"/>
    <n v="200"/>
    <n v="100"/>
    <x v="1"/>
  </r>
  <r>
    <x v="127"/>
    <x v="127"/>
    <n v="100"/>
    <n v="100"/>
    <n v="0"/>
    <x v="0"/>
  </r>
  <r>
    <x v="128"/>
    <x v="128"/>
    <n v="100"/>
    <n v="100"/>
    <n v="0"/>
    <x v="0"/>
  </r>
  <r>
    <x v="129"/>
    <x v="129"/>
    <n v="100"/>
    <n v="100"/>
    <n v="0"/>
    <x v="0"/>
  </r>
  <r>
    <x v="130"/>
    <x v="130"/>
    <n v="100"/>
    <n v="50"/>
    <n v="-50"/>
    <x v="2"/>
  </r>
  <r>
    <x v="131"/>
    <x v="131"/>
    <n v="100"/>
    <n v="100"/>
    <n v="0"/>
    <x v="0"/>
  </r>
  <r>
    <x v="132"/>
    <x v="132"/>
    <n v="100"/>
    <n v="100"/>
    <n v="0"/>
    <x v="0"/>
  </r>
  <r>
    <x v="133"/>
    <x v="133"/>
    <n v="100"/>
    <n v="100"/>
    <n v="0"/>
    <x v="0"/>
  </r>
  <r>
    <x v="134"/>
    <x v="134"/>
    <n v="100"/>
    <n v="100"/>
    <n v="0"/>
    <x v="0"/>
  </r>
  <r>
    <x v="135"/>
    <x v="135"/>
    <n v="100"/>
    <n v="100"/>
    <n v="0"/>
    <x v="0"/>
  </r>
  <r>
    <x v="136"/>
    <x v="136"/>
    <n v="100"/>
    <n v="50"/>
    <n v="-50"/>
    <x v="2"/>
  </r>
  <r>
    <x v="137"/>
    <x v="137"/>
    <n v="100"/>
    <n v="50"/>
    <n v="-50"/>
    <x v="2"/>
  </r>
  <r>
    <x v="138"/>
    <x v="138"/>
    <n v="200"/>
    <n v="100"/>
    <n v="-100"/>
    <x v="2"/>
  </r>
  <r>
    <x v="139"/>
    <x v="139"/>
    <n v="100"/>
    <n v="100"/>
    <n v="0"/>
    <x v="0"/>
  </r>
  <r>
    <x v="140"/>
    <x v="140"/>
    <n v="100"/>
    <n v="100"/>
    <n v="0"/>
    <x v="0"/>
  </r>
  <r>
    <x v="141"/>
    <x v="141"/>
    <n v="100"/>
    <n v="100"/>
    <n v="0"/>
    <x v="0"/>
  </r>
  <r>
    <x v="142"/>
    <x v="142"/>
    <n v="100"/>
    <n v="50"/>
    <n v="-50"/>
    <x v="2"/>
  </r>
  <r>
    <x v="143"/>
    <x v="143"/>
    <n v="100"/>
    <n v="50"/>
    <n v="-50"/>
    <x v="2"/>
  </r>
  <r>
    <x v="144"/>
    <x v="144"/>
    <n v="100"/>
    <n v="100"/>
    <n v="0"/>
    <x v="0"/>
  </r>
  <r>
    <x v="145"/>
    <x v="145"/>
    <n v="100"/>
    <n v="100"/>
    <n v="0"/>
    <x v="0"/>
  </r>
  <r>
    <x v="146"/>
    <x v="146"/>
    <n v="100"/>
    <n v="100"/>
    <n v="0"/>
    <x v="0"/>
  </r>
  <r>
    <x v="147"/>
    <x v="147"/>
    <n v="100"/>
    <n v="100"/>
    <n v="0"/>
    <x v="0"/>
  </r>
  <r>
    <x v="148"/>
    <x v="148"/>
    <n v="100"/>
    <n v="100"/>
    <n v="0"/>
    <x v="0"/>
  </r>
  <r>
    <x v="149"/>
    <x v="149"/>
    <n v="100"/>
    <n v="100"/>
    <n v="0"/>
    <x v="0"/>
  </r>
  <r>
    <x v="150"/>
    <x v="150"/>
    <n v="100"/>
    <n v="100"/>
    <n v="0"/>
    <x v="0"/>
  </r>
  <r>
    <x v="151"/>
    <x v="151"/>
    <n v="100"/>
    <n v="100"/>
    <n v="0"/>
    <x v="0"/>
  </r>
  <r>
    <x v="152"/>
    <x v="152"/>
    <n v="100"/>
    <n v="100"/>
    <n v="0"/>
    <x v="0"/>
  </r>
  <r>
    <x v="153"/>
    <x v="153"/>
    <n v="100"/>
    <n v="50"/>
    <n v="-50"/>
    <x v="2"/>
  </r>
  <r>
    <x v="154"/>
    <x v="154"/>
    <n v="100"/>
    <n v="50"/>
    <n v="-50"/>
    <x v="2"/>
  </r>
  <r>
    <x v="155"/>
    <x v="155"/>
    <n v="100"/>
    <n v="100"/>
    <n v="0"/>
    <x v="0"/>
  </r>
  <r>
    <x v="156"/>
    <x v="156"/>
    <n v="100"/>
    <n v="100"/>
    <n v="0"/>
    <x v="0"/>
  </r>
  <r>
    <x v="157"/>
    <x v="157"/>
    <n v="100"/>
    <n v="100"/>
    <n v="0"/>
    <x v="0"/>
  </r>
  <r>
    <x v="158"/>
    <x v="158"/>
    <n v="100"/>
    <n v="50"/>
    <n v="-50"/>
    <x v="2"/>
  </r>
  <r>
    <x v="159"/>
    <x v="159"/>
    <n v="100"/>
    <n v="50"/>
    <n v="-50"/>
    <x v="2"/>
  </r>
  <r>
    <x v="160"/>
    <x v="160"/>
    <n v="100"/>
    <n v="50"/>
    <n v="-50"/>
    <x v="2"/>
  </r>
  <r>
    <x v="161"/>
    <x v="161"/>
    <n v="100"/>
    <n v="50"/>
    <n v="-50"/>
    <x v="2"/>
  </r>
  <r>
    <x v="162"/>
    <x v="162"/>
    <n v="100"/>
    <n v="100"/>
    <n v="0"/>
    <x v="0"/>
  </r>
  <r>
    <x v="163"/>
    <x v="163"/>
    <n v="100"/>
    <n v="100"/>
    <n v="0"/>
    <x v="0"/>
  </r>
  <r>
    <x v="164"/>
    <x v="164"/>
    <n v="100"/>
    <n v="100"/>
    <n v="0"/>
    <x v="0"/>
  </r>
  <r>
    <x v="165"/>
    <x v="165"/>
    <n v="100"/>
    <n v="50"/>
    <n v="-50"/>
    <x v="2"/>
  </r>
  <r>
    <x v="166"/>
    <x v="166"/>
    <n v="100"/>
    <n v="50"/>
    <n v="-50"/>
    <x v="2"/>
  </r>
  <r>
    <x v="167"/>
    <x v="167"/>
    <n v="100"/>
    <n v="50"/>
    <n v="-50"/>
    <x v="2"/>
  </r>
  <r>
    <x v="168"/>
    <x v="168"/>
    <n v="100"/>
    <n v="50"/>
    <n v="-50"/>
    <x v="2"/>
  </r>
  <r>
    <x v="169"/>
    <x v="169"/>
    <n v="100"/>
    <n v="50"/>
    <n v="-50"/>
    <x v="2"/>
  </r>
  <r>
    <x v="170"/>
    <x v="170"/>
    <n v="50"/>
    <n v="50"/>
    <n v="0"/>
    <x v="0"/>
  </r>
  <r>
    <x v="171"/>
    <x v="171"/>
    <n v="100"/>
    <n v="50"/>
    <n v="-50"/>
    <x v="2"/>
  </r>
  <r>
    <x v="172"/>
    <x v="172"/>
    <n v="100"/>
    <n v="50"/>
    <n v="-50"/>
    <x v="2"/>
  </r>
  <r>
    <x v="173"/>
    <x v="173"/>
    <n v="100"/>
    <n v="100"/>
    <n v="0"/>
    <x v="0"/>
  </r>
  <r>
    <x v="174"/>
    <x v="174"/>
    <n v="100"/>
    <n v="100"/>
    <n v="0"/>
    <x v="0"/>
  </r>
  <r>
    <x v="175"/>
    <x v="175"/>
    <n v="100"/>
    <n v="50"/>
    <n v="-50"/>
    <x v="2"/>
  </r>
  <r>
    <x v="176"/>
    <x v="176"/>
    <n v="50"/>
    <n v="50"/>
    <n v="0"/>
    <x v="0"/>
  </r>
  <r>
    <x v="177"/>
    <x v="177"/>
    <n v="50"/>
    <n v="50"/>
    <n v="0"/>
    <x v="0"/>
  </r>
  <r>
    <x v="178"/>
    <x v="178"/>
    <n v="100"/>
    <n v="100"/>
    <n v="0"/>
    <x v="0"/>
  </r>
  <r>
    <x v="179"/>
    <x v="179"/>
    <n v="100"/>
    <n v="50"/>
    <n v="-50"/>
    <x v="2"/>
  </r>
  <r>
    <x v="180"/>
    <x v="180"/>
    <n v="100"/>
    <n v="50"/>
    <n v="-50"/>
    <x v="2"/>
  </r>
  <r>
    <x v="181"/>
    <x v="181"/>
    <n v="100"/>
    <n v="100"/>
    <n v="0"/>
    <x v="0"/>
  </r>
  <r>
    <x v="182"/>
    <x v="182"/>
    <n v="50"/>
    <n v="50"/>
    <n v="0"/>
    <x v="0"/>
  </r>
  <r>
    <x v="183"/>
    <x v="183"/>
    <n v="50"/>
    <n v="50"/>
    <n v="0"/>
    <x v="0"/>
  </r>
  <r>
    <x v="184"/>
    <x v="184"/>
    <n v="50"/>
    <n v="50"/>
    <n v="0"/>
    <x v="0"/>
  </r>
  <r>
    <x v="185"/>
    <x v="185"/>
    <n v="100"/>
    <n v="50"/>
    <n v="-50"/>
    <x v="2"/>
  </r>
  <r>
    <x v="186"/>
    <x v="186"/>
    <n v="100"/>
    <n v="50"/>
    <n v="-50"/>
    <x v="2"/>
  </r>
  <r>
    <x v="187"/>
    <x v="187"/>
    <n v="100"/>
    <n v="50"/>
    <n v="-50"/>
    <x v="2"/>
  </r>
  <r>
    <x v="188"/>
    <x v="188"/>
    <n v="50"/>
    <n v="50"/>
    <n v="0"/>
    <x v="0"/>
  </r>
  <r>
    <x v="189"/>
    <x v="189"/>
    <n v="50"/>
    <n v="50"/>
    <n v="0"/>
    <x v="0"/>
  </r>
  <r>
    <x v="190"/>
    <x v="190"/>
    <n v="100"/>
    <n v="50"/>
    <n v="-50"/>
    <x v="2"/>
  </r>
  <r>
    <x v="191"/>
    <x v="191"/>
    <n v="50"/>
    <n v="50"/>
    <n v="0"/>
    <x v="0"/>
  </r>
  <r>
    <x v="192"/>
    <x v="192"/>
    <n v="50"/>
    <n v="50"/>
    <n v="0"/>
    <x v="0"/>
  </r>
  <r>
    <x v="193"/>
    <x v="193"/>
    <n v="100"/>
    <n v="50"/>
    <n v="-50"/>
    <x v="2"/>
  </r>
  <r>
    <x v="194"/>
    <x v="194"/>
    <n v="50"/>
    <n v="50"/>
    <n v="0"/>
    <x v="0"/>
  </r>
  <r>
    <x v="195"/>
    <x v="195"/>
    <n v="50"/>
    <n v="50"/>
    <n v="0"/>
    <x v="0"/>
  </r>
  <r>
    <x v="196"/>
    <x v="196"/>
    <n v="50"/>
    <n v="50"/>
    <n v="0"/>
    <x v="0"/>
  </r>
  <r>
    <x v="197"/>
    <x v="197"/>
    <n v="100"/>
    <n v="50"/>
    <n v="-50"/>
    <x v="2"/>
  </r>
  <r>
    <x v="198"/>
    <x v="198"/>
    <n v="50"/>
    <n v="50"/>
    <n v="0"/>
    <x v="0"/>
  </r>
  <r>
    <x v="199"/>
    <x v="199"/>
    <n v="100"/>
    <n v="50"/>
    <n v="-50"/>
    <x v="2"/>
  </r>
  <r>
    <x v="200"/>
    <x v="200"/>
    <n v="50"/>
    <n v="50"/>
    <n v="0"/>
    <x v="0"/>
  </r>
  <r>
    <x v="201"/>
    <x v="201"/>
    <n v="50"/>
    <n v="100"/>
    <n v="50"/>
    <x v="1"/>
  </r>
  <r>
    <x v="202"/>
    <x v="202"/>
    <n v="50"/>
    <n v="50"/>
    <n v="0"/>
    <x v="0"/>
  </r>
  <r>
    <x v="203"/>
    <x v="203"/>
    <n v="50"/>
    <n v="50"/>
    <n v="0"/>
    <x v="0"/>
  </r>
  <r>
    <x v="204"/>
    <x v="204"/>
    <n v="50"/>
    <n v="50"/>
    <n v="0"/>
    <x v="0"/>
  </r>
  <r>
    <x v="205"/>
    <x v="205"/>
    <n v="50"/>
    <n v="50"/>
    <n v="0"/>
    <x v="0"/>
  </r>
  <r>
    <x v="206"/>
    <x v="206"/>
    <n v="50"/>
    <n v="50"/>
    <n v="0"/>
    <x v="0"/>
  </r>
  <r>
    <x v="207"/>
    <x v="207"/>
    <n v="50"/>
    <n v="50"/>
    <n v="0"/>
    <x v="0"/>
  </r>
  <r>
    <x v="208"/>
    <x v="208"/>
    <n v="50"/>
    <n v="50"/>
    <n v="0"/>
    <x v="0"/>
  </r>
  <r>
    <x v="209"/>
    <x v="209"/>
    <n v="50"/>
    <n v="50"/>
    <n v="0"/>
    <x v="0"/>
  </r>
  <r>
    <x v="210"/>
    <x v="210"/>
    <n v="50"/>
    <n v="50"/>
    <n v="0"/>
    <x v="0"/>
  </r>
  <r>
    <x v="211"/>
    <x v="211"/>
    <n v="50"/>
    <n v="50"/>
    <n v="0"/>
    <x v="0"/>
  </r>
  <r>
    <x v="212"/>
    <x v="212"/>
    <n v="50"/>
    <n v="50"/>
    <n v="0"/>
    <x v="0"/>
  </r>
  <r>
    <x v="213"/>
    <x v="213"/>
    <n v="50"/>
    <n v="50"/>
    <n v="0"/>
    <x v="0"/>
  </r>
  <r>
    <x v="214"/>
    <x v="214"/>
    <n v="50"/>
    <n v="50"/>
    <n v="0"/>
    <x v="0"/>
  </r>
  <r>
    <x v="215"/>
    <x v="215"/>
    <n v="100"/>
    <n v="50"/>
    <n v="-50"/>
    <x v="2"/>
  </r>
  <r>
    <x v="216"/>
    <x v="216"/>
    <n v="50"/>
    <n v="50"/>
    <n v="0"/>
    <x v="0"/>
  </r>
  <r>
    <x v="217"/>
    <x v="217"/>
    <n v="50"/>
    <n v="50"/>
    <n v="0"/>
    <x v="0"/>
  </r>
  <r>
    <x v="218"/>
    <x v="218"/>
    <n v="50"/>
    <n v="50"/>
    <n v="0"/>
    <x v="0"/>
  </r>
  <r>
    <x v="219"/>
    <x v="219"/>
    <n v="50"/>
    <n v="50"/>
    <n v="0"/>
    <x v="0"/>
  </r>
  <r>
    <x v="220"/>
    <x v="220"/>
    <n v="50"/>
    <n v="50"/>
    <n v="0"/>
    <x v="0"/>
  </r>
  <r>
    <x v="221"/>
    <x v="221"/>
    <n v="50"/>
    <n v="50"/>
    <n v="0"/>
    <x v="0"/>
  </r>
  <r>
    <x v="222"/>
    <x v="222"/>
    <n v="50"/>
    <n v="50"/>
    <n v="0"/>
    <x v="0"/>
  </r>
  <r>
    <x v="223"/>
    <x v="223"/>
    <n v="50"/>
    <n v="50"/>
    <n v="0"/>
    <x v="0"/>
  </r>
  <r>
    <x v="224"/>
    <x v="224"/>
    <n v="50"/>
    <n v="50"/>
    <n v="0"/>
    <x v="0"/>
  </r>
  <r>
    <x v="225"/>
    <x v="225"/>
    <n v="50"/>
    <n v="50"/>
    <n v="0"/>
    <x v="0"/>
  </r>
  <r>
    <x v="226"/>
    <x v="226"/>
    <n v="50"/>
    <n v="50"/>
    <n v="0"/>
    <x v="0"/>
  </r>
  <r>
    <x v="227"/>
    <x v="227"/>
    <n v="50"/>
    <n v="50"/>
    <n v="0"/>
    <x v="0"/>
  </r>
  <r>
    <x v="228"/>
    <x v="228"/>
    <n v="50"/>
    <n v="50"/>
    <n v="0"/>
    <x v="0"/>
  </r>
  <r>
    <x v="229"/>
    <x v="229"/>
    <n v="50"/>
    <n v="50"/>
    <n v="0"/>
    <x v="0"/>
  </r>
  <r>
    <x v="230"/>
    <x v="230"/>
    <n v="50"/>
    <n v="50"/>
    <n v="0"/>
    <x v="0"/>
  </r>
  <r>
    <x v="231"/>
    <x v="231"/>
    <n v="50"/>
    <n v="5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29E14-8576-45C8-A4EB-C3A162F283E4}"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H1:J235" firstHeaderRow="2" firstDataRow="2" firstDataCol="2"/>
  <pivotFields count="6">
    <pivotField compact="0" outline="0" showAll="0" defaultSubtotal="0">
      <items count="232">
        <item x="8"/>
        <item x="126"/>
        <item x="5"/>
        <item x="25"/>
        <item x="220"/>
        <item x="176"/>
        <item x="19"/>
        <item x="52"/>
        <item x="128"/>
        <item x="231"/>
        <item x="230"/>
        <item x="163"/>
        <item x="108"/>
        <item x="172"/>
        <item x="213"/>
        <item x="96"/>
        <item x="210"/>
        <item x="221"/>
        <item x="138"/>
        <item x="198"/>
        <item x="81"/>
        <item x="211"/>
        <item x="62"/>
        <item x="209"/>
        <item x="40"/>
        <item x="90"/>
        <item x="4"/>
        <item x="1"/>
        <item x="150"/>
        <item x="7"/>
        <item x="180"/>
        <item x="226"/>
        <item x="88"/>
        <item x="141"/>
        <item x="124"/>
        <item x="120"/>
        <item x="15"/>
        <item x="154"/>
        <item x="218"/>
        <item x="49"/>
        <item x="167"/>
        <item x="165"/>
        <item x="228"/>
        <item x="0"/>
        <item x="170"/>
        <item x="188"/>
        <item x="185"/>
        <item x="58"/>
        <item x="14"/>
        <item x="222"/>
        <item x="132"/>
        <item x="107"/>
        <item x="127"/>
        <item x="68"/>
        <item x="160"/>
        <item x="113"/>
        <item x="53"/>
        <item x="91"/>
        <item x="133"/>
        <item x="98"/>
        <item x="32"/>
        <item x="153"/>
        <item x="85"/>
        <item x="136"/>
        <item x="199"/>
        <item x="86"/>
        <item x="186"/>
        <item x="227"/>
        <item x="169"/>
        <item x="34"/>
        <item x="212"/>
        <item x="3"/>
        <item x="131"/>
        <item x="130"/>
        <item x="79"/>
        <item x="20"/>
        <item x="26"/>
        <item x="171"/>
        <item x="83"/>
        <item x="59"/>
        <item x="166"/>
        <item x="76"/>
        <item x="102"/>
        <item x="101"/>
        <item x="219"/>
        <item x="143"/>
        <item x="183"/>
        <item x="36"/>
        <item x="145"/>
        <item x="134"/>
        <item x="229"/>
        <item x="121"/>
        <item x="10"/>
        <item x="125"/>
        <item x="16"/>
        <item x="157"/>
        <item x="119"/>
        <item x="29"/>
        <item x="44"/>
        <item x="22"/>
        <item x="94"/>
        <item x="72"/>
        <item x="205"/>
        <item x="159"/>
        <item x="77"/>
        <item x="174"/>
        <item x="187"/>
        <item x="18"/>
        <item x="112"/>
        <item x="158"/>
        <item x="225"/>
        <item x="116"/>
        <item x="43"/>
        <item x="162"/>
        <item x="50"/>
        <item x="140"/>
        <item x="11"/>
        <item x="61"/>
        <item x="67"/>
        <item x="51"/>
        <item x="110"/>
        <item x="115"/>
        <item x="84"/>
        <item x="200"/>
        <item x="152"/>
        <item x="100"/>
        <item x="189"/>
        <item x="190"/>
        <item x="117"/>
        <item x="103"/>
        <item x="184"/>
        <item x="122"/>
        <item x="135"/>
        <item x="39"/>
        <item x="54"/>
        <item x="41"/>
        <item x="123"/>
        <item x="217"/>
        <item x="46"/>
        <item x="129"/>
        <item x="193"/>
        <item x="142"/>
        <item x="97"/>
        <item x="114"/>
        <item x="191"/>
        <item x="93"/>
        <item x="151"/>
        <item x="196"/>
        <item x="161"/>
        <item x="109"/>
        <item x="57"/>
        <item x="139"/>
        <item x="146"/>
        <item x="203"/>
        <item x="164"/>
        <item x="204"/>
        <item x="28"/>
        <item x="173"/>
        <item x="202"/>
        <item x="78"/>
        <item x="144"/>
        <item x="95"/>
        <item x="75"/>
        <item x="74"/>
        <item x="55"/>
        <item x="33"/>
        <item x="87"/>
        <item x="118"/>
        <item x="214"/>
        <item x="70"/>
        <item x="37"/>
        <item x="2"/>
        <item x="197"/>
        <item x="23"/>
        <item x="82"/>
        <item x="6"/>
        <item x="30"/>
        <item x="80"/>
        <item x="156"/>
        <item x="215"/>
        <item x="168"/>
        <item x="99"/>
        <item x="192"/>
        <item x="65"/>
        <item x="194"/>
        <item x="38"/>
        <item x="195"/>
        <item x="179"/>
        <item x="224"/>
        <item x="56"/>
        <item x="106"/>
        <item x="89"/>
        <item x="148"/>
        <item x="104"/>
        <item x="47"/>
        <item x="137"/>
        <item x="92"/>
        <item x="48"/>
        <item x="63"/>
        <item x="208"/>
        <item x="60"/>
        <item x="71"/>
        <item x="177"/>
        <item x="31"/>
        <item x="21"/>
        <item x="69"/>
        <item x="178"/>
        <item x="216"/>
        <item x="45"/>
        <item x="64"/>
        <item x="13"/>
        <item x="12"/>
        <item x="223"/>
        <item x="147"/>
        <item x="111"/>
        <item x="27"/>
        <item x="66"/>
        <item x="24"/>
        <item x="9"/>
        <item x="73"/>
        <item x="17"/>
        <item x="42"/>
        <item x="175"/>
        <item x="181"/>
        <item x="207"/>
        <item x="35"/>
        <item x="182"/>
        <item x="201"/>
        <item x="206"/>
        <item x="105"/>
        <item x="149"/>
        <item x="155"/>
      </items>
    </pivotField>
    <pivotField axis="axisRow" compact="0" outline="0" showAll="0" defaultSubtotal="0">
      <items count="232">
        <item x="86"/>
        <item x="56"/>
        <item x="101"/>
        <item x="117"/>
        <item x="61"/>
        <item x="177"/>
        <item x="219"/>
        <item x="64"/>
        <item x="96"/>
        <item x="23"/>
        <item x="77"/>
        <item x="210"/>
        <item x="176"/>
        <item x="163"/>
        <item x="154"/>
        <item x="106"/>
        <item x="175"/>
        <item x="181"/>
        <item x="25"/>
        <item x="207"/>
        <item x="216"/>
        <item x="107"/>
        <item x="31"/>
        <item x="21"/>
        <item x="69"/>
        <item x="5"/>
        <item x="127"/>
        <item x="52"/>
        <item x="97"/>
        <item x="132"/>
        <item x="114"/>
        <item x="213"/>
        <item x="178"/>
        <item x="142"/>
        <item x="91"/>
        <item x="220"/>
        <item x="45"/>
        <item x="8"/>
        <item x="126"/>
        <item x="67"/>
        <item x="209"/>
        <item x="13"/>
        <item x="12"/>
        <item x="10"/>
        <item x="35"/>
        <item x="222"/>
        <item x="51"/>
        <item x="26"/>
        <item x="186"/>
        <item x="221"/>
        <item x="63"/>
        <item x="171"/>
        <item x="191"/>
        <item x="195"/>
        <item x="108"/>
        <item x="172"/>
        <item x="83"/>
        <item x="202"/>
        <item x="123"/>
        <item x="82"/>
        <item x="124"/>
        <item x="152"/>
        <item x="60"/>
        <item x="144"/>
        <item x="174"/>
        <item x="7"/>
        <item x="11"/>
        <item x="148"/>
        <item x="65"/>
        <item x="228"/>
        <item x="48"/>
        <item x="87"/>
        <item x="133"/>
        <item x="170"/>
        <item x="14"/>
        <item x="201"/>
        <item x="182"/>
        <item x="223"/>
        <item x="29"/>
        <item x="173"/>
        <item x="203"/>
        <item x="147"/>
        <item x="44"/>
        <item x="204"/>
        <item x="164"/>
        <item x="179"/>
        <item x="73"/>
        <item x="146"/>
        <item x="28"/>
        <item x="95"/>
        <item x="211"/>
        <item x="118"/>
        <item x="110"/>
        <item x="40"/>
        <item x="227"/>
        <item x="98"/>
        <item x="138"/>
        <item x="92"/>
        <item x="187"/>
        <item x="57"/>
        <item x="116"/>
        <item x="105"/>
        <item x="143"/>
        <item x="100"/>
        <item x="218"/>
        <item x="68"/>
        <item x="30"/>
        <item x="6"/>
        <item x="104"/>
        <item x="217"/>
        <item x="125"/>
        <item x="224"/>
        <item x="225"/>
        <item x="206"/>
        <item x="74"/>
        <item x="75"/>
        <item x="160"/>
        <item x="22"/>
        <item x="169"/>
        <item x="16"/>
        <item x="161"/>
        <item x="32"/>
        <item x="85"/>
        <item x="153"/>
        <item x="140"/>
        <item x="62"/>
        <item x="46"/>
        <item x="20"/>
        <item x="199"/>
        <item x="151"/>
        <item x="214"/>
        <item x="150"/>
        <item x="113"/>
        <item x="19"/>
        <item x="88"/>
        <item x="111"/>
        <item x="17"/>
        <item x="42"/>
        <item x="183"/>
        <item x="27"/>
        <item x="18"/>
        <item x="130"/>
        <item x="66"/>
        <item x="149"/>
        <item x="80"/>
        <item x="156"/>
        <item x="155"/>
        <item x="194"/>
        <item x="34"/>
        <item x="212"/>
        <item x="193"/>
        <item x="103"/>
        <item x="184"/>
        <item x="168"/>
        <item x="121"/>
        <item x="189"/>
        <item x="36"/>
        <item x="78"/>
        <item x="43"/>
        <item x="112"/>
        <item x="94"/>
        <item x="1"/>
        <item x="4"/>
        <item x="71"/>
        <item x="128"/>
        <item x="53"/>
        <item x="59"/>
        <item x="166"/>
        <item x="90"/>
        <item x="49"/>
        <item x="208"/>
        <item x="190"/>
        <item x="231"/>
        <item x="72"/>
        <item x="205"/>
        <item x="70"/>
        <item x="37"/>
        <item x="99"/>
        <item x="79"/>
        <item x="192"/>
        <item x="158"/>
        <item x="157"/>
        <item x="109"/>
        <item x="165"/>
        <item x="167"/>
        <item x="93"/>
        <item x="2"/>
        <item x="188"/>
        <item x="196"/>
        <item x="185"/>
        <item x="135"/>
        <item x="141"/>
        <item x="145"/>
        <item x="55"/>
        <item x="89"/>
        <item x="226"/>
        <item x="24"/>
        <item x="180"/>
        <item x="3"/>
        <item x="131"/>
        <item x="76"/>
        <item x="15"/>
        <item x="120"/>
        <item x="162"/>
        <item x="129"/>
        <item x="122"/>
        <item x="159"/>
        <item x="115"/>
        <item x="58"/>
        <item x="215"/>
        <item x="230"/>
        <item x="198"/>
        <item x="33"/>
        <item x="102"/>
        <item x="50"/>
        <item x="119"/>
        <item x="0"/>
        <item x="47"/>
        <item x="81"/>
        <item x="229"/>
        <item x="38"/>
        <item x="84"/>
        <item x="200"/>
        <item x="139"/>
        <item x="197"/>
        <item x="136"/>
        <item x="134"/>
        <item x="137"/>
        <item x="41"/>
        <item x="9"/>
        <item x="39"/>
        <item x="54"/>
      </items>
    </pivotField>
    <pivotField compact="0" outline="0" showAll="0"/>
    <pivotField compact="0" outline="0" showAll="0"/>
    <pivotField dataField="1" compact="0" outline="0" showAll="0"/>
    <pivotField axis="axisRow" compact="0" outline="0" showAll="0" defaultSubtotal="0">
      <items count="3">
        <item x="0"/>
        <item x="2"/>
        <item x="1"/>
      </items>
    </pivotField>
  </pivotFields>
  <rowFields count="2">
    <field x="5"/>
    <field x="1"/>
  </rowFields>
  <rowItems count="233">
    <i>
      <x/>
      <x/>
    </i>
    <i r="1">
      <x v="2"/>
    </i>
    <i r="1">
      <x v="3"/>
    </i>
    <i r="1">
      <x v="4"/>
    </i>
    <i r="1">
      <x v="5"/>
    </i>
    <i r="1">
      <x v="6"/>
    </i>
    <i r="1">
      <x v="7"/>
    </i>
    <i r="1">
      <x v="8"/>
    </i>
    <i r="1">
      <x v="11"/>
    </i>
    <i r="1">
      <x v="12"/>
    </i>
    <i r="1">
      <x v="13"/>
    </i>
    <i r="1">
      <x v="17"/>
    </i>
    <i r="1">
      <x v="18"/>
    </i>
    <i r="1">
      <x v="19"/>
    </i>
    <i r="1">
      <x v="20"/>
    </i>
    <i r="1">
      <x v="21"/>
    </i>
    <i r="1">
      <x v="24"/>
    </i>
    <i r="1">
      <x v="25"/>
    </i>
    <i r="1">
      <x v="26"/>
    </i>
    <i r="1">
      <x v="27"/>
    </i>
    <i r="1">
      <x v="29"/>
    </i>
    <i r="1">
      <x v="30"/>
    </i>
    <i r="1">
      <x v="31"/>
    </i>
    <i r="1">
      <x v="32"/>
    </i>
    <i r="1">
      <x v="34"/>
    </i>
    <i r="1">
      <x v="35"/>
    </i>
    <i r="1">
      <x v="37"/>
    </i>
    <i r="1">
      <x v="39"/>
    </i>
    <i r="1">
      <x v="40"/>
    </i>
    <i r="1">
      <x v="41"/>
    </i>
    <i r="1">
      <x v="42"/>
    </i>
    <i r="1">
      <x v="43"/>
    </i>
    <i r="1">
      <x v="45"/>
    </i>
    <i r="1">
      <x v="46"/>
    </i>
    <i r="1">
      <x v="47"/>
    </i>
    <i r="1">
      <x v="49"/>
    </i>
    <i r="1">
      <x v="52"/>
    </i>
    <i r="1">
      <x v="53"/>
    </i>
    <i r="1">
      <x v="54"/>
    </i>
    <i r="1">
      <x v="57"/>
    </i>
    <i r="1">
      <x v="58"/>
    </i>
    <i r="1">
      <x v="59"/>
    </i>
    <i r="1">
      <x v="60"/>
    </i>
    <i r="1">
      <x v="61"/>
    </i>
    <i r="1">
      <x v="63"/>
    </i>
    <i r="1">
      <x v="64"/>
    </i>
    <i r="1">
      <x v="65"/>
    </i>
    <i r="1">
      <x v="66"/>
    </i>
    <i r="1">
      <x v="67"/>
    </i>
    <i r="1">
      <x v="68"/>
    </i>
    <i r="1">
      <x v="69"/>
    </i>
    <i r="1">
      <x v="71"/>
    </i>
    <i r="1">
      <x v="72"/>
    </i>
    <i r="1">
      <x v="73"/>
    </i>
    <i r="1">
      <x v="74"/>
    </i>
    <i r="1">
      <x v="76"/>
    </i>
    <i r="1">
      <x v="77"/>
    </i>
    <i r="1">
      <x v="78"/>
    </i>
    <i r="1">
      <x v="79"/>
    </i>
    <i r="1">
      <x v="80"/>
    </i>
    <i r="1">
      <x v="81"/>
    </i>
    <i r="1">
      <x v="82"/>
    </i>
    <i r="1">
      <x v="83"/>
    </i>
    <i r="1">
      <x v="84"/>
    </i>
    <i r="1">
      <x v="86"/>
    </i>
    <i r="1">
      <x v="87"/>
    </i>
    <i r="1">
      <x v="88"/>
    </i>
    <i r="1">
      <x v="89"/>
    </i>
    <i r="1">
      <x v="90"/>
    </i>
    <i r="1">
      <x v="91"/>
    </i>
    <i r="1">
      <x v="92"/>
    </i>
    <i r="1">
      <x v="93"/>
    </i>
    <i r="1">
      <x v="94"/>
    </i>
    <i r="1">
      <x v="95"/>
    </i>
    <i r="1">
      <x v="97"/>
    </i>
    <i r="1">
      <x v="100"/>
    </i>
    <i r="1">
      <x v="103"/>
    </i>
    <i r="1">
      <x v="104"/>
    </i>
    <i r="1">
      <x v="107"/>
    </i>
    <i r="1">
      <x v="108"/>
    </i>
    <i r="1">
      <x v="109"/>
    </i>
    <i r="1">
      <x v="110"/>
    </i>
    <i r="1">
      <x v="111"/>
    </i>
    <i r="1">
      <x v="112"/>
    </i>
    <i r="1">
      <x v="113"/>
    </i>
    <i r="1">
      <x v="114"/>
    </i>
    <i r="1">
      <x v="115"/>
    </i>
    <i r="1">
      <x v="117"/>
    </i>
    <i r="1">
      <x v="119"/>
    </i>
    <i r="1">
      <x v="121"/>
    </i>
    <i r="1">
      <x v="124"/>
    </i>
    <i r="1">
      <x v="127"/>
    </i>
    <i r="1">
      <x v="129"/>
    </i>
    <i r="1">
      <x v="130"/>
    </i>
    <i r="1">
      <x v="131"/>
    </i>
    <i r="1">
      <x v="133"/>
    </i>
    <i r="1">
      <x v="134"/>
    </i>
    <i r="1">
      <x v="135"/>
    </i>
    <i r="1">
      <x v="136"/>
    </i>
    <i r="1">
      <x v="138"/>
    </i>
    <i r="1">
      <x v="142"/>
    </i>
    <i r="1">
      <x v="143"/>
    </i>
    <i r="1">
      <x v="145"/>
    </i>
    <i r="1">
      <x v="146"/>
    </i>
    <i r="1">
      <x v="147"/>
    </i>
    <i r="1">
      <x v="148"/>
    </i>
    <i r="1">
      <x v="149"/>
    </i>
    <i r="1">
      <x v="151"/>
    </i>
    <i r="1">
      <x v="152"/>
    </i>
    <i r="1">
      <x v="155"/>
    </i>
    <i r="1">
      <x v="156"/>
    </i>
    <i r="1">
      <x v="157"/>
    </i>
    <i r="1">
      <x v="158"/>
    </i>
    <i r="1">
      <x v="159"/>
    </i>
    <i r="1">
      <x v="160"/>
    </i>
    <i r="1">
      <x v="161"/>
    </i>
    <i r="1">
      <x v="162"/>
    </i>
    <i r="1">
      <x v="163"/>
    </i>
    <i r="1">
      <x v="164"/>
    </i>
    <i r="1">
      <x v="166"/>
    </i>
    <i r="1">
      <x v="169"/>
    </i>
    <i r="1">
      <x v="170"/>
    </i>
    <i r="1">
      <x v="172"/>
    </i>
    <i r="1">
      <x v="173"/>
    </i>
    <i r="1">
      <x v="174"/>
    </i>
    <i r="1">
      <x v="176"/>
    </i>
    <i r="1">
      <x v="177"/>
    </i>
    <i r="1">
      <x v="178"/>
    </i>
    <i r="1">
      <x v="179"/>
    </i>
    <i r="1">
      <x v="181"/>
    </i>
    <i r="1">
      <x v="185"/>
    </i>
    <i r="1">
      <x v="186"/>
    </i>
    <i r="1">
      <x v="187"/>
    </i>
    <i r="1">
      <x v="188"/>
    </i>
    <i r="1">
      <x v="190"/>
    </i>
    <i r="1">
      <x v="191"/>
    </i>
    <i r="1">
      <x v="192"/>
    </i>
    <i r="1">
      <x v="195"/>
    </i>
    <i r="1">
      <x v="198"/>
    </i>
    <i r="1">
      <x v="199"/>
    </i>
    <i r="1">
      <x v="200"/>
    </i>
    <i r="1">
      <x v="201"/>
    </i>
    <i r="1">
      <x v="203"/>
    </i>
    <i r="1">
      <x v="204"/>
    </i>
    <i r="1">
      <x v="205"/>
    </i>
    <i r="1">
      <x v="207"/>
    </i>
    <i r="1">
      <x v="208"/>
    </i>
    <i r="1">
      <x v="210"/>
    </i>
    <i r="1">
      <x v="211"/>
    </i>
    <i r="1">
      <x v="212"/>
    </i>
    <i r="1">
      <x v="213"/>
    </i>
    <i r="1">
      <x v="214"/>
    </i>
    <i r="1">
      <x v="215"/>
    </i>
    <i r="1">
      <x v="216"/>
    </i>
    <i r="1">
      <x v="218"/>
    </i>
    <i r="1">
      <x v="219"/>
    </i>
    <i r="1">
      <x v="220"/>
    </i>
    <i r="1">
      <x v="222"/>
    </i>
    <i r="1">
      <x v="223"/>
    </i>
    <i r="1">
      <x v="226"/>
    </i>
    <i r="1">
      <x v="228"/>
    </i>
    <i r="1">
      <x v="230"/>
    </i>
    <i>
      <x v="1"/>
      <x v="1"/>
    </i>
    <i r="1">
      <x v="10"/>
    </i>
    <i r="1">
      <x v="14"/>
    </i>
    <i r="1">
      <x v="15"/>
    </i>
    <i r="1">
      <x v="16"/>
    </i>
    <i r="1">
      <x v="22"/>
    </i>
    <i r="1">
      <x v="23"/>
    </i>
    <i r="1">
      <x v="28"/>
    </i>
    <i r="1">
      <x v="33"/>
    </i>
    <i r="1">
      <x v="36"/>
    </i>
    <i r="1">
      <x v="48"/>
    </i>
    <i r="1">
      <x v="50"/>
    </i>
    <i r="1">
      <x v="51"/>
    </i>
    <i r="1">
      <x v="55"/>
    </i>
    <i r="1">
      <x v="56"/>
    </i>
    <i r="1">
      <x v="62"/>
    </i>
    <i r="1">
      <x v="70"/>
    </i>
    <i r="1">
      <x v="85"/>
    </i>
    <i r="1">
      <x v="96"/>
    </i>
    <i r="1">
      <x v="98"/>
    </i>
    <i r="1">
      <x v="99"/>
    </i>
    <i r="1">
      <x v="102"/>
    </i>
    <i r="1">
      <x v="116"/>
    </i>
    <i r="1">
      <x v="118"/>
    </i>
    <i r="1">
      <x v="120"/>
    </i>
    <i r="1">
      <x v="122"/>
    </i>
    <i r="1">
      <x v="123"/>
    </i>
    <i r="1">
      <x v="125"/>
    </i>
    <i r="1">
      <x v="126"/>
    </i>
    <i r="1">
      <x v="128"/>
    </i>
    <i r="1">
      <x v="132"/>
    </i>
    <i r="1">
      <x v="139"/>
    </i>
    <i r="1">
      <x v="140"/>
    </i>
    <i r="1">
      <x v="141"/>
    </i>
    <i r="1">
      <x v="150"/>
    </i>
    <i r="1">
      <x v="153"/>
    </i>
    <i r="1">
      <x v="154"/>
    </i>
    <i r="1">
      <x v="165"/>
    </i>
    <i r="1">
      <x v="167"/>
    </i>
    <i r="1">
      <x v="168"/>
    </i>
    <i r="1">
      <x v="171"/>
    </i>
    <i r="1">
      <x v="175"/>
    </i>
    <i r="1">
      <x v="180"/>
    </i>
    <i r="1">
      <x v="182"/>
    </i>
    <i r="1">
      <x v="183"/>
    </i>
    <i r="1">
      <x v="184"/>
    </i>
    <i r="1">
      <x v="189"/>
    </i>
    <i r="1">
      <x v="196"/>
    </i>
    <i r="1">
      <x v="197"/>
    </i>
    <i r="1">
      <x v="202"/>
    </i>
    <i r="1">
      <x v="206"/>
    </i>
    <i r="1">
      <x v="209"/>
    </i>
    <i r="1">
      <x v="217"/>
    </i>
    <i r="1">
      <x v="224"/>
    </i>
    <i r="1">
      <x v="225"/>
    </i>
    <i r="1">
      <x v="227"/>
    </i>
    <i r="1">
      <x v="231"/>
    </i>
    <i>
      <x v="2"/>
      <x v="9"/>
    </i>
    <i r="1">
      <x v="38"/>
    </i>
    <i r="1">
      <x v="44"/>
    </i>
    <i r="1">
      <x v="75"/>
    </i>
    <i r="1">
      <x v="101"/>
    </i>
    <i r="1">
      <x v="105"/>
    </i>
    <i r="1">
      <x v="106"/>
    </i>
    <i r="1">
      <x v="137"/>
    </i>
    <i r="1">
      <x v="144"/>
    </i>
    <i r="1">
      <x v="193"/>
    </i>
    <i r="1">
      <x v="194"/>
    </i>
    <i r="1">
      <x v="221"/>
    </i>
    <i r="1">
      <x v="229"/>
    </i>
    <i t="grand">
      <x/>
    </i>
  </rowItems>
  <colItems count="1">
    <i/>
  </colItems>
  <dataFields count="1">
    <dataField name="Sum of diff"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EBE13D-5532-4FCD-B5BE-44F59627FDF8}" name="PivotTable1" cacheId="13" applyNumberFormats="0" applyBorderFormats="0" applyFontFormats="0" applyPatternFormats="0" applyAlignmentFormats="0" applyWidthHeightFormats="1" dataCaption="Values" updatedVersion="6" minRefreshableVersion="3" showDrill="0" itemPrintTitles="1" createdVersion="6" indent="0" compact="0" compactData="0" multipleFieldFilters="0" fieldListSortAscending="1">
  <location ref="A7:D447" firstHeaderRow="1" firstDataRow="1" firstDataCol="4" rowPageCount="1" colPageCount="1"/>
  <pivotFields count="33">
    <pivotField axis="axisPage" compact="0" outline="0" showAll="0">
      <items count="4">
        <item x="0"/>
        <item x="1"/>
        <item x="2"/>
        <item t="default"/>
      </items>
    </pivotField>
    <pivotField axis="axisRow" compact="0" outline="0" showAll="0" defaultSubtotal="0">
      <items count="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axis="axisRow" compact="0" outline="0" showAll="0" defaultSubtotal="0">
      <items count="4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s>
    </pivotField>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numFmtId="3" outline="0" showAll="0"/>
    <pivotField compact="0" numFmtId="3" outline="0" showAll="0"/>
    <pivotField compact="0" numFmtId="3" outline="0" showAll="0"/>
    <pivotField compact="0" outline="0" showAll="0"/>
    <pivotField compact="0" numFmtId="3" outline="0" showAll="0"/>
    <pivotField compact="0" outline="0" showAll="0"/>
    <pivotField axis="axisRow" compact="0" numFmtId="3" outline="0" showAll="0" sortType="descending" defaultSubtotal="0">
      <items count="105">
        <item x="54"/>
        <item x="68"/>
        <item x="67"/>
        <item x="38"/>
        <item x="96"/>
        <item x="73"/>
        <item x="82"/>
        <item x="100"/>
        <item x="40"/>
        <item x="93"/>
        <item x="86"/>
        <item x="9"/>
        <item x="70"/>
        <item x="104"/>
        <item x="65"/>
        <item x="71"/>
        <item x="13"/>
        <item x="81"/>
        <item x="66"/>
        <item x="72"/>
        <item x="35"/>
        <item x="98"/>
        <item x="45"/>
        <item x="60"/>
        <item x="24"/>
        <item x="89"/>
        <item x="8"/>
        <item x="78"/>
        <item x="69"/>
        <item x="47"/>
        <item x="61"/>
        <item x="64"/>
        <item x="74"/>
        <item x="55"/>
        <item x="32"/>
        <item x="88"/>
        <item x="85"/>
        <item x="22"/>
        <item x="99"/>
        <item x="51"/>
        <item x="36"/>
        <item x="25"/>
        <item x="103"/>
        <item x="33"/>
        <item x="3"/>
        <item x="77"/>
        <item x="17"/>
        <item x="31"/>
        <item x="97"/>
        <item x="92"/>
        <item x="10"/>
        <item x="29"/>
        <item x="44"/>
        <item x="62"/>
        <item x="34"/>
        <item x="15"/>
        <item x="30"/>
        <item x="26"/>
        <item x="21"/>
        <item x="16"/>
        <item x="12"/>
        <item x="79"/>
        <item x="42"/>
        <item x="43"/>
        <item x="46"/>
        <item x="95"/>
        <item x="58"/>
        <item x="57"/>
        <item x="84"/>
        <item x="18"/>
        <item x="2"/>
        <item x="6"/>
        <item x="94"/>
        <item x="59"/>
        <item x="14"/>
        <item x="11"/>
        <item x="83"/>
        <item x="63"/>
        <item x="4"/>
        <item x="5"/>
        <item x="80"/>
        <item x="1"/>
        <item x="7"/>
        <item x="53"/>
        <item x="19"/>
        <item x="28"/>
        <item x="0"/>
        <item x="102"/>
        <item x="87"/>
        <item x="48"/>
        <item x="37"/>
        <item x="101"/>
        <item x="49"/>
        <item x="20"/>
        <item x="91"/>
        <item x="52"/>
        <item x="50"/>
        <item x="56"/>
        <item x="76"/>
        <item x="27"/>
        <item x="23"/>
        <item x="90"/>
        <item x="41"/>
        <item x="39"/>
        <item x="75"/>
      </items>
      <extLst>
        <ext xmlns:x14="http://schemas.microsoft.com/office/spreadsheetml/2009/9/main" uri="{2946ED86-A175-432a-8AC1-64E0C546D7DE}">
          <x14:pivotField fillDownLabels="1"/>
        </ext>
      </extLst>
    </pivotField>
    <pivotField axis="axisRow" compact="0" outline="0" showAll="0">
      <items count="5">
        <item x="3"/>
        <item x="2"/>
        <item x="1"/>
        <item x="0"/>
        <item t="default"/>
      </items>
    </pivotField>
    <pivotField compact="0" outline="0" showAll="0"/>
    <pivotField compact="0" outline="0" showAll="0"/>
    <pivotField compact="0" outline="0" showAll="0"/>
    <pivotField compact="0" numFmtId="1" outline="0" showAll="0"/>
  </pivotFields>
  <rowFields count="4">
    <field x="1"/>
    <field x="27"/>
    <field x="5"/>
    <field x="28"/>
  </rowFields>
  <rowItems count="440">
    <i>
      <x/>
      <x v="2"/>
      <x v="168"/>
      <x/>
    </i>
    <i r="1">
      <x v="5"/>
      <x v="167"/>
      <x/>
    </i>
    <i r="1">
      <x v="25"/>
      <x v="272"/>
      <x v="1"/>
    </i>
    <i r="1">
      <x v="26"/>
      <x v="271"/>
      <x v="1"/>
    </i>
    <i r="1">
      <x v="27"/>
      <x v="248"/>
      <x v="1"/>
    </i>
    <i r="1">
      <x v="37"/>
      <x v="173"/>
      <x v="1"/>
    </i>
    <i r="1">
      <x v="38"/>
      <x v="385"/>
      <x v="1"/>
    </i>
    <i r="1">
      <x v="40"/>
      <x v="234"/>
      <x v="1"/>
    </i>
    <i r="1">
      <x v="43"/>
      <x v="165"/>
      <x v="1"/>
    </i>
    <i r="1">
      <x v="47"/>
      <x v="393"/>
      <x v="2"/>
    </i>
    <i r="1">
      <x v="51"/>
      <x v="247"/>
      <x v="2"/>
    </i>
    <i r="1">
      <x v="54"/>
      <x v="315"/>
      <x v="2"/>
    </i>
    <i r="1">
      <x v="58"/>
      <x v="112"/>
      <x v="2"/>
    </i>
    <i r="1">
      <x v="59"/>
      <x v="270"/>
      <x v="2"/>
    </i>
    <i r="2">
      <x v="291"/>
      <x v="2"/>
    </i>
    <i r="1">
      <x v="67"/>
      <x v="207"/>
      <x v="2"/>
    </i>
    <i r="1">
      <x v="70"/>
      <x v="392"/>
      <x v="2"/>
    </i>
    <i r="1">
      <x v="86"/>
      <x/>
      <x v="3"/>
    </i>
    <i r="2">
      <x v="386"/>
      <x v="3"/>
    </i>
    <i r="1">
      <x v="87"/>
      <x v="394"/>
      <x v="3"/>
    </i>
    <i r="1">
      <x v="96"/>
      <x v="423"/>
      <x v="3"/>
    </i>
    <i r="1">
      <x v="100"/>
      <x v="166"/>
      <x v="3"/>
    </i>
    <i r="1">
      <x v="102"/>
      <x v="187"/>
      <x v="3"/>
    </i>
    <i r="1">
      <x v="104"/>
      <x v="172"/>
      <x v="3"/>
    </i>
    <i>
      <x v="1"/>
      <x v="16"/>
      <x v="184"/>
      <x/>
    </i>
    <i r="1">
      <x v="17"/>
      <x v="213"/>
      <x/>
    </i>
    <i r="1">
      <x v="19"/>
      <x v="163"/>
      <x/>
    </i>
    <i r="1">
      <x v="20"/>
      <x v="47"/>
      <x v="1"/>
    </i>
    <i r="2">
      <x v="78"/>
      <x v="1"/>
    </i>
    <i r="2">
      <x v="185"/>
      <x v="1"/>
    </i>
    <i r="1">
      <x v="22"/>
      <x v="65"/>
      <x v="1"/>
    </i>
    <i r="1">
      <x v="36"/>
      <x v="241"/>
      <x v="1"/>
    </i>
    <i r="1">
      <x v="43"/>
      <x v="114"/>
      <x v="1"/>
    </i>
    <i r="1">
      <x v="46"/>
      <x v="418"/>
      <x v="1"/>
    </i>
    <i r="1">
      <x v="47"/>
      <x v="267"/>
      <x v="2"/>
    </i>
    <i r="1">
      <x v="53"/>
      <x v="131"/>
      <x v="2"/>
    </i>
    <i r="1">
      <x v="54"/>
      <x v="44"/>
      <x v="2"/>
    </i>
    <i r="2">
      <x v="74"/>
      <x v="2"/>
    </i>
    <i r="1">
      <x v="58"/>
      <x v="77"/>
      <x v="2"/>
    </i>
    <i r="1">
      <x v="59"/>
      <x v="71"/>
      <x v="2"/>
    </i>
    <i r="1">
      <x v="62"/>
      <x v="61"/>
      <x v="2"/>
    </i>
    <i r="1">
      <x v="63"/>
      <x v="220"/>
      <x v="2"/>
    </i>
    <i r="1">
      <x v="66"/>
      <x v="226"/>
      <x v="2"/>
    </i>
    <i r="1">
      <x v="78"/>
      <x v="279"/>
      <x v="2"/>
    </i>
    <i r="1">
      <x v="81"/>
      <x v="1"/>
      <x v="2"/>
    </i>
    <i r="1">
      <x v="93"/>
      <x v="59"/>
      <x v="3"/>
    </i>
    <i r="2">
      <x v="94"/>
      <x v="3"/>
    </i>
    <i r="2">
      <x v="214"/>
      <x v="3"/>
    </i>
    <i r="2">
      <x v="217"/>
      <x v="3"/>
    </i>
    <i>
      <x v="2"/>
      <x v="3"/>
      <x v="133"/>
      <x/>
    </i>
    <i r="1">
      <x v="4"/>
      <x v="337"/>
      <x/>
    </i>
    <i r="1">
      <x v="6"/>
      <x v="228"/>
      <x/>
    </i>
    <i r="1">
      <x v="9"/>
      <x v="365"/>
      <x/>
    </i>
    <i r="1">
      <x v="14"/>
      <x v="144"/>
      <x/>
    </i>
    <i r="1">
      <x v="31"/>
      <x v="140"/>
      <x v="1"/>
    </i>
    <i r="2">
      <x v="141"/>
      <x v="1"/>
    </i>
    <i r="1">
      <x v="34"/>
      <x v="293"/>
      <x v="1"/>
    </i>
    <i r="1">
      <x v="57"/>
      <x v="32"/>
      <x v="2"/>
    </i>
    <i r="1">
      <x v="65"/>
      <x v="348"/>
      <x v="2"/>
    </i>
    <i r="1">
      <x v="70"/>
      <x v="2"/>
      <x v="2"/>
    </i>
    <i r="2">
      <x v="142"/>
      <x v="2"/>
    </i>
    <i r="1">
      <x v="71"/>
      <x v="367"/>
      <x v="2"/>
    </i>
    <i r="1">
      <x v="72"/>
      <x v="314"/>
      <x v="2"/>
    </i>
    <i r="1">
      <x v="74"/>
      <x v="368"/>
      <x v="2"/>
    </i>
    <i r="1">
      <x v="75"/>
      <x v="366"/>
      <x v="2"/>
    </i>
    <i r="1">
      <x v="78"/>
      <x v="265"/>
      <x v="2"/>
    </i>
    <i r="1">
      <x v="88"/>
      <x v="342"/>
      <x v="3"/>
    </i>
    <i r="1">
      <x v="89"/>
      <x v="83"/>
      <x v="3"/>
    </i>
    <i r="1">
      <x v="93"/>
      <x v="154"/>
      <x v="3"/>
    </i>
    <i r="1">
      <x v="95"/>
      <x v="401"/>
      <x v="3"/>
    </i>
    <i r="2">
      <x v="402"/>
      <x v="3"/>
    </i>
    <i r="1">
      <x v="96"/>
      <x v="130"/>
      <x v="3"/>
    </i>
    <i r="2">
      <x v="266"/>
      <x v="3"/>
    </i>
    <i r="1">
      <x v="99"/>
      <x v="240"/>
      <x v="3"/>
    </i>
    <i r="1">
      <x v="100"/>
      <x v="143"/>
      <x v="3"/>
    </i>
    <i r="1">
      <x v="103"/>
      <x v="349"/>
      <x v="3"/>
    </i>
    <i>
      <x v="3"/>
      <x v="7"/>
      <x v="387"/>
      <x/>
    </i>
    <i r="1">
      <x v="23"/>
      <x v="203"/>
      <x v="1"/>
    </i>
    <i r="1">
      <x v="30"/>
      <x v="295"/>
      <x v="1"/>
    </i>
    <i r="1">
      <x v="31"/>
      <x v="435"/>
      <x v="1"/>
    </i>
    <i r="1">
      <x v="33"/>
      <x v="391"/>
      <x v="1"/>
    </i>
    <i r="1">
      <x v="44"/>
      <x v="3"/>
      <x v="1"/>
    </i>
    <i r="2">
      <x v="434"/>
      <x v="1"/>
    </i>
    <i r="1">
      <x v="54"/>
      <x v="390"/>
      <x v="2"/>
    </i>
    <i r="2">
      <x v="438"/>
      <x v="2"/>
    </i>
    <i r="1">
      <x v="62"/>
      <x v="107"/>
      <x v="2"/>
    </i>
    <i r="1">
      <x v="63"/>
      <x v="424"/>
      <x v="2"/>
    </i>
    <i r="1">
      <x v="66"/>
      <x v="202"/>
      <x v="2"/>
    </i>
    <i r="1">
      <x v="67"/>
      <x v="427"/>
      <x v="2"/>
    </i>
    <i r="1">
      <x v="70"/>
      <x v="6"/>
      <x v="2"/>
    </i>
    <i r="1">
      <x v="71"/>
      <x v="9"/>
      <x v="2"/>
    </i>
    <i r="1">
      <x v="73"/>
      <x v="125"/>
      <x v="2"/>
    </i>
    <i r="1">
      <x v="74"/>
      <x v="249"/>
      <x v="2"/>
    </i>
    <i r="1">
      <x v="78"/>
      <x v="273"/>
      <x v="2"/>
    </i>
    <i r="1">
      <x v="81"/>
      <x v="276"/>
      <x v="2"/>
    </i>
    <i r="1">
      <x v="90"/>
      <x v="204"/>
      <x v="3"/>
    </i>
    <i r="1">
      <x v="96"/>
      <x v="181"/>
      <x v="3"/>
    </i>
    <i r="2">
      <x v="206"/>
      <x v="3"/>
    </i>
    <i r="1">
      <x v="99"/>
      <x v="37"/>
      <x v="3"/>
    </i>
    <i r="1">
      <x v="100"/>
      <x v="113"/>
      <x v="3"/>
    </i>
    <i r="1">
      <x v="102"/>
      <x v="294"/>
      <x v="3"/>
    </i>
    <i>
      <x v="4"/>
      <x v="1"/>
      <x v="151"/>
      <x/>
    </i>
    <i r="1">
      <x v="3"/>
      <x v="323"/>
      <x/>
    </i>
    <i r="1">
      <x v="11"/>
      <x v="319"/>
      <x/>
    </i>
    <i r="1">
      <x v="12"/>
      <x v="155"/>
      <x/>
    </i>
    <i r="1">
      <x v="15"/>
      <x v="160"/>
      <x/>
    </i>
    <i r="1">
      <x v="19"/>
      <x v="408"/>
      <x/>
    </i>
    <i r="1">
      <x v="25"/>
      <x v="292"/>
      <x v="1"/>
    </i>
    <i r="1">
      <x v="26"/>
      <x v="11"/>
      <x v="1"/>
    </i>
    <i r="2">
      <x v="188"/>
      <x v="1"/>
    </i>
    <i r="1">
      <x v="27"/>
      <x v="211"/>
      <x v="1"/>
    </i>
    <i r="1">
      <x v="46"/>
      <x v="409"/>
      <x v="1"/>
    </i>
    <i r="1">
      <x v="56"/>
      <x v="170"/>
      <x v="2"/>
    </i>
    <i r="1">
      <x v="60"/>
      <x v="350"/>
      <x v="2"/>
    </i>
    <i r="1">
      <x v="64"/>
      <x v="280"/>
      <x v="2"/>
    </i>
    <i r="1">
      <x v="70"/>
      <x v="4"/>
      <x v="2"/>
    </i>
    <i r="2">
      <x v="324"/>
      <x v="2"/>
    </i>
    <i r="1">
      <x v="73"/>
      <x v="321"/>
      <x v="2"/>
    </i>
    <i r="1">
      <x v="76"/>
      <x v="422"/>
      <x v="2"/>
    </i>
    <i r="1">
      <x v="80"/>
      <x v="306"/>
      <x v="2"/>
    </i>
    <i r="1">
      <x v="84"/>
      <x v="23"/>
      <x v="3"/>
    </i>
    <i r="1">
      <x v="94"/>
      <x v="296"/>
      <x v="3"/>
    </i>
    <i r="1">
      <x v="95"/>
      <x v="311"/>
      <x v="3"/>
    </i>
    <i r="1">
      <x v="99"/>
      <x v="156"/>
      <x v="3"/>
    </i>
    <i r="1">
      <x v="100"/>
      <x v="210"/>
      <x v="3"/>
    </i>
    <i r="1">
      <x v="102"/>
      <x v="264"/>
      <x v="3"/>
    </i>
    <i>
      <x v="5"/>
      <x v="37"/>
      <x v="351"/>
      <x v="1"/>
    </i>
    <i r="1">
      <x v="41"/>
      <x v="353"/>
      <x v="1"/>
    </i>
    <i r="1">
      <x v="53"/>
      <x v="356"/>
      <x v="2"/>
    </i>
    <i r="1">
      <x v="69"/>
      <x v="254"/>
      <x v="2"/>
    </i>
    <i r="1">
      <x v="70"/>
      <x v="199"/>
      <x v="2"/>
    </i>
    <i r="2">
      <x v="355"/>
      <x v="2"/>
    </i>
    <i r="1">
      <x v="71"/>
      <x v="225"/>
      <x v="2"/>
    </i>
    <i r="1">
      <x v="73"/>
      <x v="229"/>
      <x v="2"/>
    </i>
    <i r="1">
      <x v="76"/>
      <x v="230"/>
      <x v="2"/>
    </i>
    <i r="1">
      <x v="78"/>
      <x v="7"/>
      <x v="2"/>
    </i>
    <i r="2">
      <x v="357"/>
      <x v="2"/>
    </i>
    <i r="1">
      <x v="79"/>
      <x v="8"/>
      <x v="2"/>
    </i>
    <i r="2">
      <x v="215"/>
      <x v="2"/>
    </i>
    <i r="1">
      <x v="80"/>
      <x v="212"/>
      <x v="2"/>
    </i>
    <i r="1">
      <x v="81"/>
      <x v="5"/>
      <x v="2"/>
    </i>
    <i r="1">
      <x v="82"/>
      <x v="191"/>
      <x v="3"/>
    </i>
    <i r="2">
      <x v="352"/>
      <x v="3"/>
    </i>
    <i r="1">
      <x v="83"/>
      <x v="227"/>
      <x v="3"/>
    </i>
    <i r="1">
      <x v="93"/>
      <x v="34"/>
      <x v="3"/>
    </i>
    <i r="2">
      <x v="108"/>
      <x v="3"/>
    </i>
    <i r="2">
      <x v="358"/>
      <x v="3"/>
    </i>
    <i r="1">
      <x v="96"/>
      <x v="354"/>
      <x v="3"/>
    </i>
    <i r="1">
      <x v="100"/>
      <x v="194"/>
      <x v="3"/>
    </i>
    <i r="2">
      <x v="255"/>
      <x v="3"/>
    </i>
    <i r="2">
      <x v="256"/>
      <x v="3"/>
    </i>
    <i>
      <x v="6"/>
      <x v="10"/>
      <x v="251"/>
      <x/>
    </i>
    <i r="1">
      <x v="11"/>
      <x v="121"/>
      <x/>
    </i>
    <i r="1">
      <x v="20"/>
      <x v="148"/>
      <x v="1"/>
    </i>
    <i r="1">
      <x v="33"/>
      <x v="286"/>
      <x v="1"/>
    </i>
    <i r="1">
      <x v="37"/>
      <x v="116"/>
      <x v="1"/>
    </i>
    <i r="1">
      <x v="41"/>
      <x v="30"/>
      <x v="1"/>
    </i>
    <i r="1">
      <x v="42"/>
      <x v="395"/>
      <x v="1"/>
    </i>
    <i r="1">
      <x v="43"/>
      <x v="415"/>
      <x v="1"/>
    </i>
    <i r="1">
      <x v="53"/>
      <x v="287"/>
      <x v="2"/>
    </i>
    <i r="1">
      <x v="55"/>
      <x v="120"/>
      <x v="2"/>
    </i>
    <i r="1">
      <x v="59"/>
      <x v="284"/>
      <x v="2"/>
    </i>
    <i r="1">
      <x v="63"/>
      <x v="232"/>
      <x v="2"/>
    </i>
    <i r="2">
      <x v="285"/>
      <x v="2"/>
    </i>
    <i r="1">
      <x v="70"/>
      <x v="118"/>
      <x v="2"/>
    </i>
    <i r="1">
      <x v="71"/>
      <x v="430"/>
      <x v="2"/>
    </i>
    <i r="1">
      <x v="74"/>
      <x v="177"/>
      <x v="2"/>
    </i>
    <i r="1">
      <x v="79"/>
      <x v="119"/>
      <x v="2"/>
    </i>
    <i r="2">
      <x v="179"/>
      <x v="2"/>
    </i>
    <i r="1">
      <x v="82"/>
      <x v="10"/>
      <x v="3"/>
    </i>
    <i r="2">
      <x v="283"/>
      <x v="3"/>
    </i>
    <i r="1">
      <x v="90"/>
      <x v="288"/>
      <x v="3"/>
    </i>
    <i r="1">
      <x v="92"/>
      <x v="309"/>
      <x v="3"/>
    </i>
    <i r="1">
      <x v="93"/>
      <x v="115"/>
      <x v="3"/>
    </i>
    <i r="1">
      <x v="94"/>
      <x v="398"/>
      <x v="3"/>
    </i>
    <i r="2">
      <x v="407"/>
      <x v="3"/>
    </i>
    <i r="1">
      <x v="97"/>
      <x v="109"/>
      <x v="3"/>
    </i>
    <i r="1">
      <x v="98"/>
      <x v="192"/>
      <x v="3"/>
    </i>
    <i r="1">
      <x v="100"/>
      <x v="178"/>
      <x v="3"/>
    </i>
    <i r="2">
      <x v="411"/>
      <x v="3"/>
    </i>
    <i>
      <x v="7"/>
      <x v="11"/>
      <x v="12"/>
      <x/>
    </i>
    <i r="2">
      <x v="336"/>
      <x/>
    </i>
    <i r="1">
      <x v="15"/>
      <x v="174"/>
      <x/>
    </i>
    <i r="1">
      <x v="16"/>
      <x v="16"/>
      <x/>
    </i>
    <i r="1">
      <x v="18"/>
      <x v="152"/>
      <x/>
    </i>
    <i r="1">
      <x v="23"/>
      <x v="360"/>
      <x v="1"/>
    </i>
    <i r="1">
      <x v="28"/>
      <x v="153"/>
      <x v="1"/>
    </i>
    <i r="1">
      <x v="46"/>
      <x v="20"/>
      <x v="1"/>
    </i>
    <i r="1">
      <x v="47"/>
      <x v="189"/>
      <x v="2"/>
    </i>
    <i r="1">
      <x v="50"/>
      <x v="13"/>
      <x v="2"/>
    </i>
    <i r="1">
      <x v="55"/>
      <x v="18"/>
      <x v="2"/>
    </i>
    <i r="1">
      <x v="59"/>
      <x v="19"/>
      <x v="2"/>
    </i>
    <i r="1">
      <x v="60"/>
      <x v="15"/>
      <x v="2"/>
    </i>
    <i r="1">
      <x v="63"/>
      <x v="223"/>
      <x v="2"/>
    </i>
    <i r="1">
      <x v="67"/>
      <x v="425"/>
      <x v="2"/>
    </i>
    <i r="1">
      <x v="74"/>
      <x v="17"/>
      <x v="2"/>
    </i>
    <i r="1">
      <x v="75"/>
      <x v="14"/>
      <x v="2"/>
    </i>
    <i r="1">
      <x v="82"/>
      <x v="437"/>
      <x v="3"/>
    </i>
    <i r="1">
      <x v="90"/>
      <x v="335"/>
      <x v="3"/>
    </i>
    <i r="1">
      <x v="91"/>
      <x v="388"/>
      <x v="3"/>
    </i>
    <i r="1">
      <x v="95"/>
      <x v="150"/>
      <x v="3"/>
    </i>
    <i r="1">
      <x v="99"/>
      <x v="123"/>
      <x v="3"/>
    </i>
    <i r="1">
      <x v="102"/>
      <x v="320"/>
      <x v="3"/>
    </i>
    <i r="2">
      <x v="334"/>
      <x v="3"/>
    </i>
    <i>
      <x v="8"/>
      <x v="9"/>
      <x v="299"/>
      <x/>
    </i>
    <i r="1">
      <x v="16"/>
      <x v="301"/>
      <x/>
    </i>
    <i r="1">
      <x v="24"/>
      <x v="302"/>
      <x v="1"/>
    </i>
    <i r="1">
      <x v="30"/>
      <x v="128"/>
      <x v="1"/>
    </i>
    <i r="1">
      <x v="33"/>
      <x v="377"/>
      <x v="1"/>
    </i>
    <i r="1">
      <x v="43"/>
      <x v="298"/>
      <x v="1"/>
    </i>
    <i r="1">
      <x v="51"/>
      <x v="36"/>
      <x v="2"/>
    </i>
    <i r="1">
      <x v="57"/>
      <x v="332"/>
      <x v="2"/>
    </i>
    <i r="2">
      <x v="372"/>
      <x v="2"/>
    </i>
    <i r="1">
      <x v="61"/>
      <x v="205"/>
      <x v="2"/>
    </i>
    <i r="1">
      <x v="62"/>
      <x v="300"/>
      <x v="2"/>
    </i>
    <i r="1">
      <x v="65"/>
      <x v="330"/>
      <x v="2"/>
    </i>
    <i r="1">
      <x v="69"/>
      <x v="22"/>
      <x v="2"/>
    </i>
    <i r="1">
      <x v="70"/>
      <x v="304"/>
      <x v="2"/>
    </i>
    <i r="1">
      <x v="73"/>
      <x v="305"/>
      <x v="2"/>
    </i>
    <i r="1">
      <x v="74"/>
      <x v="21"/>
      <x v="2"/>
    </i>
    <i r="1">
      <x v="81"/>
      <x v="182"/>
      <x v="2"/>
    </i>
    <i r="1">
      <x v="83"/>
      <x v="303"/>
      <x v="3"/>
    </i>
    <i r="1">
      <x v="85"/>
      <x v="35"/>
      <x v="3"/>
    </i>
    <i r="1">
      <x v="90"/>
      <x v="235"/>
      <x v="3"/>
    </i>
    <i r="1">
      <x v="92"/>
      <x v="428"/>
      <x v="3"/>
    </i>
    <i r="1">
      <x v="96"/>
      <x v="343"/>
      <x v="3"/>
    </i>
    <i r="1">
      <x v="98"/>
      <x v="410"/>
      <x v="3"/>
    </i>
    <i r="1">
      <x v="99"/>
      <x v="198"/>
      <x v="3"/>
    </i>
    <i>
      <x v="9"/>
      <x v="58"/>
      <x v="26"/>
      <x v="2"/>
    </i>
    <i r="1">
      <x v="75"/>
      <x v="25"/>
      <x v="2"/>
    </i>
    <i r="1">
      <x v="93"/>
      <x v="24"/>
      <x v="3"/>
    </i>
    <i>
      <x v="10"/>
      <x v="12"/>
      <x v="347"/>
      <x/>
    </i>
    <i r="1">
      <x v="18"/>
      <x v="218"/>
      <x/>
    </i>
    <i r="2">
      <x v="346"/>
      <x/>
    </i>
    <i r="1">
      <x v="21"/>
      <x v="370"/>
      <x v="1"/>
    </i>
    <i r="1">
      <x v="27"/>
      <x v="219"/>
      <x v="1"/>
    </i>
    <i r="1">
      <x v="37"/>
      <x v="27"/>
      <x v="1"/>
    </i>
    <i r="1">
      <x v="40"/>
      <x v="289"/>
      <x v="1"/>
    </i>
    <i r="1">
      <x v="52"/>
      <x v="242"/>
      <x v="2"/>
    </i>
    <i r="1">
      <x v="60"/>
      <x v="397"/>
      <x v="2"/>
    </i>
    <i r="1">
      <x v="66"/>
      <x v="290"/>
      <x v="2"/>
    </i>
    <i r="1">
      <x v="69"/>
      <x v="326"/>
      <x v="2"/>
    </i>
    <i r="1">
      <x v="71"/>
      <x v="190"/>
      <x v="2"/>
    </i>
    <i r="1">
      <x v="75"/>
      <x v="345"/>
      <x v="2"/>
    </i>
    <i r="1">
      <x v="79"/>
      <x v="359"/>
      <x v="2"/>
    </i>
    <i r="1">
      <x v="82"/>
      <x v="252"/>
      <x v="3"/>
    </i>
    <i r="1">
      <x v="85"/>
      <x v="110"/>
      <x v="3"/>
    </i>
    <i r="1">
      <x v="86"/>
      <x v="175"/>
      <x v="3"/>
    </i>
    <i r="2">
      <x v="344"/>
      <x v="3"/>
    </i>
    <i r="1">
      <x v="90"/>
      <x v="176"/>
      <x v="3"/>
    </i>
    <i r="1">
      <x v="92"/>
      <x v="111"/>
      <x v="3"/>
    </i>
    <i r="1">
      <x v="95"/>
      <x v="124"/>
      <x v="3"/>
    </i>
    <i r="2">
      <x v="406"/>
      <x v="3"/>
    </i>
    <i r="1">
      <x v="96"/>
      <x v="216"/>
      <x v="3"/>
    </i>
    <i r="2">
      <x v="239"/>
      <x v="3"/>
    </i>
    <i r="1">
      <x v="99"/>
      <x v="233"/>
      <x v="3"/>
    </i>
    <i r="1">
      <x v="101"/>
      <x v="281"/>
      <x v="3"/>
    </i>
    <i>
      <x v="11"/>
      <x v="4"/>
      <x v="431"/>
      <x/>
    </i>
    <i r="1">
      <x v="32"/>
      <x v="274"/>
      <x v="1"/>
    </i>
    <i r="1">
      <x v="34"/>
      <x v="245"/>
      <x v="1"/>
    </i>
    <i r="2">
      <x v="277"/>
      <x v="1"/>
    </i>
    <i r="1">
      <x v="44"/>
      <x v="316"/>
      <x v="1"/>
    </i>
    <i r="1">
      <x v="46"/>
      <x v="244"/>
      <x v="1"/>
    </i>
    <i r="1">
      <x v="55"/>
      <x v="432"/>
      <x v="2"/>
    </i>
    <i r="1">
      <x v="62"/>
      <x v="246"/>
      <x v="2"/>
    </i>
    <i r="1">
      <x v="63"/>
      <x v="338"/>
      <x v="2"/>
    </i>
    <i r="1">
      <x v="65"/>
      <x v="416"/>
      <x v="2"/>
    </i>
    <i r="1">
      <x v="67"/>
      <x v="236"/>
      <x v="2"/>
    </i>
    <i r="2">
      <x v="313"/>
      <x v="2"/>
    </i>
    <i r="1">
      <x v="75"/>
      <x v="384"/>
      <x v="2"/>
    </i>
    <i r="1">
      <x v="78"/>
      <x v="371"/>
      <x v="2"/>
    </i>
    <i r="1">
      <x v="85"/>
      <x v="237"/>
      <x v="3"/>
    </i>
    <i r="1">
      <x v="86"/>
      <x v="339"/>
      <x v="3"/>
    </i>
    <i r="1">
      <x v="92"/>
      <x v="282"/>
      <x v="3"/>
    </i>
    <i r="2">
      <x v="329"/>
      <x v="3"/>
    </i>
    <i r="1">
      <x v="93"/>
      <x v="224"/>
      <x v="3"/>
    </i>
    <i r="1">
      <x v="94"/>
      <x v="340"/>
      <x v="3"/>
    </i>
    <i r="1">
      <x v="95"/>
      <x v="433"/>
      <x v="3"/>
    </i>
    <i r="1">
      <x v="96"/>
      <x v="275"/>
      <x v="3"/>
    </i>
    <i r="2">
      <x v="341"/>
      <x v="3"/>
    </i>
    <i r="1">
      <x v="100"/>
      <x v="28"/>
      <x v="3"/>
    </i>
    <i r="2">
      <x v="200"/>
      <x v="3"/>
    </i>
    <i r="1">
      <x v="102"/>
      <x v="322"/>
      <x v="3"/>
    </i>
    <i r="1">
      <x v="104"/>
      <x v="436"/>
      <x v="3"/>
    </i>
    <i>
      <x v="12"/>
      <x v="24"/>
      <x v="29"/>
      <x v="1"/>
    </i>
    <i r="1">
      <x v="26"/>
      <x v="380"/>
      <x v="1"/>
    </i>
    <i r="1">
      <x v="47"/>
      <x v="104"/>
      <x v="2"/>
    </i>
    <i r="2">
      <x v="105"/>
      <x v="2"/>
    </i>
    <i r="1">
      <x v="51"/>
      <x v="396"/>
      <x v="2"/>
    </i>
    <i r="1">
      <x v="53"/>
      <x v="147"/>
      <x v="2"/>
    </i>
    <i r="1">
      <x v="62"/>
      <x v="208"/>
      <x v="2"/>
    </i>
    <i r="2">
      <x v="250"/>
      <x v="2"/>
    </i>
    <i r="1">
      <x v="68"/>
      <x v="238"/>
      <x v="2"/>
    </i>
    <i r="1">
      <x v="70"/>
      <x v="195"/>
      <x v="2"/>
    </i>
    <i r="2">
      <x v="221"/>
      <x v="2"/>
    </i>
    <i r="2">
      <x v="231"/>
      <x v="2"/>
    </i>
    <i r="1">
      <x v="74"/>
      <x v="164"/>
      <x v="2"/>
    </i>
    <i r="2">
      <x v="209"/>
      <x v="2"/>
    </i>
    <i r="1">
      <x v="78"/>
      <x v="31"/>
      <x v="2"/>
    </i>
    <i r="1">
      <x v="80"/>
      <x v="405"/>
      <x v="2"/>
    </i>
    <i r="1">
      <x v="82"/>
      <x v="382"/>
      <x v="3"/>
    </i>
    <i r="1">
      <x v="85"/>
      <x v="197"/>
      <x v="3"/>
    </i>
    <i r="2">
      <x v="379"/>
      <x v="3"/>
    </i>
    <i r="1">
      <x v="86"/>
      <x v="383"/>
      <x v="3"/>
    </i>
    <i r="1">
      <x v="88"/>
      <x v="258"/>
      <x v="3"/>
    </i>
    <i r="1">
      <x v="92"/>
      <x v="312"/>
      <x v="3"/>
    </i>
    <i r="1">
      <x v="99"/>
      <x v="33"/>
      <x v="3"/>
    </i>
    <i r="1">
      <x v="102"/>
      <x v="381"/>
      <x v="3"/>
    </i>
    <i>
      <x v="13"/>
      <x v="23"/>
      <x v="126"/>
      <x v="1"/>
    </i>
    <i r="1">
      <x v="34"/>
      <x v="414"/>
      <x v="1"/>
    </i>
    <i r="1">
      <x v="35"/>
      <x v="268"/>
      <x v="1"/>
    </i>
    <i r="1">
      <x v="38"/>
      <x v="426"/>
      <x v="1"/>
    </i>
    <i r="1">
      <x v="41"/>
      <x v="361"/>
      <x v="1"/>
    </i>
    <i r="1">
      <x v="43"/>
      <x v="75"/>
      <x v="1"/>
    </i>
    <i r="1">
      <x v="48"/>
      <x v="363"/>
      <x v="2"/>
    </i>
    <i r="2">
      <x v="364"/>
      <x v="2"/>
    </i>
    <i r="1">
      <x v="50"/>
      <x v="157"/>
      <x v="2"/>
    </i>
    <i r="1">
      <x v="52"/>
      <x v="64"/>
      <x v="2"/>
    </i>
    <i r="2">
      <x v="389"/>
      <x v="2"/>
    </i>
    <i r="1">
      <x v="55"/>
      <x v="49"/>
      <x v="2"/>
    </i>
    <i r="1">
      <x v="56"/>
      <x v="39"/>
      <x v="2"/>
    </i>
    <i r="1">
      <x v="66"/>
      <x v="127"/>
      <x v="2"/>
    </i>
    <i r="1">
      <x v="70"/>
      <x v="93"/>
      <x v="2"/>
    </i>
    <i r="1">
      <x v="73"/>
      <x v="325"/>
      <x v="2"/>
    </i>
    <i r="1">
      <x v="74"/>
      <x v="38"/>
      <x v="2"/>
    </i>
    <i r="2">
      <x v="66"/>
      <x v="2"/>
    </i>
    <i r="1">
      <x v="75"/>
      <x v="327"/>
      <x v="2"/>
    </i>
    <i r="2">
      <x v="333"/>
      <x v="2"/>
    </i>
    <i r="1">
      <x v="86"/>
      <x v="413"/>
      <x v="3"/>
    </i>
    <i r="1">
      <x v="92"/>
      <x v="76"/>
      <x v="3"/>
    </i>
    <i r="1">
      <x v="96"/>
      <x v="269"/>
      <x v="3"/>
    </i>
    <i r="2">
      <x v="362"/>
      <x v="3"/>
    </i>
    <i r="1">
      <x v="100"/>
      <x v="412"/>
      <x v="3"/>
    </i>
    <i>
      <x v="14"/>
      <x v="9"/>
      <x v="376"/>
      <x/>
    </i>
    <i r="1">
      <x v="32"/>
      <x v="169"/>
      <x v="1"/>
    </i>
    <i r="1">
      <x v="34"/>
      <x v="41"/>
      <x v="1"/>
    </i>
    <i r="2">
      <x v="101"/>
      <x v="1"/>
    </i>
    <i r="1">
      <x v="39"/>
      <x v="88"/>
      <x v="1"/>
    </i>
    <i r="1">
      <x v="43"/>
      <x v="43"/>
      <x v="1"/>
    </i>
    <i r="1">
      <x v="45"/>
      <x v="193"/>
      <x v="1"/>
    </i>
    <i r="1">
      <x v="46"/>
      <x v="419"/>
      <x v="1"/>
    </i>
    <i r="1">
      <x v="47"/>
      <x v="40"/>
      <x v="2"/>
    </i>
    <i r="1">
      <x v="49"/>
      <x v="297"/>
      <x v="2"/>
    </i>
    <i r="1">
      <x v="50"/>
      <x v="375"/>
      <x v="2"/>
    </i>
    <i r="1">
      <x v="51"/>
      <x v="58"/>
      <x v="2"/>
    </i>
    <i r="1">
      <x v="63"/>
      <x v="60"/>
      <x v="2"/>
    </i>
    <i r="2">
      <x v="72"/>
      <x v="2"/>
    </i>
    <i r="1">
      <x v="70"/>
      <x v="92"/>
      <x v="2"/>
    </i>
    <i r="1">
      <x v="71"/>
      <x v="87"/>
      <x v="2"/>
    </i>
    <i r="1">
      <x v="78"/>
      <x v="81"/>
      <x v="2"/>
    </i>
    <i r="1">
      <x v="82"/>
      <x v="45"/>
      <x v="3"/>
    </i>
    <i r="1">
      <x v="86"/>
      <x v="73"/>
      <x v="3"/>
    </i>
    <i r="1">
      <x v="89"/>
      <x v="69"/>
      <x v="3"/>
    </i>
    <i r="1">
      <x v="90"/>
      <x v="51"/>
      <x v="3"/>
    </i>
    <i r="1">
      <x v="102"/>
      <x v="55"/>
      <x v="3"/>
    </i>
    <i r="1">
      <x v="103"/>
      <x v="53"/>
      <x v="3"/>
    </i>
    <i r="2">
      <x v="91"/>
      <x v="3"/>
    </i>
    <i>
      <x v="15"/>
      <x v="3"/>
      <x v="52"/>
      <x/>
    </i>
    <i r="1">
      <x v="13"/>
      <x v="420"/>
      <x/>
    </i>
    <i r="1">
      <x v="18"/>
      <x v="146"/>
      <x/>
    </i>
    <i r="2">
      <x v="421"/>
      <x/>
    </i>
    <i r="1">
      <x v="20"/>
      <x v="89"/>
      <x v="1"/>
    </i>
    <i r="2">
      <x v="307"/>
      <x v="1"/>
    </i>
    <i r="1">
      <x v="22"/>
      <x v="70"/>
      <x v="1"/>
    </i>
    <i r="1">
      <x v="24"/>
      <x v="82"/>
      <x v="1"/>
    </i>
    <i r="1">
      <x v="34"/>
      <x v="417"/>
      <x v="1"/>
    </i>
    <i r="1">
      <x v="37"/>
      <x v="57"/>
      <x v="1"/>
    </i>
    <i r="1">
      <x v="40"/>
      <x v="50"/>
      <x v="1"/>
    </i>
    <i r="2">
      <x v="403"/>
      <x v="1"/>
    </i>
    <i r="1">
      <x v="43"/>
      <x v="404"/>
      <x v="1"/>
    </i>
    <i r="1">
      <x v="47"/>
      <x v="42"/>
      <x v="2"/>
    </i>
    <i r="1">
      <x v="53"/>
      <x v="129"/>
      <x v="2"/>
    </i>
    <i r="1">
      <x v="58"/>
      <x v="46"/>
      <x v="2"/>
    </i>
    <i r="1">
      <x v="59"/>
      <x v="90"/>
      <x v="2"/>
    </i>
    <i r="1">
      <x v="62"/>
      <x v="308"/>
      <x v="2"/>
    </i>
    <i r="1">
      <x v="64"/>
      <x v="67"/>
      <x v="2"/>
    </i>
    <i r="2">
      <x v="310"/>
      <x v="2"/>
    </i>
    <i r="1">
      <x v="65"/>
      <x v="369"/>
      <x v="2"/>
    </i>
    <i r="1">
      <x v="77"/>
      <x v="243"/>
      <x v="2"/>
    </i>
    <i r="1">
      <x v="85"/>
      <x v="222"/>
      <x v="3"/>
    </i>
    <i r="1">
      <x v="89"/>
      <x v="99"/>
      <x v="3"/>
    </i>
    <i r="1">
      <x v="92"/>
      <x v="429"/>
      <x v="3"/>
    </i>
    <i r="1">
      <x v="93"/>
      <x v="145"/>
      <x v="3"/>
    </i>
    <i r="1">
      <x v="96"/>
      <x v="86"/>
      <x v="3"/>
    </i>
    <i>
      <x v="16"/>
      <x/>
      <x v="98"/>
      <x/>
    </i>
    <i r="1">
      <x v="8"/>
      <x v="54"/>
      <x/>
    </i>
    <i r="1">
      <x v="22"/>
      <x v="158"/>
      <x v="1"/>
    </i>
    <i r="1">
      <x v="26"/>
      <x v="132"/>
      <x v="1"/>
    </i>
    <i r="1">
      <x v="27"/>
      <x v="196"/>
      <x v="1"/>
    </i>
    <i r="1">
      <x v="29"/>
      <x v="68"/>
      <x v="1"/>
    </i>
    <i r="2">
      <x v="100"/>
      <x v="1"/>
    </i>
    <i r="1">
      <x v="34"/>
      <x v="137"/>
      <x v="1"/>
    </i>
    <i r="1">
      <x v="43"/>
      <x v="62"/>
      <x v="1"/>
    </i>
    <i r="1">
      <x v="50"/>
      <x v="85"/>
      <x v="2"/>
    </i>
    <i r="1">
      <x v="54"/>
      <x v="84"/>
      <x v="2"/>
    </i>
    <i r="1">
      <x v="58"/>
      <x v="96"/>
      <x v="2"/>
    </i>
    <i r="1">
      <x v="62"/>
      <x v="56"/>
      <x v="2"/>
    </i>
    <i r="2">
      <x v="135"/>
      <x v="2"/>
    </i>
    <i r="1">
      <x v="63"/>
      <x v="102"/>
      <x v="2"/>
    </i>
    <i r="2">
      <x v="171"/>
      <x v="2"/>
    </i>
    <i r="1">
      <x v="69"/>
      <x v="138"/>
      <x v="2"/>
    </i>
    <i r="1">
      <x v="70"/>
      <x v="48"/>
      <x v="2"/>
    </i>
    <i r="2">
      <x v="80"/>
      <x v="2"/>
    </i>
    <i r="1">
      <x v="82"/>
      <x v="183"/>
      <x v="3"/>
    </i>
    <i r="2">
      <x v="186"/>
      <x v="3"/>
    </i>
    <i r="1">
      <x v="83"/>
      <x v="97"/>
      <x v="3"/>
    </i>
    <i r="2">
      <x v="159"/>
      <x v="3"/>
    </i>
    <i r="1">
      <x v="85"/>
      <x v="136"/>
      <x v="3"/>
    </i>
    <i r="1">
      <x v="90"/>
      <x v="63"/>
      <x v="3"/>
    </i>
    <i r="2">
      <x v="79"/>
      <x v="3"/>
    </i>
    <i r="1">
      <x v="95"/>
      <x v="95"/>
      <x v="3"/>
    </i>
    <i>
      <x v="17"/>
      <x v="33"/>
      <x v="103"/>
      <x v="1"/>
    </i>
    <i r="1">
      <x v="73"/>
      <x v="278"/>
      <x v="2"/>
    </i>
    <i r="1">
      <x v="78"/>
      <x v="106"/>
      <x v="2"/>
    </i>
    <i>
      <x v="18"/>
      <x v="58"/>
      <x v="180"/>
      <x v="2"/>
    </i>
    <i r="1">
      <x v="66"/>
      <x v="122"/>
      <x v="2"/>
    </i>
    <i r="1">
      <x v="67"/>
      <x v="117"/>
      <x v="2"/>
    </i>
    <i>
      <x v="19"/>
      <x v="2"/>
      <x v="149"/>
      <x/>
    </i>
    <i r="2">
      <x v="262"/>
      <x/>
    </i>
    <i r="1">
      <x v="6"/>
      <x v="399"/>
      <x/>
    </i>
    <i r="1">
      <x v="15"/>
      <x v="161"/>
      <x/>
    </i>
    <i r="2">
      <x v="162"/>
      <x/>
    </i>
    <i r="1">
      <x v="17"/>
      <x v="318"/>
      <x/>
    </i>
    <i r="1">
      <x v="18"/>
      <x v="317"/>
      <x/>
    </i>
    <i r="1">
      <x v="23"/>
      <x v="139"/>
      <x v="1"/>
    </i>
    <i r="1">
      <x v="27"/>
      <x v="331"/>
      <x v="1"/>
    </i>
    <i r="1">
      <x v="33"/>
      <x v="374"/>
      <x v="1"/>
    </i>
    <i r="1">
      <x v="51"/>
      <x v="263"/>
      <x v="2"/>
    </i>
    <i r="2">
      <x v="328"/>
      <x v="2"/>
    </i>
    <i r="1">
      <x v="62"/>
      <x v="373"/>
      <x v="2"/>
    </i>
    <i r="1">
      <x v="66"/>
      <x v="260"/>
      <x v="2"/>
    </i>
    <i r="1">
      <x v="70"/>
      <x v="400"/>
      <x v="2"/>
    </i>
    <i r="1">
      <x v="74"/>
      <x v="253"/>
      <x v="2"/>
    </i>
    <i r="1">
      <x v="77"/>
      <x v="134"/>
      <x v="2"/>
    </i>
    <i r="1">
      <x v="82"/>
      <x v="257"/>
      <x v="3"/>
    </i>
    <i r="1">
      <x v="85"/>
      <x v="201"/>
      <x v="3"/>
    </i>
    <i r="1">
      <x v="88"/>
      <x v="378"/>
      <x v="3"/>
    </i>
    <i r="1">
      <x v="89"/>
      <x v="261"/>
      <x v="3"/>
    </i>
    <i r="1">
      <x v="90"/>
      <x v="259"/>
      <x v="3"/>
    </i>
    <i t="grand">
      <x/>
    </i>
  </rowItems>
  <colItems count="1">
    <i/>
  </colItems>
  <pageFields count="1">
    <pageField fld="0" hier="-1"/>
  </pageFields>
  <formats count="7">
    <format dxfId="23">
      <pivotArea dataOnly="0" labelOnly="1" grandRow="1" outline="0" fieldPosition="0"/>
    </format>
    <format dxfId="24">
      <pivotArea field="27" type="button" dataOnly="0" labelOnly="1" outline="0" axis="axisRow" fieldPosition="1"/>
    </format>
    <format dxfId="25">
      <pivotArea field="28" type="button" dataOnly="0" labelOnly="1" outline="0" axis="axisRow" fieldPosition="3"/>
    </format>
    <format dxfId="26">
      <pivotArea field="28" type="button" dataOnly="0" labelOnly="1" outline="0" axis="axisRow" fieldPosition="3"/>
    </format>
    <format dxfId="27">
      <pivotArea dataOnly="0" labelOnly="1" grandRow="1" outline="0" fieldPosition="0"/>
    </format>
    <format dxfId="28">
      <pivotArea dataOnly="0" labelOnly="1" outline="0" fieldPosition="0">
        <references count="1">
          <reference field="0" count="0"/>
        </references>
      </pivotArea>
    </format>
    <format dxfId="29">
      <pivotArea field="27" type="button" dataOnly="0" labelOnly="1" outline="0" axis="axisRow" fieldPosition="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F8A19-F338-4407-AC01-7647E29833FD}">
  <sheetPr>
    <tabColor theme="4" tint="0.59999389629810485"/>
    <outlinePr summaryRight="0"/>
  </sheetPr>
  <dimension ref="A1:AE429"/>
  <sheetViews>
    <sheetView showGridLines="0" tabSelected="1" topLeftCell="D1" zoomScale="90" zoomScaleNormal="90" workbookViewId="0">
      <selection activeCell="H3" sqref="H3"/>
    </sheetView>
  </sheetViews>
  <sheetFormatPr defaultColWidth="9.28515625" defaultRowHeight="15" outlineLevelRow="1" outlineLevelCol="2"/>
  <cols>
    <col min="1" max="1" width="30.5703125" customWidth="1"/>
    <col min="2" max="2" width="10.28515625" bestFit="1" customWidth="1" outlineLevel="2"/>
    <col min="3" max="3" width="67.7109375" style="1" customWidth="1"/>
    <col min="4" max="4" width="27.5703125" style="31" customWidth="1"/>
    <col min="5" max="5" width="11.28515625" customWidth="1"/>
    <col min="6" max="7" width="9.42578125" customWidth="1"/>
    <col min="8" max="8" width="20.7109375" bestFit="1" customWidth="1"/>
    <col min="9" max="10" width="9.42578125" customWidth="1"/>
    <col min="11" max="11" width="23.85546875" customWidth="1"/>
    <col min="12" max="13" width="7.42578125" customWidth="1"/>
    <col min="14" max="14" width="19.140625" bestFit="1" customWidth="1"/>
    <col min="15" max="16" width="7.42578125" customWidth="1"/>
    <col min="17" max="17" width="17.85546875" customWidth="1"/>
    <col min="18" max="18" width="7.42578125" customWidth="1"/>
    <col min="19" max="19" width="6.7109375" customWidth="1"/>
    <col min="20" max="20" width="17.42578125" customWidth="1"/>
    <col min="21" max="23" width="12.85546875" customWidth="1"/>
    <col min="24" max="25" width="11.140625" customWidth="1"/>
    <col min="26" max="26" width="14.5703125" customWidth="1"/>
    <col min="27" max="27" width="27.85546875" bestFit="1" customWidth="1"/>
    <col min="28" max="28" width="20.42578125" bestFit="1" customWidth="1"/>
    <col min="29" max="29" width="11.7109375" customWidth="1"/>
    <col min="30" max="30" width="10.28515625" style="13" customWidth="1"/>
    <col min="31" max="31" width="10.42578125" customWidth="1"/>
    <col min="32" max="32" width="10.5703125" customWidth="1"/>
    <col min="33" max="33" width="11.5703125" customWidth="1"/>
    <col min="34" max="34" width="10" customWidth="1"/>
    <col min="35" max="35" width="8.42578125" customWidth="1"/>
    <col min="37" max="37" width="9.28515625" bestFit="1" customWidth="1"/>
    <col min="38" max="39" width="13.5703125" customWidth="1"/>
  </cols>
  <sheetData>
    <row r="1" spans="1:31" ht="15.75" outlineLevel="1">
      <c r="A1" s="298" t="s">
        <v>0</v>
      </c>
      <c r="C1" s="265" t="s">
        <v>1</v>
      </c>
      <c r="D1" s="90"/>
      <c r="E1" s="299" t="s">
        <v>2</v>
      </c>
      <c r="F1" s="300"/>
      <c r="G1" s="301"/>
      <c r="H1" s="300" t="s">
        <v>3</v>
      </c>
      <c r="I1" s="300"/>
      <c r="J1" s="301"/>
      <c r="K1" s="320" t="s">
        <v>4</v>
      </c>
      <c r="L1" s="320"/>
      <c r="M1" s="321"/>
      <c r="N1" s="299" t="s">
        <v>5</v>
      </c>
      <c r="O1" s="300"/>
      <c r="P1" s="301"/>
      <c r="Q1" s="299" t="s">
        <v>6</v>
      </c>
      <c r="R1" s="300"/>
      <c r="S1" s="301"/>
      <c r="T1" s="299" t="s">
        <v>7</v>
      </c>
      <c r="U1" s="301"/>
      <c r="AD1" s="3"/>
    </row>
    <row r="2" spans="1:31" ht="16.5" customHeight="1" outlineLevel="1">
      <c r="A2" s="298"/>
      <c r="C2" s="310" t="s">
        <v>8</v>
      </c>
      <c r="D2" s="90"/>
      <c r="E2" s="232" t="s">
        <v>9</v>
      </c>
      <c r="F2" s="306" t="s">
        <v>10</v>
      </c>
      <c r="G2" s="306"/>
      <c r="H2" s="292" t="s">
        <v>11</v>
      </c>
      <c r="I2" s="305" t="s">
        <v>12</v>
      </c>
      <c r="J2" s="306"/>
      <c r="K2" s="292" t="s">
        <v>11</v>
      </c>
      <c r="L2" s="305" t="s">
        <v>13</v>
      </c>
      <c r="M2" s="306"/>
      <c r="N2" s="232" t="s">
        <v>14</v>
      </c>
      <c r="O2" s="305" t="s">
        <v>13</v>
      </c>
      <c r="P2" s="306"/>
      <c r="Q2" s="259" t="s">
        <v>11</v>
      </c>
      <c r="R2" s="305" t="s">
        <v>13</v>
      </c>
      <c r="S2" s="306"/>
      <c r="T2" s="259"/>
      <c r="U2" s="114"/>
      <c r="AD2" s="3"/>
    </row>
    <row r="3" spans="1:31" ht="17.100000000000001" customHeight="1" outlineLevel="1">
      <c r="A3" s="298"/>
      <c r="C3" s="312"/>
      <c r="D3" s="285" t="s">
        <v>15</v>
      </c>
      <c r="E3" s="233">
        <f>MAX(E19:E429)</f>
        <v>28.993577267419223</v>
      </c>
      <c r="F3" s="302">
        <f>COUNTIF(E$19:E$429,"&gt;"&amp;E4)</f>
        <v>166</v>
      </c>
      <c r="G3" s="302"/>
      <c r="H3" s="226">
        <f>MAX(H19:H429)</f>
        <v>282195739.26763928</v>
      </c>
      <c r="I3" s="307">
        <f>COUNTIF(H$19:H$429,"&gt;"&amp;H4)</f>
        <v>130</v>
      </c>
      <c r="J3" s="302"/>
      <c r="K3" s="191">
        <f>MAX(K19:K429)</f>
        <v>334103095.29520482</v>
      </c>
      <c r="L3" s="307">
        <f>COUNTIF(K$19:K$429,"&gt;"&amp;K4)</f>
        <v>153</v>
      </c>
      <c r="M3" s="302"/>
      <c r="N3" s="288">
        <f>MAX(N19:N429)</f>
        <v>7400244072.1908846</v>
      </c>
      <c r="O3" s="307">
        <f>COUNTIF(N$19:N$429,"&gt;"&amp;N4)</f>
        <v>194</v>
      </c>
      <c r="P3" s="302"/>
      <c r="Q3" s="67">
        <f>MAX(Q19:Q429)</f>
        <v>44622685.782500073</v>
      </c>
      <c r="R3" s="302">
        <f>COUNTIF(Q$19:Q$429,"&gt;"&amp;Q4)</f>
        <v>127</v>
      </c>
      <c r="S3" s="302"/>
      <c r="T3" s="282" t="s">
        <v>16</v>
      </c>
      <c r="U3" s="293">
        <f>MAX(W19:W429)</f>
        <v>475</v>
      </c>
      <c r="AD3" s="3"/>
    </row>
    <row r="4" spans="1:31" ht="17.100000000000001" customHeight="1" outlineLevel="1">
      <c r="A4" s="298"/>
      <c r="C4" s="312"/>
      <c r="D4" s="286" t="s">
        <v>17</v>
      </c>
      <c r="E4" s="234">
        <f>AVERAGE(E19:E429)</f>
        <v>8.826164018399318</v>
      </c>
      <c r="F4" s="303" t="s">
        <v>18</v>
      </c>
      <c r="G4" s="303"/>
      <c r="H4" s="227">
        <f>AVERAGE(H19:H429)</f>
        <v>32287064.041422911</v>
      </c>
      <c r="I4" s="308" t="s">
        <v>18</v>
      </c>
      <c r="J4" s="303"/>
      <c r="K4" s="192">
        <f>AVERAGE(K19:K429)</f>
        <v>55060028.990025505</v>
      </c>
      <c r="L4" s="308" t="s">
        <v>18</v>
      </c>
      <c r="M4" s="303"/>
      <c r="N4" s="289">
        <f>AVERAGE(N19:N429)</f>
        <v>1709172121.7531481</v>
      </c>
      <c r="O4" s="308" t="s">
        <v>18</v>
      </c>
      <c r="P4" s="303"/>
      <c r="Q4" s="66">
        <f>AVERAGE(Q19:Q429)</f>
        <v>4216758.7083462188</v>
      </c>
      <c r="R4" s="303" t="s">
        <v>18</v>
      </c>
      <c r="S4" s="303"/>
      <c r="T4" s="283" t="s">
        <v>19</v>
      </c>
      <c r="U4" s="281">
        <f>AVERAGEIF(W19:W429,"&gt;0")</f>
        <v>182.73722627737226</v>
      </c>
      <c r="Y4" s="57"/>
      <c r="AD4" s="3"/>
    </row>
    <row r="5" spans="1:31" ht="38.450000000000003" customHeight="1" outlineLevel="1">
      <c r="C5" s="266" t="s">
        <v>20</v>
      </c>
      <c r="D5" s="287" t="s">
        <v>21</v>
      </c>
      <c r="E5" s="235">
        <f>MIN(E19:E429)</f>
        <v>0</v>
      </c>
      <c r="F5" s="304">
        <f>COUNTIF(E$19:E$429,"&lt;"&amp;E4)</f>
        <v>245</v>
      </c>
      <c r="G5" s="304"/>
      <c r="H5" s="228">
        <f>MIN(H19:H429)</f>
        <v>0</v>
      </c>
      <c r="I5" s="309">
        <f>COUNTIF(H$19:H$429,"&lt;"&amp;H4)</f>
        <v>281</v>
      </c>
      <c r="J5" s="304"/>
      <c r="K5" s="193">
        <f>MIN(K19:K429)</f>
        <v>0</v>
      </c>
      <c r="L5" s="309">
        <f>COUNTIF(K$19:K$429,"&lt;"&amp;K4)</f>
        <v>258</v>
      </c>
      <c r="M5" s="304"/>
      <c r="N5" s="237">
        <f>MIN(N19:N429)</f>
        <v>0</v>
      </c>
      <c r="O5" s="309">
        <f>COUNTIF(N$19:N$429,"&lt;"&amp;N4)</f>
        <v>217</v>
      </c>
      <c r="P5" s="304"/>
      <c r="Q5" s="65">
        <f>MIN(Q19:Q429)</f>
        <v>0</v>
      </c>
      <c r="R5" s="304">
        <f>COUNTIF(Q$19:Q$429,"&lt;"&amp;Q4)</f>
        <v>284</v>
      </c>
      <c r="S5" s="304"/>
      <c r="T5" s="284" t="s">
        <v>22</v>
      </c>
      <c r="U5" s="294">
        <f>SMALL(W19:W429,COUNTIF(W19:W429,0)+1)</f>
        <v>25.5</v>
      </c>
      <c r="AD5" s="3"/>
    </row>
    <row r="6" spans="1:31" ht="6" customHeight="1" outlineLevel="1" thickBot="1">
      <c r="E6" s="220"/>
      <c r="F6" s="220"/>
      <c r="G6" s="221"/>
      <c r="H6" s="220"/>
      <c r="I6" s="220"/>
      <c r="J6" s="221"/>
      <c r="L6" s="220"/>
      <c r="M6" s="236"/>
      <c r="N6" s="1"/>
      <c r="O6" s="1"/>
      <c r="P6" s="1"/>
      <c r="S6" s="190"/>
      <c r="X6" s="13"/>
      <c r="AD6" s="3"/>
    </row>
    <row r="7" spans="1:31" ht="20.25" customHeight="1" outlineLevel="1">
      <c r="C7" s="1" t="s">
        <v>23</v>
      </c>
      <c r="D7" s="260" t="s">
        <v>24</v>
      </c>
      <c r="E7" s="219" t="s">
        <v>25</v>
      </c>
      <c r="F7" s="184" t="s">
        <v>13</v>
      </c>
      <c r="G7" s="115" t="s">
        <v>7</v>
      </c>
      <c r="H7" s="216" t="s">
        <v>25</v>
      </c>
      <c r="I7" s="184" t="s">
        <v>13</v>
      </c>
      <c r="J7" s="115" t="s">
        <v>7</v>
      </c>
      <c r="K7" s="219" t="s">
        <v>25</v>
      </c>
      <c r="L7" s="184" t="s">
        <v>13</v>
      </c>
      <c r="M7" s="115" t="s">
        <v>7</v>
      </c>
      <c r="N7" s="219" t="s">
        <v>25</v>
      </c>
      <c r="O7" s="184" t="s">
        <v>13</v>
      </c>
      <c r="P7" s="115" t="s">
        <v>7</v>
      </c>
      <c r="Q7" s="219" t="s">
        <v>25</v>
      </c>
      <c r="R7" s="184" t="s">
        <v>13</v>
      </c>
      <c r="S7" s="115" t="s">
        <v>7</v>
      </c>
      <c r="T7" s="216" t="s">
        <v>26</v>
      </c>
      <c r="U7" s="115" t="s">
        <v>13</v>
      </c>
      <c r="V7" s="184" t="s">
        <v>7</v>
      </c>
      <c r="W7" s="116" t="s">
        <v>27</v>
      </c>
      <c r="X7" s="315" t="s">
        <v>28</v>
      </c>
      <c r="Y7" s="315"/>
      <c r="Z7" s="198" t="s">
        <v>13</v>
      </c>
      <c r="AA7" s="199" t="s">
        <v>29</v>
      </c>
      <c r="AD7" s="3"/>
    </row>
    <row r="8" spans="1:31" ht="15" customHeight="1" outlineLevel="1">
      <c r="C8" s="58" t="s">
        <v>30</v>
      </c>
      <c r="D8" s="261" t="s">
        <v>31</v>
      </c>
      <c r="E8" s="222"/>
      <c r="F8" s="214">
        <f>COUNTIFS(E$19:E$429,"&gt;"&amp;E9)</f>
        <v>40</v>
      </c>
      <c r="G8" s="215">
        <v>150</v>
      </c>
      <c r="H8" s="88"/>
      <c r="I8" s="214">
        <f>COUNTIFS(H$19:H$429,"&gt;"&amp;H9)</f>
        <v>42</v>
      </c>
      <c r="J8" s="215">
        <v>125</v>
      </c>
      <c r="K8" s="217"/>
      <c r="L8" s="214">
        <f>COUNTIFS(K$19:K$429,"&gt;"&amp;K9)</f>
        <v>42</v>
      </c>
      <c r="M8" s="215">
        <v>100</v>
      </c>
      <c r="N8" s="217"/>
      <c r="O8" s="214">
        <f>COUNTIFS(N$19:N$429,"&gt;"&amp;N9)</f>
        <v>42</v>
      </c>
      <c r="P8" s="215">
        <v>75</v>
      </c>
      <c r="Q8" s="217"/>
      <c r="R8" s="214">
        <f>COUNTIFS(Q$19:Q$429,"&gt;"&amp;Q9)</f>
        <v>42</v>
      </c>
      <c r="S8" s="215">
        <v>25</v>
      </c>
      <c r="T8" s="248" t="s">
        <v>32</v>
      </c>
      <c r="U8" s="89">
        <f>COUNTIF(T$19:T$429,T8)</f>
        <v>34</v>
      </c>
      <c r="V8" s="194">
        <v>25</v>
      </c>
      <c r="W8" s="147" t="s">
        <v>33</v>
      </c>
      <c r="X8" s="148" t="s">
        <v>34</v>
      </c>
      <c r="Y8" s="149">
        <f>Y9</f>
        <v>325</v>
      </c>
      <c r="Z8" s="150">
        <f>COUNTIFS(W$19:W$429,"&gt;"&amp;Y9)</f>
        <v>46</v>
      </c>
      <c r="AA8" s="167">
        <f>Z8/$Y$12</f>
        <v>0.11192214111922141</v>
      </c>
      <c r="AB8" s="163" t="s">
        <v>31</v>
      </c>
      <c r="AD8" s="3"/>
    </row>
    <row r="9" spans="1:31" ht="15" customHeight="1" outlineLevel="1">
      <c r="C9" s="311" t="s">
        <v>35</v>
      </c>
      <c r="D9" s="261" t="s">
        <v>36</v>
      </c>
      <c r="E9" s="223" cm="1">
        <f t="array" ref="E9">INDEX(_xlfn._xlws.SORT(E19:E429,,1),TRUNC(COUNT(E19:E429)*(0.9)))</f>
        <v>13.451626030645102</v>
      </c>
      <c r="F9" s="214">
        <f>COUNTIFS(E$19:E$429,"&gt;"&amp;E10, E$19:E$429,"&lt;="&amp;E9)</f>
        <v>81</v>
      </c>
      <c r="G9" s="215">
        <v>75</v>
      </c>
      <c r="H9" s="245" cm="1">
        <f t="array" ref="H9">INDEX(_xlfn._xlws.SORT(H$19:H$429,,1),COUNT(H$19:H$429)*(0.9))</f>
        <v>60403867.017397776</v>
      </c>
      <c r="I9" s="214">
        <f>COUNTIFS(H$19:H$429,"&gt;"&amp;H10, H$19:H$429,"&lt;="&amp;H9)</f>
        <v>82</v>
      </c>
      <c r="J9" s="215">
        <v>62.5</v>
      </c>
      <c r="K9" s="218" cm="1">
        <f t="array" ref="K9">INDEX(_xlfn._xlws.SORT(K$19:K$429,,1),TRUNC(COUNT(K$19:K$429)*(0.9)))</f>
        <v>97091225.978202552</v>
      </c>
      <c r="L9" s="214">
        <f>COUNTIFS(K$19:K$429,"&gt;"&amp;K10, K$19:K$429,"&lt;="&amp;K9)</f>
        <v>82</v>
      </c>
      <c r="M9" s="215">
        <v>50</v>
      </c>
      <c r="N9" s="291" cm="1">
        <f t="array" ref="N9">INDEX(_xlfn._xlws.SORT(N$19:N$429,,1),TRUNC(COUNT(N$19:N$429)*(0.9)))</f>
        <v>2761826688.39679</v>
      </c>
      <c r="O9" s="214">
        <f>COUNTIFS(N$19:N$429,"&gt;"&amp;N10, N$19:N$429,"&lt;="&amp;N9)</f>
        <v>82</v>
      </c>
      <c r="P9" s="215">
        <v>40</v>
      </c>
      <c r="Q9" s="218" cm="1">
        <f t="array" ref="Q9">INDEX(_xlfn._xlws.SORT(Q$19:Q$429,,1),TRUNC(COUNT(Q$19:Q$429)*(0.9)))</f>
        <v>14839420.182899885</v>
      </c>
      <c r="R9" s="214">
        <f>COUNTIFS(Q$19:Q$429,"&gt;"&amp;Q10, Q$19:Q$429,"&lt;="&amp;Q9)</f>
        <v>82</v>
      </c>
      <c r="S9" s="215">
        <v>12.5</v>
      </c>
      <c r="T9" s="248" t="s">
        <v>37</v>
      </c>
      <c r="U9" s="89">
        <f>COUNTIF(T$19:T$429,T9)</f>
        <v>377</v>
      </c>
      <c r="V9" s="194">
        <v>12.5</v>
      </c>
      <c r="W9" s="151" t="s">
        <v>38</v>
      </c>
      <c r="X9" s="152" t="str">
        <f>Y10&amp;" -"</f>
        <v>192.5 -</v>
      </c>
      <c r="Y9" s="153">
        <v>325</v>
      </c>
      <c r="Z9" s="154">
        <f>COUNTIFS(W$19:W$429,"&gt;"&amp;Y10, W$19:W$429,"&lt;="&amp;Y9)</f>
        <v>95</v>
      </c>
      <c r="AA9" s="168">
        <f>Z9/$Y$12</f>
        <v>0.23114355231143552</v>
      </c>
      <c r="AB9" s="163" t="s">
        <v>36</v>
      </c>
      <c r="AD9" s="3"/>
    </row>
    <row r="10" spans="1:31" ht="15" customHeight="1" outlineLevel="1">
      <c r="C10" s="311"/>
      <c r="D10" s="261" t="s">
        <v>39</v>
      </c>
      <c r="E10" s="223" cm="1">
        <f t="array" ref="E10">INDEX(_xlfn._xlws.SORT(E$19:E$429,,1),TRUNC(COUNT(E$19:E$429)*(0.7)))</f>
        <v>9.6974104610671681</v>
      </c>
      <c r="F10" s="214">
        <f>COUNTIFS(E$19:E$429,"&gt;"&amp;E11, E$19:E$429,"&lt;="&amp;E10)</f>
        <v>146</v>
      </c>
      <c r="G10" s="215">
        <v>45</v>
      </c>
      <c r="H10" s="245" cm="1">
        <f t="array" ref="H10">INDEX(_xlfn._xlws.SORT(H$19:H$429,,1),COUNT(H$19:H$429)*(0.7))</f>
        <v>33023613.001399741</v>
      </c>
      <c r="I10" s="214">
        <f>COUNTIFS(H$19:H$429,"&gt;"&amp;H11, H$19:H$429,"&lt;="&amp;H10)</f>
        <v>144</v>
      </c>
      <c r="J10" s="215">
        <v>37.5</v>
      </c>
      <c r="K10" s="218" cm="1">
        <f t="array" ref="K10">INDEX(_xlfn._xlws.SORT(K$19:K$429,,1),TRUNC(COUNT(K$19:K$429)*(0.7)))</f>
        <v>61459302.610199429</v>
      </c>
      <c r="L10" s="214">
        <f>COUNTIFS(K$19:K$429,"&gt;"&amp;K11, K$19:K$429,"&lt;="&amp;K10)</f>
        <v>144</v>
      </c>
      <c r="M10" s="215">
        <v>30</v>
      </c>
      <c r="N10" s="291" cm="1">
        <f t="array" ref="N10">INDEX(_xlfn._xlws.SORT(N$19:N$429,,1),TRUNC(COUNT(N$19:N$429)*(0.7)))</f>
        <v>2106684968.2798004</v>
      </c>
      <c r="O10" s="214">
        <f>COUNTIFS(N$19:N$429,"&gt;"&amp;N11, N$19:N$429,"&lt;="&amp;N10)</f>
        <v>144</v>
      </c>
      <c r="P10" s="215">
        <v>22</v>
      </c>
      <c r="Q10" s="218" cm="1">
        <f t="array" ref="Q10">INDEX(_xlfn._xlws.SORT(Q$19:Q$429,,1),TRUNC(COUNT(Q$19:Q$429)*(0.7)))</f>
        <v>4383858.2812999999</v>
      </c>
      <c r="R10" s="214">
        <f>COUNTIFS(Q$19:Q$429,"&gt;"&amp;Q11, Q$19:Q$429,"&lt;="&amp;Q10)</f>
        <v>31</v>
      </c>
      <c r="S10" s="215">
        <v>7.5</v>
      </c>
      <c r="T10" s="249"/>
      <c r="U10" s="250"/>
      <c r="V10" s="194"/>
      <c r="W10" s="155" t="s">
        <v>40</v>
      </c>
      <c r="X10" s="156" t="str">
        <f>Y11&amp;" -"</f>
        <v>120.5 -</v>
      </c>
      <c r="Y10" s="157">
        <v>192.5</v>
      </c>
      <c r="Z10" s="158">
        <f>COUNTIFS(W$19:W$429,"&gt;"&amp;Y11, W$19:W$429,"&lt;="&amp;Y10)</f>
        <v>158</v>
      </c>
      <c r="AA10" s="169">
        <f>Z10/$Y$12</f>
        <v>0.38442822384428221</v>
      </c>
      <c r="AB10" s="163" t="s">
        <v>41</v>
      </c>
      <c r="AD10"/>
    </row>
    <row r="11" spans="1:31" ht="15" customHeight="1" outlineLevel="1">
      <c r="C11" s="310" t="s">
        <v>42</v>
      </c>
      <c r="D11" s="261" t="s">
        <v>43</v>
      </c>
      <c r="E11" s="223" cm="1">
        <f t="array" ref="E11">INDEX(_xlfn._xlws.SORT(E$19:E$429,,1),TRUNC(COUNT(E$19:E$429)*(0.35)))</f>
        <v>6.5066069740447787</v>
      </c>
      <c r="F11" s="214">
        <f>COUNTIFS(E$19:E$429,"&gt;="&amp;E12, E$19:E$429,"&lt;="&amp;E11)</f>
        <v>144</v>
      </c>
      <c r="G11" s="215">
        <v>30</v>
      </c>
      <c r="H11" s="245" cm="1">
        <f t="array" ref="H11">INDEX(_xlfn._xlws.SORT(H$19:H$429,,1),COUNT(H$19:H$429)*(0.35))</f>
        <v>17219524.893298931</v>
      </c>
      <c r="I11" s="214">
        <f>COUNTIFS(H$19:H$429,"&gt;="&amp;H12, H$19:H$429,"&lt;="&amp;H11)</f>
        <v>143</v>
      </c>
      <c r="J11" s="215">
        <v>25</v>
      </c>
      <c r="K11" s="218" cm="1">
        <f t="array" ref="K11">INDEX(_xlfn._xlws.SORT(K$19:K$429,,1),TRUNC(COUNT(K$19:K$429)*(0.35)))</f>
        <v>37639148.565499529</v>
      </c>
      <c r="L11" s="214">
        <f>COUNTIFS(K$19:K$429,"&gt;="&amp;K12, K$19:K$429,"&lt;="&amp;K11)</f>
        <v>143</v>
      </c>
      <c r="M11" s="215">
        <v>20</v>
      </c>
      <c r="N11" s="291" cm="1">
        <f t="array" ref="N11">INDEX(_xlfn._xlws.SORT(N$19:N$429,,1),TRUNC(COUNT(N$19:N$429)*(0.35)))</f>
        <v>1374473176.9103031</v>
      </c>
      <c r="O11" s="214">
        <f>COUNTIFS(N$19:N$429,"&gt;="&amp;N12, N$19:N$429,"&lt;="&amp;N11)</f>
        <v>143</v>
      </c>
      <c r="P11" s="215">
        <v>13</v>
      </c>
      <c r="Q11" s="218" cm="1">
        <f t="array" ref="Q11">INDEX(_xlfn._xlws.SORT(Q$19:Q$429,,1),TRUNC(COUNT(Q$19:Q$429)*(0.35)))</f>
        <v>0</v>
      </c>
      <c r="R11" s="214">
        <f>COUNTIFS(Q$19:Q$429,"&gt;="&amp;Q12, Q$19:Q$429,"&lt;="&amp;Q11)</f>
        <v>256</v>
      </c>
      <c r="S11" s="215">
        <v>5</v>
      </c>
      <c r="T11" s="249"/>
      <c r="U11" s="250"/>
      <c r="V11" s="196"/>
      <c r="W11" s="159" t="s">
        <v>44</v>
      </c>
      <c r="X11" s="160" t="str">
        <f>"0 -"</f>
        <v>0 -</v>
      </c>
      <c r="Y11" s="161">
        <v>120.5</v>
      </c>
      <c r="Z11" s="162">
        <f>COUNTIFS(W$19:W$429,"&lt;="&amp;Y11)</f>
        <v>112</v>
      </c>
      <c r="AA11" s="170">
        <f>Z11/$Y$12</f>
        <v>0.27250608272506083</v>
      </c>
      <c r="AB11" s="163" t="s">
        <v>45</v>
      </c>
      <c r="AD11"/>
    </row>
    <row r="12" spans="1:31" ht="14.1" customHeight="1" outlineLevel="1">
      <c r="C12" s="310"/>
      <c r="D12" s="262"/>
      <c r="E12" s="224">
        <v>0</v>
      </c>
      <c r="F12" s="195"/>
      <c r="G12" s="111"/>
      <c r="H12" s="246">
        <v>0</v>
      </c>
      <c r="I12" s="212"/>
      <c r="J12" s="87"/>
      <c r="K12" s="213">
        <v>0</v>
      </c>
      <c r="L12" s="212"/>
      <c r="M12" s="111"/>
      <c r="N12" s="240">
        <v>0</v>
      </c>
      <c r="O12" s="195"/>
      <c r="P12" s="111"/>
      <c r="Q12" s="229">
        <v>0</v>
      </c>
      <c r="R12" s="212"/>
      <c r="S12" s="242"/>
      <c r="T12" s="249"/>
      <c r="U12" s="250"/>
      <c r="V12" s="196"/>
      <c r="W12" s="313" t="s">
        <v>46</v>
      </c>
      <c r="X12" s="313"/>
      <c r="Y12" s="313">
        <f>SUM(Z8:Z11)</f>
        <v>411</v>
      </c>
      <c r="Z12" s="313"/>
      <c r="AA12" s="314">
        <f>Y12/$Y$12</f>
        <v>1</v>
      </c>
      <c r="AD12"/>
    </row>
    <row r="13" spans="1:31" s="72" customFormat="1" ht="15" customHeight="1" outlineLevel="1">
      <c r="B13" s="186"/>
      <c r="C13" s="1" t="s">
        <v>47</v>
      </c>
      <c r="D13" s="263" t="s">
        <v>48</v>
      </c>
      <c r="E13" s="225"/>
      <c r="F13" s="185">
        <f>SUM(F8:F11)</f>
        <v>411</v>
      </c>
      <c r="G13" s="95"/>
      <c r="H13" s="247"/>
      <c r="I13" s="230">
        <f>SUM(I8:I11)</f>
        <v>411</v>
      </c>
      <c r="J13" s="231"/>
      <c r="K13" s="244"/>
      <c r="L13" s="185">
        <f>SUM(L8:L11)</f>
        <v>411</v>
      </c>
      <c r="M13" s="95"/>
      <c r="N13" s="241"/>
      <c r="O13" s="185">
        <f>SUM(O8:O11)</f>
        <v>411</v>
      </c>
      <c r="P13" s="95"/>
      <c r="Q13" s="239"/>
      <c r="R13" s="185">
        <f>SUM(R8:R11)</f>
        <v>411</v>
      </c>
      <c r="S13" s="243"/>
      <c r="T13" s="251"/>
      <c r="U13" s="250">
        <f>SUM(U8:U12)</f>
        <v>411</v>
      </c>
      <c r="V13" s="197"/>
      <c r="W13" s="316"/>
      <c r="X13" s="316"/>
      <c r="Y13" s="313"/>
      <c r="Z13" s="313"/>
      <c r="AA13" s="314"/>
      <c r="AB13" s="96"/>
    </row>
    <row r="14" spans="1:31" ht="10.5" customHeight="1" outlineLevel="1">
      <c r="A14" s="72"/>
      <c r="C14" s="200"/>
      <c r="D14" s="201"/>
      <c r="E14" s="202"/>
      <c r="F14" s="203"/>
      <c r="G14" s="203"/>
      <c r="H14" s="204"/>
      <c r="I14" s="205"/>
      <c r="J14" s="205"/>
      <c r="K14" s="206"/>
      <c r="L14" s="188"/>
      <c r="M14" s="188"/>
      <c r="N14" s="207"/>
      <c r="O14" s="188"/>
      <c r="P14" s="188"/>
      <c r="Q14" s="208"/>
      <c r="R14" s="209"/>
      <c r="S14" s="208"/>
      <c r="T14" s="190"/>
      <c r="U14" s="189"/>
      <c r="V14" s="190"/>
      <c r="W14" s="187"/>
      <c r="X14" s="187"/>
      <c r="Y14" s="187"/>
      <c r="Z14" s="187"/>
      <c r="AA14" s="210"/>
      <c r="AB14" s="211"/>
      <c r="AC14" s="190"/>
      <c r="AD14" s="186"/>
      <c r="AE14" s="186"/>
    </row>
    <row r="15" spans="1:31" outlineLevel="1">
      <c r="E15" s="317" t="s">
        <v>2</v>
      </c>
      <c r="F15" s="317"/>
      <c r="G15" s="318"/>
      <c r="H15" s="322" t="s">
        <v>3</v>
      </c>
      <c r="I15" s="323"/>
      <c r="J15" s="324"/>
      <c r="K15" s="325" t="s">
        <v>4</v>
      </c>
      <c r="L15" s="326"/>
      <c r="M15" s="327"/>
      <c r="N15" s="319" t="s">
        <v>5</v>
      </c>
      <c r="O15" s="317"/>
      <c r="P15" s="318"/>
      <c r="Q15" s="319" t="s">
        <v>6</v>
      </c>
      <c r="R15" s="317"/>
      <c r="S15" s="318"/>
      <c r="T15" s="319" t="s">
        <v>49</v>
      </c>
      <c r="U15" s="318"/>
      <c r="V15" s="182"/>
      <c r="W15" s="124">
        <v>3</v>
      </c>
      <c r="X15" s="124">
        <v>3</v>
      </c>
      <c r="Y15" s="124">
        <v>3</v>
      </c>
      <c r="AA15" s="3"/>
      <c r="AD15"/>
    </row>
    <row r="16" spans="1:31" ht="15" customHeight="1" outlineLevel="1">
      <c r="E16" s="317"/>
      <c r="F16" s="317"/>
      <c r="G16" s="318"/>
      <c r="H16" s="322"/>
      <c r="I16" s="323"/>
      <c r="J16" s="324"/>
      <c r="K16" s="325"/>
      <c r="L16" s="326"/>
      <c r="M16" s="327"/>
      <c r="N16" s="319"/>
      <c r="O16" s="317"/>
      <c r="P16" s="318"/>
      <c r="Q16" s="319"/>
      <c r="R16" s="317"/>
      <c r="S16" s="318"/>
      <c r="T16" s="319"/>
      <c r="U16" s="318"/>
      <c r="V16" s="183"/>
      <c r="W16" s="124">
        <v>4</v>
      </c>
      <c r="X16" s="124">
        <v>4</v>
      </c>
      <c r="Y16" s="124">
        <v>4</v>
      </c>
      <c r="AA16" s="3"/>
      <c r="AD16"/>
    </row>
    <row r="17" spans="1:30" ht="42" outlineLevel="1">
      <c r="A17" s="279" t="s">
        <v>50</v>
      </c>
      <c r="B17" s="278" t="s">
        <v>51</v>
      </c>
      <c r="C17" s="280" t="s">
        <v>52</v>
      </c>
      <c r="D17" s="131"/>
      <c r="E17" s="166" t="s">
        <v>53</v>
      </c>
      <c r="F17" s="256" t="s">
        <v>54</v>
      </c>
      <c r="G17" s="253"/>
      <c r="H17" s="254" t="s">
        <v>55</v>
      </c>
      <c r="I17" s="256" t="s">
        <v>56</v>
      </c>
      <c r="J17" s="253"/>
      <c r="K17" s="254" t="s">
        <v>57</v>
      </c>
      <c r="L17" s="256" t="s">
        <v>58</v>
      </c>
      <c r="M17" s="253"/>
      <c r="N17" s="254" t="s">
        <v>59</v>
      </c>
      <c r="O17" s="256" t="s">
        <v>60</v>
      </c>
      <c r="P17" s="255"/>
      <c r="Q17" s="254" t="s">
        <v>61</v>
      </c>
      <c r="R17" s="256" t="s">
        <v>62</v>
      </c>
      <c r="S17" s="257"/>
      <c r="T17" s="254" t="s">
        <v>63</v>
      </c>
      <c r="U17" s="258" t="s">
        <v>62</v>
      </c>
      <c r="V17" s="130"/>
      <c r="W17" s="112" t="s">
        <v>64</v>
      </c>
      <c r="X17" s="264" t="s">
        <v>65</v>
      </c>
      <c r="Y17" s="123" t="s">
        <v>66</v>
      </c>
      <c r="AA17" s="3"/>
      <c r="AD17"/>
    </row>
    <row r="18" spans="1:30" outlineLevel="1">
      <c r="A18" s="44"/>
      <c r="B18" s="133" t="str">
        <f t="shared" ref="B18:Y18" si="0">B17</f>
        <v>Code</v>
      </c>
      <c r="C18" s="133" t="str">
        <f t="shared" si="0"/>
        <v>Service Enabling System</v>
      </c>
      <c r="D18" s="133"/>
      <c r="E18" s="133" t="str">
        <f t="shared" si="0"/>
        <v>No. of Employees</v>
      </c>
      <c r="F18" s="252" t="str">
        <f t="shared" si="0"/>
        <v>No. of Emp.
POINTS</v>
      </c>
      <c r="G18" s="133"/>
      <c r="H18" s="133" t="str">
        <f t="shared" ref="H18:I18" si="1">H17</f>
        <v>GASTRO
revenue (Ft)</v>
      </c>
      <c r="I18" s="252" t="str">
        <f t="shared" si="1"/>
        <v>TOTAL FC 
POINTS</v>
      </c>
      <c r="J18" s="133"/>
      <c r="K18" s="133" t="str">
        <f t="shared" ref="K18:L18" si="2">K17</f>
        <v>TOTAL NON-FUEL
revenue (Ft)</v>
      </c>
      <c r="L18" s="252" t="str">
        <f t="shared" si="2"/>
        <v>TOTAL NF
POINTS</v>
      </c>
      <c r="M18" s="133"/>
      <c r="N18" s="133" t="str">
        <f t="shared" ref="N18:O18" si="3">N17</f>
        <v>TOTAL FUEL
(Liter)</v>
      </c>
      <c r="O18" s="252" t="str">
        <f t="shared" si="3"/>
        <v>FUEL
POINTS</v>
      </c>
      <c r="P18" s="252"/>
      <c r="Q18" s="133" t="str">
        <f t="shared" si="0"/>
        <v>CAR WASH
revenue (Ft)</v>
      </c>
      <c r="R18" s="252" t="str">
        <f t="shared" si="0"/>
        <v>CAR WASH
POINTS</v>
      </c>
      <c r="S18" s="252"/>
      <c r="T18" s="133" t="str">
        <f t="shared" ref="T18:U18" si="4">T17</f>
        <v xml:space="preserve">Highway indicator
</v>
      </c>
      <c r="U18" s="133" t="str">
        <f t="shared" si="4"/>
        <v>CAR WASH
POINTS</v>
      </c>
      <c r="V18" s="133"/>
      <c r="W18" s="133" t="str">
        <f t="shared" si="0"/>
        <v>TOTAL SCORE</v>
      </c>
      <c r="X18" s="133" t="str">
        <f t="shared" si="0"/>
        <v>NEW
CATEGORY
(ROMAN)</v>
      </c>
      <c r="Y18" s="133" t="str">
        <f t="shared" si="0"/>
        <v>NEW
CATEGORY
(ARABIC)</v>
      </c>
      <c r="Z18" s="3"/>
      <c r="AD18"/>
    </row>
    <row r="19" spans="1:30" outlineLevel="1">
      <c r="A19" t="s">
        <v>67</v>
      </c>
      <c r="B19" s="110">
        <v>7990200</v>
      </c>
      <c r="C19" s="267" t="s">
        <v>68</v>
      </c>
      <c r="D19" s="55"/>
      <c r="E19" s="92">
        <v>6.1316069740447787</v>
      </c>
      <c r="F19" s="68">
        <f t="shared" ref="F19:F82" si="5">IF(E19=0,0,IF(E19&lt;=E$11,G$11,IF(E19&lt;=E$10,G$10,IF(E19&lt;=E$9,G$9,G$8))))</f>
        <v>30</v>
      </c>
      <c r="G19" s="181"/>
      <c r="H19" s="276">
        <v>18387591.067900032</v>
      </c>
      <c r="I19" s="68">
        <f>IF(H19=0,0,IF(H19&lt;=H$11,J$11,IF(H19&lt;=H$10,J$10,IF(H19&lt;=H$9,J$9,J$8))))</f>
        <v>37.5</v>
      </c>
      <c r="J19" s="181"/>
      <c r="K19" s="277">
        <v>42922020.847397633</v>
      </c>
      <c r="L19" s="68">
        <f t="shared" ref="L19:L82" si="6">IF(K19=0,0,IF(K19&lt;=K$11,M$11,IF(K19&lt;=K$10,M$10,IF(K19&lt;=K$9,M$9,M$8))))</f>
        <v>30</v>
      </c>
      <c r="M19" s="68"/>
      <c r="N19" s="290">
        <v>1771249424.1249082</v>
      </c>
      <c r="O19" s="68">
        <f t="shared" ref="O19:O82" si="7">IF(N19=0,0,IF(N19&lt;=N$11,P$11,IF(N19&lt;=N$10,P$10,IF(N19&lt;=N$9,P$9,P$8))))</f>
        <v>22</v>
      </c>
      <c r="P19" s="68"/>
      <c r="Q19" s="276">
        <v>0</v>
      </c>
      <c r="R19" s="68">
        <f>IF(Q18=0,0,IF(Q18&lt;=Q$11,S$11,IF(Q18&lt;=Q$10,S$10,IF(Q18&lt;=Q$9,S$9,S$8))))</f>
        <v>25</v>
      </c>
      <c r="S19" s="68"/>
      <c r="T19" s="56" t="s">
        <v>37</v>
      </c>
      <c r="U19" s="68">
        <f t="shared" ref="U19:U82" si="8">IF(T19=0,0,IF(T19=T$9,V$9,V$8))</f>
        <v>12.5</v>
      </c>
      <c r="V19" s="68"/>
      <c r="W19" s="69">
        <f>F19+I19+L19+O19+R19+U19</f>
        <v>157</v>
      </c>
      <c r="X19" s="93" t="str">
        <f>IF(W19&lt;=$Y$11,$W$11,IF(W19&lt;=$Y$10,$W$10,IF(W19&lt;=$Y$9,$W$9,$W$8)))</f>
        <v>III</v>
      </c>
      <c r="Y19" s="93">
        <f t="shared" ref="Y19:Y81" si="9">IF(X19="IV",4,IF(X19="III",3,IF(X19="II",2,1)))</f>
        <v>3</v>
      </c>
      <c r="Z19" s="3"/>
      <c r="AD19"/>
    </row>
    <row r="20" spans="1:30">
      <c r="A20" t="s">
        <v>69</v>
      </c>
      <c r="B20" s="110">
        <v>6172100</v>
      </c>
      <c r="C20" s="267" t="s">
        <v>70</v>
      </c>
      <c r="D20" s="55"/>
      <c r="E20" s="92">
        <v>6.4649403073781135</v>
      </c>
      <c r="F20" s="68">
        <f t="shared" si="5"/>
        <v>30</v>
      </c>
      <c r="G20" s="181"/>
      <c r="H20" s="276">
        <v>18222205.853699833</v>
      </c>
      <c r="I20" s="68">
        <f>IF(H20=0,0,IF(H20&lt;=H$11,J$11,IF(H20&lt;=H$10,J$10,IF(H20&lt;=H$9,J$9,J$8))))</f>
        <v>37.5</v>
      </c>
      <c r="J20" s="181"/>
      <c r="K20" s="277">
        <v>31859119.160999388</v>
      </c>
      <c r="L20" s="68">
        <f t="shared" si="6"/>
        <v>20</v>
      </c>
      <c r="M20" s="68"/>
      <c r="N20" s="290">
        <v>1692753163.9617076</v>
      </c>
      <c r="O20" s="68">
        <f t="shared" si="7"/>
        <v>22</v>
      </c>
      <c r="P20" s="68"/>
      <c r="Q20" s="276">
        <v>0</v>
      </c>
      <c r="R20" s="68">
        <f>IF(Q19=0,0,IF(Q19&lt;=Q$11,S$11,IF(Q19&lt;=Q$10,S$10,IF(Q19&lt;=Q$9,S$9,S$8))))</f>
        <v>0</v>
      </c>
      <c r="S20" s="68"/>
      <c r="T20" s="56" t="s">
        <v>37</v>
      </c>
      <c r="U20" s="68">
        <f t="shared" si="8"/>
        <v>12.5</v>
      </c>
      <c r="V20" s="68"/>
      <c r="W20" s="69">
        <f t="shared" ref="W20:W82" si="10">F20+I20+L20+O20+R20+U20</f>
        <v>122</v>
      </c>
      <c r="X20" s="93" t="str">
        <f t="shared" ref="X20:X83" si="11">IF(W20&lt;=$Y$11,$W$11,IF(W20&lt;=$Y$10,$W$10,IF(W20&lt;=$Y$9,$W$9,$W$8)))</f>
        <v>III</v>
      </c>
      <c r="Y20" s="93">
        <f t="shared" si="9"/>
        <v>3</v>
      </c>
      <c r="Z20" s="3"/>
      <c r="AD20"/>
    </row>
    <row r="21" spans="1:30">
      <c r="A21" t="s">
        <v>71</v>
      </c>
      <c r="B21" s="110">
        <v>3836200</v>
      </c>
      <c r="C21" s="267" t="s">
        <v>72</v>
      </c>
      <c r="D21" s="55"/>
      <c r="E21" s="92">
        <v>6.3816069740447787</v>
      </c>
      <c r="F21" s="68">
        <f t="shared" si="5"/>
        <v>30</v>
      </c>
      <c r="G21" s="181"/>
      <c r="H21" s="276">
        <v>12939377.703200979</v>
      </c>
      <c r="I21" s="68">
        <f t="shared" ref="I21:I82" si="12">IF(H21=0,0,IF(H21&lt;=H$11,J$11,IF(H21&lt;=H$10,J$10,IF(H21&lt;=H$9,J$9,J$8))))</f>
        <v>25</v>
      </c>
      <c r="J21" s="181"/>
      <c r="K21" s="277">
        <v>52553933.36299897</v>
      </c>
      <c r="L21" s="68">
        <f t="shared" si="6"/>
        <v>30</v>
      </c>
      <c r="M21" s="68"/>
      <c r="N21" s="290">
        <v>1537557277.0312984</v>
      </c>
      <c r="O21" s="68">
        <f t="shared" si="7"/>
        <v>22</v>
      </c>
      <c r="P21" s="68"/>
      <c r="Q21" s="276">
        <v>0</v>
      </c>
      <c r="R21" s="68">
        <f t="shared" ref="R21:R82" si="13">IF(Q21=0,0,IF(Q21&lt;=Q$11,S$11,IF(Q21&lt;=Q$10,S$10,IF(Q21&lt;=Q$9,S$9,S$8))))</f>
        <v>0</v>
      </c>
      <c r="S21" s="68"/>
      <c r="T21" s="56" t="s">
        <v>37</v>
      </c>
      <c r="U21" s="68">
        <f t="shared" si="8"/>
        <v>12.5</v>
      </c>
      <c r="V21" s="68"/>
      <c r="W21" s="69">
        <f t="shared" si="10"/>
        <v>119.5</v>
      </c>
      <c r="X21" s="93" t="str">
        <f t="shared" si="11"/>
        <v>IV</v>
      </c>
      <c r="Y21" s="93">
        <f t="shared" si="9"/>
        <v>4</v>
      </c>
      <c r="AA21" s="13"/>
      <c r="AB21" s="132"/>
      <c r="AC21" s="2">
        <v>2</v>
      </c>
      <c r="AD21"/>
    </row>
    <row r="22" spans="1:30" ht="15" customHeight="1">
      <c r="A22" t="s">
        <v>73</v>
      </c>
      <c r="B22" s="110">
        <v>4287600</v>
      </c>
      <c r="C22" s="267" t="s">
        <v>74</v>
      </c>
      <c r="D22" s="55"/>
      <c r="E22" s="92">
        <v>6.5695789007622629</v>
      </c>
      <c r="F22" s="68">
        <f t="shared" si="5"/>
        <v>45</v>
      </c>
      <c r="G22" s="181"/>
      <c r="H22" s="276">
        <v>22201509.293500729</v>
      </c>
      <c r="I22" s="68">
        <f t="shared" si="12"/>
        <v>37.5</v>
      </c>
      <c r="J22" s="181"/>
      <c r="K22" s="277">
        <v>43323022.347798526</v>
      </c>
      <c r="L22" s="68">
        <f t="shared" si="6"/>
        <v>30</v>
      </c>
      <c r="M22" s="68"/>
      <c r="N22" s="290">
        <v>2011256412.1614072</v>
      </c>
      <c r="O22" s="68">
        <f t="shared" si="7"/>
        <v>22</v>
      </c>
      <c r="P22" s="68"/>
      <c r="Q22" s="276">
        <v>11171200.37029998</v>
      </c>
      <c r="R22" s="68">
        <f t="shared" si="13"/>
        <v>12.5</v>
      </c>
      <c r="S22" s="68"/>
      <c r="T22" s="56" t="s">
        <v>37</v>
      </c>
      <c r="U22" s="68">
        <f t="shared" si="8"/>
        <v>12.5</v>
      </c>
      <c r="V22" s="68"/>
      <c r="W22" s="69">
        <f t="shared" si="10"/>
        <v>159.5</v>
      </c>
      <c r="X22" s="93" t="str">
        <f t="shared" si="11"/>
        <v>III</v>
      </c>
      <c r="Y22" s="93">
        <f t="shared" si="9"/>
        <v>3</v>
      </c>
      <c r="AA22" s="13"/>
      <c r="AB22" s="132"/>
      <c r="AC22" s="2">
        <v>3</v>
      </c>
      <c r="AD22"/>
    </row>
    <row r="23" spans="1:30">
      <c r="A23" t="s">
        <v>75</v>
      </c>
      <c r="B23" s="110">
        <v>3559900</v>
      </c>
      <c r="C23" s="267" t="s">
        <v>76</v>
      </c>
      <c r="D23" s="55"/>
      <c r="E23" s="92">
        <v>6.8195789007622629</v>
      </c>
      <c r="F23" s="68">
        <f t="shared" si="5"/>
        <v>45</v>
      </c>
      <c r="G23" s="181"/>
      <c r="H23" s="276">
        <v>16463433.237599976</v>
      </c>
      <c r="I23" s="68">
        <f t="shared" si="12"/>
        <v>25</v>
      </c>
      <c r="J23" s="181"/>
      <c r="K23" s="277">
        <v>46730954.09869957</v>
      </c>
      <c r="L23" s="68">
        <f t="shared" si="6"/>
        <v>30</v>
      </c>
      <c r="M23" s="68"/>
      <c r="N23" s="290">
        <v>1560757581.2784047</v>
      </c>
      <c r="O23" s="68">
        <f t="shared" si="7"/>
        <v>22</v>
      </c>
      <c r="P23" s="68"/>
      <c r="Q23" s="276">
        <v>0</v>
      </c>
      <c r="R23" s="68">
        <f t="shared" si="13"/>
        <v>0</v>
      </c>
      <c r="S23" s="68"/>
      <c r="T23" s="56" t="s">
        <v>37</v>
      </c>
      <c r="U23" s="68">
        <f t="shared" si="8"/>
        <v>12.5</v>
      </c>
      <c r="V23" s="68"/>
      <c r="W23" s="69">
        <f t="shared" si="10"/>
        <v>134.5</v>
      </c>
      <c r="X23" s="93" t="str">
        <f t="shared" si="11"/>
        <v>III</v>
      </c>
      <c r="Y23" s="93">
        <f t="shared" si="9"/>
        <v>3</v>
      </c>
      <c r="AA23" s="13"/>
      <c r="AB23" s="132"/>
      <c r="AC23" s="2">
        <v>4</v>
      </c>
      <c r="AD23"/>
    </row>
    <row r="24" spans="1:30" ht="15" customHeight="1">
      <c r="A24" t="s">
        <v>77</v>
      </c>
      <c r="B24" s="110">
        <v>6246600</v>
      </c>
      <c r="C24" s="267" t="s">
        <v>78</v>
      </c>
      <c r="D24" s="55"/>
      <c r="E24" s="92">
        <v>6.2982736407114448</v>
      </c>
      <c r="F24" s="68">
        <f t="shared" si="5"/>
        <v>30</v>
      </c>
      <c r="G24" s="181"/>
      <c r="H24" s="276">
        <v>11475939.091499969</v>
      </c>
      <c r="I24" s="68">
        <f t="shared" si="12"/>
        <v>25</v>
      </c>
      <c r="J24" s="181"/>
      <c r="K24" s="277">
        <v>35211972.298898645</v>
      </c>
      <c r="L24" s="68">
        <f t="shared" si="6"/>
        <v>20</v>
      </c>
      <c r="M24" s="68"/>
      <c r="N24" s="290">
        <v>998088752.66900039</v>
      </c>
      <c r="O24" s="68">
        <f t="shared" si="7"/>
        <v>13</v>
      </c>
      <c r="P24" s="68"/>
      <c r="Q24" s="276">
        <v>0</v>
      </c>
      <c r="R24" s="68">
        <f t="shared" si="13"/>
        <v>0</v>
      </c>
      <c r="S24" s="68"/>
      <c r="T24" s="56" t="s">
        <v>37</v>
      </c>
      <c r="U24" s="68">
        <f t="shared" si="8"/>
        <v>12.5</v>
      </c>
      <c r="V24" s="68"/>
      <c r="W24" s="69">
        <f t="shared" si="10"/>
        <v>100.5</v>
      </c>
      <c r="X24" s="93" t="str">
        <f t="shared" si="11"/>
        <v>IV</v>
      </c>
      <c r="Y24" s="93">
        <f t="shared" si="9"/>
        <v>4</v>
      </c>
      <c r="AA24" s="13"/>
      <c r="AB24" s="132"/>
      <c r="AD24"/>
    </row>
    <row r="25" spans="1:30">
      <c r="A25" t="s">
        <v>73</v>
      </c>
      <c r="B25" s="110">
        <v>4237400</v>
      </c>
      <c r="C25" s="267" t="s">
        <v>79</v>
      </c>
      <c r="D25" s="55"/>
      <c r="E25" s="92">
        <v>5.5056631206098103</v>
      </c>
      <c r="F25" s="68">
        <f t="shared" si="5"/>
        <v>30</v>
      </c>
      <c r="G25" s="181"/>
      <c r="H25" s="276">
        <v>22563282.142892126</v>
      </c>
      <c r="I25" s="68">
        <f t="shared" si="12"/>
        <v>37.5</v>
      </c>
      <c r="J25" s="181"/>
      <c r="K25" s="277">
        <v>49200236.026100621</v>
      </c>
      <c r="L25" s="68">
        <f t="shared" si="6"/>
        <v>30</v>
      </c>
      <c r="M25" s="68"/>
      <c r="N25" s="290">
        <v>712235703.50311232</v>
      </c>
      <c r="O25" s="68">
        <f t="shared" si="7"/>
        <v>13</v>
      </c>
      <c r="P25" s="68"/>
      <c r="Q25" s="276">
        <v>0</v>
      </c>
      <c r="R25" s="68">
        <f t="shared" si="13"/>
        <v>0</v>
      </c>
      <c r="S25" s="68"/>
      <c r="T25" s="56" t="s">
        <v>37</v>
      </c>
      <c r="U25" s="68">
        <f t="shared" si="8"/>
        <v>12.5</v>
      </c>
      <c r="V25" s="68"/>
      <c r="W25" s="69">
        <f t="shared" si="10"/>
        <v>123</v>
      </c>
      <c r="X25" s="93" t="str">
        <f t="shared" si="11"/>
        <v>III</v>
      </c>
      <c r="Y25" s="93">
        <f t="shared" si="9"/>
        <v>3</v>
      </c>
      <c r="AA25" s="13"/>
      <c r="AB25" s="132"/>
      <c r="AC25" s="14"/>
      <c r="AD25"/>
    </row>
    <row r="26" spans="1:30">
      <c r="A26" t="s">
        <v>77</v>
      </c>
      <c r="B26" s="110">
        <v>7870200</v>
      </c>
      <c r="C26" s="267" t="s">
        <v>80</v>
      </c>
      <c r="D26" s="55"/>
      <c r="E26" s="92">
        <v>10.135382387784652</v>
      </c>
      <c r="F26" s="68">
        <f t="shared" si="5"/>
        <v>75</v>
      </c>
      <c r="G26" s="181"/>
      <c r="H26" s="276">
        <v>35321224.713800117</v>
      </c>
      <c r="I26" s="68">
        <f t="shared" si="12"/>
        <v>62.5</v>
      </c>
      <c r="J26" s="181"/>
      <c r="K26" s="277">
        <v>47914999.357099719</v>
      </c>
      <c r="L26" s="68">
        <f t="shared" si="6"/>
        <v>30</v>
      </c>
      <c r="M26" s="68"/>
      <c r="N26" s="290">
        <v>2113029700.690814</v>
      </c>
      <c r="O26" s="68">
        <f t="shared" si="7"/>
        <v>40</v>
      </c>
      <c r="P26" s="68"/>
      <c r="Q26" s="276">
        <v>7176299.2201000005</v>
      </c>
      <c r="R26" s="68">
        <f t="shared" si="13"/>
        <v>12.5</v>
      </c>
      <c r="S26" s="68"/>
      <c r="T26" s="56" t="s">
        <v>37</v>
      </c>
      <c r="U26" s="68">
        <f t="shared" si="8"/>
        <v>12.5</v>
      </c>
      <c r="V26" s="68"/>
      <c r="W26" s="69">
        <f t="shared" si="10"/>
        <v>232.5</v>
      </c>
      <c r="X26" s="93" t="str">
        <f t="shared" si="11"/>
        <v>II</v>
      </c>
      <c r="Y26" s="93">
        <f t="shared" si="9"/>
        <v>2</v>
      </c>
      <c r="AA26" s="13"/>
      <c r="AB26" s="132"/>
      <c r="AC26" s="14"/>
      <c r="AD26"/>
    </row>
    <row r="27" spans="1:30">
      <c r="A27" t="s">
        <v>73</v>
      </c>
      <c r="B27" s="110">
        <v>4238500</v>
      </c>
      <c r="C27" s="267" t="s">
        <v>81</v>
      </c>
      <c r="D27" s="55"/>
      <c r="E27" s="92">
        <v>10.135382387784652</v>
      </c>
      <c r="F27" s="68">
        <f t="shared" si="5"/>
        <v>75</v>
      </c>
      <c r="G27" s="181"/>
      <c r="H27" s="276">
        <v>65285858.651803441</v>
      </c>
      <c r="I27" s="68">
        <f t="shared" si="12"/>
        <v>125</v>
      </c>
      <c r="J27" s="181"/>
      <c r="K27" s="277">
        <v>67991185.537602276</v>
      </c>
      <c r="L27" s="68">
        <f t="shared" si="6"/>
        <v>50</v>
      </c>
      <c r="M27" s="68"/>
      <c r="N27" s="290">
        <v>1475841810.7713063</v>
      </c>
      <c r="O27" s="68">
        <f t="shared" si="7"/>
        <v>22</v>
      </c>
      <c r="P27" s="68"/>
      <c r="Q27" s="276">
        <v>0</v>
      </c>
      <c r="R27" s="68">
        <f t="shared" si="13"/>
        <v>0</v>
      </c>
      <c r="S27" s="68"/>
      <c r="T27" s="56" t="s">
        <v>37</v>
      </c>
      <c r="U27" s="68">
        <f t="shared" si="8"/>
        <v>12.5</v>
      </c>
      <c r="V27" s="68"/>
      <c r="W27" s="69">
        <f t="shared" si="10"/>
        <v>284.5</v>
      </c>
      <c r="X27" s="93" t="str">
        <f t="shared" si="11"/>
        <v>II</v>
      </c>
      <c r="Y27" s="93">
        <f t="shared" si="9"/>
        <v>2</v>
      </c>
      <c r="AA27" s="13"/>
      <c r="AB27" s="132"/>
      <c r="AC27" s="14"/>
      <c r="AD27"/>
    </row>
    <row r="28" spans="1:30">
      <c r="A28" t="s">
        <v>82</v>
      </c>
      <c r="B28" s="110">
        <v>7337100</v>
      </c>
      <c r="C28" s="267" t="s">
        <v>83</v>
      </c>
      <c r="D28" s="55"/>
      <c r="E28" s="92">
        <v>6.6160999557241498</v>
      </c>
      <c r="F28" s="68">
        <f t="shared" si="5"/>
        <v>45</v>
      </c>
      <c r="G28" s="181"/>
      <c r="H28" s="276">
        <v>13387365.937699961</v>
      </c>
      <c r="I28" s="68">
        <f t="shared" si="12"/>
        <v>25</v>
      </c>
      <c r="J28" s="181"/>
      <c r="K28" s="277">
        <v>38703112.639299303</v>
      </c>
      <c r="L28" s="68">
        <f t="shared" si="6"/>
        <v>30</v>
      </c>
      <c r="M28" s="68"/>
      <c r="N28" s="290">
        <v>1568330256.0390058</v>
      </c>
      <c r="O28" s="68">
        <f t="shared" si="7"/>
        <v>22</v>
      </c>
      <c r="P28" s="68"/>
      <c r="Q28" s="276">
        <v>0</v>
      </c>
      <c r="R28" s="68">
        <f t="shared" si="13"/>
        <v>0</v>
      </c>
      <c r="S28" s="68"/>
      <c r="T28" s="56" t="s">
        <v>37</v>
      </c>
      <c r="U28" s="68">
        <f t="shared" si="8"/>
        <v>12.5</v>
      </c>
      <c r="V28" s="68"/>
      <c r="W28" s="69">
        <f t="shared" si="10"/>
        <v>134.5</v>
      </c>
      <c r="X28" s="93" t="str">
        <f t="shared" si="11"/>
        <v>III</v>
      </c>
      <c r="Y28" s="93">
        <f t="shared" si="9"/>
        <v>3</v>
      </c>
      <c r="AA28" s="13"/>
      <c r="AB28" s="132"/>
      <c r="AC28" s="14"/>
      <c r="AD28"/>
    </row>
    <row r="29" spans="1:30">
      <c r="A29" t="s">
        <v>84</v>
      </c>
      <c r="B29" s="110">
        <v>3545900</v>
      </c>
      <c r="C29" s="267" t="s">
        <v>85</v>
      </c>
      <c r="D29" s="55"/>
      <c r="E29" s="92">
        <v>13.451626030645102</v>
      </c>
      <c r="F29" s="68">
        <f t="shared" si="5"/>
        <v>75</v>
      </c>
      <c r="G29" s="181"/>
      <c r="H29" s="276">
        <v>23668641.757700574</v>
      </c>
      <c r="I29" s="68">
        <f t="shared" si="12"/>
        <v>37.5</v>
      </c>
      <c r="J29" s="181"/>
      <c r="K29" s="277">
        <v>58848500.988398522</v>
      </c>
      <c r="L29" s="68">
        <f t="shared" si="6"/>
        <v>30</v>
      </c>
      <c r="M29" s="68"/>
      <c r="N29" s="290">
        <v>2170050166.2710013</v>
      </c>
      <c r="O29" s="68">
        <f t="shared" si="7"/>
        <v>40</v>
      </c>
      <c r="P29" s="68"/>
      <c r="Q29" s="276">
        <v>1252148.0624999993</v>
      </c>
      <c r="R29" s="68">
        <f t="shared" si="13"/>
        <v>7.5</v>
      </c>
      <c r="S29" s="68"/>
      <c r="T29" s="56" t="s">
        <v>37</v>
      </c>
      <c r="U29" s="68">
        <f t="shared" si="8"/>
        <v>12.5</v>
      </c>
      <c r="V29" s="68"/>
      <c r="W29" s="69">
        <f t="shared" si="10"/>
        <v>202.5</v>
      </c>
      <c r="X29" s="93" t="str">
        <f t="shared" si="11"/>
        <v>II</v>
      </c>
      <c r="Y29" s="93">
        <f t="shared" si="9"/>
        <v>2</v>
      </c>
      <c r="AA29" s="13"/>
      <c r="AB29" s="132"/>
      <c r="AC29" s="14"/>
      <c r="AD29"/>
    </row>
    <row r="30" spans="1:30">
      <c r="A30" t="s">
        <v>86</v>
      </c>
      <c r="B30" s="110">
        <v>4242900</v>
      </c>
      <c r="C30" s="267" t="s">
        <v>87</v>
      </c>
      <c r="D30" s="55"/>
      <c r="E30" s="92">
        <v>10.135382387784652</v>
      </c>
      <c r="F30" s="68">
        <f t="shared" si="5"/>
        <v>75</v>
      </c>
      <c r="G30" s="181"/>
      <c r="H30" s="276">
        <v>70170988.42110157</v>
      </c>
      <c r="I30" s="68">
        <f t="shared" si="12"/>
        <v>125</v>
      </c>
      <c r="J30" s="181"/>
      <c r="K30" s="277">
        <v>113614531.33749835</v>
      </c>
      <c r="L30" s="68">
        <f t="shared" si="6"/>
        <v>100</v>
      </c>
      <c r="M30" s="68"/>
      <c r="N30" s="290">
        <v>2316367141.4813042</v>
      </c>
      <c r="O30" s="68">
        <f t="shared" si="7"/>
        <v>40</v>
      </c>
      <c r="P30" s="68"/>
      <c r="Q30" s="276">
        <v>0</v>
      </c>
      <c r="R30" s="68">
        <f t="shared" si="13"/>
        <v>0</v>
      </c>
      <c r="S30" s="68"/>
      <c r="T30" s="56" t="s">
        <v>37</v>
      </c>
      <c r="U30" s="68">
        <f t="shared" si="8"/>
        <v>12.5</v>
      </c>
      <c r="V30" s="68"/>
      <c r="W30" s="69">
        <f t="shared" si="10"/>
        <v>352.5</v>
      </c>
      <c r="X30" s="93" t="str">
        <f t="shared" si="11"/>
        <v>I</v>
      </c>
      <c r="Y30" s="93">
        <f t="shared" si="9"/>
        <v>1</v>
      </c>
      <c r="AA30" s="13"/>
      <c r="AB30" s="132"/>
      <c r="AC30" s="14"/>
      <c r="AD30"/>
    </row>
    <row r="31" spans="1:30">
      <c r="A31" t="s">
        <v>86</v>
      </c>
      <c r="B31" s="110">
        <v>4268400</v>
      </c>
      <c r="C31" s="267" t="s">
        <v>88</v>
      </c>
      <c r="D31" s="55"/>
      <c r="E31" s="92">
        <v>5.6936350473272945</v>
      </c>
      <c r="F31" s="68">
        <f t="shared" si="5"/>
        <v>30</v>
      </c>
      <c r="G31" s="181"/>
      <c r="H31" s="276">
        <v>28798256.357499927</v>
      </c>
      <c r="I31" s="68">
        <f t="shared" si="12"/>
        <v>37.5</v>
      </c>
      <c r="J31" s="181"/>
      <c r="K31" s="277">
        <v>79342868.490097791</v>
      </c>
      <c r="L31" s="68">
        <f t="shared" si="6"/>
        <v>50</v>
      </c>
      <c r="M31" s="68"/>
      <c r="N31" s="290">
        <v>1863263205.1021023</v>
      </c>
      <c r="O31" s="68">
        <f t="shared" si="7"/>
        <v>22</v>
      </c>
      <c r="P31" s="68"/>
      <c r="Q31" s="276">
        <v>0</v>
      </c>
      <c r="R31" s="68">
        <f t="shared" si="13"/>
        <v>0</v>
      </c>
      <c r="S31" s="68"/>
      <c r="T31" s="56" t="s">
        <v>37</v>
      </c>
      <c r="U31" s="68">
        <f t="shared" si="8"/>
        <v>12.5</v>
      </c>
      <c r="V31" s="68"/>
      <c r="W31" s="69">
        <f t="shared" si="10"/>
        <v>152</v>
      </c>
      <c r="X31" s="93" t="str">
        <f t="shared" si="11"/>
        <v>III</v>
      </c>
      <c r="Y31" s="93">
        <f t="shared" si="9"/>
        <v>3</v>
      </c>
      <c r="AA31" s="13"/>
      <c r="AB31" s="132"/>
      <c r="AC31" s="14"/>
      <c r="AD31"/>
    </row>
    <row r="32" spans="1:30">
      <c r="A32" t="s">
        <v>73</v>
      </c>
      <c r="B32" s="110">
        <v>8245200</v>
      </c>
      <c r="C32" s="267" t="s">
        <v>89</v>
      </c>
      <c r="D32" s="55"/>
      <c r="E32" s="92">
        <v>5.5056631206098103</v>
      </c>
      <c r="F32" s="68">
        <f t="shared" si="5"/>
        <v>30</v>
      </c>
      <c r="G32" s="181"/>
      <c r="H32" s="276">
        <v>28219862.314395256</v>
      </c>
      <c r="I32" s="68">
        <f t="shared" si="12"/>
        <v>37.5</v>
      </c>
      <c r="J32" s="181"/>
      <c r="K32" s="277">
        <v>44122398.656296641</v>
      </c>
      <c r="L32" s="68">
        <f t="shared" si="6"/>
        <v>30</v>
      </c>
      <c r="M32" s="68"/>
      <c r="N32" s="290">
        <v>793854595.37830162</v>
      </c>
      <c r="O32" s="68">
        <f t="shared" si="7"/>
        <v>13</v>
      </c>
      <c r="P32" s="68"/>
      <c r="Q32" s="276">
        <v>0</v>
      </c>
      <c r="R32" s="68">
        <f t="shared" si="13"/>
        <v>0</v>
      </c>
      <c r="S32" s="68"/>
      <c r="T32" s="56" t="s">
        <v>37</v>
      </c>
      <c r="U32" s="68">
        <f t="shared" si="8"/>
        <v>12.5</v>
      </c>
      <c r="V32" s="68"/>
      <c r="W32" s="69">
        <f t="shared" si="10"/>
        <v>123</v>
      </c>
      <c r="X32" s="93" t="str">
        <f t="shared" si="11"/>
        <v>III</v>
      </c>
      <c r="Y32" s="93">
        <f t="shared" si="9"/>
        <v>3</v>
      </c>
      <c r="AA32" s="13"/>
      <c r="AB32" s="132"/>
      <c r="AC32" s="14"/>
      <c r="AD32"/>
    </row>
    <row r="33" spans="1:30">
      <c r="A33" t="s">
        <v>73</v>
      </c>
      <c r="B33" s="110">
        <v>5065400</v>
      </c>
      <c r="C33" s="267" t="s">
        <v>90</v>
      </c>
      <c r="D33" s="55"/>
      <c r="E33" s="92">
        <v>6.1316069740447787</v>
      </c>
      <c r="F33" s="68">
        <f t="shared" si="5"/>
        <v>30</v>
      </c>
      <c r="G33" s="181"/>
      <c r="H33" s="276">
        <v>26977480.972901072</v>
      </c>
      <c r="I33" s="68">
        <f t="shared" si="12"/>
        <v>37.5</v>
      </c>
      <c r="J33" s="181"/>
      <c r="K33" s="277">
        <v>69619586.074796796</v>
      </c>
      <c r="L33" s="68">
        <f t="shared" si="6"/>
        <v>50</v>
      </c>
      <c r="M33" s="68"/>
      <c r="N33" s="290">
        <v>1813462993.6911957</v>
      </c>
      <c r="O33" s="68">
        <f t="shared" si="7"/>
        <v>22</v>
      </c>
      <c r="P33" s="68"/>
      <c r="Q33" s="276">
        <v>0</v>
      </c>
      <c r="R33" s="68">
        <f t="shared" si="13"/>
        <v>0</v>
      </c>
      <c r="S33" s="68"/>
      <c r="T33" s="56" t="s">
        <v>37</v>
      </c>
      <c r="U33" s="68">
        <f t="shared" si="8"/>
        <v>12.5</v>
      </c>
      <c r="V33" s="68"/>
      <c r="W33" s="69">
        <f t="shared" si="10"/>
        <v>152</v>
      </c>
      <c r="X33" s="93" t="str">
        <f t="shared" si="11"/>
        <v>III</v>
      </c>
      <c r="Y33" s="93">
        <f t="shared" si="9"/>
        <v>3</v>
      </c>
      <c r="AA33" s="13"/>
      <c r="AB33" s="132"/>
      <c r="AC33" s="14"/>
      <c r="AD33"/>
    </row>
    <row r="34" spans="1:30">
      <c r="A34" t="s">
        <v>67</v>
      </c>
      <c r="B34" s="110">
        <v>4240700</v>
      </c>
      <c r="C34" s="267" t="s">
        <v>91</v>
      </c>
      <c r="D34" s="55"/>
      <c r="E34" s="92">
        <v>10.135382387784652</v>
      </c>
      <c r="F34" s="68">
        <f t="shared" si="5"/>
        <v>75</v>
      </c>
      <c r="G34" s="181"/>
      <c r="H34" s="276">
        <v>55495456.590201214</v>
      </c>
      <c r="I34" s="68">
        <f t="shared" si="12"/>
        <v>62.5</v>
      </c>
      <c r="J34" s="181"/>
      <c r="K34" s="277">
        <v>94431895.56120269</v>
      </c>
      <c r="L34" s="68">
        <f t="shared" si="6"/>
        <v>50</v>
      </c>
      <c r="M34" s="68"/>
      <c r="N34" s="290">
        <v>2282579144.6742992</v>
      </c>
      <c r="O34" s="68">
        <f t="shared" si="7"/>
        <v>40</v>
      </c>
      <c r="P34" s="68"/>
      <c r="Q34" s="276">
        <v>11308544.465699973</v>
      </c>
      <c r="R34" s="68">
        <f t="shared" si="13"/>
        <v>12.5</v>
      </c>
      <c r="S34" s="68"/>
      <c r="T34" s="56" t="s">
        <v>37</v>
      </c>
      <c r="U34" s="68">
        <f t="shared" si="8"/>
        <v>12.5</v>
      </c>
      <c r="V34" s="68"/>
      <c r="W34" s="69">
        <f t="shared" si="10"/>
        <v>252.5</v>
      </c>
      <c r="X34" s="93" t="str">
        <f t="shared" si="11"/>
        <v>II</v>
      </c>
      <c r="Y34" s="93">
        <f t="shared" si="9"/>
        <v>2</v>
      </c>
      <c r="AA34" s="13"/>
      <c r="AB34" s="132"/>
      <c r="AC34" s="14"/>
      <c r="AD34"/>
    </row>
    <row r="35" spans="1:30">
      <c r="A35" t="s">
        <v>73</v>
      </c>
      <c r="B35" s="110">
        <v>5039200</v>
      </c>
      <c r="C35" s="267" t="s">
        <v>92</v>
      </c>
      <c r="D35" s="55"/>
      <c r="E35" s="92">
        <v>16.041951236774121</v>
      </c>
      <c r="F35" s="68">
        <f t="shared" si="5"/>
        <v>150</v>
      </c>
      <c r="G35" s="181"/>
      <c r="H35" s="276">
        <v>96400527.156999961</v>
      </c>
      <c r="I35" s="68">
        <f t="shared" si="12"/>
        <v>125</v>
      </c>
      <c r="J35" s="181"/>
      <c r="K35" s="277">
        <v>172881805.1117059</v>
      </c>
      <c r="L35" s="68">
        <f t="shared" si="6"/>
        <v>100</v>
      </c>
      <c r="M35" s="68"/>
      <c r="N35" s="290">
        <v>2143098452.1911025</v>
      </c>
      <c r="O35" s="68">
        <f t="shared" si="7"/>
        <v>40</v>
      </c>
      <c r="P35" s="68"/>
      <c r="Q35" s="276">
        <v>0</v>
      </c>
      <c r="R35" s="68">
        <f t="shared" si="13"/>
        <v>0</v>
      </c>
      <c r="S35" s="68"/>
      <c r="T35" s="56" t="s">
        <v>32</v>
      </c>
      <c r="U35" s="68">
        <f t="shared" si="8"/>
        <v>25</v>
      </c>
      <c r="V35" s="68"/>
      <c r="W35" s="69">
        <f t="shared" si="10"/>
        <v>440</v>
      </c>
      <c r="X35" s="93" t="str">
        <f t="shared" si="11"/>
        <v>I</v>
      </c>
      <c r="Y35" s="93">
        <f t="shared" si="9"/>
        <v>1</v>
      </c>
      <c r="AA35" s="13"/>
      <c r="AB35" s="132"/>
      <c r="AC35" s="14"/>
      <c r="AD35"/>
    </row>
    <row r="36" spans="1:30">
      <c r="A36" t="s">
        <v>73</v>
      </c>
      <c r="B36" s="110">
        <v>5040200</v>
      </c>
      <c r="C36" s="267" t="s">
        <v>93</v>
      </c>
      <c r="D36" s="55"/>
      <c r="E36" s="92">
        <v>16.041951236774121</v>
      </c>
      <c r="F36" s="68">
        <f t="shared" si="5"/>
        <v>150</v>
      </c>
      <c r="G36" s="181"/>
      <c r="H36" s="276">
        <v>85027079.458795696</v>
      </c>
      <c r="I36" s="68">
        <f t="shared" si="12"/>
        <v>125</v>
      </c>
      <c r="J36" s="181"/>
      <c r="K36" s="277">
        <v>119868734.61059876</v>
      </c>
      <c r="L36" s="68">
        <f t="shared" si="6"/>
        <v>100</v>
      </c>
      <c r="M36" s="68"/>
      <c r="N36" s="290">
        <v>1704347235.3242035</v>
      </c>
      <c r="O36" s="68">
        <f t="shared" si="7"/>
        <v>22</v>
      </c>
      <c r="P36" s="68"/>
      <c r="Q36" s="276">
        <v>0</v>
      </c>
      <c r="R36" s="68">
        <f t="shared" si="13"/>
        <v>0</v>
      </c>
      <c r="S36" s="68"/>
      <c r="T36" s="56" t="s">
        <v>32</v>
      </c>
      <c r="U36" s="68">
        <f t="shared" si="8"/>
        <v>25</v>
      </c>
      <c r="V36" s="68"/>
      <c r="W36" s="69">
        <f t="shared" si="10"/>
        <v>422</v>
      </c>
      <c r="X36" s="93" t="str">
        <f t="shared" si="11"/>
        <v>I</v>
      </c>
      <c r="Y36" s="93">
        <f t="shared" si="9"/>
        <v>1</v>
      </c>
      <c r="AA36" s="13"/>
      <c r="AB36" s="132"/>
      <c r="AC36" s="14"/>
      <c r="AD36"/>
    </row>
    <row r="37" spans="1:30">
      <c r="A37" t="s">
        <v>73</v>
      </c>
      <c r="B37" s="110">
        <v>5038800</v>
      </c>
      <c r="C37" s="267" t="s">
        <v>94</v>
      </c>
      <c r="D37" s="55"/>
      <c r="E37" s="92">
        <v>5.2556631206098103</v>
      </c>
      <c r="F37" s="68">
        <f t="shared" si="5"/>
        <v>30</v>
      </c>
      <c r="G37" s="181"/>
      <c r="H37" s="276">
        <v>25493860.272599906</v>
      </c>
      <c r="I37" s="68">
        <f t="shared" si="12"/>
        <v>37.5</v>
      </c>
      <c r="J37" s="181"/>
      <c r="K37" s="277">
        <v>67450788.592100471</v>
      </c>
      <c r="L37" s="68">
        <f t="shared" si="6"/>
        <v>50</v>
      </c>
      <c r="M37" s="68"/>
      <c r="N37" s="290">
        <v>1925186373.3709908</v>
      </c>
      <c r="O37" s="68">
        <f t="shared" si="7"/>
        <v>22</v>
      </c>
      <c r="P37" s="68"/>
      <c r="Q37" s="276">
        <v>10116181.436899999</v>
      </c>
      <c r="R37" s="68">
        <f t="shared" si="13"/>
        <v>12.5</v>
      </c>
      <c r="S37" s="68"/>
      <c r="T37" s="56" t="s">
        <v>37</v>
      </c>
      <c r="U37" s="68">
        <f t="shared" si="8"/>
        <v>12.5</v>
      </c>
      <c r="V37" s="68"/>
      <c r="W37" s="69">
        <f t="shared" si="10"/>
        <v>164.5</v>
      </c>
      <c r="X37" s="93" t="str">
        <f t="shared" si="11"/>
        <v>III</v>
      </c>
      <c r="Y37" s="93">
        <f t="shared" si="9"/>
        <v>3</v>
      </c>
      <c r="AA37" s="13"/>
      <c r="AB37" s="132"/>
      <c r="AC37" s="14"/>
      <c r="AD37"/>
    </row>
    <row r="38" spans="1:30">
      <c r="A38" t="s">
        <v>95</v>
      </c>
      <c r="B38" s="110">
        <v>5070900</v>
      </c>
      <c r="C38" s="267" t="s">
        <v>96</v>
      </c>
      <c r="D38" s="55"/>
      <c r="E38" s="92">
        <v>6.9455227541972313</v>
      </c>
      <c r="F38" s="68">
        <f t="shared" si="5"/>
        <v>45</v>
      </c>
      <c r="G38" s="181"/>
      <c r="H38" s="276">
        <v>22055720.284901094</v>
      </c>
      <c r="I38" s="68">
        <f t="shared" si="12"/>
        <v>37.5</v>
      </c>
      <c r="J38" s="181"/>
      <c r="K38" s="277">
        <v>50465520.585899688</v>
      </c>
      <c r="L38" s="68">
        <f t="shared" si="6"/>
        <v>30</v>
      </c>
      <c r="M38" s="68"/>
      <c r="N38" s="290">
        <v>1529189028.0185018</v>
      </c>
      <c r="O38" s="68">
        <f t="shared" si="7"/>
        <v>22</v>
      </c>
      <c r="P38" s="68"/>
      <c r="Q38" s="276">
        <v>0</v>
      </c>
      <c r="R38" s="68">
        <f t="shared" si="13"/>
        <v>0</v>
      </c>
      <c r="S38" s="68"/>
      <c r="T38" s="56" t="s">
        <v>37</v>
      </c>
      <c r="U38" s="68">
        <f t="shared" si="8"/>
        <v>12.5</v>
      </c>
      <c r="V38" s="68"/>
      <c r="W38" s="69">
        <f t="shared" si="10"/>
        <v>147</v>
      </c>
      <c r="X38" s="93" t="str">
        <f t="shared" si="11"/>
        <v>III</v>
      </c>
      <c r="Y38" s="93">
        <f t="shared" si="9"/>
        <v>3</v>
      </c>
      <c r="AA38" s="13"/>
      <c r="AB38" s="132"/>
      <c r="AC38" s="14"/>
      <c r="AD38"/>
    </row>
    <row r="39" spans="1:30">
      <c r="A39" t="s">
        <v>95</v>
      </c>
      <c r="B39" s="110">
        <v>5158300</v>
      </c>
      <c r="C39" s="267" t="s">
        <v>97</v>
      </c>
      <c r="D39" s="55"/>
      <c r="E39" s="92">
        <v>7.9455227541972313</v>
      </c>
      <c r="F39" s="68">
        <f t="shared" si="5"/>
        <v>45</v>
      </c>
      <c r="G39" s="181"/>
      <c r="H39" s="276">
        <v>21806990.917800121</v>
      </c>
      <c r="I39" s="68">
        <f t="shared" si="12"/>
        <v>37.5</v>
      </c>
      <c r="J39" s="181"/>
      <c r="K39" s="277">
        <v>49075131.066497095</v>
      </c>
      <c r="L39" s="68">
        <f t="shared" si="6"/>
        <v>30</v>
      </c>
      <c r="M39" s="68"/>
      <c r="N39" s="290">
        <v>1287376651.9679046</v>
      </c>
      <c r="O39" s="68">
        <f t="shared" si="7"/>
        <v>13</v>
      </c>
      <c r="P39" s="68"/>
      <c r="Q39" s="276">
        <v>0</v>
      </c>
      <c r="R39" s="68">
        <f t="shared" si="13"/>
        <v>0</v>
      </c>
      <c r="S39" s="68"/>
      <c r="T39" s="56" t="s">
        <v>37</v>
      </c>
      <c r="U39" s="68">
        <f t="shared" si="8"/>
        <v>12.5</v>
      </c>
      <c r="V39" s="68"/>
      <c r="W39" s="69">
        <f t="shared" si="10"/>
        <v>138</v>
      </c>
      <c r="X39" s="93" t="str">
        <f t="shared" si="11"/>
        <v>III</v>
      </c>
      <c r="Y39" s="93">
        <f t="shared" si="9"/>
        <v>3</v>
      </c>
      <c r="AA39" s="13"/>
      <c r="AB39" s="132"/>
      <c r="AC39" s="14"/>
      <c r="AD39"/>
    </row>
    <row r="40" spans="1:30">
      <c r="A40" t="s">
        <v>69</v>
      </c>
      <c r="B40" s="110">
        <v>3550300</v>
      </c>
      <c r="C40" s="267" t="s">
        <v>98</v>
      </c>
      <c r="D40" s="55"/>
      <c r="E40" s="92">
        <v>6.5695789007622629</v>
      </c>
      <c r="F40" s="68">
        <f t="shared" si="5"/>
        <v>45</v>
      </c>
      <c r="G40" s="181"/>
      <c r="H40" s="276">
        <v>7120343.7974000359</v>
      </c>
      <c r="I40" s="68">
        <f t="shared" si="12"/>
        <v>25</v>
      </c>
      <c r="J40" s="181"/>
      <c r="K40" s="277">
        <v>44046003.085200459</v>
      </c>
      <c r="L40" s="68">
        <f t="shared" si="6"/>
        <v>30</v>
      </c>
      <c r="M40" s="68"/>
      <c r="N40" s="290">
        <v>1400647939.220902</v>
      </c>
      <c r="O40" s="68">
        <f t="shared" si="7"/>
        <v>22</v>
      </c>
      <c r="P40" s="68"/>
      <c r="Q40" s="276">
        <v>0</v>
      </c>
      <c r="R40" s="68">
        <f t="shared" si="13"/>
        <v>0</v>
      </c>
      <c r="S40" s="68"/>
      <c r="T40" s="56" t="s">
        <v>37</v>
      </c>
      <c r="U40" s="68">
        <f t="shared" si="8"/>
        <v>12.5</v>
      </c>
      <c r="V40" s="68"/>
      <c r="W40" s="69">
        <f t="shared" si="10"/>
        <v>134.5</v>
      </c>
      <c r="X40" s="93" t="str">
        <f t="shared" si="11"/>
        <v>III</v>
      </c>
      <c r="Y40" s="93">
        <f t="shared" si="9"/>
        <v>3</v>
      </c>
      <c r="AA40" s="13"/>
      <c r="AB40" s="132"/>
      <c r="AC40" s="14"/>
      <c r="AD40"/>
    </row>
    <row r="41" spans="1:30">
      <c r="A41" t="s">
        <v>99</v>
      </c>
      <c r="B41" s="110">
        <v>7895200</v>
      </c>
      <c r="C41" s="267" t="s">
        <v>100</v>
      </c>
      <c r="D41" s="55"/>
      <c r="E41" s="92">
        <v>5.4795034722637732</v>
      </c>
      <c r="F41" s="68">
        <f t="shared" si="5"/>
        <v>30</v>
      </c>
      <c r="G41" s="181"/>
      <c r="H41" s="276">
        <v>4222472.9753999962</v>
      </c>
      <c r="I41" s="68">
        <f t="shared" si="12"/>
        <v>25</v>
      </c>
      <c r="J41" s="181"/>
      <c r="K41" s="277">
        <v>17260908.094199996</v>
      </c>
      <c r="L41" s="68">
        <f t="shared" si="6"/>
        <v>20</v>
      </c>
      <c r="M41" s="68"/>
      <c r="N41" s="290">
        <v>671937669.51100111</v>
      </c>
      <c r="O41" s="68">
        <f t="shared" si="7"/>
        <v>13</v>
      </c>
      <c r="P41" s="68"/>
      <c r="Q41" s="276">
        <v>6374843.307</v>
      </c>
      <c r="R41" s="68">
        <f t="shared" si="13"/>
        <v>12.5</v>
      </c>
      <c r="S41" s="68"/>
      <c r="T41" s="56" t="s">
        <v>37</v>
      </c>
      <c r="U41" s="68">
        <f t="shared" si="8"/>
        <v>12.5</v>
      </c>
      <c r="V41" s="68"/>
      <c r="W41" s="69">
        <f t="shared" si="10"/>
        <v>113</v>
      </c>
      <c r="X41" s="93" t="str">
        <f t="shared" si="11"/>
        <v>IV</v>
      </c>
      <c r="Y41" s="93">
        <f t="shared" si="9"/>
        <v>4</v>
      </c>
      <c r="AA41" s="13"/>
      <c r="AB41" s="132"/>
      <c r="AC41" s="14"/>
      <c r="AD41"/>
    </row>
    <row r="42" spans="1:30">
      <c r="A42" t="s">
        <v>99</v>
      </c>
      <c r="B42" s="110">
        <v>5870500</v>
      </c>
      <c r="C42" s="267" t="s">
        <v>101</v>
      </c>
      <c r="D42" s="55"/>
      <c r="E42" s="92">
        <v>9.2594385343496839</v>
      </c>
      <c r="F42" s="68">
        <f t="shared" si="5"/>
        <v>45</v>
      </c>
      <c r="G42" s="181"/>
      <c r="H42" s="276">
        <v>16386581.046996992</v>
      </c>
      <c r="I42" s="68">
        <f t="shared" si="12"/>
        <v>25</v>
      </c>
      <c r="J42" s="181"/>
      <c r="K42" s="277">
        <v>30526053.675895702</v>
      </c>
      <c r="L42" s="68">
        <f t="shared" si="6"/>
        <v>20</v>
      </c>
      <c r="M42" s="68"/>
      <c r="N42" s="290">
        <v>1382938670.2597992</v>
      </c>
      <c r="O42" s="68">
        <f t="shared" si="7"/>
        <v>22</v>
      </c>
      <c r="P42" s="68"/>
      <c r="Q42" s="276">
        <v>14991750.101699902</v>
      </c>
      <c r="R42" s="68">
        <f t="shared" si="13"/>
        <v>25</v>
      </c>
      <c r="S42" s="68"/>
      <c r="T42" s="56" t="s">
        <v>37</v>
      </c>
      <c r="U42" s="68">
        <f t="shared" si="8"/>
        <v>12.5</v>
      </c>
      <c r="V42" s="68"/>
      <c r="W42" s="69">
        <f t="shared" si="10"/>
        <v>149.5</v>
      </c>
      <c r="X42" s="93" t="str">
        <f t="shared" si="11"/>
        <v>III</v>
      </c>
      <c r="Y42" s="93">
        <f t="shared" si="9"/>
        <v>3</v>
      </c>
      <c r="AA42" s="13"/>
      <c r="AB42" s="132"/>
      <c r="AC42" s="14"/>
      <c r="AD42"/>
    </row>
    <row r="43" spans="1:30">
      <c r="A43" t="s">
        <v>99</v>
      </c>
      <c r="B43" s="110">
        <v>5867900</v>
      </c>
      <c r="C43" s="267" t="s">
        <v>102</v>
      </c>
      <c r="D43" s="55"/>
      <c r="E43" s="92">
        <v>13.451626030645102</v>
      </c>
      <c r="F43" s="68">
        <f t="shared" si="5"/>
        <v>75</v>
      </c>
      <c r="G43" s="181"/>
      <c r="H43" s="276">
        <v>57061533.326294772</v>
      </c>
      <c r="I43" s="68">
        <f t="shared" si="12"/>
        <v>62.5</v>
      </c>
      <c r="J43" s="181"/>
      <c r="K43" s="277">
        <v>67169192.731101379</v>
      </c>
      <c r="L43" s="68">
        <f t="shared" si="6"/>
        <v>50</v>
      </c>
      <c r="M43" s="68"/>
      <c r="N43" s="290">
        <v>3594532070.0795069</v>
      </c>
      <c r="O43" s="68">
        <f t="shared" si="7"/>
        <v>75</v>
      </c>
      <c r="P43" s="68"/>
      <c r="Q43" s="276">
        <v>0</v>
      </c>
      <c r="R43" s="68">
        <f t="shared" si="13"/>
        <v>0</v>
      </c>
      <c r="S43" s="68"/>
      <c r="T43" s="56" t="s">
        <v>37</v>
      </c>
      <c r="U43" s="68">
        <f t="shared" si="8"/>
        <v>12.5</v>
      </c>
      <c r="V43" s="68"/>
      <c r="W43" s="69">
        <f t="shared" si="10"/>
        <v>275</v>
      </c>
      <c r="X43" s="93" t="str">
        <f t="shared" si="11"/>
        <v>II</v>
      </c>
      <c r="Y43" s="93">
        <f t="shared" si="9"/>
        <v>2</v>
      </c>
      <c r="AA43" s="13"/>
      <c r="AB43" s="132"/>
      <c r="AC43" s="14"/>
      <c r="AD43"/>
    </row>
    <row r="44" spans="1:30">
      <c r="A44" t="s">
        <v>103</v>
      </c>
      <c r="B44" s="110">
        <v>3937600</v>
      </c>
      <c r="C44" s="267" t="s">
        <v>104</v>
      </c>
      <c r="D44" s="55"/>
      <c r="E44" s="92">
        <v>2.6278315603049052</v>
      </c>
      <c r="F44" s="68">
        <f t="shared" si="5"/>
        <v>30</v>
      </c>
      <c r="G44" s="181"/>
      <c r="H44" s="276">
        <v>1445532.5188999989</v>
      </c>
      <c r="I44" s="68">
        <f t="shared" si="12"/>
        <v>25</v>
      </c>
      <c r="J44" s="181"/>
      <c r="K44" s="277">
        <v>23676134.985999793</v>
      </c>
      <c r="L44" s="68">
        <f t="shared" si="6"/>
        <v>20</v>
      </c>
      <c r="M44" s="68"/>
      <c r="N44" s="290">
        <v>1132296569.0730066</v>
      </c>
      <c r="O44" s="68">
        <f t="shared" si="7"/>
        <v>13</v>
      </c>
      <c r="P44" s="68"/>
      <c r="Q44" s="276">
        <v>0</v>
      </c>
      <c r="R44" s="68">
        <f t="shared" si="13"/>
        <v>0</v>
      </c>
      <c r="S44" s="68"/>
      <c r="T44" s="56" t="s">
        <v>37</v>
      </c>
      <c r="U44" s="68">
        <f t="shared" si="8"/>
        <v>12.5</v>
      </c>
      <c r="V44" s="68"/>
      <c r="W44" s="69">
        <f t="shared" si="10"/>
        <v>100.5</v>
      </c>
      <c r="X44" s="93" t="str">
        <f t="shared" si="11"/>
        <v>IV</v>
      </c>
      <c r="Y44" s="93">
        <f t="shared" si="9"/>
        <v>4</v>
      </c>
      <c r="AA44" s="13"/>
      <c r="AB44" s="132"/>
      <c r="AC44" s="14"/>
      <c r="AD44"/>
    </row>
    <row r="45" spans="1:30">
      <c r="A45" t="s">
        <v>105</v>
      </c>
      <c r="B45" s="110">
        <v>8025200</v>
      </c>
      <c r="C45" s="267" t="s">
        <v>106</v>
      </c>
      <c r="D45" s="55"/>
      <c r="E45" s="92">
        <v>13.451626030645102</v>
      </c>
      <c r="F45" s="68">
        <f t="shared" si="5"/>
        <v>75</v>
      </c>
      <c r="G45" s="181"/>
      <c r="H45" s="276">
        <v>75201379.369299591</v>
      </c>
      <c r="I45" s="68">
        <f t="shared" si="12"/>
        <v>125</v>
      </c>
      <c r="J45" s="181"/>
      <c r="K45" s="277">
        <v>106655287.37459734</v>
      </c>
      <c r="L45" s="68">
        <f t="shared" si="6"/>
        <v>100</v>
      </c>
      <c r="M45" s="68"/>
      <c r="N45" s="290">
        <v>2487695873.8238006</v>
      </c>
      <c r="O45" s="68">
        <f t="shared" si="7"/>
        <v>40</v>
      </c>
      <c r="P45" s="68"/>
      <c r="Q45" s="276">
        <v>1316103.9438999996</v>
      </c>
      <c r="R45" s="68">
        <f t="shared" si="13"/>
        <v>7.5</v>
      </c>
      <c r="S45" s="68"/>
      <c r="T45" s="56" t="s">
        <v>37</v>
      </c>
      <c r="U45" s="68">
        <f t="shared" si="8"/>
        <v>12.5</v>
      </c>
      <c r="V45" s="68"/>
      <c r="W45" s="69">
        <f t="shared" si="10"/>
        <v>360</v>
      </c>
      <c r="X45" s="93" t="str">
        <f t="shared" si="11"/>
        <v>I</v>
      </c>
      <c r="Y45" s="93">
        <f t="shared" si="9"/>
        <v>1</v>
      </c>
      <c r="AA45" s="13"/>
      <c r="AB45" s="132"/>
      <c r="AC45" s="14"/>
      <c r="AD45"/>
    </row>
    <row r="46" spans="1:30">
      <c r="A46" t="s">
        <v>105</v>
      </c>
      <c r="B46" s="110">
        <v>7062000</v>
      </c>
      <c r="C46" s="267" t="s">
        <v>107</v>
      </c>
      <c r="D46" s="55"/>
      <c r="E46" s="92">
        <v>5.9126210106860366</v>
      </c>
      <c r="F46" s="68">
        <f t="shared" si="5"/>
        <v>30</v>
      </c>
      <c r="G46" s="181"/>
      <c r="H46" s="276">
        <v>27790905.307999711</v>
      </c>
      <c r="I46" s="68">
        <f t="shared" si="12"/>
        <v>37.5</v>
      </c>
      <c r="J46" s="181"/>
      <c r="K46" s="277">
        <v>43601526.133299127</v>
      </c>
      <c r="L46" s="68">
        <f t="shared" si="6"/>
        <v>30</v>
      </c>
      <c r="M46" s="68"/>
      <c r="N46" s="290">
        <v>1482016760.0806031</v>
      </c>
      <c r="O46" s="68">
        <f t="shared" si="7"/>
        <v>22</v>
      </c>
      <c r="P46" s="68"/>
      <c r="Q46" s="276">
        <v>0</v>
      </c>
      <c r="R46" s="68">
        <f t="shared" si="13"/>
        <v>0</v>
      </c>
      <c r="S46" s="68"/>
      <c r="T46" s="56" t="s">
        <v>37</v>
      </c>
      <c r="U46" s="68">
        <f t="shared" si="8"/>
        <v>12.5</v>
      </c>
      <c r="V46" s="68"/>
      <c r="W46" s="69">
        <f t="shared" si="10"/>
        <v>132</v>
      </c>
      <c r="X46" s="93" t="str">
        <f t="shared" si="11"/>
        <v>III</v>
      </c>
      <c r="Y46" s="93">
        <f t="shared" si="9"/>
        <v>3</v>
      </c>
      <c r="AA46" s="13"/>
      <c r="AB46" s="132"/>
      <c r="AC46" s="14"/>
      <c r="AD46"/>
    </row>
    <row r="47" spans="1:30">
      <c r="A47" t="s">
        <v>71</v>
      </c>
      <c r="B47" s="110">
        <v>3856500</v>
      </c>
      <c r="C47" s="267" t="s">
        <v>108</v>
      </c>
      <c r="D47" s="55"/>
      <c r="E47" s="92">
        <v>9.2594385343496839</v>
      </c>
      <c r="F47" s="68">
        <f t="shared" si="5"/>
        <v>45</v>
      </c>
      <c r="G47" s="181"/>
      <c r="H47" s="276">
        <v>26305458.335500233</v>
      </c>
      <c r="I47" s="68">
        <f t="shared" si="12"/>
        <v>37.5</v>
      </c>
      <c r="J47" s="181"/>
      <c r="K47" s="277">
        <v>56493459.051399544</v>
      </c>
      <c r="L47" s="68">
        <f t="shared" si="6"/>
        <v>30</v>
      </c>
      <c r="M47" s="68"/>
      <c r="N47" s="290">
        <v>2414817223.8581982</v>
      </c>
      <c r="O47" s="68">
        <f t="shared" si="7"/>
        <v>40</v>
      </c>
      <c r="P47" s="68"/>
      <c r="Q47" s="276">
        <v>4303667.0742000006</v>
      </c>
      <c r="R47" s="68">
        <f t="shared" si="13"/>
        <v>7.5</v>
      </c>
      <c r="S47" s="68"/>
      <c r="T47" s="56" t="s">
        <v>37</v>
      </c>
      <c r="U47" s="68">
        <f t="shared" si="8"/>
        <v>12.5</v>
      </c>
      <c r="V47" s="68"/>
      <c r="W47" s="69">
        <f t="shared" si="10"/>
        <v>172.5</v>
      </c>
      <c r="X47" s="93" t="str">
        <f t="shared" si="11"/>
        <v>III</v>
      </c>
      <c r="Y47" s="93">
        <f t="shared" si="9"/>
        <v>3</v>
      </c>
      <c r="AA47" s="13"/>
      <c r="AB47" s="132"/>
      <c r="AC47" s="14"/>
      <c r="AD47"/>
    </row>
    <row r="48" spans="1:30">
      <c r="A48" t="s">
        <v>105</v>
      </c>
      <c r="B48" s="110">
        <v>7038400</v>
      </c>
      <c r="C48" s="267" t="s">
        <v>109</v>
      </c>
      <c r="D48" s="55"/>
      <c r="E48" s="92">
        <v>4.3797192671748419</v>
      </c>
      <c r="F48" s="68">
        <f t="shared" si="5"/>
        <v>30</v>
      </c>
      <c r="G48" s="181"/>
      <c r="H48" s="276">
        <v>1939033.4130999958</v>
      </c>
      <c r="I48" s="68">
        <f t="shared" si="12"/>
        <v>25</v>
      </c>
      <c r="J48" s="181"/>
      <c r="K48" s="277">
        <v>29533368.970301699</v>
      </c>
      <c r="L48" s="68">
        <f t="shared" si="6"/>
        <v>20</v>
      </c>
      <c r="M48" s="68"/>
      <c r="N48" s="290">
        <v>730492552.02140009</v>
      </c>
      <c r="O48" s="68">
        <f t="shared" si="7"/>
        <v>13</v>
      </c>
      <c r="P48" s="68"/>
      <c r="Q48" s="276">
        <v>0</v>
      </c>
      <c r="R48" s="68">
        <f t="shared" si="13"/>
        <v>0</v>
      </c>
      <c r="S48" s="68"/>
      <c r="T48" s="56" t="s">
        <v>37</v>
      </c>
      <c r="U48" s="68">
        <f t="shared" si="8"/>
        <v>12.5</v>
      </c>
      <c r="V48" s="68"/>
      <c r="W48" s="69">
        <f t="shared" si="10"/>
        <v>100.5</v>
      </c>
      <c r="X48" s="93" t="str">
        <f t="shared" si="11"/>
        <v>IV</v>
      </c>
      <c r="Y48" s="93">
        <f t="shared" si="9"/>
        <v>4</v>
      </c>
      <c r="AA48" s="13"/>
      <c r="AB48" s="132"/>
      <c r="AC48" s="14"/>
      <c r="AD48"/>
    </row>
    <row r="49" spans="1:30">
      <c r="A49" t="s">
        <v>95</v>
      </c>
      <c r="B49" s="110">
        <v>4949200</v>
      </c>
      <c r="C49" s="267" t="s">
        <v>110</v>
      </c>
      <c r="D49" s="55"/>
      <c r="E49" s="92">
        <v>13.451626030645102</v>
      </c>
      <c r="F49" s="68">
        <f t="shared" si="5"/>
        <v>75</v>
      </c>
      <c r="G49" s="181"/>
      <c r="H49" s="276">
        <v>0</v>
      </c>
      <c r="I49" s="68">
        <f t="shared" si="12"/>
        <v>0</v>
      </c>
      <c r="J49" s="181"/>
      <c r="K49" s="277">
        <v>0</v>
      </c>
      <c r="L49" s="68">
        <f t="shared" si="6"/>
        <v>0</v>
      </c>
      <c r="M49" s="68"/>
      <c r="N49" s="290">
        <v>0</v>
      </c>
      <c r="O49" s="68">
        <f t="shared" si="7"/>
        <v>0</v>
      </c>
      <c r="P49" s="68"/>
      <c r="Q49" s="276">
        <v>0</v>
      </c>
      <c r="R49" s="68">
        <f t="shared" si="13"/>
        <v>0</v>
      </c>
      <c r="S49" s="68"/>
      <c r="T49" s="56" t="s">
        <v>37</v>
      </c>
      <c r="U49" s="68">
        <f t="shared" si="8"/>
        <v>12.5</v>
      </c>
      <c r="V49" s="68"/>
      <c r="W49" s="69">
        <f t="shared" si="10"/>
        <v>87.5</v>
      </c>
      <c r="X49" s="93" t="str">
        <f t="shared" si="11"/>
        <v>IV</v>
      </c>
      <c r="Y49" s="93">
        <f t="shared" si="9"/>
        <v>4</v>
      </c>
      <c r="AA49" s="13"/>
      <c r="AB49" s="132"/>
      <c r="AC49" s="14"/>
      <c r="AD49"/>
    </row>
    <row r="50" spans="1:30">
      <c r="A50" t="s">
        <v>95</v>
      </c>
      <c r="B50" s="110">
        <v>5139100</v>
      </c>
      <c r="C50" s="267" t="s">
        <v>111</v>
      </c>
      <c r="D50" s="55"/>
      <c r="E50" s="92">
        <v>13.451626030645102</v>
      </c>
      <c r="F50" s="68">
        <f t="shared" si="5"/>
        <v>75</v>
      </c>
      <c r="G50" s="181"/>
      <c r="H50" s="276">
        <v>53847924.282202885</v>
      </c>
      <c r="I50" s="68">
        <f t="shared" si="12"/>
        <v>62.5</v>
      </c>
      <c r="J50" s="181"/>
      <c r="K50" s="277">
        <v>69355843.726399362</v>
      </c>
      <c r="L50" s="68">
        <f t="shared" si="6"/>
        <v>50</v>
      </c>
      <c r="M50" s="68"/>
      <c r="N50" s="290">
        <v>2147111365.9981515</v>
      </c>
      <c r="O50" s="68">
        <f t="shared" si="7"/>
        <v>40</v>
      </c>
      <c r="P50" s="68"/>
      <c r="Q50" s="276">
        <v>0</v>
      </c>
      <c r="R50" s="68">
        <f t="shared" si="13"/>
        <v>0</v>
      </c>
      <c r="S50" s="68"/>
      <c r="T50" s="56" t="s">
        <v>37</v>
      </c>
      <c r="U50" s="68">
        <f t="shared" si="8"/>
        <v>12.5</v>
      </c>
      <c r="V50" s="68"/>
      <c r="W50" s="69">
        <f t="shared" si="10"/>
        <v>240</v>
      </c>
      <c r="X50" s="93" t="str">
        <f t="shared" si="11"/>
        <v>II</v>
      </c>
      <c r="Y50" s="93">
        <f t="shared" si="9"/>
        <v>2</v>
      </c>
      <c r="AA50" s="13"/>
      <c r="AB50" s="132"/>
      <c r="AC50" s="14"/>
      <c r="AD50"/>
    </row>
    <row r="51" spans="1:30">
      <c r="A51" t="s">
        <v>73</v>
      </c>
      <c r="B51" s="110">
        <v>5063500</v>
      </c>
      <c r="C51" s="267" t="s">
        <v>112</v>
      </c>
      <c r="D51" s="55"/>
      <c r="E51" s="92">
        <v>2.6278315603049052</v>
      </c>
      <c r="F51" s="68">
        <f t="shared" si="5"/>
        <v>30</v>
      </c>
      <c r="G51" s="181"/>
      <c r="H51" s="276">
        <v>603589.06220000028</v>
      </c>
      <c r="I51" s="68">
        <f t="shared" si="12"/>
        <v>25</v>
      </c>
      <c r="J51" s="181"/>
      <c r="K51" s="277">
        <v>24299376.795398861</v>
      </c>
      <c r="L51" s="68">
        <f t="shared" si="6"/>
        <v>20</v>
      </c>
      <c r="M51" s="68"/>
      <c r="N51" s="290">
        <v>738110873.28469837</v>
      </c>
      <c r="O51" s="68">
        <f t="shared" si="7"/>
        <v>13</v>
      </c>
      <c r="P51" s="68"/>
      <c r="Q51" s="276">
        <v>0</v>
      </c>
      <c r="R51" s="68">
        <f t="shared" si="13"/>
        <v>0</v>
      </c>
      <c r="S51" s="68"/>
      <c r="T51" s="56" t="s">
        <v>37</v>
      </c>
      <c r="U51" s="68">
        <f t="shared" si="8"/>
        <v>12.5</v>
      </c>
      <c r="V51" s="68"/>
      <c r="W51" s="69">
        <f t="shared" si="10"/>
        <v>100.5</v>
      </c>
      <c r="X51" s="93" t="str">
        <f t="shared" si="11"/>
        <v>IV</v>
      </c>
      <c r="Y51" s="93">
        <f t="shared" si="9"/>
        <v>4</v>
      </c>
      <c r="AA51" s="13"/>
      <c r="AB51" s="132"/>
      <c r="AC51" s="14"/>
      <c r="AD51"/>
    </row>
    <row r="52" spans="1:30">
      <c r="A52" t="s">
        <v>113</v>
      </c>
      <c r="B52" s="110">
        <v>8100200</v>
      </c>
      <c r="C52" s="267" t="s">
        <v>114</v>
      </c>
      <c r="D52" s="55"/>
      <c r="E52" s="92">
        <v>5.2556631206098103</v>
      </c>
      <c r="F52" s="68">
        <f t="shared" si="5"/>
        <v>30</v>
      </c>
      <c r="G52" s="181"/>
      <c r="H52" s="276">
        <v>16320649.743499979</v>
      </c>
      <c r="I52" s="68">
        <f t="shared" si="12"/>
        <v>25</v>
      </c>
      <c r="J52" s="181"/>
      <c r="K52" s="277">
        <v>38063912.165100776</v>
      </c>
      <c r="L52" s="68">
        <f t="shared" si="6"/>
        <v>30</v>
      </c>
      <c r="M52" s="68"/>
      <c r="N52" s="290">
        <v>1207221869.5374074</v>
      </c>
      <c r="O52" s="68">
        <f t="shared" si="7"/>
        <v>13</v>
      </c>
      <c r="P52" s="68"/>
      <c r="Q52" s="276">
        <v>0</v>
      </c>
      <c r="R52" s="68">
        <f t="shared" si="13"/>
        <v>0</v>
      </c>
      <c r="S52" s="68"/>
      <c r="T52" s="56" t="s">
        <v>37</v>
      </c>
      <c r="U52" s="68">
        <f t="shared" si="8"/>
        <v>12.5</v>
      </c>
      <c r="V52" s="68"/>
      <c r="W52" s="69">
        <f t="shared" si="10"/>
        <v>110.5</v>
      </c>
      <c r="X52" s="93" t="str">
        <f t="shared" si="11"/>
        <v>IV</v>
      </c>
      <c r="Y52" s="93">
        <f t="shared" si="9"/>
        <v>4</v>
      </c>
      <c r="AA52" s="13"/>
      <c r="AB52" s="132"/>
      <c r="AC52" s="14"/>
      <c r="AD52"/>
    </row>
    <row r="53" spans="1:30">
      <c r="A53" t="s">
        <v>113</v>
      </c>
      <c r="B53" s="110">
        <v>3487300</v>
      </c>
      <c r="C53" s="267" t="s">
        <v>115</v>
      </c>
      <c r="D53" s="55"/>
      <c r="E53" s="92">
        <v>10.135382387784652</v>
      </c>
      <c r="F53" s="68">
        <f t="shared" si="5"/>
        <v>75</v>
      </c>
      <c r="G53" s="181"/>
      <c r="H53" s="276">
        <v>34097578.290599972</v>
      </c>
      <c r="I53" s="68">
        <f t="shared" si="12"/>
        <v>62.5</v>
      </c>
      <c r="J53" s="181"/>
      <c r="K53" s="277">
        <v>67105783.926300392</v>
      </c>
      <c r="L53" s="68">
        <f t="shared" si="6"/>
        <v>50</v>
      </c>
      <c r="M53" s="68"/>
      <c r="N53" s="290">
        <v>1921839018.3226986</v>
      </c>
      <c r="O53" s="68">
        <f t="shared" si="7"/>
        <v>22</v>
      </c>
      <c r="P53" s="68"/>
      <c r="Q53" s="276">
        <v>0</v>
      </c>
      <c r="R53" s="68">
        <f t="shared" si="13"/>
        <v>0</v>
      </c>
      <c r="S53" s="68"/>
      <c r="T53" s="56" t="s">
        <v>37</v>
      </c>
      <c r="U53" s="68">
        <f t="shared" si="8"/>
        <v>12.5</v>
      </c>
      <c r="V53" s="68"/>
      <c r="W53" s="69">
        <f t="shared" si="10"/>
        <v>222</v>
      </c>
      <c r="X53" s="93" t="str">
        <f t="shared" si="11"/>
        <v>II</v>
      </c>
      <c r="Y53" s="93">
        <f t="shared" si="9"/>
        <v>2</v>
      </c>
      <c r="AA53" s="13"/>
      <c r="AB53" s="132"/>
      <c r="AC53" s="14"/>
      <c r="AD53"/>
    </row>
    <row r="54" spans="1:30">
      <c r="A54" t="s">
        <v>75</v>
      </c>
      <c r="B54" s="110">
        <v>8065200</v>
      </c>
      <c r="C54" s="267" t="s">
        <v>116</v>
      </c>
      <c r="D54" s="55"/>
      <c r="E54" s="92">
        <v>14.74678863370961</v>
      </c>
      <c r="F54" s="68">
        <f t="shared" si="5"/>
        <v>150</v>
      </c>
      <c r="G54" s="181"/>
      <c r="H54" s="276">
        <v>56971297.025699861</v>
      </c>
      <c r="I54" s="68">
        <f t="shared" si="12"/>
        <v>62.5</v>
      </c>
      <c r="J54" s="181"/>
      <c r="K54" s="277">
        <v>158452204.96500394</v>
      </c>
      <c r="L54" s="68">
        <f t="shared" si="6"/>
        <v>100</v>
      </c>
      <c r="M54" s="68"/>
      <c r="N54" s="290">
        <v>3158602587.9925008</v>
      </c>
      <c r="O54" s="68">
        <f t="shared" si="7"/>
        <v>75</v>
      </c>
      <c r="P54" s="68"/>
      <c r="Q54" s="276">
        <v>0</v>
      </c>
      <c r="R54" s="68">
        <f t="shared" si="13"/>
        <v>0</v>
      </c>
      <c r="S54" s="68"/>
      <c r="T54" s="56" t="s">
        <v>32</v>
      </c>
      <c r="U54" s="68">
        <f t="shared" si="8"/>
        <v>25</v>
      </c>
      <c r="V54" s="68"/>
      <c r="W54" s="69">
        <f t="shared" si="10"/>
        <v>412.5</v>
      </c>
      <c r="X54" s="93" t="str">
        <f t="shared" si="11"/>
        <v>I</v>
      </c>
      <c r="Y54" s="93">
        <f t="shared" si="9"/>
        <v>1</v>
      </c>
      <c r="AA54" s="13"/>
      <c r="AB54" s="132"/>
      <c r="AC54" s="14"/>
      <c r="AD54"/>
    </row>
    <row r="55" spans="1:30">
      <c r="A55" t="s">
        <v>67</v>
      </c>
      <c r="B55" s="110">
        <v>3557700</v>
      </c>
      <c r="C55" s="267" t="s">
        <v>117</v>
      </c>
      <c r="D55" s="55"/>
      <c r="E55" s="92">
        <v>9.6974104610671681</v>
      </c>
      <c r="F55" s="68">
        <f t="shared" si="5"/>
        <v>45</v>
      </c>
      <c r="G55" s="181"/>
      <c r="H55" s="276">
        <v>29636112.974599939</v>
      </c>
      <c r="I55" s="68">
        <f t="shared" si="12"/>
        <v>37.5</v>
      </c>
      <c r="J55" s="181"/>
      <c r="K55" s="277">
        <v>53761956.69760263</v>
      </c>
      <c r="L55" s="68">
        <f t="shared" si="6"/>
        <v>30</v>
      </c>
      <c r="M55" s="68"/>
      <c r="N55" s="290">
        <v>2803570911.7640948</v>
      </c>
      <c r="O55" s="68">
        <f t="shared" si="7"/>
        <v>75</v>
      </c>
      <c r="P55" s="68"/>
      <c r="Q55" s="276">
        <v>19931935.17769989</v>
      </c>
      <c r="R55" s="68">
        <f t="shared" si="13"/>
        <v>25</v>
      </c>
      <c r="S55" s="68"/>
      <c r="T55" s="56" t="s">
        <v>37</v>
      </c>
      <c r="U55" s="68">
        <f t="shared" si="8"/>
        <v>12.5</v>
      </c>
      <c r="V55" s="68"/>
      <c r="W55" s="69">
        <f t="shared" si="10"/>
        <v>225</v>
      </c>
      <c r="X55" s="93" t="str">
        <f t="shared" si="11"/>
        <v>II</v>
      </c>
      <c r="Y55" s="93">
        <f t="shared" si="9"/>
        <v>2</v>
      </c>
      <c r="AA55" s="13"/>
      <c r="AB55" s="132"/>
      <c r="AC55" s="14"/>
      <c r="AD55"/>
    </row>
    <row r="56" spans="1:30">
      <c r="A56" t="s">
        <v>67</v>
      </c>
      <c r="B56" s="110">
        <v>3486200</v>
      </c>
      <c r="C56" s="267" t="s">
        <v>118</v>
      </c>
      <c r="D56" s="55"/>
      <c r="E56" s="92">
        <v>7.9455227541972313</v>
      </c>
      <c r="F56" s="68">
        <f t="shared" si="5"/>
        <v>45</v>
      </c>
      <c r="G56" s="181"/>
      <c r="H56" s="276">
        <v>23427044.397399854</v>
      </c>
      <c r="I56" s="68">
        <f t="shared" si="12"/>
        <v>37.5</v>
      </c>
      <c r="J56" s="181"/>
      <c r="K56" s="277">
        <v>54650965.684898414</v>
      </c>
      <c r="L56" s="68">
        <f t="shared" si="6"/>
        <v>30</v>
      </c>
      <c r="M56" s="68"/>
      <c r="N56" s="290">
        <v>1895008390.5460968</v>
      </c>
      <c r="O56" s="68">
        <f t="shared" si="7"/>
        <v>22</v>
      </c>
      <c r="P56" s="68"/>
      <c r="Q56" s="276">
        <v>0</v>
      </c>
      <c r="R56" s="68">
        <f t="shared" si="13"/>
        <v>0</v>
      </c>
      <c r="S56" s="68"/>
      <c r="T56" s="56" t="s">
        <v>37</v>
      </c>
      <c r="U56" s="68">
        <f t="shared" si="8"/>
        <v>12.5</v>
      </c>
      <c r="V56" s="68"/>
      <c r="W56" s="69">
        <f t="shared" si="10"/>
        <v>147</v>
      </c>
      <c r="X56" s="93" t="str">
        <f t="shared" si="11"/>
        <v>III</v>
      </c>
      <c r="Y56" s="93">
        <f t="shared" si="9"/>
        <v>3</v>
      </c>
      <c r="AA56" s="13"/>
      <c r="AB56" s="132"/>
      <c r="AC56" s="14"/>
      <c r="AD56"/>
    </row>
    <row r="57" spans="1:30">
      <c r="A57" t="s">
        <v>119</v>
      </c>
      <c r="B57" s="110">
        <v>8740200</v>
      </c>
      <c r="C57" s="267" t="s">
        <v>120</v>
      </c>
      <c r="D57" s="55"/>
      <c r="E57" s="92">
        <v>7.9455227541972313</v>
      </c>
      <c r="F57" s="68">
        <f t="shared" si="5"/>
        <v>45</v>
      </c>
      <c r="G57" s="181"/>
      <c r="H57" s="276">
        <v>110323593.8744912</v>
      </c>
      <c r="I57" s="68">
        <f t="shared" si="12"/>
        <v>125</v>
      </c>
      <c r="J57" s="181"/>
      <c r="K57" s="277">
        <v>28370561.13899672</v>
      </c>
      <c r="L57" s="68">
        <f t="shared" si="6"/>
        <v>20</v>
      </c>
      <c r="M57" s="68"/>
      <c r="N57" s="290">
        <v>0</v>
      </c>
      <c r="O57" s="68">
        <f t="shared" si="7"/>
        <v>0</v>
      </c>
      <c r="P57" s="68"/>
      <c r="Q57" s="276">
        <v>0</v>
      </c>
      <c r="R57" s="68">
        <f t="shared" si="13"/>
        <v>0</v>
      </c>
      <c r="S57" s="68"/>
      <c r="T57" s="56" t="s">
        <v>37</v>
      </c>
      <c r="U57" s="68">
        <f t="shared" si="8"/>
        <v>12.5</v>
      </c>
      <c r="V57" s="68"/>
      <c r="W57" s="69">
        <f t="shared" si="10"/>
        <v>202.5</v>
      </c>
      <c r="X57" s="93" t="str">
        <f t="shared" si="11"/>
        <v>II</v>
      </c>
      <c r="Y57" s="93">
        <f t="shared" si="9"/>
        <v>2</v>
      </c>
      <c r="AA57" s="13"/>
      <c r="AB57" s="132"/>
      <c r="AC57" s="14"/>
      <c r="AD57"/>
    </row>
    <row r="58" spans="1:30">
      <c r="A58" t="s">
        <v>119</v>
      </c>
      <c r="B58" s="110">
        <v>8739200</v>
      </c>
      <c r="C58" s="267" t="s">
        <v>121</v>
      </c>
      <c r="D58" s="55"/>
      <c r="E58" s="92">
        <v>7.9455227541972313</v>
      </c>
      <c r="F58" s="68">
        <f t="shared" si="5"/>
        <v>45</v>
      </c>
      <c r="G58" s="181"/>
      <c r="H58" s="276">
        <v>62638984.725793615</v>
      </c>
      <c r="I58" s="68">
        <f t="shared" si="12"/>
        <v>125</v>
      </c>
      <c r="J58" s="181"/>
      <c r="K58" s="277">
        <v>20160851.573198695</v>
      </c>
      <c r="L58" s="68">
        <f t="shared" si="6"/>
        <v>20</v>
      </c>
      <c r="M58" s="68"/>
      <c r="N58" s="290">
        <v>0</v>
      </c>
      <c r="O58" s="68">
        <f t="shared" si="7"/>
        <v>0</v>
      </c>
      <c r="P58" s="68"/>
      <c r="Q58" s="276">
        <v>0</v>
      </c>
      <c r="R58" s="68">
        <f t="shared" si="13"/>
        <v>0</v>
      </c>
      <c r="S58" s="68"/>
      <c r="T58" s="56" t="s">
        <v>37</v>
      </c>
      <c r="U58" s="68">
        <f t="shared" si="8"/>
        <v>12.5</v>
      </c>
      <c r="V58" s="68"/>
      <c r="W58" s="69">
        <f t="shared" si="10"/>
        <v>202.5</v>
      </c>
      <c r="X58" s="93" t="str">
        <f t="shared" si="11"/>
        <v>II</v>
      </c>
      <c r="Y58" s="93">
        <f t="shared" si="9"/>
        <v>2</v>
      </c>
      <c r="AA58" s="13"/>
      <c r="AB58" s="132"/>
      <c r="AC58" s="14"/>
      <c r="AD58"/>
    </row>
    <row r="59" spans="1:30">
      <c r="A59" t="s">
        <v>119</v>
      </c>
      <c r="B59" s="110">
        <v>8845000</v>
      </c>
      <c r="C59" s="267" t="s">
        <v>122</v>
      </c>
      <c r="D59" s="55"/>
      <c r="E59" s="92">
        <v>7.9455227541972313</v>
      </c>
      <c r="F59" s="68">
        <f t="shared" si="5"/>
        <v>45</v>
      </c>
      <c r="G59" s="181"/>
      <c r="H59" s="276">
        <v>132561811.32429254</v>
      </c>
      <c r="I59" s="68">
        <f t="shared" si="12"/>
        <v>125</v>
      </c>
      <c r="J59" s="181"/>
      <c r="K59" s="277">
        <v>18809343.695099909</v>
      </c>
      <c r="L59" s="68">
        <f t="shared" si="6"/>
        <v>20</v>
      </c>
      <c r="M59" s="68"/>
      <c r="N59" s="290">
        <v>0</v>
      </c>
      <c r="O59" s="68">
        <f t="shared" si="7"/>
        <v>0</v>
      </c>
      <c r="P59" s="68"/>
      <c r="Q59" s="276">
        <v>0</v>
      </c>
      <c r="R59" s="68">
        <f t="shared" si="13"/>
        <v>0</v>
      </c>
      <c r="S59" s="68"/>
      <c r="T59" s="56" t="s">
        <v>37</v>
      </c>
      <c r="U59" s="68">
        <f t="shared" si="8"/>
        <v>12.5</v>
      </c>
      <c r="V59" s="68"/>
      <c r="W59" s="69">
        <f t="shared" si="10"/>
        <v>202.5</v>
      </c>
      <c r="X59" s="93" t="str">
        <f t="shared" si="11"/>
        <v>II</v>
      </c>
      <c r="Y59" s="93">
        <f t="shared" si="9"/>
        <v>2</v>
      </c>
      <c r="AA59" s="13"/>
      <c r="AB59" s="132"/>
      <c r="AC59" s="14"/>
      <c r="AD59"/>
    </row>
    <row r="60" spans="1:30">
      <c r="A60" t="s">
        <v>119</v>
      </c>
      <c r="B60" s="110">
        <v>8844800</v>
      </c>
      <c r="C60" s="267" t="s">
        <v>123</v>
      </c>
      <c r="D60" s="55"/>
      <c r="E60" s="92">
        <v>7.9455227541972313</v>
      </c>
      <c r="F60" s="68">
        <f t="shared" si="5"/>
        <v>45</v>
      </c>
      <c r="G60" s="181"/>
      <c r="H60" s="276">
        <v>13868771.470599869</v>
      </c>
      <c r="I60" s="68">
        <f t="shared" si="12"/>
        <v>25</v>
      </c>
      <c r="J60" s="181"/>
      <c r="K60" s="277">
        <v>4523384.066499996</v>
      </c>
      <c r="L60" s="68">
        <f t="shared" si="6"/>
        <v>20</v>
      </c>
      <c r="M60" s="68"/>
      <c r="N60" s="290">
        <v>0</v>
      </c>
      <c r="O60" s="68">
        <f t="shared" si="7"/>
        <v>0</v>
      </c>
      <c r="P60" s="68"/>
      <c r="Q60" s="276">
        <v>0</v>
      </c>
      <c r="R60" s="68">
        <f t="shared" si="13"/>
        <v>0</v>
      </c>
      <c r="S60" s="68"/>
      <c r="T60" s="56" t="s">
        <v>37</v>
      </c>
      <c r="U60" s="68">
        <f t="shared" si="8"/>
        <v>12.5</v>
      </c>
      <c r="V60" s="68"/>
      <c r="W60" s="69">
        <f t="shared" si="10"/>
        <v>102.5</v>
      </c>
      <c r="X60" s="93" t="str">
        <f t="shared" si="11"/>
        <v>IV</v>
      </c>
      <c r="Y60" s="93">
        <f t="shared" si="9"/>
        <v>4</v>
      </c>
      <c r="AA60" s="13"/>
      <c r="AB60" s="132"/>
      <c r="AC60" s="14"/>
      <c r="AD60"/>
    </row>
    <row r="61" spans="1:30">
      <c r="A61" t="s">
        <v>84</v>
      </c>
      <c r="B61" s="110">
        <v>7799200</v>
      </c>
      <c r="C61" s="267" t="s">
        <v>124</v>
      </c>
      <c r="D61" s="55"/>
      <c r="E61" s="92">
        <v>7.9455227541972313</v>
      </c>
      <c r="F61" s="68">
        <f t="shared" si="5"/>
        <v>45</v>
      </c>
      <c r="G61" s="181"/>
      <c r="H61" s="276">
        <v>20765513.979499727</v>
      </c>
      <c r="I61" s="68">
        <f t="shared" si="12"/>
        <v>37.5</v>
      </c>
      <c r="J61" s="181"/>
      <c r="K61" s="277">
        <v>27713076.262899786</v>
      </c>
      <c r="L61" s="68">
        <f t="shared" si="6"/>
        <v>20</v>
      </c>
      <c r="M61" s="68"/>
      <c r="N61" s="290">
        <v>1195748620.7188029</v>
      </c>
      <c r="O61" s="68">
        <f t="shared" si="7"/>
        <v>13</v>
      </c>
      <c r="P61" s="68"/>
      <c r="Q61" s="276">
        <v>0</v>
      </c>
      <c r="R61" s="68">
        <f t="shared" si="13"/>
        <v>0</v>
      </c>
      <c r="S61" s="68"/>
      <c r="T61" s="56" t="s">
        <v>37</v>
      </c>
      <c r="U61" s="68">
        <f t="shared" si="8"/>
        <v>12.5</v>
      </c>
      <c r="V61" s="68"/>
      <c r="W61" s="69">
        <f t="shared" si="10"/>
        <v>128</v>
      </c>
      <c r="X61" s="93" t="str">
        <f t="shared" si="11"/>
        <v>III</v>
      </c>
      <c r="Y61" s="93">
        <f t="shared" si="9"/>
        <v>3</v>
      </c>
      <c r="AA61" s="13"/>
      <c r="AB61" s="132"/>
      <c r="AC61" s="14"/>
      <c r="AD61"/>
    </row>
    <row r="62" spans="1:30">
      <c r="A62" t="s">
        <v>84</v>
      </c>
      <c r="B62" s="110">
        <v>7811200</v>
      </c>
      <c r="C62" s="267" t="s">
        <v>125</v>
      </c>
      <c r="D62" s="55"/>
      <c r="E62" s="92">
        <v>6.1316069740447787</v>
      </c>
      <c r="F62" s="68">
        <f t="shared" si="5"/>
        <v>30</v>
      </c>
      <c r="G62" s="181"/>
      <c r="H62" s="276">
        <v>9882116.2351989597</v>
      </c>
      <c r="I62" s="68">
        <f t="shared" si="12"/>
        <v>25</v>
      </c>
      <c r="J62" s="181"/>
      <c r="K62" s="277">
        <v>27435784.728099834</v>
      </c>
      <c r="L62" s="68">
        <f t="shared" si="6"/>
        <v>20</v>
      </c>
      <c r="M62" s="68"/>
      <c r="N62" s="290">
        <v>1013914237.128103</v>
      </c>
      <c r="O62" s="68">
        <f t="shared" si="7"/>
        <v>13</v>
      </c>
      <c r="P62" s="68"/>
      <c r="Q62" s="276">
        <v>8944279.856499929</v>
      </c>
      <c r="R62" s="68">
        <f t="shared" si="13"/>
        <v>12.5</v>
      </c>
      <c r="S62" s="68"/>
      <c r="T62" s="56" t="s">
        <v>37</v>
      </c>
      <c r="U62" s="68">
        <f t="shared" si="8"/>
        <v>12.5</v>
      </c>
      <c r="V62" s="68"/>
      <c r="W62" s="69">
        <f t="shared" si="10"/>
        <v>113</v>
      </c>
      <c r="X62" s="93" t="str">
        <f t="shared" si="11"/>
        <v>IV</v>
      </c>
      <c r="Y62" s="93">
        <f t="shared" si="9"/>
        <v>4</v>
      </c>
      <c r="AA62" s="13"/>
      <c r="AB62" s="132"/>
      <c r="AC62" s="14"/>
      <c r="AD62"/>
    </row>
    <row r="63" spans="1:30">
      <c r="A63" t="s">
        <v>84</v>
      </c>
      <c r="B63" s="110">
        <v>2949600</v>
      </c>
      <c r="C63" s="267" t="s">
        <v>126</v>
      </c>
      <c r="D63" s="55"/>
      <c r="E63" s="92">
        <v>9.6974104610671681</v>
      </c>
      <c r="F63" s="68">
        <f t="shared" si="5"/>
        <v>45</v>
      </c>
      <c r="G63" s="181"/>
      <c r="H63" s="276">
        <v>28315638.095503788</v>
      </c>
      <c r="I63" s="68">
        <f t="shared" si="12"/>
        <v>37.5</v>
      </c>
      <c r="J63" s="181"/>
      <c r="K63" s="277">
        <v>54842540.561801091</v>
      </c>
      <c r="L63" s="68">
        <f t="shared" si="6"/>
        <v>30</v>
      </c>
      <c r="M63" s="68"/>
      <c r="N63" s="290">
        <v>1783315228.9297135</v>
      </c>
      <c r="O63" s="68">
        <f t="shared" si="7"/>
        <v>22</v>
      </c>
      <c r="P63" s="68"/>
      <c r="Q63" s="276">
        <v>9818314.5023999903</v>
      </c>
      <c r="R63" s="68">
        <f t="shared" si="13"/>
        <v>12.5</v>
      </c>
      <c r="S63" s="68"/>
      <c r="T63" s="56" t="s">
        <v>37</v>
      </c>
      <c r="U63" s="68">
        <f t="shared" si="8"/>
        <v>12.5</v>
      </c>
      <c r="V63" s="68"/>
      <c r="W63" s="69">
        <f t="shared" si="10"/>
        <v>159.5</v>
      </c>
      <c r="X63" s="93" t="str">
        <f t="shared" si="11"/>
        <v>III</v>
      </c>
      <c r="Y63" s="93">
        <f t="shared" si="9"/>
        <v>3</v>
      </c>
      <c r="AA63" s="13"/>
      <c r="AB63" s="132"/>
      <c r="AC63" s="14"/>
      <c r="AD63"/>
    </row>
    <row r="64" spans="1:30">
      <c r="A64" t="s">
        <v>127</v>
      </c>
      <c r="B64" s="110">
        <v>2839700</v>
      </c>
      <c r="C64" s="267" t="s">
        <v>128</v>
      </c>
      <c r="D64" s="55"/>
      <c r="E64" s="92">
        <v>10.135382387784652</v>
      </c>
      <c r="F64" s="68">
        <f t="shared" si="5"/>
        <v>75</v>
      </c>
      <c r="G64" s="181"/>
      <c r="H64" s="276">
        <v>19385884.212398689</v>
      </c>
      <c r="I64" s="68">
        <f t="shared" si="12"/>
        <v>37.5</v>
      </c>
      <c r="J64" s="181"/>
      <c r="K64" s="277">
        <v>61459302.610199429</v>
      </c>
      <c r="L64" s="68">
        <f t="shared" si="6"/>
        <v>30</v>
      </c>
      <c r="M64" s="68"/>
      <c r="N64" s="290">
        <v>2223761731.8467851</v>
      </c>
      <c r="O64" s="68">
        <f t="shared" si="7"/>
        <v>40</v>
      </c>
      <c r="P64" s="68"/>
      <c r="Q64" s="276">
        <v>22858632.246400755</v>
      </c>
      <c r="R64" s="68">
        <f t="shared" si="13"/>
        <v>25</v>
      </c>
      <c r="S64" s="68"/>
      <c r="T64" s="56" t="s">
        <v>37</v>
      </c>
      <c r="U64" s="68">
        <f t="shared" si="8"/>
        <v>12.5</v>
      </c>
      <c r="V64" s="68"/>
      <c r="W64" s="69">
        <f t="shared" si="10"/>
        <v>220</v>
      </c>
      <c r="X64" s="93" t="str">
        <f t="shared" si="11"/>
        <v>II</v>
      </c>
      <c r="Y64" s="93">
        <f t="shared" si="9"/>
        <v>2</v>
      </c>
      <c r="AA64" s="13"/>
      <c r="AB64" s="132"/>
      <c r="AC64" s="14"/>
      <c r="AD64"/>
    </row>
    <row r="65" spans="1:30">
      <c r="A65" t="s">
        <v>127</v>
      </c>
      <c r="B65" s="110">
        <v>2989100</v>
      </c>
      <c r="C65" s="267" t="s">
        <v>129</v>
      </c>
      <c r="D65" s="55"/>
      <c r="E65" s="92">
        <v>6.4649403073781135</v>
      </c>
      <c r="F65" s="68">
        <f t="shared" si="5"/>
        <v>30</v>
      </c>
      <c r="G65" s="181"/>
      <c r="H65" s="276">
        <v>22198347.86049981</v>
      </c>
      <c r="I65" s="68">
        <f t="shared" si="12"/>
        <v>37.5</v>
      </c>
      <c r="J65" s="181"/>
      <c r="K65" s="277">
        <v>40587467.306698516</v>
      </c>
      <c r="L65" s="68">
        <f t="shared" si="6"/>
        <v>30</v>
      </c>
      <c r="M65" s="68"/>
      <c r="N65" s="290">
        <v>2316373455.4796896</v>
      </c>
      <c r="O65" s="68">
        <f t="shared" si="7"/>
        <v>40</v>
      </c>
      <c r="P65" s="68"/>
      <c r="Q65" s="276">
        <v>3705039.3753999993</v>
      </c>
      <c r="R65" s="68">
        <f t="shared" si="13"/>
        <v>7.5</v>
      </c>
      <c r="S65" s="68"/>
      <c r="T65" s="56" t="s">
        <v>37</v>
      </c>
      <c r="U65" s="68">
        <f t="shared" si="8"/>
        <v>12.5</v>
      </c>
      <c r="V65" s="68"/>
      <c r="W65" s="69">
        <f t="shared" si="10"/>
        <v>157.5</v>
      </c>
      <c r="X65" s="93" t="str">
        <f t="shared" si="11"/>
        <v>III</v>
      </c>
      <c r="Y65" s="93">
        <f t="shared" si="9"/>
        <v>3</v>
      </c>
      <c r="AA65" s="13"/>
      <c r="AB65" s="132"/>
      <c r="AC65" s="14"/>
      <c r="AD65"/>
    </row>
    <row r="66" spans="1:30">
      <c r="A66" t="s">
        <v>127</v>
      </c>
      <c r="B66" s="110">
        <v>2915200</v>
      </c>
      <c r="C66" s="267" t="s">
        <v>130</v>
      </c>
      <c r="D66" s="55"/>
      <c r="E66" s="92">
        <v>9.6974104610671681</v>
      </c>
      <c r="F66" s="68">
        <f t="shared" si="5"/>
        <v>45</v>
      </c>
      <c r="G66" s="181"/>
      <c r="H66" s="276">
        <v>28890398.996499915</v>
      </c>
      <c r="I66" s="68">
        <f t="shared" si="12"/>
        <v>37.5</v>
      </c>
      <c r="J66" s="181"/>
      <c r="K66" s="277">
        <v>48392142.437597506</v>
      </c>
      <c r="L66" s="68">
        <f t="shared" si="6"/>
        <v>30</v>
      </c>
      <c r="M66" s="68"/>
      <c r="N66" s="290">
        <v>2258691094.814302</v>
      </c>
      <c r="O66" s="68">
        <f t="shared" si="7"/>
        <v>40</v>
      </c>
      <c r="P66" s="68"/>
      <c r="Q66" s="276">
        <v>0</v>
      </c>
      <c r="R66" s="68">
        <f t="shared" si="13"/>
        <v>0</v>
      </c>
      <c r="S66" s="68"/>
      <c r="T66" s="56" t="s">
        <v>37</v>
      </c>
      <c r="U66" s="68">
        <f t="shared" si="8"/>
        <v>12.5</v>
      </c>
      <c r="V66" s="68"/>
      <c r="W66" s="69">
        <f t="shared" si="10"/>
        <v>165</v>
      </c>
      <c r="X66" s="93" t="str">
        <f t="shared" si="11"/>
        <v>III</v>
      </c>
      <c r="Y66" s="93">
        <f t="shared" si="9"/>
        <v>3</v>
      </c>
      <c r="AA66" s="13"/>
      <c r="AB66" s="132"/>
      <c r="AC66" s="14"/>
      <c r="AD66"/>
    </row>
    <row r="67" spans="1:30">
      <c r="A67" t="s">
        <v>127</v>
      </c>
      <c r="B67" s="110">
        <v>7795200</v>
      </c>
      <c r="C67" s="267" t="s">
        <v>131</v>
      </c>
      <c r="D67" s="55"/>
      <c r="E67" s="92">
        <v>9.2594385343496839</v>
      </c>
      <c r="F67" s="68">
        <f t="shared" si="5"/>
        <v>45</v>
      </c>
      <c r="G67" s="181"/>
      <c r="H67" s="276">
        <v>21118051.906298827</v>
      </c>
      <c r="I67" s="68">
        <f t="shared" si="12"/>
        <v>37.5</v>
      </c>
      <c r="J67" s="181"/>
      <c r="K67" s="277">
        <v>32553130.696300786</v>
      </c>
      <c r="L67" s="68">
        <f t="shared" si="6"/>
        <v>20</v>
      </c>
      <c r="M67" s="68"/>
      <c r="N67" s="290">
        <v>1225175978.1142948</v>
      </c>
      <c r="O67" s="68">
        <f t="shared" si="7"/>
        <v>13</v>
      </c>
      <c r="P67" s="68"/>
      <c r="Q67" s="276">
        <v>0</v>
      </c>
      <c r="R67" s="68">
        <f t="shared" si="13"/>
        <v>0</v>
      </c>
      <c r="S67" s="68"/>
      <c r="T67" s="56" t="s">
        <v>37</v>
      </c>
      <c r="U67" s="68">
        <f t="shared" si="8"/>
        <v>12.5</v>
      </c>
      <c r="V67" s="68"/>
      <c r="W67" s="69">
        <f t="shared" si="10"/>
        <v>128</v>
      </c>
      <c r="X67" s="93" t="str">
        <f t="shared" si="11"/>
        <v>III</v>
      </c>
      <c r="Y67" s="93">
        <f t="shared" si="9"/>
        <v>3</v>
      </c>
      <c r="AA67" s="13"/>
      <c r="AB67" s="132"/>
      <c r="AC67" s="14"/>
      <c r="AD67"/>
    </row>
    <row r="68" spans="1:30">
      <c r="A68" t="s">
        <v>75</v>
      </c>
      <c r="B68" s="110">
        <v>7783200</v>
      </c>
      <c r="C68" s="267" t="s">
        <v>132</v>
      </c>
      <c r="D68" s="55"/>
      <c r="E68" s="92">
        <v>10.573354314502136</v>
      </c>
      <c r="F68" s="68">
        <f t="shared" si="5"/>
        <v>75</v>
      </c>
      <c r="G68" s="181"/>
      <c r="H68" s="276">
        <v>33236243.496999562</v>
      </c>
      <c r="I68" s="68">
        <f t="shared" si="12"/>
        <v>62.5</v>
      </c>
      <c r="J68" s="181"/>
      <c r="K68" s="277">
        <v>86449647.879499361</v>
      </c>
      <c r="L68" s="68">
        <f t="shared" si="6"/>
        <v>50</v>
      </c>
      <c r="M68" s="68"/>
      <c r="N68" s="290">
        <v>2779644300.3092861</v>
      </c>
      <c r="O68" s="68">
        <f t="shared" si="7"/>
        <v>75</v>
      </c>
      <c r="P68" s="68"/>
      <c r="Q68" s="276">
        <v>44622685.782500073</v>
      </c>
      <c r="R68" s="68">
        <f t="shared" si="13"/>
        <v>25</v>
      </c>
      <c r="S68" s="68"/>
      <c r="T68" s="56" t="s">
        <v>37</v>
      </c>
      <c r="U68" s="68">
        <f t="shared" si="8"/>
        <v>12.5</v>
      </c>
      <c r="V68" s="68"/>
      <c r="W68" s="69">
        <f t="shared" si="10"/>
        <v>300</v>
      </c>
      <c r="X68" s="93" t="str">
        <f t="shared" si="11"/>
        <v>II</v>
      </c>
      <c r="Y68" s="93">
        <f t="shared" si="9"/>
        <v>2</v>
      </c>
      <c r="AA68" s="13"/>
      <c r="AB68" s="132"/>
      <c r="AC68" s="14"/>
      <c r="AD68"/>
    </row>
    <row r="69" spans="1:30">
      <c r="A69" t="s">
        <v>127</v>
      </c>
      <c r="B69" s="110">
        <v>2952900</v>
      </c>
      <c r="C69" s="267" t="s">
        <v>133</v>
      </c>
      <c r="D69" s="55"/>
      <c r="E69" s="92">
        <v>10.135382387784652</v>
      </c>
      <c r="F69" s="68">
        <f t="shared" si="5"/>
        <v>75</v>
      </c>
      <c r="G69" s="181"/>
      <c r="H69" s="276">
        <v>40701145.092300095</v>
      </c>
      <c r="I69" s="68">
        <f t="shared" si="12"/>
        <v>62.5</v>
      </c>
      <c r="J69" s="181"/>
      <c r="K69" s="277">
        <v>85162734.463502496</v>
      </c>
      <c r="L69" s="68">
        <f t="shared" si="6"/>
        <v>50</v>
      </c>
      <c r="M69" s="68"/>
      <c r="N69" s="290">
        <v>3247930759.9274087</v>
      </c>
      <c r="O69" s="68">
        <f t="shared" si="7"/>
        <v>75</v>
      </c>
      <c r="P69" s="68"/>
      <c r="Q69" s="276">
        <v>24885527.598499794</v>
      </c>
      <c r="R69" s="68">
        <f t="shared" si="13"/>
        <v>25</v>
      </c>
      <c r="S69" s="68"/>
      <c r="T69" s="56" t="s">
        <v>37</v>
      </c>
      <c r="U69" s="68">
        <f t="shared" si="8"/>
        <v>12.5</v>
      </c>
      <c r="V69" s="68"/>
      <c r="W69" s="69">
        <f t="shared" si="10"/>
        <v>300</v>
      </c>
      <c r="X69" s="93" t="str">
        <f t="shared" si="11"/>
        <v>II</v>
      </c>
      <c r="Y69" s="93">
        <f t="shared" si="9"/>
        <v>2</v>
      </c>
      <c r="AA69" s="13"/>
      <c r="AB69" s="132"/>
      <c r="AC69" s="14"/>
      <c r="AD69"/>
    </row>
    <row r="70" spans="1:30">
      <c r="A70" t="s">
        <v>75</v>
      </c>
      <c r="B70" s="110">
        <v>2969900</v>
      </c>
      <c r="C70" s="267" t="s">
        <v>134</v>
      </c>
      <c r="D70" s="55"/>
      <c r="E70" s="92">
        <v>2.6278315603049052</v>
      </c>
      <c r="F70" s="68">
        <f t="shared" si="5"/>
        <v>30</v>
      </c>
      <c r="G70" s="181"/>
      <c r="H70" s="276">
        <v>1824513.8226999983</v>
      </c>
      <c r="I70" s="68">
        <f t="shared" si="12"/>
        <v>25</v>
      </c>
      <c r="J70" s="181"/>
      <c r="K70" s="277">
        <v>15183332.463900002</v>
      </c>
      <c r="L70" s="68">
        <f t="shared" si="6"/>
        <v>20</v>
      </c>
      <c r="M70" s="68"/>
      <c r="N70" s="290">
        <v>368404945.56009388</v>
      </c>
      <c r="O70" s="68">
        <f t="shared" si="7"/>
        <v>13</v>
      </c>
      <c r="P70" s="68"/>
      <c r="Q70" s="276">
        <v>0</v>
      </c>
      <c r="R70" s="68">
        <f t="shared" si="13"/>
        <v>0</v>
      </c>
      <c r="S70" s="68"/>
      <c r="T70" s="56" t="s">
        <v>37</v>
      </c>
      <c r="U70" s="68">
        <f t="shared" si="8"/>
        <v>12.5</v>
      </c>
      <c r="V70" s="68"/>
      <c r="W70" s="69">
        <f t="shared" si="10"/>
        <v>100.5</v>
      </c>
      <c r="X70" s="93" t="str">
        <f t="shared" si="11"/>
        <v>IV</v>
      </c>
      <c r="Y70" s="93">
        <f t="shared" si="9"/>
        <v>4</v>
      </c>
      <c r="AA70" s="13"/>
      <c r="AB70" s="132"/>
      <c r="AC70" s="14"/>
      <c r="AD70"/>
    </row>
    <row r="71" spans="1:30">
      <c r="A71" t="s">
        <v>127</v>
      </c>
      <c r="B71" s="110">
        <v>7735200</v>
      </c>
      <c r="C71" s="267" t="s">
        <v>135</v>
      </c>
      <c r="D71" s="55"/>
      <c r="E71" s="92">
        <v>6.5695789007622629</v>
      </c>
      <c r="F71" s="68">
        <f t="shared" si="5"/>
        <v>45</v>
      </c>
      <c r="G71" s="181"/>
      <c r="H71" s="276">
        <v>14740441.548399977</v>
      </c>
      <c r="I71" s="68">
        <f t="shared" si="12"/>
        <v>25</v>
      </c>
      <c r="J71" s="181"/>
      <c r="K71" s="277">
        <v>59840938.78539864</v>
      </c>
      <c r="L71" s="68">
        <f t="shared" si="6"/>
        <v>30</v>
      </c>
      <c r="M71" s="68"/>
      <c r="N71" s="290">
        <v>1756556717.3031983</v>
      </c>
      <c r="O71" s="68">
        <f t="shared" si="7"/>
        <v>22</v>
      </c>
      <c r="P71" s="68"/>
      <c r="Q71" s="276">
        <v>24209424.088699859</v>
      </c>
      <c r="R71" s="68">
        <f t="shared" si="13"/>
        <v>25</v>
      </c>
      <c r="S71" s="68"/>
      <c r="T71" s="56" t="s">
        <v>37</v>
      </c>
      <c r="U71" s="68">
        <f t="shared" si="8"/>
        <v>12.5</v>
      </c>
      <c r="V71" s="68"/>
      <c r="W71" s="69">
        <f t="shared" si="10"/>
        <v>159.5</v>
      </c>
      <c r="X71" s="93" t="str">
        <f t="shared" si="11"/>
        <v>III</v>
      </c>
      <c r="Y71" s="93">
        <f t="shared" si="9"/>
        <v>3</v>
      </c>
      <c r="AA71" s="13"/>
      <c r="AB71" s="132"/>
      <c r="AC71" s="14"/>
      <c r="AD71"/>
    </row>
    <row r="72" spans="1:30">
      <c r="A72" t="s">
        <v>127</v>
      </c>
      <c r="B72" s="110">
        <v>2982800</v>
      </c>
      <c r="C72" s="267" t="s">
        <v>136</v>
      </c>
      <c r="D72" s="55"/>
      <c r="E72" s="92">
        <v>11.656463427580594</v>
      </c>
      <c r="F72" s="68">
        <f t="shared" si="5"/>
        <v>75</v>
      </c>
      <c r="G72" s="181"/>
      <c r="H72" s="276">
        <v>20519591.517897706</v>
      </c>
      <c r="I72" s="68">
        <f t="shared" si="12"/>
        <v>37.5</v>
      </c>
      <c r="J72" s="181"/>
      <c r="K72" s="277">
        <v>59845343.117001735</v>
      </c>
      <c r="L72" s="68">
        <f t="shared" si="6"/>
        <v>30</v>
      </c>
      <c r="M72" s="68"/>
      <c r="N72" s="290">
        <v>1251989377.0439029</v>
      </c>
      <c r="O72" s="68">
        <f t="shared" si="7"/>
        <v>13</v>
      </c>
      <c r="P72" s="68"/>
      <c r="Q72" s="276">
        <v>7272046.694098983</v>
      </c>
      <c r="R72" s="68">
        <f t="shared" si="13"/>
        <v>12.5</v>
      </c>
      <c r="S72" s="68"/>
      <c r="T72" s="56" t="s">
        <v>37</v>
      </c>
      <c r="U72" s="68">
        <f t="shared" si="8"/>
        <v>12.5</v>
      </c>
      <c r="V72" s="68"/>
      <c r="W72" s="69">
        <f t="shared" si="10"/>
        <v>180.5</v>
      </c>
      <c r="X72" s="93" t="str">
        <f t="shared" si="11"/>
        <v>III</v>
      </c>
      <c r="Y72" s="93">
        <f t="shared" si="9"/>
        <v>3</v>
      </c>
      <c r="AA72" s="13"/>
      <c r="AB72" s="132"/>
      <c r="AC72" s="14"/>
      <c r="AD72"/>
    </row>
    <row r="73" spans="1:30">
      <c r="A73" t="s">
        <v>84</v>
      </c>
      <c r="B73" s="110">
        <v>7759200</v>
      </c>
      <c r="C73" s="267" t="s">
        <v>137</v>
      </c>
      <c r="D73" s="55"/>
      <c r="E73" s="92">
        <v>7.4455227541972313</v>
      </c>
      <c r="F73" s="68">
        <f t="shared" si="5"/>
        <v>45</v>
      </c>
      <c r="G73" s="181"/>
      <c r="H73" s="276">
        <v>22928603.383799709</v>
      </c>
      <c r="I73" s="68">
        <f t="shared" si="12"/>
        <v>37.5</v>
      </c>
      <c r="J73" s="181"/>
      <c r="K73" s="277">
        <v>49800993.29899843</v>
      </c>
      <c r="L73" s="68">
        <f t="shared" si="6"/>
        <v>30</v>
      </c>
      <c r="M73" s="68"/>
      <c r="N73" s="290">
        <v>2893516374.4406962</v>
      </c>
      <c r="O73" s="68">
        <f t="shared" si="7"/>
        <v>75</v>
      </c>
      <c r="P73" s="68"/>
      <c r="Q73" s="276">
        <v>6044451.9455999965</v>
      </c>
      <c r="R73" s="68">
        <f t="shared" si="13"/>
        <v>12.5</v>
      </c>
      <c r="S73" s="68"/>
      <c r="T73" s="56" t="s">
        <v>37</v>
      </c>
      <c r="U73" s="68">
        <f t="shared" si="8"/>
        <v>12.5</v>
      </c>
      <c r="V73" s="68"/>
      <c r="W73" s="69">
        <f t="shared" si="10"/>
        <v>212.5</v>
      </c>
      <c r="X73" s="93" t="str">
        <f t="shared" si="11"/>
        <v>II</v>
      </c>
      <c r="Y73" s="93">
        <f t="shared" si="9"/>
        <v>2</v>
      </c>
      <c r="AA73" s="13"/>
      <c r="AB73" s="132"/>
      <c r="AC73" s="14"/>
      <c r="AD73"/>
    </row>
    <row r="74" spans="1:30">
      <c r="A74" t="s">
        <v>75</v>
      </c>
      <c r="B74" s="110">
        <v>2974300</v>
      </c>
      <c r="C74" s="267" t="s">
        <v>138</v>
      </c>
      <c r="D74" s="55"/>
      <c r="E74" s="92">
        <v>8.3834946809147155</v>
      </c>
      <c r="F74" s="68">
        <f t="shared" si="5"/>
        <v>45</v>
      </c>
      <c r="G74" s="181"/>
      <c r="H74" s="276">
        <v>25700013.690398462</v>
      </c>
      <c r="I74" s="68">
        <f t="shared" si="12"/>
        <v>37.5</v>
      </c>
      <c r="J74" s="181"/>
      <c r="K74" s="277">
        <v>35144396.516795665</v>
      </c>
      <c r="L74" s="68">
        <f t="shared" si="6"/>
        <v>20</v>
      </c>
      <c r="M74" s="68"/>
      <c r="N74" s="290">
        <v>2419691542.0533924</v>
      </c>
      <c r="O74" s="68">
        <f t="shared" si="7"/>
        <v>40</v>
      </c>
      <c r="P74" s="68"/>
      <c r="Q74" s="276">
        <v>11644841.338599941</v>
      </c>
      <c r="R74" s="68">
        <f t="shared" si="13"/>
        <v>12.5</v>
      </c>
      <c r="S74" s="68"/>
      <c r="T74" s="56" t="s">
        <v>37</v>
      </c>
      <c r="U74" s="68">
        <f t="shared" si="8"/>
        <v>12.5</v>
      </c>
      <c r="V74" s="68"/>
      <c r="W74" s="69">
        <f t="shared" si="10"/>
        <v>167.5</v>
      </c>
      <c r="X74" s="93" t="str">
        <f t="shared" si="11"/>
        <v>III</v>
      </c>
      <c r="Y74" s="93">
        <f t="shared" si="9"/>
        <v>3</v>
      </c>
      <c r="AA74" s="13"/>
      <c r="AB74" s="132"/>
      <c r="AC74" s="14"/>
      <c r="AD74"/>
    </row>
    <row r="75" spans="1:30">
      <c r="A75" t="s">
        <v>127</v>
      </c>
      <c r="B75" s="110">
        <v>2981700</v>
      </c>
      <c r="C75" s="267" t="s">
        <v>139</v>
      </c>
      <c r="D75" s="55"/>
      <c r="E75" s="92">
        <v>7.9455227541972313</v>
      </c>
      <c r="F75" s="68">
        <f t="shared" si="5"/>
        <v>45</v>
      </c>
      <c r="G75" s="181"/>
      <c r="H75" s="276">
        <v>21173534.793500729</v>
      </c>
      <c r="I75" s="68">
        <f t="shared" si="12"/>
        <v>37.5</v>
      </c>
      <c r="J75" s="181"/>
      <c r="K75" s="277">
        <v>34211695.777403638</v>
      </c>
      <c r="L75" s="68">
        <f t="shared" si="6"/>
        <v>20</v>
      </c>
      <c r="M75" s="68"/>
      <c r="N75" s="290">
        <v>1015510907.6053971</v>
      </c>
      <c r="O75" s="68">
        <f t="shared" si="7"/>
        <v>13</v>
      </c>
      <c r="P75" s="68"/>
      <c r="Q75" s="276">
        <v>11084192.203600001</v>
      </c>
      <c r="R75" s="68">
        <f t="shared" si="13"/>
        <v>12.5</v>
      </c>
      <c r="S75" s="68"/>
      <c r="T75" s="56" t="s">
        <v>37</v>
      </c>
      <c r="U75" s="68">
        <f t="shared" si="8"/>
        <v>12.5</v>
      </c>
      <c r="V75" s="68"/>
      <c r="W75" s="69">
        <f t="shared" si="10"/>
        <v>140.5</v>
      </c>
      <c r="X75" s="93" t="str">
        <f t="shared" si="11"/>
        <v>III</v>
      </c>
      <c r="Y75" s="93">
        <f t="shared" si="9"/>
        <v>3</v>
      </c>
      <c r="AA75" s="13"/>
      <c r="AB75" s="132"/>
      <c r="AC75" s="14"/>
      <c r="AD75"/>
    </row>
    <row r="76" spans="1:30">
      <c r="A76" t="s">
        <v>84</v>
      </c>
      <c r="B76" s="110">
        <v>2960300</v>
      </c>
      <c r="C76" s="267" t="s">
        <v>140</v>
      </c>
      <c r="D76" s="55"/>
      <c r="E76" s="92">
        <v>6.2982736407114448</v>
      </c>
      <c r="F76" s="68">
        <f t="shared" si="5"/>
        <v>30</v>
      </c>
      <c r="G76" s="181"/>
      <c r="H76" s="276">
        <v>17009574.334299795</v>
      </c>
      <c r="I76" s="68">
        <f t="shared" si="12"/>
        <v>25</v>
      </c>
      <c r="J76" s="181"/>
      <c r="K76" s="277">
        <v>37196832.80900272</v>
      </c>
      <c r="L76" s="68">
        <f t="shared" si="6"/>
        <v>20</v>
      </c>
      <c r="M76" s="68"/>
      <c r="N76" s="290">
        <v>1265240744.6395028</v>
      </c>
      <c r="O76" s="68">
        <f t="shared" si="7"/>
        <v>13</v>
      </c>
      <c r="P76" s="68"/>
      <c r="Q76" s="276">
        <v>15113092.634599905</v>
      </c>
      <c r="R76" s="68">
        <f t="shared" si="13"/>
        <v>25</v>
      </c>
      <c r="S76" s="68"/>
      <c r="T76" s="56" t="s">
        <v>37</v>
      </c>
      <c r="U76" s="68">
        <f t="shared" si="8"/>
        <v>12.5</v>
      </c>
      <c r="V76" s="68"/>
      <c r="W76" s="69">
        <f t="shared" si="10"/>
        <v>125.5</v>
      </c>
      <c r="X76" s="93" t="str">
        <f t="shared" si="11"/>
        <v>III</v>
      </c>
      <c r="Y76" s="93">
        <f t="shared" si="9"/>
        <v>3</v>
      </c>
      <c r="AA76" s="13"/>
      <c r="AB76" s="132"/>
      <c r="AC76" s="14"/>
      <c r="AD76"/>
    </row>
    <row r="77" spans="1:30">
      <c r="A77" t="s">
        <v>127</v>
      </c>
      <c r="B77" s="110">
        <v>2965500</v>
      </c>
      <c r="C77" s="267" t="s">
        <v>141</v>
      </c>
      <c r="D77" s="55"/>
      <c r="E77" s="92">
        <v>10.135382387784652</v>
      </c>
      <c r="F77" s="68">
        <f t="shared" si="5"/>
        <v>75</v>
      </c>
      <c r="G77" s="181"/>
      <c r="H77" s="276">
        <v>27778428.067501072</v>
      </c>
      <c r="I77" s="68">
        <f t="shared" si="12"/>
        <v>37.5</v>
      </c>
      <c r="J77" s="181"/>
      <c r="K77" s="277">
        <v>83852080.838896856</v>
      </c>
      <c r="L77" s="68">
        <f t="shared" si="6"/>
        <v>50</v>
      </c>
      <c r="M77" s="68"/>
      <c r="N77" s="290">
        <v>2288953397.6172919</v>
      </c>
      <c r="O77" s="68">
        <f t="shared" si="7"/>
        <v>40</v>
      </c>
      <c r="P77" s="68"/>
      <c r="Q77" s="276">
        <v>20258987.280599806</v>
      </c>
      <c r="R77" s="68">
        <f t="shared" si="13"/>
        <v>25</v>
      </c>
      <c r="S77" s="68"/>
      <c r="T77" s="56" t="s">
        <v>37</v>
      </c>
      <c r="U77" s="68">
        <f t="shared" si="8"/>
        <v>12.5</v>
      </c>
      <c r="V77" s="68"/>
      <c r="W77" s="69">
        <f t="shared" si="10"/>
        <v>240</v>
      </c>
      <c r="X77" s="93" t="str">
        <f t="shared" si="11"/>
        <v>II</v>
      </c>
      <c r="Y77" s="93">
        <f t="shared" si="9"/>
        <v>2</v>
      </c>
      <c r="AA77" s="13"/>
      <c r="AB77" s="132"/>
      <c r="AC77" s="14"/>
      <c r="AD77"/>
    </row>
    <row r="78" spans="1:30">
      <c r="A78" t="s">
        <v>86</v>
      </c>
      <c r="B78" s="110">
        <v>2942200</v>
      </c>
      <c r="C78" s="267" t="s">
        <v>142</v>
      </c>
      <c r="D78" s="55"/>
      <c r="E78" s="92">
        <v>6.1316069740447787</v>
      </c>
      <c r="F78" s="68">
        <f t="shared" si="5"/>
        <v>30</v>
      </c>
      <c r="G78" s="181"/>
      <c r="H78" s="276">
        <v>21165153.213985819</v>
      </c>
      <c r="I78" s="68">
        <f t="shared" si="12"/>
        <v>37.5</v>
      </c>
      <c r="J78" s="181"/>
      <c r="K78" s="277">
        <v>45155184.467794515</v>
      </c>
      <c r="L78" s="68">
        <f t="shared" si="6"/>
        <v>30</v>
      </c>
      <c r="M78" s="68"/>
      <c r="N78" s="290">
        <v>1391747197.1331224</v>
      </c>
      <c r="O78" s="68">
        <f t="shared" si="7"/>
        <v>22</v>
      </c>
      <c r="P78" s="68"/>
      <c r="Q78" s="276">
        <v>0</v>
      </c>
      <c r="R78" s="68">
        <f t="shared" si="13"/>
        <v>0</v>
      </c>
      <c r="S78" s="68"/>
      <c r="T78" s="56" t="s">
        <v>37</v>
      </c>
      <c r="U78" s="68">
        <f t="shared" si="8"/>
        <v>12.5</v>
      </c>
      <c r="V78" s="68"/>
      <c r="W78" s="69">
        <f t="shared" si="10"/>
        <v>132</v>
      </c>
      <c r="X78" s="93" t="str">
        <f t="shared" si="11"/>
        <v>III</v>
      </c>
      <c r="Y78" s="93">
        <f t="shared" si="9"/>
        <v>3</v>
      </c>
      <c r="AA78" s="13"/>
      <c r="AB78" s="132"/>
      <c r="AC78" s="14"/>
      <c r="AD78"/>
    </row>
    <row r="79" spans="1:30">
      <c r="A79" t="s">
        <v>127</v>
      </c>
      <c r="B79" s="110">
        <v>2866300</v>
      </c>
      <c r="C79" s="267" t="s">
        <v>143</v>
      </c>
      <c r="D79" s="55"/>
      <c r="E79" s="92">
        <v>9.3539734584225851</v>
      </c>
      <c r="F79" s="68">
        <f t="shared" si="5"/>
        <v>45</v>
      </c>
      <c r="G79" s="181"/>
      <c r="H79" s="276">
        <v>34419417.934099525</v>
      </c>
      <c r="I79" s="68">
        <f t="shared" si="12"/>
        <v>62.5</v>
      </c>
      <c r="J79" s="181"/>
      <c r="K79" s="277">
        <v>76476599.171899021</v>
      </c>
      <c r="L79" s="68">
        <f t="shared" si="6"/>
        <v>50</v>
      </c>
      <c r="M79" s="68"/>
      <c r="N79" s="290">
        <v>1628085198.2832971</v>
      </c>
      <c r="O79" s="68">
        <f t="shared" si="7"/>
        <v>22</v>
      </c>
      <c r="P79" s="68"/>
      <c r="Q79" s="276">
        <v>0</v>
      </c>
      <c r="R79" s="68">
        <f t="shared" si="13"/>
        <v>0</v>
      </c>
      <c r="S79" s="68"/>
      <c r="T79" s="56" t="s">
        <v>37</v>
      </c>
      <c r="U79" s="68">
        <f t="shared" si="8"/>
        <v>12.5</v>
      </c>
      <c r="V79" s="68"/>
      <c r="W79" s="69">
        <f t="shared" si="10"/>
        <v>192</v>
      </c>
      <c r="X79" s="93" t="str">
        <f t="shared" si="11"/>
        <v>III</v>
      </c>
      <c r="Y79" s="93">
        <f t="shared" si="9"/>
        <v>3</v>
      </c>
      <c r="AA79" s="13"/>
      <c r="AB79" s="132"/>
      <c r="AC79" s="14"/>
      <c r="AD79"/>
    </row>
    <row r="80" spans="1:30">
      <c r="A80" t="s">
        <v>127</v>
      </c>
      <c r="B80" s="110">
        <v>7755200</v>
      </c>
      <c r="C80" s="267" t="s">
        <v>144</v>
      </c>
      <c r="D80" s="55"/>
      <c r="E80" s="92">
        <v>13.451626030645102</v>
      </c>
      <c r="F80" s="68">
        <f t="shared" si="5"/>
        <v>75</v>
      </c>
      <c r="G80" s="181"/>
      <c r="H80" s="276">
        <v>44526922.248900287</v>
      </c>
      <c r="I80" s="68">
        <f t="shared" si="12"/>
        <v>62.5</v>
      </c>
      <c r="J80" s="181"/>
      <c r="K80" s="277">
        <v>88284559.517900795</v>
      </c>
      <c r="L80" s="68">
        <f t="shared" si="6"/>
        <v>50</v>
      </c>
      <c r="M80" s="68"/>
      <c r="N80" s="290">
        <v>1564566728.0800028</v>
      </c>
      <c r="O80" s="68">
        <f t="shared" si="7"/>
        <v>22</v>
      </c>
      <c r="P80" s="68"/>
      <c r="Q80" s="276">
        <v>4638582.6413999964</v>
      </c>
      <c r="R80" s="68">
        <f t="shared" si="13"/>
        <v>12.5</v>
      </c>
      <c r="S80" s="68"/>
      <c r="T80" s="56" t="s">
        <v>37</v>
      </c>
      <c r="U80" s="68">
        <f t="shared" si="8"/>
        <v>12.5</v>
      </c>
      <c r="V80" s="68"/>
      <c r="W80" s="69">
        <f t="shared" si="10"/>
        <v>234.5</v>
      </c>
      <c r="X80" s="93" t="str">
        <f t="shared" si="11"/>
        <v>II</v>
      </c>
      <c r="Y80" s="93">
        <f t="shared" si="9"/>
        <v>2</v>
      </c>
      <c r="AA80" s="13"/>
      <c r="AB80" s="132"/>
      <c r="AC80" s="14"/>
      <c r="AD80"/>
    </row>
    <row r="81" spans="1:30">
      <c r="A81" t="s">
        <v>75</v>
      </c>
      <c r="B81" s="110">
        <v>2886600</v>
      </c>
      <c r="C81" s="267" t="s">
        <v>145</v>
      </c>
      <c r="D81" s="55"/>
      <c r="E81" s="92">
        <v>5.6936350473272945</v>
      </c>
      <c r="F81" s="68">
        <f t="shared" si="5"/>
        <v>30</v>
      </c>
      <c r="G81" s="181"/>
      <c r="H81" s="276">
        <v>14230945.136699976</v>
      </c>
      <c r="I81" s="68">
        <f t="shared" si="12"/>
        <v>25</v>
      </c>
      <c r="J81" s="181"/>
      <c r="K81" s="277">
        <v>29253192.873399731</v>
      </c>
      <c r="L81" s="68">
        <f t="shared" si="6"/>
        <v>20</v>
      </c>
      <c r="M81" s="68"/>
      <c r="N81" s="290">
        <v>1440467309.2012067</v>
      </c>
      <c r="O81" s="68">
        <f t="shared" si="7"/>
        <v>22</v>
      </c>
      <c r="P81" s="68"/>
      <c r="Q81" s="276">
        <v>0</v>
      </c>
      <c r="R81" s="68">
        <f t="shared" si="13"/>
        <v>0</v>
      </c>
      <c r="S81" s="68"/>
      <c r="T81" s="56" t="s">
        <v>37</v>
      </c>
      <c r="U81" s="68">
        <f t="shared" si="8"/>
        <v>12.5</v>
      </c>
      <c r="V81" s="68"/>
      <c r="W81" s="69">
        <f t="shared" si="10"/>
        <v>109.5</v>
      </c>
      <c r="X81" s="93" t="str">
        <f t="shared" si="11"/>
        <v>IV</v>
      </c>
      <c r="Y81" s="93">
        <f t="shared" si="9"/>
        <v>4</v>
      </c>
      <c r="AA81" s="13"/>
      <c r="AB81" s="132"/>
      <c r="AC81" s="14"/>
      <c r="AD81"/>
    </row>
    <row r="82" spans="1:30">
      <c r="A82" t="s">
        <v>75</v>
      </c>
      <c r="B82" s="110">
        <v>2968800</v>
      </c>
      <c r="C82" s="267" t="s">
        <v>146</v>
      </c>
      <c r="D82" s="55"/>
      <c r="E82" s="92">
        <v>10.361300824516082</v>
      </c>
      <c r="F82" s="68">
        <f t="shared" si="5"/>
        <v>75</v>
      </c>
      <c r="G82" s="181"/>
      <c r="H82" s="276">
        <v>33023613.001399741</v>
      </c>
      <c r="I82" s="68">
        <f t="shared" si="12"/>
        <v>37.5</v>
      </c>
      <c r="J82" s="181"/>
      <c r="K82" s="277">
        <v>84253259.937599286</v>
      </c>
      <c r="L82" s="68">
        <f t="shared" si="6"/>
        <v>50</v>
      </c>
      <c r="M82" s="68"/>
      <c r="N82" s="290">
        <v>2717315493.3448915</v>
      </c>
      <c r="O82" s="68">
        <f t="shared" si="7"/>
        <v>40</v>
      </c>
      <c r="P82" s="68"/>
      <c r="Q82" s="276">
        <v>14839420.182899885</v>
      </c>
      <c r="R82" s="68">
        <f t="shared" si="13"/>
        <v>12.5</v>
      </c>
      <c r="S82" s="68"/>
      <c r="T82" s="56" t="s">
        <v>37</v>
      </c>
      <c r="U82" s="68">
        <f t="shared" si="8"/>
        <v>12.5</v>
      </c>
      <c r="V82" s="68"/>
      <c r="W82" s="69">
        <f t="shared" si="10"/>
        <v>227.5</v>
      </c>
      <c r="X82" s="93" t="str">
        <f t="shared" si="11"/>
        <v>II</v>
      </c>
      <c r="Y82" s="93">
        <f t="shared" ref="Y82:Y141" si="14">IF(X82="IV",4,IF(X82="III",3,IF(X82="II",2,1)))</f>
        <v>2</v>
      </c>
      <c r="AA82" s="13"/>
      <c r="AB82" s="132"/>
      <c r="AC82" s="14"/>
      <c r="AD82"/>
    </row>
    <row r="83" spans="1:30">
      <c r="A83" t="s">
        <v>75</v>
      </c>
      <c r="B83" s="110">
        <v>7763200</v>
      </c>
      <c r="C83" s="267" t="s">
        <v>147</v>
      </c>
      <c r="D83" s="55"/>
      <c r="E83" s="92">
        <v>10.135382387784652</v>
      </c>
      <c r="F83" s="68">
        <f t="shared" ref="F83:F146" si="15">IF(E83=0,0,IF(E83&lt;=E$11,G$11,IF(E83&lt;=E$10,G$10,IF(E83&lt;=E$9,G$9,G$8))))</f>
        <v>75</v>
      </c>
      <c r="G83" s="181"/>
      <c r="H83" s="276">
        <v>35090577.848399714</v>
      </c>
      <c r="I83" s="68">
        <f t="shared" ref="I83:I146" si="16">IF(H83=0,0,IF(H83&lt;=H$11,J$11,IF(H83&lt;=H$10,J$10,IF(H83&lt;=H$9,J$9,J$8))))</f>
        <v>62.5</v>
      </c>
      <c r="J83" s="181"/>
      <c r="K83" s="277">
        <v>89485496.470999926</v>
      </c>
      <c r="L83" s="68">
        <f t="shared" ref="L83:L146" si="17">IF(K83=0,0,IF(K83&lt;=K$11,M$11,IF(K83&lt;=K$10,M$10,IF(K83&lt;=K$9,M$9,M$8))))</f>
        <v>50</v>
      </c>
      <c r="M83" s="68"/>
      <c r="N83" s="290">
        <v>1750451684.6895006</v>
      </c>
      <c r="O83" s="68">
        <f t="shared" ref="O83:O146" si="18">IF(N83=0,0,IF(N83&lt;=N$11,P$11,IF(N83&lt;=N$10,P$10,IF(N83&lt;=N$9,P$9,P$8))))</f>
        <v>22</v>
      </c>
      <c r="P83" s="68"/>
      <c r="Q83" s="276">
        <v>29371155.499199916</v>
      </c>
      <c r="R83" s="68">
        <f t="shared" ref="R83:R146" si="19">IF(Q83=0,0,IF(Q83&lt;=Q$11,S$11,IF(Q83&lt;=Q$10,S$10,IF(Q83&lt;=Q$9,S$9,S$8))))</f>
        <v>25</v>
      </c>
      <c r="S83" s="68"/>
      <c r="T83" s="56" t="s">
        <v>37</v>
      </c>
      <c r="U83" s="68">
        <f t="shared" ref="U83:U146" si="20">IF(T83=0,0,IF(T83=T$9,V$9,V$8))</f>
        <v>12.5</v>
      </c>
      <c r="V83" s="68"/>
      <c r="W83" s="69">
        <f t="shared" ref="W83:W146" si="21">F83+I83+L83+O83+R83+U83</f>
        <v>247</v>
      </c>
      <c r="X83" s="93" t="str">
        <f t="shared" si="11"/>
        <v>II</v>
      </c>
      <c r="Y83" s="93">
        <f t="shared" si="14"/>
        <v>2</v>
      </c>
      <c r="AA83" s="13"/>
      <c r="AB83" s="132"/>
      <c r="AC83" s="14"/>
      <c r="AD83"/>
    </row>
    <row r="84" spans="1:30">
      <c r="A84" t="s">
        <v>127</v>
      </c>
      <c r="B84" s="110">
        <v>2836400</v>
      </c>
      <c r="C84" s="267" t="s">
        <v>148</v>
      </c>
      <c r="D84" s="55"/>
      <c r="E84" s="92">
        <v>11.656463427580594</v>
      </c>
      <c r="F84" s="68">
        <f t="shared" si="15"/>
        <v>75</v>
      </c>
      <c r="G84" s="181"/>
      <c r="H84" s="276">
        <v>23281652.282400131</v>
      </c>
      <c r="I84" s="68">
        <f t="shared" si="16"/>
        <v>37.5</v>
      </c>
      <c r="J84" s="181"/>
      <c r="K84" s="277">
        <v>83880593.026998475</v>
      </c>
      <c r="L84" s="68">
        <f t="shared" si="17"/>
        <v>50</v>
      </c>
      <c r="M84" s="68"/>
      <c r="N84" s="290">
        <v>2191515727.6182971</v>
      </c>
      <c r="O84" s="68">
        <f t="shared" si="18"/>
        <v>40</v>
      </c>
      <c r="P84" s="68"/>
      <c r="Q84" s="276">
        <v>28844304.887599751</v>
      </c>
      <c r="R84" s="68">
        <f t="shared" si="19"/>
        <v>25</v>
      </c>
      <c r="S84" s="68"/>
      <c r="T84" s="56" t="s">
        <v>37</v>
      </c>
      <c r="U84" s="68">
        <f t="shared" si="20"/>
        <v>12.5</v>
      </c>
      <c r="V84" s="68"/>
      <c r="W84" s="69">
        <f t="shared" si="21"/>
        <v>240</v>
      </c>
      <c r="X84" s="93" t="str">
        <f t="shared" ref="X84:X147" si="22">IF(W84&lt;=$Y$11,$W$11,IF(W84&lt;=$Y$10,$W$10,IF(W84&lt;=$Y$9,$W$9,$W$8)))</f>
        <v>II</v>
      </c>
      <c r="Y84" s="93">
        <f t="shared" si="14"/>
        <v>2</v>
      </c>
      <c r="AA84" s="13"/>
      <c r="AB84" s="132"/>
      <c r="AC84" s="14"/>
      <c r="AD84"/>
    </row>
    <row r="85" spans="1:30">
      <c r="A85" t="s">
        <v>84</v>
      </c>
      <c r="B85" s="110">
        <v>7773200</v>
      </c>
      <c r="C85" s="267" t="s">
        <v>149</v>
      </c>
      <c r="D85" s="55"/>
      <c r="E85" s="92">
        <v>5.4223297872764764</v>
      </c>
      <c r="F85" s="68">
        <f t="shared" si="15"/>
        <v>30</v>
      </c>
      <c r="G85" s="181"/>
      <c r="H85" s="276">
        <v>12212795.490999967</v>
      </c>
      <c r="I85" s="68">
        <f t="shared" si="16"/>
        <v>25</v>
      </c>
      <c r="J85" s="181"/>
      <c r="K85" s="277">
        <v>25673323.684099872</v>
      </c>
      <c r="L85" s="68">
        <f t="shared" si="17"/>
        <v>20</v>
      </c>
      <c r="M85" s="68"/>
      <c r="N85" s="290">
        <v>1065290168.6612012</v>
      </c>
      <c r="O85" s="68">
        <f t="shared" si="18"/>
        <v>13</v>
      </c>
      <c r="P85" s="68"/>
      <c r="Q85" s="276">
        <v>14766296.321999941</v>
      </c>
      <c r="R85" s="68">
        <f t="shared" si="19"/>
        <v>12.5</v>
      </c>
      <c r="S85" s="68"/>
      <c r="T85" s="56" t="s">
        <v>37</v>
      </c>
      <c r="U85" s="68">
        <f t="shared" si="20"/>
        <v>12.5</v>
      </c>
      <c r="V85" s="68"/>
      <c r="W85" s="69">
        <f t="shared" si="21"/>
        <v>113</v>
      </c>
      <c r="X85" s="93" t="str">
        <f t="shared" si="22"/>
        <v>IV</v>
      </c>
      <c r="Y85" s="93">
        <f t="shared" si="14"/>
        <v>4</v>
      </c>
      <c r="AA85" s="13"/>
      <c r="AB85" s="132"/>
      <c r="AC85" s="14"/>
      <c r="AD85"/>
    </row>
    <row r="86" spans="1:30">
      <c r="A86" t="s">
        <v>75</v>
      </c>
      <c r="B86" s="110">
        <v>2943300</v>
      </c>
      <c r="C86" s="267" t="s">
        <v>150</v>
      </c>
      <c r="D86" s="55"/>
      <c r="E86" s="92">
        <v>5.9126210106860366</v>
      </c>
      <c r="F86" s="68">
        <f t="shared" si="15"/>
        <v>30</v>
      </c>
      <c r="G86" s="181"/>
      <c r="H86" s="276">
        <v>7834819.0666999929</v>
      </c>
      <c r="I86" s="68">
        <f t="shared" si="16"/>
        <v>25</v>
      </c>
      <c r="J86" s="181"/>
      <c r="K86" s="277">
        <v>48171704.911501803</v>
      </c>
      <c r="L86" s="68">
        <f t="shared" si="17"/>
        <v>30</v>
      </c>
      <c r="M86" s="68"/>
      <c r="N86" s="290">
        <v>738202143.03959894</v>
      </c>
      <c r="O86" s="68">
        <f t="shared" si="18"/>
        <v>13</v>
      </c>
      <c r="P86" s="68"/>
      <c r="Q86" s="276">
        <v>0</v>
      </c>
      <c r="R86" s="68">
        <f t="shared" si="19"/>
        <v>0</v>
      </c>
      <c r="S86" s="68"/>
      <c r="T86" s="56" t="s">
        <v>37</v>
      </c>
      <c r="U86" s="68">
        <f t="shared" si="20"/>
        <v>12.5</v>
      </c>
      <c r="V86" s="68"/>
      <c r="W86" s="69">
        <f t="shared" si="21"/>
        <v>110.5</v>
      </c>
      <c r="X86" s="93" t="str">
        <f t="shared" si="22"/>
        <v>IV</v>
      </c>
      <c r="Y86" s="93">
        <f t="shared" si="14"/>
        <v>4</v>
      </c>
      <c r="AA86" s="13"/>
      <c r="AB86" s="132"/>
      <c r="AC86" s="14"/>
      <c r="AD86"/>
    </row>
    <row r="87" spans="1:30">
      <c r="A87" t="s">
        <v>75</v>
      </c>
      <c r="B87" s="110">
        <v>2963600</v>
      </c>
      <c r="C87" s="267" t="s">
        <v>151</v>
      </c>
      <c r="D87" s="55"/>
      <c r="E87" s="92">
        <v>8.3834946809147155</v>
      </c>
      <c r="F87" s="68">
        <f t="shared" si="15"/>
        <v>45</v>
      </c>
      <c r="G87" s="181"/>
      <c r="H87" s="276">
        <v>19510442.322999664</v>
      </c>
      <c r="I87" s="68">
        <f t="shared" si="16"/>
        <v>37.5</v>
      </c>
      <c r="J87" s="181"/>
      <c r="K87" s="277">
        <v>39175577.450098619</v>
      </c>
      <c r="L87" s="68">
        <f t="shared" si="17"/>
        <v>30</v>
      </c>
      <c r="M87" s="68"/>
      <c r="N87" s="290">
        <v>1574558769.2432044</v>
      </c>
      <c r="O87" s="68">
        <f t="shared" si="18"/>
        <v>22</v>
      </c>
      <c r="P87" s="68"/>
      <c r="Q87" s="276">
        <v>0</v>
      </c>
      <c r="R87" s="68">
        <f t="shared" si="19"/>
        <v>0</v>
      </c>
      <c r="S87" s="68"/>
      <c r="T87" s="56" t="s">
        <v>37</v>
      </c>
      <c r="U87" s="68">
        <f t="shared" si="20"/>
        <v>12.5</v>
      </c>
      <c r="V87" s="68"/>
      <c r="W87" s="69">
        <f t="shared" si="21"/>
        <v>147</v>
      </c>
      <c r="X87" s="93" t="str">
        <f t="shared" si="22"/>
        <v>III</v>
      </c>
      <c r="Y87" s="93">
        <f t="shared" si="14"/>
        <v>3</v>
      </c>
      <c r="AA87" s="13"/>
      <c r="AB87" s="132"/>
      <c r="AC87" s="14"/>
      <c r="AD87"/>
    </row>
    <row r="88" spans="1:30">
      <c r="A88" t="s">
        <v>127</v>
      </c>
      <c r="B88" s="110">
        <v>7767200</v>
      </c>
      <c r="C88" s="267" t="s">
        <v>152</v>
      </c>
      <c r="D88" s="55"/>
      <c r="E88" s="92">
        <v>7.9455227541972313</v>
      </c>
      <c r="F88" s="68">
        <f t="shared" si="15"/>
        <v>45</v>
      </c>
      <c r="G88" s="181"/>
      <c r="H88" s="276">
        <v>18766145.517701626</v>
      </c>
      <c r="I88" s="68">
        <f t="shared" si="16"/>
        <v>37.5</v>
      </c>
      <c r="J88" s="181"/>
      <c r="K88" s="277">
        <v>58950867.005601294</v>
      </c>
      <c r="L88" s="68">
        <f t="shared" si="17"/>
        <v>30</v>
      </c>
      <c r="M88" s="68"/>
      <c r="N88" s="290">
        <v>1716086316.5094004</v>
      </c>
      <c r="O88" s="68">
        <f t="shared" si="18"/>
        <v>22</v>
      </c>
      <c r="P88" s="68"/>
      <c r="Q88" s="276">
        <v>10732614.885700002</v>
      </c>
      <c r="R88" s="68">
        <f t="shared" si="19"/>
        <v>12.5</v>
      </c>
      <c r="S88" s="68"/>
      <c r="T88" s="56" t="s">
        <v>37</v>
      </c>
      <c r="U88" s="68">
        <f t="shared" si="20"/>
        <v>12.5</v>
      </c>
      <c r="V88" s="68"/>
      <c r="W88" s="69">
        <f t="shared" si="21"/>
        <v>159.5</v>
      </c>
      <c r="X88" s="93" t="str">
        <f t="shared" si="22"/>
        <v>III</v>
      </c>
      <c r="Y88" s="93">
        <f t="shared" si="14"/>
        <v>3</v>
      </c>
      <c r="AA88" s="13"/>
      <c r="AB88" s="132"/>
      <c r="AC88" s="14"/>
      <c r="AD88"/>
    </row>
    <row r="89" spans="1:30">
      <c r="A89" t="s">
        <v>84</v>
      </c>
      <c r="B89" s="110">
        <v>2991200</v>
      </c>
      <c r="C89" s="267" t="s">
        <v>153</v>
      </c>
      <c r="D89" s="55"/>
      <c r="E89" s="92">
        <v>6.1316069740447787</v>
      </c>
      <c r="F89" s="68">
        <f t="shared" si="15"/>
        <v>30</v>
      </c>
      <c r="G89" s="181"/>
      <c r="H89" s="276">
        <v>12819673.006199935</v>
      </c>
      <c r="I89" s="68">
        <f t="shared" si="16"/>
        <v>25</v>
      </c>
      <c r="J89" s="181"/>
      <c r="K89" s="277">
        <v>29810725.795499887</v>
      </c>
      <c r="L89" s="68">
        <f t="shared" si="17"/>
        <v>20</v>
      </c>
      <c r="M89" s="68"/>
      <c r="N89" s="290">
        <v>1490128035.8425028</v>
      </c>
      <c r="O89" s="68">
        <f t="shared" si="18"/>
        <v>22</v>
      </c>
      <c r="P89" s="68"/>
      <c r="Q89" s="276">
        <v>0</v>
      </c>
      <c r="R89" s="68">
        <f t="shared" si="19"/>
        <v>0</v>
      </c>
      <c r="S89" s="68"/>
      <c r="T89" s="56" t="s">
        <v>37</v>
      </c>
      <c r="U89" s="68">
        <f t="shared" si="20"/>
        <v>12.5</v>
      </c>
      <c r="V89" s="68"/>
      <c r="W89" s="69">
        <f t="shared" si="21"/>
        <v>109.5</v>
      </c>
      <c r="X89" s="93" t="str">
        <f t="shared" si="22"/>
        <v>IV</v>
      </c>
      <c r="Y89" s="93">
        <f t="shared" si="14"/>
        <v>4</v>
      </c>
      <c r="AA89" s="13"/>
      <c r="AB89" s="132"/>
      <c r="AC89" s="14"/>
      <c r="AD89"/>
    </row>
    <row r="90" spans="1:30">
      <c r="A90" t="s">
        <v>71</v>
      </c>
      <c r="B90" s="110">
        <v>2856700</v>
      </c>
      <c r="C90" s="267" t="s">
        <v>154</v>
      </c>
      <c r="D90" s="55"/>
      <c r="E90" s="92">
        <v>5.6316069740447787</v>
      </c>
      <c r="F90" s="68">
        <f t="shared" si="15"/>
        <v>30</v>
      </c>
      <c r="G90" s="181"/>
      <c r="H90" s="276">
        <v>19045075.042499963</v>
      </c>
      <c r="I90" s="68">
        <f t="shared" si="16"/>
        <v>37.5</v>
      </c>
      <c r="J90" s="181"/>
      <c r="K90" s="277">
        <v>45263820.367800668</v>
      </c>
      <c r="L90" s="68">
        <f t="shared" si="17"/>
        <v>30</v>
      </c>
      <c r="M90" s="68"/>
      <c r="N90" s="290">
        <v>1644786932.7537</v>
      </c>
      <c r="O90" s="68">
        <f t="shared" si="18"/>
        <v>22</v>
      </c>
      <c r="P90" s="68"/>
      <c r="Q90" s="276">
        <v>18057077.746599827</v>
      </c>
      <c r="R90" s="68">
        <f t="shared" si="19"/>
        <v>25</v>
      </c>
      <c r="S90" s="68"/>
      <c r="T90" s="56" t="s">
        <v>37</v>
      </c>
      <c r="U90" s="68">
        <f t="shared" si="20"/>
        <v>12.5</v>
      </c>
      <c r="V90" s="68"/>
      <c r="W90" s="69">
        <f t="shared" si="21"/>
        <v>157</v>
      </c>
      <c r="X90" s="93" t="str">
        <f t="shared" si="22"/>
        <v>III</v>
      </c>
      <c r="Y90" s="93">
        <f t="shared" si="14"/>
        <v>3</v>
      </c>
      <c r="AA90" s="13"/>
      <c r="AB90" s="132"/>
      <c r="AC90" s="14"/>
      <c r="AD90"/>
    </row>
    <row r="91" spans="1:30">
      <c r="A91" t="s">
        <v>127</v>
      </c>
      <c r="B91" s="110">
        <v>2944400</v>
      </c>
      <c r="C91" s="267" t="s">
        <v>155</v>
      </c>
      <c r="D91" s="55"/>
      <c r="E91" s="92">
        <v>13.451626030645102</v>
      </c>
      <c r="F91" s="68">
        <f t="shared" si="15"/>
        <v>75</v>
      </c>
      <c r="G91" s="181"/>
      <c r="H91" s="276">
        <v>34643985.194599248</v>
      </c>
      <c r="I91" s="68">
        <f t="shared" si="16"/>
        <v>62.5</v>
      </c>
      <c r="J91" s="181"/>
      <c r="K91" s="277">
        <v>74111029.573098108</v>
      </c>
      <c r="L91" s="68">
        <f t="shared" si="17"/>
        <v>50</v>
      </c>
      <c r="M91" s="68"/>
      <c r="N91" s="290">
        <v>4567287939.887187</v>
      </c>
      <c r="O91" s="68">
        <f t="shared" si="18"/>
        <v>75</v>
      </c>
      <c r="P91" s="68"/>
      <c r="Q91" s="276">
        <v>8720578.2467999998</v>
      </c>
      <c r="R91" s="68">
        <f t="shared" si="19"/>
        <v>12.5</v>
      </c>
      <c r="S91" s="68"/>
      <c r="T91" s="56" t="s">
        <v>37</v>
      </c>
      <c r="U91" s="68">
        <f t="shared" si="20"/>
        <v>12.5</v>
      </c>
      <c r="V91" s="68"/>
      <c r="W91" s="69">
        <f t="shared" si="21"/>
        <v>287.5</v>
      </c>
      <c r="X91" s="93" t="str">
        <f t="shared" si="22"/>
        <v>II</v>
      </c>
      <c r="Y91" s="93">
        <f t="shared" si="14"/>
        <v>2</v>
      </c>
      <c r="AA91" s="13"/>
      <c r="AB91" s="132"/>
      <c r="AC91" s="14"/>
      <c r="AD91"/>
    </row>
    <row r="92" spans="1:30">
      <c r="A92" t="s">
        <v>127</v>
      </c>
      <c r="B92" s="110">
        <v>2911300</v>
      </c>
      <c r="C92" s="267" t="s">
        <v>156</v>
      </c>
      <c r="D92" s="55"/>
      <c r="E92" s="92">
        <v>6.9029122340955968</v>
      </c>
      <c r="F92" s="68">
        <f t="shared" si="15"/>
        <v>45</v>
      </c>
      <c r="G92" s="181"/>
      <c r="H92" s="276">
        <v>19171491.007399939</v>
      </c>
      <c r="I92" s="68">
        <f t="shared" si="16"/>
        <v>37.5</v>
      </c>
      <c r="J92" s="181"/>
      <c r="K92" s="277">
        <v>37510410.556299746</v>
      </c>
      <c r="L92" s="68">
        <f t="shared" si="17"/>
        <v>20</v>
      </c>
      <c r="M92" s="68"/>
      <c r="N92" s="290">
        <v>1332295325.3985031</v>
      </c>
      <c r="O92" s="68">
        <f t="shared" si="18"/>
        <v>13</v>
      </c>
      <c r="P92" s="68"/>
      <c r="Q92" s="276">
        <v>15669849.33620085</v>
      </c>
      <c r="R92" s="68">
        <f t="shared" si="19"/>
        <v>25</v>
      </c>
      <c r="S92" s="68"/>
      <c r="T92" s="56" t="s">
        <v>37</v>
      </c>
      <c r="U92" s="68">
        <f t="shared" si="20"/>
        <v>12.5</v>
      </c>
      <c r="V92" s="68"/>
      <c r="W92" s="69">
        <f t="shared" si="21"/>
        <v>153</v>
      </c>
      <c r="X92" s="93" t="str">
        <f t="shared" si="22"/>
        <v>III</v>
      </c>
      <c r="Y92" s="93">
        <f t="shared" si="14"/>
        <v>3</v>
      </c>
      <c r="AA92" s="13"/>
      <c r="AB92" s="132"/>
      <c r="AC92" s="14"/>
      <c r="AD92"/>
    </row>
    <row r="93" spans="1:30">
      <c r="A93" t="s">
        <v>127</v>
      </c>
      <c r="B93" s="110">
        <v>2913500</v>
      </c>
      <c r="C93" s="267" t="s">
        <v>157</v>
      </c>
      <c r="D93" s="55"/>
      <c r="E93" s="92">
        <v>7.9455227541972313</v>
      </c>
      <c r="F93" s="68">
        <f t="shared" si="15"/>
        <v>45</v>
      </c>
      <c r="G93" s="181"/>
      <c r="H93" s="276">
        <v>16775361.705200832</v>
      </c>
      <c r="I93" s="68">
        <f t="shared" si="16"/>
        <v>25</v>
      </c>
      <c r="J93" s="181"/>
      <c r="K93" s="277">
        <v>44330177.193600461</v>
      </c>
      <c r="L93" s="68">
        <f t="shared" si="17"/>
        <v>30</v>
      </c>
      <c r="M93" s="68"/>
      <c r="N93" s="290">
        <v>1738141135.9519055</v>
      </c>
      <c r="O93" s="68">
        <f t="shared" si="18"/>
        <v>22</v>
      </c>
      <c r="P93" s="68"/>
      <c r="Q93" s="276">
        <v>3592677.2372999978</v>
      </c>
      <c r="R93" s="68">
        <f t="shared" si="19"/>
        <v>7.5</v>
      </c>
      <c r="S93" s="68"/>
      <c r="T93" s="56" t="s">
        <v>37</v>
      </c>
      <c r="U93" s="68">
        <f t="shared" si="20"/>
        <v>12.5</v>
      </c>
      <c r="V93" s="68"/>
      <c r="W93" s="69">
        <f t="shared" si="21"/>
        <v>142</v>
      </c>
      <c r="X93" s="93" t="str">
        <f t="shared" si="22"/>
        <v>III</v>
      </c>
      <c r="Y93" s="93">
        <f t="shared" si="14"/>
        <v>3</v>
      </c>
      <c r="AA93" s="13"/>
      <c r="AB93" s="132"/>
      <c r="AC93" s="14"/>
      <c r="AD93"/>
    </row>
    <row r="94" spans="1:30">
      <c r="A94" t="s">
        <v>75</v>
      </c>
      <c r="B94" s="110">
        <v>2973200</v>
      </c>
      <c r="C94" s="267" t="s">
        <v>158</v>
      </c>
      <c r="D94" s="55"/>
      <c r="E94" s="92">
        <v>13.451626030645102</v>
      </c>
      <c r="F94" s="68">
        <f t="shared" si="15"/>
        <v>75</v>
      </c>
      <c r="G94" s="181"/>
      <c r="H94" s="276">
        <v>47220721.544599511</v>
      </c>
      <c r="I94" s="68">
        <f t="shared" si="16"/>
        <v>62.5</v>
      </c>
      <c r="J94" s="181"/>
      <c r="K94" s="277">
        <v>79867122.94479923</v>
      </c>
      <c r="L94" s="68">
        <f t="shared" si="17"/>
        <v>50</v>
      </c>
      <c r="M94" s="68"/>
      <c r="N94" s="290">
        <v>2168362454.7613988</v>
      </c>
      <c r="O94" s="68">
        <f t="shared" si="18"/>
        <v>40</v>
      </c>
      <c r="P94" s="68"/>
      <c r="Q94" s="276">
        <v>32816669.212100077</v>
      </c>
      <c r="R94" s="68">
        <f t="shared" si="19"/>
        <v>25</v>
      </c>
      <c r="S94" s="68"/>
      <c r="T94" s="56" t="s">
        <v>37</v>
      </c>
      <c r="U94" s="68">
        <f t="shared" si="20"/>
        <v>12.5</v>
      </c>
      <c r="V94" s="68"/>
      <c r="W94" s="69">
        <f t="shared" si="21"/>
        <v>265</v>
      </c>
      <c r="X94" s="93" t="str">
        <f t="shared" si="22"/>
        <v>II</v>
      </c>
      <c r="Y94" s="93">
        <f t="shared" si="14"/>
        <v>2</v>
      </c>
      <c r="AA94" s="13"/>
      <c r="AB94" s="132"/>
      <c r="AC94" s="14"/>
      <c r="AD94"/>
    </row>
    <row r="95" spans="1:30">
      <c r="A95" t="s">
        <v>113</v>
      </c>
      <c r="B95" s="110">
        <v>2958500</v>
      </c>
      <c r="C95" s="267" t="s">
        <v>159</v>
      </c>
      <c r="D95" s="55"/>
      <c r="E95" s="92">
        <v>6.2982736407114448</v>
      </c>
      <c r="F95" s="68">
        <f t="shared" si="15"/>
        <v>30</v>
      </c>
      <c r="G95" s="181"/>
      <c r="H95" s="276">
        <v>19411217.7247</v>
      </c>
      <c r="I95" s="68">
        <f t="shared" si="16"/>
        <v>37.5</v>
      </c>
      <c r="J95" s="181"/>
      <c r="K95" s="277">
        <v>39925180.444198124</v>
      </c>
      <c r="L95" s="68">
        <f t="shared" si="17"/>
        <v>30</v>
      </c>
      <c r="M95" s="68"/>
      <c r="N95" s="290">
        <v>1167727656.8356042</v>
      </c>
      <c r="O95" s="68">
        <f t="shared" si="18"/>
        <v>13</v>
      </c>
      <c r="P95" s="68"/>
      <c r="Q95" s="276">
        <v>0</v>
      </c>
      <c r="R95" s="68">
        <f t="shared" si="19"/>
        <v>0</v>
      </c>
      <c r="S95" s="68"/>
      <c r="T95" s="56" t="s">
        <v>37</v>
      </c>
      <c r="U95" s="68">
        <f t="shared" si="20"/>
        <v>12.5</v>
      </c>
      <c r="V95" s="68"/>
      <c r="W95" s="69">
        <f t="shared" si="21"/>
        <v>123</v>
      </c>
      <c r="X95" s="93" t="str">
        <f t="shared" si="22"/>
        <v>III</v>
      </c>
      <c r="Y95" s="93">
        <f t="shared" si="14"/>
        <v>3</v>
      </c>
      <c r="AA95" s="13"/>
      <c r="AB95" s="132"/>
      <c r="AC95" s="14"/>
      <c r="AD95"/>
    </row>
    <row r="96" spans="1:30">
      <c r="A96" t="s">
        <v>75</v>
      </c>
      <c r="B96" s="110">
        <v>2967700</v>
      </c>
      <c r="C96" s="267" t="s">
        <v>160</v>
      </c>
      <c r="D96" s="55"/>
      <c r="E96" s="92">
        <v>6.1316069740447787</v>
      </c>
      <c r="F96" s="68">
        <f t="shared" si="15"/>
        <v>30</v>
      </c>
      <c r="G96" s="181"/>
      <c r="H96" s="276">
        <v>11856584.971799975</v>
      </c>
      <c r="I96" s="68">
        <f t="shared" si="16"/>
        <v>25</v>
      </c>
      <c r="J96" s="181"/>
      <c r="K96" s="277">
        <v>37124038.987399764</v>
      </c>
      <c r="L96" s="68">
        <f t="shared" si="17"/>
        <v>20</v>
      </c>
      <c r="M96" s="68"/>
      <c r="N96" s="290">
        <v>1614597216.510596</v>
      </c>
      <c r="O96" s="68">
        <f t="shared" si="18"/>
        <v>22</v>
      </c>
      <c r="P96" s="68"/>
      <c r="Q96" s="276">
        <v>14813238.285599886</v>
      </c>
      <c r="R96" s="68">
        <f t="shared" si="19"/>
        <v>12.5</v>
      </c>
      <c r="S96" s="68"/>
      <c r="T96" s="56" t="s">
        <v>37</v>
      </c>
      <c r="U96" s="68">
        <f t="shared" si="20"/>
        <v>12.5</v>
      </c>
      <c r="V96" s="68"/>
      <c r="W96" s="69">
        <f t="shared" si="21"/>
        <v>122</v>
      </c>
      <c r="X96" s="93" t="str">
        <f t="shared" si="22"/>
        <v>III</v>
      </c>
      <c r="Y96" s="93">
        <f t="shared" si="14"/>
        <v>3</v>
      </c>
      <c r="AA96" s="13"/>
      <c r="AB96" s="132"/>
      <c r="AC96" s="14"/>
      <c r="AD96"/>
    </row>
    <row r="97" spans="1:30">
      <c r="A97" t="s">
        <v>127</v>
      </c>
      <c r="B97" s="110">
        <v>2875100</v>
      </c>
      <c r="C97" s="267" t="s">
        <v>161</v>
      </c>
      <c r="D97" s="55"/>
      <c r="E97" s="92">
        <v>9.6974104610671681</v>
      </c>
      <c r="F97" s="68">
        <f t="shared" si="15"/>
        <v>45</v>
      </c>
      <c r="G97" s="181"/>
      <c r="H97" s="276">
        <v>29211357.697900452</v>
      </c>
      <c r="I97" s="68">
        <f t="shared" si="16"/>
        <v>37.5</v>
      </c>
      <c r="J97" s="181"/>
      <c r="K97" s="277">
        <v>42270680.439695701</v>
      </c>
      <c r="L97" s="68">
        <f t="shared" si="17"/>
        <v>30</v>
      </c>
      <c r="M97" s="68"/>
      <c r="N97" s="290">
        <v>1490023245.3075035</v>
      </c>
      <c r="O97" s="68">
        <f t="shared" si="18"/>
        <v>22</v>
      </c>
      <c r="P97" s="68"/>
      <c r="Q97" s="276">
        <v>0</v>
      </c>
      <c r="R97" s="68">
        <f t="shared" si="19"/>
        <v>0</v>
      </c>
      <c r="S97" s="68"/>
      <c r="T97" s="56" t="s">
        <v>37</v>
      </c>
      <c r="U97" s="68">
        <f t="shared" si="20"/>
        <v>12.5</v>
      </c>
      <c r="V97" s="68"/>
      <c r="W97" s="69">
        <f t="shared" si="21"/>
        <v>147</v>
      </c>
      <c r="X97" s="93" t="str">
        <f t="shared" si="22"/>
        <v>III</v>
      </c>
      <c r="Y97" s="93">
        <f t="shared" si="14"/>
        <v>3</v>
      </c>
      <c r="AA97" s="13"/>
      <c r="AB97" s="132"/>
      <c r="AC97" s="14"/>
      <c r="AD97"/>
    </row>
    <row r="98" spans="1:30">
      <c r="A98" t="s">
        <v>75</v>
      </c>
      <c r="B98" s="110">
        <v>2978400</v>
      </c>
      <c r="C98" s="267" t="s">
        <v>162</v>
      </c>
      <c r="D98" s="55"/>
      <c r="E98" s="92">
        <v>10.135382387784652</v>
      </c>
      <c r="F98" s="68">
        <f t="shared" si="15"/>
        <v>75</v>
      </c>
      <c r="G98" s="181"/>
      <c r="H98" s="276">
        <v>19386929.672599651</v>
      </c>
      <c r="I98" s="68">
        <f t="shared" si="16"/>
        <v>37.5</v>
      </c>
      <c r="J98" s="181"/>
      <c r="K98" s="277">
        <v>53208420.479702041</v>
      </c>
      <c r="L98" s="68">
        <f t="shared" si="17"/>
        <v>30</v>
      </c>
      <c r="M98" s="68"/>
      <c r="N98" s="290">
        <v>1935650594.1265984</v>
      </c>
      <c r="O98" s="68">
        <f t="shared" si="18"/>
        <v>22</v>
      </c>
      <c r="P98" s="68"/>
      <c r="Q98" s="276">
        <v>16550078.499299826</v>
      </c>
      <c r="R98" s="68">
        <f t="shared" si="19"/>
        <v>25</v>
      </c>
      <c r="S98" s="68"/>
      <c r="T98" s="56" t="s">
        <v>37</v>
      </c>
      <c r="U98" s="68">
        <f t="shared" si="20"/>
        <v>12.5</v>
      </c>
      <c r="V98" s="68"/>
      <c r="W98" s="69">
        <f t="shared" si="21"/>
        <v>202</v>
      </c>
      <c r="X98" s="93" t="str">
        <f t="shared" si="22"/>
        <v>II</v>
      </c>
      <c r="Y98" s="93">
        <f t="shared" si="14"/>
        <v>2</v>
      </c>
      <c r="AA98" s="13"/>
      <c r="AB98" s="132"/>
      <c r="AC98" s="14"/>
      <c r="AD98"/>
    </row>
    <row r="99" spans="1:30">
      <c r="A99" t="s">
        <v>127</v>
      </c>
      <c r="B99" s="110">
        <v>7743200</v>
      </c>
      <c r="C99" s="267" t="s">
        <v>163</v>
      </c>
      <c r="D99" s="55"/>
      <c r="E99" s="92">
        <v>13.451626030645102</v>
      </c>
      <c r="F99" s="68">
        <f t="shared" si="15"/>
        <v>75</v>
      </c>
      <c r="G99" s="181"/>
      <c r="H99" s="276">
        <v>51795549.675401509</v>
      </c>
      <c r="I99" s="68">
        <f t="shared" si="16"/>
        <v>62.5</v>
      </c>
      <c r="J99" s="181"/>
      <c r="K99" s="277">
        <v>86716775.817996457</v>
      </c>
      <c r="L99" s="68">
        <f t="shared" si="17"/>
        <v>50</v>
      </c>
      <c r="M99" s="68"/>
      <c r="N99" s="290">
        <v>2279629939.5823007</v>
      </c>
      <c r="O99" s="68">
        <f t="shared" si="18"/>
        <v>40</v>
      </c>
      <c r="P99" s="68"/>
      <c r="Q99" s="276">
        <v>0</v>
      </c>
      <c r="R99" s="68">
        <f t="shared" si="19"/>
        <v>0</v>
      </c>
      <c r="S99" s="68"/>
      <c r="T99" s="56" t="s">
        <v>37</v>
      </c>
      <c r="U99" s="68">
        <f t="shared" si="20"/>
        <v>12.5</v>
      </c>
      <c r="V99" s="68"/>
      <c r="W99" s="69">
        <f t="shared" si="21"/>
        <v>240</v>
      </c>
      <c r="X99" s="93" t="str">
        <f t="shared" si="22"/>
        <v>II</v>
      </c>
      <c r="Y99" s="93">
        <f t="shared" si="14"/>
        <v>2</v>
      </c>
      <c r="AA99" s="13"/>
      <c r="AB99" s="132"/>
      <c r="AC99" s="14"/>
      <c r="AD99"/>
    </row>
    <row r="100" spans="1:30">
      <c r="A100" t="s">
        <v>127</v>
      </c>
      <c r="B100" s="110">
        <v>7747200</v>
      </c>
      <c r="C100" s="267" t="s">
        <v>164</v>
      </c>
      <c r="D100" s="55"/>
      <c r="E100" s="92">
        <v>7.8834946809147155</v>
      </c>
      <c r="F100" s="68">
        <f t="shared" si="15"/>
        <v>45</v>
      </c>
      <c r="G100" s="181"/>
      <c r="H100" s="276">
        <v>19871259.475699097</v>
      </c>
      <c r="I100" s="68">
        <f t="shared" si="16"/>
        <v>37.5</v>
      </c>
      <c r="J100" s="181"/>
      <c r="K100" s="277">
        <v>53073115.511897407</v>
      </c>
      <c r="L100" s="68">
        <f t="shared" si="17"/>
        <v>30</v>
      </c>
      <c r="M100" s="68"/>
      <c r="N100" s="290">
        <v>1801765310.6393967</v>
      </c>
      <c r="O100" s="68">
        <f t="shared" si="18"/>
        <v>22</v>
      </c>
      <c r="P100" s="68"/>
      <c r="Q100" s="276">
        <v>16813417.667099897</v>
      </c>
      <c r="R100" s="68">
        <f t="shared" si="19"/>
        <v>25</v>
      </c>
      <c r="S100" s="68"/>
      <c r="T100" s="56" t="s">
        <v>37</v>
      </c>
      <c r="U100" s="68">
        <f t="shared" si="20"/>
        <v>12.5</v>
      </c>
      <c r="V100" s="68"/>
      <c r="W100" s="69">
        <f t="shared" si="21"/>
        <v>172</v>
      </c>
      <c r="X100" s="93" t="str">
        <f t="shared" si="22"/>
        <v>III</v>
      </c>
      <c r="Y100" s="93">
        <f t="shared" si="14"/>
        <v>3</v>
      </c>
      <c r="AA100" s="13"/>
      <c r="AB100" s="132"/>
      <c r="AC100" s="14"/>
      <c r="AD100"/>
    </row>
    <row r="101" spans="1:30">
      <c r="A101" t="s">
        <v>127</v>
      </c>
      <c r="B101" s="110">
        <v>7787200</v>
      </c>
      <c r="C101" s="267" t="s">
        <v>165</v>
      </c>
      <c r="D101" s="55"/>
      <c r="E101" s="92">
        <v>6.0269683806606285</v>
      </c>
      <c r="F101" s="68">
        <f t="shared" si="15"/>
        <v>30</v>
      </c>
      <c r="G101" s="181"/>
      <c r="H101" s="276">
        <v>14185560.917099955</v>
      </c>
      <c r="I101" s="68">
        <f t="shared" si="16"/>
        <v>25</v>
      </c>
      <c r="J101" s="181"/>
      <c r="K101" s="277">
        <v>31956639.082500808</v>
      </c>
      <c r="L101" s="68">
        <f t="shared" si="17"/>
        <v>20</v>
      </c>
      <c r="M101" s="68"/>
      <c r="N101" s="290">
        <v>1484630422.637706</v>
      </c>
      <c r="O101" s="68">
        <f t="shared" si="18"/>
        <v>22</v>
      </c>
      <c r="P101" s="68"/>
      <c r="Q101" s="276">
        <v>20640097.379099838</v>
      </c>
      <c r="R101" s="68">
        <f t="shared" si="19"/>
        <v>25</v>
      </c>
      <c r="S101" s="68"/>
      <c r="T101" s="56" t="s">
        <v>37</v>
      </c>
      <c r="U101" s="68">
        <f t="shared" si="20"/>
        <v>12.5</v>
      </c>
      <c r="V101" s="68"/>
      <c r="W101" s="69">
        <f t="shared" si="21"/>
        <v>134.5</v>
      </c>
      <c r="X101" s="93" t="str">
        <f t="shared" si="22"/>
        <v>III</v>
      </c>
      <c r="Y101" s="93">
        <f t="shared" si="14"/>
        <v>3</v>
      </c>
      <c r="AA101" s="13"/>
      <c r="AB101" s="132"/>
      <c r="AC101" s="14"/>
      <c r="AD101"/>
    </row>
    <row r="102" spans="1:30">
      <c r="A102" t="s">
        <v>84</v>
      </c>
      <c r="B102" s="110">
        <v>7803200</v>
      </c>
      <c r="C102" s="267" t="s">
        <v>166</v>
      </c>
      <c r="D102" s="55"/>
      <c r="E102" s="92">
        <v>6.1316069740447787</v>
      </c>
      <c r="F102" s="68">
        <f t="shared" si="15"/>
        <v>30</v>
      </c>
      <c r="G102" s="181"/>
      <c r="H102" s="276">
        <v>19347056.347899746</v>
      </c>
      <c r="I102" s="68">
        <f t="shared" si="16"/>
        <v>37.5</v>
      </c>
      <c r="J102" s="181"/>
      <c r="K102" s="277">
        <v>39085301.040806569</v>
      </c>
      <c r="L102" s="68">
        <f t="shared" si="17"/>
        <v>30</v>
      </c>
      <c r="M102" s="68"/>
      <c r="N102" s="290">
        <v>1137581215.8384078</v>
      </c>
      <c r="O102" s="68">
        <f t="shared" si="18"/>
        <v>13</v>
      </c>
      <c r="P102" s="68"/>
      <c r="Q102" s="276">
        <v>0</v>
      </c>
      <c r="R102" s="68">
        <f t="shared" si="19"/>
        <v>0</v>
      </c>
      <c r="S102" s="68"/>
      <c r="T102" s="56" t="s">
        <v>37</v>
      </c>
      <c r="U102" s="68">
        <f t="shared" si="20"/>
        <v>12.5</v>
      </c>
      <c r="V102" s="68"/>
      <c r="W102" s="69">
        <f t="shared" si="21"/>
        <v>123</v>
      </c>
      <c r="X102" s="93" t="str">
        <f t="shared" si="22"/>
        <v>III</v>
      </c>
      <c r="Y102" s="93">
        <f t="shared" si="14"/>
        <v>3</v>
      </c>
      <c r="AA102" s="13"/>
      <c r="AB102" s="132"/>
      <c r="AC102" s="14"/>
      <c r="AD102"/>
    </row>
    <row r="103" spans="1:30">
      <c r="A103" t="s">
        <v>84</v>
      </c>
      <c r="B103" s="110">
        <v>2976200</v>
      </c>
      <c r="C103" s="267" t="s">
        <v>167</v>
      </c>
      <c r="D103" s="55"/>
      <c r="E103" s="92">
        <v>9.6974104610671681</v>
      </c>
      <c r="F103" s="68">
        <f t="shared" si="15"/>
        <v>45</v>
      </c>
      <c r="G103" s="181"/>
      <c r="H103" s="276">
        <v>27485447.114999987</v>
      </c>
      <c r="I103" s="68">
        <f t="shared" si="16"/>
        <v>37.5</v>
      </c>
      <c r="J103" s="181"/>
      <c r="K103" s="277">
        <v>48041935.740297414</v>
      </c>
      <c r="L103" s="68">
        <f t="shared" si="17"/>
        <v>30</v>
      </c>
      <c r="M103" s="68"/>
      <c r="N103" s="290">
        <v>1624965638.3067935</v>
      </c>
      <c r="O103" s="68">
        <f t="shared" si="18"/>
        <v>22</v>
      </c>
      <c r="P103" s="68"/>
      <c r="Q103" s="276">
        <v>34704150.946899928</v>
      </c>
      <c r="R103" s="68">
        <f t="shared" si="19"/>
        <v>25</v>
      </c>
      <c r="S103" s="68"/>
      <c r="T103" s="56" t="s">
        <v>37</v>
      </c>
      <c r="U103" s="68">
        <f t="shared" si="20"/>
        <v>12.5</v>
      </c>
      <c r="V103" s="68"/>
      <c r="W103" s="69">
        <f t="shared" si="21"/>
        <v>172</v>
      </c>
      <c r="X103" s="93" t="str">
        <f t="shared" si="22"/>
        <v>III</v>
      </c>
      <c r="Y103" s="93">
        <f t="shared" si="14"/>
        <v>3</v>
      </c>
      <c r="AA103" s="13"/>
      <c r="AB103" s="132"/>
      <c r="AC103" s="14"/>
      <c r="AD103"/>
    </row>
    <row r="104" spans="1:30">
      <c r="A104" t="s">
        <v>127</v>
      </c>
      <c r="B104" s="110">
        <v>2971000</v>
      </c>
      <c r="C104" s="267" t="s">
        <v>168</v>
      </c>
      <c r="D104" s="55"/>
      <c r="E104" s="92">
        <v>6.4649403073781126</v>
      </c>
      <c r="F104" s="68">
        <f t="shared" si="15"/>
        <v>30</v>
      </c>
      <c r="G104" s="181"/>
      <c r="H104" s="276">
        <v>11637688.712598948</v>
      </c>
      <c r="I104" s="68">
        <f t="shared" si="16"/>
        <v>25</v>
      </c>
      <c r="J104" s="181"/>
      <c r="K104" s="277">
        <v>31156784.170095652</v>
      </c>
      <c r="L104" s="68">
        <f t="shared" si="17"/>
        <v>20</v>
      </c>
      <c r="M104" s="68"/>
      <c r="N104" s="290">
        <v>1215293336.5674984</v>
      </c>
      <c r="O104" s="68">
        <f t="shared" si="18"/>
        <v>13</v>
      </c>
      <c r="P104" s="68"/>
      <c r="Q104" s="276">
        <v>0</v>
      </c>
      <c r="R104" s="68">
        <f t="shared" si="19"/>
        <v>0</v>
      </c>
      <c r="S104" s="68"/>
      <c r="T104" s="56" t="s">
        <v>37</v>
      </c>
      <c r="U104" s="68">
        <f t="shared" si="20"/>
        <v>12.5</v>
      </c>
      <c r="V104" s="68"/>
      <c r="W104" s="69">
        <f t="shared" si="21"/>
        <v>100.5</v>
      </c>
      <c r="X104" s="93" t="str">
        <f t="shared" si="22"/>
        <v>IV</v>
      </c>
      <c r="Y104" s="93">
        <f t="shared" si="14"/>
        <v>4</v>
      </c>
      <c r="AA104" s="13"/>
      <c r="AB104" s="132"/>
      <c r="AC104" s="14"/>
      <c r="AD104"/>
    </row>
    <row r="105" spans="1:30">
      <c r="A105" t="s">
        <v>75</v>
      </c>
      <c r="B105" s="110">
        <v>7775200</v>
      </c>
      <c r="C105" s="267" t="s">
        <v>169</v>
      </c>
      <c r="D105" s="55"/>
      <c r="E105" s="92">
        <v>8.2594385343496839</v>
      </c>
      <c r="F105" s="68">
        <f t="shared" si="15"/>
        <v>45</v>
      </c>
      <c r="G105" s="181"/>
      <c r="H105" s="276">
        <v>35105110.74659846</v>
      </c>
      <c r="I105" s="68">
        <f t="shared" si="16"/>
        <v>62.5</v>
      </c>
      <c r="J105" s="181"/>
      <c r="K105" s="277">
        <v>55584437.094198391</v>
      </c>
      <c r="L105" s="68">
        <f t="shared" si="17"/>
        <v>30</v>
      </c>
      <c r="M105" s="68"/>
      <c r="N105" s="290">
        <v>2002486499.685509</v>
      </c>
      <c r="O105" s="68">
        <f t="shared" si="18"/>
        <v>22</v>
      </c>
      <c r="P105" s="68"/>
      <c r="Q105" s="276">
        <v>16724780.870799867</v>
      </c>
      <c r="R105" s="68">
        <f t="shared" si="19"/>
        <v>25</v>
      </c>
      <c r="S105" s="68"/>
      <c r="T105" s="56" t="s">
        <v>37</v>
      </c>
      <c r="U105" s="68">
        <f t="shared" si="20"/>
        <v>12.5</v>
      </c>
      <c r="V105" s="68"/>
      <c r="W105" s="69">
        <f t="shared" si="21"/>
        <v>197</v>
      </c>
      <c r="X105" s="93" t="str">
        <f t="shared" si="22"/>
        <v>II</v>
      </c>
      <c r="Y105" s="93">
        <f t="shared" si="14"/>
        <v>2</v>
      </c>
      <c r="AA105" s="13"/>
      <c r="AB105" s="132"/>
      <c r="AC105" s="14"/>
      <c r="AD105"/>
    </row>
    <row r="106" spans="1:30">
      <c r="A106" t="s">
        <v>127</v>
      </c>
      <c r="B106" s="110">
        <v>7751200</v>
      </c>
      <c r="C106" s="267" t="s">
        <v>170</v>
      </c>
      <c r="D106" s="55"/>
      <c r="E106" s="92">
        <v>5.5889964539431451</v>
      </c>
      <c r="F106" s="68">
        <f t="shared" si="15"/>
        <v>30</v>
      </c>
      <c r="G106" s="181"/>
      <c r="H106" s="276">
        <v>8210723.8583999854</v>
      </c>
      <c r="I106" s="68">
        <f t="shared" si="16"/>
        <v>25</v>
      </c>
      <c r="J106" s="181"/>
      <c r="K106" s="277">
        <v>21971136.680900894</v>
      </c>
      <c r="L106" s="68">
        <f t="shared" si="17"/>
        <v>20</v>
      </c>
      <c r="M106" s="68"/>
      <c r="N106" s="290">
        <v>870142062.75650001</v>
      </c>
      <c r="O106" s="68">
        <f t="shared" si="18"/>
        <v>13</v>
      </c>
      <c r="P106" s="68"/>
      <c r="Q106" s="276">
        <v>3892755.8887999938</v>
      </c>
      <c r="R106" s="68">
        <f t="shared" si="19"/>
        <v>7.5</v>
      </c>
      <c r="S106" s="68"/>
      <c r="T106" s="56" t="s">
        <v>37</v>
      </c>
      <c r="U106" s="68">
        <f t="shared" si="20"/>
        <v>12.5</v>
      </c>
      <c r="V106" s="68"/>
      <c r="W106" s="69">
        <f t="shared" si="21"/>
        <v>108</v>
      </c>
      <c r="X106" s="93" t="str">
        <f t="shared" si="22"/>
        <v>IV</v>
      </c>
      <c r="Y106" s="93">
        <f t="shared" si="14"/>
        <v>4</v>
      </c>
      <c r="AA106" s="13"/>
      <c r="AB106" s="132"/>
      <c r="AC106" s="14"/>
      <c r="AD106"/>
    </row>
    <row r="107" spans="1:30">
      <c r="A107" t="s">
        <v>75</v>
      </c>
      <c r="B107" s="110">
        <v>2941500</v>
      </c>
      <c r="C107" s="267" t="s">
        <v>171</v>
      </c>
      <c r="D107" s="55"/>
      <c r="E107" s="92">
        <v>13.451626030645102</v>
      </c>
      <c r="F107" s="68">
        <f t="shared" si="15"/>
        <v>75</v>
      </c>
      <c r="G107" s="181"/>
      <c r="H107" s="276">
        <v>54597783.444594733</v>
      </c>
      <c r="I107" s="68">
        <f t="shared" si="16"/>
        <v>62.5</v>
      </c>
      <c r="J107" s="181"/>
      <c r="K107" s="277">
        <v>137513534.4087165</v>
      </c>
      <c r="L107" s="68">
        <f t="shared" si="17"/>
        <v>100</v>
      </c>
      <c r="M107" s="68"/>
      <c r="N107" s="290">
        <v>3041306113.2662301</v>
      </c>
      <c r="O107" s="68">
        <f t="shared" si="18"/>
        <v>75</v>
      </c>
      <c r="P107" s="68"/>
      <c r="Q107" s="276">
        <v>23538009.433199745</v>
      </c>
      <c r="R107" s="68">
        <f t="shared" si="19"/>
        <v>25</v>
      </c>
      <c r="S107" s="68"/>
      <c r="T107" s="56" t="s">
        <v>37</v>
      </c>
      <c r="U107" s="68">
        <f t="shared" si="20"/>
        <v>12.5</v>
      </c>
      <c r="V107" s="68"/>
      <c r="W107" s="69">
        <f t="shared" si="21"/>
        <v>350</v>
      </c>
      <c r="X107" s="93" t="str">
        <f t="shared" si="22"/>
        <v>I</v>
      </c>
      <c r="Y107" s="93">
        <f t="shared" si="14"/>
        <v>1</v>
      </c>
      <c r="AA107" s="13"/>
      <c r="AB107" s="132"/>
      <c r="AC107" s="14"/>
      <c r="AD107"/>
    </row>
    <row r="108" spans="1:30">
      <c r="A108" t="s">
        <v>127</v>
      </c>
      <c r="B108" s="110">
        <v>2975500</v>
      </c>
      <c r="C108" s="267" t="s">
        <v>172</v>
      </c>
      <c r="D108" s="55"/>
      <c r="E108" s="92">
        <v>6.1316069740447787</v>
      </c>
      <c r="F108" s="68">
        <f t="shared" si="15"/>
        <v>30</v>
      </c>
      <c r="G108" s="181"/>
      <c r="H108" s="276">
        <v>14581384.364999898</v>
      </c>
      <c r="I108" s="68">
        <f t="shared" si="16"/>
        <v>25</v>
      </c>
      <c r="J108" s="181"/>
      <c r="K108" s="277">
        <v>31435855.507401638</v>
      </c>
      <c r="L108" s="68">
        <f t="shared" si="17"/>
        <v>20</v>
      </c>
      <c r="M108" s="68"/>
      <c r="N108" s="290">
        <v>1196022805.0617976</v>
      </c>
      <c r="O108" s="68">
        <f t="shared" si="18"/>
        <v>13</v>
      </c>
      <c r="P108" s="68"/>
      <c r="Q108" s="276">
        <v>0</v>
      </c>
      <c r="R108" s="68">
        <f t="shared" si="19"/>
        <v>0</v>
      </c>
      <c r="S108" s="68"/>
      <c r="T108" s="56" t="s">
        <v>37</v>
      </c>
      <c r="U108" s="68">
        <f t="shared" si="20"/>
        <v>12.5</v>
      </c>
      <c r="V108" s="68"/>
      <c r="W108" s="69">
        <f t="shared" si="21"/>
        <v>100.5</v>
      </c>
      <c r="X108" s="93" t="str">
        <f t="shared" si="22"/>
        <v>IV</v>
      </c>
      <c r="Y108" s="93">
        <f t="shared" si="14"/>
        <v>4</v>
      </c>
      <c r="AA108" s="13"/>
      <c r="AB108" s="132"/>
      <c r="AC108" s="14"/>
      <c r="AD108"/>
    </row>
    <row r="109" spans="1:30">
      <c r="A109" t="s">
        <v>84</v>
      </c>
      <c r="B109" s="110">
        <v>2992200</v>
      </c>
      <c r="C109" s="267" t="s">
        <v>173</v>
      </c>
      <c r="D109" s="55"/>
      <c r="E109" s="92">
        <v>18.632276442903144</v>
      </c>
      <c r="F109" s="68">
        <f t="shared" si="15"/>
        <v>150</v>
      </c>
      <c r="G109" s="181"/>
      <c r="H109" s="276">
        <v>0</v>
      </c>
      <c r="I109" s="68">
        <f t="shared" si="16"/>
        <v>0</v>
      </c>
      <c r="J109" s="181"/>
      <c r="K109" s="277">
        <v>0</v>
      </c>
      <c r="L109" s="68">
        <f t="shared" si="17"/>
        <v>0</v>
      </c>
      <c r="M109" s="68"/>
      <c r="N109" s="290">
        <v>0</v>
      </c>
      <c r="O109" s="68">
        <f t="shared" si="18"/>
        <v>0</v>
      </c>
      <c r="P109" s="68"/>
      <c r="Q109" s="276">
        <v>0</v>
      </c>
      <c r="R109" s="68">
        <f t="shared" si="19"/>
        <v>0</v>
      </c>
      <c r="S109" s="68"/>
      <c r="T109" s="56" t="s">
        <v>37</v>
      </c>
      <c r="U109" s="68">
        <f t="shared" si="20"/>
        <v>12.5</v>
      </c>
      <c r="V109" s="68"/>
      <c r="W109" s="69">
        <f t="shared" si="21"/>
        <v>162.5</v>
      </c>
      <c r="X109" s="93" t="str">
        <f t="shared" si="22"/>
        <v>III</v>
      </c>
      <c r="Y109" s="93">
        <f t="shared" si="14"/>
        <v>3</v>
      </c>
      <c r="AA109" s="13"/>
      <c r="AB109" s="132"/>
      <c r="AC109" s="14"/>
      <c r="AD109"/>
    </row>
    <row r="110" spans="1:30">
      <c r="A110" t="s">
        <v>69</v>
      </c>
      <c r="B110" s="110">
        <v>6174200</v>
      </c>
      <c r="C110" s="267" t="s">
        <v>174</v>
      </c>
      <c r="D110" s="55"/>
      <c r="E110" s="92">
        <v>18.632276442903144</v>
      </c>
      <c r="F110" s="68">
        <f t="shared" si="15"/>
        <v>150</v>
      </c>
      <c r="G110" s="181"/>
      <c r="H110" s="276">
        <v>157248287.92089641</v>
      </c>
      <c r="I110" s="68">
        <f t="shared" si="16"/>
        <v>125</v>
      </c>
      <c r="J110" s="181"/>
      <c r="K110" s="277">
        <v>132491419.45329326</v>
      </c>
      <c r="L110" s="68">
        <f t="shared" si="17"/>
        <v>100</v>
      </c>
      <c r="M110" s="68"/>
      <c r="N110" s="290">
        <v>2106684968.2798004</v>
      </c>
      <c r="O110" s="68">
        <f t="shared" si="18"/>
        <v>22</v>
      </c>
      <c r="P110" s="68"/>
      <c r="Q110" s="276">
        <v>0</v>
      </c>
      <c r="R110" s="68">
        <f t="shared" si="19"/>
        <v>0</v>
      </c>
      <c r="S110" s="68"/>
      <c r="T110" s="56" t="s">
        <v>32</v>
      </c>
      <c r="U110" s="68">
        <f t="shared" si="20"/>
        <v>25</v>
      </c>
      <c r="V110" s="68"/>
      <c r="W110" s="69">
        <f t="shared" si="21"/>
        <v>422</v>
      </c>
      <c r="X110" s="93" t="str">
        <f t="shared" si="22"/>
        <v>I</v>
      </c>
      <c r="Y110" s="93">
        <f t="shared" si="14"/>
        <v>1</v>
      </c>
      <c r="AA110" s="13"/>
      <c r="AB110" s="132"/>
      <c r="AC110" s="14"/>
      <c r="AD110"/>
    </row>
    <row r="111" spans="1:30">
      <c r="A111" t="s">
        <v>69</v>
      </c>
      <c r="B111" s="110">
        <v>6173200</v>
      </c>
      <c r="C111" s="267" t="s">
        <v>175</v>
      </c>
      <c r="D111" s="55"/>
      <c r="E111" s="92">
        <v>18.632276442903144</v>
      </c>
      <c r="F111" s="68">
        <f t="shared" si="15"/>
        <v>150</v>
      </c>
      <c r="G111" s="181"/>
      <c r="H111" s="276">
        <v>173799773.11819217</v>
      </c>
      <c r="I111" s="68">
        <f t="shared" si="16"/>
        <v>125</v>
      </c>
      <c r="J111" s="181"/>
      <c r="K111" s="277">
        <v>144470978.76699376</v>
      </c>
      <c r="L111" s="68">
        <f t="shared" si="17"/>
        <v>100</v>
      </c>
      <c r="M111" s="68"/>
      <c r="N111" s="290">
        <v>1888727720.011905</v>
      </c>
      <c r="O111" s="68">
        <f t="shared" si="18"/>
        <v>22</v>
      </c>
      <c r="P111" s="68"/>
      <c r="Q111" s="276">
        <v>0</v>
      </c>
      <c r="R111" s="68">
        <f t="shared" si="19"/>
        <v>0</v>
      </c>
      <c r="S111" s="68"/>
      <c r="T111" s="56" t="s">
        <v>32</v>
      </c>
      <c r="U111" s="68">
        <f t="shared" si="20"/>
        <v>25</v>
      </c>
      <c r="V111" s="68"/>
      <c r="W111" s="69">
        <f t="shared" si="21"/>
        <v>422</v>
      </c>
      <c r="X111" s="93" t="str">
        <f t="shared" si="22"/>
        <v>I</v>
      </c>
      <c r="Y111" s="93">
        <f t="shared" si="14"/>
        <v>1</v>
      </c>
      <c r="AA111" s="13"/>
      <c r="AB111" s="132"/>
      <c r="AC111" s="14"/>
      <c r="AD111"/>
    </row>
    <row r="112" spans="1:30">
      <c r="A112" t="s">
        <v>69</v>
      </c>
      <c r="B112" s="110">
        <v>6174300</v>
      </c>
      <c r="C112" s="267" t="s">
        <v>176</v>
      </c>
      <c r="D112" s="55"/>
      <c r="E112" s="92">
        <v>9.6974104610671681</v>
      </c>
      <c r="F112" s="68">
        <f t="shared" si="15"/>
        <v>45</v>
      </c>
      <c r="G112" s="181"/>
      <c r="H112" s="276">
        <v>25901260.039099991</v>
      </c>
      <c r="I112" s="68">
        <f t="shared" si="16"/>
        <v>37.5</v>
      </c>
      <c r="J112" s="181"/>
      <c r="K112" s="277">
        <v>51103556.058996946</v>
      </c>
      <c r="L112" s="68">
        <f t="shared" si="17"/>
        <v>30</v>
      </c>
      <c r="M112" s="68"/>
      <c r="N112" s="290">
        <v>1636359762.7674069</v>
      </c>
      <c r="O112" s="68">
        <f t="shared" si="18"/>
        <v>22</v>
      </c>
      <c r="P112" s="68"/>
      <c r="Q112" s="276">
        <v>0</v>
      </c>
      <c r="R112" s="68">
        <f t="shared" si="19"/>
        <v>0</v>
      </c>
      <c r="S112" s="68"/>
      <c r="T112" s="56" t="s">
        <v>37</v>
      </c>
      <c r="U112" s="68">
        <f t="shared" si="20"/>
        <v>12.5</v>
      </c>
      <c r="V112" s="68"/>
      <c r="W112" s="69">
        <f t="shared" si="21"/>
        <v>147</v>
      </c>
      <c r="X112" s="93" t="str">
        <f t="shared" si="22"/>
        <v>III</v>
      </c>
      <c r="Y112" s="93">
        <f t="shared" si="14"/>
        <v>3</v>
      </c>
      <c r="AA112" s="13"/>
      <c r="AB112" s="132"/>
      <c r="AC112" s="14"/>
      <c r="AD112"/>
    </row>
    <row r="113" spans="1:30">
      <c r="A113" t="s">
        <v>69</v>
      </c>
      <c r="B113" s="110">
        <v>6172500</v>
      </c>
      <c r="C113" s="267" t="s">
        <v>177</v>
      </c>
      <c r="D113" s="55"/>
      <c r="E113" s="92">
        <v>8.2168280142480494</v>
      </c>
      <c r="F113" s="68">
        <f t="shared" si="15"/>
        <v>45</v>
      </c>
      <c r="G113" s="181"/>
      <c r="H113" s="276">
        <v>28688349.887599092</v>
      </c>
      <c r="I113" s="68">
        <f t="shared" si="16"/>
        <v>37.5</v>
      </c>
      <c r="J113" s="181"/>
      <c r="K113" s="277">
        <v>57125346.800000593</v>
      </c>
      <c r="L113" s="68">
        <f t="shared" si="17"/>
        <v>30</v>
      </c>
      <c r="M113" s="68"/>
      <c r="N113" s="290">
        <v>2700698741.275497</v>
      </c>
      <c r="O113" s="68">
        <f t="shared" si="18"/>
        <v>40</v>
      </c>
      <c r="P113" s="68"/>
      <c r="Q113" s="276">
        <v>16700543.589399906</v>
      </c>
      <c r="R113" s="68">
        <f t="shared" si="19"/>
        <v>25</v>
      </c>
      <c r="S113" s="68"/>
      <c r="T113" s="56" t="s">
        <v>37</v>
      </c>
      <c r="U113" s="68">
        <f t="shared" si="20"/>
        <v>12.5</v>
      </c>
      <c r="V113" s="68"/>
      <c r="W113" s="69">
        <f t="shared" si="21"/>
        <v>190</v>
      </c>
      <c r="X113" s="93" t="str">
        <f t="shared" si="22"/>
        <v>III</v>
      </c>
      <c r="Y113" s="93">
        <f t="shared" si="14"/>
        <v>3</v>
      </c>
      <c r="AA113" s="13"/>
      <c r="AB113" s="132"/>
      <c r="AC113" s="14"/>
      <c r="AD113"/>
    </row>
    <row r="114" spans="1:30">
      <c r="A114" t="s">
        <v>103</v>
      </c>
      <c r="B114" s="110">
        <v>4137500</v>
      </c>
      <c r="C114" s="267" t="s">
        <v>178</v>
      </c>
      <c r="D114" s="55"/>
      <c r="E114" s="92">
        <v>7.9455227541972313</v>
      </c>
      <c r="F114" s="68">
        <f t="shared" si="15"/>
        <v>45</v>
      </c>
      <c r="G114" s="181"/>
      <c r="H114" s="276">
        <v>27810128.966701075</v>
      </c>
      <c r="I114" s="68">
        <f t="shared" si="16"/>
        <v>37.5</v>
      </c>
      <c r="J114" s="181"/>
      <c r="K114" s="277">
        <v>60781050.522099406</v>
      </c>
      <c r="L114" s="68">
        <f t="shared" si="17"/>
        <v>30</v>
      </c>
      <c r="M114" s="68"/>
      <c r="N114" s="290">
        <v>1766553682.9658017</v>
      </c>
      <c r="O114" s="68">
        <f t="shared" si="18"/>
        <v>22</v>
      </c>
      <c r="P114" s="68"/>
      <c r="Q114" s="276">
        <v>0</v>
      </c>
      <c r="R114" s="68">
        <f t="shared" si="19"/>
        <v>0</v>
      </c>
      <c r="S114" s="68"/>
      <c r="T114" s="56" t="s">
        <v>37</v>
      </c>
      <c r="U114" s="68">
        <f t="shared" si="20"/>
        <v>12.5</v>
      </c>
      <c r="V114" s="68"/>
      <c r="W114" s="69">
        <f t="shared" si="21"/>
        <v>147</v>
      </c>
      <c r="X114" s="93" t="str">
        <f t="shared" si="22"/>
        <v>III</v>
      </c>
      <c r="Y114" s="93">
        <f t="shared" si="14"/>
        <v>3</v>
      </c>
      <c r="AA114" s="13"/>
      <c r="AB114" s="132"/>
      <c r="AC114" s="14"/>
      <c r="AD114"/>
    </row>
    <row r="115" spans="1:30">
      <c r="A115" t="s">
        <v>82</v>
      </c>
      <c r="B115" s="110">
        <v>7337500</v>
      </c>
      <c r="C115" s="267" t="s">
        <v>179</v>
      </c>
      <c r="D115" s="55"/>
      <c r="E115" s="92">
        <v>3.0658034870223894</v>
      </c>
      <c r="F115" s="68">
        <f t="shared" si="15"/>
        <v>30</v>
      </c>
      <c r="G115" s="181"/>
      <c r="H115" s="276">
        <v>2878240.7544999984</v>
      </c>
      <c r="I115" s="68">
        <f t="shared" si="16"/>
        <v>25</v>
      </c>
      <c r="J115" s="181"/>
      <c r="K115" s="277">
        <v>35855556.392799638</v>
      </c>
      <c r="L115" s="68">
        <f t="shared" si="17"/>
        <v>20</v>
      </c>
      <c r="M115" s="68"/>
      <c r="N115" s="290">
        <v>975245249.56270158</v>
      </c>
      <c r="O115" s="68">
        <f t="shared" si="18"/>
        <v>13</v>
      </c>
      <c r="P115" s="68"/>
      <c r="Q115" s="276">
        <v>0</v>
      </c>
      <c r="R115" s="68">
        <f t="shared" si="19"/>
        <v>0</v>
      </c>
      <c r="S115" s="68"/>
      <c r="T115" s="56" t="s">
        <v>37</v>
      </c>
      <c r="U115" s="68">
        <f t="shared" si="20"/>
        <v>12.5</v>
      </c>
      <c r="V115" s="68"/>
      <c r="W115" s="69">
        <f t="shared" si="21"/>
        <v>100.5</v>
      </c>
      <c r="X115" s="93" t="str">
        <f t="shared" si="22"/>
        <v>IV</v>
      </c>
      <c r="Y115" s="93">
        <f t="shared" si="14"/>
        <v>4</v>
      </c>
      <c r="AA115" s="13"/>
      <c r="AB115" s="132"/>
      <c r="AC115" s="14"/>
      <c r="AD115"/>
    </row>
    <row r="116" spans="1:30">
      <c r="A116" t="s">
        <v>103</v>
      </c>
      <c r="B116" s="110">
        <v>4159600</v>
      </c>
      <c r="C116" s="267" t="s">
        <v>180</v>
      </c>
      <c r="D116" s="55"/>
      <c r="E116" s="92">
        <v>5.4126210106860366</v>
      </c>
      <c r="F116" s="68">
        <f t="shared" si="15"/>
        <v>30</v>
      </c>
      <c r="G116" s="181"/>
      <c r="H116" s="276">
        <v>0</v>
      </c>
      <c r="I116" s="68">
        <f t="shared" si="16"/>
        <v>0</v>
      </c>
      <c r="J116" s="181"/>
      <c r="K116" s="277">
        <v>0</v>
      </c>
      <c r="L116" s="68">
        <f t="shared" si="17"/>
        <v>0</v>
      </c>
      <c r="M116" s="68"/>
      <c r="N116" s="290">
        <v>0</v>
      </c>
      <c r="O116" s="68">
        <f t="shared" si="18"/>
        <v>0</v>
      </c>
      <c r="P116" s="68"/>
      <c r="Q116" s="276">
        <v>0</v>
      </c>
      <c r="R116" s="68">
        <f t="shared" si="19"/>
        <v>0</v>
      </c>
      <c r="S116" s="68"/>
      <c r="T116" s="56" t="s">
        <v>37</v>
      </c>
      <c r="U116" s="68">
        <f t="shared" si="20"/>
        <v>12.5</v>
      </c>
      <c r="V116" s="68"/>
      <c r="W116" s="69">
        <f t="shared" si="21"/>
        <v>42.5</v>
      </c>
      <c r="X116" s="93" t="str">
        <f t="shared" si="22"/>
        <v>IV</v>
      </c>
      <c r="Y116" s="93">
        <f t="shared" si="14"/>
        <v>4</v>
      </c>
      <c r="AA116" s="13"/>
      <c r="AB116" s="132"/>
      <c r="AC116" s="14"/>
      <c r="AD116"/>
    </row>
    <row r="117" spans="1:30">
      <c r="A117" t="s">
        <v>99</v>
      </c>
      <c r="B117" s="110">
        <v>5937200</v>
      </c>
      <c r="C117" s="267" t="s">
        <v>181</v>
      </c>
      <c r="D117" s="55"/>
      <c r="E117" s="92">
        <v>5.4126210106860366</v>
      </c>
      <c r="F117" s="68">
        <f t="shared" si="15"/>
        <v>30</v>
      </c>
      <c r="G117" s="181"/>
      <c r="H117" s="276">
        <v>12546350.876699993</v>
      </c>
      <c r="I117" s="68">
        <f t="shared" si="16"/>
        <v>25</v>
      </c>
      <c r="J117" s="181"/>
      <c r="K117" s="277">
        <v>24659652.039599877</v>
      </c>
      <c r="L117" s="68">
        <f t="shared" si="17"/>
        <v>20</v>
      </c>
      <c r="M117" s="68"/>
      <c r="N117" s="290">
        <v>1277519826.6702015</v>
      </c>
      <c r="O117" s="68">
        <f t="shared" si="18"/>
        <v>13</v>
      </c>
      <c r="P117" s="68"/>
      <c r="Q117" s="276">
        <v>0</v>
      </c>
      <c r="R117" s="68">
        <f t="shared" si="19"/>
        <v>0</v>
      </c>
      <c r="S117" s="68"/>
      <c r="T117" s="56" t="s">
        <v>37</v>
      </c>
      <c r="U117" s="68">
        <f t="shared" si="20"/>
        <v>12.5</v>
      </c>
      <c r="V117" s="68"/>
      <c r="W117" s="69">
        <f t="shared" si="21"/>
        <v>100.5</v>
      </c>
      <c r="X117" s="93" t="str">
        <f t="shared" si="22"/>
        <v>IV</v>
      </c>
      <c r="Y117" s="93">
        <f t="shared" si="14"/>
        <v>4</v>
      </c>
      <c r="AA117" s="13"/>
      <c r="AB117" s="132"/>
      <c r="AC117" s="14"/>
      <c r="AD117"/>
    </row>
    <row r="118" spans="1:30">
      <c r="A118" t="s">
        <v>67</v>
      </c>
      <c r="B118" s="110">
        <v>3939800</v>
      </c>
      <c r="C118" s="267" t="s">
        <v>182</v>
      </c>
      <c r="D118" s="55"/>
      <c r="E118" s="92">
        <v>9.6974104610671681</v>
      </c>
      <c r="F118" s="68">
        <f t="shared" si="15"/>
        <v>45</v>
      </c>
      <c r="G118" s="181"/>
      <c r="H118" s="276">
        <v>28507507.205400072</v>
      </c>
      <c r="I118" s="68">
        <f t="shared" si="16"/>
        <v>37.5</v>
      </c>
      <c r="J118" s="181"/>
      <c r="K118" s="277">
        <v>61846800.07980141</v>
      </c>
      <c r="L118" s="68">
        <f t="shared" si="17"/>
        <v>50</v>
      </c>
      <c r="M118" s="68"/>
      <c r="N118" s="290">
        <v>2744624411.6727996</v>
      </c>
      <c r="O118" s="68">
        <f t="shared" si="18"/>
        <v>40</v>
      </c>
      <c r="P118" s="68"/>
      <c r="Q118" s="276">
        <v>7646792.3749000132</v>
      </c>
      <c r="R118" s="68">
        <f t="shared" si="19"/>
        <v>12.5</v>
      </c>
      <c r="S118" s="68"/>
      <c r="T118" s="56" t="s">
        <v>37</v>
      </c>
      <c r="U118" s="68">
        <f t="shared" si="20"/>
        <v>12.5</v>
      </c>
      <c r="V118" s="68"/>
      <c r="W118" s="69">
        <f t="shared" si="21"/>
        <v>197.5</v>
      </c>
      <c r="X118" s="93" t="str">
        <f t="shared" si="22"/>
        <v>II</v>
      </c>
      <c r="Y118" s="93">
        <f t="shared" si="14"/>
        <v>2</v>
      </c>
      <c r="AA118" s="13"/>
      <c r="AB118" s="132"/>
      <c r="AC118" s="14"/>
      <c r="AD118"/>
    </row>
    <row r="119" spans="1:30">
      <c r="A119" t="s">
        <v>77</v>
      </c>
      <c r="B119" s="110">
        <v>3465900</v>
      </c>
      <c r="C119" s="267" t="s">
        <v>183</v>
      </c>
      <c r="D119" s="55"/>
      <c r="E119" s="92">
        <v>8.7594385343496839</v>
      </c>
      <c r="F119" s="68">
        <f t="shared" si="15"/>
        <v>45</v>
      </c>
      <c r="G119" s="181"/>
      <c r="H119" s="276">
        <v>26103684.420002051</v>
      </c>
      <c r="I119" s="68">
        <f t="shared" si="16"/>
        <v>37.5</v>
      </c>
      <c r="J119" s="181"/>
      <c r="K119" s="277">
        <v>57991016.019101344</v>
      </c>
      <c r="L119" s="68">
        <f t="shared" si="17"/>
        <v>30</v>
      </c>
      <c r="M119" s="68"/>
      <c r="N119" s="290">
        <v>2941350819.6816936</v>
      </c>
      <c r="O119" s="68">
        <f t="shared" si="18"/>
        <v>75</v>
      </c>
      <c r="P119" s="68"/>
      <c r="Q119" s="276">
        <v>16048602.891799867</v>
      </c>
      <c r="R119" s="68">
        <f t="shared" si="19"/>
        <v>25</v>
      </c>
      <c r="S119" s="68"/>
      <c r="T119" s="56" t="s">
        <v>37</v>
      </c>
      <c r="U119" s="68">
        <f t="shared" si="20"/>
        <v>12.5</v>
      </c>
      <c r="V119" s="68"/>
      <c r="W119" s="69">
        <f t="shared" si="21"/>
        <v>225</v>
      </c>
      <c r="X119" s="93" t="str">
        <f t="shared" si="22"/>
        <v>II</v>
      </c>
      <c r="Y119" s="93">
        <f t="shared" si="14"/>
        <v>2</v>
      </c>
      <c r="AA119" s="13"/>
      <c r="AB119" s="132"/>
      <c r="AC119" s="14"/>
      <c r="AD119"/>
    </row>
    <row r="120" spans="1:30">
      <c r="A120" t="s">
        <v>82</v>
      </c>
      <c r="B120" s="110">
        <v>7136500</v>
      </c>
      <c r="C120" s="267" t="s">
        <v>184</v>
      </c>
      <c r="D120" s="55"/>
      <c r="E120" s="92">
        <v>2.9611648936382382</v>
      </c>
      <c r="F120" s="68">
        <f t="shared" si="15"/>
        <v>30</v>
      </c>
      <c r="G120" s="181"/>
      <c r="H120" s="276">
        <v>850889.90289999952</v>
      </c>
      <c r="I120" s="68">
        <f t="shared" si="16"/>
        <v>25</v>
      </c>
      <c r="J120" s="181"/>
      <c r="K120" s="277">
        <v>19758922.650304012</v>
      </c>
      <c r="L120" s="68">
        <f t="shared" si="17"/>
        <v>20</v>
      </c>
      <c r="M120" s="68"/>
      <c r="N120" s="290">
        <v>1119687058.4110014</v>
      </c>
      <c r="O120" s="68">
        <f t="shared" si="18"/>
        <v>13</v>
      </c>
      <c r="P120" s="68"/>
      <c r="Q120" s="276">
        <v>0</v>
      </c>
      <c r="R120" s="68">
        <f t="shared" si="19"/>
        <v>0</v>
      </c>
      <c r="S120" s="68"/>
      <c r="T120" s="56" t="s">
        <v>37</v>
      </c>
      <c r="U120" s="68">
        <f t="shared" si="20"/>
        <v>12.5</v>
      </c>
      <c r="V120" s="68"/>
      <c r="W120" s="69">
        <f t="shared" si="21"/>
        <v>100.5</v>
      </c>
      <c r="X120" s="93" t="str">
        <f t="shared" si="22"/>
        <v>IV</v>
      </c>
      <c r="Y120" s="93">
        <f t="shared" si="14"/>
        <v>4</v>
      </c>
      <c r="AA120" s="13"/>
      <c r="AB120" s="132"/>
      <c r="AC120" s="14"/>
      <c r="AD120"/>
    </row>
    <row r="121" spans="1:30">
      <c r="A121" t="s">
        <v>82</v>
      </c>
      <c r="B121" s="110">
        <v>7143500</v>
      </c>
      <c r="C121" s="267" t="s">
        <v>185</v>
      </c>
      <c r="D121" s="55"/>
      <c r="E121" s="92">
        <v>13.284959363978436</v>
      </c>
      <c r="F121" s="68">
        <f t="shared" si="15"/>
        <v>75</v>
      </c>
      <c r="G121" s="181"/>
      <c r="H121" s="276">
        <v>31300076.525199473</v>
      </c>
      <c r="I121" s="68">
        <f t="shared" si="16"/>
        <v>37.5</v>
      </c>
      <c r="J121" s="181"/>
      <c r="K121" s="277">
        <v>69250889.825993448</v>
      </c>
      <c r="L121" s="68">
        <f t="shared" si="17"/>
        <v>50</v>
      </c>
      <c r="M121" s="68"/>
      <c r="N121" s="290">
        <v>2732451202.5524096</v>
      </c>
      <c r="O121" s="68">
        <f t="shared" si="18"/>
        <v>40</v>
      </c>
      <c r="P121" s="68"/>
      <c r="Q121" s="276">
        <v>0</v>
      </c>
      <c r="R121" s="68">
        <f t="shared" si="19"/>
        <v>0</v>
      </c>
      <c r="S121" s="68"/>
      <c r="T121" s="56" t="s">
        <v>37</v>
      </c>
      <c r="U121" s="68">
        <f t="shared" si="20"/>
        <v>12.5</v>
      </c>
      <c r="V121" s="68"/>
      <c r="W121" s="69">
        <f t="shared" si="21"/>
        <v>215</v>
      </c>
      <c r="X121" s="93" t="str">
        <f t="shared" si="22"/>
        <v>II</v>
      </c>
      <c r="Y121" s="93">
        <f t="shared" si="14"/>
        <v>2</v>
      </c>
      <c r="AA121" s="13"/>
      <c r="AB121" s="132"/>
      <c r="AC121" s="14"/>
      <c r="AD121"/>
    </row>
    <row r="122" spans="1:30">
      <c r="A122" t="s">
        <v>82</v>
      </c>
      <c r="B122" s="110">
        <v>7139800</v>
      </c>
      <c r="C122" s="267" t="s">
        <v>186</v>
      </c>
      <c r="D122" s="55"/>
      <c r="E122" s="92">
        <v>8.3834946809147155</v>
      </c>
      <c r="F122" s="68">
        <f t="shared" si="15"/>
        <v>45</v>
      </c>
      <c r="G122" s="181"/>
      <c r="H122" s="276">
        <v>27086278.768501595</v>
      </c>
      <c r="I122" s="68">
        <f t="shared" si="16"/>
        <v>37.5</v>
      </c>
      <c r="J122" s="181"/>
      <c r="K122" s="277">
        <v>39623688.427902453</v>
      </c>
      <c r="L122" s="68">
        <f t="shared" si="17"/>
        <v>30</v>
      </c>
      <c r="M122" s="68"/>
      <c r="N122" s="290">
        <v>2182135147.8878031</v>
      </c>
      <c r="O122" s="68">
        <f t="shared" si="18"/>
        <v>40</v>
      </c>
      <c r="P122" s="68"/>
      <c r="Q122" s="276">
        <v>0</v>
      </c>
      <c r="R122" s="68">
        <f t="shared" si="19"/>
        <v>0</v>
      </c>
      <c r="S122" s="68"/>
      <c r="T122" s="56" t="s">
        <v>37</v>
      </c>
      <c r="U122" s="68">
        <f t="shared" si="20"/>
        <v>12.5</v>
      </c>
      <c r="V122" s="68"/>
      <c r="W122" s="69">
        <f t="shared" si="21"/>
        <v>165</v>
      </c>
      <c r="X122" s="93" t="str">
        <f t="shared" si="22"/>
        <v>III</v>
      </c>
      <c r="Y122" s="93">
        <f t="shared" si="14"/>
        <v>3</v>
      </c>
      <c r="AA122" s="13"/>
      <c r="AB122" s="132"/>
      <c r="AC122" s="14"/>
      <c r="AD122"/>
    </row>
    <row r="123" spans="1:30">
      <c r="A123" t="s">
        <v>105</v>
      </c>
      <c r="B123" s="110">
        <v>7140900</v>
      </c>
      <c r="C123" s="267" t="s">
        <v>187</v>
      </c>
      <c r="D123" s="55"/>
      <c r="E123" s="92">
        <v>6.5066069740447787</v>
      </c>
      <c r="F123" s="68">
        <f t="shared" si="15"/>
        <v>30</v>
      </c>
      <c r="G123" s="181"/>
      <c r="H123" s="276">
        <v>18417648.3605</v>
      </c>
      <c r="I123" s="68">
        <f t="shared" si="16"/>
        <v>37.5</v>
      </c>
      <c r="J123" s="181"/>
      <c r="K123" s="277">
        <v>41229519.324591525</v>
      </c>
      <c r="L123" s="68">
        <f t="shared" si="17"/>
        <v>30</v>
      </c>
      <c r="M123" s="68"/>
      <c r="N123" s="290">
        <v>2233800642.4232135</v>
      </c>
      <c r="O123" s="68">
        <f t="shared" si="18"/>
        <v>40</v>
      </c>
      <c r="P123" s="68"/>
      <c r="Q123" s="276">
        <v>10979735.007299988</v>
      </c>
      <c r="R123" s="68">
        <f t="shared" si="19"/>
        <v>12.5</v>
      </c>
      <c r="S123" s="68"/>
      <c r="T123" s="56" t="s">
        <v>37</v>
      </c>
      <c r="U123" s="68">
        <f t="shared" si="20"/>
        <v>12.5</v>
      </c>
      <c r="V123" s="68"/>
      <c r="W123" s="69">
        <f t="shared" si="21"/>
        <v>162.5</v>
      </c>
      <c r="X123" s="93" t="str">
        <f t="shared" si="22"/>
        <v>III</v>
      </c>
      <c r="Y123" s="93">
        <f t="shared" si="14"/>
        <v>3</v>
      </c>
      <c r="AA123" s="13"/>
      <c r="AB123" s="132"/>
      <c r="AC123" s="14"/>
      <c r="AD123"/>
    </row>
    <row r="124" spans="1:30">
      <c r="A124" t="s">
        <v>105</v>
      </c>
      <c r="B124" s="110">
        <v>7146100</v>
      </c>
      <c r="C124" s="267" t="s">
        <v>188</v>
      </c>
      <c r="D124" s="55"/>
      <c r="E124" s="92">
        <v>11.656463427580594</v>
      </c>
      <c r="F124" s="68">
        <f t="shared" si="15"/>
        <v>75</v>
      </c>
      <c r="G124" s="181"/>
      <c r="H124" s="276">
        <v>0</v>
      </c>
      <c r="I124" s="68">
        <f t="shared" si="16"/>
        <v>0</v>
      </c>
      <c r="J124" s="181"/>
      <c r="K124" s="277">
        <v>0</v>
      </c>
      <c r="L124" s="68">
        <f t="shared" si="17"/>
        <v>0</v>
      </c>
      <c r="M124" s="68"/>
      <c r="N124" s="290">
        <v>0</v>
      </c>
      <c r="O124" s="68">
        <f t="shared" si="18"/>
        <v>0</v>
      </c>
      <c r="P124" s="68"/>
      <c r="Q124" s="276">
        <v>0</v>
      </c>
      <c r="R124" s="68">
        <f t="shared" si="19"/>
        <v>0</v>
      </c>
      <c r="S124" s="68"/>
      <c r="T124" s="56" t="s">
        <v>37</v>
      </c>
      <c r="U124" s="68">
        <f t="shared" si="20"/>
        <v>12.5</v>
      </c>
      <c r="V124" s="68"/>
      <c r="W124" s="69">
        <f t="shared" si="21"/>
        <v>87.5</v>
      </c>
      <c r="X124" s="93" t="str">
        <f t="shared" si="22"/>
        <v>IV</v>
      </c>
      <c r="Y124" s="93">
        <f t="shared" si="14"/>
        <v>4</v>
      </c>
      <c r="AA124" s="13"/>
      <c r="AB124" s="132"/>
      <c r="AC124" s="14"/>
      <c r="AD124"/>
    </row>
    <row r="125" spans="1:30">
      <c r="A125" t="s">
        <v>105</v>
      </c>
      <c r="B125" s="110">
        <v>7142000</v>
      </c>
      <c r="C125" s="267" t="s">
        <v>189</v>
      </c>
      <c r="D125" s="55"/>
      <c r="E125" s="92">
        <v>11.656463427580594</v>
      </c>
      <c r="F125" s="68">
        <f t="shared" si="15"/>
        <v>75</v>
      </c>
      <c r="G125" s="181"/>
      <c r="H125" s="276">
        <v>36013192.965295106</v>
      </c>
      <c r="I125" s="68">
        <f t="shared" si="16"/>
        <v>62.5</v>
      </c>
      <c r="J125" s="181"/>
      <c r="K125" s="277">
        <v>79044956.192393526</v>
      </c>
      <c r="L125" s="68">
        <f t="shared" si="17"/>
        <v>50</v>
      </c>
      <c r="M125" s="68"/>
      <c r="N125" s="290">
        <v>2500942239.2503986</v>
      </c>
      <c r="O125" s="68">
        <f t="shared" si="18"/>
        <v>40</v>
      </c>
      <c r="P125" s="68"/>
      <c r="Q125" s="276">
        <v>0</v>
      </c>
      <c r="R125" s="68">
        <f t="shared" si="19"/>
        <v>0</v>
      </c>
      <c r="S125" s="68"/>
      <c r="T125" s="56" t="s">
        <v>37</v>
      </c>
      <c r="U125" s="68">
        <f t="shared" si="20"/>
        <v>12.5</v>
      </c>
      <c r="V125" s="68"/>
      <c r="W125" s="69">
        <f t="shared" si="21"/>
        <v>240</v>
      </c>
      <c r="X125" s="93" t="str">
        <f t="shared" si="22"/>
        <v>II</v>
      </c>
      <c r="Y125" s="93">
        <f t="shared" si="14"/>
        <v>2</v>
      </c>
      <c r="AA125" s="13"/>
      <c r="AB125" s="132"/>
      <c r="AC125" s="14"/>
      <c r="AD125"/>
    </row>
    <row r="126" spans="1:30">
      <c r="A126" t="s">
        <v>105</v>
      </c>
      <c r="B126" s="110">
        <v>7138700</v>
      </c>
      <c r="C126" s="267" t="s">
        <v>190</v>
      </c>
      <c r="D126" s="55"/>
      <c r="E126" s="92">
        <v>6.5066069740447787</v>
      </c>
      <c r="F126" s="68">
        <f t="shared" si="15"/>
        <v>30</v>
      </c>
      <c r="G126" s="181"/>
      <c r="H126" s="276">
        <v>19872265.846704029</v>
      </c>
      <c r="I126" s="68">
        <f t="shared" si="16"/>
        <v>37.5</v>
      </c>
      <c r="J126" s="181"/>
      <c r="K126" s="277">
        <v>39522539.464692734</v>
      </c>
      <c r="L126" s="68">
        <f t="shared" si="17"/>
        <v>30</v>
      </c>
      <c r="M126" s="68"/>
      <c r="N126" s="290">
        <v>2286086174.059804</v>
      </c>
      <c r="O126" s="68">
        <f t="shared" si="18"/>
        <v>40</v>
      </c>
      <c r="P126" s="68"/>
      <c r="Q126" s="276">
        <v>15242591.053399883</v>
      </c>
      <c r="R126" s="68">
        <f t="shared" si="19"/>
        <v>25</v>
      </c>
      <c r="S126" s="68"/>
      <c r="T126" s="56" t="s">
        <v>37</v>
      </c>
      <c r="U126" s="68">
        <f t="shared" si="20"/>
        <v>12.5</v>
      </c>
      <c r="V126" s="68"/>
      <c r="W126" s="69">
        <f t="shared" si="21"/>
        <v>175</v>
      </c>
      <c r="X126" s="93" t="str">
        <f t="shared" si="22"/>
        <v>III</v>
      </c>
      <c r="Y126" s="93">
        <f t="shared" si="14"/>
        <v>3</v>
      </c>
      <c r="AA126" s="13"/>
      <c r="AB126" s="132"/>
      <c r="AC126" s="14"/>
      <c r="AD126"/>
    </row>
    <row r="127" spans="1:30">
      <c r="A127" t="s">
        <v>86</v>
      </c>
      <c r="B127" s="110">
        <v>3857600</v>
      </c>
      <c r="C127" s="267" t="s">
        <v>191</v>
      </c>
      <c r="D127" s="55"/>
      <c r="E127" s="92">
        <v>4.598705230533584</v>
      </c>
      <c r="F127" s="68">
        <f t="shared" si="15"/>
        <v>30</v>
      </c>
      <c r="G127" s="181"/>
      <c r="H127" s="276">
        <v>9949876.1982999817</v>
      </c>
      <c r="I127" s="68">
        <f t="shared" si="16"/>
        <v>25</v>
      </c>
      <c r="J127" s="181"/>
      <c r="K127" s="277">
        <v>36990889.094599351</v>
      </c>
      <c r="L127" s="68">
        <f t="shared" si="17"/>
        <v>20</v>
      </c>
      <c r="M127" s="68"/>
      <c r="N127" s="290">
        <v>1072994869.7619005</v>
      </c>
      <c r="O127" s="68">
        <f t="shared" si="18"/>
        <v>13</v>
      </c>
      <c r="P127" s="68"/>
      <c r="Q127" s="276">
        <v>0</v>
      </c>
      <c r="R127" s="68">
        <f t="shared" si="19"/>
        <v>0</v>
      </c>
      <c r="S127" s="68"/>
      <c r="T127" s="56" t="s">
        <v>37</v>
      </c>
      <c r="U127" s="68">
        <f t="shared" si="20"/>
        <v>12.5</v>
      </c>
      <c r="V127" s="68"/>
      <c r="W127" s="69">
        <f t="shared" si="21"/>
        <v>100.5</v>
      </c>
      <c r="X127" s="93" t="str">
        <f t="shared" si="22"/>
        <v>IV</v>
      </c>
      <c r="Y127" s="93">
        <f t="shared" si="14"/>
        <v>4</v>
      </c>
      <c r="AA127" s="13"/>
      <c r="AB127" s="132"/>
      <c r="AC127" s="14"/>
      <c r="AD127"/>
    </row>
    <row r="128" spans="1:30">
      <c r="A128" t="s">
        <v>105</v>
      </c>
      <c r="B128" s="110">
        <v>5842400</v>
      </c>
      <c r="C128" s="267" t="s">
        <v>192</v>
      </c>
      <c r="D128" s="55"/>
      <c r="E128" s="92">
        <v>2.7845920040207259</v>
      </c>
      <c r="F128" s="68">
        <f t="shared" si="15"/>
        <v>30</v>
      </c>
      <c r="G128" s="181"/>
      <c r="H128" s="276">
        <v>637404.40609999991</v>
      </c>
      <c r="I128" s="68">
        <f t="shared" si="16"/>
        <v>25</v>
      </c>
      <c r="J128" s="181"/>
      <c r="K128" s="277">
        <v>20537033.527999938</v>
      </c>
      <c r="L128" s="68">
        <f t="shared" si="17"/>
        <v>20</v>
      </c>
      <c r="M128" s="68"/>
      <c r="N128" s="290">
        <v>677917780.55399895</v>
      </c>
      <c r="O128" s="68">
        <f t="shared" si="18"/>
        <v>13</v>
      </c>
      <c r="P128" s="68"/>
      <c r="Q128" s="276">
        <v>0</v>
      </c>
      <c r="R128" s="68">
        <f t="shared" si="19"/>
        <v>0</v>
      </c>
      <c r="S128" s="68"/>
      <c r="T128" s="56" t="s">
        <v>37</v>
      </c>
      <c r="U128" s="68">
        <f t="shared" si="20"/>
        <v>12.5</v>
      </c>
      <c r="V128" s="68"/>
      <c r="W128" s="69">
        <f t="shared" si="21"/>
        <v>100.5</v>
      </c>
      <c r="X128" s="93" t="str">
        <f t="shared" si="22"/>
        <v>IV</v>
      </c>
      <c r="Y128" s="93">
        <f t="shared" si="14"/>
        <v>4</v>
      </c>
      <c r="AA128" s="13"/>
      <c r="AB128" s="132"/>
      <c r="AC128" s="14"/>
      <c r="AD128"/>
    </row>
    <row r="129" spans="1:30">
      <c r="A129" t="s">
        <v>73</v>
      </c>
      <c r="B129" s="110">
        <v>4247000</v>
      </c>
      <c r="C129" s="267" t="s">
        <v>193</v>
      </c>
      <c r="D129" s="55"/>
      <c r="E129" s="92">
        <v>6.1316069740447787</v>
      </c>
      <c r="F129" s="68">
        <f t="shared" si="15"/>
        <v>30</v>
      </c>
      <c r="G129" s="181"/>
      <c r="H129" s="276">
        <v>12425365.676400907</v>
      </c>
      <c r="I129" s="68">
        <f t="shared" si="16"/>
        <v>25</v>
      </c>
      <c r="J129" s="181"/>
      <c r="K129" s="277">
        <v>55932405.976199448</v>
      </c>
      <c r="L129" s="68">
        <f t="shared" si="17"/>
        <v>30</v>
      </c>
      <c r="M129" s="68"/>
      <c r="N129" s="290">
        <v>1256131840.459101</v>
      </c>
      <c r="O129" s="68">
        <f t="shared" si="18"/>
        <v>13</v>
      </c>
      <c r="P129" s="68"/>
      <c r="Q129" s="276">
        <v>0</v>
      </c>
      <c r="R129" s="68">
        <f t="shared" si="19"/>
        <v>0</v>
      </c>
      <c r="S129" s="68"/>
      <c r="T129" s="56" t="s">
        <v>37</v>
      </c>
      <c r="U129" s="68">
        <f t="shared" si="20"/>
        <v>12.5</v>
      </c>
      <c r="V129" s="68"/>
      <c r="W129" s="69">
        <f t="shared" si="21"/>
        <v>110.5</v>
      </c>
      <c r="X129" s="93" t="str">
        <f t="shared" si="22"/>
        <v>IV</v>
      </c>
      <c r="Y129" s="93">
        <f t="shared" si="14"/>
        <v>4</v>
      </c>
      <c r="AA129" s="13"/>
      <c r="AB129" s="132"/>
      <c r="AC129" s="14"/>
      <c r="AD129"/>
    </row>
    <row r="130" spans="1:30">
      <c r="A130" t="s">
        <v>113</v>
      </c>
      <c r="B130" s="110">
        <v>8080200</v>
      </c>
      <c r="C130" s="267" t="s">
        <v>194</v>
      </c>
      <c r="D130" s="55"/>
      <c r="E130" s="92">
        <v>7.6655079158040857</v>
      </c>
      <c r="F130" s="68">
        <f t="shared" si="15"/>
        <v>45</v>
      </c>
      <c r="G130" s="181"/>
      <c r="H130" s="276">
        <v>18975911.207100015</v>
      </c>
      <c r="I130" s="68">
        <f t="shared" si="16"/>
        <v>37.5</v>
      </c>
      <c r="J130" s="181"/>
      <c r="K130" s="277">
        <v>40120934.479599692</v>
      </c>
      <c r="L130" s="68">
        <f t="shared" si="17"/>
        <v>30</v>
      </c>
      <c r="M130" s="68"/>
      <c r="N130" s="290">
        <v>1259169436.6773994</v>
      </c>
      <c r="O130" s="68">
        <f t="shared" si="18"/>
        <v>13</v>
      </c>
      <c r="P130" s="68"/>
      <c r="Q130" s="276">
        <v>5003937.0009999964</v>
      </c>
      <c r="R130" s="68">
        <f t="shared" si="19"/>
        <v>12.5</v>
      </c>
      <c r="S130" s="68"/>
      <c r="T130" s="56" t="s">
        <v>37</v>
      </c>
      <c r="U130" s="68">
        <f t="shared" si="20"/>
        <v>12.5</v>
      </c>
      <c r="V130" s="68"/>
      <c r="W130" s="69">
        <f t="shared" si="21"/>
        <v>150.5</v>
      </c>
      <c r="X130" s="93" t="str">
        <f t="shared" si="22"/>
        <v>III</v>
      </c>
      <c r="Y130" s="93">
        <f t="shared" si="14"/>
        <v>3</v>
      </c>
      <c r="AA130" s="13"/>
      <c r="AB130" s="132"/>
      <c r="AC130" s="14"/>
      <c r="AD130"/>
    </row>
    <row r="131" spans="1:30">
      <c r="A131" t="s">
        <v>113</v>
      </c>
      <c r="B131" s="110">
        <v>3553600</v>
      </c>
      <c r="C131" s="267" t="s">
        <v>195</v>
      </c>
      <c r="D131" s="55"/>
      <c r="E131" s="92">
        <v>10.135382387784652</v>
      </c>
      <c r="F131" s="68">
        <f t="shared" si="15"/>
        <v>75</v>
      </c>
      <c r="G131" s="181"/>
      <c r="H131" s="276">
        <v>36913682.733800322</v>
      </c>
      <c r="I131" s="68">
        <f t="shared" si="16"/>
        <v>62.5</v>
      </c>
      <c r="J131" s="181"/>
      <c r="K131" s="277">
        <v>77081006.791904196</v>
      </c>
      <c r="L131" s="68">
        <f t="shared" si="17"/>
        <v>50</v>
      </c>
      <c r="M131" s="68"/>
      <c r="N131" s="290">
        <v>2181457138.0559974</v>
      </c>
      <c r="O131" s="68">
        <f t="shared" si="18"/>
        <v>40</v>
      </c>
      <c r="P131" s="68"/>
      <c r="Q131" s="276">
        <v>19745372.307799798</v>
      </c>
      <c r="R131" s="68">
        <f t="shared" si="19"/>
        <v>25</v>
      </c>
      <c r="S131" s="68"/>
      <c r="T131" s="56" t="s">
        <v>37</v>
      </c>
      <c r="U131" s="68">
        <f t="shared" si="20"/>
        <v>12.5</v>
      </c>
      <c r="V131" s="68"/>
      <c r="W131" s="69">
        <f t="shared" si="21"/>
        <v>265</v>
      </c>
      <c r="X131" s="93" t="str">
        <f t="shared" si="22"/>
        <v>II</v>
      </c>
      <c r="Y131" s="93">
        <f t="shared" si="14"/>
        <v>2</v>
      </c>
      <c r="AA131" s="13"/>
      <c r="AB131" s="132"/>
      <c r="AC131" s="14"/>
      <c r="AD131"/>
    </row>
    <row r="132" spans="1:30">
      <c r="A132" t="s">
        <v>95</v>
      </c>
      <c r="B132" s="110">
        <v>5139500</v>
      </c>
      <c r="C132" s="267" t="s">
        <v>196</v>
      </c>
      <c r="D132" s="55"/>
      <c r="E132" s="92">
        <v>13.451626030645102</v>
      </c>
      <c r="F132" s="68">
        <f t="shared" si="15"/>
        <v>75</v>
      </c>
      <c r="G132" s="181"/>
      <c r="H132" s="276">
        <v>53433640.343495972</v>
      </c>
      <c r="I132" s="68">
        <f t="shared" si="16"/>
        <v>62.5</v>
      </c>
      <c r="J132" s="181"/>
      <c r="K132" s="277">
        <v>83165011.968899474</v>
      </c>
      <c r="L132" s="68">
        <f t="shared" si="17"/>
        <v>50</v>
      </c>
      <c r="M132" s="68"/>
      <c r="N132" s="290">
        <v>2857796943.9770026</v>
      </c>
      <c r="O132" s="68">
        <f t="shared" si="18"/>
        <v>75</v>
      </c>
      <c r="P132" s="68"/>
      <c r="Q132" s="276">
        <v>0</v>
      </c>
      <c r="R132" s="68">
        <f t="shared" si="19"/>
        <v>0</v>
      </c>
      <c r="S132" s="68"/>
      <c r="T132" s="56" t="s">
        <v>37</v>
      </c>
      <c r="U132" s="68">
        <f t="shared" si="20"/>
        <v>12.5</v>
      </c>
      <c r="V132" s="68"/>
      <c r="W132" s="69">
        <f t="shared" si="21"/>
        <v>275</v>
      </c>
      <c r="X132" s="93" t="str">
        <f t="shared" si="22"/>
        <v>II</v>
      </c>
      <c r="Y132" s="93">
        <f t="shared" si="14"/>
        <v>2</v>
      </c>
      <c r="AA132" s="13"/>
      <c r="AB132" s="132"/>
      <c r="AC132" s="14"/>
      <c r="AD132"/>
    </row>
    <row r="133" spans="1:30">
      <c r="A133" t="s">
        <v>82</v>
      </c>
      <c r="B133" s="110">
        <v>7361800</v>
      </c>
      <c r="C133" s="267" t="s">
        <v>197</v>
      </c>
      <c r="D133" s="55"/>
      <c r="E133" s="92">
        <v>6.1316069740447787</v>
      </c>
      <c r="F133" s="68">
        <f t="shared" si="15"/>
        <v>30</v>
      </c>
      <c r="G133" s="181"/>
      <c r="H133" s="276">
        <v>0</v>
      </c>
      <c r="I133" s="68">
        <f t="shared" si="16"/>
        <v>0</v>
      </c>
      <c r="J133" s="181"/>
      <c r="K133" s="277">
        <v>0</v>
      </c>
      <c r="L133" s="68">
        <f t="shared" si="17"/>
        <v>0</v>
      </c>
      <c r="M133" s="68"/>
      <c r="N133" s="290">
        <v>0</v>
      </c>
      <c r="O133" s="68">
        <f t="shared" si="18"/>
        <v>0</v>
      </c>
      <c r="P133" s="68"/>
      <c r="Q133" s="276">
        <v>0</v>
      </c>
      <c r="R133" s="68">
        <f t="shared" si="19"/>
        <v>0</v>
      </c>
      <c r="S133" s="68"/>
      <c r="T133" s="56" t="s">
        <v>37</v>
      </c>
      <c r="U133" s="68">
        <f t="shared" si="20"/>
        <v>12.5</v>
      </c>
      <c r="V133" s="68"/>
      <c r="W133" s="69">
        <f t="shared" si="21"/>
        <v>42.5</v>
      </c>
      <c r="X133" s="93" t="str">
        <f t="shared" si="22"/>
        <v>IV</v>
      </c>
      <c r="Y133" s="93">
        <f t="shared" si="14"/>
        <v>4</v>
      </c>
      <c r="AA133" s="13"/>
      <c r="AB133" s="132"/>
      <c r="AC133" s="14"/>
      <c r="AD133"/>
    </row>
    <row r="134" spans="1:30">
      <c r="A134" t="s">
        <v>113</v>
      </c>
      <c r="B134" s="110">
        <v>4037900</v>
      </c>
      <c r="C134" s="267" t="s">
        <v>198</v>
      </c>
      <c r="D134" s="55"/>
      <c r="E134" s="92">
        <v>6.1316069740447787</v>
      </c>
      <c r="F134" s="68">
        <f t="shared" si="15"/>
        <v>30</v>
      </c>
      <c r="G134" s="181"/>
      <c r="H134" s="276">
        <v>17152869.449399911</v>
      </c>
      <c r="I134" s="68">
        <f t="shared" si="16"/>
        <v>25</v>
      </c>
      <c r="J134" s="181"/>
      <c r="K134" s="277">
        <v>35041600.668700695</v>
      </c>
      <c r="L134" s="68">
        <f t="shared" si="17"/>
        <v>20</v>
      </c>
      <c r="M134" s="68"/>
      <c r="N134" s="290">
        <v>2163432073.6564994</v>
      </c>
      <c r="O134" s="68">
        <f t="shared" si="18"/>
        <v>40</v>
      </c>
      <c r="P134" s="68"/>
      <c r="Q134" s="276">
        <v>20115293.575798839</v>
      </c>
      <c r="R134" s="68">
        <f t="shared" si="19"/>
        <v>25</v>
      </c>
      <c r="S134" s="68"/>
      <c r="T134" s="56" t="s">
        <v>37</v>
      </c>
      <c r="U134" s="68">
        <f t="shared" si="20"/>
        <v>12.5</v>
      </c>
      <c r="V134" s="68"/>
      <c r="W134" s="69">
        <f t="shared" si="21"/>
        <v>152.5</v>
      </c>
      <c r="X134" s="93" t="str">
        <f t="shared" si="22"/>
        <v>III</v>
      </c>
      <c r="Y134" s="93">
        <f t="shared" si="14"/>
        <v>3</v>
      </c>
      <c r="AA134" s="13"/>
      <c r="AB134" s="132"/>
      <c r="AC134" s="14"/>
      <c r="AD134"/>
    </row>
    <row r="135" spans="1:30">
      <c r="A135" t="s">
        <v>71</v>
      </c>
      <c r="B135" s="110">
        <v>5157200</v>
      </c>
      <c r="C135" s="267" t="s">
        <v>199</v>
      </c>
      <c r="D135" s="55"/>
      <c r="E135" s="92">
        <v>5.1936350473272945</v>
      </c>
      <c r="F135" s="68">
        <f t="shared" si="15"/>
        <v>30</v>
      </c>
      <c r="G135" s="181"/>
      <c r="H135" s="276">
        <v>10714814.920299998</v>
      </c>
      <c r="I135" s="68">
        <f t="shared" si="16"/>
        <v>25</v>
      </c>
      <c r="J135" s="181"/>
      <c r="K135" s="277">
        <v>30572511.749799754</v>
      </c>
      <c r="L135" s="68">
        <f t="shared" si="17"/>
        <v>20</v>
      </c>
      <c r="M135" s="68"/>
      <c r="N135" s="290">
        <v>1075214105.7867029</v>
      </c>
      <c r="O135" s="68">
        <f t="shared" si="18"/>
        <v>13</v>
      </c>
      <c r="P135" s="68"/>
      <c r="Q135" s="276">
        <v>0</v>
      </c>
      <c r="R135" s="68">
        <f t="shared" si="19"/>
        <v>0</v>
      </c>
      <c r="S135" s="68"/>
      <c r="T135" s="56" t="s">
        <v>37</v>
      </c>
      <c r="U135" s="68">
        <f t="shared" si="20"/>
        <v>12.5</v>
      </c>
      <c r="V135" s="68"/>
      <c r="W135" s="69">
        <f t="shared" si="21"/>
        <v>100.5</v>
      </c>
      <c r="X135" s="93" t="str">
        <f t="shared" si="22"/>
        <v>IV</v>
      </c>
      <c r="Y135" s="93">
        <f t="shared" si="14"/>
        <v>4</v>
      </c>
      <c r="AA135" s="13"/>
      <c r="AB135" s="132"/>
      <c r="AC135" s="14"/>
      <c r="AD135"/>
    </row>
    <row r="136" spans="1:30">
      <c r="A136" t="s">
        <v>84</v>
      </c>
      <c r="B136" s="110">
        <v>5168200</v>
      </c>
      <c r="C136" s="267" t="s">
        <v>200</v>
      </c>
      <c r="D136" s="55"/>
      <c r="E136" s="92">
        <v>9.6974104610671681</v>
      </c>
      <c r="F136" s="68">
        <f t="shared" si="15"/>
        <v>45</v>
      </c>
      <c r="G136" s="181"/>
      <c r="H136" s="276">
        <v>23644623.994397018</v>
      </c>
      <c r="I136" s="68">
        <f t="shared" si="16"/>
        <v>37.5</v>
      </c>
      <c r="J136" s="181"/>
      <c r="K136" s="277">
        <v>54983830.09939751</v>
      </c>
      <c r="L136" s="68">
        <f t="shared" si="17"/>
        <v>30</v>
      </c>
      <c r="M136" s="68"/>
      <c r="N136" s="290">
        <v>1953626231.5391033</v>
      </c>
      <c r="O136" s="68">
        <f t="shared" si="18"/>
        <v>22</v>
      </c>
      <c r="P136" s="68"/>
      <c r="Q136" s="276">
        <v>5497795.2749999957</v>
      </c>
      <c r="R136" s="68">
        <f t="shared" si="19"/>
        <v>12.5</v>
      </c>
      <c r="S136" s="68"/>
      <c r="T136" s="56" t="s">
        <v>37</v>
      </c>
      <c r="U136" s="68">
        <f t="shared" si="20"/>
        <v>12.5</v>
      </c>
      <c r="V136" s="68"/>
      <c r="W136" s="69">
        <f t="shared" si="21"/>
        <v>159.5</v>
      </c>
      <c r="X136" s="93" t="str">
        <f t="shared" si="22"/>
        <v>III</v>
      </c>
      <c r="Y136" s="93">
        <f t="shared" si="14"/>
        <v>3</v>
      </c>
      <c r="AA136" s="13"/>
      <c r="AB136" s="132"/>
      <c r="AC136" s="14"/>
      <c r="AD136"/>
    </row>
    <row r="137" spans="1:30">
      <c r="A137" t="s">
        <v>127</v>
      </c>
      <c r="B137" s="110">
        <v>8110200</v>
      </c>
      <c r="C137" s="267" t="s">
        <v>201</v>
      </c>
      <c r="D137" s="55"/>
      <c r="E137" s="92">
        <v>6.9029122340955977</v>
      </c>
      <c r="F137" s="68">
        <f t="shared" si="15"/>
        <v>45</v>
      </c>
      <c r="G137" s="181"/>
      <c r="H137" s="276">
        <v>23122539.21019686</v>
      </c>
      <c r="I137" s="68">
        <f t="shared" si="16"/>
        <v>37.5</v>
      </c>
      <c r="J137" s="181"/>
      <c r="K137" s="277">
        <v>61993438.667498544</v>
      </c>
      <c r="L137" s="68">
        <f t="shared" si="17"/>
        <v>50</v>
      </c>
      <c r="M137" s="68"/>
      <c r="N137" s="290">
        <v>2150065130.026484</v>
      </c>
      <c r="O137" s="68">
        <f t="shared" si="18"/>
        <v>40</v>
      </c>
      <c r="P137" s="68"/>
      <c r="Q137" s="276">
        <v>27999978.463699829</v>
      </c>
      <c r="R137" s="68">
        <f t="shared" si="19"/>
        <v>25</v>
      </c>
      <c r="S137" s="68"/>
      <c r="T137" s="56" t="s">
        <v>37</v>
      </c>
      <c r="U137" s="68">
        <f t="shared" si="20"/>
        <v>12.5</v>
      </c>
      <c r="V137" s="68"/>
      <c r="W137" s="69">
        <f t="shared" si="21"/>
        <v>210</v>
      </c>
      <c r="X137" s="93" t="str">
        <f t="shared" si="22"/>
        <v>II</v>
      </c>
      <c r="Y137" s="93">
        <f t="shared" si="14"/>
        <v>2</v>
      </c>
      <c r="AA137" s="13"/>
      <c r="AB137" s="132"/>
      <c r="AC137" s="14"/>
      <c r="AD137"/>
    </row>
    <row r="138" spans="1:30">
      <c r="A138" t="s">
        <v>71</v>
      </c>
      <c r="B138" s="110">
        <v>3840600</v>
      </c>
      <c r="C138" s="267" t="s">
        <v>202</v>
      </c>
      <c r="D138" s="55"/>
      <c r="E138" s="92">
        <v>13.451626030645102</v>
      </c>
      <c r="F138" s="68">
        <f t="shared" si="15"/>
        <v>75</v>
      </c>
      <c r="G138" s="181"/>
      <c r="H138" s="276">
        <v>50182464.315800242</v>
      </c>
      <c r="I138" s="68">
        <f t="shared" si="16"/>
        <v>62.5</v>
      </c>
      <c r="J138" s="181"/>
      <c r="K138" s="277">
        <v>96995252.684501588</v>
      </c>
      <c r="L138" s="68">
        <f t="shared" si="17"/>
        <v>50</v>
      </c>
      <c r="M138" s="68"/>
      <c r="N138" s="290">
        <v>3474800853.2758961</v>
      </c>
      <c r="O138" s="68">
        <f t="shared" si="18"/>
        <v>75</v>
      </c>
      <c r="P138" s="68"/>
      <c r="Q138" s="276">
        <v>0</v>
      </c>
      <c r="R138" s="68">
        <f t="shared" si="19"/>
        <v>0</v>
      </c>
      <c r="S138" s="68"/>
      <c r="T138" s="56" t="s">
        <v>37</v>
      </c>
      <c r="U138" s="68">
        <f t="shared" si="20"/>
        <v>12.5</v>
      </c>
      <c r="V138" s="68"/>
      <c r="W138" s="69">
        <f t="shared" si="21"/>
        <v>275</v>
      </c>
      <c r="X138" s="93" t="str">
        <f t="shared" si="22"/>
        <v>II</v>
      </c>
      <c r="Y138" s="93">
        <f t="shared" si="14"/>
        <v>2</v>
      </c>
      <c r="AA138" s="13"/>
      <c r="AB138" s="132"/>
      <c r="AC138" s="14"/>
      <c r="AD138"/>
    </row>
    <row r="139" spans="1:30">
      <c r="A139" t="s">
        <v>203</v>
      </c>
      <c r="B139" s="110">
        <v>6874300</v>
      </c>
      <c r="C139" s="267" t="s">
        <v>204</v>
      </c>
      <c r="D139" s="55"/>
      <c r="E139" s="92">
        <v>9.6974104610671681</v>
      </c>
      <c r="F139" s="68">
        <f t="shared" si="15"/>
        <v>45</v>
      </c>
      <c r="G139" s="181"/>
      <c r="H139" s="276">
        <v>28395765.633000027</v>
      </c>
      <c r="I139" s="68">
        <f t="shared" si="16"/>
        <v>37.5</v>
      </c>
      <c r="J139" s="181"/>
      <c r="K139" s="277">
        <v>51343594.737598971</v>
      </c>
      <c r="L139" s="68">
        <f t="shared" si="17"/>
        <v>30</v>
      </c>
      <c r="M139" s="68"/>
      <c r="N139" s="290">
        <v>1897845146.8692048</v>
      </c>
      <c r="O139" s="68">
        <f t="shared" si="18"/>
        <v>22</v>
      </c>
      <c r="P139" s="68"/>
      <c r="Q139" s="276">
        <v>0</v>
      </c>
      <c r="R139" s="68">
        <f t="shared" si="19"/>
        <v>0</v>
      </c>
      <c r="S139" s="68"/>
      <c r="T139" s="56" t="s">
        <v>37</v>
      </c>
      <c r="U139" s="68">
        <f t="shared" si="20"/>
        <v>12.5</v>
      </c>
      <c r="V139" s="68"/>
      <c r="W139" s="69">
        <f t="shared" si="21"/>
        <v>147</v>
      </c>
      <c r="X139" s="93" t="str">
        <f t="shared" si="22"/>
        <v>III</v>
      </c>
      <c r="Y139" s="93">
        <f t="shared" si="14"/>
        <v>3</v>
      </c>
      <c r="AA139" s="13"/>
      <c r="AB139" s="132"/>
      <c r="AC139" s="14"/>
      <c r="AD139"/>
    </row>
    <row r="140" spans="1:30">
      <c r="A140" t="s">
        <v>203</v>
      </c>
      <c r="B140" s="110">
        <v>8035200</v>
      </c>
      <c r="C140" s="267" t="s">
        <v>205</v>
      </c>
      <c r="D140" s="55"/>
      <c r="E140" s="92">
        <v>6.1316069740447787</v>
      </c>
      <c r="F140" s="68">
        <f t="shared" si="15"/>
        <v>30</v>
      </c>
      <c r="G140" s="181"/>
      <c r="H140" s="276">
        <v>26330758.34830014</v>
      </c>
      <c r="I140" s="68">
        <f t="shared" si="16"/>
        <v>37.5</v>
      </c>
      <c r="J140" s="181"/>
      <c r="K140" s="277">
        <v>37841852.630299553</v>
      </c>
      <c r="L140" s="68">
        <f t="shared" si="17"/>
        <v>30</v>
      </c>
      <c r="M140" s="68"/>
      <c r="N140" s="290">
        <v>1460422104.1170073</v>
      </c>
      <c r="O140" s="68">
        <f t="shared" si="18"/>
        <v>22</v>
      </c>
      <c r="P140" s="68"/>
      <c r="Q140" s="276">
        <v>4521614.1543999938</v>
      </c>
      <c r="R140" s="68">
        <f t="shared" si="19"/>
        <v>12.5</v>
      </c>
      <c r="S140" s="68"/>
      <c r="T140" s="56" t="s">
        <v>37</v>
      </c>
      <c r="U140" s="68">
        <f t="shared" si="20"/>
        <v>12.5</v>
      </c>
      <c r="V140" s="68"/>
      <c r="W140" s="69">
        <f t="shared" si="21"/>
        <v>144.5</v>
      </c>
      <c r="X140" s="93" t="str">
        <f t="shared" si="22"/>
        <v>III</v>
      </c>
      <c r="Y140" s="93">
        <f t="shared" si="14"/>
        <v>3</v>
      </c>
      <c r="AA140" s="13"/>
      <c r="AB140" s="132"/>
      <c r="AC140" s="14"/>
      <c r="AD140"/>
    </row>
    <row r="141" spans="1:30">
      <c r="A141" t="s">
        <v>203</v>
      </c>
      <c r="B141" s="110">
        <v>7236800</v>
      </c>
      <c r="C141" s="267" t="s">
        <v>206</v>
      </c>
      <c r="D141" s="55"/>
      <c r="E141" s="92">
        <v>6.2982736407114448</v>
      </c>
      <c r="F141" s="68">
        <f t="shared" si="15"/>
        <v>30</v>
      </c>
      <c r="G141" s="181"/>
      <c r="H141" s="276">
        <v>25346409.171500836</v>
      </c>
      <c r="I141" s="68">
        <f t="shared" si="16"/>
        <v>37.5</v>
      </c>
      <c r="J141" s="181"/>
      <c r="K141" s="277">
        <v>34286817.150197685</v>
      </c>
      <c r="L141" s="68">
        <f t="shared" si="17"/>
        <v>20</v>
      </c>
      <c r="M141" s="68"/>
      <c r="N141" s="290">
        <v>1677223805.1515033</v>
      </c>
      <c r="O141" s="68">
        <f t="shared" si="18"/>
        <v>22</v>
      </c>
      <c r="P141" s="68"/>
      <c r="Q141" s="276">
        <v>0</v>
      </c>
      <c r="R141" s="68">
        <f t="shared" si="19"/>
        <v>0</v>
      </c>
      <c r="S141" s="68"/>
      <c r="T141" s="56" t="s">
        <v>37</v>
      </c>
      <c r="U141" s="68">
        <f t="shared" si="20"/>
        <v>12.5</v>
      </c>
      <c r="V141" s="68"/>
      <c r="W141" s="69">
        <f t="shared" si="21"/>
        <v>122</v>
      </c>
      <c r="X141" s="93" t="str">
        <f t="shared" si="22"/>
        <v>III</v>
      </c>
      <c r="Y141" s="93">
        <f t="shared" si="14"/>
        <v>3</v>
      </c>
      <c r="AA141" s="13"/>
      <c r="AB141" s="132"/>
      <c r="AC141" s="14"/>
      <c r="AD141"/>
    </row>
    <row r="142" spans="1:30">
      <c r="A142" t="s">
        <v>203</v>
      </c>
      <c r="B142" s="110">
        <v>7237900</v>
      </c>
      <c r="C142" s="267" t="s">
        <v>207</v>
      </c>
      <c r="D142" s="55"/>
      <c r="E142" s="92">
        <v>8.4881332742988693</v>
      </c>
      <c r="F142" s="68">
        <f t="shared" si="15"/>
        <v>45</v>
      </c>
      <c r="G142" s="181"/>
      <c r="H142" s="276">
        <v>34164842.175099112</v>
      </c>
      <c r="I142" s="68">
        <f t="shared" si="16"/>
        <v>62.5</v>
      </c>
      <c r="J142" s="181"/>
      <c r="K142" s="277">
        <v>54153010.008300468</v>
      </c>
      <c r="L142" s="68">
        <f t="shared" si="17"/>
        <v>30</v>
      </c>
      <c r="M142" s="68"/>
      <c r="N142" s="290">
        <v>2438078688.60289</v>
      </c>
      <c r="O142" s="68">
        <f t="shared" si="18"/>
        <v>40</v>
      </c>
      <c r="P142" s="68"/>
      <c r="Q142" s="276">
        <v>11603926.37609997</v>
      </c>
      <c r="R142" s="68">
        <f t="shared" si="19"/>
        <v>12.5</v>
      </c>
      <c r="S142" s="68"/>
      <c r="T142" s="56" t="s">
        <v>37</v>
      </c>
      <c r="U142" s="68">
        <f t="shared" si="20"/>
        <v>12.5</v>
      </c>
      <c r="V142" s="68"/>
      <c r="W142" s="69">
        <f t="shared" si="21"/>
        <v>202.5</v>
      </c>
      <c r="X142" s="93" t="str">
        <f t="shared" si="22"/>
        <v>II</v>
      </c>
      <c r="Y142" s="93">
        <f t="shared" ref="Y142:Y198" si="23">IF(X142="IV",4,IF(X142="III",3,IF(X142="II",2,1)))</f>
        <v>2</v>
      </c>
      <c r="AA142" s="13"/>
      <c r="AB142" s="132"/>
      <c r="AC142" s="14"/>
      <c r="AD142"/>
    </row>
    <row r="143" spans="1:30">
      <c r="A143" t="s">
        <v>203</v>
      </c>
      <c r="B143" s="110">
        <v>6875500</v>
      </c>
      <c r="C143" s="267" t="s">
        <v>208</v>
      </c>
      <c r="D143" s="55"/>
      <c r="E143" s="92">
        <v>13.451626030645102</v>
      </c>
      <c r="F143" s="68">
        <f t="shared" si="15"/>
        <v>75</v>
      </c>
      <c r="G143" s="181"/>
      <c r="H143" s="276">
        <v>40042241.716199383</v>
      </c>
      <c r="I143" s="68">
        <f t="shared" si="16"/>
        <v>62.5</v>
      </c>
      <c r="J143" s="181"/>
      <c r="K143" s="277">
        <v>91433709.238396242</v>
      </c>
      <c r="L143" s="68">
        <f t="shared" si="17"/>
        <v>50</v>
      </c>
      <c r="M143" s="68"/>
      <c r="N143" s="290">
        <v>2482630659.7590065</v>
      </c>
      <c r="O143" s="68">
        <f t="shared" si="18"/>
        <v>40</v>
      </c>
      <c r="P143" s="68"/>
      <c r="Q143" s="276">
        <v>0</v>
      </c>
      <c r="R143" s="68">
        <f t="shared" si="19"/>
        <v>0</v>
      </c>
      <c r="S143" s="68"/>
      <c r="T143" s="56" t="s">
        <v>37</v>
      </c>
      <c r="U143" s="68">
        <f t="shared" si="20"/>
        <v>12.5</v>
      </c>
      <c r="V143" s="68"/>
      <c r="W143" s="69">
        <f t="shared" si="21"/>
        <v>240</v>
      </c>
      <c r="X143" s="93" t="str">
        <f t="shared" si="22"/>
        <v>II</v>
      </c>
      <c r="Y143" s="93">
        <f t="shared" si="23"/>
        <v>2</v>
      </c>
      <c r="AA143" s="13"/>
      <c r="AB143" s="132"/>
      <c r="AC143" s="14"/>
      <c r="AD143"/>
    </row>
    <row r="144" spans="1:30">
      <c r="A144" t="s">
        <v>71</v>
      </c>
      <c r="B144" s="110">
        <v>3570200</v>
      </c>
      <c r="C144" s="267" t="s">
        <v>209</v>
      </c>
      <c r="D144" s="55"/>
      <c r="E144" s="92">
        <v>16.041951236774121</v>
      </c>
      <c r="F144" s="68">
        <f t="shared" si="15"/>
        <v>150</v>
      </c>
      <c r="G144" s="181"/>
      <c r="H144" s="276">
        <v>121727471.15049484</v>
      </c>
      <c r="I144" s="68">
        <f t="shared" si="16"/>
        <v>125</v>
      </c>
      <c r="J144" s="181"/>
      <c r="K144" s="277">
        <v>134757411.34309471</v>
      </c>
      <c r="L144" s="68">
        <f t="shared" si="17"/>
        <v>100</v>
      </c>
      <c r="M144" s="68"/>
      <c r="N144" s="290">
        <v>1520183206.9031966</v>
      </c>
      <c r="O144" s="68">
        <f t="shared" si="18"/>
        <v>22</v>
      </c>
      <c r="P144" s="68"/>
      <c r="Q144" s="276">
        <v>0</v>
      </c>
      <c r="R144" s="68">
        <f t="shared" si="19"/>
        <v>0</v>
      </c>
      <c r="S144" s="68"/>
      <c r="T144" s="56" t="s">
        <v>32</v>
      </c>
      <c r="U144" s="68">
        <f t="shared" si="20"/>
        <v>25</v>
      </c>
      <c r="V144" s="68"/>
      <c r="W144" s="69">
        <f t="shared" si="21"/>
        <v>422</v>
      </c>
      <c r="X144" s="93" t="str">
        <f t="shared" si="22"/>
        <v>I</v>
      </c>
      <c r="Y144" s="93">
        <f t="shared" si="23"/>
        <v>1</v>
      </c>
      <c r="AA144" s="13"/>
      <c r="AB144" s="132"/>
      <c r="AC144" s="14"/>
      <c r="AD144"/>
    </row>
    <row r="145" spans="1:30">
      <c r="A145" t="s">
        <v>71</v>
      </c>
      <c r="B145" s="110">
        <v>3570700</v>
      </c>
      <c r="C145" s="267" t="s">
        <v>210</v>
      </c>
      <c r="D145" s="55"/>
      <c r="E145" s="92">
        <v>16.041951236774121</v>
      </c>
      <c r="F145" s="68">
        <f t="shared" si="15"/>
        <v>150</v>
      </c>
      <c r="G145" s="181"/>
      <c r="H145" s="276">
        <v>116190408.20529784</v>
      </c>
      <c r="I145" s="68">
        <f t="shared" si="16"/>
        <v>125</v>
      </c>
      <c r="J145" s="181"/>
      <c r="K145" s="277">
        <v>116358458.44219953</v>
      </c>
      <c r="L145" s="68">
        <f t="shared" si="17"/>
        <v>100</v>
      </c>
      <c r="M145" s="68"/>
      <c r="N145" s="290">
        <v>1536753833.9109027</v>
      </c>
      <c r="O145" s="68">
        <f t="shared" si="18"/>
        <v>22</v>
      </c>
      <c r="P145" s="68"/>
      <c r="Q145" s="276">
        <v>0</v>
      </c>
      <c r="R145" s="68">
        <f t="shared" si="19"/>
        <v>0</v>
      </c>
      <c r="S145" s="68"/>
      <c r="T145" s="56" t="s">
        <v>32</v>
      </c>
      <c r="U145" s="68">
        <f t="shared" si="20"/>
        <v>25</v>
      </c>
      <c r="V145" s="68"/>
      <c r="W145" s="69">
        <f t="shared" si="21"/>
        <v>422</v>
      </c>
      <c r="X145" s="93" t="str">
        <f t="shared" si="22"/>
        <v>I</v>
      </c>
      <c r="Y145" s="93">
        <f t="shared" si="23"/>
        <v>1</v>
      </c>
      <c r="AA145" s="13"/>
      <c r="AB145" s="132"/>
      <c r="AC145" s="14"/>
      <c r="AD145"/>
    </row>
    <row r="146" spans="1:30">
      <c r="A146" t="s">
        <v>113</v>
      </c>
      <c r="B146" s="110">
        <v>3446700</v>
      </c>
      <c r="C146" s="267" t="s">
        <v>211</v>
      </c>
      <c r="D146" s="55"/>
      <c r="E146" s="92">
        <v>6.2982736407114448</v>
      </c>
      <c r="F146" s="68">
        <f t="shared" si="15"/>
        <v>30</v>
      </c>
      <c r="G146" s="181"/>
      <c r="H146" s="276">
        <v>13520446.139497951</v>
      </c>
      <c r="I146" s="68">
        <f t="shared" si="16"/>
        <v>25</v>
      </c>
      <c r="J146" s="181"/>
      <c r="K146" s="277">
        <v>33164244.639499757</v>
      </c>
      <c r="L146" s="68">
        <f t="shared" si="17"/>
        <v>20</v>
      </c>
      <c r="M146" s="68"/>
      <c r="N146" s="290">
        <v>1068032395.016605</v>
      </c>
      <c r="O146" s="68">
        <f t="shared" si="18"/>
        <v>13</v>
      </c>
      <c r="P146" s="68"/>
      <c r="Q146" s="276">
        <v>20357834.529999811</v>
      </c>
      <c r="R146" s="68">
        <f t="shared" si="19"/>
        <v>25</v>
      </c>
      <c r="S146" s="68"/>
      <c r="T146" s="56" t="s">
        <v>37</v>
      </c>
      <c r="U146" s="68">
        <f t="shared" si="20"/>
        <v>12.5</v>
      </c>
      <c r="V146" s="68"/>
      <c r="W146" s="69">
        <f t="shared" si="21"/>
        <v>125.5</v>
      </c>
      <c r="X146" s="93" t="str">
        <f t="shared" si="22"/>
        <v>III</v>
      </c>
      <c r="Y146" s="93">
        <f t="shared" si="23"/>
        <v>3</v>
      </c>
      <c r="AA146" s="13"/>
      <c r="AB146" s="132"/>
      <c r="AC146" s="14"/>
      <c r="AD146"/>
    </row>
    <row r="147" spans="1:30">
      <c r="A147" t="s">
        <v>113</v>
      </c>
      <c r="B147" s="110">
        <v>3479900</v>
      </c>
      <c r="C147" s="267" t="s">
        <v>212</v>
      </c>
      <c r="D147" s="55"/>
      <c r="E147" s="92">
        <v>3.2324701536890568</v>
      </c>
      <c r="F147" s="68">
        <f t="shared" ref="F147:F210" si="24">IF(E147=0,0,IF(E147&lt;=E$11,G$11,IF(E147&lt;=E$10,G$10,IF(E147&lt;=E$9,G$9,G$8))))</f>
        <v>30</v>
      </c>
      <c r="G147" s="181"/>
      <c r="H147" s="276">
        <v>822043.17010199989</v>
      </c>
      <c r="I147" s="68">
        <f t="shared" ref="I147:I210" si="25">IF(H147=0,0,IF(H147&lt;=H$11,J$11,IF(H147&lt;=H$10,J$10,IF(H147&lt;=H$9,J$9,J$8))))</f>
        <v>25</v>
      </c>
      <c r="J147" s="181"/>
      <c r="K147" s="277">
        <v>16212633.669602996</v>
      </c>
      <c r="L147" s="68">
        <f t="shared" ref="L147:L210" si="26">IF(K147=0,0,IF(K147&lt;=K$11,M$11,IF(K147&lt;=K$10,M$10,IF(K147&lt;=K$9,M$9,M$8))))</f>
        <v>20</v>
      </c>
      <c r="M147" s="68"/>
      <c r="N147" s="290">
        <v>1091502434.2199981</v>
      </c>
      <c r="O147" s="68">
        <f t="shared" ref="O147:O210" si="27">IF(N147=0,0,IF(N147&lt;=N$11,P$11,IF(N147&lt;=N$10,P$10,IF(N147&lt;=N$9,P$9,P$8))))</f>
        <v>13</v>
      </c>
      <c r="P147" s="68"/>
      <c r="Q147" s="276">
        <v>0</v>
      </c>
      <c r="R147" s="68">
        <f t="shared" ref="R147:R210" si="28">IF(Q147=0,0,IF(Q147&lt;=Q$11,S$11,IF(Q147&lt;=Q$10,S$10,IF(Q147&lt;=Q$9,S$9,S$8))))</f>
        <v>0</v>
      </c>
      <c r="S147" s="68"/>
      <c r="T147" s="56" t="s">
        <v>37</v>
      </c>
      <c r="U147" s="68">
        <f t="shared" ref="U147:U210" si="29">IF(T147=0,0,IF(T147=T$9,V$9,V$8))</f>
        <v>12.5</v>
      </c>
      <c r="V147" s="68"/>
      <c r="W147" s="69">
        <f t="shared" ref="W147:W210" si="30">F147+I147+L147+O147+R147+U147</f>
        <v>100.5</v>
      </c>
      <c r="X147" s="93" t="str">
        <f t="shared" si="22"/>
        <v>IV</v>
      </c>
      <c r="Y147" s="93">
        <f t="shared" si="23"/>
        <v>4</v>
      </c>
      <c r="AA147" s="13"/>
      <c r="AB147" s="132"/>
      <c r="AC147" s="14"/>
      <c r="AD147"/>
    </row>
    <row r="148" spans="1:30">
      <c r="A148" t="s">
        <v>113</v>
      </c>
      <c r="B148" s="110">
        <v>3445200</v>
      </c>
      <c r="C148" s="267" t="s">
        <v>213</v>
      </c>
      <c r="D148" s="55"/>
      <c r="E148" s="92">
        <v>11.011326241219621</v>
      </c>
      <c r="F148" s="68">
        <f t="shared" si="24"/>
        <v>75</v>
      </c>
      <c r="G148" s="181"/>
      <c r="H148" s="276">
        <v>54183204.571200334</v>
      </c>
      <c r="I148" s="68">
        <f t="shared" si="25"/>
        <v>62.5</v>
      </c>
      <c r="J148" s="181"/>
      <c r="K148" s="277">
        <v>79629561.010800317</v>
      </c>
      <c r="L148" s="68">
        <f t="shared" si="26"/>
        <v>50</v>
      </c>
      <c r="M148" s="68"/>
      <c r="N148" s="290">
        <v>3427172358.4900012</v>
      </c>
      <c r="O148" s="68">
        <f t="shared" si="27"/>
        <v>75</v>
      </c>
      <c r="P148" s="68"/>
      <c r="Q148" s="276">
        <v>10394881.871700002</v>
      </c>
      <c r="R148" s="68">
        <f t="shared" si="28"/>
        <v>12.5</v>
      </c>
      <c r="S148" s="68"/>
      <c r="T148" s="56" t="s">
        <v>37</v>
      </c>
      <c r="U148" s="68">
        <f t="shared" si="29"/>
        <v>12.5</v>
      </c>
      <c r="V148" s="68"/>
      <c r="W148" s="69">
        <f t="shared" si="30"/>
        <v>287.5</v>
      </c>
      <c r="X148" s="93" t="str">
        <f t="shared" ref="X148:X211" si="31">IF(W148&lt;=$Y$11,$W$11,IF(W148&lt;=$Y$10,$W$10,IF(W148&lt;=$Y$9,$W$9,$W$8)))</f>
        <v>II</v>
      </c>
      <c r="Y148" s="93">
        <f t="shared" si="23"/>
        <v>2</v>
      </c>
      <c r="AA148" s="13"/>
      <c r="AB148" s="132"/>
      <c r="AC148" s="14"/>
      <c r="AD148"/>
    </row>
    <row r="149" spans="1:30">
      <c r="A149" t="s">
        <v>113</v>
      </c>
      <c r="B149" s="110">
        <v>4056000</v>
      </c>
      <c r="C149" s="267" t="s">
        <v>214</v>
      </c>
      <c r="D149" s="55"/>
      <c r="E149" s="92">
        <v>4.3797192671748419</v>
      </c>
      <c r="F149" s="68">
        <f t="shared" si="24"/>
        <v>30</v>
      </c>
      <c r="G149" s="181"/>
      <c r="H149" s="276">
        <v>1619197.5907999966</v>
      </c>
      <c r="I149" s="68">
        <f t="shared" si="25"/>
        <v>25</v>
      </c>
      <c r="J149" s="181"/>
      <c r="K149" s="277">
        <v>33906593.491101511</v>
      </c>
      <c r="L149" s="68">
        <f t="shared" si="26"/>
        <v>20</v>
      </c>
      <c r="M149" s="68"/>
      <c r="N149" s="290">
        <v>1415180928.2037003</v>
      </c>
      <c r="O149" s="68">
        <f t="shared" si="27"/>
        <v>22</v>
      </c>
      <c r="P149" s="68"/>
      <c r="Q149" s="276">
        <v>0</v>
      </c>
      <c r="R149" s="68">
        <f t="shared" si="28"/>
        <v>0</v>
      </c>
      <c r="S149" s="68"/>
      <c r="T149" s="56" t="s">
        <v>37</v>
      </c>
      <c r="U149" s="68">
        <f t="shared" si="29"/>
        <v>12.5</v>
      </c>
      <c r="V149" s="68"/>
      <c r="W149" s="69">
        <f t="shared" si="30"/>
        <v>109.5</v>
      </c>
      <c r="X149" s="93" t="str">
        <f t="shared" si="31"/>
        <v>IV</v>
      </c>
      <c r="Y149" s="93">
        <f t="shared" si="23"/>
        <v>4</v>
      </c>
      <c r="AA149" s="13"/>
      <c r="AB149" s="132"/>
      <c r="AC149" s="14"/>
      <c r="AD149"/>
    </row>
    <row r="150" spans="1:30">
      <c r="A150" t="s">
        <v>113</v>
      </c>
      <c r="B150" s="110">
        <v>4057500</v>
      </c>
      <c r="C150" s="267" t="s">
        <v>215</v>
      </c>
      <c r="D150" s="55"/>
      <c r="E150" s="92">
        <v>9.6974104610671681</v>
      </c>
      <c r="F150" s="68">
        <f t="shared" si="24"/>
        <v>45</v>
      </c>
      <c r="G150" s="181"/>
      <c r="H150" s="276">
        <v>39450741.115900643</v>
      </c>
      <c r="I150" s="68">
        <f t="shared" si="25"/>
        <v>62.5</v>
      </c>
      <c r="J150" s="181"/>
      <c r="K150" s="277">
        <v>72835373.85799855</v>
      </c>
      <c r="L150" s="68">
        <f t="shared" si="26"/>
        <v>50</v>
      </c>
      <c r="M150" s="68"/>
      <c r="N150" s="290">
        <v>1869285351.9834008</v>
      </c>
      <c r="O150" s="68">
        <f t="shared" si="27"/>
        <v>22</v>
      </c>
      <c r="P150" s="68"/>
      <c r="Q150" s="276">
        <v>7755722.3101999834</v>
      </c>
      <c r="R150" s="68">
        <f t="shared" si="28"/>
        <v>12.5</v>
      </c>
      <c r="S150" s="68"/>
      <c r="T150" s="56" t="s">
        <v>37</v>
      </c>
      <c r="U150" s="68">
        <f t="shared" si="29"/>
        <v>12.5</v>
      </c>
      <c r="V150" s="68"/>
      <c r="W150" s="69">
        <f t="shared" si="30"/>
        <v>204.5</v>
      </c>
      <c r="X150" s="93" t="str">
        <f t="shared" si="31"/>
        <v>II</v>
      </c>
      <c r="Y150" s="93">
        <f t="shared" si="23"/>
        <v>2</v>
      </c>
      <c r="AA150" s="13"/>
      <c r="AB150" s="132"/>
      <c r="AC150" s="14"/>
      <c r="AD150"/>
    </row>
    <row r="151" spans="1:30">
      <c r="A151" t="s">
        <v>105</v>
      </c>
      <c r="B151" s="110">
        <v>6177300</v>
      </c>
      <c r="C151" s="267" t="s">
        <v>216</v>
      </c>
      <c r="D151" s="55"/>
      <c r="E151" s="92">
        <v>8.3214666076321997</v>
      </c>
      <c r="F151" s="68">
        <f t="shared" si="24"/>
        <v>45</v>
      </c>
      <c r="G151" s="181"/>
      <c r="H151" s="276">
        <v>52208294.605503596</v>
      </c>
      <c r="I151" s="68">
        <f t="shared" si="25"/>
        <v>62.5</v>
      </c>
      <c r="J151" s="181"/>
      <c r="K151" s="277">
        <v>86899017.069002777</v>
      </c>
      <c r="L151" s="68">
        <f t="shared" si="26"/>
        <v>50</v>
      </c>
      <c r="M151" s="68"/>
      <c r="N151" s="290">
        <v>2391085342.9143114</v>
      </c>
      <c r="O151" s="68">
        <f t="shared" si="27"/>
        <v>40</v>
      </c>
      <c r="P151" s="68"/>
      <c r="Q151" s="276">
        <v>0</v>
      </c>
      <c r="R151" s="68">
        <f t="shared" si="28"/>
        <v>0</v>
      </c>
      <c r="S151" s="68"/>
      <c r="T151" s="56" t="s">
        <v>37</v>
      </c>
      <c r="U151" s="68">
        <f t="shared" si="29"/>
        <v>12.5</v>
      </c>
      <c r="V151" s="68"/>
      <c r="W151" s="69">
        <f t="shared" si="30"/>
        <v>210</v>
      </c>
      <c r="X151" s="93" t="str">
        <f t="shared" si="31"/>
        <v>II</v>
      </c>
      <c r="Y151" s="93">
        <f t="shared" si="23"/>
        <v>2</v>
      </c>
      <c r="AA151" s="13"/>
      <c r="AB151" s="132"/>
      <c r="AC151" s="14"/>
      <c r="AD151"/>
    </row>
    <row r="152" spans="1:30">
      <c r="A152" t="s">
        <v>82</v>
      </c>
      <c r="B152" s="110">
        <v>7362900</v>
      </c>
      <c r="C152" s="267" t="s">
        <v>217</v>
      </c>
      <c r="D152" s="55"/>
      <c r="E152" s="92">
        <v>13.451626030645102</v>
      </c>
      <c r="F152" s="68">
        <f t="shared" si="24"/>
        <v>75</v>
      </c>
      <c r="G152" s="181"/>
      <c r="H152" s="276">
        <v>51054606.432298914</v>
      </c>
      <c r="I152" s="68">
        <f t="shared" si="25"/>
        <v>62.5</v>
      </c>
      <c r="J152" s="181"/>
      <c r="K152" s="277">
        <v>97883708.0761967</v>
      </c>
      <c r="L152" s="68">
        <f t="shared" si="26"/>
        <v>100</v>
      </c>
      <c r="M152" s="68"/>
      <c r="N152" s="290">
        <v>3022122511.7539978</v>
      </c>
      <c r="O152" s="68">
        <f t="shared" si="27"/>
        <v>75</v>
      </c>
      <c r="P152" s="68"/>
      <c r="Q152" s="276">
        <v>8208781.3731999975</v>
      </c>
      <c r="R152" s="68">
        <f t="shared" si="28"/>
        <v>12.5</v>
      </c>
      <c r="S152" s="68"/>
      <c r="T152" s="56" t="s">
        <v>37</v>
      </c>
      <c r="U152" s="68">
        <f t="shared" si="29"/>
        <v>12.5</v>
      </c>
      <c r="V152" s="68"/>
      <c r="W152" s="69">
        <f t="shared" si="30"/>
        <v>337.5</v>
      </c>
      <c r="X152" s="93" t="str">
        <f t="shared" si="31"/>
        <v>I</v>
      </c>
      <c r="Y152" s="93">
        <f t="shared" si="23"/>
        <v>1</v>
      </c>
      <c r="AA152" s="13"/>
      <c r="AB152" s="132"/>
      <c r="AC152" s="14"/>
      <c r="AD152"/>
    </row>
    <row r="153" spans="1:30">
      <c r="A153" t="s">
        <v>203</v>
      </c>
      <c r="B153" s="110">
        <v>6945200</v>
      </c>
      <c r="C153" s="267" t="s">
        <v>218</v>
      </c>
      <c r="D153" s="55"/>
      <c r="E153" s="92">
        <v>16.041951236774121</v>
      </c>
      <c r="F153" s="68">
        <f t="shared" si="24"/>
        <v>150</v>
      </c>
      <c r="G153" s="181"/>
      <c r="H153" s="276">
        <v>60403867.017397776</v>
      </c>
      <c r="I153" s="68">
        <f t="shared" si="25"/>
        <v>62.5</v>
      </c>
      <c r="J153" s="181"/>
      <c r="K153" s="277">
        <v>95044476.794992298</v>
      </c>
      <c r="L153" s="68">
        <f t="shared" si="26"/>
        <v>50</v>
      </c>
      <c r="M153" s="68"/>
      <c r="N153" s="290">
        <v>4952252621.5687056</v>
      </c>
      <c r="O153" s="68">
        <f t="shared" si="27"/>
        <v>75</v>
      </c>
      <c r="P153" s="68"/>
      <c r="Q153" s="276">
        <v>11673385.866999999</v>
      </c>
      <c r="R153" s="68">
        <f t="shared" si="28"/>
        <v>12.5</v>
      </c>
      <c r="S153" s="68"/>
      <c r="T153" s="56" t="s">
        <v>37</v>
      </c>
      <c r="U153" s="68">
        <f t="shared" si="29"/>
        <v>12.5</v>
      </c>
      <c r="V153" s="68"/>
      <c r="W153" s="69">
        <f t="shared" si="30"/>
        <v>362.5</v>
      </c>
      <c r="X153" s="93" t="str">
        <f t="shared" si="31"/>
        <v>I</v>
      </c>
      <c r="Y153" s="93">
        <f t="shared" si="23"/>
        <v>1</v>
      </c>
      <c r="AA153" s="13"/>
      <c r="AB153" s="132"/>
      <c r="AC153" s="14"/>
      <c r="AD153"/>
    </row>
    <row r="154" spans="1:30">
      <c r="A154" t="s">
        <v>95</v>
      </c>
      <c r="B154" s="110">
        <v>5043200</v>
      </c>
      <c r="C154" s="267" t="s">
        <v>219</v>
      </c>
      <c r="D154" s="55"/>
      <c r="E154" s="92">
        <v>3.8322543587779867</v>
      </c>
      <c r="F154" s="68">
        <f t="shared" si="24"/>
        <v>30</v>
      </c>
      <c r="G154" s="181"/>
      <c r="H154" s="276">
        <v>3265601.6790999933</v>
      </c>
      <c r="I154" s="68">
        <f t="shared" si="25"/>
        <v>25</v>
      </c>
      <c r="J154" s="181"/>
      <c r="K154" s="277">
        <v>43721143.919599667</v>
      </c>
      <c r="L154" s="68">
        <f t="shared" si="26"/>
        <v>30</v>
      </c>
      <c r="M154" s="68"/>
      <c r="N154" s="290">
        <v>1252811304.8108017</v>
      </c>
      <c r="O154" s="68">
        <f t="shared" si="27"/>
        <v>13</v>
      </c>
      <c r="P154" s="68"/>
      <c r="Q154" s="276">
        <v>0</v>
      </c>
      <c r="R154" s="68">
        <f t="shared" si="28"/>
        <v>0</v>
      </c>
      <c r="S154" s="68"/>
      <c r="T154" s="56" t="s">
        <v>37</v>
      </c>
      <c r="U154" s="68">
        <f t="shared" si="29"/>
        <v>12.5</v>
      </c>
      <c r="V154" s="68"/>
      <c r="W154" s="69">
        <f t="shared" si="30"/>
        <v>110.5</v>
      </c>
      <c r="X154" s="93" t="str">
        <f t="shared" si="31"/>
        <v>IV</v>
      </c>
      <c r="Y154" s="93">
        <f t="shared" si="23"/>
        <v>4</v>
      </c>
      <c r="AA154" s="13"/>
      <c r="AB154" s="132"/>
      <c r="AC154" s="14"/>
      <c r="AD154"/>
    </row>
    <row r="155" spans="1:30">
      <c r="A155" t="s">
        <v>75</v>
      </c>
      <c r="B155" s="110">
        <v>3517200</v>
      </c>
      <c r="C155" s="267" t="s">
        <v>220</v>
      </c>
      <c r="D155" s="55"/>
      <c r="E155" s="92">
        <v>14.74678863370961</v>
      </c>
      <c r="F155" s="68">
        <f t="shared" si="24"/>
        <v>150</v>
      </c>
      <c r="G155" s="181"/>
      <c r="H155" s="276">
        <v>52648520.917503476</v>
      </c>
      <c r="I155" s="68">
        <f t="shared" si="25"/>
        <v>62.5</v>
      </c>
      <c r="J155" s="181"/>
      <c r="K155" s="277">
        <v>108537399.70650519</v>
      </c>
      <c r="L155" s="68">
        <f t="shared" si="26"/>
        <v>100</v>
      </c>
      <c r="M155" s="68"/>
      <c r="N155" s="290">
        <v>4270082143.7400851</v>
      </c>
      <c r="O155" s="68">
        <f t="shared" si="27"/>
        <v>75</v>
      </c>
      <c r="P155" s="68"/>
      <c r="Q155" s="276">
        <v>4383858.2812999999</v>
      </c>
      <c r="R155" s="68">
        <f t="shared" si="28"/>
        <v>7.5</v>
      </c>
      <c r="S155" s="68"/>
      <c r="T155" s="56" t="s">
        <v>37</v>
      </c>
      <c r="U155" s="68">
        <f t="shared" si="29"/>
        <v>12.5</v>
      </c>
      <c r="V155" s="68"/>
      <c r="W155" s="69">
        <f t="shared" si="30"/>
        <v>407.5</v>
      </c>
      <c r="X155" s="93" t="str">
        <f t="shared" si="31"/>
        <v>I</v>
      </c>
      <c r="Y155" s="93">
        <f t="shared" si="23"/>
        <v>1</v>
      </c>
      <c r="AA155" s="13"/>
      <c r="AB155" s="132"/>
      <c r="AC155" s="14"/>
      <c r="AD155"/>
    </row>
    <row r="156" spans="1:30">
      <c r="A156" t="s">
        <v>86</v>
      </c>
      <c r="B156" s="110">
        <v>7975200</v>
      </c>
      <c r="C156" s="267" t="s">
        <v>221</v>
      </c>
      <c r="D156" s="55"/>
      <c r="E156" s="92">
        <v>16.041951236774121</v>
      </c>
      <c r="F156" s="68">
        <f t="shared" si="24"/>
        <v>150</v>
      </c>
      <c r="G156" s="181"/>
      <c r="H156" s="276">
        <v>112706596.27650081</v>
      </c>
      <c r="I156" s="68">
        <f t="shared" si="25"/>
        <v>125</v>
      </c>
      <c r="J156" s="181"/>
      <c r="K156" s="277">
        <v>114485987.6209947</v>
      </c>
      <c r="L156" s="68">
        <f t="shared" si="26"/>
        <v>100</v>
      </c>
      <c r="M156" s="68"/>
      <c r="N156" s="290">
        <v>1259064847.4227998</v>
      </c>
      <c r="O156" s="68">
        <f t="shared" si="27"/>
        <v>13</v>
      </c>
      <c r="P156" s="68"/>
      <c r="Q156" s="276">
        <v>0</v>
      </c>
      <c r="R156" s="68">
        <f t="shared" si="28"/>
        <v>0</v>
      </c>
      <c r="S156" s="68"/>
      <c r="T156" s="56" t="s">
        <v>32</v>
      </c>
      <c r="U156" s="68">
        <f t="shared" si="29"/>
        <v>25</v>
      </c>
      <c r="V156" s="68"/>
      <c r="W156" s="69">
        <f t="shared" si="30"/>
        <v>413</v>
      </c>
      <c r="X156" s="93" t="str">
        <f t="shared" si="31"/>
        <v>I</v>
      </c>
      <c r="Y156" s="93">
        <f t="shared" si="23"/>
        <v>1</v>
      </c>
      <c r="AA156" s="13"/>
      <c r="AB156" s="132"/>
      <c r="AC156" s="14"/>
      <c r="AD156"/>
    </row>
    <row r="157" spans="1:30">
      <c r="A157" t="s">
        <v>86</v>
      </c>
      <c r="B157" s="110">
        <v>7970200</v>
      </c>
      <c r="C157" s="267" t="s">
        <v>222</v>
      </c>
      <c r="D157" s="55"/>
      <c r="E157" s="92">
        <v>16.041951236774121</v>
      </c>
      <c r="F157" s="68">
        <f t="shared" si="24"/>
        <v>150</v>
      </c>
      <c r="G157" s="181"/>
      <c r="H157" s="276">
        <v>140238437.69661433</v>
      </c>
      <c r="I157" s="68">
        <f t="shared" si="25"/>
        <v>125</v>
      </c>
      <c r="J157" s="181"/>
      <c r="K157" s="277">
        <v>132986158.72719999</v>
      </c>
      <c r="L157" s="68">
        <f t="shared" si="26"/>
        <v>100</v>
      </c>
      <c r="M157" s="68"/>
      <c r="N157" s="290">
        <v>1152952837.7279003</v>
      </c>
      <c r="O157" s="68">
        <f t="shared" si="27"/>
        <v>13</v>
      </c>
      <c r="P157" s="68"/>
      <c r="Q157" s="276">
        <v>0</v>
      </c>
      <c r="R157" s="68">
        <f t="shared" si="28"/>
        <v>0</v>
      </c>
      <c r="S157" s="68"/>
      <c r="T157" s="56" t="s">
        <v>32</v>
      </c>
      <c r="U157" s="68">
        <f t="shared" si="29"/>
        <v>25</v>
      </c>
      <c r="V157" s="68"/>
      <c r="W157" s="69">
        <f t="shared" si="30"/>
        <v>413</v>
      </c>
      <c r="X157" s="93" t="str">
        <f t="shared" si="31"/>
        <v>I</v>
      </c>
      <c r="Y157" s="93">
        <f t="shared" si="23"/>
        <v>1</v>
      </c>
      <c r="AA157" s="13"/>
      <c r="AB157" s="132"/>
      <c r="AC157" s="14"/>
      <c r="AD157"/>
    </row>
    <row r="158" spans="1:30">
      <c r="A158" t="s">
        <v>71</v>
      </c>
      <c r="B158" s="110">
        <v>6281200</v>
      </c>
      <c r="C158" s="267" t="s">
        <v>223</v>
      </c>
      <c r="D158" s="55"/>
      <c r="E158" s="92">
        <v>5.5056631206098103</v>
      </c>
      <c r="F158" s="68">
        <f t="shared" si="24"/>
        <v>30</v>
      </c>
      <c r="G158" s="181"/>
      <c r="H158" s="276">
        <v>12761942.108498929</v>
      </c>
      <c r="I158" s="68">
        <f t="shared" si="25"/>
        <v>25</v>
      </c>
      <c r="J158" s="181"/>
      <c r="K158" s="277">
        <v>19247208.022397988</v>
      </c>
      <c r="L158" s="68">
        <f t="shared" si="26"/>
        <v>20</v>
      </c>
      <c r="M158" s="68"/>
      <c r="N158" s="290">
        <v>749955052.76520753</v>
      </c>
      <c r="O158" s="68">
        <f t="shared" si="27"/>
        <v>13</v>
      </c>
      <c r="P158" s="68"/>
      <c r="Q158" s="276">
        <v>0</v>
      </c>
      <c r="R158" s="68">
        <f t="shared" si="28"/>
        <v>0</v>
      </c>
      <c r="S158" s="68"/>
      <c r="T158" s="56" t="s">
        <v>37</v>
      </c>
      <c r="U158" s="68">
        <f t="shared" si="29"/>
        <v>12.5</v>
      </c>
      <c r="V158" s="68"/>
      <c r="W158" s="69">
        <f t="shared" si="30"/>
        <v>100.5</v>
      </c>
      <c r="X158" s="93" t="str">
        <f t="shared" si="31"/>
        <v>IV</v>
      </c>
      <c r="Y158" s="93">
        <f t="shared" si="23"/>
        <v>4</v>
      </c>
      <c r="AA158" s="13"/>
      <c r="AB158" s="132"/>
      <c r="AC158" s="14"/>
      <c r="AD158"/>
    </row>
    <row r="159" spans="1:30">
      <c r="A159" t="s">
        <v>203</v>
      </c>
      <c r="B159" s="110">
        <v>7245200</v>
      </c>
      <c r="C159" s="267" t="s">
        <v>224</v>
      </c>
      <c r="D159" s="55"/>
      <c r="E159" s="92">
        <v>13.451626030645102</v>
      </c>
      <c r="F159" s="68">
        <f t="shared" si="24"/>
        <v>75</v>
      </c>
      <c r="G159" s="181"/>
      <c r="H159" s="276">
        <v>68003677.902202353</v>
      </c>
      <c r="I159" s="68">
        <f t="shared" si="25"/>
        <v>125</v>
      </c>
      <c r="J159" s="181"/>
      <c r="K159" s="277">
        <v>109526411.60210349</v>
      </c>
      <c r="L159" s="68">
        <f t="shared" si="26"/>
        <v>100</v>
      </c>
      <c r="M159" s="68"/>
      <c r="N159" s="290">
        <v>2541759620.8817949</v>
      </c>
      <c r="O159" s="68">
        <f t="shared" si="27"/>
        <v>40</v>
      </c>
      <c r="P159" s="68"/>
      <c r="Q159" s="276">
        <v>0</v>
      </c>
      <c r="R159" s="68">
        <f t="shared" si="28"/>
        <v>0</v>
      </c>
      <c r="S159" s="68"/>
      <c r="T159" s="56" t="s">
        <v>37</v>
      </c>
      <c r="U159" s="68">
        <f t="shared" si="29"/>
        <v>12.5</v>
      </c>
      <c r="V159" s="68"/>
      <c r="W159" s="69">
        <f t="shared" si="30"/>
        <v>352.5</v>
      </c>
      <c r="X159" s="93" t="str">
        <f t="shared" si="31"/>
        <v>I</v>
      </c>
      <c r="Y159" s="93">
        <f t="shared" si="23"/>
        <v>1</v>
      </c>
      <c r="AA159" s="13"/>
      <c r="AB159" s="132"/>
      <c r="AC159" s="14"/>
      <c r="AD159"/>
    </row>
    <row r="160" spans="1:30">
      <c r="A160" t="s">
        <v>84</v>
      </c>
      <c r="B160" s="110">
        <v>3549200</v>
      </c>
      <c r="C160" s="267" t="s">
        <v>225</v>
      </c>
      <c r="D160" s="55"/>
      <c r="E160" s="92">
        <v>2.6278315603049052</v>
      </c>
      <c r="F160" s="68">
        <f t="shared" si="24"/>
        <v>30</v>
      </c>
      <c r="G160" s="181"/>
      <c r="H160" s="276">
        <v>1104590.6774000002</v>
      </c>
      <c r="I160" s="68">
        <f t="shared" si="25"/>
        <v>25</v>
      </c>
      <c r="J160" s="181"/>
      <c r="K160" s="277">
        <v>27287467.826099709</v>
      </c>
      <c r="L160" s="68">
        <f t="shared" si="26"/>
        <v>20</v>
      </c>
      <c r="M160" s="68"/>
      <c r="N160" s="290">
        <v>891861815.63100028</v>
      </c>
      <c r="O160" s="68">
        <f t="shared" si="27"/>
        <v>13</v>
      </c>
      <c r="P160" s="68"/>
      <c r="Q160" s="276">
        <v>0</v>
      </c>
      <c r="R160" s="68">
        <f t="shared" si="28"/>
        <v>0</v>
      </c>
      <c r="S160" s="68"/>
      <c r="T160" s="56" t="s">
        <v>37</v>
      </c>
      <c r="U160" s="68">
        <f t="shared" si="29"/>
        <v>12.5</v>
      </c>
      <c r="V160" s="68"/>
      <c r="W160" s="69">
        <f t="shared" si="30"/>
        <v>100.5</v>
      </c>
      <c r="X160" s="93" t="str">
        <f t="shared" si="31"/>
        <v>IV</v>
      </c>
      <c r="Y160" s="93">
        <f t="shared" si="23"/>
        <v>4</v>
      </c>
      <c r="AA160" s="13"/>
      <c r="AB160" s="132"/>
      <c r="AC160" s="14"/>
      <c r="AD160"/>
    </row>
    <row r="161" spans="1:30">
      <c r="A161" t="s">
        <v>86</v>
      </c>
      <c r="B161" s="110">
        <v>3863100</v>
      </c>
      <c r="C161" s="267" t="s">
        <v>226</v>
      </c>
      <c r="D161" s="55"/>
      <c r="E161" s="92">
        <v>7.0075508274797471</v>
      </c>
      <c r="F161" s="68">
        <f t="shared" si="24"/>
        <v>45</v>
      </c>
      <c r="G161" s="181"/>
      <c r="H161" s="276">
        <v>19503976.951401893</v>
      </c>
      <c r="I161" s="68">
        <f t="shared" si="25"/>
        <v>37.5</v>
      </c>
      <c r="J161" s="181"/>
      <c r="K161" s="277">
        <v>81271642.668901056</v>
      </c>
      <c r="L161" s="68">
        <f t="shared" si="26"/>
        <v>50</v>
      </c>
      <c r="M161" s="68"/>
      <c r="N161" s="290">
        <v>2566119293.3247924</v>
      </c>
      <c r="O161" s="68">
        <f t="shared" si="27"/>
        <v>40</v>
      </c>
      <c r="P161" s="68"/>
      <c r="Q161" s="276">
        <v>14638036.718498897</v>
      </c>
      <c r="R161" s="68">
        <f t="shared" si="28"/>
        <v>12.5</v>
      </c>
      <c r="S161" s="68"/>
      <c r="T161" s="56" t="s">
        <v>37</v>
      </c>
      <c r="U161" s="68">
        <f t="shared" si="29"/>
        <v>12.5</v>
      </c>
      <c r="V161" s="68"/>
      <c r="W161" s="69">
        <f t="shared" si="30"/>
        <v>197.5</v>
      </c>
      <c r="X161" s="93" t="str">
        <f t="shared" si="31"/>
        <v>II</v>
      </c>
      <c r="Y161" s="93">
        <f t="shared" si="23"/>
        <v>2</v>
      </c>
      <c r="AA161" s="13"/>
      <c r="AB161" s="132"/>
      <c r="AC161" s="14"/>
      <c r="AD161"/>
    </row>
    <row r="162" spans="1:30">
      <c r="A162" t="s">
        <v>82</v>
      </c>
      <c r="B162" s="110">
        <v>7368100</v>
      </c>
      <c r="C162" s="267" t="s">
        <v>227</v>
      </c>
      <c r="D162" s="55"/>
      <c r="E162" s="92">
        <v>13.451626030645102</v>
      </c>
      <c r="F162" s="68">
        <f t="shared" si="24"/>
        <v>75</v>
      </c>
      <c r="G162" s="181"/>
      <c r="H162" s="276">
        <v>0</v>
      </c>
      <c r="I162" s="68">
        <f t="shared" si="25"/>
        <v>0</v>
      </c>
      <c r="J162" s="181"/>
      <c r="K162" s="277">
        <v>0</v>
      </c>
      <c r="L162" s="68">
        <f t="shared" si="26"/>
        <v>0</v>
      </c>
      <c r="M162" s="68"/>
      <c r="N162" s="290">
        <v>0</v>
      </c>
      <c r="O162" s="68">
        <f t="shared" si="27"/>
        <v>0</v>
      </c>
      <c r="P162" s="68"/>
      <c r="Q162" s="276">
        <v>0</v>
      </c>
      <c r="R162" s="68">
        <f t="shared" si="28"/>
        <v>0</v>
      </c>
      <c r="S162" s="68"/>
      <c r="T162" s="56" t="s">
        <v>37</v>
      </c>
      <c r="U162" s="68">
        <f t="shared" si="29"/>
        <v>12.5</v>
      </c>
      <c r="V162" s="68"/>
      <c r="W162" s="69">
        <f t="shared" si="30"/>
        <v>87.5</v>
      </c>
      <c r="X162" s="93" t="str">
        <f t="shared" si="31"/>
        <v>IV</v>
      </c>
      <c r="Y162" s="93">
        <f t="shared" si="23"/>
        <v>4</v>
      </c>
      <c r="AA162" s="13"/>
      <c r="AB162" s="132"/>
      <c r="AC162" s="14"/>
      <c r="AD162"/>
    </row>
    <row r="163" spans="1:30">
      <c r="A163" t="s">
        <v>84</v>
      </c>
      <c r="B163" s="110">
        <v>3464200</v>
      </c>
      <c r="C163" s="267" t="s">
        <v>228</v>
      </c>
      <c r="D163" s="55"/>
      <c r="E163" s="92">
        <v>13.451626030645102</v>
      </c>
      <c r="F163" s="68">
        <f t="shared" si="24"/>
        <v>75</v>
      </c>
      <c r="G163" s="181"/>
      <c r="H163" s="276">
        <v>56486849.543099277</v>
      </c>
      <c r="I163" s="68">
        <f t="shared" si="25"/>
        <v>62.5</v>
      </c>
      <c r="J163" s="181"/>
      <c r="K163" s="277">
        <v>82090367.978398308</v>
      </c>
      <c r="L163" s="68">
        <f t="shared" si="26"/>
        <v>50</v>
      </c>
      <c r="M163" s="68"/>
      <c r="N163" s="290">
        <v>2814399915.6851888</v>
      </c>
      <c r="O163" s="68">
        <f t="shared" si="27"/>
        <v>75</v>
      </c>
      <c r="P163" s="68"/>
      <c r="Q163" s="276">
        <v>16552677.124400016</v>
      </c>
      <c r="R163" s="68">
        <f t="shared" si="28"/>
        <v>25</v>
      </c>
      <c r="S163" s="68"/>
      <c r="T163" s="56" t="s">
        <v>37</v>
      </c>
      <c r="U163" s="68">
        <f t="shared" si="29"/>
        <v>12.5</v>
      </c>
      <c r="V163" s="68"/>
      <c r="W163" s="69">
        <f t="shared" si="30"/>
        <v>300</v>
      </c>
      <c r="X163" s="93" t="str">
        <f t="shared" si="31"/>
        <v>II</v>
      </c>
      <c r="Y163" s="93">
        <f t="shared" si="23"/>
        <v>2</v>
      </c>
      <c r="AA163" s="13"/>
      <c r="AB163" s="132"/>
      <c r="AC163" s="14"/>
      <c r="AD163"/>
    </row>
    <row r="164" spans="1:30">
      <c r="A164" t="s">
        <v>84</v>
      </c>
      <c r="B164" s="110">
        <v>3464000</v>
      </c>
      <c r="C164" s="267" t="s">
        <v>229</v>
      </c>
      <c r="D164" s="55"/>
      <c r="E164" s="92">
        <v>7.9455227541972313</v>
      </c>
      <c r="F164" s="68">
        <f t="shared" si="24"/>
        <v>45</v>
      </c>
      <c r="G164" s="181"/>
      <c r="H164" s="276">
        <v>17316098.095599838</v>
      </c>
      <c r="I164" s="68">
        <f t="shared" si="25"/>
        <v>37.5</v>
      </c>
      <c r="J164" s="181"/>
      <c r="K164" s="277">
        <v>66833028.121901579</v>
      </c>
      <c r="L164" s="68">
        <f t="shared" si="26"/>
        <v>50</v>
      </c>
      <c r="M164" s="68"/>
      <c r="N164" s="290">
        <v>2428940354.4343948</v>
      </c>
      <c r="O164" s="68">
        <f t="shared" si="27"/>
        <v>40</v>
      </c>
      <c r="P164" s="68"/>
      <c r="Q164" s="276">
        <v>19667821.906799864</v>
      </c>
      <c r="R164" s="68">
        <f t="shared" si="28"/>
        <v>25</v>
      </c>
      <c r="S164" s="68"/>
      <c r="T164" s="56" t="s">
        <v>37</v>
      </c>
      <c r="U164" s="68">
        <f t="shared" si="29"/>
        <v>12.5</v>
      </c>
      <c r="V164" s="68"/>
      <c r="W164" s="69">
        <f t="shared" si="30"/>
        <v>210</v>
      </c>
      <c r="X164" s="93" t="str">
        <f t="shared" si="31"/>
        <v>II</v>
      </c>
      <c r="Y164" s="93">
        <f t="shared" si="23"/>
        <v>2</v>
      </c>
      <c r="AA164" s="13"/>
      <c r="AB164" s="132"/>
      <c r="AC164" s="14"/>
      <c r="AD164"/>
    </row>
    <row r="165" spans="1:30">
      <c r="A165" t="s">
        <v>105</v>
      </c>
      <c r="B165" s="110">
        <v>7096000</v>
      </c>
      <c r="C165" s="267" t="s">
        <v>230</v>
      </c>
      <c r="D165" s="55"/>
      <c r="E165" s="92">
        <v>21.222601649032168</v>
      </c>
      <c r="F165" s="68">
        <f t="shared" si="24"/>
        <v>150</v>
      </c>
      <c r="G165" s="181"/>
      <c r="H165" s="276">
        <v>134726924.89149347</v>
      </c>
      <c r="I165" s="68">
        <f t="shared" si="25"/>
        <v>125</v>
      </c>
      <c r="J165" s="181"/>
      <c r="K165" s="277">
        <v>133973274.9617971</v>
      </c>
      <c r="L165" s="68">
        <f t="shared" si="26"/>
        <v>100</v>
      </c>
      <c r="M165" s="68"/>
      <c r="N165" s="290">
        <v>1858921163.2376013</v>
      </c>
      <c r="O165" s="68">
        <f t="shared" si="27"/>
        <v>22</v>
      </c>
      <c r="P165" s="68"/>
      <c r="Q165" s="276">
        <v>0</v>
      </c>
      <c r="R165" s="68">
        <f t="shared" si="28"/>
        <v>0</v>
      </c>
      <c r="S165" s="68"/>
      <c r="T165" s="56" t="s">
        <v>32</v>
      </c>
      <c r="U165" s="68">
        <f t="shared" si="29"/>
        <v>25</v>
      </c>
      <c r="V165" s="68"/>
      <c r="W165" s="69">
        <f t="shared" si="30"/>
        <v>422</v>
      </c>
      <c r="X165" s="93" t="str">
        <f t="shared" si="31"/>
        <v>I</v>
      </c>
      <c r="Y165" s="93">
        <f t="shared" si="23"/>
        <v>1</v>
      </c>
      <c r="AA165" s="13"/>
      <c r="AB165" s="132"/>
      <c r="AC165" s="14"/>
      <c r="AD165"/>
    </row>
    <row r="166" spans="1:30">
      <c r="A166" t="s">
        <v>105</v>
      </c>
      <c r="B166" s="110">
        <v>7097100</v>
      </c>
      <c r="C166" s="267" t="s">
        <v>231</v>
      </c>
      <c r="D166" s="55"/>
      <c r="E166" s="92">
        <v>18.632276442903144</v>
      </c>
      <c r="F166" s="68">
        <f t="shared" si="24"/>
        <v>150</v>
      </c>
      <c r="G166" s="181"/>
      <c r="H166" s="276">
        <v>171692603.83730304</v>
      </c>
      <c r="I166" s="68">
        <f t="shared" si="25"/>
        <v>125</v>
      </c>
      <c r="J166" s="181"/>
      <c r="K166" s="277">
        <v>156947188.13588208</v>
      </c>
      <c r="L166" s="68">
        <f t="shared" si="26"/>
        <v>100</v>
      </c>
      <c r="M166" s="68"/>
      <c r="N166" s="290">
        <v>2608820562.0890985</v>
      </c>
      <c r="O166" s="68">
        <f t="shared" si="27"/>
        <v>40</v>
      </c>
      <c r="P166" s="68"/>
      <c r="Q166" s="276">
        <v>0</v>
      </c>
      <c r="R166" s="68">
        <f t="shared" si="28"/>
        <v>0</v>
      </c>
      <c r="S166" s="68"/>
      <c r="T166" s="56" t="s">
        <v>32</v>
      </c>
      <c r="U166" s="68">
        <f t="shared" si="29"/>
        <v>25</v>
      </c>
      <c r="V166" s="68"/>
      <c r="W166" s="69">
        <f t="shared" si="30"/>
        <v>440</v>
      </c>
      <c r="X166" s="93" t="str">
        <f t="shared" si="31"/>
        <v>I</v>
      </c>
      <c r="Y166" s="93">
        <f t="shared" si="23"/>
        <v>1</v>
      </c>
      <c r="AA166" s="13"/>
      <c r="AB166" s="132"/>
      <c r="AC166" s="14"/>
      <c r="AD166"/>
    </row>
    <row r="167" spans="1:30">
      <c r="A167" t="s">
        <v>84</v>
      </c>
      <c r="B167" s="110">
        <v>3469200</v>
      </c>
      <c r="C167" s="267" t="s">
        <v>232</v>
      </c>
      <c r="D167" s="55"/>
      <c r="E167" s="92">
        <v>9.0094385343496839</v>
      </c>
      <c r="F167" s="68">
        <f t="shared" si="24"/>
        <v>45</v>
      </c>
      <c r="G167" s="181"/>
      <c r="H167" s="276">
        <v>29425321.893198568</v>
      </c>
      <c r="I167" s="68">
        <f t="shared" si="25"/>
        <v>37.5</v>
      </c>
      <c r="J167" s="181"/>
      <c r="K167" s="277">
        <v>91627387.76609686</v>
      </c>
      <c r="L167" s="68">
        <f t="shared" si="26"/>
        <v>50</v>
      </c>
      <c r="M167" s="68"/>
      <c r="N167" s="290">
        <v>3142143812.1154079</v>
      </c>
      <c r="O167" s="68">
        <f t="shared" si="27"/>
        <v>75</v>
      </c>
      <c r="P167" s="68"/>
      <c r="Q167" s="276">
        <v>18767379.359700903</v>
      </c>
      <c r="R167" s="68">
        <f t="shared" si="28"/>
        <v>25</v>
      </c>
      <c r="S167" s="68"/>
      <c r="T167" s="56" t="s">
        <v>37</v>
      </c>
      <c r="U167" s="68">
        <f t="shared" si="29"/>
        <v>12.5</v>
      </c>
      <c r="V167" s="68"/>
      <c r="W167" s="69">
        <f t="shared" si="30"/>
        <v>245</v>
      </c>
      <c r="X167" s="93" t="str">
        <f t="shared" si="31"/>
        <v>II</v>
      </c>
      <c r="Y167" s="93">
        <f t="shared" si="23"/>
        <v>2</v>
      </c>
      <c r="AA167" s="13"/>
      <c r="AB167" s="132"/>
      <c r="AC167" s="14"/>
      <c r="AD167"/>
    </row>
    <row r="168" spans="1:30">
      <c r="A168" t="s">
        <v>69</v>
      </c>
      <c r="B168" s="110">
        <v>5873400</v>
      </c>
      <c r="C168" s="267" t="s">
        <v>233</v>
      </c>
      <c r="D168" s="55"/>
      <c r="E168" s="92">
        <v>7.2575508274797471</v>
      </c>
      <c r="F168" s="68">
        <f t="shared" si="24"/>
        <v>45</v>
      </c>
      <c r="G168" s="181"/>
      <c r="H168" s="276">
        <v>13704801.196699988</v>
      </c>
      <c r="I168" s="68">
        <f t="shared" si="25"/>
        <v>25</v>
      </c>
      <c r="J168" s="181"/>
      <c r="K168" s="277">
        <v>35438118.041299544</v>
      </c>
      <c r="L168" s="68">
        <f t="shared" si="26"/>
        <v>20</v>
      </c>
      <c r="M168" s="68"/>
      <c r="N168" s="290">
        <v>1147444268.4749</v>
      </c>
      <c r="O168" s="68">
        <f t="shared" si="27"/>
        <v>13</v>
      </c>
      <c r="P168" s="68"/>
      <c r="Q168" s="276">
        <v>0</v>
      </c>
      <c r="R168" s="68">
        <f t="shared" si="28"/>
        <v>0</v>
      </c>
      <c r="S168" s="68"/>
      <c r="T168" s="56" t="s">
        <v>37</v>
      </c>
      <c r="U168" s="68">
        <f t="shared" si="29"/>
        <v>12.5</v>
      </c>
      <c r="V168" s="68"/>
      <c r="W168" s="69">
        <f t="shared" si="30"/>
        <v>115.5</v>
      </c>
      <c r="X168" s="93" t="str">
        <f t="shared" si="31"/>
        <v>IV</v>
      </c>
      <c r="Y168" s="93">
        <f t="shared" si="23"/>
        <v>4</v>
      </c>
      <c r="AA168" s="13"/>
      <c r="AB168" s="132"/>
      <c r="AC168" s="14"/>
      <c r="AD168"/>
    </row>
    <row r="169" spans="1:30">
      <c r="A169" t="s">
        <v>69</v>
      </c>
      <c r="B169" s="110">
        <v>3556600</v>
      </c>
      <c r="C169" s="267" t="s">
        <v>234</v>
      </c>
      <c r="D169" s="55"/>
      <c r="E169" s="92">
        <v>10.135382387784652</v>
      </c>
      <c r="F169" s="68">
        <f t="shared" si="24"/>
        <v>75</v>
      </c>
      <c r="G169" s="181"/>
      <c r="H169" s="276">
        <v>35976234.377000093</v>
      </c>
      <c r="I169" s="68">
        <f t="shared" si="25"/>
        <v>62.5</v>
      </c>
      <c r="J169" s="181"/>
      <c r="K169" s="277">
        <v>58135796.271601558</v>
      </c>
      <c r="L169" s="68">
        <f t="shared" si="26"/>
        <v>30</v>
      </c>
      <c r="M169" s="68"/>
      <c r="N169" s="290">
        <v>2757521360.1696033</v>
      </c>
      <c r="O169" s="68">
        <f t="shared" si="27"/>
        <v>40</v>
      </c>
      <c r="P169" s="68"/>
      <c r="Q169" s="276">
        <v>12719291.293200001</v>
      </c>
      <c r="R169" s="68">
        <f t="shared" si="28"/>
        <v>12.5</v>
      </c>
      <c r="S169" s="68"/>
      <c r="T169" s="56" t="s">
        <v>37</v>
      </c>
      <c r="U169" s="68">
        <f t="shared" si="29"/>
        <v>12.5</v>
      </c>
      <c r="V169" s="68"/>
      <c r="W169" s="69">
        <f t="shared" si="30"/>
        <v>232.5</v>
      </c>
      <c r="X169" s="93" t="str">
        <f t="shared" si="31"/>
        <v>II</v>
      </c>
      <c r="Y169" s="93">
        <f t="shared" si="23"/>
        <v>2</v>
      </c>
      <c r="AA169" s="13"/>
      <c r="AB169" s="132"/>
      <c r="AC169" s="14"/>
      <c r="AD169"/>
    </row>
    <row r="170" spans="1:30">
      <c r="A170" t="s">
        <v>203</v>
      </c>
      <c r="B170" s="110">
        <v>7239000</v>
      </c>
      <c r="C170" s="267" t="s">
        <v>235</v>
      </c>
      <c r="D170" s="55"/>
      <c r="E170" s="92">
        <v>7.0075508274797471</v>
      </c>
      <c r="F170" s="68">
        <f t="shared" si="24"/>
        <v>45</v>
      </c>
      <c r="G170" s="181"/>
      <c r="H170" s="276">
        <v>17499268.758099984</v>
      </c>
      <c r="I170" s="68">
        <f t="shared" si="25"/>
        <v>37.5</v>
      </c>
      <c r="J170" s="181"/>
      <c r="K170" s="277">
        <v>40473140.17490074</v>
      </c>
      <c r="L170" s="68">
        <f t="shared" si="26"/>
        <v>30</v>
      </c>
      <c r="M170" s="68"/>
      <c r="N170" s="290">
        <v>2156666731.6371922</v>
      </c>
      <c r="O170" s="68">
        <f t="shared" si="27"/>
        <v>40</v>
      </c>
      <c r="P170" s="68"/>
      <c r="Q170" s="276">
        <v>0</v>
      </c>
      <c r="R170" s="68">
        <f t="shared" si="28"/>
        <v>0</v>
      </c>
      <c r="S170" s="68"/>
      <c r="T170" s="56" t="s">
        <v>37</v>
      </c>
      <c r="U170" s="68">
        <f t="shared" si="29"/>
        <v>12.5</v>
      </c>
      <c r="V170" s="68"/>
      <c r="W170" s="69">
        <f t="shared" si="30"/>
        <v>165</v>
      </c>
      <c r="X170" s="93" t="str">
        <f t="shared" si="31"/>
        <v>III</v>
      </c>
      <c r="Y170" s="93">
        <f t="shared" si="23"/>
        <v>3</v>
      </c>
      <c r="AA170" s="13"/>
      <c r="AB170" s="132"/>
      <c r="AC170" s="14"/>
      <c r="AD170"/>
    </row>
    <row r="171" spans="1:30">
      <c r="A171" t="s">
        <v>203</v>
      </c>
      <c r="B171" s="110">
        <v>7265600</v>
      </c>
      <c r="C171" s="267" t="s">
        <v>236</v>
      </c>
      <c r="D171" s="55"/>
      <c r="E171" s="92">
        <v>10.135382387784652</v>
      </c>
      <c r="F171" s="68">
        <f t="shared" si="24"/>
        <v>75</v>
      </c>
      <c r="G171" s="181"/>
      <c r="H171" s="276">
        <v>39685401.328097247</v>
      </c>
      <c r="I171" s="68">
        <f t="shared" si="25"/>
        <v>62.5</v>
      </c>
      <c r="J171" s="181"/>
      <c r="K171" s="277">
        <v>49310220.443899423</v>
      </c>
      <c r="L171" s="68">
        <f t="shared" si="26"/>
        <v>30</v>
      </c>
      <c r="M171" s="68"/>
      <c r="N171" s="290">
        <v>2055892481.4246976</v>
      </c>
      <c r="O171" s="68">
        <f t="shared" si="27"/>
        <v>22</v>
      </c>
      <c r="P171" s="68"/>
      <c r="Q171" s="276">
        <v>13787733.568999952</v>
      </c>
      <c r="R171" s="68">
        <f t="shared" si="28"/>
        <v>12.5</v>
      </c>
      <c r="S171" s="68"/>
      <c r="T171" s="56" t="s">
        <v>37</v>
      </c>
      <c r="U171" s="68">
        <f t="shared" si="29"/>
        <v>12.5</v>
      </c>
      <c r="V171" s="68"/>
      <c r="W171" s="69">
        <f t="shared" si="30"/>
        <v>214.5</v>
      </c>
      <c r="X171" s="93" t="str">
        <f t="shared" si="31"/>
        <v>II</v>
      </c>
      <c r="Y171" s="93">
        <f t="shared" si="23"/>
        <v>2</v>
      </c>
      <c r="AA171" s="13"/>
      <c r="AB171" s="132"/>
      <c r="AC171" s="14"/>
      <c r="AD171"/>
    </row>
    <row r="172" spans="1:30">
      <c r="A172" t="s">
        <v>67</v>
      </c>
      <c r="B172" s="110">
        <v>3942200</v>
      </c>
      <c r="C172" s="267" t="s">
        <v>237</v>
      </c>
      <c r="D172" s="55"/>
      <c r="E172" s="92">
        <v>0</v>
      </c>
      <c r="F172" s="68">
        <f t="shared" si="24"/>
        <v>0</v>
      </c>
      <c r="G172" s="181"/>
      <c r="H172" s="276">
        <v>0</v>
      </c>
      <c r="I172" s="68">
        <f t="shared" si="25"/>
        <v>0</v>
      </c>
      <c r="J172" s="181"/>
      <c r="K172" s="277">
        <v>0</v>
      </c>
      <c r="L172" s="68">
        <f t="shared" si="26"/>
        <v>0</v>
      </c>
      <c r="M172" s="68"/>
      <c r="N172" s="290">
        <v>186025471.56800005</v>
      </c>
      <c r="O172" s="68">
        <f t="shared" si="27"/>
        <v>13</v>
      </c>
      <c r="P172" s="68"/>
      <c r="Q172" s="276">
        <v>0</v>
      </c>
      <c r="R172" s="68">
        <f t="shared" si="28"/>
        <v>0</v>
      </c>
      <c r="S172" s="68"/>
      <c r="T172" s="56" t="s">
        <v>37</v>
      </c>
      <c r="U172" s="68">
        <f t="shared" si="29"/>
        <v>12.5</v>
      </c>
      <c r="V172" s="68"/>
      <c r="W172" s="69">
        <f t="shared" si="30"/>
        <v>25.5</v>
      </c>
      <c r="X172" s="93" t="str">
        <f t="shared" si="31"/>
        <v>IV</v>
      </c>
      <c r="Y172" s="93">
        <f t="shared" si="23"/>
        <v>4</v>
      </c>
      <c r="AA172" s="13"/>
      <c r="AB172" s="132"/>
      <c r="AC172" s="14"/>
      <c r="AD172"/>
    </row>
    <row r="173" spans="1:30">
      <c r="A173" t="s">
        <v>67</v>
      </c>
      <c r="B173" s="110">
        <v>3943100</v>
      </c>
      <c r="C173" s="267" t="s">
        <v>238</v>
      </c>
      <c r="D173" s="55"/>
      <c r="E173" s="92">
        <v>7.2590436416288728</v>
      </c>
      <c r="F173" s="68">
        <f t="shared" si="24"/>
        <v>45</v>
      </c>
      <c r="G173" s="181"/>
      <c r="H173" s="276">
        <v>23574513.848098945</v>
      </c>
      <c r="I173" s="68">
        <f t="shared" si="25"/>
        <v>37.5</v>
      </c>
      <c r="J173" s="181"/>
      <c r="K173" s="277">
        <v>62673317.120798394</v>
      </c>
      <c r="L173" s="68">
        <f t="shared" si="26"/>
        <v>50</v>
      </c>
      <c r="M173" s="68"/>
      <c r="N173" s="290">
        <v>2415578200.0879974</v>
      </c>
      <c r="O173" s="68">
        <f t="shared" si="27"/>
        <v>40</v>
      </c>
      <c r="P173" s="68"/>
      <c r="Q173" s="276">
        <v>954147.27560000063</v>
      </c>
      <c r="R173" s="68">
        <f t="shared" si="28"/>
        <v>7.5</v>
      </c>
      <c r="S173" s="68"/>
      <c r="T173" s="56" t="s">
        <v>37</v>
      </c>
      <c r="U173" s="68">
        <f t="shared" si="29"/>
        <v>12.5</v>
      </c>
      <c r="V173" s="68"/>
      <c r="W173" s="69">
        <f t="shared" si="30"/>
        <v>192.5</v>
      </c>
      <c r="X173" s="93" t="str">
        <f t="shared" si="31"/>
        <v>III</v>
      </c>
      <c r="Y173" s="93">
        <f t="shared" si="23"/>
        <v>3</v>
      </c>
      <c r="AA173" s="13"/>
      <c r="AB173" s="132"/>
      <c r="AC173" s="14"/>
      <c r="AD173"/>
    </row>
    <row r="174" spans="1:30">
      <c r="A174" t="s">
        <v>67</v>
      </c>
      <c r="B174" s="110">
        <v>3959000</v>
      </c>
      <c r="C174" s="267" t="s">
        <v>239</v>
      </c>
      <c r="D174" s="55"/>
      <c r="E174" s="92">
        <v>10.511326241219621</v>
      </c>
      <c r="F174" s="68">
        <f t="shared" si="24"/>
        <v>75</v>
      </c>
      <c r="G174" s="181"/>
      <c r="H174" s="276">
        <v>27453493.560299952</v>
      </c>
      <c r="I174" s="68">
        <f t="shared" si="25"/>
        <v>37.5</v>
      </c>
      <c r="J174" s="181"/>
      <c r="K174" s="277">
        <v>117978410.72630011</v>
      </c>
      <c r="L174" s="68">
        <f t="shared" si="26"/>
        <v>100</v>
      </c>
      <c r="M174" s="68"/>
      <c r="N174" s="290">
        <v>3075325903.9455113</v>
      </c>
      <c r="O174" s="68">
        <f t="shared" si="27"/>
        <v>75</v>
      </c>
      <c r="P174" s="68"/>
      <c r="Q174" s="276">
        <v>18376973.8375999</v>
      </c>
      <c r="R174" s="68">
        <f t="shared" si="28"/>
        <v>25</v>
      </c>
      <c r="S174" s="68"/>
      <c r="T174" s="56" t="s">
        <v>37</v>
      </c>
      <c r="U174" s="68">
        <f t="shared" si="29"/>
        <v>12.5</v>
      </c>
      <c r="V174" s="68"/>
      <c r="W174" s="69">
        <f t="shared" si="30"/>
        <v>325</v>
      </c>
      <c r="X174" s="93" t="str">
        <f t="shared" si="31"/>
        <v>II</v>
      </c>
      <c r="Y174" s="93">
        <f t="shared" si="23"/>
        <v>2</v>
      </c>
      <c r="AA174" s="13"/>
      <c r="AB174" s="132"/>
      <c r="AC174" s="14"/>
      <c r="AD174"/>
    </row>
    <row r="175" spans="1:30">
      <c r="A175" t="s">
        <v>67</v>
      </c>
      <c r="B175" s="110">
        <v>7980200</v>
      </c>
      <c r="C175" s="267" t="s">
        <v>240</v>
      </c>
      <c r="D175" s="55"/>
      <c r="E175" s="92">
        <v>10.135382387784652</v>
      </c>
      <c r="F175" s="68">
        <f t="shared" si="24"/>
        <v>75</v>
      </c>
      <c r="G175" s="181"/>
      <c r="H175" s="276">
        <v>34268773.120298885</v>
      </c>
      <c r="I175" s="68">
        <f t="shared" si="25"/>
        <v>62.5</v>
      </c>
      <c r="J175" s="181"/>
      <c r="K175" s="277">
        <v>64060693.199597292</v>
      </c>
      <c r="L175" s="68">
        <f t="shared" si="26"/>
        <v>50</v>
      </c>
      <c r="M175" s="68"/>
      <c r="N175" s="290">
        <v>2563752129.9269948</v>
      </c>
      <c r="O175" s="68">
        <f t="shared" si="27"/>
        <v>40</v>
      </c>
      <c r="P175" s="68"/>
      <c r="Q175" s="276">
        <v>4119859.8424999975</v>
      </c>
      <c r="R175" s="68">
        <f t="shared" si="28"/>
        <v>7.5</v>
      </c>
      <c r="S175" s="68"/>
      <c r="T175" s="56" t="s">
        <v>37</v>
      </c>
      <c r="U175" s="68">
        <f t="shared" si="29"/>
        <v>12.5</v>
      </c>
      <c r="V175" s="68"/>
      <c r="W175" s="69">
        <f t="shared" si="30"/>
        <v>247.5</v>
      </c>
      <c r="X175" s="93" t="str">
        <f t="shared" si="31"/>
        <v>II</v>
      </c>
      <c r="Y175" s="93">
        <f t="shared" si="23"/>
        <v>2</v>
      </c>
      <c r="AA175" s="13"/>
      <c r="AB175" s="132"/>
      <c r="AC175" s="14"/>
      <c r="AD175"/>
    </row>
    <row r="176" spans="1:30">
      <c r="A176" t="s">
        <v>67</v>
      </c>
      <c r="B176" s="110">
        <v>3960200</v>
      </c>
      <c r="C176" s="267" t="s">
        <v>241</v>
      </c>
      <c r="D176" s="55"/>
      <c r="E176" s="92">
        <v>13.969691071870908</v>
      </c>
      <c r="F176" s="68">
        <f t="shared" si="24"/>
        <v>150</v>
      </c>
      <c r="G176" s="181"/>
      <c r="H176" s="276">
        <v>42087620.024899185</v>
      </c>
      <c r="I176" s="68">
        <f t="shared" si="25"/>
        <v>62.5</v>
      </c>
      <c r="J176" s="181"/>
      <c r="K176" s="277">
        <v>100500033.39850269</v>
      </c>
      <c r="L176" s="68">
        <f t="shared" si="26"/>
        <v>100</v>
      </c>
      <c r="M176" s="68"/>
      <c r="N176" s="290">
        <v>3841233987.6573987</v>
      </c>
      <c r="O176" s="68">
        <f t="shared" si="27"/>
        <v>75</v>
      </c>
      <c r="P176" s="68"/>
      <c r="Q176" s="276">
        <v>21027893.606999848</v>
      </c>
      <c r="R176" s="68">
        <f t="shared" si="28"/>
        <v>25</v>
      </c>
      <c r="S176" s="68"/>
      <c r="T176" s="56" t="s">
        <v>37</v>
      </c>
      <c r="U176" s="68">
        <f t="shared" si="29"/>
        <v>12.5</v>
      </c>
      <c r="V176" s="68"/>
      <c r="W176" s="69">
        <f t="shared" si="30"/>
        <v>425</v>
      </c>
      <c r="X176" s="93" t="str">
        <f t="shared" si="31"/>
        <v>I</v>
      </c>
      <c r="Y176" s="93">
        <f t="shared" si="23"/>
        <v>1</v>
      </c>
      <c r="AA176" s="13"/>
      <c r="AB176" s="132"/>
      <c r="AC176" s="14"/>
      <c r="AD176"/>
    </row>
    <row r="177" spans="1:30">
      <c r="A177" t="s">
        <v>86</v>
      </c>
      <c r="B177" s="110">
        <v>7985200</v>
      </c>
      <c r="C177" s="267" t="s">
        <v>242</v>
      </c>
      <c r="D177" s="55"/>
      <c r="E177" s="92">
        <v>21.222601649032168</v>
      </c>
      <c r="F177" s="68">
        <f t="shared" si="24"/>
        <v>150</v>
      </c>
      <c r="G177" s="181"/>
      <c r="H177" s="276">
        <v>108058531.24599701</v>
      </c>
      <c r="I177" s="68">
        <f t="shared" si="25"/>
        <v>125</v>
      </c>
      <c r="J177" s="181"/>
      <c r="K177" s="277">
        <v>161627660.44579601</v>
      </c>
      <c r="L177" s="68">
        <f t="shared" si="26"/>
        <v>100</v>
      </c>
      <c r="M177" s="68"/>
      <c r="N177" s="290">
        <v>2683844481.9586968</v>
      </c>
      <c r="O177" s="68">
        <f t="shared" si="27"/>
        <v>40</v>
      </c>
      <c r="P177" s="68"/>
      <c r="Q177" s="276">
        <v>0</v>
      </c>
      <c r="R177" s="68">
        <f t="shared" si="28"/>
        <v>0</v>
      </c>
      <c r="S177" s="68"/>
      <c r="T177" s="56" t="s">
        <v>32</v>
      </c>
      <c r="U177" s="68">
        <f t="shared" si="29"/>
        <v>25</v>
      </c>
      <c r="V177" s="68"/>
      <c r="W177" s="69">
        <f t="shared" si="30"/>
        <v>440</v>
      </c>
      <c r="X177" s="93" t="str">
        <f t="shared" si="31"/>
        <v>I</v>
      </c>
      <c r="Y177" s="93">
        <f t="shared" si="23"/>
        <v>1</v>
      </c>
      <c r="AA177" s="13"/>
      <c r="AB177" s="132"/>
      <c r="AC177" s="14"/>
      <c r="AD177"/>
    </row>
    <row r="178" spans="1:30">
      <c r="A178" t="s">
        <v>99</v>
      </c>
      <c r="B178" s="110">
        <v>5845400</v>
      </c>
      <c r="C178" s="267" t="s">
        <v>243</v>
      </c>
      <c r="D178" s="55"/>
      <c r="E178" s="92">
        <v>6.4649403073781135</v>
      </c>
      <c r="F178" s="68">
        <f t="shared" si="24"/>
        <v>30</v>
      </c>
      <c r="G178" s="181"/>
      <c r="H178" s="276">
        <v>18813670.384999998</v>
      </c>
      <c r="I178" s="68">
        <f t="shared" si="25"/>
        <v>37.5</v>
      </c>
      <c r="J178" s="181"/>
      <c r="K178" s="277">
        <v>29980869.55090468</v>
      </c>
      <c r="L178" s="68">
        <f t="shared" si="26"/>
        <v>20</v>
      </c>
      <c r="M178" s="68"/>
      <c r="N178" s="290">
        <v>1653052492.6283069</v>
      </c>
      <c r="O178" s="68">
        <f t="shared" si="27"/>
        <v>22</v>
      </c>
      <c r="P178" s="68"/>
      <c r="Q178" s="276">
        <v>0</v>
      </c>
      <c r="R178" s="68">
        <f t="shared" si="28"/>
        <v>0</v>
      </c>
      <c r="S178" s="68"/>
      <c r="T178" s="56" t="s">
        <v>37</v>
      </c>
      <c r="U178" s="68">
        <f t="shared" si="29"/>
        <v>12.5</v>
      </c>
      <c r="V178" s="68"/>
      <c r="W178" s="69">
        <f t="shared" si="30"/>
        <v>122</v>
      </c>
      <c r="X178" s="93" t="str">
        <f t="shared" si="31"/>
        <v>III</v>
      </c>
      <c r="Y178" s="93">
        <f t="shared" si="23"/>
        <v>3</v>
      </c>
      <c r="AA178" s="13"/>
      <c r="AB178" s="132"/>
      <c r="AC178" s="14"/>
      <c r="AD178"/>
    </row>
    <row r="179" spans="1:30">
      <c r="A179" t="s">
        <v>82</v>
      </c>
      <c r="B179" s="110">
        <v>7040600</v>
      </c>
      <c r="C179" s="267" t="s">
        <v>244</v>
      </c>
      <c r="D179" s="55"/>
      <c r="E179" s="92">
        <v>7.7788560875305661</v>
      </c>
      <c r="F179" s="68">
        <f t="shared" si="24"/>
        <v>45</v>
      </c>
      <c r="G179" s="181"/>
      <c r="H179" s="276">
        <v>17103550.542300016</v>
      </c>
      <c r="I179" s="68">
        <f t="shared" si="25"/>
        <v>25</v>
      </c>
      <c r="J179" s="181"/>
      <c r="K179" s="277">
        <v>33759693.193600707</v>
      </c>
      <c r="L179" s="68">
        <f t="shared" si="26"/>
        <v>20</v>
      </c>
      <c r="M179" s="68"/>
      <c r="N179" s="290">
        <v>2220630641.6246057</v>
      </c>
      <c r="O179" s="68">
        <f t="shared" si="27"/>
        <v>40</v>
      </c>
      <c r="P179" s="68"/>
      <c r="Q179" s="276">
        <v>0</v>
      </c>
      <c r="R179" s="68">
        <f t="shared" si="28"/>
        <v>0</v>
      </c>
      <c r="S179" s="68"/>
      <c r="T179" s="56" t="s">
        <v>37</v>
      </c>
      <c r="U179" s="68">
        <f t="shared" si="29"/>
        <v>12.5</v>
      </c>
      <c r="V179" s="68"/>
      <c r="W179" s="69">
        <f t="shared" si="30"/>
        <v>142.5</v>
      </c>
      <c r="X179" s="93" t="str">
        <f t="shared" si="31"/>
        <v>III</v>
      </c>
      <c r="Y179" s="93">
        <f t="shared" si="23"/>
        <v>3</v>
      </c>
      <c r="AA179" s="13"/>
      <c r="AB179" s="132"/>
      <c r="AC179" s="14"/>
      <c r="AD179"/>
    </row>
    <row r="180" spans="1:30">
      <c r="A180" t="s">
        <v>82</v>
      </c>
      <c r="B180" s="110">
        <v>7058700</v>
      </c>
      <c r="C180" s="267" t="s">
        <v>245</v>
      </c>
      <c r="D180" s="55"/>
      <c r="E180" s="92">
        <v>2.6278315603049052</v>
      </c>
      <c r="F180" s="68">
        <f t="shared" si="24"/>
        <v>30</v>
      </c>
      <c r="G180" s="181"/>
      <c r="H180" s="276">
        <v>1302131.8517</v>
      </c>
      <c r="I180" s="68">
        <f t="shared" si="25"/>
        <v>25</v>
      </c>
      <c r="J180" s="181"/>
      <c r="K180" s="277">
        <v>12722271.282799982</v>
      </c>
      <c r="L180" s="68">
        <f t="shared" si="26"/>
        <v>20</v>
      </c>
      <c r="M180" s="68"/>
      <c r="N180" s="290">
        <v>673980627.09470248</v>
      </c>
      <c r="O180" s="68">
        <f t="shared" si="27"/>
        <v>13</v>
      </c>
      <c r="P180" s="68"/>
      <c r="Q180" s="276">
        <v>0</v>
      </c>
      <c r="R180" s="68">
        <f t="shared" si="28"/>
        <v>0</v>
      </c>
      <c r="S180" s="68"/>
      <c r="T180" s="56" t="s">
        <v>37</v>
      </c>
      <c r="U180" s="68">
        <f t="shared" si="29"/>
        <v>12.5</v>
      </c>
      <c r="V180" s="68"/>
      <c r="W180" s="69">
        <f t="shared" si="30"/>
        <v>100.5</v>
      </c>
      <c r="X180" s="93" t="str">
        <f t="shared" si="31"/>
        <v>IV</v>
      </c>
      <c r="Y180" s="93">
        <f t="shared" si="23"/>
        <v>4</v>
      </c>
      <c r="AA180" s="13"/>
      <c r="AB180" s="132"/>
      <c r="AC180" s="14"/>
      <c r="AD180"/>
    </row>
    <row r="181" spans="1:30">
      <c r="A181" t="s">
        <v>82</v>
      </c>
      <c r="B181" s="110">
        <v>7064200</v>
      </c>
      <c r="C181" s="267" t="s">
        <v>246</v>
      </c>
      <c r="D181" s="55"/>
      <c r="E181" s="92">
        <v>5.2556631206098103</v>
      </c>
      <c r="F181" s="68">
        <f t="shared" si="24"/>
        <v>30</v>
      </c>
      <c r="G181" s="181"/>
      <c r="H181" s="276">
        <v>9847793.2021019626</v>
      </c>
      <c r="I181" s="68">
        <f t="shared" si="25"/>
        <v>25</v>
      </c>
      <c r="J181" s="181"/>
      <c r="K181" s="277">
        <v>25995579.539999813</v>
      </c>
      <c r="L181" s="68">
        <f t="shared" si="26"/>
        <v>20</v>
      </c>
      <c r="M181" s="68"/>
      <c r="N181" s="290">
        <v>1209850152.5179935</v>
      </c>
      <c r="O181" s="68">
        <f t="shared" si="27"/>
        <v>13</v>
      </c>
      <c r="P181" s="68"/>
      <c r="Q181" s="276">
        <v>0</v>
      </c>
      <c r="R181" s="68">
        <f t="shared" si="28"/>
        <v>0</v>
      </c>
      <c r="S181" s="68"/>
      <c r="T181" s="56" t="s">
        <v>37</v>
      </c>
      <c r="U181" s="68">
        <f t="shared" si="29"/>
        <v>12.5</v>
      </c>
      <c r="V181" s="68"/>
      <c r="W181" s="69">
        <f t="shared" si="30"/>
        <v>100.5</v>
      </c>
      <c r="X181" s="93" t="str">
        <f t="shared" si="31"/>
        <v>IV</v>
      </c>
      <c r="Y181" s="93">
        <f t="shared" si="23"/>
        <v>4</v>
      </c>
      <c r="AA181" s="13"/>
      <c r="AB181" s="132"/>
      <c r="AC181" s="14"/>
      <c r="AD181"/>
    </row>
    <row r="182" spans="1:30">
      <c r="A182" t="s">
        <v>105</v>
      </c>
      <c r="B182" s="110">
        <v>7043900</v>
      </c>
      <c r="C182" s="267" t="s">
        <v>247</v>
      </c>
      <c r="D182" s="55"/>
      <c r="E182" s="92">
        <v>6.5066069740447787</v>
      </c>
      <c r="F182" s="68">
        <f t="shared" si="24"/>
        <v>30</v>
      </c>
      <c r="G182" s="181"/>
      <c r="H182" s="276">
        <v>24346196.461200278</v>
      </c>
      <c r="I182" s="68">
        <f t="shared" si="25"/>
        <v>37.5</v>
      </c>
      <c r="J182" s="181"/>
      <c r="K182" s="277">
        <v>48084905.608197592</v>
      </c>
      <c r="L182" s="68">
        <f t="shared" si="26"/>
        <v>30</v>
      </c>
      <c r="M182" s="68"/>
      <c r="N182" s="290">
        <v>1844909634.8437061</v>
      </c>
      <c r="O182" s="68">
        <f t="shared" si="27"/>
        <v>22</v>
      </c>
      <c r="P182" s="68"/>
      <c r="Q182" s="276">
        <v>0</v>
      </c>
      <c r="R182" s="68">
        <f t="shared" si="28"/>
        <v>0</v>
      </c>
      <c r="S182" s="68"/>
      <c r="T182" s="56" t="s">
        <v>37</v>
      </c>
      <c r="U182" s="68">
        <f t="shared" si="29"/>
        <v>12.5</v>
      </c>
      <c r="V182" s="68"/>
      <c r="W182" s="69">
        <f t="shared" si="30"/>
        <v>132</v>
      </c>
      <c r="X182" s="93" t="str">
        <f t="shared" si="31"/>
        <v>III</v>
      </c>
      <c r="Y182" s="93">
        <f t="shared" si="23"/>
        <v>3</v>
      </c>
      <c r="AA182" s="13"/>
      <c r="AB182" s="132"/>
      <c r="AC182" s="14"/>
      <c r="AD182"/>
    </row>
    <row r="183" spans="1:30">
      <c r="A183" t="s">
        <v>95</v>
      </c>
      <c r="B183" s="110">
        <v>4850000</v>
      </c>
      <c r="C183" s="267" t="s">
        <v>248</v>
      </c>
      <c r="D183" s="55"/>
      <c r="E183" s="92">
        <v>6.1316069740447787</v>
      </c>
      <c r="F183" s="68">
        <f t="shared" si="24"/>
        <v>30</v>
      </c>
      <c r="G183" s="181"/>
      <c r="H183" s="276">
        <v>17267306.347500023</v>
      </c>
      <c r="I183" s="68">
        <f t="shared" si="25"/>
        <v>37.5</v>
      </c>
      <c r="J183" s="181"/>
      <c r="K183" s="277">
        <v>43621397.846200638</v>
      </c>
      <c r="L183" s="68">
        <f t="shared" si="26"/>
        <v>30</v>
      </c>
      <c r="M183" s="68"/>
      <c r="N183" s="290">
        <v>1128125373.645505</v>
      </c>
      <c r="O183" s="68">
        <f t="shared" si="27"/>
        <v>13</v>
      </c>
      <c r="P183" s="68"/>
      <c r="Q183" s="276">
        <v>0</v>
      </c>
      <c r="R183" s="68">
        <f t="shared" si="28"/>
        <v>0</v>
      </c>
      <c r="S183" s="68"/>
      <c r="T183" s="56" t="s">
        <v>37</v>
      </c>
      <c r="U183" s="68">
        <f t="shared" si="29"/>
        <v>12.5</v>
      </c>
      <c r="V183" s="68"/>
      <c r="W183" s="69">
        <f t="shared" si="30"/>
        <v>123</v>
      </c>
      <c r="X183" s="93" t="str">
        <f t="shared" si="31"/>
        <v>III</v>
      </c>
      <c r="Y183" s="93">
        <f t="shared" si="23"/>
        <v>3</v>
      </c>
      <c r="AA183" s="13"/>
      <c r="AB183" s="14"/>
      <c r="AC183" s="14"/>
      <c r="AD183"/>
    </row>
    <row r="184" spans="1:30">
      <c r="A184" t="s">
        <v>84</v>
      </c>
      <c r="B184" s="110">
        <v>7257700</v>
      </c>
      <c r="C184" s="267" t="s">
        <v>249</v>
      </c>
      <c r="D184" s="55"/>
      <c r="E184" s="92">
        <v>23.812926855161187</v>
      </c>
      <c r="F184" s="68">
        <f t="shared" si="24"/>
        <v>150</v>
      </c>
      <c r="G184" s="181"/>
      <c r="H184" s="276">
        <v>0</v>
      </c>
      <c r="I184" s="68">
        <f t="shared" si="25"/>
        <v>0</v>
      </c>
      <c r="J184" s="181"/>
      <c r="K184" s="277">
        <v>0</v>
      </c>
      <c r="L184" s="68">
        <f t="shared" si="26"/>
        <v>0</v>
      </c>
      <c r="M184" s="68"/>
      <c r="N184" s="290">
        <v>0</v>
      </c>
      <c r="O184" s="68">
        <f t="shared" si="27"/>
        <v>0</v>
      </c>
      <c r="P184" s="68"/>
      <c r="Q184" s="276">
        <v>0</v>
      </c>
      <c r="R184" s="68">
        <f t="shared" si="28"/>
        <v>0</v>
      </c>
      <c r="S184" s="68"/>
      <c r="T184" s="56" t="s">
        <v>37</v>
      </c>
      <c r="U184" s="68">
        <f t="shared" si="29"/>
        <v>12.5</v>
      </c>
      <c r="V184" s="68"/>
      <c r="W184" s="69">
        <f t="shared" si="30"/>
        <v>162.5</v>
      </c>
      <c r="X184" s="93" t="str">
        <f t="shared" si="31"/>
        <v>III</v>
      </c>
      <c r="Y184" s="93">
        <f t="shared" si="23"/>
        <v>3</v>
      </c>
      <c r="AA184" s="13"/>
      <c r="AB184" s="132"/>
      <c r="AC184" s="14"/>
      <c r="AD184"/>
    </row>
    <row r="185" spans="1:30">
      <c r="A185" t="s">
        <v>84</v>
      </c>
      <c r="B185" s="110">
        <v>7257100</v>
      </c>
      <c r="C185" s="267" t="s">
        <v>250</v>
      </c>
      <c r="D185" s="55"/>
      <c r="E185" s="92">
        <v>23.812926855161187</v>
      </c>
      <c r="F185" s="68">
        <f t="shared" si="24"/>
        <v>150</v>
      </c>
      <c r="G185" s="181"/>
      <c r="H185" s="276">
        <v>268258382.87409887</v>
      </c>
      <c r="I185" s="68">
        <f t="shared" si="25"/>
        <v>125</v>
      </c>
      <c r="J185" s="181"/>
      <c r="K185" s="277">
        <v>252437774.84930336</v>
      </c>
      <c r="L185" s="68">
        <f t="shared" si="26"/>
        <v>100</v>
      </c>
      <c r="M185" s="68"/>
      <c r="N185" s="290">
        <v>2588942775.7206984</v>
      </c>
      <c r="O185" s="68">
        <f t="shared" si="27"/>
        <v>40</v>
      </c>
      <c r="P185" s="68"/>
      <c r="Q185" s="276">
        <v>0</v>
      </c>
      <c r="R185" s="68">
        <f t="shared" si="28"/>
        <v>0</v>
      </c>
      <c r="S185" s="68"/>
      <c r="T185" s="56" t="s">
        <v>32</v>
      </c>
      <c r="U185" s="68">
        <f t="shared" si="29"/>
        <v>25</v>
      </c>
      <c r="V185" s="68"/>
      <c r="W185" s="69">
        <f t="shared" si="30"/>
        <v>440</v>
      </c>
      <c r="X185" s="93" t="str">
        <f t="shared" si="31"/>
        <v>I</v>
      </c>
      <c r="Y185" s="93">
        <f t="shared" si="23"/>
        <v>1</v>
      </c>
      <c r="AA185" s="13"/>
      <c r="AB185" s="132"/>
      <c r="AC185" s="14"/>
      <c r="AD185"/>
    </row>
    <row r="186" spans="1:30">
      <c r="A186" t="s">
        <v>84</v>
      </c>
      <c r="B186" s="110">
        <v>7257500</v>
      </c>
      <c r="C186" s="267" t="s">
        <v>251</v>
      </c>
      <c r="D186" s="55"/>
      <c r="E186" s="92">
        <v>21.222601649032168</v>
      </c>
      <c r="F186" s="68">
        <f t="shared" si="24"/>
        <v>150</v>
      </c>
      <c r="G186" s="181"/>
      <c r="H186" s="276">
        <v>181749287.54359844</v>
      </c>
      <c r="I186" s="68">
        <f t="shared" si="25"/>
        <v>125</v>
      </c>
      <c r="J186" s="181"/>
      <c r="K186" s="277">
        <v>174440277.88222572</v>
      </c>
      <c r="L186" s="68">
        <f t="shared" si="26"/>
        <v>100</v>
      </c>
      <c r="M186" s="68"/>
      <c r="N186" s="290">
        <v>2092685706.1871982</v>
      </c>
      <c r="O186" s="68">
        <f t="shared" si="27"/>
        <v>22</v>
      </c>
      <c r="P186" s="68"/>
      <c r="Q186" s="276">
        <v>0</v>
      </c>
      <c r="R186" s="68">
        <f t="shared" si="28"/>
        <v>0</v>
      </c>
      <c r="S186" s="68"/>
      <c r="T186" s="56" t="s">
        <v>32</v>
      </c>
      <c r="U186" s="68">
        <f t="shared" si="29"/>
        <v>25</v>
      </c>
      <c r="V186" s="68"/>
      <c r="W186" s="69">
        <f t="shared" si="30"/>
        <v>422</v>
      </c>
      <c r="X186" s="93" t="str">
        <f t="shared" si="31"/>
        <v>I</v>
      </c>
      <c r="Y186" s="93">
        <f t="shared" si="23"/>
        <v>1</v>
      </c>
      <c r="AA186" s="13"/>
      <c r="AB186" s="132"/>
      <c r="AC186" s="14"/>
      <c r="AD186"/>
    </row>
    <row r="187" spans="1:30">
      <c r="A187" t="s">
        <v>69</v>
      </c>
      <c r="B187" s="110">
        <v>7240100</v>
      </c>
      <c r="C187" s="267" t="s">
        <v>252</v>
      </c>
      <c r="D187" s="55"/>
      <c r="E187" s="92">
        <v>6.5075508274797471</v>
      </c>
      <c r="F187" s="68">
        <f t="shared" si="24"/>
        <v>45</v>
      </c>
      <c r="G187" s="181"/>
      <c r="H187" s="276">
        <v>29569232.104799941</v>
      </c>
      <c r="I187" s="68">
        <f t="shared" si="25"/>
        <v>37.5</v>
      </c>
      <c r="J187" s="181"/>
      <c r="K187" s="277">
        <v>49809366.694200352</v>
      </c>
      <c r="L187" s="68">
        <f t="shared" si="26"/>
        <v>30</v>
      </c>
      <c r="M187" s="68"/>
      <c r="N187" s="290">
        <v>1439338970.307512</v>
      </c>
      <c r="O187" s="68">
        <f t="shared" si="27"/>
        <v>22</v>
      </c>
      <c r="P187" s="68"/>
      <c r="Q187" s="276">
        <v>10945535.014399979</v>
      </c>
      <c r="R187" s="68">
        <f t="shared" si="28"/>
        <v>12.5</v>
      </c>
      <c r="S187" s="68"/>
      <c r="T187" s="56" t="s">
        <v>37</v>
      </c>
      <c r="U187" s="68">
        <f t="shared" si="29"/>
        <v>12.5</v>
      </c>
      <c r="V187" s="68"/>
      <c r="W187" s="69">
        <f t="shared" si="30"/>
        <v>159.5</v>
      </c>
      <c r="X187" s="93" t="str">
        <f t="shared" si="31"/>
        <v>III</v>
      </c>
      <c r="Y187" s="93">
        <f t="shared" si="23"/>
        <v>3</v>
      </c>
      <c r="AA187" s="13"/>
      <c r="AB187" s="132"/>
      <c r="AC187" s="14"/>
      <c r="AD187"/>
    </row>
    <row r="188" spans="1:30">
      <c r="A188" t="s">
        <v>67</v>
      </c>
      <c r="B188" s="110">
        <v>8000200</v>
      </c>
      <c r="C188" s="267" t="s">
        <v>253</v>
      </c>
      <c r="D188" s="55"/>
      <c r="E188" s="92">
        <v>5.9436350473272945</v>
      </c>
      <c r="F188" s="68">
        <f t="shared" si="24"/>
        <v>30</v>
      </c>
      <c r="G188" s="181"/>
      <c r="H188" s="276">
        <v>7238784.7864000071</v>
      </c>
      <c r="I188" s="68">
        <f t="shared" si="25"/>
        <v>25</v>
      </c>
      <c r="J188" s="181"/>
      <c r="K188" s="277">
        <v>27187411.434598796</v>
      </c>
      <c r="L188" s="68">
        <f t="shared" si="26"/>
        <v>20</v>
      </c>
      <c r="M188" s="68"/>
      <c r="N188" s="290">
        <v>1030982529.5120035</v>
      </c>
      <c r="O188" s="68">
        <f t="shared" si="27"/>
        <v>13</v>
      </c>
      <c r="P188" s="68"/>
      <c r="Q188" s="276">
        <v>0</v>
      </c>
      <c r="R188" s="68">
        <f t="shared" si="28"/>
        <v>0</v>
      </c>
      <c r="S188" s="68"/>
      <c r="T188" s="56" t="s">
        <v>37</v>
      </c>
      <c r="U188" s="68">
        <f t="shared" si="29"/>
        <v>12.5</v>
      </c>
      <c r="V188" s="68"/>
      <c r="W188" s="69">
        <f t="shared" si="30"/>
        <v>100.5</v>
      </c>
      <c r="X188" s="93" t="str">
        <f t="shared" si="31"/>
        <v>IV</v>
      </c>
      <c r="Y188" s="93">
        <f t="shared" si="23"/>
        <v>4</v>
      </c>
      <c r="AA188" s="13"/>
      <c r="AB188" s="132"/>
      <c r="AC188" s="14"/>
      <c r="AD188"/>
    </row>
    <row r="189" spans="1:30">
      <c r="A189" t="s">
        <v>203</v>
      </c>
      <c r="B189" s="110">
        <v>7263700</v>
      </c>
      <c r="C189" s="267" t="s">
        <v>254</v>
      </c>
      <c r="D189" s="55"/>
      <c r="E189" s="92">
        <v>9.6353823877846523</v>
      </c>
      <c r="F189" s="68">
        <f t="shared" si="24"/>
        <v>45</v>
      </c>
      <c r="G189" s="181"/>
      <c r="H189" s="276">
        <v>48044806.626798056</v>
      </c>
      <c r="I189" s="68">
        <f t="shared" si="25"/>
        <v>62.5</v>
      </c>
      <c r="J189" s="181"/>
      <c r="K189" s="277">
        <v>71355369.417897299</v>
      </c>
      <c r="L189" s="68">
        <f t="shared" si="26"/>
        <v>50</v>
      </c>
      <c r="M189" s="68"/>
      <c r="N189" s="290">
        <v>2666256747.7204022</v>
      </c>
      <c r="O189" s="68">
        <f t="shared" si="27"/>
        <v>40</v>
      </c>
      <c r="P189" s="68"/>
      <c r="Q189" s="276">
        <v>0</v>
      </c>
      <c r="R189" s="68">
        <f t="shared" si="28"/>
        <v>0</v>
      </c>
      <c r="S189" s="68"/>
      <c r="T189" s="56" t="s">
        <v>37</v>
      </c>
      <c r="U189" s="68">
        <f t="shared" si="29"/>
        <v>12.5</v>
      </c>
      <c r="V189" s="68"/>
      <c r="W189" s="69">
        <f t="shared" si="30"/>
        <v>210</v>
      </c>
      <c r="X189" s="93" t="str">
        <f t="shared" si="31"/>
        <v>II</v>
      </c>
      <c r="Y189" s="93">
        <f t="shared" si="23"/>
        <v>2</v>
      </c>
      <c r="AA189" s="13"/>
      <c r="AB189" s="132"/>
      <c r="AC189" s="14"/>
      <c r="AD189"/>
    </row>
    <row r="190" spans="1:30">
      <c r="A190" t="s">
        <v>73</v>
      </c>
      <c r="B190" s="110">
        <v>5258600</v>
      </c>
      <c r="C190" s="267" t="s">
        <v>255</v>
      </c>
      <c r="D190" s="55"/>
      <c r="E190" s="92">
        <v>6.2982736407114448</v>
      </c>
      <c r="F190" s="68">
        <f t="shared" si="24"/>
        <v>30</v>
      </c>
      <c r="G190" s="181"/>
      <c r="H190" s="276">
        <v>27779054.812201854</v>
      </c>
      <c r="I190" s="68">
        <f t="shared" si="25"/>
        <v>37.5</v>
      </c>
      <c r="J190" s="181"/>
      <c r="K190" s="277">
        <v>55345859.748496465</v>
      </c>
      <c r="L190" s="68">
        <f t="shared" si="26"/>
        <v>30</v>
      </c>
      <c r="M190" s="68"/>
      <c r="N190" s="290">
        <v>1424672669.5788057</v>
      </c>
      <c r="O190" s="68">
        <f t="shared" si="27"/>
        <v>22</v>
      </c>
      <c r="P190" s="68"/>
      <c r="Q190" s="276">
        <v>7918971.1320000067</v>
      </c>
      <c r="R190" s="68">
        <f t="shared" si="28"/>
        <v>12.5</v>
      </c>
      <c r="S190" s="68"/>
      <c r="T190" s="56" t="s">
        <v>37</v>
      </c>
      <c r="U190" s="68">
        <f t="shared" si="29"/>
        <v>12.5</v>
      </c>
      <c r="V190" s="68"/>
      <c r="W190" s="69">
        <f t="shared" si="30"/>
        <v>144.5</v>
      </c>
      <c r="X190" s="93" t="str">
        <f t="shared" si="31"/>
        <v>III</v>
      </c>
      <c r="Y190" s="93">
        <f t="shared" si="23"/>
        <v>3</v>
      </c>
      <c r="AA190" s="13"/>
      <c r="AB190" s="132"/>
      <c r="AC190" s="14"/>
      <c r="AD190"/>
    </row>
    <row r="191" spans="1:30">
      <c r="A191" t="s">
        <v>77</v>
      </c>
      <c r="B191" s="110">
        <v>5938300</v>
      </c>
      <c r="C191" s="267" t="s">
        <v>256</v>
      </c>
      <c r="D191" s="55"/>
      <c r="E191" s="92">
        <v>8.3834946809147155</v>
      </c>
      <c r="F191" s="68">
        <f t="shared" si="24"/>
        <v>45</v>
      </c>
      <c r="G191" s="181"/>
      <c r="H191" s="276">
        <v>17632367.906898942</v>
      </c>
      <c r="I191" s="68">
        <f t="shared" si="25"/>
        <v>37.5</v>
      </c>
      <c r="J191" s="181"/>
      <c r="K191" s="277">
        <v>21895974.626899909</v>
      </c>
      <c r="L191" s="68">
        <f t="shared" si="26"/>
        <v>20</v>
      </c>
      <c r="M191" s="68"/>
      <c r="N191" s="290">
        <v>1774974104.5685008</v>
      </c>
      <c r="O191" s="68">
        <f t="shared" si="27"/>
        <v>22</v>
      </c>
      <c r="P191" s="68"/>
      <c r="Q191" s="276">
        <v>0</v>
      </c>
      <c r="R191" s="68">
        <f t="shared" si="28"/>
        <v>0</v>
      </c>
      <c r="S191" s="68"/>
      <c r="T191" s="56" t="s">
        <v>37</v>
      </c>
      <c r="U191" s="68">
        <f t="shared" si="29"/>
        <v>12.5</v>
      </c>
      <c r="V191" s="68"/>
      <c r="W191" s="69">
        <f t="shared" si="30"/>
        <v>137</v>
      </c>
      <c r="X191" s="93" t="str">
        <f t="shared" si="31"/>
        <v>III</v>
      </c>
      <c r="Y191" s="93">
        <f t="shared" si="23"/>
        <v>3</v>
      </c>
      <c r="AA191" s="13"/>
      <c r="AB191" s="132"/>
      <c r="AC191" s="14"/>
      <c r="AD191"/>
    </row>
    <row r="192" spans="1:30">
      <c r="A192" t="s">
        <v>105</v>
      </c>
      <c r="B192" s="110">
        <v>7057600</v>
      </c>
      <c r="C192" s="267" t="s">
        <v>257</v>
      </c>
      <c r="D192" s="55"/>
      <c r="E192" s="92">
        <v>4.7547192671748419</v>
      </c>
      <c r="F192" s="68">
        <f t="shared" si="24"/>
        <v>30</v>
      </c>
      <c r="G192" s="181"/>
      <c r="H192" s="276">
        <v>2383543.4196999967</v>
      </c>
      <c r="I192" s="68">
        <f t="shared" si="25"/>
        <v>25</v>
      </c>
      <c r="J192" s="181"/>
      <c r="K192" s="277">
        <v>28679690.151997775</v>
      </c>
      <c r="L192" s="68">
        <f t="shared" si="26"/>
        <v>20</v>
      </c>
      <c r="M192" s="68"/>
      <c r="N192" s="290">
        <v>895875683.56859505</v>
      </c>
      <c r="O192" s="68">
        <f t="shared" si="27"/>
        <v>13</v>
      </c>
      <c r="P192" s="68"/>
      <c r="Q192" s="276">
        <v>0</v>
      </c>
      <c r="R192" s="68">
        <f t="shared" si="28"/>
        <v>0</v>
      </c>
      <c r="S192" s="68"/>
      <c r="T192" s="56" t="s">
        <v>37</v>
      </c>
      <c r="U192" s="68">
        <f t="shared" si="29"/>
        <v>12.5</v>
      </c>
      <c r="V192" s="68"/>
      <c r="W192" s="69">
        <f t="shared" si="30"/>
        <v>100.5</v>
      </c>
      <c r="X192" s="93" t="str">
        <f t="shared" si="31"/>
        <v>IV</v>
      </c>
      <c r="Y192" s="93">
        <f t="shared" si="23"/>
        <v>4</v>
      </c>
      <c r="AA192" s="13"/>
      <c r="AB192" s="132"/>
      <c r="AC192" s="14"/>
      <c r="AD192"/>
    </row>
    <row r="193" spans="1:30">
      <c r="A193" t="s">
        <v>95</v>
      </c>
      <c r="B193" s="110">
        <v>5163800</v>
      </c>
      <c r="C193" s="267" t="s">
        <v>258</v>
      </c>
      <c r="D193" s="55"/>
      <c r="E193" s="92">
        <v>10.135382387784652</v>
      </c>
      <c r="F193" s="68">
        <f t="shared" si="24"/>
        <v>75</v>
      </c>
      <c r="G193" s="181"/>
      <c r="H193" s="276">
        <v>0</v>
      </c>
      <c r="I193" s="68">
        <f t="shared" si="25"/>
        <v>0</v>
      </c>
      <c r="J193" s="181"/>
      <c r="K193" s="277">
        <v>0</v>
      </c>
      <c r="L193" s="68">
        <f t="shared" si="26"/>
        <v>0</v>
      </c>
      <c r="M193" s="68"/>
      <c r="N193" s="290">
        <v>0</v>
      </c>
      <c r="O193" s="68">
        <f t="shared" si="27"/>
        <v>0</v>
      </c>
      <c r="P193" s="68"/>
      <c r="Q193" s="276">
        <v>0</v>
      </c>
      <c r="R193" s="68">
        <f t="shared" si="28"/>
        <v>0</v>
      </c>
      <c r="S193" s="68"/>
      <c r="T193" s="56" t="s">
        <v>37</v>
      </c>
      <c r="U193" s="68">
        <f t="shared" si="29"/>
        <v>12.5</v>
      </c>
      <c r="V193" s="68"/>
      <c r="W193" s="69">
        <f t="shared" si="30"/>
        <v>87.5</v>
      </c>
      <c r="X193" s="93" t="str">
        <f t="shared" si="31"/>
        <v>IV</v>
      </c>
      <c r="Y193" s="93">
        <f t="shared" si="23"/>
        <v>4</v>
      </c>
      <c r="AA193" s="13"/>
      <c r="AB193" s="132"/>
      <c r="AC193" s="14"/>
      <c r="AD193"/>
    </row>
    <row r="194" spans="1:30">
      <c r="A194" t="s">
        <v>69</v>
      </c>
      <c r="B194" s="110">
        <v>3475200</v>
      </c>
      <c r="C194" s="267" t="s">
        <v>259</v>
      </c>
      <c r="D194" s="55"/>
      <c r="E194" s="92">
        <v>10.135382387784652</v>
      </c>
      <c r="F194" s="68">
        <f t="shared" si="24"/>
        <v>75</v>
      </c>
      <c r="G194" s="181"/>
      <c r="H194" s="276">
        <v>28137311.509905107</v>
      </c>
      <c r="I194" s="68">
        <f t="shared" si="25"/>
        <v>37.5</v>
      </c>
      <c r="J194" s="181"/>
      <c r="K194" s="277">
        <v>64952981.509397745</v>
      </c>
      <c r="L194" s="68">
        <f t="shared" si="26"/>
        <v>50</v>
      </c>
      <c r="M194" s="68"/>
      <c r="N194" s="290">
        <v>2031290730.0109015</v>
      </c>
      <c r="O194" s="68">
        <f t="shared" si="27"/>
        <v>22</v>
      </c>
      <c r="P194" s="68"/>
      <c r="Q194" s="276">
        <v>9425433.0654000007</v>
      </c>
      <c r="R194" s="68">
        <f t="shared" si="28"/>
        <v>12.5</v>
      </c>
      <c r="S194" s="68"/>
      <c r="T194" s="56" t="s">
        <v>37</v>
      </c>
      <c r="U194" s="68">
        <f t="shared" si="29"/>
        <v>12.5</v>
      </c>
      <c r="V194" s="68"/>
      <c r="W194" s="69">
        <f t="shared" si="30"/>
        <v>209.5</v>
      </c>
      <c r="X194" s="93" t="str">
        <f t="shared" si="31"/>
        <v>II</v>
      </c>
      <c r="Y194" s="93">
        <f t="shared" si="23"/>
        <v>2</v>
      </c>
      <c r="AA194" s="13"/>
      <c r="AB194" s="132"/>
      <c r="AC194" s="14"/>
      <c r="AD194"/>
    </row>
    <row r="195" spans="1:30">
      <c r="A195" t="s">
        <v>77</v>
      </c>
      <c r="B195" s="110">
        <v>6272400</v>
      </c>
      <c r="C195" s="267" t="s">
        <v>260</v>
      </c>
      <c r="D195" s="55"/>
      <c r="E195" s="92">
        <v>6.1316069740447787</v>
      </c>
      <c r="F195" s="68">
        <f t="shared" si="24"/>
        <v>30</v>
      </c>
      <c r="G195" s="181"/>
      <c r="H195" s="276">
        <v>0</v>
      </c>
      <c r="I195" s="68">
        <f t="shared" si="25"/>
        <v>0</v>
      </c>
      <c r="J195" s="181"/>
      <c r="K195" s="277">
        <v>0</v>
      </c>
      <c r="L195" s="68">
        <f t="shared" si="26"/>
        <v>0</v>
      </c>
      <c r="M195" s="68"/>
      <c r="N195" s="290">
        <v>0</v>
      </c>
      <c r="O195" s="68">
        <f t="shared" si="27"/>
        <v>0</v>
      </c>
      <c r="P195" s="68"/>
      <c r="Q195" s="276">
        <v>0</v>
      </c>
      <c r="R195" s="68">
        <f t="shared" si="28"/>
        <v>0</v>
      </c>
      <c r="S195" s="68"/>
      <c r="T195" s="56" t="s">
        <v>37</v>
      </c>
      <c r="U195" s="68">
        <f t="shared" si="29"/>
        <v>12.5</v>
      </c>
      <c r="V195" s="68"/>
      <c r="W195" s="69">
        <f t="shared" si="30"/>
        <v>42.5</v>
      </c>
      <c r="X195" s="93" t="str">
        <f t="shared" si="31"/>
        <v>IV</v>
      </c>
      <c r="Y195" s="93">
        <f t="shared" si="23"/>
        <v>4</v>
      </c>
      <c r="AA195" s="13"/>
      <c r="AB195" s="132"/>
      <c r="AC195" s="14"/>
      <c r="AD195"/>
    </row>
    <row r="196" spans="1:30">
      <c r="A196" t="s">
        <v>203</v>
      </c>
      <c r="B196" s="110">
        <v>6171000</v>
      </c>
      <c r="C196" s="267" t="s">
        <v>261</v>
      </c>
      <c r="D196" s="55"/>
      <c r="E196" s="92">
        <v>6.1316069740447787</v>
      </c>
      <c r="F196" s="68">
        <f t="shared" si="24"/>
        <v>30</v>
      </c>
      <c r="G196" s="181"/>
      <c r="H196" s="276">
        <v>14910656.040599911</v>
      </c>
      <c r="I196" s="68">
        <f t="shared" si="25"/>
        <v>25</v>
      </c>
      <c r="J196" s="181"/>
      <c r="K196" s="277">
        <v>43057895.341800459</v>
      </c>
      <c r="L196" s="68">
        <f t="shared" si="26"/>
        <v>30</v>
      </c>
      <c r="M196" s="68"/>
      <c r="N196" s="290">
        <v>1726513319.5960026</v>
      </c>
      <c r="O196" s="68">
        <f t="shared" si="27"/>
        <v>22</v>
      </c>
      <c r="P196" s="68"/>
      <c r="Q196" s="276">
        <v>1087800</v>
      </c>
      <c r="R196" s="68">
        <f t="shared" si="28"/>
        <v>7.5</v>
      </c>
      <c r="S196" s="68"/>
      <c r="T196" s="56" t="s">
        <v>37</v>
      </c>
      <c r="U196" s="68">
        <f t="shared" si="29"/>
        <v>12.5</v>
      </c>
      <c r="V196" s="68"/>
      <c r="W196" s="69">
        <f t="shared" si="30"/>
        <v>127</v>
      </c>
      <c r="X196" s="93" t="str">
        <f t="shared" si="31"/>
        <v>III</v>
      </c>
      <c r="Y196" s="93">
        <f t="shared" si="23"/>
        <v>3</v>
      </c>
      <c r="AA196" s="13"/>
      <c r="AB196" s="132"/>
      <c r="AC196" s="14"/>
      <c r="AD196"/>
    </row>
    <row r="197" spans="1:30">
      <c r="A197" t="s">
        <v>203</v>
      </c>
      <c r="B197" s="110">
        <v>6159200</v>
      </c>
      <c r="C197" s="267" t="s">
        <v>262</v>
      </c>
      <c r="D197" s="55"/>
      <c r="E197" s="92">
        <v>14.74678863370961</v>
      </c>
      <c r="F197" s="68">
        <f t="shared" si="24"/>
        <v>150</v>
      </c>
      <c r="G197" s="181"/>
      <c r="H197" s="276">
        <v>57912975.989305817</v>
      </c>
      <c r="I197" s="68">
        <f t="shared" si="25"/>
        <v>62.5</v>
      </c>
      <c r="J197" s="181"/>
      <c r="K197" s="277">
        <v>80582653.710395709</v>
      </c>
      <c r="L197" s="68">
        <f t="shared" si="26"/>
        <v>50</v>
      </c>
      <c r="M197" s="68"/>
      <c r="N197" s="290">
        <v>2600577664.9978828</v>
      </c>
      <c r="O197" s="68">
        <f t="shared" si="27"/>
        <v>40</v>
      </c>
      <c r="P197" s="68"/>
      <c r="Q197" s="276">
        <v>11430717.690899981</v>
      </c>
      <c r="R197" s="68">
        <f t="shared" si="28"/>
        <v>12.5</v>
      </c>
      <c r="S197" s="68"/>
      <c r="T197" s="56" t="s">
        <v>37</v>
      </c>
      <c r="U197" s="68">
        <f t="shared" si="29"/>
        <v>12.5</v>
      </c>
      <c r="V197" s="68"/>
      <c r="W197" s="69">
        <f t="shared" si="30"/>
        <v>327.5</v>
      </c>
      <c r="X197" s="93" t="str">
        <f t="shared" si="31"/>
        <v>I</v>
      </c>
      <c r="Y197" s="93">
        <f t="shared" si="23"/>
        <v>1</v>
      </c>
      <c r="AA197" s="13"/>
      <c r="AB197" s="132"/>
      <c r="AC197" s="14"/>
      <c r="AD197"/>
    </row>
    <row r="198" spans="1:30">
      <c r="A198" t="s">
        <v>69</v>
      </c>
      <c r="B198" s="110">
        <v>6161200</v>
      </c>
      <c r="C198" s="267" t="s">
        <v>263</v>
      </c>
      <c r="D198" s="55"/>
      <c r="E198" s="92">
        <v>2.7322727073286508</v>
      </c>
      <c r="F198" s="68">
        <f t="shared" si="24"/>
        <v>30</v>
      </c>
      <c r="G198" s="181"/>
      <c r="H198" s="276">
        <v>0</v>
      </c>
      <c r="I198" s="68">
        <f t="shared" si="25"/>
        <v>0</v>
      </c>
      <c r="J198" s="181"/>
      <c r="K198" s="277">
        <v>0</v>
      </c>
      <c r="L198" s="68">
        <f t="shared" si="26"/>
        <v>0</v>
      </c>
      <c r="M198" s="68"/>
      <c r="N198" s="290">
        <v>0</v>
      </c>
      <c r="O198" s="68">
        <f t="shared" si="27"/>
        <v>0</v>
      </c>
      <c r="P198" s="68"/>
      <c r="Q198" s="276">
        <v>0</v>
      </c>
      <c r="R198" s="68">
        <f t="shared" si="28"/>
        <v>0</v>
      </c>
      <c r="S198" s="68"/>
      <c r="T198" s="56" t="s">
        <v>37</v>
      </c>
      <c r="U198" s="68">
        <f t="shared" si="29"/>
        <v>12.5</v>
      </c>
      <c r="V198" s="68"/>
      <c r="W198" s="69">
        <f t="shared" si="30"/>
        <v>42.5</v>
      </c>
      <c r="X198" s="93" t="str">
        <f t="shared" si="31"/>
        <v>IV</v>
      </c>
      <c r="Y198" s="93">
        <f t="shared" si="23"/>
        <v>4</v>
      </c>
      <c r="AA198" s="13"/>
      <c r="AB198" s="132"/>
      <c r="AC198" s="14"/>
      <c r="AD198"/>
    </row>
    <row r="199" spans="1:30">
      <c r="A199" t="s">
        <v>95</v>
      </c>
      <c r="B199" s="110">
        <v>5045500</v>
      </c>
      <c r="C199" s="267" t="s">
        <v>264</v>
      </c>
      <c r="D199" s="55"/>
      <c r="E199" s="92">
        <v>2.7322727073286508</v>
      </c>
      <c r="F199" s="68">
        <f t="shared" si="24"/>
        <v>30</v>
      </c>
      <c r="G199" s="181"/>
      <c r="H199" s="276">
        <v>1605245.1494999963</v>
      </c>
      <c r="I199" s="68">
        <f t="shared" si="25"/>
        <v>25</v>
      </c>
      <c r="J199" s="181"/>
      <c r="K199" s="277">
        <v>24943608.047199804</v>
      </c>
      <c r="L199" s="68">
        <f t="shared" si="26"/>
        <v>20</v>
      </c>
      <c r="M199" s="68"/>
      <c r="N199" s="290">
        <v>696985026.23249793</v>
      </c>
      <c r="O199" s="68">
        <f t="shared" si="27"/>
        <v>13</v>
      </c>
      <c r="P199" s="68"/>
      <c r="Q199" s="276">
        <v>0</v>
      </c>
      <c r="R199" s="68">
        <f t="shared" si="28"/>
        <v>0</v>
      </c>
      <c r="S199" s="68"/>
      <c r="T199" s="56" t="s">
        <v>37</v>
      </c>
      <c r="U199" s="68">
        <f t="shared" si="29"/>
        <v>12.5</v>
      </c>
      <c r="V199" s="68"/>
      <c r="W199" s="69">
        <f t="shared" si="30"/>
        <v>100.5</v>
      </c>
      <c r="X199" s="93" t="str">
        <f t="shared" si="31"/>
        <v>IV</v>
      </c>
      <c r="Y199" s="93">
        <f t="shared" ref="Y199:Y243" si="32">IF(X199="IV",4,IF(X199="III",3,IF(X199="II",2,1)))</f>
        <v>4</v>
      </c>
      <c r="AA199" s="13"/>
      <c r="AB199" s="132"/>
      <c r="AC199" s="14"/>
      <c r="AD199"/>
    </row>
    <row r="200" spans="1:30">
      <c r="A200" t="s">
        <v>77</v>
      </c>
      <c r="B200" s="110">
        <v>6280900</v>
      </c>
      <c r="C200" s="267" t="s">
        <v>265</v>
      </c>
      <c r="D200" s="55"/>
      <c r="E200" s="92">
        <v>9.2594385343496839</v>
      </c>
      <c r="F200" s="68">
        <f t="shared" si="24"/>
        <v>45</v>
      </c>
      <c r="G200" s="181"/>
      <c r="H200" s="276">
        <v>17957066.722998001</v>
      </c>
      <c r="I200" s="68">
        <f t="shared" si="25"/>
        <v>37.5</v>
      </c>
      <c r="J200" s="181"/>
      <c r="K200" s="277">
        <v>34395854.490501545</v>
      </c>
      <c r="L200" s="68">
        <f t="shared" si="26"/>
        <v>20</v>
      </c>
      <c r="M200" s="68"/>
      <c r="N200" s="290">
        <v>1400951874.9235013</v>
      </c>
      <c r="O200" s="68">
        <f t="shared" si="27"/>
        <v>22</v>
      </c>
      <c r="P200" s="68"/>
      <c r="Q200" s="276">
        <v>5272385.2167999977</v>
      </c>
      <c r="R200" s="68">
        <f t="shared" si="28"/>
        <v>12.5</v>
      </c>
      <c r="S200" s="68"/>
      <c r="T200" s="56" t="s">
        <v>37</v>
      </c>
      <c r="U200" s="68">
        <f t="shared" si="29"/>
        <v>12.5</v>
      </c>
      <c r="V200" s="68"/>
      <c r="W200" s="69">
        <f t="shared" si="30"/>
        <v>149.5</v>
      </c>
      <c r="X200" s="93" t="str">
        <f t="shared" si="31"/>
        <v>III</v>
      </c>
      <c r="Y200" s="93">
        <f t="shared" si="32"/>
        <v>3</v>
      </c>
      <c r="AA200" s="13"/>
      <c r="AB200" s="132"/>
      <c r="AC200" s="14"/>
      <c r="AD200"/>
    </row>
    <row r="201" spans="1:30">
      <c r="A201" t="s">
        <v>103</v>
      </c>
      <c r="B201" s="110">
        <v>4151500</v>
      </c>
      <c r="C201" s="267" t="s">
        <v>266</v>
      </c>
      <c r="D201" s="55"/>
      <c r="E201" s="92">
        <v>2.6278315603049052</v>
      </c>
      <c r="F201" s="68">
        <f t="shared" si="24"/>
        <v>30</v>
      </c>
      <c r="G201" s="181"/>
      <c r="H201" s="276">
        <v>992847.41589999979</v>
      </c>
      <c r="I201" s="68">
        <f t="shared" si="25"/>
        <v>25</v>
      </c>
      <c r="J201" s="181"/>
      <c r="K201" s="277">
        <v>29647678.66100052</v>
      </c>
      <c r="L201" s="68">
        <f t="shared" si="26"/>
        <v>20</v>
      </c>
      <c r="M201" s="68"/>
      <c r="N201" s="290">
        <v>865567730.15989971</v>
      </c>
      <c r="O201" s="68">
        <f t="shared" si="27"/>
        <v>13</v>
      </c>
      <c r="P201" s="68"/>
      <c r="Q201" s="276">
        <v>0</v>
      </c>
      <c r="R201" s="68">
        <f t="shared" si="28"/>
        <v>0</v>
      </c>
      <c r="S201" s="68"/>
      <c r="T201" s="56" t="s">
        <v>37</v>
      </c>
      <c r="U201" s="68">
        <f t="shared" si="29"/>
        <v>12.5</v>
      </c>
      <c r="V201" s="68"/>
      <c r="W201" s="69">
        <f t="shared" si="30"/>
        <v>100.5</v>
      </c>
      <c r="X201" s="93" t="str">
        <f t="shared" si="31"/>
        <v>IV</v>
      </c>
      <c r="Y201" s="93">
        <f t="shared" si="32"/>
        <v>4</v>
      </c>
      <c r="AA201" s="13"/>
      <c r="AB201" s="132"/>
      <c r="AC201" s="14"/>
      <c r="AD201"/>
    </row>
    <row r="202" spans="1:30">
      <c r="A202" t="s">
        <v>203</v>
      </c>
      <c r="B202" s="110">
        <v>7241200</v>
      </c>
      <c r="C202" s="267" t="s">
        <v>267</v>
      </c>
      <c r="D202" s="55"/>
      <c r="E202" s="92">
        <v>7.1742174941464132</v>
      </c>
      <c r="F202" s="68">
        <f t="shared" si="24"/>
        <v>45</v>
      </c>
      <c r="G202" s="181"/>
      <c r="H202" s="276">
        <v>31090882.300199907</v>
      </c>
      <c r="I202" s="68">
        <f t="shared" si="25"/>
        <v>37.5</v>
      </c>
      <c r="J202" s="181"/>
      <c r="K202" s="277">
        <v>54217874.216799304</v>
      </c>
      <c r="L202" s="68">
        <f t="shared" si="26"/>
        <v>30</v>
      </c>
      <c r="M202" s="68"/>
      <c r="N202" s="290">
        <v>1291106466.6059031</v>
      </c>
      <c r="O202" s="68">
        <f t="shared" si="27"/>
        <v>13</v>
      </c>
      <c r="P202" s="68"/>
      <c r="Q202" s="276">
        <v>0</v>
      </c>
      <c r="R202" s="68">
        <f t="shared" si="28"/>
        <v>0</v>
      </c>
      <c r="S202" s="68"/>
      <c r="T202" s="56" t="s">
        <v>37</v>
      </c>
      <c r="U202" s="68">
        <f t="shared" si="29"/>
        <v>12.5</v>
      </c>
      <c r="V202" s="68"/>
      <c r="W202" s="69">
        <f t="shared" si="30"/>
        <v>138</v>
      </c>
      <c r="X202" s="93" t="str">
        <f t="shared" si="31"/>
        <v>III</v>
      </c>
      <c r="Y202" s="93">
        <f t="shared" si="32"/>
        <v>3</v>
      </c>
      <c r="AA202" s="13"/>
      <c r="AB202" s="132"/>
      <c r="AC202" s="14"/>
      <c r="AD202"/>
    </row>
    <row r="203" spans="1:30">
      <c r="A203" t="s">
        <v>95</v>
      </c>
      <c r="B203" s="110">
        <v>5162700</v>
      </c>
      <c r="C203" s="267" t="s">
        <v>268</v>
      </c>
      <c r="D203" s="55"/>
      <c r="E203" s="92">
        <v>9.2594385343496839</v>
      </c>
      <c r="F203" s="68">
        <f t="shared" si="24"/>
        <v>45</v>
      </c>
      <c r="G203" s="181"/>
      <c r="H203" s="276">
        <v>0</v>
      </c>
      <c r="I203" s="68">
        <f t="shared" si="25"/>
        <v>0</v>
      </c>
      <c r="J203" s="181"/>
      <c r="K203" s="277">
        <v>0</v>
      </c>
      <c r="L203" s="68">
        <f t="shared" si="26"/>
        <v>0</v>
      </c>
      <c r="M203" s="68"/>
      <c r="N203" s="290">
        <v>0</v>
      </c>
      <c r="O203" s="68">
        <f t="shared" si="27"/>
        <v>0</v>
      </c>
      <c r="P203" s="68"/>
      <c r="Q203" s="276">
        <v>0</v>
      </c>
      <c r="R203" s="68">
        <f t="shared" si="28"/>
        <v>0</v>
      </c>
      <c r="S203" s="68"/>
      <c r="T203" s="56" t="s">
        <v>37</v>
      </c>
      <c r="U203" s="68">
        <f t="shared" si="29"/>
        <v>12.5</v>
      </c>
      <c r="V203" s="68"/>
      <c r="W203" s="69">
        <f t="shared" si="30"/>
        <v>57.5</v>
      </c>
      <c r="X203" s="93" t="str">
        <f t="shared" si="31"/>
        <v>IV</v>
      </c>
      <c r="Y203" s="93">
        <f t="shared" si="32"/>
        <v>4</v>
      </c>
      <c r="AA203" s="13"/>
      <c r="AB203" s="132"/>
      <c r="AC203" s="14"/>
      <c r="AD203"/>
    </row>
    <row r="204" spans="1:30">
      <c r="A204" t="s">
        <v>73</v>
      </c>
      <c r="B204" s="110">
        <v>5073100</v>
      </c>
      <c r="C204" s="267" t="s">
        <v>269</v>
      </c>
      <c r="D204" s="55"/>
      <c r="E204" s="92">
        <v>9.2594385343496839</v>
      </c>
      <c r="F204" s="68">
        <f t="shared" si="24"/>
        <v>45</v>
      </c>
      <c r="G204" s="181"/>
      <c r="H204" s="276">
        <v>33794154.194399893</v>
      </c>
      <c r="I204" s="68">
        <f t="shared" si="25"/>
        <v>62.5</v>
      </c>
      <c r="J204" s="181"/>
      <c r="K204" s="277">
        <v>47691735.964398377</v>
      </c>
      <c r="L204" s="68">
        <f t="shared" si="26"/>
        <v>30</v>
      </c>
      <c r="M204" s="68"/>
      <c r="N204" s="290">
        <v>2221925640.1917019</v>
      </c>
      <c r="O204" s="68">
        <f t="shared" si="27"/>
        <v>40</v>
      </c>
      <c r="P204" s="68"/>
      <c r="Q204" s="276">
        <v>0</v>
      </c>
      <c r="R204" s="68">
        <f t="shared" si="28"/>
        <v>0</v>
      </c>
      <c r="S204" s="68"/>
      <c r="T204" s="56" t="s">
        <v>37</v>
      </c>
      <c r="U204" s="68">
        <f t="shared" si="29"/>
        <v>12.5</v>
      </c>
      <c r="V204" s="68"/>
      <c r="W204" s="69">
        <f t="shared" si="30"/>
        <v>190</v>
      </c>
      <c r="X204" s="93" t="str">
        <f t="shared" si="31"/>
        <v>III</v>
      </c>
      <c r="Y204" s="93">
        <f t="shared" si="32"/>
        <v>3</v>
      </c>
      <c r="AA204" s="13"/>
      <c r="AB204" s="132"/>
      <c r="AC204" s="14"/>
      <c r="AD204"/>
    </row>
    <row r="205" spans="1:30">
      <c r="A205" t="s">
        <v>73</v>
      </c>
      <c r="B205" s="110">
        <v>5055200</v>
      </c>
      <c r="C205" s="267" t="s">
        <v>270</v>
      </c>
      <c r="D205" s="55"/>
      <c r="E205" s="92">
        <v>8.6974104610671681</v>
      </c>
      <c r="F205" s="68">
        <f t="shared" si="24"/>
        <v>45</v>
      </c>
      <c r="G205" s="181"/>
      <c r="H205" s="276">
        <v>25507956.12940111</v>
      </c>
      <c r="I205" s="68">
        <f t="shared" si="25"/>
        <v>37.5</v>
      </c>
      <c r="J205" s="181"/>
      <c r="K205" s="277">
        <v>49742139.930099487</v>
      </c>
      <c r="L205" s="68">
        <f t="shared" si="26"/>
        <v>30</v>
      </c>
      <c r="M205" s="68"/>
      <c r="N205" s="290">
        <v>2784668320.1004972</v>
      </c>
      <c r="O205" s="68">
        <f t="shared" si="27"/>
        <v>75</v>
      </c>
      <c r="P205" s="68"/>
      <c r="Q205" s="276">
        <v>6386535.4437999995</v>
      </c>
      <c r="R205" s="68">
        <f t="shared" si="28"/>
        <v>12.5</v>
      </c>
      <c r="S205" s="68"/>
      <c r="T205" s="56" t="s">
        <v>37</v>
      </c>
      <c r="U205" s="68">
        <f t="shared" si="29"/>
        <v>12.5</v>
      </c>
      <c r="V205" s="68"/>
      <c r="W205" s="69">
        <f t="shared" si="30"/>
        <v>212.5</v>
      </c>
      <c r="X205" s="93" t="str">
        <f t="shared" si="31"/>
        <v>II</v>
      </c>
      <c r="Y205" s="93">
        <f t="shared" si="32"/>
        <v>2</v>
      </c>
      <c r="AA205" s="13"/>
      <c r="AB205" s="132"/>
      <c r="AC205" s="14"/>
      <c r="AD205"/>
    </row>
    <row r="206" spans="1:30">
      <c r="A206" t="s">
        <v>95</v>
      </c>
      <c r="B206" s="110">
        <v>5047300</v>
      </c>
      <c r="C206" s="267" t="s">
        <v>271</v>
      </c>
      <c r="D206" s="55"/>
      <c r="E206" s="92">
        <v>8.0501613475813816</v>
      </c>
      <c r="F206" s="68">
        <f t="shared" si="24"/>
        <v>45</v>
      </c>
      <c r="G206" s="181"/>
      <c r="H206" s="276">
        <v>33053001.385301244</v>
      </c>
      <c r="I206" s="68">
        <f t="shared" si="25"/>
        <v>62.5</v>
      </c>
      <c r="J206" s="181"/>
      <c r="K206" s="277">
        <v>46810656.02449961</v>
      </c>
      <c r="L206" s="68">
        <f t="shared" si="26"/>
        <v>30</v>
      </c>
      <c r="M206" s="68"/>
      <c r="N206" s="290">
        <v>1884710874.9129097</v>
      </c>
      <c r="O206" s="68">
        <f t="shared" si="27"/>
        <v>22</v>
      </c>
      <c r="P206" s="68"/>
      <c r="Q206" s="276">
        <v>10874408.243899986</v>
      </c>
      <c r="R206" s="68">
        <f t="shared" si="28"/>
        <v>12.5</v>
      </c>
      <c r="S206" s="68"/>
      <c r="T206" s="56" t="s">
        <v>37</v>
      </c>
      <c r="U206" s="68">
        <f t="shared" si="29"/>
        <v>12.5</v>
      </c>
      <c r="V206" s="68"/>
      <c r="W206" s="69">
        <f t="shared" si="30"/>
        <v>184.5</v>
      </c>
      <c r="X206" s="93" t="str">
        <f t="shared" si="31"/>
        <v>III</v>
      </c>
      <c r="Y206" s="93">
        <f t="shared" si="32"/>
        <v>3</v>
      </c>
      <c r="AA206" s="13"/>
      <c r="AB206" s="132"/>
      <c r="AC206" s="14"/>
      <c r="AD206"/>
    </row>
    <row r="207" spans="1:30">
      <c r="A207" t="s">
        <v>103</v>
      </c>
      <c r="B207" s="110">
        <v>3947200</v>
      </c>
      <c r="C207" s="267" t="s">
        <v>272</v>
      </c>
      <c r="D207" s="55"/>
      <c r="E207" s="92">
        <v>6.2982736407114448</v>
      </c>
      <c r="F207" s="68">
        <f t="shared" si="24"/>
        <v>30</v>
      </c>
      <c r="G207" s="181"/>
      <c r="H207" s="276">
        <v>12818543.115799975</v>
      </c>
      <c r="I207" s="68">
        <f t="shared" si="25"/>
        <v>25</v>
      </c>
      <c r="J207" s="181"/>
      <c r="K207" s="277">
        <v>38794113.370099425</v>
      </c>
      <c r="L207" s="68">
        <f t="shared" si="26"/>
        <v>30</v>
      </c>
      <c r="M207" s="68"/>
      <c r="N207" s="290">
        <v>1430041114.8253124</v>
      </c>
      <c r="O207" s="68">
        <f t="shared" si="27"/>
        <v>22</v>
      </c>
      <c r="P207" s="68"/>
      <c r="Q207" s="276">
        <v>0</v>
      </c>
      <c r="R207" s="68">
        <f t="shared" si="28"/>
        <v>0</v>
      </c>
      <c r="S207" s="68"/>
      <c r="T207" s="56" t="s">
        <v>37</v>
      </c>
      <c r="U207" s="68">
        <f t="shared" si="29"/>
        <v>12.5</v>
      </c>
      <c r="V207" s="68"/>
      <c r="W207" s="69">
        <f t="shared" si="30"/>
        <v>119.5</v>
      </c>
      <c r="X207" s="93" t="str">
        <f t="shared" si="31"/>
        <v>IV</v>
      </c>
      <c r="Y207" s="93">
        <f t="shared" si="32"/>
        <v>4</v>
      </c>
      <c r="AA207" s="13"/>
      <c r="AB207" s="132"/>
      <c r="AC207" s="14"/>
      <c r="AD207"/>
    </row>
    <row r="208" spans="1:30">
      <c r="A208" t="s">
        <v>105</v>
      </c>
      <c r="B208" s="110">
        <v>6141100</v>
      </c>
      <c r="C208" s="267" t="s">
        <v>273</v>
      </c>
      <c r="D208" s="55"/>
      <c r="E208" s="92">
        <v>13.451626030645102</v>
      </c>
      <c r="F208" s="68">
        <f t="shared" si="24"/>
        <v>75</v>
      </c>
      <c r="G208" s="181"/>
      <c r="H208" s="276">
        <v>100870942.00690612</v>
      </c>
      <c r="I208" s="68">
        <f t="shared" si="25"/>
        <v>125</v>
      </c>
      <c r="J208" s="181"/>
      <c r="K208" s="277">
        <v>98862532.142499447</v>
      </c>
      <c r="L208" s="68">
        <f t="shared" si="26"/>
        <v>100</v>
      </c>
      <c r="M208" s="68"/>
      <c r="N208" s="290">
        <v>2203896386.2763944</v>
      </c>
      <c r="O208" s="68">
        <f t="shared" si="27"/>
        <v>40</v>
      </c>
      <c r="P208" s="68"/>
      <c r="Q208" s="276">
        <v>0</v>
      </c>
      <c r="R208" s="68">
        <f t="shared" si="28"/>
        <v>0</v>
      </c>
      <c r="S208" s="68"/>
      <c r="T208" s="56" t="s">
        <v>37</v>
      </c>
      <c r="U208" s="68">
        <f t="shared" si="29"/>
        <v>12.5</v>
      </c>
      <c r="V208" s="68"/>
      <c r="W208" s="69">
        <f t="shared" si="30"/>
        <v>352.5</v>
      </c>
      <c r="X208" s="93" t="str">
        <f t="shared" si="31"/>
        <v>I</v>
      </c>
      <c r="Y208" s="93">
        <f t="shared" si="32"/>
        <v>1</v>
      </c>
      <c r="AA208" s="13"/>
      <c r="AB208" s="132"/>
      <c r="AC208" s="14"/>
      <c r="AD208"/>
    </row>
    <row r="209" spans="1:30">
      <c r="A209" t="s">
        <v>105</v>
      </c>
      <c r="B209" s="110">
        <v>6178400</v>
      </c>
      <c r="C209" s="267" t="s">
        <v>274</v>
      </c>
      <c r="D209" s="55"/>
      <c r="E209" s="92">
        <v>9.2594385343496839</v>
      </c>
      <c r="F209" s="68">
        <f t="shared" si="24"/>
        <v>45</v>
      </c>
      <c r="G209" s="181"/>
      <c r="H209" s="276">
        <v>28014398.130699214</v>
      </c>
      <c r="I209" s="68">
        <f t="shared" si="25"/>
        <v>37.5</v>
      </c>
      <c r="J209" s="181"/>
      <c r="K209" s="277">
        <v>39093801.900599405</v>
      </c>
      <c r="L209" s="68">
        <f t="shared" si="26"/>
        <v>30</v>
      </c>
      <c r="M209" s="68"/>
      <c r="N209" s="290">
        <v>1183837636.0279012</v>
      </c>
      <c r="O209" s="68">
        <f t="shared" si="27"/>
        <v>13</v>
      </c>
      <c r="P209" s="68"/>
      <c r="Q209" s="276">
        <v>0</v>
      </c>
      <c r="R209" s="68">
        <f t="shared" si="28"/>
        <v>0</v>
      </c>
      <c r="S209" s="68"/>
      <c r="T209" s="56" t="s">
        <v>37</v>
      </c>
      <c r="U209" s="68">
        <f t="shared" si="29"/>
        <v>12.5</v>
      </c>
      <c r="V209" s="68"/>
      <c r="W209" s="69">
        <f t="shared" si="30"/>
        <v>138</v>
      </c>
      <c r="X209" s="93" t="str">
        <f t="shared" si="31"/>
        <v>III</v>
      </c>
      <c r="Y209" s="93">
        <f t="shared" si="32"/>
        <v>3</v>
      </c>
      <c r="AA209" s="13"/>
      <c r="AB209" s="132"/>
      <c r="AC209" s="14"/>
      <c r="AD209"/>
    </row>
    <row r="210" spans="1:30">
      <c r="A210" t="s">
        <v>84</v>
      </c>
      <c r="B210" s="110">
        <v>3588200</v>
      </c>
      <c r="C210" s="267" t="s">
        <v>275</v>
      </c>
      <c r="D210" s="55"/>
      <c r="E210" s="92">
        <v>4.9843578605589922</v>
      </c>
      <c r="F210" s="68">
        <f t="shared" si="24"/>
        <v>30</v>
      </c>
      <c r="G210" s="181"/>
      <c r="H210" s="276">
        <v>0</v>
      </c>
      <c r="I210" s="68">
        <f t="shared" si="25"/>
        <v>0</v>
      </c>
      <c r="J210" s="181"/>
      <c r="K210" s="277">
        <v>0</v>
      </c>
      <c r="L210" s="68">
        <f t="shared" si="26"/>
        <v>0</v>
      </c>
      <c r="M210" s="68"/>
      <c r="N210" s="290">
        <v>0</v>
      </c>
      <c r="O210" s="68">
        <f t="shared" si="27"/>
        <v>0</v>
      </c>
      <c r="P210" s="68"/>
      <c r="Q210" s="276">
        <v>0</v>
      </c>
      <c r="R210" s="68">
        <f t="shared" si="28"/>
        <v>0</v>
      </c>
      <c r="S210" s="68"/>
      <c r="T210" s="56" t="s">
        <v>37</v>
      </c>
      <c r="U210" s="68">
        <f t="shared" si="29"/>
        <v>12.5</v>
      </c>
      <c r="V210" s="68"/>
      <c r="W210" s="69">
        <f t="shared" si="30"/>
        <v>42.5</v>
      </c>
      <c r="X210" s="93" t="str">
        <f t="shared" si="31"/>
        <v>IV</v>
      </c>
      <c r="Y210" s="93">
        <f t="shared" si="32"/>
        <v>4</v>
      </c>
      <c r="AA210" s="13"/>
      <c r="AB210" s="132"/>
      <c r="AC210" s="14"/>
      <c r="AD210"/>
    </row>
    <row r="211" spans="1:30">
      <c r="A211" t="s">
        <v>203</v>
      </c>
      <c r="B211" s="110">
        <v>7920200</v>
      </c>
      <c r="C211" s="267" t="s">
        <v>276</v>
      </c>
      <c r="D211" s="55"/>
      <c r="E211" s="92">
        <v>4.9843578605589922</v>
      </c>
      <c r="F211" s="68">
        <f t="shared" ref="F211:F274" si="33">IF(E211=0,0,IF(E211&lt;=E$11,G$11,IF(E211&lt;=E$10,G$10,IF(E211&lt;=E$9,G$9,G$8))))</f>
        <v>30</v>
      </c>
      <c r="G211" s="181"/>
      <c r="H211" s="276">
        <v>11978853.216699935</v>
      </c>
      <c r="I211" s="68">
        <f t="shared" ref="I211:I274" si="34">IF(H211=0,0,IF(H211&lt;=H$11,J$11,IF(H211&lt;=H$10,J$10,IF(H211&lt;=H$9,J$9,J$8))))</f>
        <v>25</v>
      </c>
      <c r="J211" s="181"/>
      <c r="K211" s="277">
        <v>18562033.607399855</v>
      </c>
      <c r="L211" s="68">
        <f t="shared" ref="L211:L274" si="35">IF(K211=0,0,IF(K211&lt;=K$11,M$11,IF(K211&lt;=K$10,M$10,IF(K211&lt;=K$9,M$9,M$8))))</f>
        <v>20</v>
      </c>
      <c r="M211" s="68"/>
      <c r="N211" s="290">
        <v>704964564.8023994</v>
      </c>
      <c r="O211" s="68">
        <f t="shared" ref="O211:O274" si="36">IF(N211=0,0,IF(N211&lt;=N$11,P$11,IF(N211&lt;=N$10,P$10,IF(N211&lt;=N$9,P$9,P$8))))</f>
        <v>13</v>
      </c>
      <c r="P211" s="68"/>
      <c r="Q211" s="276">
        <v>0</v>
      </c>
      <c r="R211" s="68">
        <f t="shared" ref="R211:R274" si="37">IF(Q211=0,0,IF(Q211&lt;=Q$11,S$11,IF(Q211&lt;=Q$10,S$10,IF(Q211&lt;=Q$9,S$9,S$8))))</f>
        <v>0</v>
      </c>
      <c r="S211" s="68"/>
      <c r="T211" s="56" t="s">
        <v>37</v>
      </c>
      <c r="U211" s="68">
        <f t="shared" ref="U211:U274" si="38">IF(T211=0,0,IF(T211=T$9,V$9,V$8))</f>
        <v>12.5</v>
      </c>
      <c r="V211" s="68"/>
      <c r="W211" s="69">
        <f t="shared" ref="W211:W274" si="39">F211+I211+L211+O211+R211+U211</f>
        <v>100.5</v>
      </c>
      <c r="X211" s="93" t="str">
        <f t="shared" si="31"/>
        <v>IV</v>
      </c>
      <c r="Y211" s="93">
        <f t="shared" si="32"/>
        <v>4</v>
      </c>
      <c r="AA211" s="13"/>
      <c r="AB211" s="132"/>
      <c r="AC211" s="14"/>
      <c r="AD211"/>
    </row>
    <row r="212" spans="1:30">
      <c r="A212" t="s">
        <v>203</v>
      </c>
      <c r="B212" s="110">
        <v>6842200</v>
      </c>
      <c r="C212" s="267" t="s">
        <v>277</v>
      </c>
      <c r="D212" s="55"/>
      <c r="E212" s="92">
        <v>7.6121894208638974</v>
      </c>
      <c r="F212" s="68">
        <f t="shared" si="33"/>
        <v>45</v>
      </c>
      <c r="G212" s="181"/>
      <c r="H212" s="276">
        <v>21469764.215399802</v>
      </c>
      <c r="I212" s="68">
        <f t="shared" si="34"/>
        <v>37.5</v>
      </c>
      <c r="J212" s="181"/>
      <c r="K212" s="277">
        <v>45229321.723099589</v>
      </c>
      <c r="L212" s="68">
        <f t="shared" si="35"/>
        <v>30</v>
      </c>
      <c r="M212" s="68"/>
      <c r="N212" s="290">
        <v>2424890816.3234029</v>
      </c>
      <c r="O212" s="68">
        <f t="shared" si="36"/>
        <v>40</v>
      </c>
      <c r="P212" s="68"/>
      <c r="Q212" s="276">
        <v>9578102.6776999943</v>
      </c>
      <c r="R212" s="68">
        <f t="shared" si="37"/>
        <v>12.5</v>
      </c>
      <c r="S212" s="68"/>
      <c r="T212" s="56" t="s">
        <v>37</v>
      </c>
      <c r="U212" s="68">
        <f t="shared" si="38"/>
        <v>12.5</v>
      </c>
      <c r="V212" s="68"/>
      <c r="W212" s="69">
        <f t="shared" si="39"/>
        <v>177.5</v>
      </c>
      <c r="X212" s="93" t="str">
        <f t="shared" ref="X212:X275" si="40">IF(W212&lt;=$Y$11,$W$11,IF(W212&lt;=$Y$10,$W$10,IF(W212&lt;=$Y$9,$W$9,$W$8)))</f>
        <v>III</v>
      </c>
      <c r="Y212" s="93">
        <f t="shared" si="32"/>
        <v>3</v>
      </c>
      <c r="AA212" s="13"/>
      <c r="AB212" s="132"/>
      <c r="AC212" s="14"/>
      <c r="AD212"/>
    </row>
    <row r="213" spans="1:30">
      <c r="A213" t="s">
        <v>77</v>
      </c>
      <c r="B213" s="110">
        <v>6279800</v>
      </c>
      <c r="C213" s="267" t="s">
        <v>278</v>
      </c>
      <c r="D213" s="55"/>
      <c r="E213" s="92">
        <v>6.1316069740447787</v>
      </c>
      <c r="F213" s="68">
        <f t="shared" si="33"/>
        <v>30</v>
      </c>
      <c r="G213" s="181"/>
      <c r="H213" s="276">
        <v>10780089.063399965</v>
      </c>
      <c r="I213" s="68">
        <f t="shared" si="34"/>
        <v>25</v>
      </c>
      <c r="J213" s="181"/>
      <c r="K213" s="277">
        <v>37893172.124599569</v>
      </c>
      <c r="L213" s="68">
        <f t="shared" si="35"/>
        <v>30</v>
      </c>
      <c r="M213" s="68"/>
      <c r="N213" s="290">
        <v>1217965083.7578006</v>
      </c>
      <c r="O213" s="68">
        <f t="shared" si="36"/>
        <v>13</v>
      </c>
      <c r="P213" s="68"/>
      <c r="Q213" s="276">
        <v>0</v>
      </c>
      <c r="R213" s="68">
        <f t="shared" si="37"/>
        <v>0</v>
      </c>
      <c r="S213" s="68"/>
      <c r="T213" s="56" t="s">
        <v>37</v>
      </c>
      <c r="U213" s="68">
        <f t="shared" si="38"/>
        <v>12.5</v>
      </c>
      <c r="V213" s="68"/>
      <c r="W213" s="69">
        <f t="shared" si="39"/>
        <v>110.5</v>
      </c>
      <c r="X213" s="93" t="str">
        <f t="shared" si="40"/>
        <v>IV</v>
      </c>
      <c r="Y213" s="93">
        <f t="shared" si="32"/>
        <v>4</v>
      </c>
      <c r="AA213" s="13"/>
      <c r="AB213" s="132"/>
      <c r="AC213" s="14"/>
      <c r="AD213"/>
    </row>
    <row r="214" spans="1:30">
      <c r="A214" t="s">
        <v>99</v>
      </c>
      <c r="B214" s="110">
        <v>6269500</v>
      </c>
      <c r="C214" s="267" t="s">
        <v>279</v>
      </c>
      <c r="D214" s="55"/>
      <c r="E214" s="92">
        <v>13.451626030645102</v>
      </c>
      <c r="F214" s="68">
        <f t="shared" si="33"/>
        <v>75</v>
      </c>
      <c r="G214" s="181"/>
      <c r="H214" s="276">
        <v>32679721.932602316</v>
      </c>
      <c r="I214" s="68">
        <f t="shared" si="34"/>
        <v>37.5</v>
      </c>
      <c r="J214" s="181"/>
      <c r="K214" s="277">
        <v>71040587.961701438</v>
      </c>
      <c r="L214" s="68">
        <f t="shared" si="35"/>
        <v>50</v>
      </c>
      <c r="M214" s="68"/>
      <c r="N214" s="290">
        <v>3162041296.5985894</v>
      </c>
      <c r="O214" s="68">
        <f t="shared" si="36"/>
        <v>75</v>
      </c>
      <c r="P214" s="68"/>
      <c r="Q214" s="276">
        <v>20078215.629099809</v>
      </c>
      <c r="R214" s="68">
        <f t="shared" si="37"/>
        <v>25</v>
      </c>
      <c r="S214" s="68"/>
      <c r="T214" s="56" t="s">
        <v>37</v>
      </c>
      <c r="U214" s="68">
        <f t="shared" si="38"/>
        <v>12.5</v>
      </c>
      <c r="V214" s="68"/>
      <c r="W214" s="69">
        <f t="shared" si="39"/>
        <v>275</v>
      </c>
      <c r="X214" s="93" t="str">
        <f t="shared" si="40"/>
        <v>II</v>
      </c>
      <c r="Y214" s="93">
        <f t="shared" si="32"/>
        <v>2</v>
      </c>
      <c r="AA214" s="13"/>
      <c r="AB214" s="132"/>
      <c r="AC214" s="14"/>
      <c r="AD214"/>
    </row>
    <row r="215" spans="1:30">
      <c r="A215" t="s">
        <v>99</v>
      </c>
      <c r="B215" s="110">
        <v>6255500</v>
      </c>
      <c r="C215" s="267" t="s">
        <v>280</v>
      </c>
      <c r="D215" s="55"/>
      <c r="E215" s="92">
        <v>8.2594385343496839</v>
      </c>
      <c r="F215" s="68">
        <f t="shared" si="33"/>
        <v>45</v>
      </c>
      <c r="G215" s="181"/>
      <c r="H215" s="276">
        <v>10544638.456999956</v>
      </c>
      <c r="I215" s="68">
        <f t="shared" si="34"/>
        <v>25</v>
      </c>
      <c r="J215" s="181"/>
      <c r="K215" s="277">
        <v>21071125.489405911</v>
      </c>
      <c r="L215" s="68">
        <f t="shared" si="35"/>
        <v>20</v>
      </c>
      <c r="M215" s="68"/>
      <c r="N215" s="290">
        <v>1084066378.0677941</v>
      </c>
      <c r="O215" s="68">
        <f t="shared" si="36"/>
        <v>13</v>
      </c>
      <c r="P215" s="68"/>
      <c r="Q215" s="276">
        <v>13652761.798297923</v>
      </c>
      <c r="R215" s="68">
        <f t="shared" si="37"/>
        <v>12.5</v>
      </c>
      <c r="S215" s="68"/>
      <c r="T215" s="56" t="s">
        <v>37</v>
      </c>
      <c r="U215" s="68">
        <f t="shared" si="38"/>
        <v>12.5</v>
      </c>
      <c r="V215" s="68"/>
      <c r="W215" s="69">
        <f t="shared" si="39"/>
        <v>128</v>
      </c>
      <c r="X215" s="93" t="str">
        <f t="shared" si="40"/>
        <v>III</v>
      </c>
      <c r="Y215" s="93">
        <f t="shared" si="32"/>
        <v>3</v>
      </c>
      <c r="AA215" s="13"/>
      <c r="AB215" s="132"/>
      <c r="AC215" s="14"/>
      <c r="AD215"/>
    </row>
    <row r="216" spans="1:30">
      <c r="A216" t="s">
        <v>99</v>
      </c>
      <c r="B216" s="110">
        <v>7835200</v>
      </c>
      <c r="C216" s="267" t="s">
        <v>281</v>
      </c>
      <c r="D216" s="55"/>
      <c r="E216" s="92">
        <v>6.4649403073781135</v>
      </c>
      <c r="F216" s="68">
        <f t="shared" si="33"/>
        <v>30</v>
      </c>
      <c r="G216" s="181"/>
      <c r="H216" s="276">
        <v>2479812.2522999933</v>
      </c>
      <c r="I216" s="68">
        <f t="shared" si="34"/>
        <v>25</v>
      </c>
      <c r="J216" s="181"/>
      <c r="K216" s="277">
        <v>31540584.117203776</v>
      </c>
      <c r="L216" s="68">
        <f t="shared" si="35"/>
        <v>20</v>
      </c>
      <c r="M216" s="68"/>
      <c r="N216" s="290">
        <v>1433357717.4900143</v>
      </c>
      <c r="O216" s="68">
        <f t="shared" si="36"/>
        <v>22</v>
      </c>
      <c r="P216" s="68"/>
      <c r="Q216" s="276">
        <v>0</v>
      </c>
      <c r="R216" s="68">
        <f t="shared" si="37"/>
        <v>0</v>
      </c>
      <c r="S216" s="68"/>
      <c r="T216" s="56" t="s">
        <v>37</v>
      </c>
      <c r="U216" s="68">
        <f t="shared" si="38"/>
        <v>12.5</v>
      </c>
      <c r="V216" s="68"/>
      <c r="W216" s="69">
        <f t="shared" si="39"/>
        <v>109.5</v>
      </c>
      <c r="X216" s="93" t="str">
        <f t="shared" si="40"/>
        <v>IV</v>
      </c>
      <c r="Y216" s="93">
        <f t="shared" si="32"/>
        <v>4</v>
      </c>
      <c r="AA216" s="13"/>
      <c r="AB216" s="132"/>
      <c r="AC216" s="14"/>
      <c r="AD216"/>
    </row>
    <row r="217" spans="1:30">
      <c r="A217" t="s">
        <v>99</v>
      </c>
      <c r="B217" s="110">
        <v>7840200</v>
      </c>
      <c r="C217" s="267" t="s">
        <v>282</v>
      </c>
      <c r="D217" s="55"/>
      <c r="E217" s="92">
        <v>7.1645087175559734</v>
      </c>
      <c r="F217" s="68">
        <f t="shared" si="33"/>
        <v>45</v>
      </c>
      <c r="G217" s="181"/>
      <c r="H217" s="276">
        <v>17890002.112099815</v>
      </c>
      <c r="I217" s="68">
        <f t="shared" si="34"/>
        <v>37.5</v>
      </c>
      <c r="J217" s="181"/>
      <c r="K217" s="277">
        <v>24948536.302900847</v>
      </c>
      <c r="L217" s="68">
        <f t="shared" si="35"/>
        <v>20</v>
      </c>
      <c r="M217" s="68"/>
      <c r="N217" s="290">
        <v>1096904008.7159033</v>
      </c>
      <c r="O217" s="68">
        <f t="shared" si="36"/>
        <v>13</v>
      </c>
      <c r="P217" s="68"/>
      <c r="Q217" s="276">
        <v>0</v>
      </c>
      <c r="R217" s="68">
        <f t="shared" si="37"/>
        <v>0</v>
      </c>
      <c r="S217" s="68"/>
      <c r="T217" s="56" t="s">
        <v>37</v>
      </c>
      <c r="U217" s="68">
        <f t="shared" si="38"/>
        <v>12.5</v>
      </c>
      <c r="V217" s="68"/>
      <c r="W217" s="69">
        <f t="shared" si="39"/>
        <v>128</v>
      </c>
      <c r="X217" s="93" t="str">
        <f t="shared" si="40"/>
        <v>III</v>
      </c>
      <c r="Y217" s="93">
        <f t="shared" si="32"/>
        <v>3</v>
      </c>
      <c r="AA217" s="13"/>
      <c r="AB217" s="132"/>
      <c r="AC217" s="14"/>
      <c r="AD217"/>
    </row>
    <row r="218" spans="1:30">
      <c r="A218" t="s">
        <v>99</v>
      </c>
      <c r="B218" s="110">
        <v>6245500</v>
      </c>
      <c r="C218" s="267" t="s">
        <v>283</v>
      </c>
      <c r="D218" s="55"/>
      <c r="E218" s="92">
        <v>5.3388977307629419</v>
      </c>
      <c r="F218" s="68">
        <f t="shared" si="33"/>
        <v>30</v>
      </c>
      <c r="G218" s="181"/>
      <c r="H218" s="276">
        <v>1790772.6832999969</v>
      </c>
      <c r="I218" s="68">
        <f t="shared" si="34"/>
        <v>25</v>
      </c>
      <c r="J218" s="181"/>
      <c r="K218" s="277">
        <v>11672017.648299983</v>
      </c>
      <c r="L218" s="68">
        <f t="shared" si="35"/>
        <v>20</v>
      </c>
      <c r="M218" s="68"/>
      <c r="N218" s="290">
        <v>547589912.25469851</v>
      </c>
      <c r="O218" s="68">
        <f t="shared" si="36"/>
        <v>13</v>
      </c>
      <c r="P218" s="68"/>
      <c r="Q218" s="276">
        <v>0</v>
      </c>
      <c r="R218" s="68">
        <f t="shared" si="37"/>
        <v>0</v>
      </c>
      <c r="S218" s="68"/>
      <c r="T218" s="56" t="s">
        <v>37</v>
      </c>
      <c r="U218" s="68">
        <f t="shared" si="38"/>
        <v>12.5</v>
      </c>
      <c r="V218" s="68"/>
      <c r="W218" s="69">
        <f t="shared" si="39"/>
        <v>100.5</v>
      </c>
      <c r="X218" s="93" t="str">
        <f t="shared" si="40"/>
        <v>IV</v>
      </c>
      <c r="Y218" s="93">
        <f t="shared" si="32"/>
        <v>4</v>
      </c>
      <c r="AA218" s="13"/>
      <c r="AB218" s="132"/>
      <c r="AC218" s="14"/>
      <c r="AD218"/>
    </row>
    <row r="219" spans="1:30">
      <c r="A219" t="s">
        <v>99</v>
      </c>
      <c r="B219" s="110">
        <v>6278700</v>
      </c>
      <c r="C219" s="267" t="s">
        <v>284</v>
      </c>
      <c r="D219" s="55"/>
      <c r="E219" s="92">
        <v>16.041951236774121</v>
      </c>
      <c r="F219" s="68">
        <f t="shared" si="33"/>
        <v>150</v>
      </c>
      <c r="G219" s="181"/>
      <c r="H219" s="276">
        <v>150996817.44172624</v>
      </c>
      <c r="I219" s="68">
        <f t="shared" si="34"/>
        <v>125</v>
      </c>
      <c r="J219" s="181"/>
      <c r="K219" s="277">
        <v>159730828.98177996</v>
      </c>
      <c r="L219" s="68">
        <f t="shared" si="35"/>
        <v>100</v>
      </c>
      <c r="M219" s="68"/>
      <c r="N219" s="290">
        <v>2278093525.9090977</v>
      </c>
      <c r="O219" s="68">
        <f t="shared" si="36"/>
        <v>40</v>
      </c>
      <c r="P219" s="68"/>
      <c r="Q219" s="276">
        <v>0</v>
      </c>
      <c r="R219" s="68">
        <f t="shared" si="37"/>
        <v>0</v>
      </c>
      <c r="S219" s="68"/>
      <c r="T219" s="56" t="s">
        <v>32</v>
      </c>
      <c r="U219" s="68">
        <f t="shared" si="38"/>
        <v>25</v>
      </c>
      <c r="V219" s="68"/>
      <c r="W219" s="69">
        <f t="shared" si="39"/>
        <v>440</v>
      </c>
      <c r="X219" s="93" t="str">
        <f t="shared" si="40"/>
        <v>I</v>
      </c>
      <c r="Y219" s="93">
        <f t="shared" si="32"/>
        <v>1</v>
      </c>
      <c r="AA219" s="13"/>
      <c r="AB219" s="132"/>
      <c r="AC219" s="14"/>
      <c r="AD219"/>
    </row>
    <row r="220" spans="1:30">
      <c r="A220" t="s">
        <v>99</v>
      </c>
      <c r="B220" s="110">
        <v>6278800</v>
      </c>
      <c r="C220" s="267" t="s">
        <v>285</v>
      </c>
      <c r="D220" s="55"/>
      <c r="E220" s="92">
        <v>16.041951236774121</v>
      </c>
      <c r="F220" s="68">
        <f t="shared" si="33"/>
        <v>150</v>
      </c>
      <c r="G220" s="181"/>
      <c r="H220" s="276">
        <v>146469009.44042224</v>
      </c>
      <c r="I220" s="68">
        <f t="shared" si="34"/>
        <v>125</v>
      </c>
      <c r="J220" s="181"/>
      <c r="K220" s="277">
        <v>154704670.26132137</v>
      </c>
      <c r="L220" s="68">
        <f t="shared" si="35"/>
        <v>100</v>
      </c>
      <c r="M220" s="68"/>
      <c r="N220" s="290">
        <v>2327582654.338798</v>
      </c>
      <c r="O220" s="68">
        <f t="shared" si="36"/>
        <v>40</v>
      </c>
      <c r="P220" s="68"/>
      <c r="Q220" s="276">
        <v>0</v>
      </c>
      <c r="R220" s="68">
        <f t="shared" si="37"/>
        <v>0</v>
      </c>
      <c r="S220" s="68"/>
      <c r="T220" s="56" t="s">
        <v>32</v>
      </c>
      <c r="U220" s="68">
        <f t="shared" si="38"/>
        <v>25</v>
      </c>
      <c r="V220" s="68"/>
      <c r="W220" s="69">
        <f t="shared" si="39"/>
        <v>440</v>
      </c>
      <c r="X220" s="93" t="str">
        <f t="shared" si="40"/>
        <v>I</v>
      </c>
      <c r="Y220" s="93">
        <f t="shared" si="32"/>
        <v>1</v>
      </c>
      <c r="AA220" s="13"/>
      <c r="AB220" s="132"/>
      <c r="AC220" s="14"/>
      <c r="AD220"/>
    </row>
    <row r="221" spans="1:30">
      <c r="A221" t="s">
        <v>67</v>
      </c>
      <c r="B221" s="110">
        <v>4060200</v>
      </c>
      <c r="C221" s="267" t="s">
        <v>286</v>
      </c>
      <c r="D221" s="55"/>
      <c r="E221" s="92">
        <v>6.4649403073781126</v>
      </c>
      <c r="F221" s="68">
        <f t="shared" si="33"/>
        <v>30</v>
      </c>
      <c r="G221" s="181"/>
      <c r="H221" s="276">
        <v>0</v>
      </c>
      <c r="I221" s="68">
        <f t="shared" si="34"/>
        <v>0</v>
      </c>
      <c r="J221" s="181"/>
      <c r="K221" s="277">
        <v>0</v>
      </c>
      <c r="L221" s="68">
        <f t="shared" si="35"/>
        <v>0</v>
      </c>
      <c r="M221" s="68"/>
      <c r="N221" s="290">
        <v>0</v>
      </c>
      <c r="O221" s="68">
        <f t="shared" si="36"/>
        <v>0</v>
      </c>
      <c r="P221" s="68"/>
      <c r="Q221" s="276">
        <v>0</v>
      </c>
      <c r="R221" s="68">
        <f t="shared" si="37"/>
        <v>0</v>
      </c>
      <c r="S221" s="68"/>
      <c r="T221" s="56" t="s">
        <v>37</v>
      </c>
      <c r="U221" s="68">
        <f t="shared" si="38"/>
        <v>12.5</v>
      </c>
      <c r="V221" s="68"/>
      <c r="W221" s="69">
        <f t="shared" si="39"/>
        <v>42.5</v>
      </c>
      <c r="X221" s="93" t="str">
        <f t="shared" si="40"/>
        <v>IV</v>
      </c>
      <c r="Y221" s="93">
        <f t="shared" si="32"/>
        <v>4</v>
      </c>
      <c r="AA221" s="13"/>
      <c r="AB221" s="132"/>
      <c r="AC221" s="14"/>
      <c r="AD221"/>
    </row>
    <row r="222" spans="1:30">
      <c r="A222" t="s">
        <v>113</v>
      </c>
      <c r="B222" s="110">
        <v>3562100</v>
      </c>
      <c r="C222" s="267" t="s">
        <v>287</v>
      </c>
      <c r="D222" s="55"/>
      <c r="E222" s="92">
        <v>6.4649403073781126</v>
      </c>
      <c r="F222" s="68">
        <f t="shared" si="33"/>
        <v>30</v>
      </c>
      <c r="G222" s="181"/>
      <c r="H222" s="276">
        <v>6890430.0398999788</v>
      </c>
      <c r="I222" s="68">
        <f t="shared" si="34"/>
        <v>25</v>
      </c>
      <c r="J222" s="181"/>
      <c r="K222" s="277">
        <v>36495073.642301515</v>
      </c>
      <c r="L222" s="68">
        <f t="shared" si="35"/>
        <v>20</v>
      </c>
      <c r="M222" s="68"/>
      <c r="N222" s="290">
        <v>1374473176.9103031</v>
      </c>
      <c r="O222" s="68">
        <f t="shared" si="36"/>
        <v>13</v>
      </c>
      <c r="P222" s="68"/>
      <c r="Q222" s="276">
        <v>0</v>
      </c>
      <c r="R222" s="68">
        <f t="shared" si="37"/>
        <v>0</v>
      </c>
      <c r="S222" s="68"/>
      <c r="T222" s="56" t="s">
        <v>37</v>
      </c>
      <c r="U222" s="68">
        <f t="shared" si="38"/>
        <v>12.5</v>
      </c>
      <c r="V222" s="68"/>
      <c r="W222" s="69">
        <f t="shared" si="39"/>
        <v>100.5</v>
      </c>
      <c r="X222" s="93" t="str">
        <f t="shared" si="40"/>
        <v>IV</v>
      </c>
      <c r="Y222" s="93">
        <f t="shared" si="32"/>
        <v>4</v>
      </c>
      <c r="AA222" s="13"/>
      <c r="AB222" s="132"/>
      <c r="AC222" s="14"/>
      <c r="AD222"/>
    </row>
    <row r="223" spans="1:30">
      <c r="A223" t="s">
        <v>73</v>
      </c>
      <c r="B223" s="110">
        <v>5256400</v>
      </c>
      <c r="C223" s="267" t="s">
        <v>288</v>
      </c>
      <c r="D223" s="55"/>
      <c r="E223" s="92">
        <v>7.9455227541972313</v>
      </c>
      <c r="F223" s="68">
        <f t="shared" si="33"/>
        <v>45</v>
      </c>
      <c r="G223" s="181"/>
      <c r="H223" s="276">
        <v>27485633.826498382</v>
      </c>
      <c r="I223" s="68">
        <f t="shared" si="34"/>
        <v>37.5</v>
      </c>
      <c r="J223" s="181"/>
      <c r="K223" s="277">
        <v>50568515.926100694</v>
      </c>
      <c r="L223" s="68">
        <f t="shared" si="35"/>
        <v>30</v>
      </c>
      <c r="M223" s="68"/>
      <c r="N223" s="290">
        <v>1448433769.3799949</v>
      </c>
      <c r="O223" s="68">
        <f t="shared" si="36"/>
        <v>22</v>
      </c>
      <c r="P223" s="68"/>
      <c r="Q223" s="276">
        <v>14600893.390099924</v>
      </c>
      <c r="R223" s="68">
        <f t="shared" si="37"/>
        <v>12.5</v>
      </c>
      <c r="S223" s="68"/>
      <c r="T223" s="56" t="s">
        <v>37</v>
      </c>
      <c r="U223" s="68">
        <f t="shared" si="38"/>
        <v>12.5</v>
      </c>
      <c r="V223" s="68"/>
      <c r="W223" s="69">
        <f t="shared" si="39"/>
        <v>159.5</v>
      </c>
      <c r="X223" s="93" t="str">
        <f t="shared" si="40"/>
        <v>III</v>
      </c>
      <c r="Y223" s="93">
        <f t="shared" si="32"/>
        <v>3</v>
      </c>
      <c r="AA223" s="13"/>
      <c r="AB223" s="132"/>
      <c r="AC223" s="14"/>
      <c r="AD223"/>
    </row>
    <row r="224" spans="1:30">
      <c r="A224" t="s">
        <v>73</v>
      </c>
      <c r="B224" s="110">
        <v>5255300</v>
      </c>
      <c r="C224" s="267" t="s">
        <v>289</v>
      </c>
      <c r="D224" s="55"/>
      <c r="E224" s="92">
        <v>5.2556631206098103</v>
      </c>
      <c r="F224" s="68">
        <f t="shared" si="33"/>
        <v>30</v>
      </c>
      <c r="G224" s="181"/>
      <c r="H224" s="276">
        <v>15192249.443199906</v>
      </c>
      <c r="I224" s="68">
        <f t="shared" si="34"/>
        <v>25</v>
      </c>
      <c r="J224" s="181"/>
      <c r="K224" s="277">
        <v>33241631.512499608</v>
      </c>
      <c r="L224" s="68">
        <f t="shared" si="35"/>
        <v>20</v>
      </c>
      <c r="M224" s="68"/>
      <c r="N224" s="290">
        <v>1023952107.1181039</v>
      </c>
      <c r="O224" s="68">
        <f t="shared" si="36"/>
        <v>13</v>
      </c>
      <c r="P224" s="68"/>
      <c r="Q224" s="276">
        <v>9672054.6545000039</v>
      </c>
      <c r="R224" s="68">
        <f t="shared" si="37"/>
        <v>12.5</v>
      </c>
      <c r="S224" s="68"/>
      <c r="T224" s="56" t="s">
        <v>37</v>
      </c>
      <c r="U224" s="68">
        <f t="shared" si="38"/>
        <v>12.5</v>
      </c>
      <c r="V224" s="68"/>
      <c r="W224" s="69">
        <f t="shared" si="39"/>
        <v>113</v>
      </c>
      <c r="X224" s="93" t="str">
        <f t="shared" si="40"/>
        <v>IV</v>
      </c>
      <c r="Y224" s="93">
        <f t="shared" si="32"/>
        <v>4</v>
      </c>
      <c r="AA224" s="13"/>
      <c r="AB224" s="132"/>
      <c r="AC224" s="14"/>
      <c r="AD224"/>
    </row>
    <row r="225" spans="1:30">
      <c r="A225" t="s">
        <v>77</v>
      </c>
      <c r="B225" s="110">
        <v>6280200</v>
      </c>
      <c r="C225" s="267" t="s">
        <v>290</v>
      </c>
      <c r="D225" s="55"/>
      <c r="E225" s="92">
        <v>9.6974104610671681</v>
      </c>
      <c r="F225" s="68">
        <f t="shared" si="33"/>
        <v>45</v>
      </c>
      <c r="G225" s="181"/>
      <c r="H225" s="276">
        <v>34098827.728199817</v>
      </c>
      <c r="I225" s="68">
        <f t="shared" si="34"/>
        <v>62.5</v>
      </c>
      <c r="J225" s="181"/>
      <c r="K225" s="277">
        <v>54346788.638100497</v>
      </c>
      <c r="L225" s="68">
        <f t="shared" si="35"/>
        <v>30</v>
      </c>
      <c r="M225" s="68"/>
      <c r="N225" s="290">
        <v>1754898464.8280029</v>
      </c>
      <c r="O225" s="68">
        <f t="shared" si="36"/>
        <v>22</v>
      </c>
      <c r="P225" s="68"/>
      <c r="Q225" s="276">
        <v>0</v>
      </c>
      <c r="R225" s="68">
        <f t="shared" si="37"/>
        <v>0</v>
      </c>
      <c r="S225" s="68"/>
      <c r="T225" s="56" t="s">
        <v>37</v>
      </c>
      <c r="U225" s="68">
        <f t="shared" si="38"/>
        <v>12.5</v>
      </c>
      <c r="V225" s="68"/>
      <c r="W225" s="69">
        <f t="shared" si="39"/>
        <v>172</v>
      </c>
      <c r="X225" s="93" t="str">
        <f t="shared" si="40"/>
        <v>III</v>
      </c>
      <c r="Y225" s="93">
        <f t="shared" si="32"/>
        <v>3</v>
      </c>
      <c r="AA225" s="13"/>
      <c r="AB225" s="132"/>
      <c r="AC225" s="14"/>
      <c r="AD225"/>
    </row>
    <row r="226" spans="1:30">
      <c r="A226" t="s">
        <v>77</v>
      </c>
      <c r="B226" s="110">
        <v>6278200</v>
      </c>
      <c r="C226" s="267" t="s">
        <v>291</v>
      </c>
      <c r="D226" s="55"/>
      <c r="E226" s="92">
        <v>6.1316069740447787</v>
      </c>
      <c r="F226" s="68">
        <f t="shared" si="33"/>
        <v>30</v>
      </c>
      <c r="G226" s="181"/>
      <c r="H226" s="276">
        <v>13247228.513001928</v>
      </c>
      <c r="I226" s="68">
        <f t="shared" si="34"/>
        <v>25</v>
      </c>
      <c r="J226" s="181"/>
      <c r="K226" s="277">
        <v>36387388.359997712</v>
      </c>
      <c r="L226" s="68">
        <f t="shared" si="35"/>
        <v>20</v>
      </c>
      <c r="M226" s="68"/>
      <c r="N226" s="290">
        <v>1787117578.7470915</v>
      </c>
      <c r="O226" s="68">
        <f t="shared" si="36"/>
        <v>22</v>
      </c>
      <c r="P226" s="68"/>
      <c r="Q226" s="276">
        <v>0</v>
      </c>
      <c r="R226" s="68">
        <f t="shared" si="37"/>
        <v>0</v>
      </c>
      <c r="S226" s="68"/>
      <c r="T226" s="56" t="s">
        <v>37</v>
      </c>
      <c r="U226" s="68">
        <f t="shared" si="38"/>
        <v>12.5</v>
      </c>
      <c r="V226" s="68"/>
      <c r="W226" s="69">
        <f t="shared" si="39"/>
        <v>109.5</v>
      </c>
      <c r="X226" s="93" t="str">
        <f t="shared" si="40"/>
        <v>IV</v>
      </c>
      <c r="Y226" s="93">
        <f t="shared" si="32"/>
        <v>4</v>
      </c>
      <c r="AA226" s="13"/>
      <c r="AB226" s="132"/>
      <c r="AC226" s="14"/>
      <c r="AD226"/>
    </row>
    <row r="227" spans="1:30">
      <c r="A227" t="s">
        <v>77</v>
      </c>
      <c r="B227" s="110">
        <v>6268000</v>
      </c>
      <c r="C227" s="267" t="s">
        <v>292</v>
      </c>
      <c r="D227" s="55"/>
      <c r="E227" s="92">
        <v>6.2982736407114448</v>
      </c>
      <c r="F227" s="68">
        <f t="shared" si="33"/>
        <v>30</v>
      </c>
      <c r="G227" s="181"/>
      <c r="H227" s="276">
        <v>12821034.788699962</v>
      </c>
      <c r="I227" s="68">
        <f t="shared" si="34"/>
        <v>25</v>
      </c>
      <c r="J227" s="181"/>
      <c r="K227" s="277">
        <v>32328816.538403671</v>
      </c>
      <c r="L227" s="68">
        <f t="shared" si="35"/>
        <v>20</v>
      </c>
      <c r="M227" s="68"/>
      <c r="N227" s="290">
        <v>1861723397.3778057</v>
      </c>
      <c r="O227" s="68">
        <f t="shared" si="36"/>
        <v>22</v>
      </c>
      <c r="P227" s="68"/>
      <c r="Q227" s="276">
        <v>0</v>
      </c>
      <c r="R227" s="68">
        <f t="shared" si="37"/>
        <v>0</v>
      </c>
      <c r="S227" s="68"/>
      <c r="T227" s="56" t="s">
        <v>37</v>
      </c>
      <c r="U227" s="68">
        <f t="shared" si="38"/>
        <v>12.5</v>
      </c>
      <c r="V227" s="68"/>
      <c r="W227" s="69">
        <f t="shared" si="39"/>
        <v>109.5</v>
      </c>
      <c r="X227" s="93" t="str">
        <f t="shared" si="40"/>
        <v>IV</v>
      </c>
      <c r="Y227" s="93">
        <f t="shared" si="32"/>
        <v>4</v>
      </c>
      <c r="AA227" s="13"/>
      <c r="AB227" s="132"/>
      <c r="AC227" s="14"/>
      <c r="AD227"/>
    </row>
    <row r="228" spans="1:30">
      <c r="A228" t="s">
        <v>77</v>
      </c>
      <c r="B228" s="110">
        <v>3448900</v>
      </c>
      <c r="C228" s="267" t="s">
        <v>293</v>
      </c>
      <c r="D228" s="55"/>
      <c r="E228" s="92">
        <v>10.361300824516082</v>
      </c>
      <c r="F228" s="68">
        <f t="shared" si="33"/>
        <v>75</v>
      </c>
      <c r="G228" s="181"/>
      <c r="H228" s="276">
        <v>51820489.424393907</v>
      </c>
      <c r="I228" s="68">
        <f t="shared" si="34"/>
        <v>62.5</v>
      </c>
      <c r="J228" s="181"/>
      <c r="K228" s="277">
        <v>95090278.844896629</v>
      </c>
      <c r="L228" s="68">
        <f t="shared" si="35"/>
        <v>50</v>
      </c>
      <c r="M228" s="68"/>
      <c r="N228" s="290">
        <v>2594127694.0164962</v>
      </c>
      <c r="O228" s="68">
        <f t="shared" si="36"/>
        <v>40</v>
      </c>
      <c r="P228" s="68"/>
      <c r="Q228" s="276">
        <v>12481320.097099986</v>
      </c>
      <c r="R228" s="68">
        <f t="shared" si="37"/>
        <v>12.5</v>
      </c>
      <c r="S228" s="68"/>
      <c r="T228" s="56" t="s">
        <v>37</v>
      </c>
      <c r="U228" s="68">
        <f t="shared" si="38"/>
        <v>12.5</v>
      </c>
      <c r="V228" s="68"/>
      <c r="W228" s="69">
        <f t="shared" si="39"/>
        <v>252.5</v>
      </c>
      <c r="X228" s="93" t="str">
        <f t="shared" si="40"/>
        <v>II</v>
      </c>
      <c r="Y228" s="93">
        <f t="shared" si="32"/>
        <v>2</v>
      </c>
      <c r="AA228" s="13"/>
      <c r="AB228" s="132"/>
      <c r="AC228" s="14"/>
      <c r="AD228"/>
    </row>
    <row r="229" spans="1:30">
      <c r="A229" t="s">
        <v>77</v>
      </c>
      <c r="B229" s="110">
        <v>6260600</v>
      </c>
      <c r="C229" s="267" t="s">
        <v>294</v>
      </c>
      <c r="D229" s="55"/>
      <c r="E229" s="92">
        <v>6.736245567428929</v>
      </c>
      <c r="F229" s="68">
        <f t="shared" si="33"/>
        <v>45</v>
      </c>
      <c r="G229" s="181"/>
      <c r="H229" s="276">
        <v>16946835.788999926</v>
      </c>
      <c r="I229" s="68">
        <f t="shared" si="34"/>
        <v>25</v>
      </c>
      <c r="J229" s="181"/>
      <c r="K229" s="277">
        <v>47739097.790900677</v>
      </c>
      <c r="L229" s="68">
        <f t="shared" si="35"/>
        <v>30</v>
      </c>
      <c r="M229" s="68"/>
      <c r="N229" s="290">
        <v>1622801407.2202997</v>
      </c>
      <c r="O229" s="68">
        <f t="shared" si="36"/>
        <v>22</v>
      </c>
      <c r="P229" s="68"/>
      <c r="Q229" s="276">
        <v>4589722.9891999979</v>
      </c>
      <c r="R229" s="68">
        <f t="shared" si="37"/>
        <v>12.5</v>
      </c>
      <c r="S229" s="68"/>
      <c r="T229" s="56" t="s">
        <v>37</v>
      </c>
      <c r="U229" s="68">
        <f t="shared" si="38"/>
        <v>12.5</v>
      </c>
      <c r="V229" s="68"/>
      <c r="W229" s="69">
        <f t="shared" si="39"/>
        <v>147</v>
      </c>
      <c r="X229" s="93" t="str">
        <f t="shared" si="40"/>
        <v>III</v>
      </c>
      <c r="Y229" s="93">
        <f t="shared" si="32"/>
        <v>3</v>
      </c>
      <c r="AA229" s="13"/>
      <c r="AB229" s="132"/>
      <c r="AC229" s="14"/>
      <c r="AD229"/>
    </row>
    <row r="230" spans="1:30">
      <c r="A230" t="s">
        <v>77</v>
      </c>
      <c r="B230" s="110">
        <v>5941600</v>
      </c>
      <c r="C230" s="267" t="s">
        <v>295</v>
      </c>
      <c r="D230" s="55"/>
      <c r="E230" s="92">
        <v>6.1316069740447787</v>
      </c>
      <c r="F230" s="68">
        <f t="shared" si="33"/>
        <v>30</v>
      </c>
      <c r="G230" s="181"/>
      <c r="H230" s="276">
        <v>7598969.8312999904</v>
      </c>
      <c r="I230" s="68">
        <f t="shared" si="34"/>
        <v>25</v>
      </c>
      <c r="J230" s="181"/>
      <c r="K230" s="277">
        <v>39913840.674998567</v>
      </c>
      <c r="L230" s="68">
        <f t="shared" si="35"/>
        <v>30</v>
      </c>
      <c r="M230" s="68"/>
      <c r="N230" s="290">
        <v>1483280819.5140994</v>
      </c>
      <c r="O230" s="68">
        <f t="shared" si="36"/>
        <v>22</v>
      </c>
      <c r="P230" s="68"/>
      <c r="Q230" s="276">
        <v>0</v>
      </c>
      <c r="R230" s="68">
        <f t="shared" si="37"/>
        <v>0</v>
      </c>
      <c r="S230" s="68"/>
      <c r="T230" s="56" t="s">
        <v>37</v>
      </c>
      <c r="U230" s="68">
        <f t="shared" si="38"/>
        <v>12.5</v>
      </c>
      <c r="V230" s="68"/>
      <c r="W230" s="69">
        <f t="shared" si="39"/>
        <v>119.5</v>
      </c>
      <c r="X230" s="93" t="str">
        <f t="shared" si="40"/>
        <v>IV</v>
      </c>
      <c r="Y230" s="93">
        <f t="shared" si="32"/>
        <v>4</v>
      </c>
      <c r="AA230" s="13"/>
      <c r="AB230" s="132"/>
      <c r="AC230" s="14"/>
      <c r="AD230"/>
    </row>
    <row r="231" spans="1:30">
      <c r="A231" t="s">
        <v>105</v>
      </c>
      <c r="B231" s="110">
        <v>6142200</v>
      </c>
      <c r="C231" s="267" t="s">
        <v>296</v>
      </c>
      <c r="D231" s="55"/>
      <c r="E231" s="92">
        <v>9.6974104610671681</v>
      </c>
      <c r="F231" s="68">
        <f t="shared" si="33"/>
        <v>45</v>
      </c>
      <c r="G231" s="181"/>
      <c r="H231" s="276">
        <v>18239532.584299754</v>
      </c>
      <c r="I231" s="68">
        <f t="shared" si="34"/>
        <v>37.5</v>
      </c>
      <c r="J231" s="181"/>
      <c r="K231" s="277">
        <v>37283810.183399431</v>
      </c>
      <c r="L231" s="68">
        <f t="shared" si="35"/>
        <v>20</v>
      </c>
      <c r="M231" s="68"/>
      <c r="N231" s="290">
        <v>1547507808.0560071</v>
      </c>
      <c r="O231" s="68">
        <f t="shared" si="36"/>
        <v>22</v>
      </c>
      <c r="P231" s="68"/>
      <c r="Q231" s="276">
        <v>0</v>
      </c>
      <c r="R231" s="68">
        <f t="shared" si="37"/>
        <v>0</v>
      </c>
      <c r="S231" s="68"/>
      <c r="T231" s="56" t="s">
        <v>37</v>
      </c>
      <c r="U231" s="68">
        <f t="shared" si="38"/>
        <v>12.5</v>
      </c>
      <c r="V231" s="68"/>
      <c r="W231" s="69">
        <f t="shared" si="39"/>
        <v>137</v>
      </c>
      <c r="X231" s="93" t="str">
        <f t="shared" si="40"/>
        <v>III</v>
      </c>
      <c r="Y231" s="93">
        <f t="shared" si="32"/>
        <v>3</v>
      </c>
      <c r="AA231" s="13"/>
      <c r="AB231" s="132"/>
      <c r="AC231" s="14"/>
      <c r="AD231"/>
    </row>
    <row r="232" spans="1:30">
      <c r="A232" t="s">
        <v>82</v>
      </c>
      <c r="B232" s="110">
        <v>7339300</v>
      </c>
      <c r="C232" s="267" t="s">
        <v>297</v>
      </c>
      <c r="D232" s="55"/>
      <c r="E232" s="92">
        <v>9.5724104610671681</v>
      </c>
      <c r="F232" s="68">
        <f t="shared" si="33"/>
        <v>45</v>
      </c>
      <c r="G232" s="181"/>
      <c r="H232" s="276">
        <v>16645618.129599875</v>
      </c>
      <c r="I232" s="68">
        <f t="shared" si="34"/>
        <v>25</v>
      </c>
      <c r="J232" s="181"/>
      <c r="K232" s="277">
        <v>35182118.285999663</v>
      </c>
      <c r="L232" s="68">
        <f t="shared" si="35"/>
        <v>20</v>
      </c>
      <c r="M232" s="68"/>
      <c r="N232" s="290">
        <v>2736491276.5132985</v>
      </c>
      <c r="O232" s="68">
        <f t="shared" si="36"/>
        <v>40</v>
      </c>
      <c r="P232" s="68"/>
      <c r="Q232" s="276">
        <v>8644556.9771000035</v>
      </c>
      <c r="R232" s="68">
        <f t="shared" si="37"/>
        <v>12.5</v>
      </c>
      <c r="S232" s="68"/>
      <c r="T232" s="56" t="s">
        <v>37</v>
      </c>
      <c r="U232" s="68">
        <f t="shared" si="38"/>
        <v>12.5</v>
      </c>
      <c r="V232" s="68"/>
      <c r="W232" s="69">
        <f t="shared" si="39"/>
        <v>155</v>
      </c>
      <c r="X232" s="93" t="str">
        <f t="shared" si="40"/>
        <v>III</v>
      </c>
      <c r="Y232" s="93">
        <f t="shared" si="32"/>
        <v>3</v>
      </c>
      <c r="AA232" s="13"/>
      <c r="AB232" s="132"/>
      <c r="AC232" s="14"/>
      <c r="AD232"/>
    </row>
    <row r="233" spans="1:30">
      <c r="A233" t="s">
        <v>105</v>
      </c>
      <c r="B233" s="110">
        <v>7052400</v>
      </c>
      <c r="C233" s="267" t="s">
        <v>298</v>
      </c>
      <c r="D233" s="55"/>
      <c r="E233" s="92">
        <v>3.0134841903303147</v>
      </c>
      <c r="F233" s="68">
        <f t="shared" si="33"/>
        <v>30</v>
      </c>
      <c r="G233" s="181"/>
      <c r="H233" s="276">
        <v>577378.01730000007</v>
      </c>
      <c r="I233" s="68">
        <f t="shared" si="34"/>
        <v>25</v>
      </c>
      <c r="J233" s="181"/>
      <c r="K233" s="277">
        <v>21808058.497899931</v>
      </c>
      <c r="L233" s="68">
        <f t="shared" si="35"/>
        <v>20</v>
      </c>
      <c r="M233" s="68"/>
      <c r="N233" s="290">
        <v>794096602.53929877</v>
      </c>
      <c r="O233" s="68">
        <f t="shared" si="36"/>
        <v>13</v>
      </c>
      <c r="P233" s="68"/>
      <c r="Q233" s="276">
        <v>0</v>
      </c>
      <c r="R233" s="68">
        <f t="shared" si="37"/>
        <v>0</v>
      </c>
      <c r="S233" s="68"/>
      <c r="T233" s="56" t="s">
        <v>37</v>
      </c>
      <c r="U233" s="68">
        <f t="shared" si="38"/>
        <v>12.5</v>
      </c>
      <c r="V233" s="68"/>
      <c r="W233" s="69">
        <f t="shared" si="39"/>
        <v>100.5</v>
      </c>
      <c r="X233" s="93" t="str">
        <f t="shared" si="40"/>
        <v>IV</v>
      </c>
      <c r="Y233" s="93">
        <f t="shared" si="32"/>
        <v>4</v>
      </c>
      <c r="AA233" s="13"/>
      <c r="AB233" s="132"/>
      <c r="AC233" s="14"/>
      <c r="AD233"/>
    </row>
    <row r="234" spans="1:30">
      <c r="A234" t="s">
        <v>67</v>
      </c>
      <c r="B234" s="110">
        <v>4058200</v>
      </c>
      <c r="C234" s="267" t="s">
        <v>299</v>
      </c>
      <c r="D234" s="55"/>
      <c r="E234" s="92">
        <v>10.361300824516082</v>
      </c>
      <c r="F234" s="68">
        <f t="shared" si="33"/>
        <v>75</v>
      </c>
      <c r="G234" s="181"/>
      <c r="H234" s="276">
        <v>5448650.0089999959</v>
      </c>
      <c r="I234" s="68">
        <f t="shared" si="34"/>
        <v>25</v>
      </c>
      <c r="J234" s="181"/>
      <c r="K234" s="277">
        <v>80281503.637000278</v>
      </c>
      <c r="L234" s="68">
        <f t="shared" si="35"/>
        <v>50</v>
      </c>
      <c r="M234" s="68"/>
      <c r="N234" s="290">
        <v>2633828569.6102004</v>
      </c>
      <c r="O234" s="68">
        <f t="shared" si="36"/>
        <v>40</v>
      </c>
      <c r="P234" s="68"/>
      <c r="Q234" s="276">
        <v>1102677.1797000002</v>
      </c>
      <c r="R234" s="68">
        <f t="shared" si="37"/>
        <v>7.5</v>
      </c>
      <c r="S234" s="68"/>
      <c r="T234" s="56" t="s">
        <v>37</v>
      </c>
      <c r="U234" s="68">
        <f t="shared" si="38"/>
        <v>12.5</v>
      </c>
      <c r="V234" s="68"/>
      <c r="W234" s="69">
        <f t="shared" si="39"/>
        <v>210</v>
      </c>
      <c r="X234" s="93" t="str">
        <f t="shared" si="40"/>
        <v>II</v>
      </c>
      <c r="Y234" s="93">
        <f t="shared" si="32"/>
        <v>2</v>
      </c>
      <c r="AA234" s="13"/>
      <c r="AB234" s="132"/>
      <c r="AC234" s="14"/>
      <c r="AD234"/>
    </row>
    <row r="235" spans="1:30">
      <c r="A235" t="s">
        <v>95</v>
      </c>
      <c r="B235" s="110">
        <v>4861800</v>
      </c>
      <c r="C235" s="267" t="s">
        <v>300</v>
      </c>
      <c r="D235" s="55"/>
      <c r="E235" s="92">
        <v>7.9455227541972313</v>
      </c>
      <c r="F235" s="68">
        <f t="shared" si="33"/>
        <v>45</v>
      </c>
      <c r="G235" s="181"/>
      <c r="H235" s="276">
        <v>18685795.894600049</v>
      </c>
      <c r="I235" s="68">
        <f t="shared" si="34"/>
        <v>37.5</v>
      </c>
      <c r="J235" s="181"/>
      <c r="K235" s="277">
        <v>38546752.932599455</v>
      </c>
      <c r="L235" s="68">
        <f t="shared" si="35"/>
        <v>30</v>
      </c>
      <c r="M235" s="68"/>
      <c r="N235" s="290">
        <v>1640456443.3746018</v>
      </c>
      <c r="O235" s="68">
        <f t="shared" si="36"/>
        <v>22</v>
      </c>
      <c r="P235" s="68"/>
      <c r="Q235" s="276">
        <v>0</v>
      </c>
      <c r="R235" s="68">
        <f t="shared" si="37"/>
        <v>0</v>
      </c>
      <c r="S235" s="68"/>
      <c r="T235" s="56" t="s">
        <v>37</v>
      </c>
      <c r="U235" s="68">
        <f t="shared" si="38"/>
        <v>12.5</v>
      </c>
      <c r="V235" s="68"/>
      <c r="W235" s="69">
        <f t="shared" si="39"/>
        <v>147</v>
      </c>
      <c r="X235" s="93" t="str">
        <f t="shared" si="40"/>
        <v>III</v>
      </c>
      <c r="Y235" s="93">
        <f t="shared" si="32"/>
        <v>3</v>
      </c>
      <c r="AA235" s="13"/>
      <c r="AB235" s="132"/>
      <c r="AC235" s="14"/>
      <c r="AD235"/>
    </row>
    <row r="236" spans="1:30">
      <c r="A236" t="s">
        <v>67</v>
      </c>
      <c r="B236" s="110">
        <v>8636200</v>
      </c>
      <c r="C236" s="267" t="s">
        <v>301</v>
      </c>
      <c r="D236" s="55"/>
      <c r="E236" s="92">
        <v>8.6024806442734576</v>
      </c>
      <c r="F236" s="68">
        <f t="shared" si="33"/>
        <v>45</v>
      </c>
      <c r="G236" s="181"/>
      <c r="H236" s="276">
        <v>0</v>
      </c>
      <c r="I236" s="68">
        <f t="shared" si="34"/>
        <v>0</v>
      </c>
      <c r="J236" s="181"/>
      <c r="K236" s="277">
        <v>0</v>
      </c>
      <c r="L236" s="68">
        <f t="shared" si="35"/>
        <v>0</v>
      </c>
      <c r="M236" s="68"/>
      <c r="N236" s="290">
        <v>0</v>
      </c>
      <c r="O236" s="68">
        <f t="shared" si="36"/>
        <v>0</v>
      </c>
      <c r="P236" s="68"/>
      <c r="Q236" s="276">
        <v>0</v>
      </c>
      <c r="R236" s="68">
        <f t="shared" si="37"/>
        <v>0</v>
      </c>
      <c r="S236" s="68"/>
      <c r="T236" s="56" t="s">
        <v>37</v>
      </c>
      <c r="U236" s="68">
        <f t="shared" si="38"/>
        <v>12.5</v>
      </c>
      <c r="V236" s="68"/>
      <c r="W236" s="69">
        <f t="shared" si="39"/>
        <v>57.5</v>
      </c>
      <c r="X236" s="93" t="str">
        <f t="shared" si="40"/>
        <v>IV</v>
      </c>
      <c r="Y236" s="93">
        <f t="shared" si="32"/>
        <v>4</v>
      </c>
      <c r="AA236" s="13"/>
      <c r="AB236" s="132"/>
      <c r="AC236" s="14"/>
      <c r="AD236"/>
    </row>
    <row r="237" spans="1:30">
      <c r="A237" t="s">
        <v>103</v>
      </c>
      <c r="B237" s="110">
        <v>4140400</v>
      </c>
      <c r="C237" s="267" t="s">
        <v>302</v>
      </c>
      <c r="D237" s="55"/>
      <c r="E237" s="92">
        <v>8.6024806442734576</v>
      </c>
      <c r="F237" s="68">
        <f t="shared" si="33"/>
        <v>45</v>
      </c>
      <c r="G237" s="181"/>
      <c r="H237" s="276">
        <v>23989686.448999695</v>
      </c>
      <c r="I237" s="68">
        <f t="shared" si="34"/>
        <v>37.5</v>
      </c>
      <c r="J237" s="181"/>
      <c r="K237" s="277">
        <v>39845527.527599178</v>
      </c>
      <c r="L237" s="68">
        <f t="shared" si="35"/>
        <v>30</v>
      </c>
      <c r="M237" s="68"/>
      <c r="N237" s="290">
        <v>1259323074.158603</v>
      </c>
      <c r="O237" s="68">
        <f t="shared" si="36"/>
        <v>13</v>
      </c>
      <c r="P237" s="68"/>
      <c r="Q237" s="276">
        <v>8392979.0106000099</v>
      </c>
      <c r="R237" s="68">
        <f t="shared" si="37"/>
        <v>12.5</v>
      </c>
      <c r="S237" s="68"/>
      <c r="T237" s="56" t="s">
        <v>37</v>
      </c>
      <c r="U237" s="68">
        <f t="shared" si="38"/>
        <v>12.5</v>
      </c>
      <c r="V237" s="68"/>
      <c r="W237" s="69">
        <f t="shared" si="39"/>
        <v>150.5</v>
      </c>
      <c r="X237" s="93" t="str">
        <f t="shared" si="40"/>
        <v>III</v>
      </c>
      <c r="Y237" s="93">
        <f t="shared" si="32"/>
        <v>3</v>
      </c>
      <c r="AA237" s="13"/>
      <c r="AB237" s="132"/>
      <c r="AC237" s="14"/>
      <c r="AD237"/>
    </row>
    <row r="238" spans="1:30">
      <c r="A238" t="s">
        <v>103</v>
      </c>
      <c r="B238" s="110">
        <v>4155200</v>
      </c>
      <c r="C238" s="267" t="s">
        <v>303</v>
      </c>
      <c r="D238" s="55"/>
      <c r="E238" s="92">
        <v>7.3408841608130819</v>
      </c>
      <c r="F238" s="68">
        <f t="shared" si="33"/>
        <v>45</v>
      </c>
      <c r="G238" s="181"/>
      <c r="H238" s="276">
        <v>7977254.5027009798</v>
      </c>
      <c r="I238" s="68">
        <f t="shared" si="34"/>
        <v>25</v>
      </c>
      <c r="J238" s="181"/>
      <c r="K238" s="277">
        <v>43554104.369199596</v>
      </c>
      <c r="L238" s="68">
        <f t="shared" si="35"/>
        <v>30</v>
      </c>
      <c r="M238" s="68"/>
      <c r="N238" s="290">
        <v>1090595768.4749982</v>
      </c>
      <c r="O238" s="68">
        <f t="shared" si="36"/>
        <v>13</v>
      </c>
      <c r="P238" s="68"/>
      <c r="Q238" s="276">
        <v>5088830.8789999997</v>
      </c>
      <c r="R238" s="68">
        <f t="shared" si="37"/>
        <v>12.5</v>
      </c>
      <c r="S238" s="68"/>
      <c r="T238" s="56" t="s">
        <v>37</v>
      </c>
      <c r="U238" s="68">
        <f t="shared" si="38"/>
        <v>12.5</v>
      </c>
      <c r="V238" s="68"/>
      <c r="W238" s="69">
        <f t="shared" si="39"/>
        <v>138</v>
      </c>
      <c r="X238" s="93" t="str">
        <f t="shared" si="40"/>
        <v>III</v>
      </c>
      <c r="Y238" s="93">
        <f t="shared" si="32"/>
        <v>3</v>
      </c>
      <c r="AA238" s="13"/>
      <c r="AB238" s="132"/>
      <c r="AC238" s="14"/>
      <c r="AD238"/>
    </row>
    <row r="239" spans="1:30">
      <c r="A239" t="s">
        <v>105</v>
      </c>
      <c r="B239" s="110">
        <v>6176200</v>
      </c>
      <c r="C239" s="267" t="s">
        <v>304</v>
      </c>
      <c r="D239" s="55"/>
      <c r="E239" s="92">
        <v>10.135382387784652</v>
      </c>
      <c r="F239" s="68">
        <f t="shared" si="33"/>
        <v>75</v>
      </c>
      <c r="G239" s="181"/>
      <c r="H239" s="276">
        <v>23812896.028099664</v>
      </c>
      <c r="I239" s="68">
        <f t="shared" si="34"/>
        <v>37.5</v>
      </c>
      <c r="J239" s="181"/>
      <c r="K239" s="277">
        <v>57364891.741998844</v>
      </c>
      <c r="L239" s="68">
        <f t="shared" si="35"/>
        <v>30</v>
      </c>
      <c r="M239" s="68"/>
      <c r="N239" s="290">
        <v>1862050395.288594</v>
      </c>
      <c r="O239" s="68">
        <f t="shared" si="36"/>
        <v>22</v>
      </c>
      <c r="P239" s="68"/>
      <c r="Q239" s="276">
        <v>0</v>
      </c>
      <c r="R239" s="68">
        <f t="shared" si="37"/>
        <v>0</v>
      </c>
      <c r="S239" s="68"/>
      <c r="T239" s="56" t="s">
        <v>37</v>
      </c>
      <c r="U239" s="68">
        <f t="shared" si="38"/>
        <v>12.5</v>
      </c>
      <c r="V239" s="68"/>
      <c r="W239" s="69">
        <f t="shared" si="39"/>
        <v>177</v>
      </c>
      <c r="X239" s="93" t="str">
        <f t="shared" si="40"/>
        <v>III</v>
      </c>
      <c r="Y239" s="93">
        <f t="shared" si="32"/>
        <v>3</v>
      </c>
      <c r="AA239" s="13"/>
      <c r="AB239" s="132"/>
      <c r="AC239" s="14"/>
      <c r="AD239"/>
    </row>
    <row r="240" spans="1:30">
      <c r="A240" t="s">
        <v>99</v>
      </c>
      <c r="B240" s="110">
        <v>6169900</v>
      </c>
      <c r="C240" s="267" t="s">
        <v>305</v>
      </c>
      <c r="D240" s="55"/>
      <c r="E240" s="92">
        <v>4.5463859338415071</v>
      </c>
      <c r="F240" s="68">
        <f t="shared" si="33"/>
        <v>30</v>
      </c>
      <c r="G240" s="181"/>
      <c r="H240" s="276">
        <v>1846716.8679999961</v>
      </c>
      <c r="I240" s="68">
        <f t="shared" si="34"/>
        <v>25</v>
      </c>
      <c r="J240" s="181"/>
      <c r="K240" s="277">
        <v>26262388.876499821</v>
      </c>
      <c r="L240" s="68">
        <f t="shared" si="35"/>
        <v>20</v>
      </c>
      <c r="M240" s="68"/>
      <c r="N240" s="290">
        <v>1140117276.7250037</v>
      </c>
      <c r="O240" s="68">
        <f t="shared" si="36"/>
        <v>13</v>
      </c>
      <c r="P240" s="68"/>
      <c r="Q240" s="276">
        <v>0</v>
      </c>
      <c r="R240" s="68">
        <f t="shared" si="37"/>
        <v>0</v>
      </c>
      <c r="S240" s="68"/>
      <c r="T240" s="56" t="s">
        <v>37</v>
      </c>
      <c r="U240" s="68">
        <f t="shared" si="38"/>
        <v>12.5</v>
      </c>
      <c r="V240" s="68"/>
      <c r="W240" s="69">
        <f t="shared" si="39"/>
        <v>100.5</v>
      </c>
      <c r="X240" s="93" t="str">
        <f t="shared" si="40"/>
        <v>IV</v>
      </c>
      <c r="Y240" s="93">
        <f t="shared" si="32"/>
        <v>4</v>
      </c>
      <c r="AA240" s="13"/>
      <c r="AB240" s="132"/>
      <c r="AC240" s="14"/>
      <c r="AD240"/>
    </row>
    <row r="241" spans="1:30">
      <c r="A241" t="s">
        <v>77</v>
      </c>
      <c r="B241" s="110">
        <v>6253200</v>
      </c>
      <c r="C241" s="267" t="s">
        <v>306</v>
      </c>
      <c r="D241" s="55"/>
      <c r="E241" s="92">
        <v>3.003577967379468</v>
      </c>
      <c r="F241" s="68">
        <f t="shared" si="33"/>
        <v>30</v>
      </c>
      <c r="G241" s="181"/>
      <c r="H241" s="276">
        <v>963010.18260000076</v>
      </c>
      <c r="I241" s="68">
        <f t="shared" si="34"/>
        <v>25</v>
      </c>
      <c r="J241" s="181"/>
      <c r="K241" s="277">
        <v>24053380.585599922</v>
      </c>
      <c r="L241" s="68">
        <f t="shared" si="35"/>
        <v>20</v>
      </c>
      <c r="M241" s="68"/>
      <c r="N241" s="290">
        <v>1125850671.4999008</v>
      </c>
      <c r="O241" s="68">
        <f t="shared" si="36"/>
        <v>13</v>
      </c>
      <c r="P241" s="68"/>
      <c r="Q241" s="276">
        <v>0</v>
      </c>
      <c r="R241" s="68">
        <f t="shared" si="37"/>
        <v>0</v>
      </c>
      <c r="S241" s="68"/>
      <c r="T241" s="56" t="s">
        <v>37</v>
      </c>
      <c r="U241" s="68">
        <f t="shared" si="38"/>
        <v>12.5</v>
      </c>
      <c r="V241" s="68"/>
      <c r="W241" s="69">
        <f t="shared" si="39"/>
        <v>100.5</v>
      </c>
      <c r="X241" s="93" t="str">
        <f t="shared" si="40"/>
        <v>IV</v>
      </c>
      <c r="Y241" s="93">
        <f t="shared" si="32"/>
        <v>4</v>
      </c>
      <c r="AA241" s="13"/>
      <c r="AB241" s="132"/>
      <c r="AC241" s="14"/>
      <c r="AD241"/>
    </row>
    <row r="242" spans="1:30">
      <c r="A242" t="s">
        <v>99</v>
      </c>
      <c r="B242" s="110">
        <v>6258400</v>
      </c>
      <c r="C242" s="267" t="s">
        <v>307</v>
      </c>
      <c r="D242" s="55"/>
      <c r="E242" s="92">
        <v>8.2168280142480494</v>
      </c>
      <c r="F242" s="68">
        <f t="shared" si="33"/>
        <v>45</v>
      </c>
      <c r="G242" s="181"/>
      <c r="H242" s="276">
        <v>31389512.300906762</v>
      </c>
      <c r="I242" s="68">
        <f t="shared" si="34"/>
        <v>37.5</v>
      </c>
      <c r="J242" s="181"/>
      <c r="K242" s="277">
        <v>67024592.073789328</v>
      </c>
      <c r="L242" s="68">
        <f t="shared" si="35"/>
        <v>50</v>
      </c>
      <c r="M242" s="68"/>
      <c r="N242" s="290">
        <v>2536128917.8845124</v>
      </c>
      <c r="O242" s="68">
        <f t="shared" si="36"/>
        <v>40</v>
      </c>
      <c r="P242" s="68"/>
      <c r="Q242" s="276">
        <v>8153637.2833020035</v>
      </c>
      <c r="R242" s="68">
        <f t="shared" si="37"/>
        <v>12.5</v>
      </c>
      <c r="S242" s="68"/>
      <c r="T242" s="56" t="s">
        <v>37</v>
      </c>
      <c r="U242" s="68">
        <f t="shared" si="38"/>
        <v>12.5</v>
      </c>
      <c r="V242" s="68"/>
      <c r="W242" s="69">
        <f t="shared" si="39"/>
        <v>197.5</v>
      </c>
      <c r="X242" s="93" t="str">
        <f t="shared" si="40"/>
        <v>II</v>
      </c>
      <c r="Y242" s="93">
        <f t="shared" si="32"/>
        <v>2</v>
      </c>
      <c r="AA242" s="13"/>
      <c r="AB242" s="132"/>
      <c r="AC242" s="14"/>
      <c r="AD242"/>
    </row>
    <row r="243" spans="1:30">
      <c r="A243" t="s">
        <v>99</v>
      </c>
      <c r="B243" s="110">
        <v>7855200</v>
      </c>
      <c r="C243" s="267" t="s">
        <v>308</v>
      </c>
      <c r="D243" s="55"/>
      <c r="E243" s="92">
        <v>6.736245567428929</v>
      </c>
      <c r="F243" s="68">
        <f t="shared" si="33"/>
        <v>45</v>
      </c>
      <c r="G243" s="181"/>
      <c r="H243" s="276">
        <v>45506254.669200182</v>
      </c>
      <c r="I243" s="68">
        <f t="shared" si="34"/>
        <v>62.5</v>
      </c>
      <c r="J243" s="181"/>
      <c r="K243" s="277">
        <v>54621079.050299294</v>
      </c>
      <c r="L243" s="68">
        <f t="shared" si="35"/>
        <v>30</v>
      </c>
      <c r="M243" s="68"/>
      <c r="N243" s="290">
        <v>1374200332.4233024</v>
      </c>
      <c r="O243" s="68">
        <f t="shared" si="36"/>
        <v>13</v>
      </c>
      <c r="P243" s="68"/>
      <c r="Q243" s="276">
        <v>0</v>
      </c>
      <c r="R243" s="68">
        <f t="shared" si="37"/>
        <v>0</v>
      </c>
      <c r="S243" s="68"/>
      <c r="T243" s="56" t="s">
        <v>37</v>
      </c>
      <c r="U243" s="68">
        <f t="shared" si="38"/>
        <v>12.5</v>
      </c>
      <c r="V243" s="68"/>
      <c r="W243" s="69">
        <f t="shared" si="39"/>
        <v>163</v>
      </c>
      <c r="X243" s="93" t="str">
        <f t="shared" si="40"/>
        <v>III</v>
      </c>
      <c r="Y243" s="93">
        <f t="shared" si="32"/>
        <v>3</v>
      </c>
      <c r="AA243" s="13"/>
      <c r="AB243" s="132"/>
      <c r="AC243" s="14"/>
      <c r="AD243"/>
    </row>
    <row r="244" spans="1:30">
      <c r="A244" t="s">
        <v>113</v>
      </c>
      <c r="B244" s="110">
        <v>3450000</v>
      </c>
      <c r="C244" s="267" t="s">
        <v>309</v>
      </c>
      <c r="D244" s="55"/>
      <c r="E244" s="92">
        <v>9.2594385343496839</v>
      </c>
      <c r="F244" s="68">
        <f t="shared" si="33"/>
        <v>45</v>
      </c>
      <c r="G244" s="181"/>
      <c r="H244" s="276">
        <v>36227771.657696851</v>
      </c>
      <c r="I244" s="68">
        <f t="shared" si="34"/>
        <v>62.5</v>
      </c>
      <c r="J244" s="181"/>
      <c r="K244" s="277">
        <v>49078486.053599373</v>
      </c>
      <c r="L244" s="68">
        <f t="shared" si="35"/>
        <v>30</v>
      </c>
      <c r="M244" s="68"/>
      <c r="N244" s="290">
        <v>1523760755.5281985</v>
      </c>
      <c r="O244" s="68">
        <f t="shared" si="36"/>
        <v>22</v>
      </c>
      <c r="P244" s="68"/>
      <c r="Q244" s="276">
        <v>0</v>
      </c>
      <c r="R244" s="68">
        <f t="shared" si="37"/>
        <v>0</v>
      </c>
      <c r="S244" s="68"/>
      <c r="T244" s="56" t="s">
        <v>37</v>
      </c>
      <c r="U244" s="68">
        <f t="shared" si="38"/>
        <v>12.5</v>
      </c>
      <c r="V244" s="68"/>
      <c r="W244" s="69">
        <f t="shared" si="39"/>
        <v>172</v>
      </c>
      <c r="X244" s="93" t="str">
        <f t="shared" si="40"/>
        <v>III</v>
      </c>
      <c r="Y244" s="93">
        <f t="shared" ref="Y244:Y257" si="41">IF(X244="IV",4,IF(X244="III",3,IF(X244="II",2,1)))</f>
        <v>3</v>
      </c>
      <c r="AA244" s="13"/>
      <c r="AB244" s="132"/>
      <c r="AC244" s="14"/>
      <c r="AD244"/>
    </row>
    <row r="245" spans="1:30">
      <c r="A245" t="s">
        <v>103</v>
      </c>
      <c r="B245" s="110">
        <v>5263000</v>
      </c>
      <c r="C245" s="267" t="s">
        <v>310</v>
      </c>
      <c r="D245" s="55"/>
      <c r="E245" s="92">
        <v>6.1316069740447787</v>
      </c>
      <c r="F245" s="68">
        <f t="shared" si="33"/>
        <v>30</v>
      </c>
      <c r="G245" s="181"/>
      <c r="H245" s="276">
        <v>23724656.912199929</v>
      </c>
      <c r="I245" s="68">
        <f t="shared" si="34"/>
        <v>37.5</v>
      </c>
      <c r="J245" s="181"/>
      <c r="K245" s="277">
        <v>57666347.659899727</v>
      </c>
      <c r="L245" s="68">
        <f t="shared" si="35"/>
        <v>30</v>
      </c>
      <c r="M245" s="68"/>
      <c r="N245" s="290">
        <v>1789798168.0514083</v>
      </c>
      <c r="O245" s="68">
        <f t="shared" si="36"/>
        <v>22</v>
      </c>
      <c r="P245" s="68"/>
      <c r="Q245" s="276">
        <v>0</v>
      </c>
      <c r="R245" s="68">
        <f t="shared" si="37"/>
        <v>0</v>
      </c>
      <c r="S245" s="68"/>
      <c r="T245" s="56" t="s">
        <v>37</v>
      </c>
      <c r="U245" s="68">
        <f t="shared" si="38"/>
        <v>12.5</v>
      </c>
      <c r="V245" s="68"/>
      <c r="W245" s="69">
        <f t="shared" si="39"/>
        <v>132</v>
      </c>
      <c r="X245" s="93" t="str">
        <f t="shared" si="40"/>
        <v>III</v>
      </c>
      <c r="Y245" s="93">
        <f t="shared" si="41"/>
        <v>3</v>
      </c>
      <c r="AA245" s="13"/>
      <c r="AB245" s="132"/>
      <c r="AC245" s="14"/>
      <c r="AD245"/>
    </row>
    <row r="246" spans="1:30">
      <c r="A246" t="s">
        <v>103</v>
      </c>
      <c r="B246" s="110">
        <v>5238300</v>
      </c>
      <c r="C246" s="267" t="s">
        <v>311</v>
      </c>
      <c r="D246" s="55"/>
      <c r="E246" s="92">
        <v>7.8834946809147155</v>
      </c>
      <c r="F246" s="68">
        <f t="shared" si="33"/>
        <v>45</v>
      </c>
      <c r="G246" s="181"/>
      <c r="H246" s="276">
        <v>40767126.42230165</v>
      </c>
      <c r="I246" s="68">
        <f t="shared" si="34"/>
        <v>62.5</v>
      </c>
      <c r="J246" s="181"/>
      <c r="K246" s="277">
        <v>73816512.259099782</v>
      </c>
      <c r="L246" s="68">
        <f t="shared" si="35"/>
        <v>50</v>
      </c>
      <c r="M246" s="68"/>
      <c r="N246" s="290">
        <v>2176815826.728209</v>
      </c>
      <c r="O246" s="68">
        <f t="shared" si="36"/>
        <v>40</v>
      </c>
      <c r="P246" s="68"/>
      <c r="Q246" s="276">
        <v>0</v>
      </c>
      <c r="R246" s="68">
        <f t="shared" si="37"/>
        <v>0</v>
      </c>
      <c r="S246" s="68"/>
      <c r="T246" s="56" t="s">
        <v>37</v>
      </c>
      <c r="U246" s="68">
        <f t="shared" si="38"/>
        <v>12.5</v>
      </c>
      <c r="V246" s="68"/>
      <c r="W246" s="69">
        <f t="shared" si="39"/>
        <v>210</v>
      </c>
      <c r="X246" s="93" t="str">
        <f t="shared" si="40"/>
        <v>II</v>
      </c>
      <c r="Y246" s="93">
        <f t="shared" si="41"/>
        <v>2</v>
      </c>
      <c r="AA246" s="13"/>
      <c r="AB246" s="132"/>
      <c r="AC246" s="14"/>
      <c r="AD246"/>
    </row>
    <row r="247" spans="1:30">
      <c r="A247" t="s">
        <v>84</v>
      </c>
      <c r="B247" s="110">
        <v>7261500</v>
      </c>
      <c r="C247" s="267" t="s">
        <v>312</v>
      </c>
      <c r="D247" s="55"/>
      <c r="E247" s="92">
        <v>6.736245567428929</v>
      </c>
      <c r="F247" s="68">
        <f t="shared" si="33"/>
        <v>45</v>
      </c>
      <c r="G247" s="181"/>
      <c r="H247" s="276">
        <v>0</v>
      </c>
      <c r="I247" s="68">
        <f t="shared" si="34"/>
        <v>0</v>
      </c>
      <c r="J247" s="181"/>
      <c r="K247" s="277">
        <v>0</v>
      </c>
      <c r="L247" s="68">
        <f t="shared" si="35"/>
        <v>0</v>
      </c>
      <c r="M247" s="68"/>
      <c r="N247" s="290">
        <v>0</v>
      </c>
      <c r="O247" s="68">
        <f t="shared" si="36"/>
        <v>0</v>
      </c>
      <c r="P247" s="68"/>
      <c r="Q247" s="276">
        <v>0</v>
      </c>
      <c r="R247" s="68">
        <f t="shared" si="37"/>
        <v>0</v>
      </c>
      <c r="S247" s="68"/>
      <c r="T247" s="56" t="s">
        <v>37</v>
      </c>
      <c r="U247" s="68">
        <f t="shared" si="38"/>
        <v>12.5</v>
      </c>
      <c r="V247" s="68"/>
      <c r="W247" s="69">
        <f t="shared" si="39"/>
        <v>57.5</v>
      </c>
      <c r="X247" s="93" t="str">
        <f t="shared" si="40"/>
        <v>IV</v>
      </c>
      <c r="Y247" s="93">
        <f t="shared" si="41"/>
        <v>4</v>
      </c>
      <c r="AA247" s="13"/>
      <c r="AB247" s="132"/>
      <c r="AC247" s="14"/>
      <c r="AD247"/>
    </row>
    <row r="248" spans="1:30">
      <c r="A248" t="s">
        <v>103</v>
      </c>
      <c r="B248" s="110">
        <v>3970200</v>
      </c>
      <c r="C248" s="267" t="s">
        <v>313</v>
      </c>
      <c r="D248" s="55"/>
      <c r="E248" s="92">
        <v>6.736245567428929</v>
      </c>
      <c r="F248" s="68">
        <f t="shared" si="33"/>
        <v>45</v>
      </c>
      <c r="G248" s="181"/>
      <c r="H248" s="276">
        <v>35870516.921202801</v>
      </c>
      <c r="I248" s="68">
        <f t="shared" si="34"/>
        <v>62.5</v>
      </c>
      <c r="J248" s="181"/>
      <c r="K248" s="277">
        <v>54795246.255500577</v>
      </c>
      <c r="L248" s="68">
        <f t="shared" si="35"/>
        <v>30</v>
      </c>
      <c r="M248" s="68"/>
      <c r="N248" s="290">
        <v>1488240861.5687139</v>
      </c>
      <c r="O248" s="68">
        <f t="shared" si="36"/>
        <v>22</v>
      </c>
      <c r="P248" s="68"/>
      <c r="Q248" s="276">
        <v>6195984.2634999976</v>
      </c>
      <c r="R248" s="68">
        <f t="shared" si="37"/>
        <v>12.5</v>
      </c>
      <c r="S248" s="68"/>
      <c r="T248" s="56" t="s">
        <v>37</v>
      </c>
      <c r="U248" s="68">
        <f t="shared" si="38"/>
        <v>12.5</v>
      </c>
      <c r="V248" s="68"/>
      <c r="W248" s="69">
        <f t="shared" si="39"/>
        <v>184.5</v>
      </c>
      <c r="X248" s="93" t="str">
        <f t="shared" si="40"/>
        <v>III</v>
      </c>
      <c r="Y248" s="93">
        <f t="shared" si="41"/>
        <v>3</v>
      </c>
      <c r="AA248" s="13"/>
      <c r="AB248" s="132"/>
      <c r="AC248" s="14"/>
      <c r="AD248"/>
    </row>
    <row r="249" spans="1:30">
      <c r="A249" t="s">
        <v>86</v>
      </c>
      <c r="B249" s="110">
        <v>3566200</v>
      </c>
      <c r="C249" s="267" t="s">
        <v>314</v>
      </c>
      <c r="D249" s="55"/>
      <c r="E249" s="92">
        <v>18.632276442903144</v>
      </c>
      <c r="F249" s="68">
        <f t="shared" si="33"/>
        <v>150</v>
      </c>
      <c r="G249" s="181"/>
      <c r="H249" s="276">
        <v>117359364.1951877</v>
      </c>
      <c r="I249" s="68">
        <f t="shared" si="34"/>
        <v>125</v>
      </c>
      <c r="J249" s="181"/>
      <c r="K249" s="277">
        <v>241159631.18089899</v>
      </c>
      <c r="L249" s="68">
        <f t="shared" si="35"/>
        <v>100</v>
      </c>
      <c r="M249" s="68"/>
      <c r="N249" s="290">
        <v>3206552270.1654005</v>
      </c>
      <c r="O249" s="68">
        <f t="shared" si="36"/>
        <v>75</v>
      </c>
      <c r="P249" s="68"/>
      <c r="Q249" s="276">
        <v>0</v>
      </c>
      <c r="R249" s="68">
        <f t="shared" si="37"/>
        <v>0</v>
      </c>
      <c r="S249" s="68"/>
      <c r="T249" s="56" t="s">
        <v>32</v>
      </c>
      <c r="U249" s="68">
        <f t="shared" si="38"/>
        <v>25</v>
      </c>
      <c r="V249" s="68"/>
      <c r="W249" s="69">
        <f t="shared" si="39"/>
        <v>475</v>
      </c>
      <c r="X249" s="93" t="str">
        <f t="shared" si="40"/>
        <v>I</v>
      </c>
      <c r="Y249" s="93">
        <f t="shared" si="41"/>
        <v>1</v>
      </c>
      <c r="AA249" s="13"/>
      <c r="AB249" s="132"/>
      <c r="AC249" s="14"/>
      <c r="AD249"/>
    </row>
    <row r="250" spans="1:30">
      <c r="A250" t="s">
        <v>86</v>
      </c>
      <c r="B250" s="110">
        <v>3568400</v>
      </c>
      <c r="C250" s="267" t="s">
        <v>315</v>
      </c>
      <c r="D250" s="55"/>
      <c r="E250" s="92">
        <v>16.041951236774121</v>
      </c>
      <c r="F250" s="68">
        <f t="shared" si="33"/>
        <v>150</v>
      </c>
      <c r="G250" s="181"/>
      <c r="H250" s="276">
        <v>111955188.49119721</v>
      </c>
      <c r="I250" s="68">
        <f t="shared" si="34"/>
        <v>125</v>
      </c>
      <c r="J250" s="181"/>
      <c r="K250" s="277">
        <v>114876262.92189261</v>
      </c>
      <c r="L250" s="68">
        <f t="shared" si="35"/>
        <v>100</v>
      </c>
      <c r="M250" s="68"/>
      <c r="N250" s="290">
        <v>2342880058.5284004</v>
      </c>
      <c r="O250" s="68">
        <f t="shared" si="36"/>
        <v>40</v>
      </c>
      <c r="P250" s="68"/>
      <c r="Q250" s="276">
        <v>0</v>
      </c>
      <c r="R250" s="68">
        <f t="shared" si="37"/>
        <v>0</v>
      </c>
      <c r="S250" s="68"/>
      <c r="T250" s="56" t="s">
        <v>32</v>
      </c>
      <c r="U250" s="68">
        <f t="shared" si="38"/>
        <v>25</v>
      </c>
      <c r="V250" s="68"/>
      <c r="W250" s="69">
        <f t="shared" si="39"/>
        <v>440</v>
      </c>
      <c r="X250" s="93" t="str">
        <f t="shared" si="40"/>
        <v>I</v>
      </c>
      <c r="Y250" s="93">
        <f t="shared" si="41"/>
        <v>1</v>
      </c>
      <c r="AA250" s="13"/>
      <c r="AB250" s="132"/>
      <c r="AC250" s="14"/>
      <c r="AD250"/>
    </row>
    <row r="251" spans="1:30">
      <c r="A251" t="s">
        <v>99</v>
      </c>
      <c r="B251" s="110">
        <v>6048100</v>
      </c>
      <c r="C251" s="267" t="s">
        <v>316</v>
      </c>
      <c r="D251" s="55"/>
      <c r="E251" s="92">
        <v>18.632276442903141</v>
      </c>
      <c r="F251" s="68">
        <f t="shared" si="33"/>
        <v>150</v>
      </c>
      <c r="G251" s="181"/>
      <c r="H251" s="276">
        <v>282195739.26763928</v>
      </c>
      <c r="I251" s="68">
        <f t="shared" si="34"/>
        <v>125</v>
      </c>
      <c r="J251" s="181"/>
      <c r="K251" s="277">
        <v>134346467.22603709</v>
      </c>
      <c r="L251" s="68">
        <f t="shared" si="35"/>
        <v>100</v>
      </c>
      <c r="M251" s="68"/>
      <c r="N251" s="290">
        <v>1772898970.6841674</v>
      </c>
      <c r="O251" s="68">
        <f t="shared" si="36"/>
        <v>22</v>
      </c>
      <c r="P251" s="68"/>
      <c r="Q251" s="276">
        <v>0</v>
      </c>
      <c r="R251" s="68">
        <f t="shared" si="37"/>
        <v>0</v>
      </c>
      <c r="S251" s="68"/>
      <c r="T251" s="56" t="s">
        <v>32</v>
      </c>
      <c r="U251" s="68">
        <f t="shared" si="38"/>
        <v>25</v>
      </c>
      <c r="V251" s="68"/>
      <c r="W251" s="69">
        <f t="shared" si="39"/>
        <v>422</v>
      </c>
      <c r="X251" s="93" t="str">
        <f t="shared" si="40"/>
        <v>I</v>
      </c>
      <c r="Y251" s="93">
        <f t="shared" si="41"/>
        <v>1</v>
      </c>
      <c r="AA251" s="13"/>
      <c r="AB251" s="132"/>
      <c r="AC251" s="14"/>
      <c r="AD251"/>
    </row>
    <row r="252" spans="1:30">
      <c r="A252" t="s">
        <v>73</v>
      </c>
      <c r="B252" s="110">
        <v>5060200</v>
      </c>
      <c r="C252" s="267" t="s">
        <v>317</v>
      </c>
      <c r="D252" s="55"/>
      <c r="E252" s="92">
        <v>9.6974104610671681</v>
      </c>
      <c r="F252" s="68">
        <f t="shared" si="33"/>
        <v>45</v>
      </c>
      <c r="G252" s="181"/>
      <c r="H252" s="276">
        <v>28367433.428299949</v>
      </c>
      <c r="I252" s="68">
        <f t="shared" si="34"/>
        <v>37.5</v>
      </c>
      <c r="J252" s="181"/>
      <c r="K252" s="277">
        <v>48575155.44700361</v>
      </c>
      <c r="L252" s="68">
        <f t="shared" si="35"/>
        <v>30</v>
      </c>
      <c r="M252" s="68"/>
      <c r="N252" s="290">
        <v>1902093380.473098</v>
      </c>
      <c r="O252" s="68">
        <f t="shared" si="36"/>
        <v>22</v>
      </c>
      <c r="P252" s="68"/>
      <c r="Q252" s="276">
        <v>0</v>
      </c>
      <c r="R252" s="68">
        <f t="shared" si="37"/>
        <v>0</v>
      </c>
      <c r="S252" s="68"/>
      <c r="T252" s="56" t="s">
        <v>37</v>
      </c>
      <c r="U252" s="68">
        <f t="shared" si="38"/>
        <v>12.5</v>
      </c>
      <c r="V252" s="68"/>
      <c r="W252" s="69">
        <f t="shared" si="39"/>
        <v>147</v>
      </c>
      <c r="X252" s="93" t="str">
        <f t="shared" si="40"/>
        <v>III</v>
      </c>
      <c r="Y252" s="93">
        <f t="shared" si="41"/>
        <v>3</v>
      </c>
      <c r="AA252" s="13"/>
      <c r="AB252" s="132"/>
      <c r="AC252" s="14"/>
      <c r="AD252"/>
    </row>
    <row r="253" spans="1:30">
      <c r="A253" t="s">
        <v>82</v>
      </c>
      <c r="B253" s="110">
        <v>7368500</v>
      </c>
      <c r="C253" s="267" t="s">
        <v>318</v>
      </c>
      <c r="D253" s="55"/>
      <c r="E253" s="92">
        <v>6.4451278614764203</v>
      </c>
      <c r="F253" s="68">
        <f t="shared" si="33"/>
        <v>30</v>
      </c>
      <c r="G253" s="181"/>
      <c r="H253" s="276">
        <v>0</v>
      </c>
      <c r="I253" s="68">
        <f t="shared" si="34"/>
        <v>0</v>
      </c>
      <c r="J253" s="181"/>
      <c r="K253" s="277">
        <v>0</v>
      </c>
      <c r="L253" s="68">
        <f t="shared" si="35"/>
        <v>0</v>
      </c>
      <c r="M253" s="68"/>
      <c r="N253" s="290">
        <v>0</v>
      </c>
      <c r="O253" s="68">
        <f t="shared" si="36"/>
        <v>0</v>
      </c>
      <c r="P253" s="68"/>
      <c r="Q253" s="276">
        <v>0</v>
      </c>
      <c r="R253" s="68">
        <f t="shared" si="37"/>
        <v>0</v>
      </c>
      <c r="S253" s="68"/>
      <c r="T253" s="56" t="s">
        <v>37</v>
      </c>
      <c r="U253" s="68">
        <f t="shared" si="38"/>
        <v>12.5</v>
      </c>
      <c r="V253" s="68"/>
      <c r="W253" s="69">
        <f t="shared" si="39"/>
        <v>42.5</v>
      </c>
      <c r="X253" s="93" t="str">
        <f t="shared" si="40"/>
        <v>IV</v>
      </c>
      <c r="Y253" s="93">
        <f t="shared" si="41"/>
        <v>4</v>
      </c>
      <c r="AA253" s="13"/>
      <c r="AB253" s="132"/>
      <c r="AC253" s="14"/>
      <c r="AD253"/>
    </row>
    <row r="254" spans="1:30">
      <c r="A254" t="s">
        <v>105</v>
      </c>
      <c r="B254" s="110">
        <v>8050200</v>
      </c>
      <c r="C254" s="267" t="s">
        <v>319</v>
      </c>
      <c r="D254" s="55"/>
      <c r="E254" s="92">
        <v>6.4451278614764203</v>
      </c>
      <c r="F254" s="68">
        <f t="shared" si="33"/>
        <v>30</v>
      </c>
      <c r="G254" s="181"/>
      <c r="H254" s="276">
        <v>22565193.036795262</v>
      </c>
      <c r="I254" s="68">
        <f t="shared" si="34"/>
        <v>37.5</v>
      </c>
      <c r="J254" s="181"/>
      <c r="K254" s="277">
        <v>40178947.674093649</v>
      </c>
      <c r="L254" s="68">
        <f t="shared" si="35"/>
        <v>30</v>
      </c>
      <c r="M254" s="68"/>
      <c r="N254" s="290">
        <v>1657423565.2244942</v>
      </c>
      <c r="O254" s="68">
        <f t="shared" si="36"/>
        <v>22</v>
      </c>
      <c r="P254" s="68"/>
      <c r="Q254" s="276">
        <v>1852519.6930999998</v>
      </c>
      <c r="R254" s="68">
        <f t="shared" si="37"/>
        <v>7.5</v>
      </c>
      <c r="S254" s="68"/>
      <c r="T254" s="56" t="s">
        <v>37</v>
      </c>
      <c r="U254" s="68">
        <f t="shared" si="38"/>
        <v>12.5</v>
      </c>
      <c r="V254" s="68"/>
      <c r="W254" s="69">
        <f t="shared" si="39"/>
        <v>139.5</v>
      </c>
      <c r="X254" s="93" t="str">
        <f t="shared" si="40"/>
        <v>III</v>
      </c>
      <c r="Y254" s="93">
        <f t="shared" si="41"/>
        <v>3</v>
      </c>
      <c r="AA254" s="13"/>
      <c r="AB254" s="132"/>
      <c r="AC254" s="14"/>
      <c r="AD254"/>
    </row>
    <row r="255" spans="1:30">
      <c r="A255" t="s">
        <v>105</v>
      </c>
      <c r="B255" s="110">
        <v>7340400</v>
      </c>
      <c r="C255" s="267" t="s">
        <v>320</v>
      </c>
      <c r="D255" s="55"/>
      <c r="E255" s="92">
        <v>13.451626030645102</v>
      </c>
      <c r="F255" s="68">
        <f t="shared" si="33"/>
        <v>75</v>
      </c>
      <c r="G255" s="181"/>
      <c r="H255" s="276">
        <v>43571258.59950117</v>
      </c>
      <c r="I255" s="68">
        <f t="shared" si="34"/>
        <v>62.5</v>
      </c>
      <c r="J255" s="181"/>
      <c r="K255" s="277">
        <v>82011782.609300464</v>
      </c>
      <c r="L255" s="68">
        <f t="shared" si="35"/>
        <v>50</v>
      </c>
      <c r="M255" s="68"/>
      <c r="N255" s="290">
        <v>2664468933.6517835</v>
      </c>
      <c r="O255" s="68">
        <f t="shared" si="36"/>
        <v>40</v>
      </c>
      <c r="P255" s="68"/>
      <c r="Q255" s="276">
        <v>9915416.8701999895</v>
      </c>
      <c r="R255" s="68">
        <f t="shared" si="37"/>
        <v>12.5</v>
      </c>
      <c r="S255" s="68"/>
      <c r="T255" s="56" t="s">
        <v>37</v>
      </c>
      <c r="U255" s="68">
        <f t="shared" si="38"/>
        <v>12.5</v>
      </c>
      <c r="V255" s="68"/>
      <c r="W255" s="69">
        <f t="shared" si="39"/>
        <v>252.5</v>
      </c>
      <c r="X255" s="93" t="str">
        <f t="shared" si="40"/>
        <v>II</v>
      </c>
      <c r="Y255" s="93">
        <f t="shared" si="41"/>
        <v>2</v>
      </c>
      <c r="AA255" s="13"/>
      <c r="AB255" s="132"/>
      <c r="AC255" s="14"/>
      <c r="AD255"/>
    </row>
    <row r="256" spans="1:30">
      <c r="A256" t="s">
        <v>105</v>
      </c>
      <c r="B256" s="110">
        <v>5872300</v>
      </c>
      <c r="C256" s="267" t="s">
        <v>321</v>
      </c>
      <c r="D256" s="55"/>
      <c r="E256" s="92">
        <v>6.2982736407114448</v>
      </c>
      <c r="F256" s="68">
        <f t="shared" si="33"/>
        <v>30</v>
      </c>
      <c r="G256" s="181"/>
      <c r="H256" s="276">
        <v>7564589.2520999806</v>
      </c>
      <c r="I256" s="68">
        <f t="shared" si="34"/>
        <v>25</v>
      </c>
      <c r="J256" s="181"/>
      <c r="K256" s="277">
        <v>30673451.665899754</v>
      </c>
      <c r="L256" s="68">
        <f t="shared" si="35"/>
        <v>20</v>
      </c>
      <c r="M256" s="68"/>
      <c r="N256" s="290">
        <v>1158224491.6759071</v>
      </c>
      <c r="O256" s="68">
        <f t="shared" si="36"/>
        <v>13</v>
      </c>
      <c r="P256" s="68"/>
      <c r="Q256" s="276">
        <v>0</v>
      </c>
      <c r="R256" s="68">
        <f t="shared" si="37"/>
        <v>0</v>
      </c>
      <c r="S256" s="68"/>
      <c r="T256" s="56" t="s">
        <v>37</v>
      </c>
      <c r="U256" s="68">
        <f t="shared" si="38"/>
        <v>12.5</v>
      </c>
      <c r="V256" s="68"/>
      <c r="W256" s="69">
        <f t="shared" si="39"/>
        <v>100.5</v>
      </c>
      <c r="X256" s="93" t="str">
        <f t="shared" si="40"/>
        <v>IV</v>
      </c>
      <c r="Y256" s="93">
        <f t="shared" si="41"/>
        <v>4</v>
      </c>
      <c r="AA256" s="13"/>
      <c r="AB256" s="132"/>
      <c r="AC256" s="14"/>
      <c r="AD256"/>
    </row>
    <row r="257" spans="1:30">
      <c r="A257" t="s">
        <v>82</v>
      </c>
      <c r="B257" s="110">
        <v>6857000</v>
      </c>
      <c r="C257" s="267" t="s">
        <v>322</v>
      </c>
      <c r="D257" s="55"/>
      <c r="E257" s="92">
        <v>6.2410999557241498</v>
      </c>
      <c r="F257" s="68">
        <f t="shared" si="33"/>
        <v>30</v>
      </c>
      <c r="G257" s="181"/>
      <c r="H257" s="276">
        <v>11868607.454497907</v>
      </c>
      <c r="I257" s="68">
        <f t="shared" si="34"/>
        <v>25</v>
      </c>
      <c r="J257" s="181"/>
      <c r="K257" s="277">
        <v>43161900.205797233</v>
      </c>
      <c r="L257" s="68">
        <f t="shared" si="35"/>
        <v>30</v>
      </c>
      <c r="M257" s="68"/>
      <c r="N257" s="290">
        <v>1166252555.4475982</v>
      </c>
      <c r="O257" s="68">
        <f t="shared" si="36"/>
        <v>13</v>
      </c>
      <c r="P257" s="68"/>
      <c r="Q257" s="276">
        <v>0</v>
      </c>
      <c r="R257" s="68">
        <f t="shared" si="37"/>
        <v>0</v>
      </c>
      <c r="S257" s="68"/>
      <c r="T257" s="56" t="s">
        <v>37</v>
      </c>
      <c r="U257" s="68">
        <f t="shared" si="38"/>
        <v>12.5</v>
      </c>
      <c r="V257" s="68"/>
      <c r="W257" s="69">
        <f t="shared" si="39"/>
        <v>110.5</v>
      </c>
      <c r="X257" s="93" t="str">
        <f t="shared" si="40"/>
        <v>IV</v>
      </c>
      <c r="Y257" s="93">
        <f t="shared" si="41"/>
        <v>4</v>
      </c>
      <c r="AA257" s="13"/>
      <c r="AB257" s="132"/>
      <c r="AC257" s="14"/>
      <c r="AD257"/>
    </row>
    <row r="258" spans="1:30">
      <c r="A258" t="s">
        <v>77</v>
      </c>
      <c r="B258" s="110">
        <v>5864900</v>
      </c>
      <c r="C258" s="267" t="s">
        <v>323</v>
      </c>
      <c r="D258" s="55"/>
      <c r="E258" s="92">
        <v>9.6974104610671681</v>
      </c>
      <c r="F258" s="68">
        <f t="shared" si="33"/>
        <v>45</v>
      </c>
      <c r="G258" s="181"/>
      <c r="H258" s="276">
        <v>28202750.817097802</v>
      </c>
      <c r="I258" s="68">
        <f t="shared" si="34"/>
        <v>37.5</v>
      </c>
      <c r="K258" s="277">
        <v>45948727.369299114</v>
      </c>
      <c r="L258" s="68">
        <f t="shared" si="35"/>
        <v>30</v>
      </c>
      <c r="M258" s="68"/>
      <c r="N258" s="290">
        <v>1114441985.2784984</v>
      </c>
      <c r="O258" s="68">
        <f t="shared" si="36"/>
        <v>13</v>
      </c>
      <c r="P258" s="68"/>
      <c r="Q258" s="276">
        <v>0</v>
      </c>
      <c r="R258" s="68">
        <f t="shared" si="37"/>
        <v>0</v>
      </c>
      <c r="S258" s="238"/>
      <c r="T258" s="56" t="s">
        <v>37</v>
      </c>
      <c r="U258" s="68">
        <f t="shared" si="38"/>
        <v>12.5</v>
      </c>
      <c r="V258" s="68"/>
      <c r="W258" s="69">
        <f t="shared" si="39"/>
        <v>138</v>
      </c>
      <c r="X258" s="93" t="str">
        <f t="shared" si="40"/>
        <v>III</v>
      </c>
      <c r="Y258" s="93">
        <f t="shared" ref="Y258:Y321" si="42">IF(X258="IV",4,IF(X258="III",3,IF(X258="II",2,1)))</f>
        <v>3</v>
      </c>
      <c r="AC258" s="14"/>
      <c r="AD258"/>
    </row>
    <row r="259" spans="1:30">
      <c r="A259" t="s">
        <v>77</v>
      </c>
      <c r="B259" s="110">
        <v>5861200</v>
      </c>
      <c r="C259" s="267" t="s">
        <v>324</v>
      </c>
      <c r="D259" s="55"/>
      <c r="E259" s="92">
        <v>4.598705230533584</v>
      </c>
      <c r="F259" s="68">
        <f t="shared" si="33"/>
        <v>30</v>
      </c>
      <c r="G259" s="181"/>
      <c r="H259" s="276">
        <v>984061.48650000035</v>
      </c>
      <c r="I259" s="68">
        <f t="shared" si="34"/>
        <v>25</v>
      </c>
      <c r="K259" s="277">
        <v>34727839.74369964</v>
      </c>
      <c r="L259" s="68">
        <f t="shared" si="35"/>
        <v>20</v>
      </c>
      <c r="M259" s="68"/>
      <c r="N259" s="290">
        <v>1432390988.7790048</v>
      </c>
      <c r="O259" s="68">
        <f t="shared" si="36"/>
        <v>22</v>
      </c>
      <c r="P259" s="68"/>
      <c r="Q259" s="276">
        <v>0</v>
      </c>
      <c r="R259" s="68">
        <f t="shared" si="37"/>
        <v>0</v>
      </c>
      <c r="S259" s="238"/>
      <c r="T259" s="56" t="s">
        <v>37</v>
      </c>
      <c r="U259" s="68">
        <f t="shared" si="38"/>
        <v>12.5</v>
      </c>
      <c r="V259" s="68"/>
      <c r="W259" s="69">
        <f t="shared" si="39"/>
        <v>109.5</v>
      </c>
      <c r="X259" s="93" t="str">
        <f t="shared" si="40"/>
        <v>IV</v>
      </c>
      <c r="Y259" s="93">
        <f t="shared" si="42"/>
        <v>4</v>
      </c>
      <c r="AC259" s="14"/>
      <c r="AD259"/>
    </row>
    <row r="260" spans="1:30">
      <c r="A260" t="s">
        <v>203</v>
      </c>
      <c r="B260" s="110">
        <v>6846300</v>
      </c>
      <c r="C260" s="267" t="s">
        <v>325</v>
      </c>
      <c r="D260" s="55"/>
      <c r="E260" s="92">
        <v>9.2594385343496839</v>
      </c>
      <c r="F260" s="68">
        <f t="shared" si="33"/>
        <v>45</v>
      </c>
      <c r="G260" s="181"/>
      <c r="H260" s="276">
        <v>12330901.878797863</v>
      </c>
      <c r="I260" s="68">
        <f t="shared" si="34"/>
        <v>25</v>
      </c>
      <c r="K260" s="277">
        <v>35488738.969399534</v>
      </c>
      <c r="L260" s="68">
        <f t="shared" si="35"/>
        <v>20</v>
      </c>
      <c r="M260" s="68"/>
      <c r="N260" s="290">
        <v>1394497465.0946946</v>
      </c>
      <c r="O260" s="68">
        <f t="shared" si="36"/>
        <v>22</v>
      </c>
      <c r="P260" s="68"/>
      <c r="Q260" s="276">
        <v>0</v>
      </c>
      <c r="R260" s="68">
        <f t="shared" si="37"/>
        <v>0</v>
      </c>
      <c r="S260" s="238"/>
      <c r="T260" s="56" t="s">
        <v>37</v>
      </c>
      <c r="U260" s="68">
        <f t="shared" si="38"/>
        <v>12.5</v>
      </c>
      <c r="V260" s="68"/>
      <c r="W260" s="69">
        <f t="shared" si="39"/>
        <v>124.5</v>
      </c>
      <c r="X260" s="93" t="str">
        <f t="shared" si="40"/>
        <v>III</v>
      </c>
      <c r="Y260" s="93">
        <f t="shared" si="42"/>
        <v>3</v>
      </c>
      <c r="AC260" s="14"/>
      <c r="AD260"/>
    </row>
    <row r="261" spans="1:30">
      <c r="A261" t="s">
        <v>69</v>
      </c>
      <c r="B261" s="110">
        <v>6145200</v>
      </c>
      <c r="C261" s="267" t="s">
        <v>326</v>
      </c>
      <c r="D261" s="55"/>
      <c r="E261" s="92">
        <v>6.3816069740447787</v>
      </c>
      <c r="F261" s="68">
        <f t="shared" si="33"/>
        <v>30</v>
      </c>
      <c r="G261" s="181"/>
      <c r="H261" s="276">
        <v>17058461.498297013</v>
      </c>
      <c r="I261" s="68">
        <f t="shared" si="34"/>
        <v>25</v>
      </c>
      <c r="K261" s="277">
        <v>46954485.406400628</v>
      </c>
      <c r="L261" s="68">
        <f t="shared" si="35"/>
        <v>30</v>
      </c>
      <c r="M261" s="68"/>
      <c r="N261" s="290">
        <v>1289017953.2082062</v>
      </c>
      <c r="O261" s="68">
        <f t="shared" si="36"/>
        <v>13</v>
      </c>
      <c r="P261" s="68"/>
      <c r="Q261" s="276">
        <v>0</v>
      </c>
      <c r="R261" s="68">
        <f t="shared" si="37"/>
        <v>0</v>
      </c>
      <c r="S261" s="238"/>
      <c r="T261" s="56" t="s">
        <v>37</v>
      </c>
      <c r="U261" s="68">
        <f t="shared" si="38"/>
        <v>12.5</v>
      </c>
      <c r="V261" s="68"/>
      <c r="W261" s="69">
        <f t="shared" si="39"/>
        <v>110.5</v>
      </c>
      <c r="X261" s="93" t="str">
        <f t="shared" si="40"/>
        <v>IV</v>
      </c>
      <c r="Y261" s="93">
        <f t="shared" si="42"/>
        <v>4</v>
      </c>
      <c r="AC261" s="14"/>
      <c r="AD261"/>
    </row>
    <row r="262" spans="1:30">
      <c r="A262" t="s">
        <v>82</v>
      </c>
      <c r="B262" s="110">
        <v>6937000</v>
      </c>
      <c r="C262" s="267" t="s">
        <v>327</v>
      </c>
      <c r="D262" s="55"/>
      <c r="E262" s="92">
        <v>13.451626030645102</v>
      </c>
      <c r="F262" s="68">
        <f t="shared" si="33"/>
        <v>75</v>
      </c>
      <c r="G262" s="181"/>
      <c r="H262" s="276">
        <v>37655837.704505458</v>
      </c>
      <c r="I262" s="68">
        <f t="shared" si="34"/>
        <v>62.5</v>
      </c>
      <c r="K262" s="277">
        <v>44303841.069697522</v>
      </c>
      <c r="L262" s="68">
        <f t="shared" si="35"/>
        <v>30</v>
      </c>
      <c r="M262" s="68"/>
      <c r="N262" s="290">
        <v>2017181396.2159984</v>
      </c>
      <c r="O262" s="68">
        <f t="shared" si="36"/>
        <v>22</v>
      </c>
      <c r="P262" s="68"/>
      <c r="Q262" s="276">
        <v>11183439.749199975</v>
      </c>
      <c r="R262" s="68">
        <f t="shared" si="37"/>
        <v>12.5</v>
      </c>
      <c r="S262" s="238"/>
      <c r="T262" s="56" t="s">
        <v>37</v>
      </c>
      <c r="U262" s="68">
        <f t="shared" si="38"/>
        <v>12.5</v>
      </c>
      <c r="V262" s="68"/>
      <c r="W262" s="69">
        <f t="shared" si="39"/>
        <v>214.5</v>
      </c>
      <c r="X262" s="93" t="str">
        <f t="shared" si="40"/>
        <v>II</v>
      </c>
      <c r="Y262" s="93">
        <f t="shared" si="42"/>
        <v>2</v>
      </c>
      <c r="AC262" s="14"/>
      <c r="AD262"/>
    </row>
    <row r="263" spans="1:30">
      <c r="A263" t="s">
        <v>203</v>
      </c>
      <c r="B263" s="110">
        <v>6941400</v>
      </c>
      <c r="C263" s="267" t="s">
        <v>328</v>
      </c>
      <c r="D263" s="55"/>
      <c r="E263" s="92">
        <v>6.5695789007622629</v>
      </c>
      <c r="F263" s="68">
        <f t="shared" si="33"/>
        <v>45</v>
      </c>
      <c r="G263" s="181"/>
      <c r="H263" s="276">
        <v>17724726.083199967</v>
      </c>
      <c r="I263" s="68">
        <f t="shared" si="34"/>
        <v>37.5</v>
      </c>
      <c r="K263" s="277">
        <v>38877421.726998433</v>
      </c>
      <c r="L263" s="68">
        <f t="shared" si="35"/>
        <v>30</v>
      </c>
      <c r="M263" s="68"/>
      <c r="N263" s="290">
        <v>1605960266.4972076</v>
      </c>
      <c r="O263" s="68">
        <f t="shared" si="36"/>
        <v>22</v>
      </c>
      <c r="P263" s="68"/>
      <c r="Q263" s="276">
        <v>0</v>
      </c>
      <c r="R263" s="68">
        <f t="shared" si="37"/>
        <v>0</v>
      </c>
      <c r="S263" s="238"/>
      <c r="T263" s="56" t="s">
        <v>37</v>
      </c>
      <c r="U263" s="68">
        <f t="shared" si="38"/>
        <v>12.5</v>
      </c>
      <c r="V263" s="68"/>
      <c r="W263" s="69">
        <f t="shared" si="39"/>
        <v>147</v>
      </c>
      <c r="X263" s="93" t="str">
        <f t="shared" si="40"/>
        <v>III</v>
      </c>
      <c r="Y263" s="93">
        <f t="shared" si="42"/>
        <v>3</v>
      </c>
      <c r="AC263" s="14"/>
      <c r="AD263"/>
    </row>
    <row r="264" spans="1:30">
      <c r="A264" t="s">
        <v>203</v>
      </c>
      <c r="B264" s="110">
        <v>6938500</v>
      </c>
      <c r="C264" s="267" t="s">
        <v>329</v>
      </c>
      <c r="D264" s="55"/>
      <c r="E264" s="92">
        <v>11.011326241219621</v>
      </c>
      <c r="F264" s="68">
        <f t="shared" si="33"/>
        <v>75</v>
      </c>
      <c r="G264" s="181"/>
      <c r="H264" s="276">
        <v>39918565.114100277</v>
      </c>
      <c r="I264" s="68">
        <f t="shared" si="34"/>
        <v>62.5</v>
      </c>
      <c r="K264" s="277">
        <v>71447210.279897362</v>
      </c>
      <c r="L264" s="68">
        <f t="shared" si="35"/>
        <v>50</v>
      </c>
      <c r="M264" s="68"/>
      <c r="N264" s="290">
        <v>2479726199.0132294</v>
      </c>
      <c r="O264" s="68">
        <f t="shared" si="36"/>
        <v>40</v>
      </c>
      <c r="P264" s="68"/>
      <c r="Q264" s="276">
        <v>12703662.632399963</v>
      </c>
      <c r="R264" s="68">
        <f t="shared" si="37"/>
        <v>12.5</v>
      </c>
      <c r="S264" s="238"/>
      <c r="T264" s="56" t="s">
        <v>37</v>
      </c>
      <c r="U264" s="68">
        <f t="shared" si="38"/>
        <v>12.5</v>
      </c>
      <c r="V264" s="68"/>
      <c r="W264" s="69">
        <f t="shared" si="39"/>
        <v>252.5</v>
      </c>
      <c r="X264" s="93" t="str">
        <f t="shared" si="40"/>
        <v>II</v>
      </c>
      <c r="Y264" s="93">
        <f t="shared" si="42"/>
        <v>2</v>
      </c>
      <c r="AD264"/>
    </row>
    <row r="265" spans="1:30">
      <c r="A265" t="s">
        <v>203</v>
      </c>
      <c r="B265" s="110">
        <v>7915200</v>
      </c>
      <c r="C265" s="267" t="s">
        <v>330</v>
      </c>
      <c r="D265" s="55"/>
      <c r="E265" s="92">
        <v>7.9455227541972313</v>
      </c>
      <c r="F265" s="68">
        <f t="shared" si="33"/>
        <v>45</v>
      </c>
      <c r="G265" s="181"/>
      <c r="H265" s="276">
        <v>24137339.101100128</v>
      </c>
      <c r="I265" s="68">
        <f t="shared" si="34"/>
        <v>37.5</v>
      </c>
      <c r="K265" s="277">
        <v>37639148.565499529</v>
      </c>
      <c r="L265" s="68">
        <f t="shared" si="35"/>
        <v>20</v>
      </c>
      <c r="M265" s="68"/>
      <c r="N265" s="290">
        <v>1308900414.7008004</v>
      </c>
      <c r="O265" s="68">
        <f t="shared" si="36"/>
        <v>13</v>
      </c>
      <c r="P265" s="68"/>
      <c r="Q265" s="276">
        <v>12775620.837299932</v>
      </c>
      <c r="R265" s="68">
        <f t="shared" si="37"/>
        <v>12.5</v>
      </c>
      <c r="S265" s="238"/>
      <c r="T265" s="56" t="s">
        <v>37</v>
      </c>
      <c r="U265" s="68">
        <f t="shared" si="38"/>
        <v>12.5</v>
      </c>
      <c r="V265" s="68"/>
      <c r="W265" s="69">
        <f t="shared" si="39"/>
        <v>140.5</v>
      </c>
      <c r="X265" s="93" t="str">
        <f t="shared" si="40"/>
        <v>III</v>
      </c>
      <c r="Y265" s="93">
        <f t="shared" si="42"/>
        <v>3</v>
      </c>
      <c r="AD265"/>
    </row>
    <row r="266" spans="1:30">
      <c r="A266" t="s">
        <v>75</v>
      </c>
      <c r="B266" s="110">
        <v>3563200</v>
      </c>
      <c r="C266" s="267" t="s">
        <v>331</v>
      </c>
      <c r="D266" s="55"/>
      <c r="E266" s="92">
        <v>5.0676911938923261</v>
      </c>
      <c r="F266" s="68">
        <f t="shared" si="33"/>
        <v>30</v>
      </c>
      <c r="G266" s="181"/>
      <c r="H266" s="276">
        <v>7993319.7128999801</v>
      </c>
      <c r="I266" s="68">
        <f t="shared" si="34"/>
        <v>25</v>
      </c>
      <c r="K266" s="277">
        <v>23754535.32929983</v>
      </c>
      <c r="L266" s="68">
        <f t="shared" si="35"/>
        <v>20</v>
      </c>
      <c r="M266" s="68"/>
      <c r="N266" s="290">
        <v>618400701.5786978</v>
      </c>
      <c r="O266" s="68">
        <f t="shared" si="36"/>
        <v>13</v>
      </c>
      <c r="P266" s="68"/>
      <c r="Q266" s="276">
        <v>0</v>
      </c>
      <c r="R266" s="68">
        <f t="shared" si="37"/>
        <v>0</v>
      </c>
      <c r="S266" s="238"/>
      <c r="T266" s="56" t="s">
        <v>37</v>
      </c>
      <c r="U266" s="68">
        <f t="shared" si="38"/>
        <v>12.5</v>
      </c>
      <c r="V266" s="68"/>
      <c r="W266" s="69">
        <f t="shared" si="39"/>
        <v>100.5</v>
      </c>
      <c r="X266" s="93" t="str">
        <f t="shared" si="40"/>
        <v>IV</v>
      </c>
      <c r="Y266" s="93">
        <f t="shared" si="42"/>
        <v>4</v>
      </c>
      <c r="AD266"/>
    </row>
    <row r="267" spans="1:30">
      <c r="A267" t="s">
        <v>77</v>
      </c>
      <c r="B267" s="110">
        <v>4869100</v>
      </c>
      <c r="C267" s="267" t="s">
        <v>332</v>
      </c>
      <c r="D267" s="55"/>
      <c r="E267" s="92">
        <v>7.9455227541972313</v>
      </c>
      <c r="F267" s="68">
        <f t="shared" si="33"/>
        <v>45</v>
      </c>
      <c r="G267" s="181"/>
      <c r="H267" s="276">
        <v>0</v>
      </c>
      <c r="I267" s="68">
        <f t="shared" si="34"/>
        <v>0</v>
      </c>
      <c r="K267" s="277">
        <v>0</v>
      </c>
      <c r="L267" s="68">
        <f t="shared" si="35"/>
        <v>0</v>
      </c>
      <c r="M267" s="68"/>
      <c r="N267" s="290">
        <v>0</v>
      </c>
      <c r="O267" s="68">
        <f t="shared" si="36"/>
        <v>0</v>
      </c>
      <c r="P267" s="68"/>
      <c r="Q267" s="276">
        <v>0</v>
      </c>
      <c r="R267" s="68">
        <f t="shared" si="37"/>
        <v>0</v>
      </c>
      <c r="S267" s="238"/>
      <c r="T267" s="56" t="s">
        <v>37</v>
      </c>
      <c r="U267" s="68">
        <f t="shared" si="38"/>
        <v>12.5</v>
      </c>
      <c r="V267" s="68"/>
      <c r="W267" s="69">
        <f t="shared" si="39"/>
        <v>57.5</v>
      </c>
      <c r="X267" s="93" t="str">
        <f t="shared" si="40"/>
        <v>IV</v>
      </c>
      <c r="Y267" s="93">
        <f t="shared" si="42"/>
        <v>4</v>
      </c>
      <c r="AD267"/>
    </row>
    <row r="268" spans="1:30">
      <c r="A268" t="s">
        <v>71</v>
      </c>
      <c r="B268" s="110">
        <v>4859600</v>
      </c>
      <c r="C268" s="267" t="s">
        <v>333</v>
      </c>
      <c r="D268" s="55"/>
      <c r="E268" s="92">
        <v>7.9455227541972313</v>
      </c>
      <c r="F268" s="68">
        <f t="shared" si="33"/>
        <v>45</v>
      </c>
      <c r="G268" s="181"/>
      <c r="H268" s="276">
        <v>24015174.832201142</v>
      </c>
      <c r="I268" s="68">
        <f t="shared" si="34"/>
        <v>37.5</v>
      </c>
      <c r="K268" s="277">
        <v>33384006.609400705</v>
      </c>
      <c r="L268" s="68">
        <f t="shared" si="35"/>
        <v>20</v>
      </c>
      <c r="M268" s="68"/>
      <c r="N268" s="290">
        <v>1448710924.0318074</v>
      </c>
      <c r="O268" s="68">
        <f t="shared" si="36"/>
        <v>22</v>
      </c>
      <c r="P268" s="68"/>
      <c r="Q268" s="276">
        <v>6203056.9024</v>
      </c>
      <c r="R268" s="68">
        <f t="shared" si="37"/>
        <v>12.5</v>
      </c>
      <c r="S268" s="238"/>
      <c r="T268" s="56" t="s">
        <v>37</v>
      </c>
      <c r="U268" s="68">
        <f t="shared" si="38"/>
        <v>12.5</v>
      </c>
      <c r="V268" s="68"/>
      <c r="W268" s="69">
        <f t="shared" si="39"/>
        <v>149.5</v>
      </c>
      <c r="X268" s="93" t="str">
        <f t="shared" si="40"/>
        <v>III</v>
      </c>
      <c r="Y268" s="93">
        <f t="shared" si="42"/>
        <v>3</v>
      </c>
      <c r="AD268"/>
    </row>
    <row r="269" spans="1:30">
      <c r="A269" t="s">
        <v>69</v>
      </c>
      <c r="B269" s="110">
        <v>3476600</v>
      </c>
      <c r="C269" s="267" t="s">
        <v>334</v>
      </c>
      <c r="D269" s="55"/>
      <c r="E269" s="92">
        <v>8.5714666076321997</v>
      </c>
      <c r="F269" s="68">
        <f t="shared" si="33"/>
        <v>45</v>
      </c>
      <c r="G269" s="181"/>
      <c r="H269" s="276">
        <v>27624858.976798888</v>
      </c>
      <c r="I269" s="68">
        <f t="shared" si="34"/>
        <v>37.5</v>
      </c>
      <c r="K269" s="277">
        <v>53189475.6154055</v>
      </c>
      <c r="L269" s="68">
        <f t="shared" si="35"/>
        <v>30</v>
      </c>
      <c r="M269" s="68"/>
      <c r="N269" s="290">
        <v>2386893146.4140029</v>
      </c>
      <c r="O269" s="68">
        <f t="shared" si="36"/>
        <v>40</v>
      </c>
      <c r="P269" s="68"/>
      <c r="Q269" s="276">
        <v>16991634.421698865</v>
      </c>
      <c r="R269" s="68">
        <f t="shared" si="37"/>
        <v>25</v>
      </c>
      <c r="S269" s="238"/>
      <c r="T269" s="56" t="s">
        <v>37</v>
      </c>
      <c r="U269" s="68">
        <f t="shared" si="38"/>
        <v>12.5</v>
      </c>
      <c r="V269" s="68"/>
      <c r="W269" s="69">
        <f t="shared" si="39"/>
        <v>190</v>
      </c>
      <c r="X269" s="93" t="str">
        <f t="shared" si="40"/>
        <v>III</v>
      </c>
      <c r="Y269" s="93">
        <f t="shared" si="42"/>
        <v>3</v>
      </c>
      <c r="AD269"/>
    </row>
    <row r="270" spans="1:30">
      <c r="A270" t="s">
        <v>67</v>
      </c>
      <c r="B270" s="110">
        <v>3863500</v>
      </c>
      <c r="C270" s="267" t="s">
        <v>335</v>
      </c>
      <c r="D270" s="55"/>
      <c r="E270" s="92">
        <v>7.8834946809147155</v>
      </c>
      <c r="F270" s="68">
        <f t="shared" si="33"/>
        <v>45</v>
      </c>
      <c r="G270" s="181"/>
      <c r="H270" s="276">
        <v>34314702.607699752</v>
      </c>
      <c r="I270" s="68">
        <f t="shared" si="34"/>
        <v>62.5</v>
      </c>
      <c r="K270" s="277">
        <v>56159978.220498256</v>
      </c>
      <c r="L270" s="68">
        <f t="shared" si="35"/>
        <v>30</v>
      </c>
      <c r="M270" s="68"/>
      <c r="N270" s="290">
        <v>2588290199.8813891</v>
      </c>
      <c r="O270" s="68">
        <f t="shared" si="36"/>
        <v>40</v>
      </c>
      <c r="P270" s="68"/>
      <c r="Q270" s="276">
        <v>12000443.701000966</v>
      </c>
      <c r="R270" s="68">
        <f t="shared" si="37"/>
        <v>12.5</v>
      </c>
      <c r="S270" s="238"/>
      <c r="T270" s="56" t="s">
        <v>37</v>
      </c>
      <c r="U270" s="68">
        <f t="shared" si="38"/>
        <v>12.5</v>
      </c>
      <c r="V270" s="68"/>
      <c r="W270" s="69">
        <f t="shared" si="39"/>
        <v>202.5</v>
      </c>
      <c r="X270" s="93" t="str">
        <f t="shared" si="40"/>
        <v>II</v>
      </c>
      <c r="Y270" s="93">
        <f t="shared" si="42"/>
        <v>2</v>
      </c>
      <c r="AD270"/>
    </row>
    <row r="271" spans="1:30">
      <c r="A271" t="s">
        <v>67</v>
      </c>
      <c r="B271" s="110">
        <v>3966400</v>
      </c>
      <c r="C271" s="267" t="s">
        <v>336</v>
      </c>
      <c r="D271" s="55"/>
      <c r="E271" s="92">
        <v>6.3816069740447787</v>
      </c>
      <c r="F271" s="68">
        <f t="shared" si="33"/>
        <v>30</v>
      </c>
      <c r="G271" s="181"/>
      <c r="H271" s="276">
        <v>0</v>
      </c>
      <c r="I271" s="68">
        <f t="shared" si="34"/>
        <v>0</v>
      </c>
      <c r="K271" s="277">
        <v>0</v>
      </c>
      <c r="L271" s="68">
        <f t="shared" si="35"/>
        <v>0</v>
      </c>
      <c r="M271" s="68"/>
      <c r="N271" s="290">
        <v>0</v>
      </c>
      <c r="O271" s="68">
        <f t="shared" si="36"/>
        <v>0</v>
      </c>
      <c r="P271" s="68"/>
      <c r="Q271" s="276">
        <v>0</v>
      </c>
      <c r="R271" s="68">
        <f t="shared" si="37"/>
        <v>0</v>
      </c>
      <c r="S271" s="238"/>
      <c r="T271" s="56" t="s">
        <v>37</v>
      </c>
      <c r="U271" s="68">
        <f t="shared" si="38"/>
        <v>12.5</v>
      </c>
      <c r="V271" s="68"/>
      <c r="W271" s="69">
        <f t="shared" si="39"/>
        <v>42.5</v>
      </c>
      <c r="X271" s="93" t="str">
        <f t="shared" si="40"/>
        <v>IV</v>
      </c>
      <c r="Y271" s="93">
        <f t="shared" si="42"/>
        <v>4</v>
      </c>
      <c r="AD271"/>
    </row>
    <row r="272" spans="1:30">
      <c r="A272" t="s">
        <v>67</v>
      </c>
      <c r="B272" s="110">
        <v>7995200</v>
      </c>
      <c r="C272" s="267" t="s">
        <v>337</v>
      </c>
      <c r="D272" s="55"/>
      <c r="E272" s="92">
        <v>6.3816069740447787</v>
      </c>
      <c r="F272" s="68">
        <f t="shared" si="33"/>
        <v>30</v>
      </c>
      <c r="G272" s="181"/>
      <c r="H272" s="276">
        <v>16794586.939100899</v>
      </c>
      <c r="I272" s="68">
        <f t="shared" si="34"/>
        <v>25</v>
      </c>
      <c r="K272" s="277">
        <v>30663632.33779883</v>
      </c>
      <c r="L272" s="68">
        <f t="shared" si="35"/>
        <v>20</v>
      </c>
      <c r="M272" s="68"/>
      <c r="N272" s="290">
        <v>1799981555.6295083</v>
      </c>
      <c r="O272" s="68">
        <f t="shared" si="36"/>
        <v>22</v>
      </c>
      <c r="P272" s="68"/>
      <c r="Q272" s="276">
        <v>15258587.903602926</v>
      </c>
      <c r="R272" s="68">
        <f t="shared" si="37"/>
        <v>25</v>
      </c>
      <c r="S272" s="238"/>
      <c r="T272" s="56" t="s">
        <v>37</v>
      </c>
      <c r="U272" s="68">
        <f t="shared" si="38"/>
        <v>12.5</v>
      </c>
      <c r="V272" s="68"/>
      <c r="W272" s="69">
        <f t="shared" si="39"/>
        <v>134.5</v>
      </c>
      <c r="X272" s="93" t="str">
        <f t="shared" si="40"/>
        <v>III</v>
      </c>
      <c r="Y272" s="93">
        <f t="shared" si="42"/>
        <v>3</v>
      </c>
      <c r="AD272"/>
    </row>
    <row r="273" spans="1:30">
      <c r="A273" t="s">
        <v>86</v>
      </c>
      <c r="B273" s="110">
        <v>3962300</v>
      </c>
      <c r="C273" s="267" t="s">
        <v>338</v>
      </c>
      <c r="D273" s="55"/>
      <c r="E273" s="92">
        <v>28.993577267419223</v>
      </c>
      <c r="F273" s="68">
        <f t="shared" si="33"/>
        <v>150</v>
      </c>
      <c r="G273" s="181"/>
      <c r="H273" s="276">
        <v>145295001.64139646</v>
      </c>
      <c r="I273" s="68">
        <f t="shared" si="34"/>
        <v>125</v>
      </c>
      <c r="K273" s="277">
        <v>334103095.29520482</v>
      </c>
      <c r="L273" s="68">
        <f t="shared" si="35"/>
        <v>100</v>
      </c>
      <c r="M273" s="68"/>
      <c r="N273" s="290">
        <v>7400244072.1908846</v>
      </c>
      <c r="O273" s="68">
        <f t="shared" si="36"/>
        <v>75</v>
      </c>
      <c r="P273" s="68"/>
      <c r="Q273" s="276">
        <v>0</v>
      </c>
      <c r="R273" s="68">
        <f t="shared" si="37"/>
        <v>0</v>
      </c>
      <c r="S273" s="238"/>
      <c r="T273" s="56" t="s">
        <v>32</v>
      </c>
      <c r="U273" s="68">
        <f t="shared" si="38"/>
        <v>25</v>
      </c>
      <c r="V273" s="68"/>
      <c r="W273" s="69">
        <f t="shared" si="39"/>
        <v>475</v>
      </c>
      <c r="X273" s="93" t="str">
        <f t="shared" si="40"/>
        <v>I</v>
      </c>
      <c r="Y273" s="93">
        <f t="shared" si="42"/>
        <v>1</v>
      </c>
      <c r="AD273"/>
    </row>
    <row r="274" spans="1:30">
      <c r="A274" t="s">
        <v>86</v>
      </c>
      <c r="B274" s="110">
        <v>3963400</v>
      </c>
      <c r="C274" s="267" t="s">
        <v>339</v>
      </c>
      <c r="D274" s="55"/>
      <c r="E274" s="92">
        <v>28.993577267419223</v>
      </c>
      <c r="F274" s="68">
        <f t="shared" si="33"/>
        <v>150</v>
      </c>
      <c r="G274" s="181"/>
      <c r="H274" s="276">
        <v>159224097.62029752</v>
      </c>
      <c r="I274" s="68">
        <f t="shared" si="34"/>
        <v>125</v>
      </c>
      <c r="K274" s="277">
        <v>235725012.7420944</v>
      </c>
      <c r="L274" s="68">
        <f t="shared" si="35"/>
        <v>100</v>
      </c>
      <c r="M274" s="68"/>
      <c r="N274" s="290">
        <v>5482849724.4792004</v>
      </c>
      <c r="O274" s="68">
        <f t="shared" si="36"/>
        <v>75</v>
      </c>
      <c r="P274" s="68"/>
      <c r="Q274" s="276">
        <v>0</v>
      </c>
      <c r="R274" s="68">
        <f t="shared" si="37"/>
        <v>0</v>
      </c>
      <c r="S274" s="238"/>
      <c r="T274" s="56" t="s">
        <v>32</v>
      </c>
      <c r="U274" s="68">
        <f t="shared" si="38"/>
        <v>25</v>
      </c>
      <c r="V274" s="68"/>
      <c r="W274" s="69">
        <f t="shared" si="39"/>
        <v>475</v>
      </c>
      <c r="X274" s="93" t="str">
        <f t="shared" si="40"/>
        <v>I</v>
      </c>
      <c r="Y274" s="93">
        <f t="shared" si="42"/>
        <v>1</v>
      </c>
      <c r="AD274"/>
    </row>
    <row r="275" spans="1:30">
      <c r="A275" t="s">
        <v>73</v>
      </c>
      <c r="B275" s="110">
        <v>5050600</v>
      </c>
      <c r="C275" s="267" t="s">
        <v>340</v>
      </c>
      <c r="D275" s="55"/>
      <c r="E275" s="92">
        <v>6.1316069740447787</v>
      </c>
      <c r="F275" s="68">
        <f t="shared" ref="F275:F338" si="43">IF(E275=0,0,IF(E275&lt;=E$11,G$11,IF(E275&lt;=E$10,G$10,IF(E275&lt;=E$9,G$9,G$8))))</f>
        <v>30</v>
      </c>
      <c r="G275" s="181"/>
      <c r="H275" s="276">
        <v>25180401.784999721</v>
      </c>
      <c r="I275" s="68">
        <f t="shared" ref="I275:I338" si="44">IF(H275=0,0,IF(H275&lt;=H$11,J$11,IF(H275&lt;=H$10,J$10,IF(H275&lt;=H$9,J$9,J$8))))</f>
        <v>37.5</v>
      </c>
      <c r="K275" s="277">
        <v>41270952.053899564</v>
      </c>
      <c r="L275" s="68">
        <f t="shared" ref="L275:L338" si="45">IF(K275=0,0,IF(K275&lt;=K$11,M$11,IF(K275&lt;=K$10,M$10,IF(K275&lt;=K$9,M$9,M$8))))</f>
        <v>30</v>
      </c>
      <c r="M275" s="68"/>
      <c r="N275" s="290">
        <v>1717617585.3245993</v>
      </c>
      <c r="O275" s="68">
        <f t="shared" ref="O275:O338" si="46">IF(N275=0,0,IF(N275&lt;=N$11,P$11,IF(N275&lt;=N$10,P$10,IF(N275&lt;=N$9,P$9,P$8))))</f>
        <v>22</v>
      </c>
      <c r="P275" s="68"/>
      <c r="Q275" s="276">
        <v>6738530.1470000045</v>
      </c>
      <c r="R275" s="68">
        <f t="shared" ref="R275:R338" si="47">IF(Q275=0,0,IF(Q275&lt;=Q$11,S$11,IF(Q275&lt;=Q$10,S$10,IF(Q275&lt;=Q$9,S$9,S$8))))</f>
        <v>12.5</v>
      </c>
      <c r="S275" s="238"/>
      <c r="T275" s="56" t="s">
        <v>37</v>
      </c>
      <c r="U275" s="68">
        <f t="shared" ref="U275:U338" si="48">IF(T275=0,0,IF(T275=T$9,V$9,V$8))</f>
        <v>12.5</v>
      </c>
      <c r="V275" s="68"/>
      <c r="W275" s="69">
        <f t="shared" ref="W275:W338" si="49">F275+I275+L275+O275+R275+U275</f>
        <v>144.5</v>
      </c>
      <c r="X275" s="93" t="str">
        <f t="shared" si="40"/>
        <v>III</v>
      </c>
      <c r="Y275" s="93">
        <f t="shared" si="42"/>
        <v>3</v>
      </c>
      <c r="AD275"/>
    </row>
    <row r="276" spans="1:30">
      <c r="A276" t="s">
        <v>67</v>
      </c>
      <c r="B276" s="110">
        <v>3957900</v>
      </c>
      <c r="C276" s="267" t="s">
        <v>341</v>
      </c>
      <c r="D276" s="55"/>
      <c r="E276" s="92">
        <v>9.1353823877846523</v>
      </c>
      <c r="F276" s="68">
        <f t="shared" si="43"/>
        <v>45</v>
      </c>
      <c r="G276" s="181"/>
      <c r="H276" s="276">
        <v>32808478.697696965</v>
      </c>
      <c r="I276" s="68">
        <f t="shared" si="44"/>
        <v>37.5</v>
      </c>
      <c r="K276" s="277">
        <v>67615299.774901018</v>
      </c>
      <c r="L276" s="68">
        <f t="shared" si="45"/>
        <v>50</v>
      </c>
      <c r="M276" s="68"/>
      <c r="N276" s="290">
        <v>2245517677.6548815</v>
      </c>
      <c r="O276" s="68">
        <f t="shared" si="46"/>
        <v>40</v>
      </c>
      <c r="P276" s="68"/>
      <c r="Q276" s="276">
        <v>0</v>
      </c>
      <c r="R276" s="68">
        <f t="shared" si="47"/>
        <v>0</v>
      </c>
      <c r="S276" s="238"/>
      <c r="T276" s="56" t="s">
        <v>37</v>
      </c>
      <c r="U276" s="68">
        <f t="shared" si="48"/>
        <v>12.5</v>
      </c>
      <c r="V276" s="68"/>
      <c r="W276" s="69">
        <f t="shared" si="49"/>
        <v>185</v>
      </c>
      <c r="X276" s="93" t="str">
        <f t="shared" ref="X276:X339" si="50">IF(W276&lt;=$Y$11,$W$11,IF(W276&lt;=$Y$10,$W$10,IF(W276&lt;=$Y$9,$W$9,$W$8)))</f>
        <v>III</v>
      </c>
      <c r="Y276" s="93">
        <f t="shared" si="42"/>
        <v>3</v>
      </c>
      <c r="AD276"/>
    </row>
    <row r="277" spans="1:30">
      <c r="A277" t="s">
        <v>82</v>
      </c>
      <c r="B277" s="110">
        <v>7365100</v>
      </c>
      <c r="C277" s="267" t="s">
        <v>342</v>
      </c>
      <c r="D277" s="55"/>
      <c r="E277" s="92">
        <v>9.2594385343496839</v>
      </c>
      <c r="F277" s="68">
        <f t="shared" si="43"/>
        <v>45</v>
      </c>
      <c r="G277" s="181"/>
      <c r="H277" s="276">
        <v>0</v>
      </c>
      <c r="I277" s="68">
        <f t="shared" si="44"/>
        <v>0</v>
      </c>
      <c r="K277" s="277">
        <v>0</v>
      </c>
      <c r="L277" s="68">
        <f t="shared" si="45"/>
        <v>0</v>
      </c>
      <c r="M277" s="68"/>
      <c r="N277" s="290">
        <v>0</v>
      </c>
      <c r="O277" s="68">
        <f t="shared" si="46"/>
        <v>0</v>
      </c>
      <c r="P277" s="68"/>
      <c r="Q277" s="276">
        <v>0</v>
      </c>
      <c r="R277" s="68">
        <f t="shared" si="47"/>
        <v>0</v>
      </c>
      <c r="S277" s="238"/>
      <c r="T277" s="56" t="s">
        <v>37</v>
      </c>
      <c r="U277" s="68">
        <f t="shared" si="48"/>
        <v>12.5</v>
      </c>
      <c r="V277" s="68"/>
      <c r="W277" s="69">
        <f t="shared" si="49"/>
        <v>57.5</v>
      </c>
      <c r="X277" s="93" t="str">
        <f t="shared" si="50"/>
        <v>IV</v>
      </c>
      <c r="Y277" s="93">
        <f t="shared" si="42"/>
        <v>4</v>
      </c>
      <c r="AD277"/>
    </row>
    <row r="278" spans="1:30">
      <c r="A278" t="s">
        <v>73</v>
      </c>
      <c r="B278" s="110">
        <v>5250500</v>
      </c>
      <c r="C278" s="267" t="s">
        <v>343</v>
      </c>
      <c r="D278" s="55"/>
      <c r="E278" s="92">
        <v>9.2594385343496839</v>
      </c>
      <c r="F278" s="68">
        <f t="shared" si="43"/>
        <v>45</v>
      </c>
      <c r="G278" s="181"/>
      <c r="H278" s="276">
        <v>18475080.950300932</v>
      </c>
      <c r="I278" s="68">
        <f t="shared" si="44"/>
        <v>37.5</v>
      </c>
      <c r="K278" s="277">
        <v>38650796.568698719</v>
      </c>
      <c r="L278" s="68">
        <f t="shared" si="45"/>
        <v>30</v>
      </c>
      <c r="M278" s="68"/>
      <c r="N278" s="290">
        <v>1476584479.6959033</v>
      </c>
      <c r="O278" s="68">
        <f t="shared" si="46"/>
        <v>22</v>
      </c>
      <c r="P278" s="68"/>
      <c r="Q278" s="276">
        <v>0</v>
      </c>
      <c r="R278" s="68">
        <f t="shared" si="47"/>
        <v>0</v>
      </c>
      <c r="S278" s="238"/>
      <c r="T278" s="56" t="s">
        <v>37</v>
      </c>
      <c r="U278" s="68">
        <f t="shared" si="48"/>
        <v>12.5</v>
      </c>
      <c r="V278" s="68"/>
      <c r="W278" s="69">
        <f t="shared" si="49"/>
        <v>147</v>
      </c>
      <c r="X278" s="93" t="str">
        <f t="shared" si="50"/>
        <v>III</v>
      </c>
      <c r="Y278" s="93">
        <f t="shared" si="42"/>
        <v>3</v>
      </c>
      <c r="AD278"/>
    </row>
    <row r="279" spans="1:30">
      <c r="A279" t="s">
        <v>73</v>
      </c>
      <c r="B279" s="110">
        <v>5259700</v>
      </c>
      <c r="C279" s="267" t="s">
        <v>344</v>
      </c>
      <c r="D279" s="55"/>
      <c r="E279" s="92">
        <v>13.451626030645102</v>
      </c>
      <c r="F279" s="68">
        <f t="shared" si="43"/>
        <v>75</v>
      </c>
      <c r="G279" s="181"/>
      <c r="H279" s="276">
        <v>54036795.495699286</v>
      </c>
      <c r="I279" s="68">
        <f t="shared" si="44"/>
        <v>62.5</v>
      </c>
      <c r="K279" s="277">
        <v>68058095.885091424</v>
      </c>
      <c r="L279" s="68">
        <f t="shared" si="45"/>
        <v>50</v>
      </c>
      <c r="M279" s="68"/>
      <c r="N279" s="290">
        <v>4605184159.7531986</v>
      </c>
      <c r="O279" s="68">
        <f t="shared" si="46"/>
        <v>75</v>
      </c>
      <c r="P279" s="68"/>
      <c r="Q279" s="276">
        <v>0</v>
      </c>
      <c r="R279" s="68">
        <f t="shared" si="47"/>
        <v>0</v>
      </c>
      <c r="S279" s="238"/>
      <c r="T279" s="56" t="s">
        <v>37</v>
      </c>
      <c r="U279" s="68">
        <f t="shared" si="48"/>
        <v>12.5</v>
      </c>
      <c r="V279" s="68"/>
      <c r="W279" s="69">
        <f t="shared" si="49"/>
        <v>275</v>
      </c>
      <c r="X279" s="93" t="str">
        <f t="shared" si="50"/>
        <v>II</v>
      </c>
      <c r="Y279" s="93">
        <f t="shared" si="42"/>
        <v>2</v>
      </c>
      <c r="AD279"/>
    </row>
    <row r="280" spans="1:30">
      <c r="A280" t="s">
        <v>69</v>
      </c>
      <c r="B280" s="110">
        <v>3440400</v>
      </c>
      <c r="C280" s="267" t="s">
        <v>345</v>
      </c>
      <c r="D280" s="55"/>
      <c r="E280" s="92">
        <v>8.6547999409655336</v>
      </c>
      <c r="F280" s="68">
        <f t="shared" si="43"/>
        <v>45</v>
      </c>
      <c r="G280" s="181"/>
      <c r="H280" s="276">
        <v>32345869.427600164</v>
      </c>
      <c r="I280" s="68">
        <f t="shared" si="44"/>
        <v>37.5</v>
      </c>
      <c r="K280" s="277">
        <v>36168034.0738995</v>
      </c>
      <c r="L280" s="68">
        <f t="shared" si="45"/>
        <v>20</v>
      </c>
      <c r="M280" s="68"/>
      <c r="N280" s="290">
        <v>2235641877.8832965</v>
      </c>
      <c r="O280" s="68">
        <f t="shared" si="46"/>
        <v>40</v>
      </c>
      <c r="P280" s="68"/>
      <c r="Q280" s="276">
        <v>0</v>
      </c>
      <c r="R280" s="68">
        <f t="shared" si="47"/>
        <v>0</v>
      </c>
      <c r="S280" s="238"/>
      <c r="T280" s="56" t="s">
        <v>37</v>
      </c>
      <c r="U280" s="68">
        <f t="shared" si="48"/>
        <v>12.5</v>
      </c>
      <c r="V280" s="68"/>
      <c r="W280" s="69">
        <f t="shared" si="49"/>
        <v>155</v>
      </c>
      <c r="X280" s="93" t="str">
        <f t="shared" si="50"/>
        <v>III</v>
      </c>
      <c r="Y280" s="93">
        <f t="shared" si="42"/>
        <v>3</v>
      </c>
      <c r="AD280"/>
    </row>
    <row r="281" spans="1:30">
      <c r="A281" t="s">
        <v>69</v>
      </c>
      <c r="B281" s="110">
        <v>8130200</v>
      </c>
      <c r="C281" s="267" t="s">
        <v>346</v>
      </c>
      <c r="D281" s="55"/>
      <c r="E281" s="92">
        <v>7.9455227541972313</v>
      </c>
      <c r="F281" s="68">
        <f t="shared" si="43"/>
        <v>45</v>
      </c>
      <c r="G281" s="181"/>
      <c r="H281" s="276">
        <v>20729484.490299873</v>
      </c>
      <c r="I281" s="68">
        <f t="shared" si="44"/>
        <v>37.5</v>
      </c>
      <c r="K281" s="277">
        <v>42812377.304899618</v>
      </c>
      <c r="L281" s="68">
        <f t="shared" si="45"/>
        <v>30</v>
      </c>
      <c r="M281" s="68"/>
      <c r="N281" s="290">
        <v>1635190316.9323981</v>
      </c>
      <c r="O281" s="68">
        <f t="shared" si="46"/>
        <v>22</v>
      </c>
      <c r="P281" s="68"/>
      <c r="Q281" s="276">
        <v>9365433.0719000045</v>
      </c>
      <c r="R281" s="68">
        <f t="shared" si="47"/>
        <v>12.5</v>
      </c>
      <c r="S281" s="238"/>
      <c r="T281" s="56" t="s">
        <v>37</v>
      </c>
      <c r="U281" s="68">
        <f t="shared" si="48"/>
        <v>12.5</v>
      </c>
      <c r="V281" s="68"/>
      <c r="W281" s="69">
        <f t="shared" si="49"/>
        <v>159.5</v>
      </c>
      <c r="X281" s="93" t="str">
        <f t="shared" si="50"/>
        <v>III</v>
      </c>
      <c r="Y281" s="93">
        <f t="shared" si="42"/>
        <v>3</v>
      </c>
      <c r="AD281"/>
    </row>
    <row r="282" spans="1:30">
      <c r="A282" t="s">
        <v>113</v>
      </c>
      <c r="B282" s="110">
        <v>3470300</v>
      </c>
      <c r="C282" s="267" t="s">
        <v>347</v>
      </c>
      <c r="D282" s="55"/>
      <c r="E282" s="92">
        <v>6.4649403073781126</v>
      </c>
      <c r="F282" s="68">
        <f t="shared" si="43"/>
        <v>30</v>
      </c>
      <c r="G282" s="181"/>
      <c r="H282" s="276">
        <v>24157684.352999911</v>
      </c>
      <c r="I282" s="68">
        <f t="shared" si="44"/>
        <v>37.5</v>
      </c>
      <c r="K282" s="277">
        <v>63836791.29030171</v>
      </c>
      <c r="L282" s="68">
        <f t="shared" si="45"/>
        <v>50</v>
      </c>
      <c r="M282" s="68"/>
      <c r="N282" s="290">
        <v>1529023216.0023041</v>
      </c>
      <c r="O282" s="68">
        <f t="shared" si="46"/>
        <v>22</v>
      </c>
      <c r="P282" s="68"/>
      <c r="Q282" s="276">
        <v>0</v>
      </c>
      <c r="R282" s="68">
        <f t="shared" si="47"/>
        <v>0</v>
      </c>
      <c r="S282" s="238"/>
      <c r="T282" s="56" t="s">
        <v>37</v>
      </c>
      <c r="U282" s="68">
        <f t="shared" si="48"/>
        <v>12.5</v>
      </c>
      <c r="V282" s="68"/>
      <c r="W282" s="69">
        <f t="shared" si="49"/>
        <v>152</v>
      </c>
      <c r="X282" s="93" t="str">
        <f t="shared" si="50"/>
        <v>III</v>
      </c>
      <c r="Y282" s="93">
        <f t="shared" si="42"/>
        <v>3</v>
      </c>
      <c r="AD282"/>
    </row>
    <row r="283" spans="1:30">
      <c r="A283" t="s">
        <v>77</v>
      </c>
      <c r="B283" s="110">
        <v>5852000</v>
      </c>
      <c r="C283" s="267" t="s">
        <v>348</v>
      </c>
      <c r="D283" s="55"/>
      <c r="E283" s="92">
        <v>2.6601409647348833</v>
      </c>
      <c r="F283" s="68">
        <f t="shared" si="43"/>
        <v>30</v>
      </c>
      <c r="G283" s="181"/>
      <c r="H283" s="276">
        <v>328039.40619999991</v>
      </c>
      <c r="I283" s="68">
        <f t="shared" si="44"/>
        <v>25</v>
      </c>
      <c r="K283" s="277">
        <v>14559982.004599987</v>
      </c>
      <c r="L283" s="68">
        <f t="shared" si="45"/>
        <v>20</v>
      </c>
      <c r="M283" s="68"/>
      <c r="N283" s="290">
        <v>571003498.86190331</v>
      </c>
      <c r="O283" s="68">
        <f t="shared" si="46"/>
        <v>13</v>
      </c>
      <c r="P283" s="68"/>
      <c r="Q283" s="276">
        <v>0</v>
      </c>
      <c r="R283" s="68">
        <f t="shared" si="47"/>
        <v>0</v>
      </c>
      <c r="S283" s="238"/>
      <c r="T283" s="56" t="s">
        <v>37</v>
      </c>
      <c r="U283" s="68">
        <f t="shared" si="48"/>
        <v>12.5</v>
      </c>
      <c r="V283" s="68"/>
      <c r="W283" s="69">
        <f t="shared" si="49"/>
        <v>100.5</v>
      </c>
      <c r="X283" s="93" t="str">
        <f t="shared" si="50"/>
        <v>IV</v>
      </c>
      <c r="Y283" s="93">
        <f t="shared" si="42"/>
        <v>4</v>
      </c>
      <c r="AD283"/>
    </row>
    <row r="284" spans="1:30">
      <c r="A284" t="s">
        <v>73</v>
      </c>
      <c r="B284" s="110">
        <v>4252500</v>
      </c>
      <c r="C284" s="267" t="s">
        <v>349</v>
      </c>
      <c r="D284" s="55"/>
      <c r="E284" s="92">
        <v>5.4223297872764764</v>
      </c>
      <c r="F284" s="68">
        <f t="shared" si="43"/>
        <v>30</v>
      </c>
      <c r="G284" s="181"/>
      <c r="H284" s="276">
        <v>31760761.18499694</v>
      </c>
      <c r="I284" s="68">
        <f t="shared" si="44"/>
        <v>37.5</v>
      </c>
      <c r="K284" s="277">
        <v>57543831.391201369</v>
      </c>
      <c r="L284" s="68">
        <f t="shared" si="45"/>
        <v>30</v>
      </c>
      <c r="M284" s="68"/>
      <c r="N284" s="290">
        <v>1179183020.8827014</v>
      </c>
      <c r="O284" s="68">
        <f t="shared" si="46"/>
        <v>13</v>
      </c>
      <c r="P284" s="68"/>
      <c r="Q284" s="276">
        <v>0</v>
      </c>
      <c r="R284" s="68">
        <f t="shared" si="47"/>
        <v>0</v>
      </c>
      <c r="S284" s="238"/>
      <c r="T284" s="56" t="s">
        <v>37</v>
      </c>
      <c r="U284" s="68">
        <f t="shared" si="48"/>
        <v>12.5</v>
      </c>
      <c r="V284" s="68"/>
      <c r="W284" s="69">
        <f t="shared" si="49"/>
        <v>123</v>
      </c>
      <c r="X284" s="93" t="str">
        <f t="shared" si="50"/>
        <v>III</v>
      </c>
      <c r="Y284" s="93">
        <f t="shared" si="42"/>
        <v>3</v>
      </c>
      <c r="AD284"/>
    </row>
    <row r="285" spans="1:30">
      <c r="A285" t="s">
        <v>82</v>
      </c>
      <c r="B285" s="110">
        <v>7342600</v>
      </c>
      <c r="C285" s="267" t="s">
        <v>350</v>
      </c>
      <c r="D285" s="55"/>
      <c r="E285" s="92">
        <v>6.5695789007622629</v>
      </c>
      <c r="F285" s="68">
        <f t="shared" si="43"/>
        <v>45</v>
      </c>
      <c r="G285" s="181"/>
      <c r="H285" s="276">
        <v>16925565.859499842</v>
      </c>
      <c r="I285" s="68">
        <f t="shared" si="44"/>
        <v>25</v>
      </c>
      <c r="K285" s="277">
        <v>44727405.145999402</v>
      </c>
      <c r="L285" s="68">
        <f t="shared" si="45"/>
        <v>30</v>
      </c>
      <c r="M285" s="68"/>
      <c r="N285" s="290">
        <v>2102168384.7054882</v>
      </c>
      <c r="O285" s="68">
        <f t="shared" si="46"/>
        <v>22</v>
      </c>
      <c r="P285" s="68"/>
      <c r="Q285" s="276">
        <v>0</v>
      </c>
      <c r="R285" s="68">
        <f t="shared" si="47"/>
        <v>0</v>
      </c>
      <c r="S285" s="238"/>
      <c r="T285" s="56" t="s">
        <v>37</v>
      </c>
      <c r="U285" s="68">
        <f t="shared" si="48"/>
        <v>12.5</v>
      </c>
      <c r="V285" s="68"/>
      <c r="W285" s="69">
        <f t="shared" si="49"/>
        <v>134.5</v>
      </c>
      <c r="X285" s="93" t="str">
        <f t="shared" si="50"/>
        <v>III</v>
      </c>
      <c r="Y285" s="93">
        <f t="shared" si="42"/>
        <v>3</v>
      </c>
      <c r="AD285"/>
    </row>
    <row r="286" spans="1:30">
      <c r="A286" t="s">
        <v>82</v>
      </c>
      <c r="B286" s="110">
        <v>7369200</v>
      </c>
      <c r="C286" s="267" t="s">
        <v>351</v>
      </c>
      <c r="D286" s="55"/>
      <c r="E286" s="92">
        <v>9.6974104610671681</v>
      </c>
      <c r="F286" s="68">
        <f t="shared" si="43"/>
        <v>45</v>
      </c>
      <c r="G286" s="181"/>
      <c r="H286" s="276">
        <v>0</v>
      </c>
      <c r="I286" s="68">
        <f t="shared" si="44"/>
        <v>0</v>
      </c>
      <c r="K286" s="277">
        <v>0</v>
      </c>
      <c r="L286" s="68">
        <f t="shared" si="45"/>
        <v>0</v>
      </c>
      <c r="M286" s="68"/>
      <c r="N286" s="290">
        <v>0</v>
      </c>
      <c r="O286" s="68">
        <f t="shared" si="46"/>
        <v>0</v>
      </c>
      <c r="P286" s="68"/>
      <c r="Q286" s="276">
        <v>0</v>
      </c>
      <c r="R286" s="68">
        <f t="shared" si="47"/>
        <v>0</v>
      </c>
      <c r="S286" s="238"/>
      <c r="T286" s="56" t="s">
        <v>37</v>
      </c>
      <c r="U286" s="68">
        <f t="shared" si="48"/>
        <v>12.5</v>
      </c>
      <c r="V286" s="68"/>
      <c r="W286" s="69">
        <f t="shared" si="49"/>
        <v>57.5</v>
      </c>
      <c r="X286" s="93" t="str">
        <f t="shared" si="50"/>
        <v>IV</v>
      </c>
      <c r="Y286" s="93">
        <f t="shared" si="42"/>
        <v>4</v>
      </c>
      <c r="AD286"/>
    </row>
    <row r="287" spans="1:30">
      <c r="A287" t="s">
        <v>82</v>
      </c>
      <c r="B287" s="110">
        <v>8155200</v>
      </c>
      <c r="C287" s="267" t="s">
        <v>352</v>
      </c>
      <c r="D287" s="55"/>
      <c r="E287" s="92">
        <v>9.6974104610671681</v>
      </c>
      <c r="F287" s="68">
        <f t="shared" si="43"/>
        <v>45</v>
      </c>
      <c r="G287" s="181"/>
      <c r="H287" s="276">
        <v>27030341.284306005</v>
      </c>
      <c r="I287" s="68">
        <f t="shared" si="44"/>
        <v>37.5</v>
      </c>
      <c r="K287" s="277">
        <v>34221634.621399567</v>
      </c>
      <c r="L287" s="68">
        <f t="shared" si="45"/>
        <v>20</v>
      </c>
      <c r="M287" s="68"/>
      <c r="N287" s="290">
        <v>1855770699.2084124</v>
      </c>
      <c r="O287" s="68">
        <f t="shared" si="46"/>
        <v>22</v>
      </c>
      <c r="P287" s="68"/>
      <c r="Q287" s="276">
        <v>812204.73839999991</v>
      </c>
      <c r="R287" s="68">
        <f t="shared" si="47"/>
        <v>7.5</v>
      </c>
      <c r="S287" s="238"/>
      <c r="T287" s="56" t="s">
        <v>37</v>
      </c>
      <c r="U287" s="68">
        <f t="shared" si="48"/>
        <v>12.5</v>
      </c>
      <c r="V287" s="68"/>
      <c r="W287" s="69">
        <f t="shared" si="49"/>
        <v>144.5</v>
      </c>
      <c r="X287" s="93" t="str">
        <f t="shared" si="50"/>
        <v>III</v>
      </c>
      <c r="Y287" s="93">
        <f t="shared" si="42"/>
        <v>3</v>
      </c>
      <c r="AD287"/>
    </row>
    <row r="288" spans="1:30">
      <c r="A288" t="s">
        <v>82</v>
      </c>
      <c r="B288" s="110">
        <v>7346700</v>
      </c>
      <c r="C288" s="267" t="s">
        <v>353</v>
      </c>
      <c r="D288" s="55"/>
      <c r="E288" s="92">
        <v>11.656463427580594</v>
      </c>
      <c r="F288" s="68">
        <f t="shared" si="43"/>
        <v>75</v>
      </c>
      <c r="G288" s="181"/>
      <c r="H288" s="276">
        <v>36551239.542801589</v>
      </c>
      <c r="I288" s="68">
        <f t="shared" si="44"/>
        <v>62.5</v>
      </c>
      <c r="K288" s="277">
        <v>73340578.219201148</v>
      </c>
      <c r="L288" s="68">
        <f t="shared" si="45"/>
        <v>50</v>
      </c>
      <c r="M288" s="68"/>
      <c r="N288" s="290">
        <v>2896139149.4520588</v>
      </c>
      <c r="O288" s="68">
        <f t="shared" si="46"/>
        <v>75</v>
      </c>
      <c r="P288" s="68"/>
      <c r="Q288" s="276">
        <v>14469998.914599901</v>
      </c>
      <c r="R288" s="68">
        <f t="shared" si="47"/>
        <v>12.5</v>
      </c>
      <c r="S288" s="238"/>
      <c r="T288" s="56" t="s">
        <v>37</v>
      </c>
      <c r="U288" s="68">
        <f t="shared" si="48"/>
        <v>12.5</v>
      </c>
      <c r="V288" s="68"/>
      <c r="W288" s="69">
        <f t="shared" si="49"/>
        <v>287.5</v>
      </c>
      <c r="X288" s="93" t="str">
        <f t="shared" si="50"/>
        <v>II</v>
      </c>
      <c r="Y288" s="93">
        <f t="shared" si="42"/>
        <v>2</v>
      </c>
      <c r="AD288"/>
    </row>
    <row r="289" spans="1:30">
      <c r="A289" t="s">
        <v>82</v>
      </c>
      <c r="B289" s="110">
        <v>7360700</v>
      </c>
      <c r="C289" s="267" t="s">
        <v>354</v>
      </c>
      <c r="D289" s="55"/>
      <c r="E289" s="92">
        <v>7.8834946809147155</v>
      </c>
      <c r="F289" s="68">
        <f t="shared" si="43"/>
        <v>45</v>
      </c>
      <c r="G289" s="181"/>
      <c r="H289" s="276">
        <v>24392182.500206638</v>
      </c>
      <c r="I289" s="68">
        <f t="shared" si="44"/>
        <v>37.5</v>
      </c>
      <c r="K289" s="277">
        <v>47158827.984397538</v>
      </c>
      <c r="L289" s="68">
        <f t="shared" si="45"/>
        <v>30</v>
      </c>
      <c r="M289" s="68"/>
      <c r="N289" s="290">
        <v>1693490058.4354138</v>
      </c>
      <c r="O289" s="68">
        <f t="shared" si="46"/>
        <v>22</v>
      </c>
      <c r="P289" s="68"/>
      <c r="Q289" s="276">
        <v>0</v>
      </c>
      <c r="R289" s="68">
        <f t="shared" si="47"/>
        <v>0</v>
      </c>
      <c r="S289" s="238"/>
      <c r="T289" s="56" t="s">
        <v>37</v>
      </c>
      <c r="U289" s="68">
        <f t="shared" si="48"/>
        <v>12.5</v>
      </c>
      <c r="V289" s="68"/>
      <c r="W289" s="69">
        <f t="shared" si="49"/>
        <v>147</v>
      </c>
      <c r="X289" s="93" t="str">
        <f t="shared" si="50"/>
        <v>III</v>
      </c>
      <c r="Y289" s="93">
        <f t="shared" si="42"/>
        <v>3</v>
      </c>
      <c r="AD289"/>
    </row>
    <row r="290" spans="1:30">
      <c r="A290" t="s">
        <v>99</v>
      </c>
      <c r="B290" s="110">
        <v>5855200</v>
      </c>
      <c r="C290" s="267" t="s">
        <v>355</v>
      </c>
      <c r="D290" s="55"/>
      <c r="E290" s="92">
        <v>11.011326241219621</v>
      </c>
      <c r="F290" s="68">
        <f t="shared" si="43"/>
        <v>75</v>
      </c>
      <c r="G290" s="181"/>
      <c r="H290" s="276">
        <v>47891732.549301617</v>
      </c>
      <c r="I290" s="68">
        <f t="shared" si="44"/>
        <v>62.5</v>
      </c>
      <c r="K290" s="277">
        <v>46110330.524099596</v>
      </c>
      <c r="L290" s="68">
        <f t="shared" si="45"/>
        <v>30</v>
      </c>
      <c r="M290" s="68"/>
      <c r="N290" s="290">
        <v>2000089226.2048059</v>
      </c>
      <c r="O290" s="68">
        <f t="shared" si="46"/>
        <v>22</v>
      </c>
      <c r="P290" s="68"/>
      <c r="Q290" s="276">
        <v>0</v>
      </c>
      <c r="R290" s="68">
        <f t="shared" si="47"/>
        <v>0</v>
      </c>
      <c r="S290" s="238"/>
      <c r="T290" s="56" t="s">
        <v>37</v>
      </c>
      <c r="U290" s="68">
        <f t="shared" si="48"/>
        <v>12.5</v>
      </c>
      <c r="V290" s="68"/>
      <c r="W290" s="69">
        <f t="shared" si="49"/>
        <v>202</v>
      </c>
      <c r="X290" s="93" t="str">
        <f t="shared" si="50"/>
        <v>II</v>
      </c>
      <c r="Y290" s="93">
        <f t="shared" si="42"/>
        <v>2</v>
      </c>
      <c r="AD290"/>
    </row>
    <row r="291" spans="1:30">
      <c r="A291" t="s">
        <v>77</v>
      </c>
      <c r="B291" s="110">
        <v>5870100</v>
      </c>
      <c r="C291" s="267" t="s">
        <v>356</v>
      </c>
      <c r="D291" s="55"/>
      <c r="E291" s="92">
        <v>8.3834946809147155</v>
      </c>
      <c r="F291" s="68">
        <f t="shared" si="43"/>
        <v>45</v>
      </c>
      <c r="G291" s="181"/>
      <c r="H291" s="276">
        <v>21434870.601911679</v>
      </c>
      <c r="I291" s="68">
        <f t="shared" si="44"/>
        <v>37.5</v>
      </c>
      <c r="K291" s="277">
        <v>46798306.609599277</v>
      </c>
      <c r="L291" s="68">
        <f t="shared" si="45"/>
        <v>30</v>
      </c>
      <c r="M291" s="68"/>
      <c r="N291" s="290">
        <v>1881870042.4105921</v>
      </c>
      <c r="O291" s="68">
        <f t="shared" si="46"/>
        <v>22</v>
      </c>
      <c r="P291" s="68"/>
      <c r="Q291" s="276">
        <v>0</v>
      </c>
      <c r="R291" s="68">
        <f t="shared" si="47"/>
        <v>0</v>
      </c>
      <c r="S291" s="238"/>
      <c r="T291" s="56" t="s">
        <v>37</v>
      </c>
      <c r="U291" s="68">
        <f t="shared" si="48"/>
        <v>12.5</v>
      </c>
      <c r="V291" s="68"/>
      <c r="W291" s="69">
        <f t="shared" si="49"/>
        <v>147</v>
      </c>
      <c r="X291" s="93" t="str">
        <f t="shared" si="50"/>
        <v>III</v>
      </c>
      <c r="Y291" s="93">
        <f t="shared" si="42"/>
        <v>3</v>
      </c>
      <c r="AD291"/>
    </row>
    <row r="292" spans="1:30">
      <c r="A292" t="s">
        <v>67</v>
      </c>
      <c r="B292" s="110">
        <v>8060200</v>
      </c>
      <c r="C292" s="267" t="s">
        <v>357</v>
      </c>
      <c r="D292" s="55"/>
      <c r="E292" s="92">
        <v>6.1316069740447787</v>
      </c>
      <c r="F292" s="68">
        <f t="shared" si="43"/>
        <v>30</v>
      </c>
      <c r="G292" s="181"/>
      <c r="H292" s="276">
        <v>21414616.654100105</v>
      </c>
      <c r="I292" s="68">
        <f t="shared" si="44"/>
        <v>37.5</v>
      </c>
      <c r="K292" s="277">
        <v>47177011.178699538</v>
      </c>
      <c r="L292" s="68">
        <f t="shared" si="45"/>
        <v>30</v>
      </c>
      <c r="M292" s="68"/>
      <c r="N292" s="290">
        <v>1822301120.338902</v>
      </c>
      <c r="O292" s="68">
        <f t="shared" si="46"/>
        <v>22</v>
      </c>
      <c r="P292" s="68"/>
      <c r="Q292" s="276">
        <v>385905.51259999996</v>
      </c>
      <c r="R292" s="68">
        <f t="shared" si="47"/>
        <v>7.5</v>
      </c>
      <c r="S292" s="238"/>
      <c r="T292" s="56" t="s">
        <v>37</v>
      </c>
      <c r="U292" s="68">
        <f t="shared" si="48"/>
        <v>12.5</v>
      </c>
      <c r="V292" s="68"/>
      <c r="W292" s="69">
        <f t="shared" si="49"/>
        <v>139.5</v>
      </c>
      <c r="X292" s="93" t="str">
        <f t="shared" si="50"/>
        <v>III</v>
      </c>
      <c r="Y292" s="93">
        <f t="shared" si="42"/>
        <v>3</v>
      </c>
      <c r="AD292"/>
    </row>
    <row r="293" spans="1:30">
      <c r="A293" t="s">
        <v>203</v>
      </c>
      <c r="B293" s="110">
        <v>6867700</v>
      </c>
      <c r="C293" s="267" t="s">
        <v>358</v>
      </c>
      <c r="D293" s="55"/>
      <c r="E293" s="92">
        <v>8.7594385343496839</v>
      </c>
      <c r="F293" s="68">
        <f t="shared" si="43"/>
        <v>45</v>
      </c>
      <c r="G293" s="181"/>
      <c r="H293" s="276">
        <v>19164232.485697933</v>
      </c>
      <c r="I293" s="68">
        <f t="shared" si="44"/>
        <v>37.5</v>
      </c>
      <c r="K293" s="277">
        <v>46446384.977103427</v>
      </c>
      <c r="L293" s="68">
        <f t="shared" si="45"/>
        <v>30</v>
      </c>
      <c r="M293" s="68"/>
      <c r="N293" s="290">
        <v>1742951368.3490944</v>
      </c>
      <c r="O293" s="68">
        <f t="shared" si="46"/>
        <v>22</v>
      </c>
      <c r="P293" s="68"/>
      <c r="Q293" s="276">
        <v>9613992.4395000115</v>
      </c>
      <c r="R293" s="68">
        <f t="shared" si="47"/>
        <v>12.5</v>
      </c>
      <c r="S293" s="238"/>
      <c r="T293" s="56" t="s">
        <v>37</v>
      </c>
      <c r="U293" s="68">
        <f t="shared" si="48"/>
        <v>12.5</v>
      </c>
      <c r="V293" s="68"/>
      <c r="W293" s="69">
        <f t="shared" si="49"/>
        <v>159.5</v>
      </c>
      <c r="X293" s="93" t="str">
        <f t="shared" si="50"/>
        <v>III</v>
      </c>
      <c r="Y293" s="93">
        <f t="shared" si="42"/>
        <v>3</v>
      </c>
      <c r="AD293"/>
    </row>
    <row r="294" spans="1:30">
      <c r="A294" t="s">
        <v>71</v>
      </c>
      <c r="B294" s="110">
        <v>5153500</v>
      </c>
      <c r="C294" s="267" t="s">
        <v>359</v>
      </c>
      <c r="D294" s="55"/>
      <c r="E294" s="92">
        <v>11.011326241219621</v>
      </c>
      <c r="F294" s="68">
        <f t="shared" si="43"/>
        <v>75</v>
      </c>
      <c r="G294" s="181"/>
      <c r="H294" s="276">
        <v>34203619.798501201</v>
      </c>
      <c r="I294" s="68">
        <f t="shared" si="44"/>
        <v>62.5</v>
      </c>
      <c r="K294" s="277">
        <v>60361388.21099633</v>
      </c>
      <c r="L294" s="68">
        <f t="shared" si="45"/>
        <v>30</v>
      </c>
      <c r="M294" s="68"/>
      <c r="N294" s="290">
        <v>3274199847.1660109</v>
      </c>
      <c r="O294" s="68">
        <f t="shared" si="46"/>
        <v>75</v>
      </c>
      <c r="P294" s="68"/>
      <c r="Q294" s="276">
        <v>0</v>
      </c>
      <c r="R294" s="68">
        <f t="shared" si="47"/>
        <v>0</v>
      </c>
      <c r="S294" s="238"/>
      <c r="T294" s="56" t="s">
        <v>37</v>
      </c>
      <c r="U294" s="68">
        <f t="shared" si="48"/>
        <v>12.5</v>
      </c>
      <c r="V294" s="68"/>
      <c r="W294" s="69">
        <f t="shared" si="49"/>
        <v>255</v>
      </c>
      <c r="X294" s="93" t="str">
        <f t="shared" si="50"/>
        <v>II</v>
      </c>
      <c r="Y294" s="93">
        <f t="shared" si="42"/>
        <v>2</v>
      </c>
      <c r="AD294"/>
    </row>
    <row r="295" spans="1:30">
      <c r="A295" t="s">
        <v>84</v>
      </c>
      <c r="B295" s="110">
        <v>7548400</v>
      </c>
      <c r="C295" s="267" t="s">
        <v>360</v>
      </c>
      <c r="D295" s="55"/>
      <c r="E295" s="92">
        <v>2.5967188004834445</v>
      </c>
      <c r="F295" s="68">
        <f t="shared" si="43"/>
        <v>30</v>
      </c>
      <c r="G295" s="181"/>
      <c r="H295" s="276">
        <v>0</v>
      </c>
      <c r="I295" s="68">
        <f t="shared" si="44"/>
        <v>0</v>
      </c>
      <c r="K295" s="277">
        <v>0</v>
      </c>
      <c r="L295" s="68">
        <f t="shared" si="45"/>
        <v>0</v>
      </c>
      <c r="M295" s="68"/>
      <c r="N295" s="290">
        <v>0</v>
      </c>
      <c r="O295" s="68">
        <f t="shared" si="46"/>
        <v>0</v>
      </c>
      <c r="P295" s="68"/>
      <c r="Q295" s="276">
        <v>0</v>
      </c>
      <c r="R295" s="68">
        <f t="shared" si="47"/>
        <v>0</v>
      </c>
      <c r="S295" s="238"/>
      <c r="T295" s="56" t="s">
        <v>37</v>
      </c>
      <c r="U295" s="68">
        <f t="shared" si="48"/>
        <v>12.5</v>
      </c>
      <c r="V295" s="68"/>
      <c r="W295" s="69">
        <f t="shared" si="49"/>
        <v>42.5</v>
      </c>
      <c r="X295" s="93" t="str">
        <f t="shared" si="50"/>
        <v>IV</v>
      </c>
      <c r="Y295" s="93">
        <f t="shared" si="42"/>
        <v>4</v>
      </c>
      <c r="AD295"/>
    </row>
    <row r="296" spans="1:30">
      <c r="A296" t="s">
        <v>67</v>
      </c>
      <c r="B296" s="110">
        <v>8636700</v>
      </c>
      <c r="C296" s="267" t="s">
        <v>361</v>
      </c>
      <c r="D296" s="55"/>
      <c r="E296" s="92">
        <v>2.5967188004834445</v>
      </c>
      <c r="F296" s="68">
        <f t="shared" si="43"/>
        <v>30</v>
      </c>
      <c r="G296" s="181"/>
      <c r="H296" s="276">
        <v>0</v>
      </c>
      <c r="I296" s="68">
        <f t="shared" si="44"/>
        <v>0</v>
      </c>
      <c r="K296" s="277">
        <v>0</v>
      </c>
      <c r="L296" s="68">
        <f t="shared" si="45"/>
        <v>0</v>
      </c>
      <c r="M296" s="68"/>
      <c r="N296" s="290">
        <v>0</v>
      </c>
      <c r="O296" s="68">
        <f t="shared" si="46"/>
        <v>0</v>
      </c>
      <c r="P296" s="68"/>
      <c r="Q296" s="276">
        <v>0</v>
      </c>
      <c r="R296" s="68">
        <f t="shared" si="47"/>
        <v>0</v>
      </c>
      <c r="S296" s="238"/>
      <c r="T296" s="56" t="s">
        <v>37</v>
      </c>
      <c r="U296" s="68">
        <f t="shared" si="48"/>
        <v>12.5</v>
      </c>
      <c r="V296" s="68"/>
      <c r="W296" s="69">
        <f t="shared" si="49"/>
        <v>42.5</v>
      </c>
      <c r="X296" s="93" t="str">
        <f t="shared" si="50"/>
        <v>IV</v>
      </c>
      <c r="Y296" s="93">
        <f t="shared" si="42"/>
        <v>4</v>
      </c>
      <c r="AD296"/>
    </row>
    <row r="297" spans="1:30">
      <c r="A297" t="s">
        <v>103</v>
      </c>
      <c r="B297" s="110">
        <v>4254700</v>
      </c>
      <c r="C297" s="267" t="s">
        <v>362</v>
      </c>
      <c r="D297" s="55"/>
      <c r="E297" s="92">
        <v>2.5967188004834445</v>
      </c>
      <c r="F297" s="68">
        <f t="shared" si="43"/>
        <v>30</v>
      </c>
      <c r="G297" s="181"/>
      <c r="H297" s="276">
        <v>1075910.4299999995</v>
      </c>
      <c r="I297" s="68">
        <f t="shared" si="44"/>
        <v>25</v>
      </c>
      <c r="K297" s="277">
        <v>18849972.281600036</v>
      </c>
      <c r="L297" s="68">
        <f t="shared" si="45"/>
        <v>20</v>
      </c>
      <c r="M297" s="68"/>
      <c r="N297" s="290">
        <v>1033442507.3587995</v>
      </c>
      <c r="O297" s="68">
        <f t="shared" si="46"/>
        <v>13</v>
      </c>
      <c r="P297" s="68"/>
      <c r="Q297" s="276">
        <v>0</v>
      </c>
      <c r="R297" s="68">
        <f t="shared" si="47"/>
        <v>0</v>
      </c>
      <c r="S297" s="238"/>
      <c r="T297" s="56" t="s">
        <v>37</v>
      </c>
      <c r="U297" s="68">
        <f t="shared" si="48"/>
        <v>12.5</v>
      </c>
      <c r="V297" s="68"/>
      <c r="W297" s="69">
        <f t="shared" si="49"/>
        <v>100.5</v>
      </c>
      <c r="X297" s="93" t="str">
        <f t="shared" si="50"/>
        <v>IV</v>
      </c>
      <c r="Y297" s="93">
        <f t="shared" si="42"/>
        <v>4</v>
      </c>
      <c r="AD297"/>
    </row>
    <row r="298" spans="1:30">
      <c r="A298" t="s">
        <v>103</v>
      </c>
      <c r="B298" s="110">
        <v>4288700</v>
      </c>
      <c r="C298" s="267" t="s">
        <v>363</v>
      </c>
      <c r="D298" s="55"/>
      <c r="E298" s="92">
        <v>12.263016501729151</v>
      </c>
      <c r="F298" s="68">
        <f t="shared" si="43"/>
        <v>75</v>
      </c>
      <c r="G298" s="181"/>
      <c r="H298" s="276">
        <v>37275304.841102317</v>
      </c>
      <c r="I298" s="68">
        <f t="shared" si="44"/>
        <v>62.5</v>
      </c>
      <c r="K298" s="277">
        <v>49163133.787199423</v>
      </c>
      <c r="L298" s="68">
        <f t="shared" si="45"/>
        <v>30</v>
      </c>
      <c r="M298" s="68"/>
      <c r="N298" s="290">
        <v>2247116404.2662964</v>
      </c>
      <c r="O298" s="68">
        <f t="shared" si="46"/>
        <v>40</v>
      </c>
      <c r="P298" s="68"/>
      <c r="Q298" s="276">
        <v>12832970.503199967</v>
      </c>
      <c r="R298" s="68">
        <f t="shared" si="47"/>
        <v>12.5</v>
      </c>
      <c r="S298" s="238"/>
      <c r="T298" s="56" t="s">
        <v>37</v>
      </c>
      <c r="U298" s="68">
        <f t="shared" si="48"/>
        <v>12.5</v>
      </c>
      <c r="V298" s="68"/>
      <c r="W298" s="69">
        <f t="shared" si="49"/>
        <v>232.5</v>
      </c>
      <c r="X298" s="93" t="str">
        <f t="shared" si="50"/>
        <v>II</v>
      </c>
      <c r="Y298" s="93">
        <f t="shared" si="42"/>
        <v>2</v>
      </c>
      <c r="AD298"/>
    </row>
    <row r="299" spans="1:30">
      <c r="A299" t="s">
        <v>203</v>
      </c>
      <c r="B299" s="110">
        <v>7254100</v>
      </c>
      <c r="C299" s="267" t="s">
        <v>364</v>
      </c>
      <c r="D299" s="55"/>
      <c r="E299" s="92">
        <v>5.2556631206098103</v>
      </c>
      <c r="F299" s="68">
        <f t="shared" si="43"/>
        <v>30</v>
      </c>
      <c r="G299" s="181"/>
      <c r="H299" s="276">
        <v>9655090.5473999605</v>
      </c>
      <c r="I299" s="68">
        <f t="shared" si="44"/>
        <v>25</v>
      </c>
      <c r="K299" s="277">
        <v>26498414.754699871</v>
      </c>
      <c r="L299" s="68">
        <f t="shared" si="45"/>
        <v>20</v>
      </c>
      <c r="M299" s="68"/>
      <c r="N299" s="290">
        <v>885524114.31239915</v>
      </c>
      <c r="O299" s="68">
        <f t="shared" si="46"/>
        <v>13</v>
      </c>
      <c r="P299" s="68"/>
      <c r="Q299" s="276">
        <v>0</v>
      </c>
      <c r="R299" s="68">
        <f t="shared" si="47"/>
        <v>0</v>
      </c>
      <c r="S299" s="238"/>
      <c r="T299" s="56" t="s">
        <v>37</v>
      </c>
      <c r="U299" s="68">
        <f t="shared" si="48"/>
        <v>12.5</v>
      </c>
      <c r="V299" s="68"/>
      <c r="W299" s="69">
        <f t="shared" si="49"/>
        <v>100.5</v>
      </c>
      <c r="X299" s="93" t="str">
        <f t="shared" si="50"/>
        <v>IV</v>
      </c>
      <c r="Y299" s="93">
        <f t="shared" si="42"/>
        <v>4</v>
      </c>
      <c r="AD299"/>
    </row>
    <row r="300" spans="1:30">
      <c r="A300" t="s">
        <v>84</v>
      </c>
      <c r="B300" s="110">
        <v>7547300</v>
      </c>
      <c r="C300" s="267" t="s">
        <v>365</v>
      </c>
      <c r="D300" s="55"/>
      <c r="E300" s="92">
        <v>8.5714666076321997</v>
      </c>
      <c r="F300" s="68">
        <f t="shared" si="43"/>
        <v>45</v>
      </c>
      <c r="G300" s="181"/>
      <c r="H300" s="276">
        <v>0</v>
      </c>
      <c r="I300" s="68">
        <f t="shared" si="44"/>
        <v>0</v>
      </c>
      <c r="K300" s="277">
        <v>0</v>
      </c>
      <c r="L300" s="68">
        <f t="shared" si="45"/>
        <v>0</v>
      </c>
      <c r="M300" s="68"/>
      <c r="N300" s="290">
        <v>0</v>
      </c>
      <c r="O300" s="68">
        <f t="shared" si="46"/>
        <v>0</v>
      </c>
      <c r="P300" s="68"/>
      <c r="Q300" s="276">
        <v>0</v>
      </c>
      <c r="R300" s="68">
        <f t="shared" si="47"/>
        <v>0</v>
      </c>
      <c r="S300" s="238"/>
      <c r="T300" s="56" t="s">
        <v>37</v>
      </c>
      <c r="U300" s="68">
        <f t="shared" si="48"/>
        <v>12.5</v>
      </c>
      <c r="V300" s="68"/>
      <c r="W300" s="69">
        <f t="shared" si="49"/>
        <v>57.5</v>
      </c>
      <c r="X300" s="93" t="str">
        <f t="shared" si="50"/>
        <v>IV</v>
      </c>
      <c r="Y300" s="93">
        <f t="shared" si="42"/>
        <v>4</v>
      </c>
      <c r="AD300"/>
    </row>
    <row r="301" spans="1:30">
      <c r="A301" t="s">
        <v>69</v>
      </c>
      <c r="B301" s="110">
        <v>3561000</v>
      </c>
      <c r="C301" s="267" t="s">
        <v>366</v>
      </c>
      <c r="D301" s="55"/>
      <c r="E301" s="92">
        <v>8.5714666076321997</v>
      </c>
      <c r="F301" s="68">
        <f t="shared" si="43"/>
        <v>45</v>
      </c>
      <c r="G301" s="181"/>
      <c r="H301" s="276">
        <v>26068876.296201136</v>
      </c>
      <c r="I301" s="68">
        <f t="shared" si="44"/>
        <v>37.5</v>
      </c>
      <c r="K301" s="277">
        <v>49429902.477605402</v>
      </c>
      <c r="L301" s="68">
        <f t="shared" si="45"/>
        <v>30</v>
      </c>
      <c r="M301" s="68"/>
      <c r="N301" s="290">
        <v>2234229522.3903999</v>
      </c>
      <c r="O301" s="68">
        <f t="shared" si="46"/>
        <v>40</v>
      </c>
      <c r="P301" s="68"/>
      <c r="Q301" s="276">
        <v>0</v>
      </c>
      <c r="R301" s="68">
        <f t="shared" si="47"/>
        <v>0</v>
      </c>
      <c r="S301" s="238"/>
      <c r="T301" s="56" t="s">
        <v>37</v>
      </c>
      <c r="U301" s="68">
        <f t="shared" si="48"/>
        <v>12.5</v>
      </c>
      <c r="V301" s="68"/>
      <c r="W301" s="69">
        <f t="shared" si="49"/>
        <v>165</v>
      </c>
      <c r="X301" s="93" t="str">
        <f t="shared" si="50"/>
        <v>III</v>
      </c>
      <c r="Y301" s="93">
        <f t="shared" si="42"/>
        <v>3</v>
      </c>
      <c r="AD301"/>
    </row>
    <row r="302" spans="1:30">
      <c r="A302" t="s">
        <v>95</v>
      </c>
      <c r="B302" s="110">
        <v>4860700</v>
      </c>
      <c r="C302" s="267" t="s">
        <v>367</v>
      </c>
      <c r="D302" s="55"/>
      <c r="E302" s="92">
        <v>6.0695789007622629</v>
      </c>
      <c r="F302" s="68">
        <f t="shared" si="43"/>
        <v>30</v>
      </c>
      <c r="G302" s="181"/>
      <c r="H302" s="276">
        <v>18190282.14789689</v>
      </c>
      <c r="I302" s="68">
        <f t="shared" si="44"/>
        <v>37.5</v>
      </c>
      <c r="K302" s="277">
        <v>47606961.148504563</v>
      </c>
      <c r="L302" s="68">
        <f t="shared" si="45"/>
        <v>30</v>
      </c>
      <c r="M302" s="68"/>
      <c r="N302" s="290">
        <v>1852231384.9153013</v>
      </c>
      <c r="O302" s="68">
        <f t="shared" si="46"/>
        <v>22</v>
      </c>
      <c r="P302" s="68"/>
      <c r="Q302" s="276">
        <v>13279494.929199941</v>
      </c>
      <c r="R302" s="68">
        <f t="shared" si="47"/>
        <v>12.5</v>
      </c>
      <c r="S302" s="238"/>
      <c r="T302" s="56" t="s">
        <v>37</v>
      </c>
      <c r="U302" s="68">
        <f t="shared" si="48"/>
        <v>12.5</v>
      </c>
      <c r="V302" s="68"/>
      <c r="W302" s="69">
        <f t="shared" si="49"/>
        <v>144.5</v>
      </c>
      <c r="X302" s="93" t="str">
        <f t="shared" si="50"/>
        <v>III</v>
      </c>
      <c r="Y302" s="93">
        <f t="shared" si="42"/>
        <v>3</v>
      </c>
      <c r="AD302"/>
    </row>
    <row r="303" spans="1:30">
      <c r="A303" t="s">
        <v>95</v>
      </c>
      <c r="B303" s="110">
        <v>4948100</v>
      </c>
      <c r="C303" s="267" t="s">
        <v>368</v>
      </c>
      <c r="D303" s="55"/>
      <c r="E303" s="92">
        <v>13.451626030645102</v>
      </c>
      <c r="F303" s="68">
        <f t="shared" si="43"/>
        <v>75</v>
      </c>
      <c r="G303" s="181"/>
      <c r="H303" s="276">
        <v>39034511.767101787</v>
      </c>
      <c r="I303" s="68">
        <f t="shared" si="44"/>
        <v>62.5</v>
      </c>
      <c r="K303" s="277">
        <v>73880041.877797514</v>
      </c>
      <c r="L303" s="68">
        <f t="shared" si="45"/>
        <v>50</v>
      </c>
      <c r="M303" s="68"/>
      <c r="N303" s="290">
        <v>2436204882.4387031</v>
      </c>
      <c r="O303" s="68">
        <f t="shared" si="46"/>
        <v>40</v>
      </c>
      <c r="P303" s="68"/>
      <c r="Q303" s="276">
        <v>19598873.875399854</v>
      </c>
      <c r="R303" s="68">
        <f t="shared" si="47"/>
        <v>25</v>
      </c>
      <c r="S303" s="238"/>
      <c r="T303" s="56" t="s">
        <v>37</v>
      </c>
      <c r="U303" s="68">
        <f t="shared" si="48"/>
        <v>12.5</v>
      </c>
      <c r="V303" s="68"/>
      <c r="W303" s="69">
        <f t="shared" si="49"/>
        <v>265</v>
      </c>
      <c r="X303" s="93" t="str">
        <f t="shared" si="50"/>
        <v>II</v>
      </c>
      <c r="Y303" s="93">
        <f t="shared" si="42"/>
        <v>2</v>
      </c>
      <c r="AD303"/>
    </row>
    <row r="304" spans="1:30">
      <c r="A304" t="s">
        <v>95</v>
      </c>
      <c r="B304" s="110">
        <v>4868100</v>
      </c>
      <c r="C304" s="267" t="s">
        <v>369</v>
      </c>
      <c r="D304" s="55"/>
      <c r="E304" s="92">
        <v>13.451626030645102</v>
      </c>
      <c r="F304" s="68">
        <f t="shared" si="43"/>
        <v>75</v>
      </c>
      <c r="G304" s="181"/>
      <c r="H304" s="276">
        <v>29105312.319100711</v>
      </c>
      <c r="I304" s="68">
        <f t="shared" si="44"/>
        <v>37.5</v>
      </c>
      <c r="K304" s="277">
        <v>73904891.293603495</v>
      </c>
      <c r="L304" s="68">
        <f t="shared" si="45"/>
        <v>50</v>
      </c>
      <c r="M304" s="68"/>
      <c r="N304" s="290">
        <v>3203450361.1683846</v>
      </c>
      <c r="O304" s="68">
        <f t="shared" si="46"/>
        <v>75</v>
      </c>
      <c r="P304" s="68"/>
      <c r="Q304" s="276">
        <v>13135706.74499996</v>
      </c>
      <c r="R304" s="68">
        <f t="shared" si="47"/>
        <v>12.5</v>
      </c>
      <c r="S304" s="238"/>
      <c r="T304" s="56" t="s">
        <v>37</v>
      </c>
      <c r="U304" s="68">
        <f t="shared" si="48"/>
        <v>12.5</v>
      </c>
      <c r="V304" s="68"/>
      <c r="W304" s="69">
        <f t="shared" si="49"/>
        <v>262.5</v>
      </c>
      <c r="X304" s="93" t="str">
        <f t="shared" si="50"/>
        <v>II</v>
      </c>
      <c r="Y304" s="93">
        <f t="shared" si="42"/>
        <v>2</v>
      </c>
      <c r="AD304"/>
    </row>
    <row r="305" spans="1:30">
      <c r="A305" t="s">
        <v>95</v>
      </c>
      <c r="B305" s="110">
        <v>8265200</v>
      </c>
      <c r="C305" s="267" t="s">
        <v>370</v>
      </c>
      <c r="D305" s="55"/>
      <c r="E305" s="92">
        <v>8.3834946809147155</v>
      </c>
      <c r="F305" s="68">
        <f t="shared" si="43"/>
        <v>45</v>
      </c>
      <c r="G305" s="181"/>
      <c r="H305" s="276">
        <v>21062963.493997917</v>
      </c>
      <c r="I305" s="68">
        <f t="shared" si="44"/>
        <v>37.5</v>
      </c>
      <c r="K305" s="277">
        <v>46003838.660901636</v>
      </c>
      <c r="L305" s="68">
        <f t="shared" si="45"/>
        <v>30</v>
      </c>
      <c r="M305" s="68"/>
      <c r="N305" s="290">
        <v>2016133145.1192005</v>
      </c>
      <c r="O305" s="68">
        <f t="shared" si="46"/>
        <v>22</v>
      </c>
      <c r="P305" s="68"/>
      <c r="Q305" s="276">
        <v>3035472.4615999996</v>
      </c>
      <c r="R305" s="68">
        <f t="shared" si="47"/>
        <v>7.5</v>
      </c>
      <c r="S305" s="238"/>
      <c r="T305" s="56" t="s">
        <v>37</v>
      </c>
      <c r="U305" s="68">
        <f t="shared" si="48"/>
        <v>12.5</v>
      </c>
      <c r="V305" s="68"/>
      <c r="W305" s="69">
        <f t="shared" si="49"/>
        <v>154.5</v>
      </c>
      <c r="X305" s="93" t="str">
        <f t="shared" si="50"/>
        <v>III</v>
      </c>
      <c r="Y305" s="93">
        <f t="shared" si="42"/>
        <v>3</v>
      </c>
      <c r="AD305"/>
    </row>
    <row r="306" spans="1:30">
      <c r="A306" t="s">
        <v>95</v>
      </c>
      <c r="B306" s="110">
        <v>8635200</v>
      </c>
      <c r="C306" s="267" t="s">
        <v>371</v>
      </c>
      <c r="D306" s="55"/>
      <c r="E306" s="92">
        <v>6.1316069740447787</v>
      </c>
      <c r="F306" s="68">
        <f t="shared" si="43"/>
        <v>30</v>
      </c>
      <c r="G306" s="181"/>
      <c r="H306" s="276">
        <v>0</v>
      </c>
      <c r="I306" s="68">
        <f t="shared" si="44"/>
        <v>0</v>
      </c>
      <c r="K306" s="277">
        <v>0</v>
      </c>
      <c r="L306" s="68">
        <f t="shared" si="45"/>
        <v>0</v>
      </c>
      <c r="M306" s="68"/>
      <c r="N306" s="290">
        <v>0</v>
      </c>
      <c r="O306" s="68">
        <f t="shared" si="46"/>
        <v>0</v>
      </c>
      <c r="P306" s="68"/>
      <c r="Q306" s="276">
        <v>0</v>
      </c>
      <c r="R306" s="68">
        <f t="shared" si="47"/>
        <v>0</v>
      </c>
      <c r="S306" s="238"/>
      <c r="T306" s="56" t="s">
        <v>37</v>
      </c>
      <c r="U306" s="68">
        <f t="shared" si="48"/>
        <v>12.5</v>
      </c>
      <c r="V306" s="68"/>
      <c r="W306" s="69">
        <f t="shared" si="49"/>
        <v>42.5</v>
      </c>
      <c r="X306" s="93" t="str">
        <f t="shared" si="50"/>
        <v>IV</v>
      </c>
      <c r="Y306" s="93">
        <f t="shared" si="42"/>
        <v>4</v>
      </c>
      <c r="AD306"/>
    </row>
    <row r="307" spans="1:30">
      <c r="A307" t="s">
        <v>95</v>
      </c>
      <c r="B307" s="110">
        <v>4944200</v>
      </c>
      <c r="C307" s="267" t="s">
        <v>372</v>
      </c>
      <c r="D307" s="55"/>
      <c r="E307" s="92">
        <v>6.1316069740447787</v>
      </c>
      <c r="F307" s="68">
        <f t="shared" si="43"/>
        <v>30</v>
      </c>
      <c r="G307" s="181"/>
      <c r="H307" s="276">
        <v>15926813.927099977</v>
      </c>
      <c r="I307" s="68">
        <f t="shared" si="44"/>
        <v>25</v>
      </c>
      <c r="K307" s="277">
        <v>26874798.654699787</v>
      </c>
      <c r="L307" s="68">
        <f t="shared" si="45"/>
        <v>20</v>
      </c>
      <c r="M307" s="68"/>
      <c r="N307" s="290">
        <v>1484617802.2866988</v>
      </c>
      <c r="O307" s="68">
        <f t="shared" si="46"/>
        <v>22</v>
      </c>
      <c r="P307" s="68"/>
      <c r="Q307" s="276">
        <v>0</v>
      </c>
      <c r="R307" s="68">
        <f t="shared" si="47"/>
        <v>0</v>
      </c>
      <c r="S307" s="238"/>
      <c r="T307" s="56" t="s">
        <v>37</v>
      </c>
      <c r="U307" s="68">
        <f t="shared" si="48"/>
        <v>12.5</v>
      </c>
      <c r="V307" s="68"/>
      <c r="W307" s="69">
        <f t="shared" si="49"/>
        <v>109.5</v>
      </c>
      <c r="X307" s="93" t="str">
        <f t="shared" si="50"/>
        <v>IV</v>
      </c>
      <c r="Y307" s="93">
        <f t="shared" si="42"/>
        <v>4</v>
      </c>
      <c r="AD307"/>
    </row>
    <row r="308" spans="1:30">
      <c r="A308" t="s">
        <v>95</v>
      </c>
      <c r="B308" s="110">
        <v>4945100</v>
      </c>
      <c r="C308" s="267" t="s">
        <v>373</v>
      </c>
      <c r="D308" s="55"/>
      <c r="E308" s="92">
        <v>7.8834946809147155</v>
      </c>
      <c r="F308" s="68">
        <f t="shared" si="43"/>
        <v>45</v>
      </c>
      <c r="G308" s="181"/>
      <c r="H308" s="276">
        <v>18442563.771898851</v>
      </c>
      <c r="I308" s="68">
        <f t="shared" si="44"/>
        <v>37.5</v>
      </c>
      <c r="K308" s="277">
        <v>37606382.515397735</v>
      </c>
      <c r="L308" s="68">
        <f t="shared" si="45"/>
        <v>20</v>
      </c>
      <c r="M308" s="68"/>
      <c r="N308" s="290">
        <v>1424765794.1464109</v>
      </c>
      <c r="O308" s="68">
        <f t="shared" si="46"/>
        <v>22</v>
      </c>
      <c r="P308" s="68"/>
      <c r="Q308" s="276">
        <v>0</v>
      </c>
      <c r="R308" s="68">
        <f t="shared" si="47"/>
        <v>0</v>
      </c>
      <c r="S308" s="238"/>
      <c r="T308" s="56" t="s">
        <v>37</v>
      </c>
      <c r="U308" s="68">
        <f t="shared" si="48"/>
        <v>12.5</v>
      </c>
      <c r="V308" s="68"/>
      <c r="W308" s="69">
        <f t="shared" si="49"/>
        <v>137</v>
      </c>
      <c r="X308" s="93" t="str">
        <f t="shared" si="50"/>
        <v>III</v>
      </c>
      <c r="Y308" s="93">
        <f t="shared" si="42"/>
        <v>3</v>
      </c>
      <c r="AD308"/>
    </row>
    <row r="309" spans="1:30">
      <c r="A309" t="s">
        <v>95</v>
      </c>
      <c r="B309" s="110">
        <v>4862900</v>
      </c>
      <c r="C309" s="267" t="s">
        <v>374</v>
      </c>
      <c r="D309" s="55"/>
      <c r="E309" s="92">
        <v>6.1316069740447787</v>
      </c>
      <c r="F309" s="68">
        <f t="shared" si="43"/>
        <v>30</v>
      </c>
      <c r="G309" s="181"/>
      <c r="H309" s="276">
        <v>20485334.15349979</v>
      </c>
      <c r="I309" s="68">
        <f t="shared" si="44"/>
        <v>37.5</v>
      </c>
      <c r="K309" s="277">
        <v>47877687.618900508</v>
      </c>
      <c r="L309" s="68">
        <f t="shared" si="45"/>
        <v>30</v>
      </c>
      <c r="M309" s="68"/>
      <c r="N309" s="290">
        <v>1696756064.3509064</v>
      </c>
      <c r="O309" s="68">
        <f t="shared" si="46"/>
        <v>22</v>
      </c>
      <c r="P309" s="68"/>
      <c r="Q309" s="276">
        <v>0</v>
      </c>
      <c r="R309" s="68">
        <f t="shared" si="47"/>
        <v>0</v>
      </c>
      <c r="S309" s="238"/>
      <c r="T309" s="56" t="s">
        <v>37</v>
      </c>
      <c r="U309" s="68">
        <f t="shared" si="48"/>
        <v>12.5</v>
      </c>
      <c r="V309" s="68"/>
      <c r="W309" s="69">
        <f t="shared" si="49"/>
        <v>132</v>
      </c>
      <c r="X309" s="93" t="str">
        <f t="shared" si="50"/>
        <v>III</v>
      </c>
      <c r="Y309" s="93">
        <f t="shared" si="42"/>
        <v>3</v>
      </c>
      <c r="AD309"/>
    </row>
    <row r="310" spans="1:30">
      <c r="A310" t="s">
        <v>69</v>
      </c>
      <c r="B310" s="110">
        <v>7271100</v>
      </c>
      <c r="C310" s="267" t="s">
        <v>375</v>
      </c>
      <c r="D310" s="55"/>
      <c r="E310" s="92">
        <v>6.5695789007622629</v>
      </c>
      <c r="F310" s="68">
        <f t="shared" si="43"/>
        <v>45</v>
      </c>
      <c r="G310" s="181"/>
      <c r="H310" s="276">
        <v>21544130.365700014</v>
      </c>
      <c r="I310" s="68">
        <f t="shared" si="44"/>
        <v>37.5</v>
      </c>
      <c r="K310" s="277">
        <v>45289322.679299466</v>
      </c>
      <c r="L310" s="68">
        <f t="shared" si="45"/>
        <v>30</v>
      </c>
      <c r="M310" s="68"/>
      <c r="N310" s="290">
        <v>1554517692.3127036</v>
      </c>
      <c r="O310" s="68">
        <f t="shared" si="46"/>
        <v>22</v>
      </c>
      <c r="P310" s="68"/>
      <c r="Q310" s="276">
        <v>0</v>
      </c>
      <c r="R310" s="68">
        <f t="shared" si="47"/>
        <v>0</v>
      </c>
      <c r="S310" s="238"/>
      <c r="T310" s="56" t="s">
        <v>37</v>
      </c>
      <c r="U310" s="68">
        <f t="shared" si="48"/>
        <v>12.5</v>
      </c>
      <c r="V310" s="68"/>
      <c r="W310" s="69">
        <f t="shared" si="49"/>
        <v>147</v>
      </c>
      <c r="X310" s="93" t="str">
        <f t="shared" si="50"/>
        <v>III</v>
      </c>
      <c r="Y310" s="93">
        <f t="shared" si="42"/>
        <v>3</v>
      </c>
      <c r="AD310"/>
    </row>
    <row r="311" spans="1:30">
      <c r="A311" t="s">
        <v>113</v>
      </c>
      <c r="B311" s="110">
        <v>8095200</v>
      </c>
      <c r="C311" s="267" t="s">
        <v>376</v>
      </c>
      <c r="D311" s="55"/>
      <c r="E311" s="92">
        <v>13.451626030645102</v>
      </c>
      <c r="F311" s="68">
        <f t="shared" si="43"/>
        <v>75</v>
      </c>
      <c r="G311" s="181"/>
      <c r="H311" s="276">
        <v>42925148.103199996</v>
      </c>
      <c r="I311" s="68">
        <f t="shared" si="44"/>
        <v>62.5</v>
      </c>
      <c r="K311" s="277">
        <v>81079825.761497602</v>
      </c>
      <c r="L311" s="68">
        <f t="shared" si="45"/>
        <v>50</v>
      </c>
      <c r="M311" s="68"/>
      <c r="N311" s="290">
        <v>2352486227.4957981</v>
      </c>
      <c r="O311" s="68">
        <f t="shared" si="46"/>
        <v>40</v>
      </c>
      <c r="P311" s="68"/>
      <c r="Q311" s="276">
        <v>4338976.3717999989</v>
      </c>
      <c r="R311" s="68">
        <f t="shared" si="47"/>
        <v>7.5</v>
      </c>
      <c r="S311" s="238"/>
      <c r="T311" s="56" t="s">
        <v>37</v>
      </c>
      <c r="U311" s="68">
        <f t="shared" si="48"/>
        <v>12.5</v>
      </c>
      <c r="V311" s="68"/>
      <c r="W311" s="69">
        <f t="shared" si="49"/>
        <v>247.5</v>
      </c>
      <c r="X311" s="93" t="str">
        <f t="shared" si="50"/>
        <v>II</v>
      </c>
      <c r="Y311" s="93">
        <f t="shared" si="42"/>
        <v>2</v>
      </c>
      <c r="AD311"/>
    </row>
    <row r="312" spans="1:30">
      <c r="A312" t="s">
        <v>113</v>
      </c>
      <c r="B312" s="110">
        <v>3570600</v>
      </c>
      <c r="C312" s="267" t="s">
        <v>377</v>
      </c>
      <c r="D312" s="55"/>
      <c r="E312" s="92">
        <v>6.1316069740447787</v>
      </c>
      <c r="F312" s="68">
        <f t="shared" si="43"/>
        <v>30</v>
      </c>
      <c r="G312" s="181"/>
      <c r="H312" s="276">
        <v>19378408.109098837</v>
      </c>
      <c r="I312" s="68">
        <f t="shared" si="44"/>
        <v>37.5</v>
      </c>
      <c r="K312" s="277">
        <v>47243631.186510503</v>
      </c>
      <c r="L312" s="68">
        <f t="shared" si="45"/>
        <v>30</v>
      </c>
      <c r="M312" s="68"/>
      <c r="N312" s="290">
        <v>1672016453.9158008</v>
      </c>
      <c r="O312" s="68">
        <f t="shared" si="46"/>
        <v>22</v>
      </c>
      <c r="P312" s="68"/>
      <c r="Q312" s="276">
        <v>0</v>
      </c>
      <c r="R312" s="68">
        <f t="shared" si="47"/>
        <v>0</v>
      </c>
      <c r="S312" s="238"/>
      <c r="T312" s="56" t="s">
        <v>37</v>
      </c>
      <c r="U312" s="68">
        <f t="shared" si="48"/>
        <v>12.5</v>
      </c>
      <c r="V312" s="68"/>
      <c r="W312" s="69">
        <f t="shared" si="49"/>
        <v>132</v>
      </c>
      <c r="X312" s="93" t="str">
        <f t="shared" si="50"/>
        <v>III</v>
      </c>
      <c r="Y312" s="93">
        <f t="shared" si="42"/>
        <v>3</v>
      </c>
      <c r="AD312"/>
    </row>
    <row r="313" spans="1:30">
      <c r="A313" t="s">
        <v>95</v>
      </c>
      <c r="B313" s="110">
        <v>5156500</v>
      </c>
      <c r="C313" s="267" t="s">
        <v>378</v>
      </c>
      <c r="D313" s="55"/>
      <c r="E313" s="92">
        <v>5.1936350473272945</v>
      </c>
      <c r="F313" s="68">
        <f t="shared" si="43"/>
        <v>30</v>
      </c>
      <c r="G313" s="181"/>
      <c r="H313" s="276">
        <v>0</v>
      </c>
      <c r="I313" s="68">
        <f t="shared" si="44"/>
        <v>0</v>
      </c>
      <c r="K313" s="277">
        <v>0</v>
      </c>
      <c r="L313" s="68">
        <f t="shared" si="45"/>
        <v>0</v>
      </c>
      <c r="M313" s="68"/>
      <c r="N313" s="290">
        <v>0</v>
      </c>
      <c r="O313" s="68">
        <f t="shared" si="46"/>
        <v>0</v>
      </c>
      <c r="P313" s="68"/>
      <c r="Q313" s="276">
        <v>0</v>
      </c>
      <c r="R313" s="68">
        <f t="shared" si="47"/>
        <v>0</v>
      </c>
      <c r="S313" s="238"/>
      <c r="T313" s="56" t="s">
        <v>37</v>
      </c>
      <c r="U313" s="68">
        <f t="shared" si="48"/>
        <v>12.5</v>
      </c>
      <c r="V313" s="68"/>
      <c r="W313" s="69">
        <f t="shared" si="49"/>
        <v>42.5</v>
      </c>
      <c r="X313" s="93" t="str">
        <f t="shared" si="50"/>
        <v>IV</v>
      </c>
      <c r="Y313" s="93">
        <f t="shared" si="42"/>
        <v>4</v>
      </c>
      <c r="AD313"/>
    </row>
    <row r="314" spans="1:30">
      <c r="A314" t="s">
        <v>82</v>
      </c>
      <c r="B314" s="110">
        <v>7045800</v>
      </c>
      <c r="C314" s="267" t="s">
        <v>379</v>
      </c>
      <c r="D314" s="55"/>
      <c r="E314" s="92">
        <v>5.1936350473272945</v>
      </c>
      <c r="F314" s="68">
        <f t="shared" si="43"/>
        <v>30</v>
      </c>
      <c r="G314" s="181"/>
      <c r="H314" s="276">
        <v>1014097.7719000005</v>
      </c>
      <c r="I314" s="68">
        <f t="shared" si="44"/>
        <v>25</v>
      </c>
      <c r="K314" s="277">
        <v>35181034.862499617</v>
      </c>
      <c r="L314" s="68">
        <f t="shared" si="45"/>
        <v>20</v>
      </c>
      <c r="M314" s="68"/>
      <c r="N314" s="290">
        <v>1494832014.1757019</v>
      </c>
      <c r="O314" s="68">
        <f t="shared" si="46"/>
        <v>22</v>
      </c>
      <c r="P314" s="68"/>
      <c r="Q314" s="276">
        <v>0</v>
      </c>
      <c r="R314" s="68">
        <f t="shared" si="47"/>
        <v>0</v>
      </c>
      <c r="S314" s="238"/>
      <c r="T314" s="56" t="s">
        <v>37</v>
      </c>
      <c r="U314" s="68">
        <f t="shared" si="48"/>
        <v>12.5</v>
      </c>
      <c r="V314" s="68"/>
      <c r="W314" s="69">
        <f t="shared" si="49"/>
        <v>109.5</v>
      </c>
      <c r="X314" s="93" t="str">
        <f t="shared" si="50"/>
        <v>IV</v>
      </c>
      <c r="Y314" s="93">
        <f t="shared" si="42"/>
        <v>4</v>
      </c>
      <c r="AD314"/>
    </row>
    <row r="315" spans="1:30">
      <c r="A315" t="s">
        <v>113</v>
      </c>
      <c r="B315" s="110">
        <v>3468100</v>
      </c>
      <c r="C315" s="267" t="s">
        <v>380</v>
      </c>
      <c r="D315" s="55"/>
      <c r="E315" s="92">
        <v>6.4649403073781126</v>
      </c>
      <c r="F315" s="68">
        <f t="shared" si="43"/>
        <v>30</v>
      </c>
      <c r="G315" s="181"/>
      <c r="H315" s="276">
        <v>2704536.6037999918</v>
      </c>
      <c r="I315" s="68">
        <f t="shared" si="44"/>
        <v>25</v>
      </c>
      <c r="K315" s="277">
        <v>53530422.985702619</v>
      </c>
      <c r="L315" s="68">
        <f t="shared" si="45"/>
        <v>30</v>
      </c>
      <c r="M315" s="68"/>
      <c r="N315" s="290">
        <v>1598673023.7882993</v>
      </c>
      <c r="O315" s="68">
        <f t="shared" si="46"/>
        <v>22</v>
      </c>
      <c r="P315" s="68"/>
      <c r="Q315" s="276">
        <v>0</v>
      </c>
      <c r="R315" s="68">
        <f t="shared" si="47"/>
        <v>0</v>
      </c>
      <c r="S315" s="238"/>
      <c r="T315" s="56" t="s">
        <v>37</v>
      </c>
      <c r="U315" s="68">
        <f t="shared" si="48"/>
        <v>12.5</v>
      </c>
      <c r="V315" s="68"/>
      <c r="W315" s="69">
        <f t="shared" si="49"/>
        <v>119.5</v>
      </c>
      <c r="X315" s="93" t="str">
        <f t="shared" si="50"/>
        <v>IV</v>
      </c>
      <c r="Y315" s="93">
        <f t="shared" si="42"/>
        <v>4</v>
      </c>
      <c r="AD315"/>
    </row>
    <row r="316" spans="1:30">
      <c r="A316" t="s">
        <v>203</v>
      </c>
      <c r="B316" s="110">
        <v>6848500</v>
      </c>
      <c r="C316" s="267" t="s">
        <v>381</v>
      </c>
      <c r="D316" s="55"/>
      <c r="E316" s="92">
        <v>5.2556631206098103</v>
      </c>
      <c r="F316" s="68">
        <f t="shared" si="43"/>
        <v>30</v>
      </c>
      <c r="G316" s="181"/>
      <c r="H316" s="276">
        <v>13495904.63909992</v>
      </c>
      <c r="I316" s="68">
        <f t="shared" si="44"/>
        <v>25</v>
      </c>
      <c r="K316" s="277">
        <v>41084858.67490048</v>
      </c>
      <c r="L316" s="68">
        <f t="shared" si="45"/>
        <v>30</v>
      </c>
      <c r="M316" s="68"/>
      <c r="N316" s="290">
        <v>1066291630.9024941</v>
      </c>
      <c r="O316" s="68">
        <f t="shared" si="46"/>
        <v>13</v>
      </c>
      <c r="P316" s="68"/>
      <c r="Q316" s="276">
        <v>0</v>
      </c>
      <c r="R316" s="68">
        <f t="shared" si="47"/>
        <v>0</v>
      </c>
      <c r="S316" s="238"/>
      <c r="T316" s="56" t="s">
        <v>37</v>
      </c>
      <c r="U316" s="68">
        <f t="shared" si="48"/>
        <v>12.5</v>
      </c>
      <c r="V316" s="68"/>
      <c r="W316" s="69">
        <f t="shared" si="49"/>
        <v>110.5</v>
      </c>
      <c r="X316" s="93" t="str">
        <f t="shared" si="50"/>
        <v>IV</v>
      </c>
      <c r="Y316" s="93">
        <f t="shared" si="42"/>
        <v>4</v>
      </c>
      <c r="AD316"/>
    </row>
    <row r="317" spans="1:30">
      <c r="A317" t="s">
        <v>105</v>
      </c>
      <c r="B317" s="110">
        <v>7056500</v>
      </c>
      <c r="C317" s="267" t="s">
        <v>382</v>
      </c>
      <c r="D317" s="55"/>
      <c r="E317" s="92">
        <v>6.1316069740447787</v>
      </c>
      <c r="F317" s="68">
        <f t="shared" si="43"/>
        <v>30</v>
      </c>
      <c r="G317" s="181"/>
      <c r="H317" s="276">
        <v>14627799.220299941</v>
      </c>
      <c r="I317" s="68">
        <f t="shared" si="44"/>
        <v>25</v>
      </c>
      <c r="K317" s="277">
        <v>33527885.385199592</v>
      </c>
      <c r="L317" s="68">
        <f t="shared" si="45"/>
        <v>20</v>
      </c>
      <c r="M317" s="68"/>
      <c r="N317" s="290">
        <v>1058536219.7976987</v>
      </c>
      <c r="O317" s="68">
        <f t="shared" si="46"/>
        <v>13</v>
      </c>
      <c r="P317" s="68"/>
      <c r="Q317" s="276">
        <v>0</v>
      </c>
      <c r="R317" s="68">
        <f t="shared" si="47"/>
        <v>0</v>
      </c>
      <c r="S317" s="238"/>
      <c r="T317" s="56" t="s">
        <v>37</v>
      </c>
      <c r="U317" s="68">
        <f t="shared" si="48"/>
        <v>12.5</v>
      </c>
      <c r="V317" s="68"/>
      <c r="W317" s="69">
        <f t="shared" si="49"/>
        <v>100.5</v>
      </c>
      <c r="X317" s="93" t="str">
        <f t="shared" si="50"/>
        <v>IV</v>
      </c>
      <c r="Y317" s="93">
        <f t="shared" si="42"/>
        <v>4</v>
      </c>
      <c r="AD317"/>
    </row>
    <row r="318" spans="1:30">
      <c r="A318" t="s">
        <v>103</v>
      </c>
      <c r="B318" s="110">
        <v>4165100</v>
      </c>
      <c r="C318" s="267" t="s">
        <v>383</v>
      </c>
      <c r="D318" s="55"/>
      <c r="E318" s="92">
        <v>5.6936350473272945</v>
      </c>
      <c r="F318" s="68">
        <f t="shared" si="43"/>
        <v>30</v>
      </c>
      <c r="G318" s="181"/>
      <c r="H318" s="276">
        <v>17824273.823099874</v>
      </c>
      <c r="I318" s="68">
        <f t="shared" si="44"/>
        <v>37.5</v>
      </c>
      <c r="K318" s="277">
        <v>22028454.926399887</v>
      </c>
      <c r="L318" s="68">
        <f t="shared" si="45"/>
        <v>20</v>
      </c>
      <c r="M318" s="68"/>
      <c r="N318" s="290">
        <v>839445840.0051024</v>
      </c>
      <c r="O318" s="68">
        <f t="shared" si="46"/>
        <v>13</v>
      </c>
      <c r="P318" s="68"/>
      <c r="Q318" s="276">
        <v>0</v>
      </c>
      <c r="R318" s="68">
        <f t="shared" si="47"/>
        <v>0</v>
      </c>
      <c r="S318" s="238"/>
      <c r="T318" s="56" t="s">
        <v>37</v>
      </c>
      <c r="U318" s="68">
        <f t="shared" si="48"/>
        <v>12.5</v>
      </c>
      <c r="V318" s="68"/>
      <c r="W318" s="69">
        <f t="shared" si="49"/>
        <v>113</v>
      </c>
      <c r="X318" s="93" t="str">
        <f t="shared" si="50"/>
        <v>IV</v>
      </c>
      <c r="Y318" s="93">
        <f t="shared" si="42"/>
        <v>4</v>
      </c>
      <c r="AD318"/>
    </row>
    <row r="319" spans="1:30">
      <c r="A319" t="s">
        <v>71</v>
      </c>
      <c r="B319" s="110">
        <v>3542900</v>
      </c>
      <c r="C319" s="267" t="s">
        <v>384</v>
      </c>
      <c r="D319" s="55"/>
      <c r="E319" s="92">
        <v>6.1316069740447787</v>
      </c>
      <c r="F319" s="68">
        <f t="shared" si="43"/>
        <v>30</v>
      </c>
      <c r="G319" s="181"/>
      <c r="H319" s="276">
        <v>30117271.329101447</v>
      </c>
      <c r="I319" s="68">
        <f t="shared" si="44"/>
        <v>37.5</v>
      </c>
      <c r="K319" s="277">
        <v>65563508.185898826</v>
      </c>
      <c r="L319" s="68">
        <f t="shared" si="45"/>
        <v>50</v>
      </c>
      <c r="M319" s="68"/>
      <c r="N319" s="290">
        <v>1667527729.7043974</v>
      </c>
      <c r="O319" s="68">
        <f t="shared" si="46"/>
        <v>22</v>
      </c>
      <c r="P319" s="68"/>
      <c r="Q319" s="276">
        <v>11354548.405499971</v>
      </c>
      <c r="R319" s="68">
        <f t="shared" si="47"/>
        <v>12.5</v>
      </c>
      <c r="S319" s="238"/>
      <c r="T319" s="56" t="s">
        <v>37</v>
      </c>
      <c r="U319" s="68">
        <f t="shared" si="48"/>
        <v>12.5</v>
      </c>
      <c r="V319" s="68"/>
      <c r="W319" s="69">
        <f t="shared" si="49"/>
        <v>164.5</v>
      </c>
      <c r="X319" s="93" t="str">
        <f t="shared" si="50"/>
        <v>III</v>
      </c>
      <c r="Y319" s="93">
        <f t="shared" si="42"/>
        <v>3</v>
      </c>
      <c r="AD319"/>
    </row>
    <row r="320" spans="1:30">
      <c r="A320" t="s">
        <v>67</v>
      </c>
      <c r="B320" s="110">
        <v>3953800</v>
      </c>
      <c r="C320" s="267" t="s">
        <v>385</v>
      </c>
      <c r="D320" s="55"/>
      <c r="E320" s="92">
        <v>9.2594385343496839</v>
      </c>
      <c r="F320" s="68">
        <f t="shared" si="43"/>
        <v>45</v>
      </c>
      <c r="G320" s="181"/>
      <c r="H320" s="276">
        <v>20879464.396601975</v>
      </c>
      <c r="I320" s="68">
        <f t="shared" si="44"/>
        <v>37.5</v>
      </c>
      <c r="K320" s="277">
        <v>64269928.411300033</v>
      </c>
      <c r="L320" s="68">
        <f t="shared" si="45"/>
        <v>50</v>
      </c>
      <c r="M320" s="68"/>
      <c r="N320" s="290">
        <v>1112639693.8642023</v>
      </c>
      <c r="O320" s="68">
        <f t="shared" si="46"/>
        <v>13</v>
      </c>
      <c r="P320" s="68"/>
      <c r="Q320" s="276">
        <v>0</v>
      </c>
      <c r="R320" s="68">
        <f t="shared" si="47"/>
        <v>0</v>
      </c>
      <c r="S320" s="238"/>
      <c r="T320" s="56" t="s">
        <v>37</v>
      </c>
      <c r="U320" s="68">
        <f t="shared" si="48"/>
        <v>12.5</v>
      </c>
      <c r="V320" s="68"/>
      <c r="W320" s="69">
        <f t="shared" si="49"/>
        <v>158</v>
      </c>
      <c r="X320" s="93" t="str">
        <f t="shared" si="50"/>
        <v>III</v>
      </c>
      <c r="Y320" s="93">
        <f t="shared" si="42"/>
        <v>3</v>
      </c>
      <c r="AD320"/>
    </row>
    <row r="321" spans="1:30">
      <c r="A321" t="s">
        <v>103</v>
      </c>
      <c r="B321" s="110">
        <v>5261900</v>
      </c>
      <c r="C321" s="267" t="s">
        <v>386</v>
      </c>
      <c r="D321" s="55"/>
      <c r="E321" s="92">
        <v>12.156463427580594</v>
      </c>
      <c r="F321" s="68">
        <f t="shared" si="43"/>
        <v>75</v>
      </c>
      <c r="G321" s="181"/>
      <c r="H321" s="276">
        <v>42317161.566304736</v>
      </c>
      <c r="I321" s="68">
        <f t="shared" si="44"/>
        <v>62.5</v>
      </c>
      <c r="K321" s="277">
        <v>56995074.779398955</v>
      </c>
      <c r="L321" s="68">
        <f t="shared" si="45"/>
        <v>30</v>
      </c>
      <c r="M321" s="68"/>
      <c r="N321" s="290">
        <v>2761826688.39679</v>
      </c>
      <c r="O321" s="68">
        <f t="shared" si="46"/>
        <v>40</v>
      </c>
      <c r="P321" s="68"/>
      <c r="Q321" s="276">
        <v>1170866.1477000001</v>
      </c>
      <c r="R321" s="68">
        <f t="shared" si="47"/>
        <v>7.5</v>
      </c>
      <c r="S321" s="238"/>
      <c r="T321" s="56" t="s">
        <v>37</v>
      </c>
      <c r="U321" s="68">
        <f t="shared" si="48"/>
        <v>12.5</v>
      </c>
      <c r="V321" s="68"/>
      <c r="W321" s="69">
        <f t="shared" si="49"/>
        <v>227.5</v>
      </c>
      <c r="X321" s="93" t="str">
        <f t="shared" si="50"/>
        <v>II</v>
      </c>
      <c r="Y321" s="93">
        <f t="shared" si="42"/>
        <v>2</v>
      </c>
      <c r="AD321"/>
    </row>
    <row r="322" spans="1:30">
      <c r="A322" t="s">
        <v>84</v>
      </c>
      <c r="B322" s="110">
        <v>7268900</v>
      </c>
      <c r="C322" s="267" t="s">
        <v>387</v>
      </c>
      <c r="D322" s="55"/>
      <c r="E322" s="92">
        <v>16.041951236774121</v>
      </c>
      <c r="F322" s="68">
        <f t="shared" si="43"/>
        <v>150</v>
      </c>
      <c r="G322" s="181"/>
      <c r="H322" s="276">
        <v>180305671.32329789</v>
      </c>
      <c r="I322" s="68">
        <f t="shared" si="44"/>
        <v>125</v>
      </c>
      <c r="K322" s="277">
        <v>159209218.43419832</v>
      </c>
      <c r="L322" s="68">
        <f t="shared" si="45"/>
        <v>100</v>
      </c>
      <c r="M322" s="68"/>
      <c r="N322" s="290">
        <v>1740593455.4796</v>
      </c>
      <c r="O322" s="68">
        <f t="shared" si="46"/>
        <v>22</v>
      </c>
      <c r="P322" s="68"/>
      <c r="Q322" s="276">
        <v>0</v>
      </c>
      <c r="R322" s="68">
        <f t="shared" si="47"/>
        <v>0</v>
      </c>
      <c r="S322" s="238"/>
      <c r="T322" s="56" t="s">
        <v>32</v>
      </c>
      <c r="U322" s="68">
        <f t="shared" si="48"/>
        <v>25</v>
      </c>
      <c r="V322" s="68"/>
      <c r="W322" s="69">
        <f t="shared" si="49"/>
        <v>422</v>
      </c>
      <c r="X322" s="93" t="str">
        <f t="shared" si="50"/>
        <v>I</v>
      </c>
      <c r="Y322" s="93">
        <f t="shared" ref="Y322:Y385" si="51">IF(X322="IV",4,IF(X322="III",3,IF(X322="II",2,1)))</f>
        <v>1</v>
      </c>
      <c r="AD322"/>
    </row>
    <row r="323" spans="1:30">
      <c r="A323" t="s">
        <v>84</v>
      </c>
      <c r="B323" s="110">
        <v>7270000</v>
      </c>
      <c r="C323" s="267" t="s">
        <v>388</v>
      </c>
      <c r="D323" s="55"/>
      <c r="E323" s="92">
        <v>19.927439045967652</v>
      </c>
      <c r="F323" s="68">
        <f t="shared" si="43"/>
        <v>150</v>
      </c>
      <c r="G323" s="181"/>
      <c r="H323" s="276">
        <v>221323392.69862354</v>
      </c>
      <c r="I323" s="68">
        <f t="shared" si="44"/>
        <v>125</v>
      </c>
      <c r="K323" s="277">
        <v>193959659.07668892</v>
      </c>
      <c r="L323" s="68">
        <f t="shared" si="45"/>
        <v>100</v>
      </c>
      <c r="M323" s="68"/>
      <c r="N323" s="290">
        <v>1772769778.4688034</v>
      </c>
      <c r="O323" s="68">
        <f t="shared" si="46"/>
        <v>22</v>
      </c>
      <c r="P323" s="68"/>
      <c r="Q323" s="276">
        <v>0</v>
      </c>
      <c r="R323" s="68">
        <f t="shared" si="47"/>
        <v>0</v>
      </c>
      <c r="S323" s="238"/>
      <c r="T323" s="56" t="s">
        <v>32</v>
      </c>
      <c r="U323" s="68">
        <f t="shared" si="48"/>
        <v>25</v>
      </c>
      <c r="V323" s="68"/>
      <c r="W323" s="69">
        <f t="shared" si="49"/>
        <v>422</v>
      </c>
      <c r="X323" s="93" t="str">
        <f t="shared" si="50"/>
        <v>I</v>
      </c>
      <c r="Y323" s="93">
        <f t="shared" si="51"/>
        <v>1</v>
      </c>
      <c r="AD323"/>
    </row>
    <row r="324" spans="1:30">
      <c r="A324" t="s">
        <v>84</v>
      </c>
      <c r="B324" s="110">
        <v>3547000</v>
      </c>
      <c r="C324" s="267" t="s">
        <v>389</v>
      </c>
      <c r="D324" s="55"/>
      <c r="E324" s="92">
        <v>7.8834946809147155</v>
      </c>
      <c r="F324" s="68">
        <f t="shared" si="43"/>
        <v>45</v>
      </c>
      <c r="G324" s="181"/>
      <c r="H324" s="276">
        <v>34246878.101600185</v>
      </c>
      <c r="I324" s="68">
        <f t="shared" si="44"/>
        <v>62.5</v>
      </c>
      <c r="K324" s="277">
        <v>83251693.744107336</v>
      </c>
      <c r="L324" s="68">
        <f t="shared" si="45"/>
        <v>50</v>
      </c>
      <c r="M324" s="68"/>
      <c r="N324" s="290">
        <v>2016825893.5561979</v>
      </c>
      <c r="O324" s="68">
        <f t="shared" si="46"/>
        <v>22</v>
      </c>
      <c r="P324" s="68"/>
      <c r="Q324" s="276">
        <v>2288661.4301000005</v>
      </c>
      <c r="R324" s="68">
        <f t="shared" si="47"/>
        <v>7.5</v>
      </c>
      <c r="S324" s="238"/>
      <c r="T324" s="56" t="s">
        <v>37</v>
      </c>
      <c r="U324" s="68">
        <f t="shared" si="48"/>
        <v>12.5</v>
      </c>
      <c r="V324" s="68"/>
      <c r="W324" s="69">
        <f t="shared" si="49"/>
        <v>199.5</v>
      </c>
      <c r="X324" s="93" t="str">
        <f t="shared" si="50"/>
        <v>II</v>
      </c>
      <c r="Y324" s="93">
        <f t="shared" si="51"/>
        <v>2</v>
      </c>
      <c r="AD324"/>
    </row>
    <row r="325" spans="1:30">
      <c r="A325" t="s">
        <v>203</v>
      </c>
      <c r="B325" s="110">
        <v>6849600</v>
      </c>
      <c r="C325" s="267" t="s">
        <v>390</v>
      </c>
      <c r="D325" s="55"/>
      <c r="E325" s="92">
        <v>9.3640771277338377</v>
      </c>
      <c r="F325" s="68">
        <f t="shared" si="43"/>
        <v>45</v>
      </c>
      <c r="G325" s="181"/>
      <c r="H325" s="276">
        <v>16270626.765503846</v>
      </c>
      <c r="I325" s="68">
        <f t="shared" si="44"/>
        <v>25</v>
      </c>
      <c r="K325" s="277">
        <v>50445737.729697026</v>
      </c>
      <c r="L325" s="68">
        <f t="shared" si="45"/>
        <v>30</v>
      </c>
      <c r="M325" s="68"/>
      <c r="N325" s="290">
        <v>1308443931.2764039</v>
      </c>
      <c r="O325" s="68">
        <f t="shared" si="46"/>
        <v>13</v>
      </c>
      <c r="P325" s="68"/>
      <c r="Q325" s="276">
        <v>0</v>
      </c>
      <c r="R325" s="68">
        <f t="shared" si="47"/>
        <v>0</v>
      </c>
      <c r="S325" s="238"/>
      <c r="T325" s="56" t="s">
        <v>37</v>
      </c>
      <c r="U325" s="68">
        <f t="shared" si="48"/>
        <v>12.5</v>
      </c>
      <c r="V325" s="68"/>
      <c r="W325" s="69">
        <f t="shared" si="49"/>
        <v>125.5</v>
      </c>
      <c r="X325" s="93" t="str">
        <f t="shared" si="50"/>
        <v>III</v>
      </c>
      <c r="Y325" s="93">
        <f t="shared" si="51"/>
        <v>3</v>
      </c>
      <c r="AD325"/>
    </row>
    <row r="326" spans="1:30">
      <c r="A326" t="s">
        <v>69</v>
      </c>
      <c r="B326" s="110">
        <v>3548100</v>
      </c>
      <c r="C326" s="267" t="s">
        <v>391</v>
      </c>
      <c r="D326" s="55"/>
      <c r="E326" s="92">
        <v>14.74678863370961</v>
      </c>
      <c r="F326" s="68">
        <f t="shared" si="43"/>
        <v>150</v>
      </c>
      <c r="G326" s="181"/>
      <c r="H326" s="276">
        <v>36851880.510295331</v>
      </c>
      <c r="I326" s="68">
        <f t="shared" si="44"/>
        <v>62.5</v>
      </c>
      <c r="K326" s="277">
        <v>86301911.358799532</v>
      </c>
      <c r="L326" s="68">
        <f t="shared" si="45"/>
        <v>50</v>
      </c>
      <c r="M326" s="68"/>
      <c r="N326" s="290">
        <v>2508089980.3808985</v>
      </c>
      <c r="O326" s="68">
        <f t="shared" si="46"/>
        <v>40</v>
      </c>
      <c r="P326" s="68"/>
      <c r="Q326" s="276">
        <v>0</v>
      </c>
      <c r="R326" s="68">
        <f t="shared" si="47"/>
        <v>0</v>
      </c>
      <c r="S326" s="238"/>
      <c r="T326" s="56" t="s">
        <v>37</v>
      </c>
      <c r="U326" s="68">
        <f t="shared" si="48"/>
        <v>12.5</v>
      </c>
      <c r="V326" s="68"/>
      <c r="W326" s="69">
        <f t="shared" si="49"/>
        <v>315</v>
      </c>
      <c r="X326" s="93" t="str">
        <f t="shared" si="50"/>
        <v>II</v>
      </c>
      <c r="Y326" s="93">
        <f t="shared" si="51"/>
        <v>2</v>
      </c>
      <c r="AD326"/>
    </row>
    <row r="327" spans="1:30">
      <c r="A327" t="s">
        <v>95</v>
      </c>
      <c r="B327" s="110">
        <v>3864200</v>
      </c>
      <c r="C327" s="267" t="s">
        <v>392</v>
      </c>
      <c r="D327" s="55"/>
      <c r="E327" s="92">
        <v>6.5695789007622629</v>
      </c>
      <c r="F327" s="68">
        <f t="shared" si="43"/>
        <v>45</v>
      </c>
      <c r="G327" s="181"/>
      <c r="H327" s="276">
        <v>8907692.8191999812</v>
      </c>
      <c r="I327" s="68">
        <f t="shared" si="44"/>
        <v>25</v>
      </c>
      <c r="K327" s="277">
        <v>35444229.455099687</v>
      </c>
      <c r="L327" s="68">
        <f t="shared" si="45"/>
        <v>20</v>
      </c>
      <c r="M327" s="68"/>
      <c r="N327" s="290">
        <v>1509900029.2399998</v>
      </c>
      <c r="O327" s="68">
        <f t="shared" si="46"/>
        <v>22</v>
      </c>
      <c r="P327" s="68"/>
      <c r="Q327" s="276">
        <v>0</v>
      </c>
      <c r="R327" s="68">
        <f t="shared" si="47"/>
        <v>0</v>
      </c>
      <c r="S327" s="238"/>
      <c r="T327" s="56" t="s">
        <v>37</v>
      </c>
      <c r="U327" s="68">
        <f t="shared" si="48"/>
        <v>12.5</v>
      </c>
      <c r="V327" s="68"/>
      <c r="W327" s="69">
        <f t="shared" si="49"/>
        <v>124.5</v>
      </c>
      <c r="X327" s="93" t="str">
        <f t="shared" si="50"/>
        <v>III</v>
      </c>
      <c r="Y327" s="93">
        <f t="shared" si="51"/>
        <v>3</v>
      </c>
      <c r="AD327"/>
    </row>
    <row r="328" spans="1:30">
      <c r="A328" t="s">
        <v>99</v>
      </c>
      <c r="B328" s="110">
        <v>5854200</v>
      </c>
      <c r="C328" s="267" t="s">
        <v>393</v>
      </c>
      <c r="D328" s="55"/>
      <c r="E328" s="92">
        <v>6.9029122340955977</v>
      </c>
      <c r="F328" s="68">
        <f t="shared" si="43"/>
        <v>45</v>
      </c>
      <c r="G328" s="181"/>
      <c r="H328" s="276">
        <v>20334246.844599903</v>
      </c>
      <c r="I328" s="68">
        <f t="shared" si="44"/>
        <v>37.5</v>
      </c>
      <c r="K328" s="277">
        <v>51251271.610299647</v>
      </c>
      <c r="L328" s="68">
        <f t="shared" si="45"/>
        <v>30</v>
      </c>
      <c r="M328" s="68"/>
      <c r="N328" s="290">
        <v>1315434560.1678019</v>
      </c>
      <c r="O328" s="68">
        <f t="shared" si="46"/>
        <v>13</v>
      </c>
      <c r="P328" s="68"/>
      <c r="Q328" s="276">
        <v>0</v>
      </c>
      <c r="R328" s="68">
        <f t="shared" si="47"/>
        <v>0</v>
      </c>
      <c r="S328" s="238"/>
      <c r="T328" s="56" t="s">
        <v>37</v>
      </c>
      <c r="U328" s="68">
        <f t="shared" si="48"/>
        <v>12.5</v>
      </c>
      <c r="V328" s="68"/>
      <c r="W328" s="69">
        <f t="shared" si="49"/>
        <v>138</v>
      </c>
      <c r="X328" s="93" t="str">
        <f t="shared" si="50"/>
        <v>III</v>
      </c>
      <c r="Y328" s="93">
        <f t="shared" si="51"/>
        <v>3</v>
      </c>
      <c r="AD328"/>
    </row>
    <row r="329" spans="1:30">
      <c r="A329" t="s">
        <v>86</v>
      </c>
      <c r="B329" s="110">
        <v>7960200</v>
      </c>
      <c r="C329" s="267" t="s">
        <v>394</v>
      </c>
      <c r="D329" s="55"/>
      <c r="E329" s="92">
        <v>6.1316069740447787</v>
      </c>
      <c r="F329" s="68">
        <f t="shared" si="43"/>
        <v>30</v>
      </c>
      <c r="G329" s="181"/>
      <c r="H329" s="276">
        <v>22354107.105900981</v>
      </c>
      <c r="I329" s="68">
        <f t="shared" si="44"/>
        <v>37.5</v>
      </c>
      <c r="K329" s="277">
        <v>41327215.278503604</v>
      </c>
      <c r="L329" s="68">
        <f t="shared" si="45"/>
        <v>30</v>
      </c>
      <c r="M329" s="68"/>
      <c r="N329" s="290">
        <v>1355766144.4129031</v>
      </c>
      <c r="O329" s="68">
        <f t="shared" si="46"/>
        <v>13</v>
      </c>
      <c r="P329" s="68"/>
      <c r="Q329" s="276">
        <v>0</v>
      </c>
      <c r="R329" s="68">
        <f t="shared" si="47"/>
        <v>0</v>
      </c>
      <c r="S329" s="238"/>
      <c r="T329" s="56" t="s">
        <v>37</v>
      </c>
      <c r="U329" s="68">
        <f t="shared" si="48"/>
        <v>12.5</v>
      </c>
      <c r="V329" s="68"/>
      <c r="W329" s="69">
        <f t="shared" si="49"/>
        <v>123</v>
      </c>
      <c r="X329" s="93" t="str">
        <f t="shared" si="50"/>
        <v>III</v>
      </c>
      <c r="Y329" s="93">
        <f t="shared" si="51"/>
        <v>3</v>
      </c>
      <c r="AD329"/>
    </row>
    <row r="330" spans="1:30">
      <c r="A330" t="s">
        <v>82</v>
      </c>
      <c r="B330" s="110">
        <v>6855900</v>
      </c>
      <c r="C330" s="267" t="s">
        <v>395</v>
      </c>
      <c r="D330" s="55"/>
      <c r="E330" s="92">
        <v>6.5695789007622629</v>
      </c>
      <c r="F330" s="68">
        <f t="shared" si="43"/>
        <v>45</v>
      </c>
      <c r="G330" s="181"/>
      <c r="H330" s="276">
        <v>23735266.172401298</v>
      </c>
      <c r="I330" s="68">
        <f t="shared" si="44"/>
        <v>37.5</v>
      </c>
      <c r="K330" s="277">
        <v>58072208.748900592</v>
      </c>
      <c r="L330" s="68">
        <f t="shared" si="45"/>
        <v>30</v>
      </c>
      <c r="M330" s="68"/>
      <c r="N330" s="290">
        <v>2298743533.5778947</v>
      </c>
      <c r="O330" s="68">
        <f t="shared" si="46"/>
        <v>40</v>
      </c>
      <c r="P330" s="68"/>
      <c r="Q330" s="276">
        <v>9927911.3477000035</v>
      </c>
      <c r="R330" s="68">
        <f t="shared" si="47"/>
        <v>12.5</v>
      </c>
      <c r="S330" s="238"/>
      <c r="T330" s="56" t="s">
        <v>37</v>
      </c>
      <c r="U330" s="68">
        <f t="shared" si="48"/>
        <v>12.5</v>
      </c>
      <c r="V330" s="68"/>
      <c r="W330" s="69">
        <f t="shared" si="49"/>
        <v>177.5</v>
      </c>
      <c r="X330" s="93" t="str">
        <f t="shared" si="50"/>
        <v>III</v>
      </c>
      <c r="Y330" s="93">
        <f t="shared" si="51"/>
        <v>3</v>
      </c>
      <c r="AD330"/>
    </row>
    <row r="331" spans="1:30">
      <c r="A331" t="s">
        <v>103</v>
      </c>
      <c r="B331" s="110">
        <v>4144800</v>
      </c>
      <c r="C331" s="267" t="s">
        <v>396</v>
      </c>
      <c r="D331" s="55"/>
      <c r="E331" s="92">
        <v>9.6974104610671681</v>
      </c>
      <c r="F331" s="68">
        <f t="shared" si="43"/>
        <v>45</v>
      </c>
      <c r="G331" s="181"/>
      <c r="H331" s="276">
        <v>19481706.403299753</v>
      </c>
      <c r="I331" s="68">
        <f t="shared" si="44"/>
        <v>37.5</v>
      </c>
      <c r="K331" s="277">
        <v>47039178.103399597</v>
      </c>
      <c r="L331" s="68">
        <f t="shared" si="45"/>
        <v>30</v>
      </c>
      <c r="M331" s="68"/>
      <c r="N331" s="290">
        <v>1784206829.9124992</v>
      </c>
      <c r="O331" s="68">
        <f t="shared" si="46"/>
        <v>22</v>
      </c>
      <c r="P331" s="68"/>
      <c r="Q331" s="276">
        <v>0</v>
      </c>
      <c r="R331" s="68">
        <f t="shared" si="47"/>
        <v>0</v>
      </c>
      <c r="S331" s="238"/>
      <c r="T331" s="56" t="s">
        <v>37</v>
      </c>
      <c r="U331" s="68">
        <f t="shared" si="48"/>
        <v>12.5</v>
      </c>
      <c r="V331" s="68"/>
      <c r="W331" s="69">
        <f t="shared" si="49"/>
        <v>147</v>
      </c>
      <c r="X331" s="93" t="str">
        <f t="shared" si="50"/>
        <v>III</v>
      </c>
      <c r="Y331" s="93">
        <f t="shared" si="51"/>
        <v>3</v>
      </c>
      <c r="AD331"/>
    </row>
    <row r="332" spans="1:30">
      <c r="A332" t="s">
        <v>95</v>
      </c>
      <c r="B332" s="110">
        <v>4858500</v>
      </c>
      <c r="C332" s="267" t="s">
        <v>397</v>
      </c>
      <c r="D332" s="55"/>
      <c r="E332" s="92">
        <v>9.2594385343496839</v>
      </c>
      <c r="F332" s="68">
        <f t="shared" si="43"/>
        <v>45</v>
      </c>
      <c r="G332" s="181"/>
      <c r="H332" s="276">
        <v>34291285.98050189</v>
      </c>
      <c r="I332" s="68">
        <f t="shared" si="44"/>
        <v>62.5</v>
      </c>
      <c r="K332" s="277">
        <v>68780676.740899384</v>
      </c>
      <c r="L332" s="68">
        <f t="shared" si="45"/>
        <v>50</v>
      </c>
      <c r="M332" s="68"/>
      <c r="N332" s="290">
        <v>1824786410.152302</v>
      </c>
      <c r="O332" s="68">
        <f t="shared" si="46"/>
        <v>22</v>
      </c>
      <c r="P332" s="68"/>
      <c r="Q332" s="276">
        <v>0</v>
      </c>
      <c r="R332" s="68">
        <f t="shared" si="47"/>
        <v>0</v>
      </c>
      <c r="S332" s="238"/>
      <c r="T332" s="56" t="s">
        <v>37</v>
      </c>
      <c r="U332" s="68">
        <f t="shared" si="48"/>
        <v>12.5</v>
      </c>
      <c r="V332" s="68"/>
      <c r="W332" s="69">
        <f t="shared" si="49"/>
        <v>192</v>
      </c>
      <c r="X332" s="93" t="str">
        <f t="shared" si="50"/>
        <v>III</v>
      </c>
      <c r="Y332" s="93">
        <f t="shared" si="51"/>
        <v>3</v>
      </c>
      <c r="AD332"/>
    </row>
    <row r="333" spans="1:30">
      <c r="A333" t="s">
        <v>82</v>
      </c>
      <c r="B333" s="110">
        <v>6877300</v>
      </c>
      <c r="C333" s="267" t="s">
        <v>398</v>
      </c>
      <c r="D333" s="55"/>
      <c r="E333" s="92">
        <v>8.7594385343496839</v>
      </c>
      <c r="F333" s="68">
        <f t="shared" si="43"/>
        <v>45</v>
      </c>
      <c r="G333" s="181"/>
      <c r="H333" s="276">
        <v>31094720.856800452</v>
      </c>
      <c r="I333" s="68">
        <f t="shared" si="44"/>
        <v>37.5</v>
      </c>
      <c r="K333" s="277">
        <v>58837719.140499525</v>
      </c>
      <c r="L333" s="68">
        <f t="shared" si="45"/>
        <v>30</v>
      </c>
      <c r="M333" s="68"/>
      <c r="N333" s="290">
        <v>1873925941.0648017</v>
      </c>
      <c r="O333" s="68">
        <f t="shared" si="46"/>
        <v>22</v>
      </c>
      <c r="P333" s="68"/>
      <c r="Q333" s="276">
        <v>7376964.0319000026</v>
      </c>
      <c r="R333" s="68">
        <f t="shared" si="47"/>
        <v>12.5</v>
      </c>
      <c r="S333" s="238"/>
      <c r="T333" s="56" t="s">
        <v>37</v>
      </c>
      <c r="U333" s="68">
        <f t="shared" si="48"/>
        <v>12.5</v>
      </c>
      <c r="V333" s="68"/>
      <c r="W333" s="69">
        <f t="shared" si="49"/>
        <v>159.5</v>
      </c>
      <c r="X333" s="93" t="str">
        <f t="shared" si="50"/>
        <v>III</v>
      </c>
      <c r="Y333" s="93">
        <f t="shared" si="51"/>
        <v>3</v>
      </c>
      <c r="AD333"/>
    </row>
    <row r="334" spans="1:30">
      <c r="A334" t="s">
        <v>73</v>
      </c>
      <c r="B334" s="110">
        <v>5068700</v>
      </c>
      <c r="C334" s="267" t="s">
        <v>399</v>
      </c>
      <c r="D334" s="55"/>
      <c r="E334" s="92">
        <v>8.4881332742988693</v>
      </c>
      <c r="F334" s="68">
        <f t="shared" si="43"/>
        <v>45</v>
      </c>
      <c r="G334" s="181"/>
      <c r="H334" s="276">
        <v>0</v>
      </c>
      <c r="I334" s="68">
        <f t="shared" si="44"/>
        <v>0</v>
      </c>
      <c r="K334" s="277">
        <v>0</v>
      </c>
      <c r="L334" s="68">
        <f t="shared" si="45"/>
        <v>0</v>
      </c>
      <c r="M334" s="68"/>
      <c r="N334" s="290">
        <v>0</v>
      </c>
      <c r="O334" s="68">
        <f t="shared" si="46"/>
        <v>0</v>
      </c>
      <c r="P334" s="68"/>
      <c r="Q334" s="276">
        <v>0</v>
      </c>
      <c r="R334" s="68">
        <f t="shared" si="47"/>
        <v>0</v>
      </c>
      <c r="S334" s="238"/>
      <c r="T334" s="56" t="s">
        <v>37</v>
      </c>
      <c r="U334" s="68">
        <f t="shared" si="48"/>
        <v>12.5</v>
      </c>
      <c r="V334" s="68"/>
      <c r="W334" s="69">
        <f t="shared" si="49"/>
        <v>57.5</v>
      </c>
      <c r="X334" s="93" t="str">
        <f t="shared" si="50"/>
        <v>IV</v>
      </c>
      <c r="Y334" s="93">
        <f t="shared" si="51"/>
        <v>4</v>
      </c>
      <c r="AD334"/>
    </row>
    <row r="335" spans="1:30">
      <c r="A335" t="s">
        <v>95</v>
      </c>
      <c r="B335" s="110">
        <v>4865900</v>
      </c>
      <c r="C335" s="267" t="s">
        <v>400</v>
      </c>
      <c r="D335" s="55"/>
      <c r="E335" s="92">
        <v>8.4881332742988693</v>
      </c>
      <c r="F335" s="68">
        <f t="shared" si="43"/>
        <v>45</v>
      </c>
      <c r="G335" s="181"/>
      <c r="H335" s="276">
        <v>39734414.336100392</v>
      </c>
      <c r="I335" s="68">
        <f t="shared" si="44"/>
        <v>62.5</v>
      </c>
      <c r="K335" s="277">
        <v>54851222.798000559</v>
      </c>
      <c r="L335" s="68">
        <f t="shared" si="45"/>
        <v>30</v>
      </c>
      <c r="M335" s="68"/>
      <c r="N335" s="290">
        <v>1643626281.7406979</v>
      </c>
      <c r="O335" s="68">
        <f t="shared" si="46"/>
        <v>22</v>
      </c>
      <c r="P335" s="68"/>
      <c r="Q335" s="276">
        <v>7081832.525000006</v>
      </c>
      <c r="R335" s="68">
        <f t="shared" si="47"/>
        <v>12.5</v>
      </c>
      <c r="S335" s="238"/>
      <c r="T335" s="56" t="s">
        <v>37</v>
      </c>
      <c r="U335" s="68">
        <f t="shared" si="48"/>
        <v>12.5</v>
      </c>
      <c r="V335" s="68"/>
      <c r="W335" s="69">
        <f t="shared" si="49"/>
        <v>184.5</v>
      </c>
      <c r="X335" s="93" t="str">
        <f t="shared" si="50"/>
        <v>III</v>
      </c>
      <c r="Y335" s="93">
        <f t="shared" si="51"/>
        <v>3</v>
      </c>
      <c r="AD335"/>
    </row>
    <row r="336" spans="1:30">
      <c r="A336" t="s">
        <v>95</v>
      </c>
      <c r="B336" s="110">
        <v>8160200</v>
      </c>
      <c r="C336" s="267" t="s">
        <v>401</v>
      </c>
      <c r="D336" s="55"/>
      <c r="E336" s="92">
        <v>6.1316069740447787</v>
      </c>
      <c r="F336" s="68">
        <f t="shared" si="43"/>
        <v>30</v>
      </c>
      <c r="G336" s="181"/>
      <c r="H336" s="276">
        <v>21718656.119603138</v>
      </c>
      <c r="I336" s="68">
        <f t="shared" si="44"/>
        <v>37.5</v>
      </c>
      <c r="K336" s="277">
        <v>47443675.275700577</v>
      </c>
      <c r="L336" s="68">
        <f t="shared" si="45"/>
        <v>30</v>
      </c>
      <c r="M336" s="68"/>
      <c r="N336" s="290">
        <v>1269843152.5825996</v>
      </c>
      <c r="O336" s="68">
        <f t="shared" si="46"/>
        <v>13</v>
      </c>
      <c r="P336" s="68"/>
      <c r="Q336" s="276">
        <v>1744094.4933</v>
      </c>
      <c r="R336" s="68">
        <f t="shared" si="47"/>
        <v>7.5</v>
      </c>
      <c r="S336" s="238"/>
      <c r="T336" s="56" t="s">
        <v>37</v>
      </c>
      <c r="U336" s="68">
        <f t="shared" si="48"/>
        <v>12.5</v>
      </c>
      <c r="V336" s="68"/>
      <c r="W336" s="69">
        <f t="shared" si="49"/>
        <v>130.5</v>
      </c>
      <c r="X336" s="93" t="str">
        <f t="shared" si="50"/>
        <v>III</v>
      </c>
      <c r="Y336" s="93">
        <f t="shared" si="51"/>
        <v>3</v>
      </c>
      <c r="AD336"/>
    </row>
    <row r="337" spans="1:30">
      <c r="A337" t="s">
        <v>86</v>
      </c>
      <c r="B337" s="110">
        <v>8255200</v>
      </c>
      <c r="C337" s="267" t="s">
        <v>402</v>
      </c>
      <c r="D337" s="55"/>
      <c r="E337" s="92">
        <v>8.3214666076321997</v>
      </c>
      <c r="F337" s="68">
        <f t="shared" si="43"/>
        <v>45</v>
      </c>
      <c r="G337" s="181"/>
      <c r="H337" s="276">
        <v>41845405.793198206</v>
      </c>
      <c r="I337" s="68">
        <f t="shared" si="44"/>
        <v>62.5</v>
      </c>
      <c r="K337" s="277">
        <v>71404743.235801205</v>
      </c>
      <c r="L337" s="68">
        <f t="shared" si="45"/>
        <v>50</v>
      </c>
      <c r="M337" s="68"/>
      <c r="N337" s="290">
        <v>604293597.58120155</v>
      </c>
      <c r="O337" s="68">
        <f t="shared" si="46"/>
        <v>13</v>
      </c>
      <c r="P337" s="68"/>
      <c r="Q337" s="276">
        <v>0</v>
      </c>
      <c r="R337" s="68">
        <f t="shared" si="47"/>
        <v>0</v>
      </c>
      <c r="S337" s="238"/>
      <c r="T337" s="56" t="s">
        <v>32</v>
      </c>
      <c r="U337" s="68">
        <f t="shared" si="48"/>
        <v>25</v>
      </c>
      <c r="V337" s="68"/>
      <c r="W337" s="69">
        <f t="shared" si="49"/>
        <v>195.5</v>
      </c>
      <c r="X337" s="93" t="str">
        <f t="shared" si="50"/>
        <v>II</v>
      </c>
      <c r="Y337" s="93">
        <f t="shared" si="51"/>
        <v>2</v>
      </c>
      <c r="AD337"/>
    </row>
    <row r="338" spans="1:30">
      <c r="A338" t="s">
        <v>86</v>
      </c>
      <c r="B338" s="110">
        <v>8250200</v>
      </c>
      <c r="C338" s="267" t="s">
        <v>403</v>
      </c>
      <c r="D338" s="55"/>
      <c r="E338" s="92">
        <v>6.1316069740447787</v>
      </c>
      <c r="F338" s="68">
        <f t="shared" si="43"/>
        <v>30</v>
      </c>
      <c r="G338" s="181"/>
      <c r="H338" s="276">
        <v>24821274.307299845</v>
      </c>
      <c r="I338" s="68">
        <f t="shared" si="44"/>
        <v>37.5</v>
      </c>
      <c r="K338" s="277">
        <v>39555972.868099637</v>
      </c>
      <c r="L338" s="68">
        <f t="shared" si="45"/>
        <v>30</v>
      </c>
      <c r="M338" s="68"/>
      <c r="N338" s="290">
        <v>250473774.60890019</v>
      </c>
      <c r="O338" s="68">
        <f t="shared" si="46"/>
        <v>13</v>
      </c>
      <c r="P338" s="68"/>
      <c r="Q338" s="276">
        <v>0</v>
      </c>
      <c r="R338" s="68">
        <f t="shared" si="47"/>
        <v>0</v>
      </c>
      <c r="S338" s="238"/>
      <c r="T338" s="56" t="s">
        <v>32</v>
      </c>
      <c r="U338" s="68">
        <f t="shared" si="48"/>
        <v>25</v>
      </c>
      <c r="V338" s="68"/>
      <c r="W338" s="69">
        <f t="shared" si="49"/>
        <v>135.5</v>
      </c>
      <c r="X338" s="93" t="str">
        <f t="shared" si="50"/>
        <v>III</v>
      </c>
      <c r="Y338" s="93">
        <f t="shared" si="51"/>
        <v>3</v>
      </c>
      <c r="AD338"/>
    </row>
    <row r="339" spans="1:30">
      <c r="A339" t="s">
        <v>86</v>
      </c>
      <c r="B339" s="110">
        <v>5067600</v>
      </c>
      <c r="C339" s="267" t="s">
        <v>404</v>
      </c>
      <c r="D339" s="55"/>
      <c r="E339" s="92">
        <v>9.6974104610671681</v>
      </c>
      <c r="F339" s="68">
        <f t="shared" ref="F339:F402" si="52">IF(E339=0,0,IF(E339&lt;=E$11,G$11,IF(E339&lt;=E$10,G$10,IF(E339&lt;=E$9,G$9,G$8))))</f>
        <v>45</v>
      </c>
      <c r="G339" s="181"/>
      <c r="H339" s="276">
        <v>47798885.121398598</v>
      </c>
      <c r="I339" s="68">
        <f t="shared" ref="I339:I402" si="53">IF(H339=0,0,IF(H339&lt;=H$11,J$11,IF(H339&lt;=H$10,J$10,IF(H339&lt;=H$9,J$9,J$8))))</f>
        <v>62.5</v>
      </c>
      <c r="K339" s="277">
        <v>97091225.978202552</v>
      </c>
      <c r="L339" s="68">
        <f t="shared" ref="L339:L402" si="54">IF(K339=0,0,IF(K339&lt;=K$11,M$11,IF(K339&lt;=K$10,M$10,IF(K339&lt;=K$9,M$9,M$8))))</f>
        <v>50</v>
      </c>
      <c r="M339" s="68"/>
      <c r="N339" s="290">
        <v>2542783652.5582981</v>
      </c>
      <c r="O339" s="68">
        <f t="shared" ref="O339:O402" si="55">IF(N339=0,0,IF(N339&lt;=N$11,P$11,IF(N339&lt;=N$10,P$10,IF(N339&lt;=N$9,P$9,P$8))))</f>
        <v>40</v>
      </c>
      <c r="P339" s="68"/>
      <c r="Q339" s="276">
        <v>11572188.582499977</v>
      </c>
      <c r="R339" s="68">
        <f t="shared" ref="R339:R402" si="56">IF(Q339=0,0,IF(Q339&lt;=Q$11,S$11,IF(Q339&lt;=Q$10,S$10,IF(Q339&lt;=Q$9,S$9,S$8))))</f>
        <v>12.5</v>
      </c>
      <c r="S339" s="238"/>
      <c r="T339" s="56" t="s">
        <v>37</v>
      </c>
      <c r="U339" s="68">
        <f t="shared" ref="U339:U402" si="57">IF(T339=0,0,IF(T339=T$9,V$9,V$8))</f>
        <v>12.5</v>
      </c>
      <c r="V339" s="68"/>
      <c r="W339" s="69">
        <f t="shared" ref="W339:W390" si="58">F339+I339+L339+O339+R339+U339</f>
        <v>222.5</v>
      </c>
      <c r="X339" s="93" t="str">
        <f t="shared" si="50"/>
        <v>II</v>
      </c>
      <c r="Y339" s="93">
        <f t="shared" si="51"/>
        <v>2</v>
      </c>
      <c r="AD339"/>
    </row>
    <row r="340" spans="1:30">
      <c r="A340" t="s">
        <v>71</v>
      </c>
      <c r="B340" s="110">
        <v>6261700</v>
      </c>
      <c r="C340" s="267" t="s">
        <v>405</v>
      </c>
      <c r="D340" s="55"/>
      <c r="E340" s="92">
        <v>13.451626030645102</v>
      </c>
      <c r="F340" s="68">
        <f t="shared" si="52"/>
        <v>75</v>
      </c>
      <c r="G340" s="181"/>
      <c r="H340" s="276">
        <v>59078525.681199551</v>
      </c>
      <c r="I340" s="68">
        <f t="shared" si="53"/>
        <v>62.5</v>
      </c>
      <c r="K340" s="277">
        <v>90579957.006300002</v>
      </c>
      <c r="L340" s="68">
        <f t="shared" si="54"/>
        <v>50</v>
      </c>
      <c r="M340" s="68"/>
      <c r="N340" s="290">
        <v>3082314295.0018063</v>
      </c>
      <c r="O340" s="68">
        <f t="shared" si="55"/>
        <v>75</v>
      </c>
      <c r="P340" s="68"/>
      <c r="Q340" s="276">
        <v>3166321.3669000007</v>
      </c>
      <c r="R340" s="68">
        <f t="shared" si="56"/>
        <v>7.5</v>
      </c>
      <c r="S340" s="238"/>
      <c r="T340" s="56" t="s">
        <v>37</v>
      </c>
      <c r="U340" s="68">
        <f t="shared" si="57"/>
        <v>12.5</v>
      </c>
      <c r="V340" s="68"/>
      <c r="W340" s="69">
        <f t="shared" si="58"/>
        <v>282.5</v>
      </c>
      <c r="X340" s="93" t="str">
        <f t="shared" ref="X340:X390" si="59">IF(W340&lt;=$Y$11,$W$11,IF(W340&lt;=$Y$10,$W$10,IF(W340&lt;=$Y$9,$W$9,$W$8)))</f>
        <v>II</v>
      </c>
      <c r="Y340" s="93">
        <f t="shared" si="51"/>
        <v>2</v>
      </c>
      <c r="AD340"/>
    </row>
    <row r="341" spans="1:30">
      <c r="A341" t="s">
        <v>103</v>
      </c>
      <c r="B341" s="110">
        <v>8010200</v>
      </c>
      <c r="C341" s="267" t="s">
        <v>406</v>
      </c>
      <c r="D341" s="55"/>
      <c r="E341" s="92">
        <v>6.9029122340955977</v>
      </c>
      <c r="F341" s="68">
        <f t="shared" si="52"/>
        <v>45</v>
      </c>
      <c r="G341" s="181"/>
      <c r="H341" s="276">
        <v>24008170.418599796</v>
      </c>
      <c r="I341" s="68">
        <f t="shared" si="53"/>
        <v>37.5</v>
      </c>
      <c r="K341" s="277">
        <v>51963738.851900503</v>
      </c>
      <c r="L341" s="68">
        <f t="shared" si="54"/>
        <v>30</v>
      </c>
      <c r="M341" s="68"/>
      <c r="N341" s="290">
        <v>1414978030.2467065</v>
      </c>
      <c r="O341" s="68">
        <f t="shared" si="55"/>
        <v>22</v>
      </c>
      <c r="P341" s="68"/>
      <c r="Q341" s="276">
        <v>0</v>
      </c>
      <c r="R341" s="68">
        <f t="shared" si="56"/>
        <v>0</v>
      </c>
      <c r="S341" s="238"/>
      <c r="T341" s="56" t="s">
        <v>37</v>
      </c>
      <c r="U341" s="68">
        <f t="shared" si="57"/>
        <v>12.5</v>
      </c>
      <c r="V341" s="68"/>
      <c r="W341" s="69">
        <f t="shared" si="58"/>
        <v>147</v>
      </c>
      <c r="X341" s="93" t="str">
        <f t="shared" si="59"/>
        <v>III</v>
      </c>
      <c r="Y341" s="93">
        <f t="shared" si="51"/>
        <v>3</v>
      </c>
      <c r="AD341"/>
    </row>
    <row r="342" spans="1:30">
      <c r="A342" t="s">
        <v>103</v>
      </c>
      <c r="B342" s="110">
        <v>3960100</v>
      </c>
      <c r="C342" s="267" t="s">
        <v>407</v>
      </c>
      <c r="D342" s="55"/>
      <c r="E342" s="92">
        <v>9.6351849414242459</v>
      </c>
      <c r="F342" s="68">
        <f t="shared" si="52"/>
        <v>45</v>
      </c>
      <c r="G342" s="181"/>
      <c r="H342" s="276">
        <v>44080595.047299586</v>
      </c>
      <c r="I342" s="68">
        <f t="shared" si="53"/>
        <v>62.5</v>
      </c>
      <c r="K342" s="277">
        <v>57603708.225200228</v>
      </c>
      <c r="L342" s="68">
        <f t="shared" si="54"/>
        <v>30</v>
      </c>
      <c r="M342" s="68"/>
      <c r="N342" s="290">
        <v>1155569392.475302</v>
      </c>
      <c r="O342" s="68">
        <f t="shared" si="55"/>
        <v>13</v>
      </c>
      <c r="P342" s="68"/>
      <c r="Q342" s="276">
        <v>0</v>
      </c>
      <c r="R342" s="68">
        <f t="shared" si="56"/>
        <v>0</v>
      </c>
      <c r="S342" s="238"/>
      <c r="T342" s="56" t="s">
        <v>37</v>
      </c>
      <c r="U342" s="68">
        <f t="shared" si="57"/>
        <v>12.5</v>
      </c>
      <c r="V342" s="68"/>
      <c r="W342" s="69">
        <f t="shared" si="58"/>
        <v>163</v>
      </c>
      <c r="X342" s="93" t="str">
        <f t="shared" si="59"/>
        <v>III</v>
      </c>
      <c r="Y342" s="93">
        <f t="shared" si="51"/>
        <v>3</v>
      </c>
      <c r="AD342"/>
    </row>
    <row r="343" spans="1:30">
      <c r="A343" t="s">
        <v>103</v>
      </c>
      <c r="B343" s="110">
        <v>3950500</v>
      </c>
      <c r="C343" s="267" t="s">
        <v>408</v>
      </c>
      <c r="D343" s="55"/>
      <c r="E343" s="92">
        <v>6.0269683806606293</v>
      </c>
      <c r="F343" s="68">
        <f t="shared" si="52"/>
        <v>30</v>
      </c>
      <c r="G343" s="181"/>
      <c r="H343" s="276">
        <v>6675495.3827999942</v>
      </c>
      <c r="I343" s="68">
        <f t="shared" si="53"/>
        <v>25</v>
      </c>
      <c r="K343" s="277">
        <v>30343649.2845998</v>
      </c>
      <c r="L343" s="68">
        <f t="shared" si="54"/>
        <v>20</v>
      </c>
      <c r="M343" s="68"/>
      <c r="N343" s="290">
        <v>1501291023.2137935</v>
      </c>
      <c r="O343" s="68">
        <f t="shared" si="55"/>
        <v>22</v>
      </c>
      <c r="P343" s="68"/>
      <c r="Q343" s="276">
        <v>0</v>
      </c>
      <c r="R343" s="68">
        <f t="shared" si="56"/>
        <v>0</v>
      </c>
      <c r="S343" s="238"/>
      <c r="T343" s="56" t="s">
        <v>37</v>
      </c>
      <c r="U343" s="68">
        <f t="shared" si="57"/>
        <v>12.5</v>
      </c>
      <c r="V343" s="68"/>
      <c r="W343" s="69">
        <f t="shared" si="58"/>
        <v>109.5</v>
      </c>
      <c r="X343" s="93" t="str">
        <f t="shared" si="59"/>
        <v>IV</v>
      </c>
      <c r="Y343" s="93">
        <f t="shared" si="51"/>
        <v>4</v>
      </c>
      <c r="AD343"/>
    </row>
    <row r="344" spans="1:30">
      <c r="A344" t="s">
        <v>77</v>
      </c>
      <c r="B344" s="110">
        <v>6269100</v>
      </c>
      <c r="C344" s="267" t="s">
        <v>409</v>
      </c>
      <c r="D344" s="55"/>
      <c r="E344" s="92">
        <v>2.7944982269715726</v>
      </c>
      <c r="F344" s="68">
        <f t="shared" si="52"/>
        <v>30</v>
      </c>
      <c r="G344" s="181"/>
      <c r="H344" s="276">
        <v>0</v>
      </c>
      <c r="I344" s="68">
        <f t="shared" si="53"/>
        <v>0</v>
      </c>
      <c r="K344" s="277">
        <v>0</v>
      </c>
      <c r="L344" s="68">
        <f t="shared" si="54"/>
        <v>0</v>
      </c>
      <c r="M344" s="68"/>
      <c r="N344" s="290">
        <v>0</v>
      </c>
      <c r="O344" s="68">
        <f t="shared" si="55"/>
        <v>0</v>
      </c>
      <c r="P344" s="68"/>
      <c r="Q344" s="276">
        <v>0</v>
      </c>
      <c r="R344" s="68">
        <f t="shared" si="56"/>
        <v>0</v>
      </c>
      <c r="S344" s="238"/>
      <c r="T344" s="56" t="s">
        <v>37</v>
      </c>
      <c r="U344" s="68">
        <f t="shared" si="57"/>
        <v>12.5</v>
      </c>
      <c r="V344" s="68"/>
      <c r="W344" s="69">
        <f t="shared" si="58"/>
        <v>42.5</v>
      </c>
      <c r="X344" s="93" t="str">
        <f t="shared" si="59"/>
        <v>IV</v>
      </c>
      <c r="Y344" s="93">
        <f t="shared" si="51"/>
        <v>4</v>
      </c>
      <c r="AD344"/>
    </row>
    <row r="345" spans="1:30">
      <c r="A345" t="s">
        <v>73</v>
      </c>
      <c r="B345" s="110">
        <v>4258800</v>
      </c>
      <c r="C345" s="267" t="s">
        <v>410</v>
      </c>
      <c r="D345" s="55"/>
      <c r="E345" s="92">
        <v>2.7944982269715726</v>
      </c>
      <c r="F345" s="68">
        <f t="shared" si="52"/>
        <v>30</v>
      </c>
      <c r="G345" s="181"/>
      <c r="H345" s="276">
        <v>719078.85270000005</v>
      </c>
      <c r="I345" s="68">
        <f t="shared" si="53"/>
        <v>25</v>
      </c>
      <c r="K345" s="277">
        <v>16551334.07349997</v>
      </c>
      <c r="L345" s="68">
        <f t="shared" si="54"/>
        <v>20</v>
      </c>
      <c r="M345" s="68"/>
      <c r="N345" s="290">
        <v>908166129.86819458</v>
      </c>
      <c r="O345" s="68">
        <f t="shared" si="55"/>
        <v>13</v>
      </c>
      <c r="P345" s="68"/>
      <c r="Q345" s="276">
        <v>0</v>
      </c>
      <c r="R345" s="68">
        <f t="shared" si="56"/>
        <v>0</v>
      </c>
      <c r="S345" s="238"/>
      <c r="T345" s="56" t="s">
        <v>37</v>
      </c>
      <c r="U345" s="68">
        <f t="shared" si="57"/>
        <v>12.5</v>
      </c>
      <c r="V345" s="68"/>
      <c r="W345" s="69">
        <f t="shared" si="58"/>
        <v>100.5</v>
      </c>
      <c r="X345" s="93" t="str">
        <f t="shared" si="59"/>
        <v>IV</v>
      </c>
      <c r="Y345" s="93">
        <f t="shared" si="51"/>
        <v>4</v>
      </c>
      <c r="AD345"/>
    </row>
    <row r="346" spans="1:30">
      <c r="A346" t="s">
        <v>77</v>
      </c>
      <c r="B346" s="110">
        <v>6252100</v>
      </c>
      <c r="C346" s="267" t="s">
        <v>411</v>
      </c>
      <c r="D346" s="55"/>
      <c r="E346" s="92">
        <v>3.003577967379468</v>
      </c>
      <c r="F346" s="68">
        <f t="shared" si="52"/>
        <v>30</v>
      </c>
      <c r="G346" s="181"/>
      <c r="H346" s="276">
        <v>0</v>
      </c>
      <c r="I346" s="68">
        <f t="shared" si="53"/>
        <v>0</v>
      </c>
      <c r="K346" s="277">
        <v>31749281.152699769</v>
      </c>
      <c r="L346" s="68">
        <f t="shared" si="54"/>
        <v>20</v>
      </c>
      <c r="M346" s="68"/>
      <c r="N346" s="290">
        <v>889746030.93800247</v>
      </c>
      <c r="O346" s="68">
        <f t="shared" si="55"/>
        <v>13</v>
      </c>
      <c r="P346" s="68"/>
      <c r="Q346" s="276">
        <v>0</v>
      </c>
      <c r="R346" s="68">
        <f t="shared" si="56"/>
        <v>0</v>
      </c>
      <c r="S346" s="238"/>
      <c r="T346" s="56" t="s">
        <v>37</v>
      </c>
      <c r="U346" s="68">
        <f t="shared" si="57"/>
        <v>12.5</v>
      </c>
      <c r="V346" s="68"/>
      <c r="W346" s="69">
        <f t="shared" si="58"/>
        <v>75.5</v>
      </c>
      <c r="X346" s="93" t="str">
        <f t="shared" si="59"/>
        <v>IV</v>
      </c>
      <c r="Y346" s="93">
        <f t="shared" si="51"/>
        <v>4</v>
      </c>
      <c r="AD346"/>
    </row>
    <row r="347" spans="1:30">
      <c r="A347" t="s">
        <v>77</v>
      </c>
      <c r="B347" s="110">
        <v>7890200</v>
      </c>
      <c r="C347" s="267" t="s">
        <v>412</v>
      </c>
      <c r="D347" s="55"/>
      <c r="E347" s="92">
        <v>7.9455227541972313</v>
      </c>
      <c r="F347" s="68">
        <f t="shared" si="52"/>
        <v>45</v>
      </c>
      <c r="G347" s="181"/>
      <c r="H347" s="276">
        <v>22402097.250400051</v>
      </c>
      <c r="I347" s="68">
        <f t="shared" si="53"/>
        <v>37.5</v>
      </c>
      <c r="K347" s="277">
        <v>36409056.45169957</v>
      </c>
      <c r="L347" s="68">
        <f t="shared" si="54"/>
        <v>20</v>
      </c>
      <c r="M347" s="68"/>
      <c r="N347" s="290">
        <v>1626740647.0930896</v>
      </c>
      <c r="O347" s="68">
        <f t="shared" si="55"/>
        <v>22</v>
      </c>
      <c r="P347" s="68"/>
      <c r="Q347" s="276">
        <v>4010393.7359000002</v>
      </c>
      <c r="R347" s="68">
        <f t="shared" si="56"/>
        <v>7.5</v>
      </c>
      <c r="S347" s="238"/>
      <c r="T347" s="56" t="s">
        <v>37</v>
      </c>
      <c r="U347" s="68">
        <f t="shared" si="57"/>
        <v>12.5</v>
      </c>
      <c r="V347" s="68"/>
      <c r="W347" s="69">
        <f t="shared" si="58"/>
        <v>144.5</v>
      </c>
      <c r="X347" s="93" t="str">
        <f t="shared" si="59"/>
        <v>III</v>
      </c>
      <c r="Y347" s="93">
        <f t="shared" si="51"/>
        <v>3</v>
      </c>
      <c r="AD347"/>
    </row>
    <row r="348" spans="1:30">
      <c r="A348" t="s">
        <v>99</v>
      </c>
      <c r="B348" s="110">
        <v>3586200</v>
      </c>
      <c r="C348" s="267" t="s">
        <v>413</v>
      </c>
      <c r="D348" s="55"/>
      <c r="E348" s="92">
        <v>21.222601649032171</v>
      </c>
      <c r="F348" s="68">
        <f t="shared" si="52"/>
        <v>150</v>
      </c>
      <c r="G348" s="181"/>
      <c r="H348" s="276">
        <v>181184440.86419559</v>
      </c>
      <c r="I348" s="68">
        <f t="shared" si="53"/>
        <v>125</v>
      </c>
      <c r="K348" s="277">
        <v>174714393.78459567</v>
      </c>
      <c r="L348" s="68">
        <f t="shared" si="54"/>
        <v>100</v>
      </c>
      <c r="M348" s="68"/>
      <c r="N348" s="290">
        <v>1927695196.9453001</v>
      </c>
      <c r="O348" s="68">
        <f t="shared" si="55"/>
        <v>22</v>
      </c>
      <c r="P348" s="68"/>
      <c r="Q348" s="276">
        <v>0</v>
      </c>
      <c r="R348" s="68">
        <f t="shared" si="56"/>
        <v>0</v>
      </c>
      <c r="S348" s="238"/>
      <c r="T348" s="56" t="s">
        <v>32</v>
      </c>
      <c r="U348" s="68">
        <f t="shared" si="57"/>
        <v>25</v>
      </c>
      <c r="V348" s="68"/>
      <c r="W348" s="69">
        <f t="shared" si="58"/>
        <v>422</v>
      </c>
      <c r="X348" s="93" t="str">
        <f t="shared" si="59"/>
        <v>I</v>
      </c>
      <c r="Y348" s="93">
        <f t="shared" si="51"/>
        <v>1</v>
      </c>
      <c r="AD348"/>
    </row>
    <row r="349" spans="1:30">
      <c r="A349" t="s">
        <v>99</v>
      </c>
      <c r="B349" s="110">
        <v>3585200</v>
      </c>
      <c r="C349" s="267" t="s">
        <v>414</v>
      </c>
      <c r="D349" s="55"/>
      <c r="E349" s="92">
        <v>16.041951236774121</v>
      </c>
      <c r="F349" s="68">
        <f t="shared" si="52"/>
        <v>150</v>
      </c>
      <c r="G349" s="181"/>
      <c r="H349" s="276">
        <v>112391538.49689817</v>
      </c>
      <c r="I349" s="68">
        <f t="shared" si="53"/>
        <v>125</v>
      </c>
      <c r="K349" s="277">
        <v>128756789.63500638</v>
      </c>
      <c r="L349" s="68">
        <f t="shared" si="54"/>
        <v>100</v>
      </c>
      <c r="M349" s="68"/>
      <c r="N349" s="290">
        <v>1640512034.5870018</v>
      </c>
      <c r="O349" s="68">
        <f t="shared" si="55"/>
        <v>22</v>
      </c>
      <c r="P349" s="68"/>
      <c r="Q349" s="276">
        <v>0</v>
      </c>
      <c r="R349" s="68">
        <f t="shared" si="56"/>
        <v>0</v>
      </c>
      <c r="S349" s="238"/>
      <c r="T349" s="56" t="s">
        <v>32</v>
      </c>
      <c r="U349" s="68">
        <f t="shared" si="57"/>
        <v>25</v>
      </c>
      <c r="V349" s="68"/>
      <c r="W349" s="69">
        <f t="shared" si="58"/>
        <v>422</v>
      </c>
      <c r="X349" s="93" t="str">
        <f t="shared" si="59"/>
        <v>I</v>
      </c>
      <c r="Y349" s="93">
        <f t="shared" si="51"/>
        <v>1</v>
      </c>
      <c r="AD349"/>
    </row>
    <row r="350" spans="1:30">
      <c r="A350" t="s">
        <v>113</v>
      </c>
      <c r="B350" s="110">
        <v>3482100</v>
      </c>
      <c r="C350" s="267" t="s">
        <v>415</v>
      </c>
      <c r="D350" s="55"/>
      <c r="E350" s="92">
        <v>6.1316069740447787</v>
      </c>
      <c r="F350" s="68">
        <f t="shared" si="52"/>
        <v>30</v>
      </c>
      <c r="G350" s="181"/>
      <c r="H350" s="276">
        <v>28193434.14260003</v>
      </c>
      <c r="I350" s="68">
        <f t="shared" si="53"/>
        <v>37.5</v>
      </c>
      <c r="K350" s="277">
        <v>45688068.319499612</v>
      </c>
      <c r="L350" s="68">
        <f t="shared" si="54"/>
        <v>30</v>
      </c>
      <c r="M350" s="68"/>
      <c r="N350" s="290">
        <v>1996469120.5397005</v>
      </c>
      <c r="O350" s="68">
        <f t="shared" si="55"/>
        <v>22</v>
      </c>
      <c r="P350" s="68"/>
      <c r="Q350" s="276">
        <v>15703469.804999936</v>
      </c>
      <c r="R350" s="68">
        <f t="shared" si="56"/>
        <v>25</v>
      </c>
      <c r="S350" s="238"/>
      <c r="T350" s="56" t="s">
        <v>37</v>
      </c>
      <c r="U350" s="68">
        <f t="shared" si="57"/>
        <v>12.5</v>
      </c>
      <c r="V350" s="68"/>
      <c r="W350" s="69">
        <f t="shared" si="58"/>
        <v>157</v>
      </c>
      <c r="X350" s="93" t="str">
        <f t="shared" si="59"/>
        <v>III</v>
      </c>
      <c r="Y350" s="93">
        <f t="shared" si="51"/>
        <v>3</v>
      </c>
      <c r="AD350"/>
    </row>
    <row r="351" spans="1:30">
      <c r="A351" t="s">
        <v>113</v>
      </c>
      <c r="B351" s="110">
        <v>2947700</v>
      </c>
      <c r="C351" s="267" t="s">
        <v>416</v>
      </c>
      <c r="D351" s="55"/>
      <c r="E351" s="92">
        <v>1.7243648808740293</v>
      </c>
      <c r="F351" s="68">
        <f t="shared" si="52"/>
        <v>30</v>
      </c>
      <c r="G351" s="181"/>
      <c r="H351" s="276">
        <v>0</v>
      </c>
      <c r="I351" s="68">
        <f t="shared" si="53"/>
        <v>0</v>
      </c>
      <c r="K351" s="277">
        <v>9657312.4821999948</v>
      </c>
      <c r="L351" s="68">
        <f t="shared" si="54"/>
        <v>20</v>
      </c>
      <c r="M351" s="68"/>
      <c r="N351" s="290">
        <v>444726013.24129993</v>
      </c>
      <c r="O351" s="68">
        <f t="shared" si="55"/>
        <v>13</v>
      </c>
      <c r="P351" s="68"/>
      <c r="Q351" s="276">
        <v>0</v>
      </c>
      <c r="R351" s="68">
        <f t="shared" si="56"/>
        <v>0</v>
      </c>
      <c r="S351" s="238"/>
      <c r="T351" s="56" t="s">
        <v>37</v>
      </c>
      <c r="U351" s="68">
        <f t="shared" si="57"/>
        <v>12.5</v>
      </c>
      <c r="V351" s="68"/>
      <c r="W351" s="69">
        <f t="shared" si="58"/>
        <v>75.5</v>
      </c>
      <c r="X351" s="93" t="str">
        <f t="shared" si="59"/>
        <v>IV</v>
      </c>
      <c r="Y351" s="93">
        <f t="shared" si="51"/>
        <v>4</v>
      </c>
      <c r="AD351"/>
    </row>
    <row r="352" spans="1:30">
      <c r="A352" t="s">
        <v>69</v>
      </c>
      <c r="B352" s="110">
        <v>3548500</v>
      </c>
      <c r="C352" s="267" t="s">
        <v>417</v>
      </c>
      <c r="D352" s="55"/>
      <c r="E352" s="92">
        <v>8.6974104610671681</v>
      </c>
      <c r="F352" s="68">
        <f t="shared" si="52"/>
        <v>45</v>
      </c>
      <c r="G352" s="181"/>
      <c r="H352" s="276">
        <v>28699908.66650008</v>
      </c>
      <c r="I352" s="68">
        <f t="shared" si="53"/>
        <v>37.5</v>
      </c>
      <c r="K352" s="277">
        <v>69031235.677597687</v>
      </c>
      <c r="L352" s="68">
        <f t="shared" si="54"/>
        <v>50</v>
      </c>
      <c r="M352" s="68"/>
      <c r="N352" s="290">
        <v>1641514330.221004</v>
      </c>
      <c r="O352" s="68">
        <f t="shared" si="55"/>
        <v>22</v>
      </c>
      <c r="P352" s="68"/>
      <c r="Q352" s="276">
        <v>0</v>
      </c>
      <c r="R352" s="68">
        <f t="shared" si="56"/>
        <v>0</v>
      </c>
      <c r="S352" s="238"/>
      <c r="T352" s="56" t="s">
        <v>37</v>
      </c>
      <c r="U352" s="68">
        <f t="shared" si="57"/>
        <v>12.5</v>
      </c>
      <c r="V352" s="68"/>
      <c r="W352" s="69">
        <f t="shared" si="58"/>
        <v>167</v>
      </c>
      <c r="X352" s="93" t="str">
        <f t="shared" si="59"/>
        <v>III</v>
      </c>
      <c r="Y352" s="93">
        <f t="shared" si="51"/>
        <v>3</v>
      </c>
      <c r="AD352"/>
    </row>
    <row r="353" spans="1:30">
      <c r="A353" t="s">
        <v>77</v>
      </c>
      <c r="B353" s="110">
        <v>5952300</v>
      </c>
      <c r="C353" s="267" t="s">
        <v>418</v>
      </c>
      <c r="D353" s="55"/>
      <c r="E353" s="92">
        <v>7.8834946809147155</v>
      </c>
      <c r="F353" s="68">
        <f t="shared" si="52"/>
        <v>45</v>
      </c>
      <c r="G353" s="181"/>
      <c r="H353" s="276">
        <v>47693709.201300927</v>
      </c>
      <c r="I353" s="68">
        <f t="shared" si="53"/>
        <v>62.5</v>
      </c>
      <c r="K353" s="277">
        <v>61813090.850799352</v>
      </c>
      <c r="L353" s="68">
        <f t="shared" si="54"/>
        <v>50</v>
      </c>
      <c r="M353" s="68"/>
      <c r="N353" s="290">
        <v>2414577030.5749912</v>
      </c>
      <c r="O353" s="68">
        <f t="shared" si="55"/>
        <v>40</v>
      </c>
      <c r="P353" s="68"/>
      <c r="Q353" s="276">
        <v>0</v>
      </c>
      <c r="R353" s="68">
        <f t="shared" si="56"/>
        <v>0</v>
      </c>
      <c r="S353" s="238"/>
      <c r="T353" s="56" t="s">
        <v>37</v>
      </c>
      <c r="U353" s="68">
        <f t="shared" si="57"/>
        <v>12.5</v>
      </c>
      <c r="V353" s="68"/>
      <c r="W353" s="69">
        <f t="shared" si="58"/>
        <v>210</v>
      </c>
      <c r="X353" s="93" t="str">
        <f t="shared" si="59"/>
        <v>II</v>
      </c>
      <c r="Y353" s="93">
        <f t="shared" si="51"/>
        <v>2</v>
      </c>
      <c r="AD353"/>
    </row>
    <row r="354" spans="1:30">
      <c r="A354" t="s">
        <v>77</v>
      </c>
      <c r="B354" s="110">
        <v>7930200</v>
      </c>
      <c r="C354" s="267" t="s">
        <v>419</v>
      </c>
      <c r="D354" s="55"/>
      <c r="E354" s="92">
        <v>3.8322543587779867</v>
      </c>
      <c r="F354" s="68">
        <f t="shared" si="52"/>
        <v>30</v>
      </c>
      <c r="G354" s="181"/>
      <c r="H354" s="276">
        <v>2175416.318499994</v>
      </c>
      <c r="I354" s="68">
        <f t="shared" si="53"/>
        <v>25</v>
      </c>
      <c r="K354" s="277">
        <v>14844673.385401975</v>
      </c>
      <c r="L354" s="68">
        <f t="shared" si="54"/>
        <v>20</v>
      </c>
      <c r="M354" s="68"/>
      <c r="N354" s="290">
        <v>790512344.19250071</v>
      </c>
      <c r="O354" s="68">
        <f t="shared" si="55"/>
        <v>13</v>
      </c>
      <c r="P354" s="68"/>
      <c r="Q354" s="276">
        <v>1408346.4766000002</v>
      </c>
      <c r="R354" s="68">
        <f t="shared" si="56"/>
        <v>7.5</v>
      </c>
      <c r="S354" s="238"/>
      <c r="T354" s="56" t="s">
        <v>37</v>
      </c>
      <c r="U354" s="68">
        <f t="shared" si="57"/>
        <v>12.5</v>
      </c>
      <c r="V354" s="68"/>
      <c r="W354" s="69">
        <f t="shared" si="58"/>
        <v>108</v>
      </c>
      <c r="X354" s="93" t="str">
        <f t="shared" si="59"/>
        <v>IV</v>
      </c>
      <c r="Y354" s="93">
        <f t="shared" si="51"/>
        <v>4</v>
      </c>
      <c r="AD354"/>
    </row>
    <row r="355" spans="1:30">
      <c r="A355" t="s">
        <v>77</v>
      </c>
      <c r="B355" s="110">
        <v>6043000</v>
      </c>
      <c r="C355" s="267" t="s">
        <v>420</v>
      </c>
      <c r="D355" s="55"/>
      <c r="E355" s="92">
        <v>9.1353823877846523</v>
      </c>
      <c r="F355" s="68">
        <f t="shared" si="52"/>
        <v>45</v>
      </c>
      <c r="G355" s="181"/>
      <c r="H355" s="276">
        <v>21751223.419299759</v>
      </c>
      <c r="I355" s="68">
        <f t="shared" si="53"/>
        <v>37.5</v>
      </c>
      <c r="K355" s="277">
        <v>29745358.199994825</v>
      </c>
      <c r="L355" s="68">
        <f t="shared" si="54"/>
        <v>20</v>
      </c>
      <c r="M355" s="68"/>
      <c r="N355" s="290">
        <v>2019197930.6223998</v>
      </c>
      <c r="O355" s="68">
        <f t="shared" si="55"/>
        <v>22</v>
      </c>
      <c r="P355" s="68"/>
      <c r="Q355" s="276">
        <v>0</v>
      </c>
      <c r="R355" s="68">
        <f t="shared" si="56"/>
        <v>0</v>
      </c>
      <c r="S355" s="238"/>
      <c r="T355" s="56" t="s">
        <v>37</v>
      </c>
      <c r="U355" s="68">
        <f t="shared" si="57"/>
        <v>12.5</v>
      </c>
      <c r="V355" s="68"/>
      <c r="W355" s="69">
        <f t="shared" si="58"/>
        <v>137</v>
      </c>
      <c r="X355" s="93" t="str">
        <f t="shared" si="59"/>
        <v>III</v>
      </c>
      <c r="Y355" s="93">
        <f t="shared" si="51"/>
        <v>3</v>
      </c>
      <c r="AD355"/>
    </row>
    <row r="356" spans="1:30">
      <c r="A356" t="s">
        <v>77</v>
      </c>
      <c r="B356" s="110">
        <v>6046000</v>
      </c>
      <c r="C356" s="267" t="s">
        <v>421</v>
      </c>
      <c r="D356" s="55"/>
      <c r="E356" s="92">
        <v>13.451626030645102</v>
      </c>
      <c r="F356" s="68">
        <f t="shared" si="52"/>
        <v>75</v>
      </c>
      <c r="G356" s="181"/>
      <c r="H356" s="276">
        <v>33988317.99390246</v>
      </c>
      <c r="I356" s="68">
        <f t="shared" si="53"/>
        <v>62.5</v>
      </c>
      <c r="K356" s="277">
        <v>51687883.493995443</v>
      </c>
      <c r="L356" s="68">
        <f t="shared" si="54"/>
        <v>30</v>
      </c>
      <c r="M356" s="68"/>
      <c r="N356" s="290">
        <v>2464320434.6243763</v>
      </c>
      <c r="O356" s="68">
        <f t="shared" si="55"/>
        <v>40</v>
      </c>
      <c r="P356" s="68"/>
      <c r="Q356" s="276">
        <v>13985054.800598897</v>
      </c>
      <c r="R356" s="68">
        <f t="shared" si="56"/>
        <v>12.5</v>
      </c>
      <c r="S356" s="238"/>
      <c r="T356" s="56" t="s">
        <v>37</v>
      </c>
      <c r="U356" s="68">
        <f t="shared" si="57"/>
        <v>12.5</v>
      </c>
      <c r="V356" s="68"/>
      <c r="W356" s="69">
        <f t="shared" si="58"/>
        <v>232.5</v>
      </c>
      <c r="X356" s="93" t="str">
        <f t="shared" si="59"/>
        <v>II</v>
      </c>
      <c r="Y356" s="93">
        <f t="shared" si="51"/>
        <v>2</v>
      </c>
      <c r="AD356"/>
    </row>
    <row r="357" spans="1:30">
      <c r="A357" t="s">
        <v>77</v>
      </c>
      <c r="B357" s="110">
        <v>7935200</v>
      </c>
      <c r="C357" s="267" t="s">
        <v>422</v>
      </c>
      <c r="D357" s="55"/>
      <c r="E357" s="92">
        <v>6.5695789007622629</v>
      </c>
      <c r="F357" s="68">
        <f t="shared" si="52"/>
        <v>45</v>
      </c>
      <c r="G357" s="181"/>
      <c r="H357" s="276">
        <v>15071536.53539899</v>
      </c>
      <c r="I357" s="68">
        <f t="shared" si="53"/>
        <v>25</v>
      </c>
      <c r="K357" s="277">
        <v>33969884.597097844</v>
      </c>
      <c r="L357" s="68">
        <f t="shared" si="54"/>
        <v>20</v>
      </c>
      <c r="M357" s="68"/>
      <c r="N357" s="290">
        <v>1674253971.6442902</v>
      </c>
      <c r="O357" s="68">
        <f t="shared" si="55"/>
        <v>22</v>
      </c>
      <c r="P357" s="68"/>
      <c r="Q357" s="276">
        <v>14753385.806900008</v>
      </c>
      <c r="R357" s="68">
        <f t="shared" si="56"/>
        <v>12.5</v>
      </c>
      <c r="S357" s="238"/>
      <c r="T357" s="56" t="s">
        <v>37</v>
      </c>
      <c r="U357" s="68">
        <f t="shared" si="57"/>
        <v>12.5</v>
      </c>
      <c r="V357" s="68"/>
      <c r="W357" s="69">
        <f t="shared" si="58"/>
        <v>137</v>
      </c>
      <c r="X357" s="93" t="str">
        <f t="shared" si="59"/>
        <v>III</v>
      </c>
      <c r="Y357" s="93">
        <f t="shared" si="51"/>
        <v>3</v>
      </c>
      <c r="AD357"/>
    </row>
    <row r="358" spans="1:30">
      <c r="A358" t="s">
        <v>77</v>
      </c>
      <c r="B358" s="110">
        <v>7940200</v>
      </c>
      <c r="C358" s="267" t="s">
        <v>423</v>
      </c>
      <c r="D358" s="55"/>
      <c r="E358" s="92">
        <v>5.0528318594660577</v>
      </c>
      <c r="F358" s="68">
        <f t="shared" si="52"/>
        <v>30</v>
      </c>
      <c r="G358" s="181"/>
      <c r="H358" s="276">
        <v>8887317.8778999858</v>
      </c>
      <c r="I358" s="68">
        <f t="shared" si="53"/>
        <v>25</v>
      </c>
      <c r="K358" s="277">
        <v>17479557.808199961</v>
      </c>
      <c r="L358" s="68">
        <f t="shared" si="54"/>
        <v>20</v>
      </c>
      <c r="M358" s="68"/>
      <c r="N358" s="290">
        <v>906577281.62350225</v>
      </c>
      <c r="O358" s="68">
        <f t="shared" si="55"/>
        <v>13</v>
      </c>
      <c r="P358" s="68"/>
      <c r="Q358" s="276">
        <v>2502488.2013000003</v>
      </c>
      <c r="R358" s="68">
        <f t="shared" si="56"/>
        <v>7.5</v>
      </c>
      <c r="S358" s="238"/>
      <c r="T358" s="56" t="s">
        <v>37</v>
      </c>
      <c r="U358" s="68">
        <f t="shared" si="57"/>
        <v>12.5</v>
      </c>
      <c r="V358" s="68"/>
      <c r="W358" s="69">
        <f t="shared" si="58"/>
        <v>108</v>
      </c>
      <c r="X358" s="93" t="str">
        <f t="shared" si="59"/>
        <v>IV</v>
      </c>
      <c r="Y358" s="93">
        <f t="shared" si="51"/>
        <v>4</v>
      </c>
      <c r="AD358"/>
    </row>
    <row r="359" spans="1:30">
      <c r="A359" t="s">
        <v>105</v>
      </c>
      <c r="B359" s="110">
        <v>5874500</v>
      </c>
      <c r="C359" s="267" t="s">
        <v>424</v>
      </c>
      <c r="D359" s="55"/>
      <c r="E359" s="92">
        <v>6.736245567428929</v>
      </c>
      <c r="F359" s="68">
        <f t="shared" si="52"/>
        <v>45</v>
      </c>
      <c r="G359" s="181"/>
      <c r="H359" s="276">
        <v>24299650.018300146</v>
      </c>
      <c r="I359" s="68">
        <f t="shared" si="53"/>
        <v>37.5</v>
      </c>
      <c r="K359" s="277">
        <v>34386012.535099596</v>
      </c>
      <c r="L359" s="68">
        <f t="shared" si="54"/>
        <v>20</v>
      </c>
      <c r="M359" s="68"/>
      <c r="N359" s="290">
        <v>1697710157.4341025</v>
      </c>
      <c r="O359" s="68">
        <f t="shared" si="55"/>
        <v>22</v>
      </c>
      <c r="P359" s="68"/>
      <c r="Q359" s="276">
        <v>0</v>
      </c>
      <c r="R359" s="68">
        <f t="shared" si="56"/>
        <v>0</v>
      </c>
      <c r="S359" s="238"/>
      <c r="T359" s="56" t="s">
        <v>37</v>
      </c>
      <c r="U359" s="68">
        <f t="shared" si="57"/>
        <v>12.5</v>
      </c>
      <c r="V359" s="68"/>
      <c r="W359" s="69">
        <f t="shared" si="58"/>
        <v>137</v>
      </c>
      <c r="X359" s="93" t="str">
        <f t="shared" si="59"/>
        <v>III</v>
      </c>
      <c r="Y359" s="93">
        <f t="shared" si="51"/>
        <v>3</v>
      </c>
      <c r="AD359"/>
    </row>
    <row r="360" spans="1:30">
      <c r="A360" t="s">
        <v>86</v>
      </c>
      <c r="B360" s="110">
        <v>3862300</v>
      </c>
      <c r="C360" s="267" t="s">
        <v>425</v>
      </c>
      <c r="D360" s="55"/>
      <c r="E360" s="92">
        <v>12.156463427580594</v>
      </c>
      <c r="F360" s="68">
        <f t="shared" si="52"/>
        <v>75</v>
      </c>
      <c r="G360" s="181"/>
      <c r="H360" s="276">
        <v>29214179.960101157</v>
      </c>
      <c r="I360" s="68">
        <f t="shared" si="53"/>
        <v>37.5</v>
      </c>
      <c r="K360" s="277">
        <v>90414825.309394568</v>
      </c>
      <c r="L360" s="68">
        <f t="shared" si="54"/>
        <v>50</v>
      </c>
      <c r="M360" s="68"/>
      <c r="N360" s="290">
        <v>4255359237.7451034</v>
      </c>
      <c r="O360" s="68">
        <f t="shared" si="55"/>
        <v>75</v>
      </c>
      <c r="P360" s="68"/>
      <c r="Q360" s="276">
        <v>223755.92389999999</v>
      </c>
      <c r="R360" s="68">
        <f t="shared" si="56"/>
        <v>7.5</v>
      </c>
      <c r="S360" s="238"/>
      <c r="T360" s="56" t="s">
        <v>37</v>
      </c>
      <c r="U360" s="68">
        <f t="shared" si="57"/>
        <v>12.5</v>
      </c>
      <c r="V360" s="68"/>
      <c r="W360" s="69">
        <f t="shared" si="58"/>
        <v>257.5</v>
      </c>
      <c r="X360" s="93" t="str">
        <f t="shared" si="59"/>
        <v>II</v>
      </c>
      <c r="Y360" s="93">
        <f t="shared" si="51"/>
        <v>2</v>
      </c>
      <c r="AD360"/>
    </row>
    <row r="361" spans="1:30">
      <c r="A361" t="s">
        <v>86</v>
      </c>
      <c r="B361" s="110">
        <v>7955200</v>
      </c>
      <c r="C361" s="267" t="s">
        <v>426</v>
      </c>
      <c r="D361" s="55"/>
      <c r="E361" s="92">
        <v>9.2594385343496839</v>
      </c>
      <c r="F361" s="68">
        <f t="shared" si="52"/>
        <v>45</v>
      </c>
      <c r="G361" s="181"/>
      <c r="H361" s="276">
        <v>39333493.080701977</v>
      </c>
      <c r="I361" s="68">
        <f t="shared" si="53"/>
        <v>62.5</v>
      </c>
      <c r="K361" s="277">
        <v>54058964.247397371</v>
      </c>
      <c r="L361" s="68">
        <f t="shared" si="54"/>
        <v>30</v>
      </c>
      <c r="M361" s="68"/>
      <c r="N361" s="290">
        <v>3383830975.8494</v>
      </c>
      <c r="O361" s="68">
        <f t="shared" si="55"/>
        <v>75</v>
      </c>
      <c r="P361" s="68"/>
      <c r="Q361" s="276">
        <v>38425.197199999995</v>
      </c>
      <c r="R361" s="68">
        <f t="shared" si="56"/>
        <v>7.5</v>
      </c>
      <c r="S361" s="238"/>
      <c r="T361" s="56" t="s">
        <v>37</v>
      </c>
      <c r="U361" s="68">
        <f t="shared" si="57"/>
        <v>12.5</v>
      </c>
      <c r="V361" s="68"/>
      <c r="W361" s="69">
        <f t="shared" si="58"/>
        <v>232.5</v>
      </c>
      <c r="X361" s="93" t="str">
        <f t="shared" si="59"/>
        <v>II</v>
      </c>
      <c r="Y361" s="93">
        <f t="shared" si="51"/>
        <v>2</v>
      </c>
      <c r="AD361"/>
    </row>
    <row r="362" spans="1:30">
      <c r="A362" t="s">
        <v>86</v>
      </c>
      <c r="B362" s="110">
        <v>7950200</v>
      </c>
      <c r="C362" s="267" t="s">
        <v>427</v>
      </c>
      <c r="D362" s="55"/>
      <c r="E362" s="92">
        <v>7.4455227541972313</v>
      </c>
      <c r="F362" s="68">
        <f t="shared" si="52"/>
        <v>45</v>
      </c>
      <c r="G362" s="181"/>
      <c r="H362" s="276">
        <v>25456354.640600014</v>
      </c>
      <c r="I362" s="68">
        <f t="shared" si="53"/>
        <v>37.5</v>
      </c>
      <c r="K362" s="277">
        <v>42319827.224197648</v>
      </c>
      <c r="L362" s="68">
        <f t="shared" si="54"/>
        <v>30</v>
      </c>
      <c r="M362" s="68"/>
      <c r="N362" s="290">
        <v>2908533125.5278053</v>
      </c>
      <c r="O362" s="68">
        <f t="shared" si="55"/>
        <v>75</v>
      </c>
      <c r="P362" s="68"/>
      <c r="Q362" s="276">
        <v>13226209.897600934</v>
      </c>
      <c r="R362" s="68">
        <f t="shared" si="56"/>
        <v>12.5</v>
      </c>
      <c r="S362" s="238"/>
      <c r="T362" s="56" t="s">
        <v>37</v>
      </c>
      <c r="U362" s="68">
        <f t="shared" si="57"/>
        <v>12.5</v>
      </c>
      <c r="V362" s="68"/>
      <c r="W362" s="69">
        <f t="shared" si="58"/>
        <v>212.5</v>
      </c>
      <c r="X362" s="93" t="str">
        <f t="shared" si="59"/>
        <v>II</v>
      </c>
      <c r="Y362" s="93">
        <f t="shared" si="51"/>
        <v>2</v>
      </c>
      <c r="AD362"/>
    </row>
    <row r="363" spans="1:30">
      <c r="A363" t="s">
        <v>71</v>
      </c>
      <c r="B363" s="110">
        <v>5159400</v>
      </c>
      <c r="C363" s="267" t="s">
        <v>428</v>
      </c>
      <c r="D363" s="55"/>
      <c r="E363" s="92">
        <v>12.156463427580594</v>
      </c>
      <c r="F363" s="68">
        <f t="shared" si="52"/>
        <v>75</v>
      </c>
      <c r="G363" s="181"/>
      <c r="H363" s="276">
        <v>24112263.21899401</v>
      </c>
      <c r="I363" s="68">
        <f t="shared" si="53"/>
        <v>37.5</v>
      </c>
      <c r="K363" s="277">
        <v>65069292.683199607</v>
      </c>
      <c r="L363" s="68">
        <f t="shared" si="54"/>
        <v>50</v>
      </c>
      <c r="M363" s="68"/>
      <c r="N363" s="290">
        <v>2465443854.1897955</v>
      </c>
      <c r="O363" s="68">
        <f t="shared" si="55"/>
        <v>40</v>
      </c>
      <c r="P363" s="68"/>
      <c r="Q363" s="276">
        <v>5526616.7227989994</v>
      </c>
      <c r="R363" s="68">
        <f t="shared" si="56"/>
        <v>12.5</v>
      </c>
      <c r="S363" s="238"/>
      <c r="T363" s="56" t="s">
        <v>37</v>
      </c>
      <c r="U363" s="68">
        <f t="shared" si="57"/>
        <v>12.5</v>
      </c>
      <c r="V363" s="68"/>
      <c r="W363" s="69">
        <f t="shared" si="58"/>
        <v>227.5</v>
      </c>
      <c r="X363" s="93" t="str">
        <f t="shared" si="59"/>
        <v>II</v>
      </c>
      <c r="Y363" s="93">
        <f t="shared" si="51"/>
        <v>2</v>
      </c>
      <c r="AD363"/>
    </row>
    <row r="364" spans="1:30">
      <c r="A364" t="s">
        <v>71</v>
      </c>
      <c r="B364" s="110">
        <v>5156200</v>
      </c>
      <c r="C364" s="267" t="s">
        <v>429</v>
      </c>
      <c r="D364" s="55"/>
      <c r="E364" s="92">
        <v>12.156463427580594</v>
      </c>
      <c r="F364" s="68">
        <f t="shared" si="52"/>
        <v>75</v>
      </c>
      <c r="G364" s="181"/>
      <c r="H364" s="276">
        <v>52163458.767399311</v>
      </c>
      <c r="I364" s="68">
        <f t="shared" si="53"/>
        <v>62.5</v>
      </c>
      <c r="K364" s="277">
        <v>58809554.431700826</v>
      </c>
      <c r="L364" s="68">
        <f t="shared" si="54"/>
        <v>30</v>
      </c>
      <c r="M364" s="68"/>
      <c r="N364" s="290">
        <v>974105197.05140305</v>
      </c>
      <c r="O364" s="68">
        <f t="shared" si="55"/>
        <v>13</v>
      </c>
      <c r="P364" s="68"/>
      <c r="Q364" s="276">
        <v>0</v>
      </c>
      <c r="R364" s="68">
        <f t="shared" si="56"/>
        <v>0</v>
      </c>
      <c r="S364" s="238"/>
      <c r="T364" s="56" t="s">
        <v>32</v>
      </c>
      <c r="U364" s="68">
        <f t="shared" si="57"/>
        <v>25</v>
      </c>
      <c r="V364" s="68"/>
      <c r="W364" s="69">
        <f t="shared" si="58"/>
        <v>205.5</v>
      </c>
      <c r="X364" s="93" t="str">
        <f t="shared" si="59"/>
        <v>II</v>
      </c>
      <c r="Y364" s="93">
        <f t="shared" si="51"/>
        <v>2</v>
      </c>
      <c r="AD364"/>
    </row>
    <row r="365" spans="1:30">
      <c r="A365" t="s">
        <v>71</v>
      </c>
      <c r="B365" s="110">
        <v>5156300</v>
      </c>
      <c r="C365" s="267" t="s">
        <v>430</v>
      </c>
      <c r="D365" s="55"/>
      <c r="E365" s="92">
        <v>12.156463427580594</v>
      </c>
      <c r="F365" s="68">
        <f t="shared" si="52"/>
        <v>75</v>
      </c>
      <c r="G365" s="181"/>
      <c r="H365" s="276">
        <v>79257157.585896969</v>
      </c>
      <c r="I365" s="68">
        <f t="shared" si="53"/>
        <v>125</v>
      </c>
      <c r="K365" s="277">
        <v>78034434.061898202</v>
      </c>
      <c r="L365" s="68">
        <f t="shared" si="54"/>
        <v>50</v>
      </c>
      <c r="M365" s="68"/>
      <c r="N365" s="290">
        <v>1124292253.1304066</v>
      </c>
      <c r="O365" s="68">
        <f t="shared" si="55"/>
        <v>13</v>
      </c>
      <c r="P365" s="68"/>
      <c r="Q365" s="276">
        <v>0</v>
      </c>
      <c r="R365" s="68">
        <f t="shared" si="56"/>
        <v>0</v>
      </c>
      <c r="S365" s="238"/>
      <c r="T365" s="56" t="s">
        <v>32</v>
      </c>
      <c r="U365" s="68">
        <f t="shared" si="57"/>
        <v>25</v>
      </c>
      <c r="V365" s="68"/>
      <c r="W365" s="69">
        <f t="shared" si="58"/>
        <v>288</v>
      </c>
      <c r="X365" s="93" t="str">
        <f t="shared" si="59"/>
        <v>II</v>
      </c>
      <c r="Y365" s="93">
        <f t="shared" si="51"/>
        <v>2</v>
      </c>
      <c r="AD365"/>
    </row>
    <row r="366" spans="1:30">
      <c r="A366" t="s">
        <v>71</v>
      </c>
      <c r="B366" s="110">
        <v>4476400</v>
      </c>
      <c r="C366" s="267" t="s">
        <v>431</v>
      </c>
      <c r="D366" s="55"/>
      <c r="E366" s="92">
        <v>8.3214666076321997</v>
      </c>
      <c r="F366" s="68">
        <f t="shared" si="52"/>
        <v>45</v>
      </c>
      <c r="G366" s="181"/>
      <c r="H366" s="276">
        <v>25970738.794198979</v>
      </c>
      <c r="I366" s="68">
        <f t="shared" si="53"/>
        <v>37.5</v>
      </c>
      <c r="K366" s="277">
        <v>49569711.106398575</v>
      </c>
      <c r="L366" s="68">
        <f t="shared" si="54"/>
        <v>30</v>
      </c>
      <c r="M366" s="68"/>
      <c r="N366" s="290">
        <v>2508894044.2817912</v>
      </c>
      <c r="O366" s="68">
        <f t="shared" si="55"/>
        <v>40</v>
      </c>
      <c r="P366" s="68"/>
      <c r="Q366" s="276">
        <v>0</v>
      </c>
      <c r="R366" s="68">
        <f t="shared" si="56"/>
        <v>0</v>
      </c>
      <c r="S366" s="238"/>
      <c r="T366" s="56" t="s">
        <v>37</v>
      </c>
      <c r="U366" s="68">
        <f t="shared" si="57"/>
        <v>12.5</v>
      </c>
      <c r="V366" s="68"/>
      <c r="W366" s="69">
        <f t="shared" si="58"/>
        <v>165</v>
      </c>
      <c r="X366" s="93" t="str">
        <f t="shared" si="59"/>
        <v>III</v>
      </c>
      <c r="Y366" s="93">
        <f t="shared" si="51"/>
        <v>3</v>
      </c>
      <c r="AD366"/>
    </row>
    <row r="367" spans="1:30">
      <c r="A367" t="s">
        <v>113</v>
      </c>
      <c r="B367" s="110">
        <v>6347200</v>
      </c>
      <c r="C367" s="267" t="s">
        <v>432</v>
      </c>
      <c r="D367" s="55"/>
      <c r="E367" s="92">
        <v>10.135382387784652</v>
      </c>
      <c r="F367" s="68">
        <f t="shared" si="52"/>
        <v>75</v>
      </c>
      <c r="G367" s="181"/>
      <c r="H367" s="276">
        <v>45894578.650300011</v>
      </c>
      <c r="I367" s="68">
        <f t="shared" si="53"/>
        <v>62.5</v>
      </c>
      <c r="K367" s="277">
        <v>78141671.712498084</v>
      </c>
      <c r="L367" s="68">
        <f t="shared" si="54"/>
        <v>50</v>
      </c>
      <c r="M367" s="68"/>
      <c r="N367" s="290">
        <v>2396460412.2124925</v>
      </c>
      <c r="O367" s="68">
        <f t="shared" si="55"/>
        <v>40</v>
      </c>
      <c r="P367" s="68"/>
      <c r="Q367" s="276">
        <v>100944.88559999998</v>
      </c>
      <c r="R367" s="68">
        <f t="shared" si="56"/>
        <v>7.5</v>
      </c>
      <c r="S367" s="238"/>
      <c r="T367" s="56" t="s">
        <v>37</v>
      </c>
      <c r="U367" s="68">
        <f t="shared" si="57"/>
        <v>12.5</v>
      </c>
      <c r="V367" s="68"/>
      <c r="W367" s="69">
        <f t="shared" si="58"/>
        <v>247.5</v>
      </c>
      <c r="X367" s="93" t="str">
        <f t="shared" si="59"/>
        <v>II</v>
      </c>
      <c r="Y367" s="93">
        <f t="shared" si="51"/>
        <v>2</v>
      </c>
      <c r="AD367"/>
    </row>
    <row r="368" spans="1:30">
      <c r="A368" t="s">
        <v>113</v>
      </c>
      <c r="B368" s="110">
        <v>3483200</v>
      </c>
      <c r="C368" s="267" t="s">
        <v>433</v>
      </c>
      <c r="D368" s="55"/>
      <c r="E368" s="92">
        <v>4.7130526005081759</v>
      </c>
      <c r="F368" s="68">
        <f t="shared" si="52"/>
        <v>30</v>
      </c>
      <c r="G368" s="181"/>
      <c r="H368" s="276">
        <v>1465380.7242999999</v>
      </c>
      <c r="I368" s="68">
        <f t="shared" si="53"/>
        <v>25</v>
      </c>
      <c r="K368" s="277">
        <v>25644850.840699807</v>
      </c>
      <c r="L368" s="68">
        <f t="shared" si="54"/>
        <v>20</v>
      </c>
      <c r="M368" s="68"/>
      <c r="N368" s="290">
        <v>1167804389.1263061</v>
      </c>
      <c r="O368" s="68">
        <f t="shared" si="55"/>
        <v>13</v>
      </c>
      <c r="P368" s="68"/>
      <c r="Q368" s="276">
        <v>0</v>
      </c>
      <c r="R368" s="68">
        <f t="shared" si="56"/>
        <v>0</v>
      </c>
      <c r="S368" s="238"/>
      <c r="T368" s="56" t="s">
        <v>37</v>
      </c>
      <c r="U368" s="68">
        <f t="shared" si="57"/>
        <v>12.5</v>
      </c>
      <c r="V368" s="68"/>
      <c r="W368" s="69">
        <f t="shared" si="58"/>
        <v>100.5</v>
      </c>
      <c r="X368" s="93" t="str">
        <f t="shared" si="59"/>
        <v>IV</v>
      </c>
      <c r="Y368" s="93">
        <f t="shared" si="51"/>
        <v>4</v>
      </c>
      <c r="AD368"/>
    </row>
    <row r="369" spans="1:30">
      <c r="A369" t="s">
        <v>77</v>
      </c>
      <c r="B369" s="110">
        <v>5954500</v>
      </c>
      <c r="C369" s="267" t="s">
        <v>434</v>
      </c>
      <c r="D369" s="55"/>
      <c r="E369" s="92">
        <v>13.451626030645102</v>
      </c>
      <c r="F369" s="68">
        <f t="shared" si="52"/>
        <v>75</v>
      </c>
      <c r="G369" s="181"/>
      <c r="H369" s="276">
        <v>50275329.89879708</v>
      </c>
      <c r="I369" s="68">
        <f t="shared" si="53"/>
        <v>62.5</v>
      </c>
      <c r="K369" s="277">
        <v>80867195.340502337</v>
      </c>
      <c r="L369" s="68">
        <f t="shared" si="54"/>
        <v>50</v>
      </c>
      <c r="M369" s="68"/>
      <c r="N369" s="290">
        <v>3164479480.9397068</v>
      </c>
      <c r="O369" s="68">
        <f t="shared" si="55"/>
        <v>75</v>
      </c>
      <c r="P369" s="68"/>
      <c r="Q369" s="276">
        <v>0</v>
      </c>
      <c r="R369" s="68">
        <f t="shared" si="56"/>
        <v>0</v>
      </c>
      <c r="S369" s="238"/>
      <c r="T369" s="56" t="s">
        <v>37</v>
      </c>
      <c r="U369" s="68">
        <f t="shared" si="57"/>
        <v>12.5</v>
      </c>
      <c r="V369" s="68"/>
      <c r="W369" s="69">
        <f t="shared" si="58"/>
        <v>275</v>
      </c>
      <c r="X369" s="93" t="str">
        <f t="shared" si="59"/>
        <v>II</v>
      </c>
      <c r="Y369" s="93">
        <f t="shared" si="51"/>
        <v>2</v>
      </c>
      <c r="AD369"/>
    </row>
    <row r="370" spans="1:30">
      <c r="A370" t="s">
        <v>103</v>
      </c>
      <c r="B370" s="110">
        <v>4152200</v>
      </c>
      <c r="C370" s="267" t="s">
        <v>435</v>
      </c>
      <c r="D370" s="55"/>
      <c r="E370" s="92">
        <v>6.1316069740447787</v>
      </c>
      <c r="F370" s="68">
        <f t="shared" si="52"/>
        <v>30</v>
      </c>
      <c r="G370" s="181"/>
      <c r="H370" s="276">
        <v>17486765.368299816</v>
      </c>
      <c r="I370" s="68">
        <f t="shared" si="53"/>
        <v>37.5</v>
      </c>
      <c r="K370" s="277">
        <v>42510983.330196187</v>
      </c>
      <c r="L370" s="68">
        <f t="shared" si="54"/>
        <v>30</v>
      </c>
      <c r="M370" s="68"/>
      <c r="N370" s="290">
        <v>1703858293.3757005</v>
      </c>
      <c r="O370" s="68">
        <f t="shared" si="55"/>
        <v>22</v>
      </c>
      <c r="P370" s="68"/>
      <c r="Q370" s="276">
        <v>13734265.808199938</v>
      </c>
      <c r="R370" s="68">
        <f t="shared" si="56"/>
        <v>12.5</v>
      </c>
      <c r="S370" s="238"/>
      <c r="T370" s="56" t="s">
        <v>37</v>
      </c>
      <c r="U370" s="68">
        <f t="shared" si="57"/>
        <v>12.5</v>
      </c>
      <c r="V370" s="68"/>
      <c r="W370" s="69">
        <f t="shared" si="58"/>
        <v>144.5</v>
      </c>
      <c r="X370" s="93" t="str">
        <f t="shared" si="59"/>
        <v>III</v>
      </c>
      <c r="Y370" s="93">
        <f t="shared" si="51"/>
        <v>3</v>
      </c>
      <c r="AD370"/>
    </row>
    <row r="371" spans="1:30">
      <c r="A371" t="s">
        <v>95</v>
      </c>
      <c r="B371" s="110">
        <v>4867000</v>
      </c>
      <c r="C371" s="267" t="s">
        <v>436</v>
      </c>
      <c r="D371" s="55"/>
      <c r="E371" s="92">
        <v>7.6997838062073942</v>
      </c>
      <c r="F371" s="68">
        <f t="shared" si="52"/>
        <v>45</v>
      </c>
      <c r="G371" s="181"/>
      <c r="H371" s="276">
        <v>0</v>
      </c>
      <c r="I371" s="68">
        <f t="shared" si="53"/>
        <v>0</v>
      </c>
      <c r="K371" s="277">
        <v>0</v>
      </c>
      <c r="L371" s="68">
        <f t="shared" si="54"/>
        <v>0</v>
      </c>
      <c r="M371" s="68"/>
      <c r="N371" s="290">
        <v>0</v>
      </c>
      <c r="O371" s="68">
        <f t="shared" si="55"/>
        <v>0</v>
      </c>
      <c r="P371" s="68"/>
      <c r="Q371" s="276">
        <v>0</v>
      </c>
      <c r="R371" s="68">
        <f t="shared" si="56"/>
        <v>0</v>
      </c>
      <c r="S371" s="238"/>
      <c r="T371" s="56" t="s">
        <v>37</v>
      </c>
      <c r="U371" s="68">
        <f t="shared" si="57"/>
        <v>12.5</v>
      </c>
      <c r="V371" s="68"/>
      <c r="W371" s="69">
        <f t="shared" si="58"/>
        <v>57.5</v>
      </c>
      <c r="X371" s="93" t="str">
        <f t="shared" si="59"/>
        <v>IV</v>
      </c>
      <c r="Y371" s="93">
        <f t="shared" si="51"/>
        <v>4</v>
      </c>
      <c r="AD371"/>
    </row>
    <row r="372" spans="1:30">
      <c r="A372" t="s">
        <v>95</v>
      </c>
      <c r="B372" s="110">
        <v>7885200</v>
      </c>
      <c r="C372" s="267" t="s">
        <v>437</v>
      </c>
      <c r="D372" s="55"/>
      <c r="E372" s="92">
        <v>7.6997838062073942</v>
      </c>
      <c r="F372" s="68">
        <f t="shared" si="52"/>
        <v>45</v>
      </c>
      <c r="G372" s="181"/>
      <c r="H372" s="276">
        <v>21471897.039799828</v>
      </c>
      <c r="I372" s="68">
        <f t="shared" si="53"/>
        <v>37.5</v>
      </c>
      <c r="K372" s="277">
        <v>62017414.724999659</v>
      </c>
      <c r="L372" s="68">
        <f t="shared" si="54"/>
        <v>50</v>
      </c>
      <c r="M372" s="68"/>
      <c r="N372" s="290">
        <v>1986139855.7293975</v>
      </c>
      <c r="O372" s="68">
        <f t="shared" si="55"/>
        <v>22</v>
      </c>
      <c r="P372" s="68"/>
      <c r="Q372" s="276">
        <v>0</v>
      </c>
      <c r="R372" s="68">
        <f t="shared" si="56"/>
        <v>0</v>
      </c>
      <c r="S372" s="238"/>
      <c r="T372" s="56" t="s">
        <v>37</v>
      </c>
      <c r="U372" s="68">
        <f t="shared" si="57"/>
        <v>12.5</v>
      </c>
      <c r="V372" s="68"/>
      <c r="W372" s="69">
        <f t="shared" si="58"/>
        <v>167</v>
      </c>
      <c r="X372" s="93" t="str">
        <f t="shared" si="59"/>
        <v>III</v>
      </c>
      <c r="Y372" s="93">
        <f t="shared" si="51"/>
        <v>3</v>
      </c>
      <c r="AD372"/>
    </row>
    <row r="373" spans="1:30">
      <c r="A373" t="s">
        <v>82</v>
      </c>
      <c r="B373" s="110">
        <v>7925200</v>
      </c>
      <c r="C373" s="267" t="s">
        <v>438</v>
      </c>
      <c r="D373" s="55"/>
      <c r="E373" s="92">
        <v>14.74678863370961</v>
      </c>
      <c r="F373" s="68">
        <f t="shared" si="52"/>
        <v>150</v>
      </c>
      <c r="G373" s="181"/>
      <c r="H373" s="276">
        <v>51004169.560699746</v>
      </c>
      <c r="I373" s="68">
        <f t="shared" si="53"/>
        <v>62.5</v>
      </c>
      <c r="K373" s="277">
        <v>88735585.069899887</v>
      </c>
      <c r="L373" s="68">
        <f t="shared" si="54"/>
        <v>50</v>
      </c>
      <c r="M373" s="68"/>
      <c r="N373" s="290">
        <v>2981358192.3513908</v>
      </c>
      <c r="O373" s="68">
        <f t="shared" si="55"/>
        <v>75</v>
      </c>
      <c r="P373" s="68"/>
      <c r="Q373" s="276">
        <v>1559921.2681000005</v>
      </c>
      <c r="R373" s="68">
        <f t="shared" si="56"/>
        <v>7.5</v>
      </c>
      <c r="S373" s="238"/>
      <c r="T373" s="56" t="s">
        <v>37</v>
      </c>
      <c r="U373" s="68">
        <f t="shared" si="57"/>
        <v>12.5</v>
      </c>
      <c r="V373" s="68"/>
      <c r="W373" s="69">
        <f t="shared" si="58"/>
        <v>357.5</v>
      </c>
      <c r="X373" s="93" t="str">
        <f t="shared" si="59"/>
        <v>I</v>
      </c>
      <c r="Y373" s="93">
        <f t="shared" si="51"/>
        <v>1</v>
      </c>
      <c r="AD373"/>
    </row>
    <row r="374" spans="1:30">
      <c r="A374" t="s">
        <v>71</v>
      </c>
      <c r="B374" s="110">
        <v>3471400</v>
      </c>
      <c r="C374" s="267" t="s">
        <v>439</v>
      </c>
      <c r="D374" s="55"/>
      <c r="E374" s="92">
        <v>6.1316069740447787</v>
      </c>
      <c r="F374" s="68">
        <f t="shared" si="52"/>
        <v>30</v>
      </c>
      <c r="G374" s="181"/>
      <c r="H374" s="276">
        <v>14736796.357299997</v>
      </c>
      <c r="I374" s="68">
        <f t="shared" si="53"/>
        <v>25</v>
      </c>
      <c r="K374" s="277">
        <v>48777322.312099554</v>
      </c>
      <c r="L374" s="68">
        <f t="shared" si="54"/>
        <v>30</v>
      </c>
      <c r="M374" s="68"/>
      <c r="N374" s="290">
        <v>1620658848.1938977</v>
      </c>
      <c r="O374" s="68">
        <f t="shared" si="55"/>
        <v>22</v>
      </c>
      <c r="P374" s="68"/>
      <c r="Q374" s="276">
        <v>6364389.9789000023</v>
      </c>
      <c r="R374" s="68">
        <f t="shared" si="56"/>
        <v>12.5</v>
      </c>
      <c r="S374" s="238"/>
      <c r="T374" s="56" t="s">
        <v>37</v>
      </c>
      <c r="U374" s="68">
        <f t="shared" si="57"/>
        <v>12.5</v>
      </c>
      <c r="V374" s="68"/>
      <c r="W374" s="69">
        <f t="shared" si="58"/>
        <v>132</v>
      </c>
      <c r="X374" s="93" t="str">
        <f t="shared" si="59"/>
        <v>III</v>
      </c>
      <c r="Y374" s="93">
        <f t="shared" si="51"/>
        <v>3</v>
      </c>
      <c r="AD374"/>
    </row>
    <row r="375" spans="1:30">
      <c r="A375" t="s">
        <v>84</v>
      </c>
      <c r="B375" s="110">
        <v>3471500</v>
      </c>
      <c r="C375" s="267" t="s">
        <v>440</v>
      </c>
      <c r="D375" s="55"/>
      <c r="E375" s="92">
        <v>13.451626030645102</v>
      </c>
      <c r="F375" s="68">
        <f t="shared" si="52"/>
        <v>75</v>
      </c>
      <c r="G375" s="181"/>
      <c r="H375" s="276">
        <v>64996840.492297001</v>
      </c>
      <c r="I375" s="68">
        <f t="shared" si="53"/>
        <v>125</v>
      </c>
      <c r="K375" s="277">
        <v>90750911.50929907</v>
      </c>
      <c r="L375" s="68">
        <f t="shared" si="54"/>
        <v>50</v>
      </c>
      <c r="M375" s="68"/>
      <c r="N375" s="290">
        <v>3704119817.281117</v>
      </c>
      <c r="O375" s="68">
        <f t="shared" si="55"/>
        <v>75</v>
      </c>
      <c r="P375" s="68"/>
      <c r="Q375" s="276">
        <v>9280157.4584999997</v>
      </c>
      <c r="R375" s="68">
        <f t="shared" si="56"/>
        <v>12.5</v>
      </c>
      <c r="S375" s="238"/>
      <c r="T375" s="56" t="s">
        <v>37</v>
      </c>
      <c r="U375" s="68">
        <f t="shared" si="57"/>
        <v>12.5</v>
      </c>
      <c r="V375" s="68"/>
      <c r="W375" s="69">
        <f t="shared" si="58"/>
        <v>350</v>
      </c>
      <c r="X375" s="93" t="str">
        <f t="shared" si="59"/>
        <v>I</v>
      </c>
      <c r="Y375" s="93">
        <f t="shared" si="51"/>
        <v>1</v>
      </c>
      <c r="AD375"/>
    </row>
    <row r="376" spans="1:30">
      <c r="A376" t="s">
        <v>95</v>
      </c>
      <c r="B376" s="110">
        <v>4856300</v>
      </c>
      <c r="C376" s="267" t="s">
        <v>441</v>
      </c>
      <c r="D376" s="55"/>
      <c r="E376" s="92">
        <v>6.736245567428929</v>
      </c>
      <c r="F376" s="68">
        <f t="shared" si="52"/>
        <v>45</v>
      </c>
      <c r="G376" s="181"/>
      <c r="H376" s="276">
        <v>24489634.694198959</v>
      </c>
      <c r="I376" s="68">
        <f t="shared" si="53"/>
        <v>37.5</v>
      </c>
      <c r="K376" s="277">
        <v>77448950.643200606</v>
      </c>
      <c r="L376" s="68">
        <f t="shared" si="54"/>
        <v>50</v>
      </c>
      <c r="M376" s="68"/>
      <c r="N376" s="290">
        <v>2541304119.2014937</v>
      </c>
      <c r="O376" s="68">
        <f t="shared" si="55"/>
        <v>40</v>
      </c>
      <c r="P376" s="68"/>
      <c r="Q376" s="276">
        <v>6695254.5572000006</v>
      </c>
      <c r="R376" s="68">
        <f t="shared" si="56"/>
        <v>12.5</v>
      </c>
      <c r="S376" s="238"/>
      <c r="T376" s="56" t="s">
        <v>37</v>
      </c>
      <c r="U376" s="68">
        <f t="shared" si="57"/>
        <v>12.5</v>
      </c>
      <c r="V376" s="68"/>
      <c r="W376" s="69">
        <f t="shared" si="58"/>
        <v>197.5</v>
      </c>
      <c r="X376" s="93" t="str">
        <f t="shared" si="59"/>
        <v>II</v>
      </c>
      <c r="Y376" s="93">
        <f t="shared" si="51"/>
        <v>2</v>
      </c>
      <c r="AD376"/>
    </row>
    <row r="377" spans="1:30">
      <c r="A377" t="s">
        <v>203</v>
      </c>
      <c r="B377" s="110">
        <v>7246200</v>
      </c>
      <c r="C377" s="267" t="s">
        <v>442</v>
      </c>
      <c r="D377" s="55"/>
      <c r="E377" s="92">
        <v>9.3240573432096419</v>
      </c>
      <c r="F377" s="68">
        <f t="shared" si="52"/>
        <v>45</v>
      </c>
      <c r="G377" s="181"/>
      <c r="H377" s="276">
        <v>0</v>
      </c>
      <c r="I377" s="68">
        <f t="shared" si="53"/>
        <v>0</v>
      </c>
      <c r="K377" s="277">
        <v>0</v>
      </c>
      <c r="L377" s="68">
        <f t="shared" si="54"/>
        <v>0</v>
      </c>
      <c r="M377" s="68"/>
      <c r="N377" s="290">
        <v>0</v>
      </c>
      <c r="O377" s="68">
        <f t="shared" si="55"/>
        <v>0</v>
      </c>
      <c r="P377" s="68"/>
      <c r="Q377" s="276">
        <v>0</v>
      </c>
      <c r="R377" s="68">
        <f t="shared" si="56"/>
        <v>0</v>
      </c>
      <c r="S377" s="238"/>
      <c r="T377" s="56" t="s">
        <v>37</v>
      </c>
      <c r="U377" s="68">
        <f t="shared" si="57"/>
        <v>12.5</v>
      </c>
      <c r="V377" s="68"/>
      <c r="W377" s="69">
        <f t="shared" si="58"/>
        <v>57.5</v>
      </c>
      <c r="X377" s="93" t="str">
        <f t="shared" si="59"/>
        <v>IV</v>
      </c>
      <c r="Y377" s="93">
        <f t="shared" si="51"/>
        <v>4</v>
      </c>
      <c r="AD377"/>
    </row>
    <row r="378" spans="1:30">
      <c r="A378" t="s">
        <v>69</v>
      </c>
      <c r="B378" s="110">
        <v>6147400</v>
      </c>
      <c r="C378" s="267" t="s">
        <v>443</v>
      </c>
      <c r="D378" s="55"/>
      <c r="E378" s="92">
        <v>9.3240573432096419</v>
      </c>
      <c r="F378" s="68">
        <f t="shared" si="52"/>
        <v>45</v>
      </c>
      <c r="G378" s="181"/>
      <c r="H378" s="276">
        <v>19681184.748598922</v>
      </c>
      <c r="I378" s="68">
        <f t="shared" si="53"/>
        <v>37.5</v>
      </c>
      <c r="K378" s="277">
        <v>37850695.5798994</v>
      </c>
      <c r="L378" s="68">
        <f t="shared" si="54"/>
        <v>30</v>
      </c>
      <c r="M378" s="68"/>
      <c r="N378" s="290">
        <v>1553760161.0048039</v>
      </c>
      <c r="O378" s="68">
        <f t="shared" si="55"/>
        <v>22</v>
      </c>
      <c r="P378" s="68"/>
      <c r="Q378" s="276">
        <v>0</v>
      </c>
      <c r="R378" s="68">
        <f t="shared" si="56"/>
        <v>0</v>
      </c>
      <c r="S378" s="238"/>
      <c r="T378" s="56" t="s">
        <v>37</v>
      </c>
      <c r="U378" s="68">
        <f t="shared" si="57"/>
        <v>12.5</v>
      </c>
      <c r="V378" s="68"/>
      <c r="W378" s="69">
        <f t="shared" si="58"/>
        <v>147</v>
      </c>
      <c r="X378" s="93" t="str">
        <f t="shared" si="59"/>
        <v>III</v>
      </c>
      <c r="Y378" s="93">
        <f t="shared" si="51"/>
        <v>3</v>
      </c>
      <c r="AD378"/>
    </row>
    <row r="379" spans="1:30">
      <c r="A379" t="s">
        <v>69</v>
      </c>
      <c r="B379" s="110">
        <v>6175500</v>
      </c>
      <c r="C379" s="267" t="s">
        <v>444</v>
      </c>
      <c r="D379" s="55"/>
      <c r="E379" s="92">
        <v>13.451626030645102</v>
      </c>
      <c r="F379" s="68">
        <f t="shared" si="52"/>
        <v>75</v>
      </c>
      <c r="G379" s="181"/>
      <c r="H379" s="276">
        <v>46533721.551698439</v>
      </c>
      <c r="I379" s="68">
        <f t="shared" si="53"/>
        <v>62.5</v>
      </c>
      <c r="K379" s="277">
        <v>62196395.968593299</v>
      </c>
      <c r="L379" s="68">
        <f t="shared" si="54"/>
        <v>50</v>
      </c>
      <c r="M379" s="68"/>
      <c r="N379" s="290">
        <v>1935164767.2828979</v>
      </c>
      <c r="O379" s="68">
        <f t="shared" si="55"/>
        <v>22</v>
      </c>
      <c r="P379" s="68"/>
      <c r="Q379" s="276">
        <v>0</v>
      </c>
      <c r="R379" s="68">
        <f t="shared" si="56"/>
        <v>0</v>
      </c>
      <c r="S379" s="238"/>
      <c r="T379" s="56" t="s">
        <v>37</v>
      </c>
      <c r="U379" s="68">
        <f t="shared" si="57"/>
        <v>12.5</v>
      </c>
      <c r="V379" s="68"/>
      <c r="W379" s="69">
        <f t="shared" si="58"/>
        <v>222</v>
      </c>
      <c r="X379" s="93" t="str">
        <f t="shared" si="59"/>
        <v>II</v>
      </c>
      <c r="Y379" s="93">
        <f t="shared" si="51"/>
        <v>2</v>
      </c>
      <c r="AD379"/>
    </row>
    <row r="380" spans="1:30">
      <c r="A380" t="s">
        <v>69</v>
      </c>
      <c r="B380" s="110">
        <v>6146300</v>
      </c>
      <c r="C380" s="267" t="s">
        <v>445</v>
      </c>
      <c r="D380" s="55"/>
      <c r="E380" s="92">
        <v>4.8176911938923261</v>
      </c>
      <c r="F380" s="68">
        <f t="shared" si="52"/>
        <v>30</v>
      </c>
      <c r="G380" s="181"/>
      <c r="H380" s="276">
        <v>4776835.3779999958</v>
      </c>
      <c r="I380" s="68">
        <f t="shared" si="53"/>
        <v>25</v>
      </c>
      <c r="K380" s="277">
        <v>8713938.4216999952</v>
      </c>
      <c r="L380" s="68">
        <f t="shared" si="54"/>
        <v>20</v>
      </c>
      <c r="M380" s="68"/>
      <c r="N380" s="290">
        <v>557158763.18740153</v>
      </c>
      <c r="O380" s="68">
        <f t="shared" si="55"/>
        <v>13</v>
      </c>
      <c r="P380" s="68"/>
      <c r="Q380" s="276">
        <v>0</v>
      </c>
      <c r="R380" s="68">
        <f t="shared" si="56"/>
        <v>0</v>
      </c>
      <c r="S380" s="238"/>
      <c r="T380" s="56" t="s">
        <v>37</v>
      </c>
      <c r="U380" s="68">
        <f t="shared" si="57"/>
        <v>12.5</v>
      </c>
      <c r="V380" s="68"/>
      <c r="W380" s="69">
        <f t="shared" si="58"/>
        <v>100.5</v>
      </c>
      <c r="X380" s="93" t="str">
        <f t="shared" si="59"/>
        <v>IV</v>
      </c>
      <c r="Y380" s="93">
        <f t="shared" si="51"/>
        <v>4</v>
      </c>
      <c r="AD380"/>
    </row>
    <row r="381" spans="1:30">
      <c r="A381" t="s">
        <v>69</v>
      </c>
      <c r="B381" s="110">
        <v>6149600</v>
      </c>
      <c r="C381" s="267" t="s">
        <v>446</v>
      </c>
      <c r="D381" s="55"/>
      <c r="E381" s="92">
        <v>12.763213948089557</v>
      </c>
      <c r="F381" s="68">
        <f t="shared" si="52"/>
        <v>75</v>
      </c>
      <c r="G381" s="181"/>
      <c r="H381" s="276">
        <v>13348031.857800018</v>
      </c>
      <c r="I381" s="68">
        <f t="shared" si="53"/>
        <v>25</v>
      </c>
      <c r="K381" s="277">
        <v>21014647.960997939</v>
      </c>
      <c r="L381" s="68">
        <f t="shared" si="54"/>
        <v>20</v>
      </c>
      <c r="M381" s="68"/>
      <c r="N381" s="290">
        <v>1023115837.5797073</v>
      </c>
      <c r="O381" s="68">
        <f t="shared" si="55"/>
        <v>13</v>
      </c>
      <c r="P381" s="68"/>
      <c r="Q381" s="276">
        <v>11751049.205599945</v>
      </c>
      <c r="R381" s="68">
        <f t="shared" si="56"/>
        <v>12.5</v>
      </c>
      <c r="S381" s="238"/>
      <c r="T381" s="56" t="s">
        <v>37</v>
      </c>
      <c r="U381" s="68">
        <f t="shared" si="57"/>
        <v>12.5</v>
      </c>
      <c r="V381" s="68"/>
      <c r="W381" s="69">
        <f t="shared" si="58"/>
        <v>158</v>
      </c>
      <c r="X381" s="93" t="str">
        <f t="shared" si="59"/>
        <v>III</v>
      </c>
      <c r="Y381" s="93">
        <f t="shared" si="51"/>
        <v>3</v>
      </c>
      <c r="AD381"/>
    </row>
    <row r="382" spans="1:30">
      <c r="A382" t="s">
        <v>103</v>
      </c>
      <c r="B382" s="110">
        <v>8210200</v>
      </c>
      <c r="C382" s="267" t="s">
        <v>447</v>
      </c>
      <c r="D382" s="55"/>
      <c r="E382" s="92">
        <v>6.5695789007622629</v>
      </c>
      <c r="F382" s="68">
        <f t="shared" si="52"/>
        <v>45</v>
      </c>
      <c r="G382" s="181"/>
      <c r="H382" s="276">
        <v>23408731.41359973</v>
      </c>
      <c r="I382" s="68">
        <f t="shared" si="53"/>
        <v>37.5</v>
      </c>
      <c r="K382" s="277">
        <v>31926481.492698759</v>
      </c>
      <c r="L382" s="68">
        <f t="shared" si="54"/>
        <v>20</v>
      </c>
      <c r="M382" s="68"/>
      <c r="N382" s="290">
        <v>1617903625.7717967</v>
      </c>
      <c r="O382" s="68">
        <f t="shared" si="55"/>
        <v>22</v>
      </c>
      <c r="P382" s="68"/>
      <c r="Q382" s="276">
        <v>2140629.9352000002</v>
      </c>
      <c r="R382" s="68">
        <f t="shared" si="56"/>
        <v>7.5</v>
      </c>
      <c r="S382" s="238"/>
      <c r="T382" s="56" t="s">
        <v>37</v>
      </c>
      <c r="U382" s="68">
        <f t="shared" si="57"/>
        <v>12.5</v>
      </c>
      <c r="V382" s="68"/>
      <c r="W382" s="69">
        <f t="shared" si="58"/>
        <v>144.5</v>
      </c>
      <c r="X382" s="93" t="str">
        <f t="shared" si="59"/>
        <v>III</v>
      </c>
      <c r="Y382" s="93">
        <f t="shared" si="51"/>
        <v>3</v>
      </c>
      <c r="AD382"/>
    </row>
    <row r="383" spans="1:30">
      <c r="A383" t="s">
        <v>103</v>
      </c>
      <c r="B383" s="110">
        <v>8205200</v>
      </c>
      <c r="C383" s="267" t="s">
        <v>448</v>
      </c>
      <c r="D383" s="55"/>
      <c r="E383" s="92">
        <v>8.4881332742988693</v>
      </c>
      <c r="F383" s="68">
        <f t="shared" si="52"/>
        <v>45</v>
      </c>
      <c r="G383" s="181"/>
      <c r="H383" s="276">
        <v>44806785.041499726</v>
      </c>
      <c r="I383" s="68">
        <f t="shared" si="53"/>
        <v>62.5</v>
      </c>
      <c r="K383" s="277">
        <v>74949580.543701246</v>
      </c>
      <c r="L383" s="68">
        <f t="shared" si="54"/>
        <v>50</v>
      </c>
      <c r="M383" s="68"/>
      <c r="N383" s="290">
        <v>2467484022.3303037</v>
      </c>
      <c r="O383" s="68">
        <f t="shared" si="55"/>
        <v>40</v>
      </c>
      <c r="P383" s="68"/>
      <c r="Q383" s="276">
        <v>836968.49450000015</v>
      </c>
      <c r="R383" s="68">
        <f t="shared" si="56"/>
        <v>7.5</v>
      </c>
      <c r="S383" s="238"/>
      <c r="T383" s="56" t="s">
        <v>37</v>
      </c>
      <c r="U383" s="68">
        <f t="shared" si="57"/>
        <v>12.5</v>
      </c>
      <c r="V383" s="68"/>
      <c r="W383" s="69">
        <f t="shared" si="58"/>
        <v>217.5</v>
      </c>
      <c r="X383" s="93" t="str">
        <f t="shared" si="59"/>
        <v>II</v>
      </c>
      <c r="Y383" s="93">
        <f t="shared" si="51"/>
        <v>2</v>
      </c>
      <c r="AD383"/>
    </row>
    <row r="384" spans="1:30">
      <c r="A384" t="s">
        <v>103</v>
      </c>
      <c r="B384" s="110">
        <v>4161800</v>
      </c>
      <c r="C384" s="267" t="s">
        <v>449</v>
      </c>
      <c r="D384" s="55"/>
      <c r="E384" s="92">
        <v>16.041951236774121</v>
      </c>
      <c r="F384" s="68">
        <f t="shared" si="52"/>
        <v>150</v>
      </c>
      <c r="G384" s="181"/>
      <c r="H384" s="276">
        <v>72523333.811438411</v>
      </c>
      <c r="I384" s="68">
        <f t="shared" si="53"/>
        <v>125</v>
      </c>
      <c r="K384" s="277">
        <v>106930711.82101181</v>
      </c>
      <c r="L384" s="68">
        <f t="shared" si="54"/>
        <v>100</v>
      </c>
      <c r="M384" s="68"/>
      <c r="N384" s="290">
        <v>4685437043.5610332</v>
      </c>
      <c r="O384" s="68">
        <f t="shared" si="55"/>
        <v>75</v>
      </c>
      <c r="P384" s="68"/>
      <c r="Q384" s="276">
        <v>0</v>
      </c>
      <c r="R384" s="68">
        <f t="shared" si="56"/>
        <v>0</v>
      </c>
      <c r="S384" s="238"/>
      <c r="T384" s="56" t="s">
        <v>37</v>
      </c>
      <c r="U384" s="68">
        <f t="shared" si="57"/>
        <v>12.5</v>
      </c>
      <c r="V384" s="68"/>
      <c r="W384" s="69">
        <f t="shared" si="58"/>
        <v>462.5</v>
      </c>
      <c r="X384" s="93" t="str">
        <f t="shared" si="59"/>
        <v>I</v>
      </c>
      <c r="Y384" s="93">
        <f t="shared" si="51"/>
        <v>1</v>
      </c>
      <c r="AD384"/>
    </row>
    <row r="385" spans="1:30">
      <c r="A385" t="s">
        <v>84</v>
      </c>
      <c r="B385" s="110">
        <v>6346200</v>
      </c>
      <c r="C385" s="267" t="s">
        <v>450</v>
      </c>
      <c r="D385" s="55"/>
      <c r="E385" s="92">
        <v>3.0658034870223894</v>
      </c>
      <c r="F385" s="68">
        <f t="shared" si="52"/>
        <v>30</v>
      </c>
      <c r="G385" s="181"/>
      <c r="H385" s="276">
        <v>0</v>
      </c>
      <c r="I385" s="68">
        <f t="shared" si="53"/>
        <v>0</v>
      </c>
      <c r="K385" s="277">
        <v>0</v>
      </c>
      <c r="L385" s="68">
        <f t="shared" si="54"/>
        <v>0</v>
      </c>
      <c r="M385" s="68"/>
      <c r="N385" s="290">
        <v>0</v>
      </c>
      <c r="O385" s="68">
        <f t="shared" si="55"/>
        <v>0</v>
      </c>
      <c r="P385" s="68"/>
      <c r="Q385" s="276">
        <v>0</v>
      </c>
      <c r="R385" s="68">
        <f t="shared" si="56"/>
        <v>0</v>
      </c>
      <c r="S385" s="238"/>
      <c r="T385" s="56" t="s">
        <v>37</v>
      </c>
      <c r="U385" s="68">
        <f t="shared" si="57"/>
        <v>12.5</v>
      </c>
      <c r="V385" s="68"/>
      <c r="W385" s="69">
        <f t="shared" si="58"/>
        <v>42.5</v>
      </c>
      <c r="X385" s="93" t="str">
        <f t="shared" si="59"/>
        <v>IV</v>
      </c>
      <c r="Y385" s="93">
        <f t="shared" si="51"/>
        <v>4</v>
      </c>
      <c r="AD385"/>
    </row>
    <row r="386" spans="1:30">
      <c r="A386" t="s">
        <v>73</v>
      </c>
      <c r="B386" s="110">
        <v>5053900</v>
      </c>
      <c r="C386" s="267" t="s">
        <v>451</v>
      </c>
      <c r="D386" s="55"/>
      <c r="E386" s="92">
        <v>3.0658034870223894</v>
      </c>
      <c r="F386" s="68">
        <f t="shared" si="52"/>
        <v>30</v>
      </c>
      <c r="G386" s="181"/>
      <c r="H386" s="276">
        <v>1170363.1811999991</v>
      </c>
      <c r="I386" s="68">
        <f t="shared" si="53"/>
        <v>25</v>
      </c>
      <c r="K386" s="277">
        <v>37615848.006399542</v>
      </c>
      <c r="L386" s="68">
        <f t="shared" si="54"/>
        <v>20</v>
      </c>
      <c r="M386" s="68"/>
      <c r="N386" s="290">
        <v>1197825913.4291029</v>
      </c>
      <c r="O386" s="68">
        <f t="shared" si="55"/>
        <v>13</v>
      </c>
      <c r="P386" s="68"/>
      <c r="Q386" s="276">
        <v>0</v>
      </c>
      <c r="R386" s="68">
        <f t="shared" si="56"/>
        <v>0</v>
      </c>
      <c r="S386" s="238"/>
      <c r="T386" s="56" t="s">
        <v>37</v>
      </c>
      <c r="U386" s="68">
        <f t="shared" si="57"/>
        <v>12.5</v>
      </c>
      <c r="V386" s="68"/>
      <c r="W386" s="69">
        <f t="shared" si="58"/>
        <v>100.5</v>
      </c>
      <c r="X386" s="93" t="str">
        <f t="shared" si="59"/>
        <v>IV</v>
      </c>
      <c r="Y386" s="93">
        <f t="shared" ref="Y386:Y390" si="60">IF(X386="IV",4,IF(X386="III",3,IF(X386="II",2,1)))</f>
        <v>4</v>
      </c>
      <c r="AD386"/>
    </row>
    <row r="387" spans="1:30">
      <c r="A387" t="s">
        <v>95</v>
      </c>
      <c r="B387" s="110">
        <v>5150900</v>
      </c>
      <c r="C387" s="267" t="s">
        <v>452</v>
      </c>
      <c r="D387" s="55"/>
      <c r="E387" s="92">
        <v>7.0000000000000018</v>
      </c>
      <c r="F387" s="68">
        <f t="shared" si="52"/>
        <v>45</v>
      </c>
      <c r="G387" s="181"/>
      <c r="H387" s="276">
        <v>30687531.116500191</v>
      </c>
      <c r="I387" s="68">
        <f t="shared" si="53"/>
        <v>37.5</v>
      </c>
      <c r="K387" s="277">
        <v>50658380.838299491</v>
      </c>
      <c r="L387" s="68">
        <f t="shared" si="54"/>
        <v>30</v>
      </c>
      <c r="M387" s="68"/>
      <c r="N387" s="290">
        <v>1962946983.7377033</v>
      </c>
      <c r="O387" s="68">
        <f t="shared" si="55"/>
        <v>22</v>
      </c>
      <c r="P387" s="68"/>
      <c r="Q387" s="276">
        <v>7664510.4985000081</v>
      </c>
      <c r="R387" s="68">
        <f t="shared" si="56"/>
        <v>12.5</v>
      </c>
      <c r="S387" s="238"/>
      <c r="T387" s="56" t="s">
        <v>37</v>
      </c>
      <c r="U387" s="68">
        <f t="shared" si="57"/>
        <v>12.5</v>
      </c>
      <c r="V387" s="68"/>
      <c r="W387" s="69">
        <f t="shared" si="58"/>
        <v>159.5</v>
      </c>
      <c r="X387" s="93" t="str">
        <f t="shared" si="59"/>
        <v>III</v>
      </c>
      <c r="Y387" s="93">
        <f t="shared" si="60"/>
        <v>3</v>
      </c>
      <c r="AD387"/>
    </row>
    <row r="388" spans="1:30">
      <c r="A388" t="s">
        <v>73</v>
      </c>
      <c r="B388" s="110">
        <v>4259900</v>
      </c>
      <c r="C388" s="267" t="s">
        <v>453</v>
      </c>
      <c r="D388" s="55"/>
      <c r="E388" s="92">
        <v>10.135382387784652</v>
      </c>
      <c r="F388" s="68">
        <f t="shared" si="52"/>
        <v>75</v>
      </c>
      <c r="G388" s="181"/>
      <c r="H388" s="276">
        <v>34584152.481200159</v>
      </c>
      <c r="I388" s="68">
        <f t="shared" si="53"/>
        <v>62.5</v>
      </c>
      <c r="K388" s="277">
        <v>55814712.235999785</v>
      </c>
      <c r="L388" s="68">
        <f t="shared" si="54"/>
        <v>30</v>
      </c>
      <c r="M388" s="68"/>
      <c r="N388" s="290">
        <v>1476877903.7051003</v>
      </c>
      <c r="O388" s="68">
        <f t="shared" si="55"/>
        <v>22</v>
      </c>
      <c r="P388" s="68"/>
      <c r="Q388" s="276">
        <v>14471835.119299956</v>
      </c>
      <c r="R388" s="68">
        <f t="shared" si="56"/>
        <v>12.5</v>
      </c>
      <c r="S388" s="238"/>
      <c r="T388" s="56" t="s">
        <v>37</v>
      </c>
      <c r="U388" s="68">
        <f t="shared" si="57"/>
        <v>12.5</v>
      </c>
      <c r="V388" s="68"/>
      <c r="W388" s="69">
        <f t="shared" si="58"/>
        <v>214.5</v>
      </c>
      <c r="X388" s="93" t="str">
        <f t="shared" si="59"/>
        <v>II</v>
      </c>
      <c r="Y388" s="93">
        <f t="shared" si="60"/>
        <v>2</v>
      </c>
      <c r="AD388"/>
    </row>
    <row r="389" spans="1:30">
      <c r="A389" t="s">
        <v>73</v>
      </c>
      <c r="B389" s="110">
        <v>4289800</v>
      </c>
      <c r="C389" s="267" t="s">
        <v>454</v>
      </c>
      <c r="D389" s="55"/>
      <c r="E389" s="92">
        <v>11.011326241219621</v>
      </c>
      <c r="F389" s="68">
        <f t="shared" si="52"/>
        <v>75</v>
      </c>
      <c r="G389" s="181"/>
      <c r="H389" s="276">
        <v>49444962.201799855</v>
      </c>
      <c r="I389" s="68">
        <f t="shared" si="53"/>
        <v>62.5</v>
      </c>
      <c r="K389" s="277">
        <v>85745833.666399643</v>
      </c>
      <c r="L389" s="68">
        <f t="shared" si="54"/>
        <v>50</v>
      </c>
      <c r="M389" s="68"/>
      <c r="N389" s="290">
        <v>2260616814.0080996</v>
      </c>
      <c r="O389" s="68">
        <f t="shared" si="55"/>
        <v>40</v>
      </c>
      <c r="P389" s="68"/>
      <c r="Q389" s="276">
        <v>0</v>
      </c>
      <c r="R389" s="68">
        <f t="shared" si="56"/>
        <v>0</v>
      </c>
      <c r="S389" s="238"/>
      <c r="T389" s="56" t="s">
        <v>37</v>
      </c>
      <c r="U389" s="68">
        <f t="shared" si="57"/>
        <v>12.5</v>
      </c>
      <c r="V389" s="68"/>
      <c r="W389" s="69">
        <f t="shared" si="58"/>
        <v>240</v>
      </c>
      <c r="X389" s="93" t="str">
        <f t="shared" si="59"/>
        <v>II</v>
      </c>
      <c r="Y389" s="93">
        <f t="shared" si="60"/>
        <v>2</v>
      </c>
      <c r="AD389"/>
    </row>
    <row r="390" spans="1:30">
      <c r="A390" t="s">
        <v>67</v>
      </c>
      <c r="B390" s="110">
        <v>4047500</v>
      </c>
      <c r="C390" s="267" t="s">
        <v>455</v>
      </c>
      <c r="D390" s="55"/>
      <c r="E390" s="92">
        <v>10.135382387784652</v>
      </c>
      <c r="F390" s="68">
        <f t="shared" si="52"/>
        <v>75</v>
      </c>
      <c r="G390" s="181"/>
      <c r="H390" s="276">
        <v>16118710.058500038</v>
      </c>
      <c r="I390" s="68">
        <f t="shared" si="53"/>
        <v>25</v>
      </c>
      <c r="K390" s="277">
        <v>45216006.207900606</v>
      </c>
      <c r="L390" s="68">
        <f t="shared" si="54"/>
        <v>30</v>
      </c>
      <c r="M390" s="68"/>
      <c r="N390" s="290">
        <v>1332449238.0489998</v>
      </c>
      <c r="O390" s="68">
        <f t="shared" si="55"/>
        <v>13</v>
      </c>
      <c r="P390" s="68"/>
      <c r="Q390" s="276">
        <v>15059987.898699922</v>
      </c>
      <c r="R390" s="68">
        <f t="shared" si="56"/>
        <v>25</v>
      </c>
      <c r="S390" s="238"/>
      <c r="T390" s="56" t="s">
        <v>37</v>
      </c>
      <c r="U390" s="68">
        <f t="shared" si="57"/>
        <v>12.5</v>
      </c>
      <c r="V390" s="68"/>
      <c r="W390" s="69">
        <f t="shared" si="58"/>
        <v>180.5</v>
      </c>
      <c r="X390" s="93" t="str">
        <f t="shared" si="59"/>
        <v>III</v>
      </c>
      <c r="Y390" s="93">
        <f t="shared" si="60"/>
        <v>3</v>
      </c>
      <c r="AD390"/>
    </row>
    <row r="391" spans="1:30">
      <c r="A391" t="s">
        <v>67</v>
      </c>
      <c r="B391" s="110">
        <v>4059300</v>
      </c>
      <c r="C391" s="267" t="s">
        <v>456</v>
      </c>
      <c r="D391" s="55"/>
      <c r="E391" s="92">
        <v>9.1974104610671681</v>
      </c>
      <c r="F391" s="68">
        <f t="shared" si="52"/>
        <v>45</v>
      </c>
      <c r="G391" s="181"/>
      <c r="H391" s="276">
        <v>31071483.030000322</v>
      </c>
      <c r="I391" s="68">
        <f t="shared" si="53"/>
        <v>37.5</v>
      </c>
      <c r="K391" s="277">
        <v>56510162.796498515</v>
      </c>
      <c r="L391" s="68">
        <f t="shared" si="54"/>
        <v>30</v>
      </c>
      <c r="M391" s="68"/>
      <c r="N391" s="290">
        <v>2994649350.2417002</v>
      </c>
      <c r="O391" s="68">
        <f t="shared" si="55"/>
        <v>75</v>
      </c>
      <c r="P391" s="68"/>
      <c r="Q391" s="276">
        <v>16786738.350501869</v>
      </c>
      <c r="R391" s="68">
        <f t="shared" si="56"/>
        <v>25</v>
      </c>
      <c r="S391" s="238"/>
      <c r="T391" s="56" t="s">
        <v>37</v>
      </c>
      <c r="U391" s="68">
        <f t="shared" si="57"/>
        <v>12.5</v>
      </c>
      <c r="V391" s="68"/>
      <c r="W391" s="69">
        <f t="shared" ref="W391:W429" si="61">F391+I391+L391+O391+R391+U391</f>
        <v>225</v>
      </c>
      <c r="X391" s="93" t="str">
        <f t="shared" ref="X391:X429" si="62">IF(W391&lt;=$Y$11,$W$11,IF(W391&lt;=$Y$10,$W$10,IF(W391&lt;=$Y$9,$W$9,$W$8)))</f>
        <v>II</v>
      </c>
      <c r="Y391" s="93">
        <f t="shared" ref="Y391:Y428" si="63">IF(X391="IV",4,IF(X391="III",3,IF(X391="II",2,1)))</f>
        <v>2</v>
      </c>
      <c r="AD391"/>
    </row>
    <row r="392" spans="1:30">
      <c r="A392" t="s">
        <v>67</v>
      </c>
      <c r="B392" s="110">
        <v>4049700</v>
      </c>
      <c r="C392" s="267" t="s">
        <v>457</v>
      </c>
      <c r="D392" s="55"/>
      <c r="E392" s="92">
        <v>8.2594385343496839</v>
      </c>
      <c r="F392" s="68">
        <f t="shared" si="52"/>
        <v>45</v>
      </c>
      <c r="G392" s="181"/>
      <c r="H392" s="276">
        <v>22780054.375701219</v>
      </c>
      <c r="I392" s="68">
        <f t="shared" si="53"/>
        <v>37.5</v>
      </c>
      <c r="K392" s="277">
        <v>35581278.27979777</v>
      </c>
      <c r="L392" s="68">
        <f t="shared" si="54"/>
        <v>20</v>
      </c>
      <c r="M392" s="68"/>
      <c r="N392" s="290">
        <v>1999143230.0033133</v>
      </c>
      <c r="O392" s="68">
        <f t="shared" si="55"/>
        <v>22</v>
      </c>
      <c r="P392" s="68"/>
      <c r="Q392" s="276">
        <v>0</v>
      </c>
      <c r="R392" s="68">
        <f t="shared" si="56"/>
        <v>0</v>
      </c>
      <c r="S392" s="238"/>
      <c r="T392" s="56" t="s">
        <v>37</v>
      </c>
      <c r="U392" s="68">
        <f t="shared" si="57"/>
        <v>12.5</v>
      </c>
      <c r="V392" s="68"/>
      <c r="W392" s="69">
        <f t="shared" si="61"/>
        <v>137</v>
      </c>
      <c r="X392" s="93" t="str">
        <f t="shared" si="62"/>
        <v>III</v>
      </c>
      <c r="Y392" s="93">
        <f t="shared" si="63"/>
        <v>3</v>
      </c>
      <c r="AD392"/>
    </row>
    <row r="393" spans="1:30">
      <c r="A393" t="s">
        <v>105</v>
      </c>
      <c r="B393" s="110">
        <v>7059800</v>
      </c>
      <c r="C393" s="267" t="s">
        <v>458</v>
      </c>
      <c r="D393" s="55"/>
      <c r="E393" s="92">
        <v>10.135382387784652</v>
      </c>
      <c r="F393" s="68">
        <f t="shared" si="52"/>
        <v>75</v>
      </c>
      <c r="G393" s="181"/>
      <c r="H393" s="276">
        <v>54725989.394999728</v>
      </c>
      <c r="I393" s="68">
        <f t="shared" si="53"/>
        <v>62.5</v>
      </c>
      <c r="K393" s="277">
        <v>73166976.835100025</v>
      </c>
      <c r="L393" s="68">
        <f t="shared" si="54"/>
        <v>50</v>
      </c>
      <c r="M393" s="68"/>
      <c r="N393" s="290">
        <v>2598771425.1122932</v>
      </c>
      <c r="O393" s="68">
        <f t="shared" si="55"/>
        <v>40</v>
      </c>
      <c r="P393" s="68"/>
      <c r="Q393" s="276">
        <v>0</v>
      </c>
      <c r="R393" s="68">
        <f t="shared" si="56"/>
        <v>0</v>
      </c>
      <c r="S393" s="238"/>
      <c r="T393" s="56" t="s">
        <v>37</v>
      </c>
      <c r="U393" s="68">
        <f t="shared" si="57"/>
        <v>12.5</v>
      </c>
      <c r="V393" s="68"/>
      <c r="W393" s="69">
        <f t="shared" si="61"/>
        <v>240</v>
      </c>
      <c r="X393" s="93" t="str">
        <f t="shared" si="62"/>
        <v>II</v>
      </c>
      <c r="Y393" s="93">
        <f t="shared" si="63"/>
        <v>2</v>
      </c>
      <c r="AD393"/>
    </row>
    <row r="394" spans="1:30">
      <c r="A394" t="s">
        <v>105</v>
      </c>
      <c r="B394" s="110">
        <v>6179500</v>
      </c>
      <c r="C394" s="267" t="s">
        <v>459</v>
      </c>
      <c r="D394" s="55"/>
      <c r="E394" s="92">
        <v>7.8834946809147155</v>
      </c>
      <c r="F394" s="68">
        <f t="shared" si="52"/>
        <v>45</v>
      </c>
      <c r="G394" s="181"/>
      <c r="H394" s="276">
        <v>34804893.034898445</v>
      </c>
      <c r="I394" s="68">
        <f t="shared" si="53"/>
        <v>62.5</v>
      </c>
      <c r="K394" s="277">
        <v>66259685.563308351</v>
      </c>
      <c r="L394" s="68">
        <f t="shared" si="54"/>
        <v>50</v>
      </c>
      <c r="M394" s="68"/>
      <c r="N394" s="290">
        <v>2046447790.7579021</v>
      </c>
      <c r="O394" s="68">
        <f t="shared" si="55"/>
        <v>22</v>
      </c>
      <c r="P394" s="68"/>
      <c r="Q394" s="276">
        <v>4865289.9258999992</v>
      </c>
      <c r="R394" s="68">
        <f t="shared" si="56"/>
        <v>12.5</v>
      </c>
      <c r="S394" s="238"/>
      <c r="T394" s="56" t="s">
        <v>37</v>
      </c>
      <c r="U394" s="68">
        <f t="shared" si="57"/>
        <v>12.5</v>
      </c>
      <c r="V394" s="68"/>
      <c r="W394" s="69">
        <f t="shared" si="61"/>
        <v>204.5</v>
      </c>
      <c r="X394" s="93" t="str">
        <f t="shared" si="62"/>
        <v>II</v>
      </c>
      <c r="Y394" s="93">
        <f t="shared" si="63"/>
        <v>2</v>
      </c>
      <c r="AD394"/>
    </row>
    <row r="395" spans="1:30">
      <c r="A395" t="s">
        <v>99</v>
      </c>
      <c r="B395" s="110">
        <v>6254300</v>
      </c>
      <c r="C395" s="267" t="s">
        <v>460</v>
      </c>
      <c r="D395" s="55"/>
      <c r="E395" s="92">
        <v>6.2982736407114448</v>
      </c>
      <c r="F395" s="68">
        <f t="shared" si="52"/>
        <v>30</v>
      </c>
      <c r="G395" s="181"/>
      <c r="H395" s="276">
        <v>24153287.122400034</v>
      </c>
      <c r="I395" s="68">
        <f t="shared" si="53"/>
        <v>37.5</v>
      </c>
      <c r="K395" s="277">
        <v>51158607.538098559</v>
      </c>
      <c r="L395" s="68">
        <f t="shared" si="54"/>
        <v>30</v>
      </c>
      <c r="M395" s="68"/>
      <c r="N395" s="290">
        <v>1759625033.7041979</v>
      </c>
      <c r="O395" s="68">
        <f t="shared" si="55"/>
        <v>22</v>
      </c>
      <c r="P395" s="68"/>
      <c r="Q395" s="276">
        <v>0</v>
      </c>
      <c r="R395" s="68">
        <f t="shared" si="56"/>
        <v>0</v>
      </c>
      <c r="S395" s="238"/>
      <c r="T395" s="56" t="s">
        <v>37</v>
      </c>
      <c r="U395" s="68">
        <f t="shared" si="57"/>
        <v>12.5</v>
      </c>
      <c r="V395" s="68"/>
      <c r="W395" s="69">
        <f t="shared" si="61"/>
        <v>132</v>
      </c>
      <c r="X395" s="93" t="str">
        <f t="shared" si="62"/>
        <v>III</v>
      </c>
      <c r="Y395" s="93">
        <f t="shared" si="63"/>
        <v>3</v>
      </c>
    </row>
    <row r="396" spans="1:30">
      <c r="A396" t="s">
        <v>82</v>
      </c>
      <c r="B396" s="110">
        <v>7355200</v>
      </c>
      <c r="C396" s="267" t="s">
        <v>461</v>
      </c>
      <c r="D396" s="55"/>
      <c r="E396" s="92">
        <v>3.6607333038160998</v>
      </c>
      <c r="F396" s="68">
        <f t="shared" si="52"/>
        <v>30</v>
      </c>
      <c r="G396" s="181"/>
      <c r="H396" s="276">
        <v>1465780.4626000002</v>
      </c>
      <c r="I396" s="68">
        <f t="shared" si="53"/>
        <v>25</v>
      </c>
      <c r="K396" s="277">
        <v>31822983.40999978</v>
      </c>
      <c r="L396" s="68">
        <f t="shared" si="54"/>
        <v>20</v>
      </c>
      <c r="M396" s="68"/>
      <c r="N396" s="290">
        <v>998965622.86310279</v>
      </c>
      <c r="O396" s="68">
        <f t="shared" si="55"/>
        <v>13</v>
      </c>
      <c r="P396" s="68"/>
      <c r="Q396" s="276">
        <v>0</v>
      </c>
      <c r="R396" s="68">
        <f t="shared" si="56"/>
        <v>0</v>
      </c>
      <c r="S396" s="238"/>
      <c r="T396" s="56" t="s">
        <v>37</v>
      </c>
      <c r="U396" s="68">
        <f t="shared" si="57"/>
        <v>12.5</v>
      </c>
      <c r="V396" s="68"/>
      <c r="W396" s="69">
        <f t="shared" si="61"/>
        <v>100.5</v>
      </c>
      <c r="X396" s="93" t="str">
        <f t="shared" si="62"/>
        <v>IV</v>
      </c>
      <c r="Y396" s="93">
        <f t="shared" si="63"/>
        <v>4</v>
      </c>
    </row>
    <row r="397" spans="1:30">
      <c r="A397" t="s">
        <v>203</v>
      </c>
      <c r="B397" s="110">
        <v>6844400</v>
      </c>
      <c r="C397" s="267" t="s">
        <v>462</v>
      </c>
      <c r="D397" s="55"/>
      <c r="E397" s="92">
        <v>13.451626030645102</v>
      </c>
      <c r="F397" s="68">
        <f t="shared" si="52"/>
        <v>75</v>
      </c>
      <c r="G397" s="181"/>
      <c r="H397" s="276">
        <v>48244886.8710972</v>
      </c>
      <c r="I397" s="68">
        <f t="shared" si="53"/>
        <v>62.5</v>
      </c>
      <c r="K397" s="277">
        <v>87538831.942101523</v>
      </c>
      <c r="L397" s="68">
        <f t="shared" si="54"/>
        <v>50</v>
      </c>
      <c r="M397" s="68"/>
      <c r="N397" s="290">
        <v>3029532942.0838938</v>
      </c>
      <c r="O397" s="68">
        <f t="shared" si="55"/>
        <v>75</v>
      </c>
      <c r="P397" s="68"/>
      <c r="Q397" s="276">
        <v>18715411.646198858</v>
      </c>
      <c r="R397" s="68">
        <f t="shared" si="56"/>
        <v>25</v>
      </c>
      <c r="S397" s="238"/>
      <c r="T397" s="56" t="s">
        <v>37</v>
      </c>
      <c r="U397" s="68">
        <f t="shared" si="57"/>
        <v>12.5</v>
      </c>
      <c r="V397" s="68"/>
      <c r="W397" s="69">
        <f t="shared" si="61"/>
        <v>300</v>
      </c>
      <c r="X397" s="93" t="str">
        <f t="shared" si="62"/>
        <v>II</v>
      </c>
      <c r="Y397" s="93">
        <f t="shared" si="63"/>
        <v>2</v>
      </c>
    </row>
    <row r="398" spans="1:30">
      <c r="A398" t="s">
        <v>82</v>
      </c>
      <c r="B398" s="110">
        <v>6855100</v>
      </c>
      <c r="C398" s="267" t="s">
        <v>463</v>
      </c>
      <c r="D398" s="55"/>
      <c r="E398" s="92">
        <v>9.2594385343496839</v>
      </c>
      <c r="F398" s="68">
        <f t="shared" si="52"/>
        <v>45</v>
      </c>
      <c r="G398" s="181"/>
      <c r="H398" s="276">
        <v>28993566.606500044</v>
      </c>
      <c r="I398" s="68">
        <f t="shared" si="53"/>
        <v>37.5</v>
      </c>
      <c r="K398" s="277">
        <v>45349618.392399266</v>
      </c>
      <c r="L398" s="68">
        <f t="shared" si="54"/>
        <v>30</v>
      </c>
      <c r="M398" s="68"/>
      <c r="N398" s="290">
        <v>1421023622.5361001</v>
      </c>
      <c r="O398" s="68">
        <f t="shared" si="55"/>
        <v>22</v>
      </c>
      <c r="P398" s="68"/>
      <c r="Q398" s="276">
        <v>0</v>
      </c>
      <c r="R398" s="68">
        <f t="shared" si="56"/>
        <v>0</v>
      </c>
      <c r="S398" s="238"/>
      <c r="T398" s="56" t="s">
        <v>37</v>
      </c>
      <c r="U398" s="68">
        <f t="shared" si="57"/>
        <v>12.5</v>
      </c>
      <c r="V398" s="68"/>
      <c r="W398" s="69">
        <f t="shared" si="61"/>
        <v>147</v>
      </c>
      <c r="X398" s="93" t="str">
        <f t="shared" si="62"/>
        <v>III</v>
      </c>
      <c r="Y398" s="93">
        <f t="shared" si="63"/>
        <v>3</v>
      </c>
    </row>
    <row r="399" spans="1:30">
      <c r="A399" t="s">
        <v>71</v>
      </c>
      <c r="B399" s="110">
        <v>5153100</v>
      </c>
      <c r="C399" s="267" t="s">
        <v>464</v>
      </c>
      <c r="D399" s="55"/>
      <c r="E399" s="92">
        <v>2.8156060406619838</v>
      </c>
      <c r="F399" s="68">
        <f t="shared" si="52"/>
        <v>30</v>
      </c>
      <c r="G399" s="181"/>
      <c r="H399" s="276">
        <v>0</v>
      </c>
      <c r="I399" s="68">
        <f t="shared" si="53"/>
        <v>0</v>
      </c>
      <c r="K399" s="277">
        <v>25224783.783399887</v>
      </c>
      <c r="L399" s="68">
        <f t="shared" si="54"/>
        <v>20</v>
      </c>
      <c r="M399" s="68"/>
      <c r="N399" s="290">
        <v>1044463789.8086996</v>
      </c>
      <c r="O399" s="68">
        <f t="shared" si="55"/>
        <v>13</v>
      </c>
      <c r="P399" s="68"/>
      <c r="Q399" s="276">
        <v>0</v>
      </c>
      <c r="R399" s="68">
        <f t="shared" si="56"/>
        <v>0</v>
      </c>
      <c r="S399" s="238"/>
      <c r="T399" s="56" t="s">
        <v>37</v>
      </c>
      <c r="U399" s="68">
        <f t="shared" si="57"/>
        <v>12.5</v>
      </c>
      <c r="V399" s="68"/>
      <c r="W399" s="69">
        <f t="shared" si="61"/>
        <v>75.5</v>
      </c>
      <c r="X399" s="93" t="str">
        <f t="shared" si="62"/>
        <v>IV</v>
      </c>
      <c r="Y399" s="93">
        <f t="shared" si="63"/>
        <v>4</v>
      </c>
    </row>
    <row r="400" spans="1:30">
      <c r="A400" t="s">
        <v>71</v>
      </c>
      <c r="B400" s="110">
        <v>8165200</v>
      </c>
      <c r="C400" s="267" t="s">
        <v>465</v>
      </c>
      <c r="D400" s="55"/>
      <c r="E400" s="92">
        <v>6.3816069740447787</v>
      </c>
      <c r="F400" s="68">
        <f t="shared" si="52"/>
        <v>30</v>
      </c>
      <c r="G400" s="181"/>
      <c r="H400" s="276">
        <v>13790214.997599987</v>
      </c>
      <c r="I400" s="68">
        <f t="shared" si="53"/>
        <v>25</v>
      </c>
      <c r="K400" s="277">
        <v>26442683.389300793</v>
      </c>
      <c r="L400" s="68">
        <f t="shared" si="54"/>
        <v>20</v>
      </c>
      <c r="M400" s="68"/>
      <c r="N400" s="290">
        <v>1072313272.4357028</v>
      </c>
      <c r="O400" s="68">
        <f t="shared" si="55"/>
        <v>13</v>
      </c>
      <c r="P400" s="68"/>
      <c r="Q400" s="276">
        <v>0</v>
      </c>
      <c r="R400" s="68">
        <f t="shared" si="56"/>
        <v>0</v>
      </c>
      <c r="S400" s="238"/>
      <c r="T400" s="56" t="s">
        <v>37</v>
      </c>
      <c r="U400" s="68">
        <f t="shared" si="57"/>
        <v>12.5</v>
      </c>
      <c r="V400" s="68"/>
      <c r="W400" s="69">
        <f t="shared" si="61"/>
        <v>100.5</v>
      </c>
      <c r="X400" s="93" t="str">
        <f t="shared" si="62"/>
        <v>IV</v>
      </c>
      <c r="Y400" s="93">
        <f t="shared" si="63"/>
        <v>4</v>
      </c>
    </row>
    <row r="401" spans="1:25">
      <c r="A401" t="s">
        <v>75</v>
      </c>
      <c r="B401" s="110">
        <v>3554700</v>
      </c>
      <c r="C401" s="267" t="s">
        <v>466</v>
      </c>
      <c r="D401" s="55"/>
      <c r="E401" s="92">
        <v>16.041951236774121</v>
      </c>
      <c r="F401" s="68">
        <f t="shared" si="52"/>
        <v>150</v>
      </c>
      <c r="G401" s="181"/>
      <c r="H401" s="276">
        <v>72382578.085565731</v>
      </c>
      <c r="I401" s="68">
        <f t="shared" si="53"/>
        <v>125</v>
      </c>
      <c r="K401" s="277">
        <v>102843996.6743038</v>
      </c>
      <c r="L401" s="68">
        <f t="shared" si="54"/>
        <v>100</v>
      </c>
      <c r="M401" s="68"/>
      <c r="N401" s="290">
        <v>2053841826.8671994</v>
      </c>
      <c r="O401" s="68">
        <f t="shared" si="55"/>
        <v>22</v>
      </c>
      <c r="P401" s="68"/>
      <c r="Q401" s="276">
        <v>0</v>
      </c>
      <c r="R401" s="68">
        <f t="shared" si="56"/>
        <v>0</v>
      </c>
      <c r="S401" s="238"/>
      <c r="T401" s="56" t="s">
        <v>32</v>
      </c>
      <c r="U401" s="68">
        <f t="shared" si="57"/>
        <v>25</v>
      </c>
      <c r="V401" s="68"/>
      <c r="W401" s="69">
        <f t="shared" si="61"/>
        <v>422</v>
      </c>
      <c r="X401" s="93" t="str">
        <f t="shared" si="62"/>
        <v>I</v>
      </c>
      <c r="Y401" s="93">
        <f t="shared" si="63"/>
        <v>1</v>
      </c>
    </row>
    <row r="402" spans="1:25">
      <c r="A402" t="s">
        <v>113</v>
      </c>
      <c r="B402" s="110">
        <v>8075200</v>
      </c>
      <c r="C402" s="267" t="s">
        <v>467</v>
      </c>
      <c r="D402" s="55"/>
      <c r="E402" s="92">
        <v>7.6121894208638974</v>
      </c>
      <c r="F402" s="68">
        <f t="shared" si="52"/>
        <v>45</v>
      </c>
      <c r="G402" s="181"/>
      <c r="H402" s="276">
        <v>18924487.019499891</v>
      </c>
      <c r="I402" s="68">
        <f t="shared" si="53"/>
        <v>37.5</v>
      </c>
      <c r="K402" s="277">
        <v>51005826.572601542</v>
      </c>
      <c r="L402" s="68">
        <f t="shared" si="54"/>
        <v>30</v>
      </c>
      <c r="M402" s="68"/>
      <c r="N402" s="290">
        <v>1961619175.7865026</v>
      </c>
      <c r="O402" s="68">
        <f t="shared" si="55"/>
        <v>22</v>
      </c>
      <c r="P402" s="68"/>
      <c r="Q402" s="276">
        <v>8450175.7871999983</v>
      </c>
      <c r="R402" s="68">
        <f t="shared" si="56"/>
        <v>12.5</v>
      </c>
      <c r="S402" s="238"/>
      <c r="T402" s="56" t="s">
        <v>37</v>
      </c>
      <c r="U402" s="68">
        <f t="shared" si="57"/>
        <v>12.5</v>
      </c>
      <c r="V402" s="68"/>
      <c r="W402" s="69">
        <f t="shared" si="61"/>
        <v>159.5</v>
      </c>
      <c r="X402" s="93" t="str">
        <f t="shared" si="62"/>
        <v>III</v>
      </c>
      <c r="Y402" s="93">
        <f t="shared" si="63"/>
        <v>3</v>
      </c>
    </row>
    <row r="403" spans="1:25">
      <c r="A403" t="s">
        <v>105</v>
      </c>
      <c r="B403" s="110">
        <v>6168800</v>
      </c>
      <c r="C403" s="267" t="s">
        <v>468</v>
      </c>
      <c r="D403" s="55"/>
      <c r="E403" s="92">
        <v>3.9417473404573578</v>
      </c>
      <c r="F403" s="68">
        <f t="shared" ref="F403:F429" si="64">IF(E403=0,0,IF(E403&lt;=E$11,G$11,IF(E403&lt;=E$10,G$10,IF(E403&lt;=E$9,G$9,G$8))))</f>
        <v>30</v>
      </c>
      <c r="G403" s="181"/>
      <c r="H403" s="276">
        <v>1453179.7923999992</v>
      </c>
      <c r="I403" s="68">
        <f t="shared" ref="I403:I429" si="65">IF(H403=0,0,IF(H403&lt;=H$11,J$11,IF(H403&lt;=H$10,J$10,IF(H403&lt;=H$9,J$9,J$8))))</f>
        <v>25</v>
      </c>
      <c r="K403" s="277">
        <v>27765238.133499868</v>
      </c>
      <c r="L403" s="68">
        <f t="shared" ref="L403:L429" si="66">IF(K403=0,0,IF(K403&lt;=K$11,M$11,IF(K403&lt;=K$10,M$10,IF(K403&lt;=K$9,M$9,M$8))))</f>
        <v>20</v>
      </c>
      <c r="M403" s="68"/>
      <c r="N403" s="290">
        <v>670691546.63700187</v>
      </c>
      <c r="O403" s="68">
        <f t="shared" ref="O403:O429" si="67">IF(N403=0,0,IF(N403&lt;=N$11,P$11,IF(N403&lt;=N$10,P$10,IF(N403&lt;=N$9,P$9,P$8))))</f>
        <v>13</v>
      </c>
      <c r="P403" s="68"/>
      <c r="Q403" s="276">
        <v>0</v>
      </c>
      <c r="R403" s="68">
        <f t="shared" ref="R403:R429" si="68">IF(Q403=0,0,IF(Q403&lt;=Q$11,S$11,IF(Q403&lt;=Q$10,S$10,IF(Q403&lt;=Q$9,S$9,S$8))))</f>
        <v>0</v>
      </c>
      <c r="S403" s="238"/>
      <c r="T403" s="56" t="s">
        <v>37</v>
      </c>
      <c r="U403" s="68">
        <f t="shared" ref="U403:U429" si="69">IF(T403=0,0,IF(T403=T$9,V$9,V$8))</f>
        <v>12.5</v>
      </c>
      <c r="V403" s="68"/>
      <c r="W403" s="69">
        <f t="shared" si="61"/>
        <v>100.5</v>
      </c>
      <c r="X403" s="93" t="str">
        <f t="shared" si="62"/>
        <v>IV</v>
      </c>
      <c r="Y403" s="93">
        <f t="shared" si="63"/>
        <v>4</v>
      </c>
    </row>
    <row r="404" spans="1:25">
      <c r="A404" t="s">
        <v>82</v>
      </c>
      <c r="B404" s="110">
        <v>7351500</v>
      </c>
      <c r="C404" s="267" t="s">
        <v>469</v>
      </c>
      <c r="D404" s="55"/>
      <c r="E404" s="92">
        <v>6.5695789007622629</v>
      </c>
      <c r="F404" s="68">
        <f t="shared" si="64"/>
        <v>45</v>
      </c>
      <c r="G404" s="181"/>
      <c r="H404" s="276">
        <v>5182519.9219000107</v>
      </c>
      <c r="I404" s="68">
        <f t="shared" si="65"/>
        <v>25</v>
      </c>
      <c r="K404" s="277">
        <v>26702145.158101857</v>
      </c>
      <c r="L404" s="68">
        <f t="shared" si="66"/>
        <v>20</v>
      </c>
      <c r="M404" s="68"/>
      <c r="N404" s="290">
        <v>1446672474.3358006</v>
      </c>
      <c r="O404" s="68">
        <f t="shared" si="67"/>
        <v>22</v>
      </c>
      <c r="P404" s="68"/>
      <c r="Q404" s="276">
        <v>0</v>
      </c>
      <c r="R404" s="68">
        <f t="shared" si="68"/>
        <v>0</v>
      </c>
      <c r="S404" s="238"/>
      <c r="T404" s="56" t="s">
        <v>37</v>
      </c>
      <c r="U404" s="68">
        <f t="shared" si="69"/>
        <v>12.5</v>
      </c>
      <c r="V404" s="68"/>
      <c r="W404" s="69">
        <f t="shared" si="61"/>
        <v>124.5</v>
      </c>
      <c r="X404" s="93" t="str">
        <f t="shared" si="62"/>
        <v>III</v>
      </c>
      <c r="Y404" s="93">
        <f t="shared" si="63"/>
        <v>3</v>
      </c>
    </row>
    <row r="405" spans="1:25">
      <c r="A405" t="s">
        <v>75</v>
      </c>
      <c r="B405" s="110">
        <v>3565500</v>
      </c>
      <c r="C405" s="267" t="s">
        <v>470</v>
      </c>
      <c r="D405" s="55"/>
      <c r="E405" s="92">
        <v>9.6974104610671681</v>
      </c>
      <c r="F405" s="68">
        <f t="shared" si="64"/>
        <v>45</v>
      </c>
      <c r="G405" s="181"/>
      <c r="H405" s="276">
        <v>35230258.608998097</v>
      </c>
      <c r="I405" s="68">
        <f t="shared" si="65"/>
        <v>62.5</v>
      </c>
      <c r="K405" s="277">
        <v>67555447.177699655</v>
      </c>
      <c r="L405" s="68">
        <f t="shared" si="66"/>
        <v>50</v>
      </c>
      <c r="M405" s="68"/>
      <c r="N405" s="290">
        <v>2455617931.4868016</v>
      </c>
      <c r="O405" s="68">
        <f t="shared" si="67"/>
        <v>40</v>
      </c>
      <c r="P405" s="68"/>
      <c r="Q405" s="276">
        <v>20074778.615299784</v>
      </c>
      <c r="R405" s="68">
        <f t="shared" si="68"/>
        <v>25</v>
      </c>
      <c r="S405" s="238"/>
      <c r="T405" s="56" t="s">
        <v>37</v>
      </c>
      <c r="U405" s="68">
        <f t="shared" si="69"/>
        <v>12.5</v>
      </c>
      <c r="V405" s="68"/>
      <c r="W405" s="69">
        <f t="shared" si="61"/>
        <v>235</v>
      </c>
      <c r="X405" s="93" t="str">
        <f t="shared" si="62"/>
        <v>II</v>
      </c>
      <c r="Y405" s="93">
        <f t="shared" si="63"/>
        <v>2</v>
      </c>
    </row>
    <row r="406" spans="1:25">
      <c r="A406" t="s">
        <v>75</v>
      </c>
      <c r="B406" s="110">
        <v>3457400</v>
      </c>
      <c r="C406" s="267" t="s">
        <v>471</v>
      </c>
      <c r="D406" s="55"/>
      <c r="E406" s="92">
        <v>6.9029122340955968</v>
      </c>
      <c r="F406" s="68">
        <f t="shared" si="64"/>
        <v>45</v>
      </c>
      <c r="G406" s="181"/>
      <c r="H406" s="276">
        <v>17219524.893298931</v>
      </c>
      <c r="I406" s="68">
        <f t="shared" si="65"/>
        <v>25</v>
      </c>
      <c r="K406" s="277">
        <v>56079142.628600605</v>
      </c>
      <c r="L406" s="68">
        <f t="shared" si="66"/>
        <v>30</v>
      </c>
      <c r="M406" s="68"/>
      <c r="N406" s="290">
        <v>1914024909.2632093</v>
      </c>
      <c r="O406" s="68">
        <f t="shared" si="67"/>
        <v>22</v>
      </c>
      <c r="P406" s="68"/>
      <c r="Q406" s="276">
        <v>14525398.13080088</v>
      </c>
      <c r="R406" s="68">
        <f t="shared" si="68"/>
        <v>12.5</v>
      </c>
      <c r="S406" s="238"/>
      <c r="T406" s="56" t="s">
        <v>37</v>
      </c>
      <c r="U406" s="68">
        <f t="shared" si="69"/>
        <v>12.5</v>
      </c>
      <c r="V406" s="68"/>
      <c r="W406" s="69">
        <f t="shared" si="61"/>
        <v>147</v>
      </c>
      <c r="X406" s="93" t="str">
        <f t="shared" si="62"/>
        <v>III</v>
      </c>
      <c r="Y406" s="93">
        <f t="shared" si="63"/>
        <v>3</v>
      </c>
    </row>
    <row r="407" spans="1:25">
      <c r="A407" t="s">
        <v>95</v>
      </c>
      <c r="B407" s="110">
        <v>4855200</v>
      </c>
      <c r="C407" s="267" t="s">
        <v>472</v>
      </c>
      <c r="D407" s="55"/>
      <c r="E407" s="92">
        <v>3.0658034870223894</v>
      </c>
      <c r="F407" s="68">
        <f t="shared" si="64"/>
        <v>30</v>
      </c>
      <c r="G407" s="181"/>
      <c r="H407" s="276">
        <v>0</v>
      </c>
      <c r="I407" s="68">
        <f t="shared" si="65"/>
        <v>0</v>
      </c>
      <c r="K407" s="277">
        <v>19327500.297798924</v>
      </c>
      <c r="L407" s="68">
        <f t="shared" si="66"/>
        <v>20</v>
      </c>
      <c r="M407" s="68"/>
      <c r="N407" s="290">
        <v>810638383.70880032</v>
      </c>
      <c r="O407" s="68">
        <f t="shared" si="67"/>
        <v>13</v>
      </c>
      <c r="P407" s="68"/>
      <c r="Q407" s="276">
        <v>0</v>
      </c>
      <c r="R407" s="68">
        <f t="shared" si="68"/>
        <v>0</v>
      </c>
      <c r="S407" s="238"/>
      <c r="T407" s="56" t="s">
        <v>37</v>
      </c>
      <c r="U407" s="68">
        <f t="shared" si="69"/>
        <v>12.5</v>
      </c>
      <c r="V407" s="68"/>
      <c r="W407" s="69">
        <f t="shared" si="61"/>
        <v>75.5</v>
      </c>
      <c r="X407" s="93" t="str">
        <f t="shared" si="62"/>
        <v>IV</v>
      </c>
      <c r="Y407" s="93">
        <f t="shared" si="63"/>
        <v>4</v>
      </c>
    </row>
    <row r="408" spans="1:25">
      <c r="A408" t="s">
        <v>105</v>
      </c>
      <c r="B408" s="110">
        <v>7055400</v>
      </c>
      <c r="C408" s="267" t="s">
        <v>473</v>
      </c>
      <c r="D408" s="55"/>
      <c r="E408" s="92">
        <v>2.6278315603049052</v>
      </c>
      <c r="F408" s="68">
        <f t="shared" si="64"/>
        <v>30</v>
      </c>
      <c r="G408" s="181"/>
      <c r="H408" s="276">
        <v>1012627.6916000005</v>
      </c>
      <c r="I408" s="68">
        <f t="shared" si="65"/>
        <v>25</v>
      </c>
      <c r="K408" s="277">
        <v>24328297.888498917</v>
      </c>
      <c r="L408" s="68">
        <f t="shared" si="66"/>
        <v>20</v>
      </c>
      <c r="M408" s="68"/>
      <c r="N408" s="290">
        <v>960214413.92179978</v>
      </c>
      <c r="O408" s="68">
        <f t="shared" si="67"/>
        <v>13</v>
      </c>
      <c r="P408" s="68"/>
      <c r="Q408" s="276">
        <v>0</v>
      </c>
      <c r="R408" s="68">
        <f t="shared" si="68"/>
        <v>0</v>
      </c>
      <c r="S408" s="238"/>
      <c r="T408" s="56" t="s">
        <v>37</v>
      </c>
      <c r="U408" s="68">
        <f t="shared" si="69"/>
        <v>12.5</v>
      </c>
      <c r="V408" s="68"/>
      <c r="W408" s="69">
        <f t="shared" si="61"/>
        <v>100.5</v>
      </c>
      <c r="X408" s="93" t="str">
        <f t="shared" si="62"/>
        <v>IV</v>
      </c>
      <c r="Y408" s="93">
        <f t="shared" si="63"/>
        <v>4</v>
      </c>
    </row>
    <row r="409" spans="1:25">
      <c r="A409" t="s">
        <v>86</v>
      </c>
      <c r="B409" s="110">
        <v>4263200</v>
      </c>
      <c r="C409" s="267" t="s">
        <v>474</v>
      </c>
      <c r="D409" s="55"/>
      <c r="E409" s="92">
        <v>5.2978787479906337</v>
      </c>
      <c r="F409" s="68">
        <f t="shared" si="64"/>
        <v>30</v>
      </c>
      <c r="G409" s="181"/>
      <c r="H409" s="276">
        <v>6955192.8007999826</v>
      </c>
      <c r="I409" s="68">
        <f t="shared" si="65"/>
        <v>25</v>
      </c>
      <c r="K409" s="277">
        <v>26691138.576499823</v>
      </c>
      <c r="L409" s="68">
        <f t="shared" si="66"/>
        <v>20</v>
      </c>
      <c r="M409" s="68"/>
      <c r="N409" s="290">
        <v>1091718691.7337008</v>
      </c>
      <c r="O409" s="68">
        <f t="shared" si="67"/>
        <v>13</v>
      </c>
      <c r="P409" s="68"/>
      <c r="Q409" s="276">
        <v>0</v>
      </c>
      <c r="R409" s="68">
        <f t="shared" si="68"/>
        <v>0</v>
      </c>
      <c r="S409" s="238"/>
      <c r="T409" s="56" t="s">
        <v>37</v>
      </c>
      <c r="U409" s="68">
        <f t="shared" si="69"/>
        <v>12.5</v>
      </c>
      <c r="V409" s="68"/>
      <c r="W409" s="69">
        <f t="shared" si="61"/>
        <v>100.5</v>
      </c>
      <c r="X409" s="93" t="str">
        <f t="shared" si="62"/>
        <v>IV</v>
      </c>
      <c r="Y409" s="93">
        <f t="shared" si="63"/>
        <v>4</v>
      </c>
    </row>
    <row r="410" spans="1:25">
      <c r="A410" t="s">
        <v>67</v>
      </c>
      <c r="B410" s="110">
        <v>8220200</v>
      </c>
      <c r="C410" s="267" t="s">
        <v>475</v>
      </c>
      <c r="D410" s="55"/>
      <c r="E410" s="92">
        <v>10.573354314502136</v>
      </c>
      <c r="F410" s="68">
        <f t="shared" si="64"/>
        <v>75</v>
      </c>
      <c r="G410" s="181"/>
      <c r="H410" s="276">
        <v>32465174.649799693</v>
      </c>
      <c r="I410" s="68">
        <f t="shared" si="65"/>
        <v>37.5</v>
      </c>
      <c r="K410" s="277">
        <v>40891499.388593607</v>
      </c>
      <c r="L410" s="68">
        <f t="shared" si="66"/>
        <v>30</v>
      </c>
      <c r="M410" s="68"/>
      <c r="N410" s="290">
        <v>1834488475.6898963</v>
      </c>
      <c r="O410" s="68">
        <f t="shared" si="67"/>
        <v>22</v>
      </c>
      <c r="P410" s="68"/>
      <c r="Q410" s="276">
        <v>15468575.942499917</v>
      </c>
      <c r="R410" s="68">
        <f t="shared" si="68"/>
        <v>25</v>
      </c>
      <c r="S410" s="238"/>
      <c r="T410" s="56" t="s">
        <v>37</v>
      </c>
      <c r="U410" s="68">
        <f t="shared" si="69"/>
        <v>12.5</v>
      </c>
      <c r="V410" s="68"/>
      <c r="W410" s="69">
        <f t="shared" si="61"/>
        <v>202</v>
      </c>
      <c r="X410" s="93" t="str">
        <f t="shared" si="62"/>
        <v>II</v>
      </c>
      <c r="Y410" s="93">
        <f t="shared" si="63"/>
        <v>2</v>
      </c>
    </row>
    <row r="411" spans="1:25">
      <c r="A411" t="s">
        <v>82</v>
      </c>
      <c r="B411" s="110">
        <v>7351100</v>
      </c>
      <c r="C411" s="267" t="s">
        <v>476</v>
      </c>
      <c r="D411" s="55"/>
      <c r="E411" s="92">
        <v>15.916951236774121</v>
      </c>
      <c r="F411" s="68">
        <f t="shared" si="64"/>
        <v>150</v>
      </c>
      <c r="G411" s="181"/>
      <c r="H411" s="276">
        <v>66320411.602298178</v>
      </c>
      <c r="I411" s="68">
        <f t="shared" si="65"/>
        <v>125</v>
      </c>
      <c r="K411" s="277">
        <v>92324735.56570141</v>
      </c>
      <c r="L411" s="68">
        <f t="shared" si="66"/>
        <v>50</v>
      </c>
      <c r="M411" s="68"/>
      <c r="N411" s="290">
        <v>2319195371.9184117</v>
      </c>
      <c r="O411" s="68">
        <f t="shared" si="67"/>
        <v>40</v>
      </c>
      <c r="P411" s="68"/>
      <c r="Q411" s="276">
        <v>0</v>
      </c>
      <c r="R411" s="68">
        <f t="shared" si="68"/>
        <v>0</v>
      </c>
      <c r="S411" s="238"/>
      <c r="T411" s="56" t="s">
        <v>37</v>
      </c>
      <c r="U411" s="68">
        <f t="shared" si="69"/>
        <v>12.5</v>
      </c>
      <c r="V411" s="68"/>
      <c r="W411" s="69">
        <f t="shared" si="61"/>
        <v>377.5</v>
      </c>
      <c r="X411" s="93" t="str">
        <f t="shared" si="62"/>
        <v>I</v>
      </c>
      <c r="Y411" s="93">
        <f t="shared" si="63"/>
        <v>1</v>
      </c>
    </row>
    <row r="412" spans="1:25">
      <c r="A412" t="s">
        <v>103</v>
      </c>
      <c r="B412" s="110">
        <v>4151100</v>
      </c>
      <c r="C412" s="267" t="s">
        <v>477</v>
      </c>
      <c r="D412" s="55"/>
      <c r="E412" s="92">
        <v>8.2594385343496839</v>
      </c>
      <c r="F412" s="68">
        <f t="shared" si="64"/>
        <v>45</v>
      </c>
      <c r="G412" s="181"/>
      <c r="H412" s="276">
        <v>40963620.337098822</v>
      </c>
      <c r="I412" s="68">
        <f t="shared" si="65"/>
        <v>62.5</v>
      </c>
      <c r="K412" s="277">
        <v>67351688.121799186</v>
      </c>
      <c r="L412" s="68">
        <f t="shared" si="66"/>
        <v>50</v>
      </c>
      <c r="M412" s="68"/>
      <c r="N412" s="290">
        <v>1758705627.265403</v>
      </c>
      <c r="O412" s="68">
        <f t="shared" si="67"/>
        <v>22</v>
      </c>
      <c r="P412" s="68"/>
      <c r="Q412" s="276">
        <v>0</v>
      </c>
      <c r="R412" s="68">
        <f t="shared" si="68"/>
        <v>0</v>
      </c>
      <c r="S412" s="238"/>
      <c r="T412" s="56" t="s">
        <v>37</v>
      </c>
      <c r="U412" s="68">
        <f t="shared" si="69"/>
        <v>12.5</v>
      </c>
      <c r="V412" s="68"/>
      <c r="W412" s="69">
        <f t="shared" si="61"/>
        <v>192</v>
      </c>
      <c r="X412" s="93" t="str">
        <f t="shared" si="62"/>
        <v>III</v>
      </c>
      <c r="Y412" s="93">
        <f t="shared" si="63"/>
        <v>3</v>
      </c>
    </row>
    <row r="413" spans="1:25">
      <c r="A413" t="s">
        <v>84</v>
      </c>
      <c r="B413" s="110">
        <v>8115200</v>
      </c>
      <c r="C413" s="267" t="s">
        <v>478</v>
      </c>
      <c r="D413" s="55"/>
      <c r="E413" s="92">
        <v>13.451626030645102</v>
      </c>
      <c r="F413" s="68">
        <f t="shared" si="64"/>
        <v>75</v>
      </c>
      <c r="G413" s="181"/>
      <c r="H413" s="276">
        <v>62674548.714598164</v>
      </c>
      <c r="I413" s="68">
        <f t="shared" si="65"/>
        <v>125</v>
      </c>
      <c r="K413" s="277">
        <v>106875749.91010763</v>
      </c>
      <c r="L413" s="68">
        <f t="shared" si="66"/>
        <v>100</v>
      </c>
      <c r="M413" s="68"/>
      <c r="N413" s="290">
        <v>3010088368.4761953</v>
      </c>
      <c r="O413" s="68">
        <f t="shared" si="67"/>
        <v>75</v>
      </c>
      <c r="P413" s="68"/>
      <c r="Q413" s="276">
        <v>3700551.1924999999</v>
      </c>
      <c r="R413" s="68">
        <f t="shared" si="68"/>
        <v>7.5</v>
      </c>
      <c r="S413" s="238"/>
      <c r="T413" s="56" t="s">
        <v>37</v>
      </c>
      <c r="U413" s="68">
        <f t="shared" si="69"/>
        <v>12.5</v>
      </c>
      <c r="V413" s="68"/>
      <c r="W413" s="69">
        <f t="shared" si="61"/>
        <v>395</v>
      </c>
      <c r="X413" s="93" t="str">
        <f t="shared" si="62"/>
        <v>I</v>
      </c>
      <c r="Y413" s="93">
        <f t="shared" si="63"/>
        <v>1</v>
      </c>
    </row>
    <row r="414" spans="1:25">
      <c r="A414" t="s">
        <v>71</v>
      </c>
      <c r="B414" s="110">
        <v>3555200</v>
      </c>
      <c r="C414" s="267" t="s">
        <v>479</v>
      </c>
      <c r="D414" s="55"/>
      <c r="E414" s="92">
        <v>17.337113839838629</v>
      </c>
      <c r="F414" s="68">
        <f t="shared" si="64"/>
        <v>150</v>
      </c>
      <c r="G414" s="181"/>
      <c r="H414" s="276">
        <v>108500227.03179744</v>
      </c>
      <c r="I414" s="68">
        <f t="shared" si="65"/>
        <v>125</v>
      </c>
      <c r="K414" s="277">
        <v>169795968.58109739</v>
      </c>
      <c r="L414" s="68">
        <f t="shared" si="66"/>
        <v>100</v>
      </c>
      <c r="M414" s="68"/>
      <c r="N414" s="290">
        <v>3978525603.130897</v>
      </c>
      <c r="O414" s="68">
        <f t="shared" si="67"/>
        <v>75</v>
      </c>
      <c r="P414" s="68"/>
      <c r="Q414" s="276">
        <v>0</v>
      </c>
      <c r="R414" s="68">
        <f t="shared" si="68"/>
        <v>0</v>
      </c>
      <c r="S414" s="238"/>
      <c r="T414" s="56" t="s">
        <v>32</v>
      </c>
      <c r="U414" s="68">
        <f t="shared" si="69"/>
        <v>25</v>
      </c>
      <c r="V414" s="68"/>
      <c r="W414" s="69">
        <f t="shared" si="61"/>
        <v>475</v>
      </c>
      <c r="X414" s="93" t="str">
        <f t="shared" si="62"/>
        <v>I</v>
      </c>
      <c r="Y414" s="93">
        <f t="shared" si="63"/>
        <v>1</v>
      </c>
    </row>
    <row r="415" spans="1:25">
      <c r="A415" t="s">
        <v>71</v>
      </c>
      <c r="B415" s="110">
        <v>3556200</v>
      </c>
      <c r="C415" s="267" t="s">
        <v>480</v>
      </c>
      <c r="D415" s="55"/>
      <c r="E415" s="92">
        <v>17.337113839838629</v>
      </c>
      <c r="F415" s="68">
        <f t="shared" si="64"/>
        <v>150</v>
      </c>
      <c r="G415" s="181"/>
      <c r="H415" s="276">
        <v>105654461.8580984</v>
      </c>
      <c r="I415" s="68">
        <f t="shared" si="65"/>
        <v>125</v>
      </c>
      <c r="K415" s="277">
        <v>192415826.09859663</v>
      </c>
      <c r="L415" s="68">
        <f t="shared" si="66"/>
        <v>100</v>
      </c>
      <c r="M415" s="68"/>
      <c r="N415" s="290">
        <v>3985972489.6765966</v>
      </c>
      <c r="O415" s="68">
        <f t="shared" si="67"/>
        <v>75</v>
      </c>
      <c r="P415" s="68"/>
      <c r="Q415" s="276">
        <v>0</v>
      </c>
      <c r="R415" s="68">
        <f t="shared" si="68"/>
        <v>0</v>
      </c>
      <c r="S415" s="238"/>
      <c r="T415" s="56" t="s">
        <v>32</v>
      </c>
      <c r="U415" s="68">
        <f t="shared" si="69"/>
        <v>25</v>
      </c>
      <c r="V415" s="68"/>
      <c r="W415" s="69">
        <f t="shared" si="61"/>
        <v>475</v>
      </c>
      <c r="X415" s="93" t="str">
        <f t="shared" si="62"/>
        <v>I</v>
      </c>
      <c r="Y415" s="93">
        <f t="shared" si="63"/>
        <v>1</v>
      </c>
    </row>
    <row r="416" spans="1:25">
      <c r="A416" t="s">
        <v>75</v>
      </c>
      <c r="B416" s="110">
        <v>3853500</v>
      </c>
      <c r="C416" s="267" t="s">
        <v>481</v>
      </c>
      <c r="D416" s="55"/>
      <c r="E416" s="92">
        <v>16.041951236774121</v>
      </c>
      <c r="F416" s="68">
        <f t="shared" si="64"/>
        <v>150</v>
      </c>
      <c r="G416" s="181"/>
      <c r="H416" s="276">
        <v>138182143.75409925</v>
      </c>
      <c r="I416" s="68">
        <f t="shared" si="65"/>
        <v>125</v>
      </c>
      <c r="K416" s="277">
        <v>156163272.99079302</v>
      </c>
      <c r="L416" s="68">
        <f t="shared" si="66"/>
        <v>100</v>
      </c>
      <c r="M416" s="68"/>
      <c r="N416" s="290">
        <v>2378346408.7005987</v>
      </c>
      <c r="O416" s="68">
        <f t="shared" si="67"/>
        <v>40</v>
      </c>
      <c r="P416" s="68"/>
      <c r="Q416" s="276">
        <v>0</v>
      </c>
      <c r="R416" s="68">
        <f t="shared" si="68"/>
        <v>0</v>
      </c>
      <c r="S416" s="238"/>
      <c r="T416" s="56" t="s">
        <v>32</v>
      </c>
      <c r="U416" s="68">
        <f t="shared" si="69"/>
        <v>25</v>
      </c>
      <c r="V416" s="68"/>
      <c r="W416" s="69">
        <f t="shared" si="61"/>
        <v>440</v>
      </c>
      <c r="X416" s="93" t="str">
        <f t="shared" si="62"/>
        <v>I</v>
      </c>
      <c r="Y416" s="93">
        <f t="shared" si="63"/>
        <v>1</v>
      </c>
    </row>
    <row r="417" spans="1:25">
      <c r="A417" t="s">
        <v>75</v>
      </c>
      <c r="B417" s="110">
        <v>3854600</v>
      </c>
      <c r="C417" s="267" t="s">
        <v>482</v>
      </c>
      <c r="D417" s="55"/>
      <c r="E417" s="92">
        <v>18.632276442903144</v>
      </c>
      <c r="F417" s="68">
        <f t="shared" si="64"/>
        <v>150</v>
      </c>
      <c r="G417" s="181"/>
      <c r="H417" s="276">
        <v>148171359.23879671</v>
      </c>
      <c r="I417" s="68">
        <f t="shared" si="65"/>
        <v>125</v>
      </c>
      <c r="K417" s="277">
        <v>149632205.71959329</v>
      </c>
      <c r="L417" s="68">
        <f t="shared" si="66"/>
        <v>100</v>
      </c>
      <c r="M417" s="68"/>
      <c r="N417" s="290">
        <v>2011129847.2982004</v>
      </c>
      <c r="O417" s="68">
        <f t="shared" si="67"/>
        <v>22</v>
      </c>
      <c r="P417" s="68"/>
      <c r="Q417" s="276">
        <v>0</v>
      </c>
      <c r="R417" s="68">
        <f t="shared" si="68"/>
        <v>0</v>
      </c>
      <c r="S417" s="238"/>
      <c r="T417" s="56" t="s">
        <v>32</v>
      </c>
      <c r="U417" s="68">
        <f t="shared" si="69"/>
        <v>25</v>
      </c>
      <c r="V417" s="68"/>
      <c r="W417" s="69">
        <f t="shared" si="61"/>
        <v>422</v>
      </c>
      <c r="X417" s="93" t="str">
        <f t="shared" si="62"/>
        <v>I</v>
      </c>
      <c r="Y417" s="93">
        <f t="shared" si="63"/>
        <v>1</v>
      </c>
    </row>
    <row r="418" spans="1:25">
      <c r="A418" t="s">
        <v>75</v>
      </c>
      <c r="B418" s="110">
        <v>3465100</v>
      </c>
      <c r="C418" s="267" t="s">
        <v>483</v>
      </c>
      <c r="D418" s="55"/>
      <c r="E418" s="92">
        <v>6.8195789007622629</v>
      </c>
      <c r="F418" s="68">
        <f t="shared" si="64"/>
        <v>45</v>
      </c>
      <c r="G418" s="181"/>
      <c r="H418" s="276">
        <v>9057989.0167999808</v>
      </c>
      <c r="I418" s="68">
        <f t="shared" si="65"/>
        <v>25</v>
      </c>
      <c r="K418" s="277">
        <v>38066048.28069976</v>
      </c>
      <c r="L418" s="68">
        <f t="shared" si="66"/>
        <v>30</v>
      </c>
      <c r="M418" s="68"/>
      <c r="N418" s="290">
        <v>2080793933.5069978</v>
      </c>
      <c r="O418" s="68">
        <f t="shared" si="67"/>
        <v>22</v>
      </c>
      <c r="P418" s="68"/>
      <c r="Q418" s="276">
        <v>0</v>
      </c>
      <c r="R418" s="68">
        <f t="shared" si="68"/>
        <v>0</v>
      </c>
      <c r="S418" s="238"/>
      <c r="T418" s="56" t="s">
        <v>37</v>
      </c>
      <c r="U418" s="68">
        <f t="shared" si="69"/>
        <v>12.5</v>
      </c>
      <c r="V418" s="68"/>
      <c r="W418" s="69">
        <f t="shared" si="61"/>
        <v>134.5</v>
      </c>
      <c r="X418" s="93" t="str">
        <f t="shared" si="62"/>
        <v>III</v>
      </c>
      <c r="Y418" s="93">
        <f t="shared" si="63"/>
        <v>3</v>
      </c>
    </row>
    <row r="419" spans="1:25">
      <c r="A419" t="s">
        <v>86</v>
      </c>
      <c r="B419" s="110">
        <v>8230200</v>
      </c>
      <c r="C419" s="267" t="s">
        <v>484</v>
      </c>
      <c r="D419" s="55"/>
      <c r="E419" s="92">
        <v>6.2982736407114448</v>
      </c>
      <c r="F419" s="68">
        <f t="shared" si="64"/>
        <v>30</v>
      </c>
      <c r="G419" s="181"/>
      <c r="H419" s="276">
        <v>22635999.730799086</v>
      </c>
      <c r="I419" s="68">
        <f t="shared" si="65"/>
        <v>37.5</v>
      </c>
      <c r="K419" s="277">
        <v>35492124.901598655</v>
      </c>
      <c r="L419" s="68">
        <f t="shared" si="66"/>
        <v>20</v>
      </c>
      <c r="M419" s="68"/>
      <c r="N419" s="290">
        <v>1680176784.4741044</v>
      </c>
      <c r="O419" s="68">
        <f t="shared" si="67"/>
        <v>22</v>
      </c>
      <c r="P419" s="68"/>
      <c r="Q419" s="276">
        <v>64133.880899999989</v>
      </c>
      <c r="R419" s="68">
        <f t="shared" si="68"/>
        <v>7.5</v>
      </c>
      <c r="S419" s="238"/>
      <c r="T419" s="56" t="s">
        <v>37</v>
      </c>
      <c r="U419" s="68">
        <f t="shared" si="69"/>
        <v>12.5</v>
      </c>
      <c r="V419" s="68"/>
      <c r="W419" s="69">
        <f t="shared" si="61"/>
        <v>129.5</v>
      </c>
      <c r="X419" s="93" t="str">
        <f t="shared" si="62"/>
        <v>III</v>
      </c>
      <c r="Y419" s="93">
        <f t="shared" si="63"/>
        <v>3</v>
      </c>
    </row>
    <row r="420" spans="1:25">
      <c r="A420" t="s">
        <v>86</v>
      </c>
      <c r="B420" s="110">
        <v>4264300</v>
      </c>
      <c r="C420" s="267" t="s">
        <v>485</v>
      </c>
      <c r="D420" s="55"/>
      <c r="E420" s="92">
        <v>11.823130094247261</v>
      </c>
      <c r="F420" s="68">
        <f t="shared" si="64"/>
        <v>75</v>
      </c>
      <c r="G420" s="181"/>
      <c r="H420" s="276">
        <v>37961661.189002492</v>
      </c>
      <c r="I420" s="68">
        <f t="shared" si="65"/>
        <v>62.5</v>
      </c>
      <c r="K420" s="277">
        <v>56163457.395295426</v>
      </c>
      <c r="L420" s="68">
        <f t="shared" si="66"/>
        <v>30</v>
      </c>
      <c r="M420" s="68"/>
      <c r="N420" s="290">
        <v>2239154144.5956082</v>
      </c>
      <c r="O420" s="68">
        <f t="shared" si="67"/>
        <v>40</v>
      </c>
      <c r="P420" s="68"/>
      <c r="Q420" s="276">
        <v>16168273.761799911</v>
      </c>
      <c r="R420" s="68">
        <f t="shared" si="68"/>
        <v>25</v>
      </c>
      <c r="S420" s="238"/>
      <c r="T420" s="56" t="s">
        <v>37</v>
      </c>
      <c r="U420" s="68">
        <f t="shared" si="69"/>
        <v>12.5</v>
      </c>
      <c r="V420" s="68"/>
      <c r="W420" s="69">
        <f t="shared" si="61"/>
        <v>245</v>
      </c>
      <c r="X420" s="93" t="str">
        <f t="shared" si="62"/>
        <v>II</v>
      </c>
      <c r="Y420" s="93">
        <f t="shared" si="63"/>
        <v>2</v>
      </c>
    </row>
    <row r="421" spans="1:25">
      <c r="A421" t="s">
        <v>86</v>
      </c>
      <c r="B421" s="110">
        <v>8275200</v>
      </c>
      <c r="C421" s="267" t="s">
        <v>486</v>
      </c>
      <c r="D421" s="55"/>
      <c r="E421" s="92">
        <v>10.573354314502136</v>
      </c>
      <c r="F421" s="68">
        <f t="shared" si="64"/>
        <v>75</v>
      </c>
      <c r="G421" s="181"/>
      <c r="H421" s="276">
        <v>46478104.316001102</v>
      </c>
      <c r="I421" s="68">
        <f t="shared" si="65"/>
        <v>62.5</v>
      </c>
      <c r="K421" s="277">
        <v>56612883.195097215</v>
      </c>
      <c r="L421" s="68">
        <f t="shared" si="66"/>
        <v>30</v>
      </c>
      <c r="M421" s="68"/>
      <c r="N421" s="290">
        <v>2376322792.6146011</v>
      </c>
      <c r="O421" s="68">
        <f t="shared" si="67"/>
        <v>40</v>
      </c>
      <c r="P421" s="68"/>
      <c r="Q421" s="276">
        <v>0</v>
      </c>
      <c r="R421" s="68">
        <f t="shared" si="68"/>
        <v>0</v>
      </c>
      <c r="S421" s="238"/>
      <c r="T421" s="56" t="s">
        <v>37</v>
      </c>
      <c r="U421" s="68">
        <f t="shared" si="69"/>
        <v>12.5</v>
      </c>
      <c r="V421" s="68"/>
      <c r="W421" s="69">
        <f t="shared" si="61"/>
        <v>220</v>
      </c>
      <c r="X421" s="93" t="str">
        <f t="shared" si="62"/>
        <v>II</v>
      </c>
      <c r="Y421" s="93">
        <f t="shared" si="63"/>
        <v>2</v>
      </c>
    </row>
    <row r="422" spans="1:25">
      <c r="A422" t="s">
        <v>95</v>
      </c>
      <c r="B422" s="110">
        <v>4864000</v>
      </c>
      <c r="C422" s="267" t="s">
        <v>487</v>
      </c>
      <c r="D422" s="55"/>
      <c r="E422" s="92">
        <v>5.8603017139939606</v>
      </c>
      <c r="F422" s="68">
        <f t="shared" si="64"/>
        <v>30</v>
      </c>
      <c r="G422" s="181"/>
      <c r="H422" s="276">
        <v>12611755.825500011</v>
      </c>
      <c r="I422" s="68">
        <f t="shared" si="65"/>
        <v>25</v>
      </c>
      <c r="K422" s="277">
        <v>35662395.351598635</v>
      </c>
      <c r="L422" s="68">
        <f t="shared" si="66"/>
        <v>20</v>
      </c>
      <c r="M422" s="68"/>
      <c r="N422" s="290">
        <v>1035872067.054801</v>
      </c>
      <c r="O422" s="68">
        <f t="shared" si="67"/>
        <v>13</v>
      </c>
      <c r="P422" s="68"/>
      <c r="Q422" s="276">
        <v>0</v>
      </c>
      <c r="R422" s="68">
        <f t="shared" si="68"/>
        <v>0</v>
      </c>
      <c r="S422" s="238"/>
      <c r="T422" s="56" t="s">
        <v>37</v>
      </c>
      <c r="U422" s="68">
        <f t="shared" si="69"/>
        <v>12.5</v>
      </c>
      <c r="V422" s="68"/>
      <c r="W422" s="69">
        <f t="shared" si="61"/>
        <v>100.5</v>
      </c>
      <c r="X422" s="93" t="str">
        <f t="shared" si="62"/>
        <v>IV</v>
      </c>
      <c r="Y422" s="93">
        <f t="shared" si="63"/>
        <v>4</v>
      </c>
    </row>
    <row r="423" spans="1:25">
      <c r="A423" t="s">
        <v>113</v>
      </c>
      <c r="B423" s="110">
        <v>3467000</v>
      </c>
      <c r="C423" s="267" t="s">
        <v>488</v>
      </c>
      <c r="D423" s="55"/>
      <c r="E423" s="92">
        <v>5.5889964539431443</v>
      </c>
      <c r="F423" s="68">
        <f t="shared" si="64"/>
        <v>30</v>
      </c>
      <c r="G423" s="181"/>
      <c r="H423" s="276">
        <v>7431851.066800002</v>
      </c>
      <c r="I423" s="68">
        <f t="shared" si="65"/>
        <v>25</v>
      </c>
      <c r="K423" s="277">
        <v>24973182.868198827</v>
      </c>
      <c r="L423" s="68">
        <f t="shared" si="66"/>
        <v>20</v>
      </c>
      <c r="M423" s="68"/>
      <c r="N423" s="290">
        <v>583367723.28000116</v>
      </c>
      <c r="O423" s="68">
        <f t="shared" si="67"/>
        <v>13</v>
      </c>
      <c r="P423" s="68"/>
      <c r="Q423" s="276">
        <v>0</v>
      </c>
      <c r="R423" s="68">
        <f t="shared" si="68"/>
        <v>0</v>
      </c>
      <c r="S423" s="238"/>
      <c r="T423" s="56" t="s">
        <v>37</v>
      </c>
      <c r="U423" s="68">
        <f t="shared" si="69"/>
        <v>12.5</v>
      </c>
      <c r="V423" s="68"/>
      <c r="W423" s="69">
        <f t="shared" si="61"/>
        <v>100.5</v>
      </c>
      <c r="X423" s="93" t="str">
        <f t="shared" si="62"/>
        <v>IV</v>
      </c>
      <c r="Y423" s="93">
        <f t="shared" si="63"/>
        <v>4</v>
      </c>
    </row>
    <row r="424" spans="1:25">
      <c r="A424" t="s">
        <v>82</v>
      </c>
      <c r="B424" s="110">
        <v>7359600</v>
      </c>
      <c r="C424" s="267" t="s">
        <v>489</v>
      </c>
      <c r="D424" s="55"/>
      <c r="E424" s="92">
        <v>10.736300824516082</v>
      </c>
      <c r="F424" s="68">
        <f t="shared" si="64"/>
        <v>75</v>
      </c>
      <c r="G424" s="181"/>
      <c r="H424" s="276">
        <v>22989494.443499699</v>
      </c>
      <c r="I424" s="68">
        <f t="shared" si="65"/>
        <v>37.5</v>
      </c>
      <c r="K424" s="277">
        <v>45276957.2869986</v>
      </c>
      <c r="L424" s="68">
        <f t="shared" si="66"/>
        <v>30</v>
      </c>
      <c r="M424" s="68"/>
      <c r="N424" s="290">
        <v>1027192919.1485007</v>
      </c>
      <c r="O424" s="68">
        <f t="shared" si="67"/>
        <v>13</v>
      </c>
      <c r="P424" s="68"/>
      <c r="Q424" s="276">
        <v>0</v>
      </c>
      <c r="R424" s="68">
        <f t="shared" si="68"/>
        <v>0</v>
      </c>
      <c r="S424" s="238"/>
      <c r="T424" s="56" t="s">
        <v>37</v>
      </c>
      <c r="U424" s="68">
        <f t="shared" si="69"/>
        <v>12.5</v>
      </c>
      <c r="V424" s="68"/>
      <c r="W424" s="69">
        <f t="shared" si="61"/>
        <v>168</v>
      </c>
      <c r="X424" s="93" t="str">
        <f t="shared" si="62"/>
        <v>III</v>
      </c>
      <c r="Y424" s="93">
        <f t="shared" si="63"/>
        <v>3</v>
      </c>
    </row>
    <row r="425" spans="1:25">
      <c r="A425" t="s">
        <v>103</v>
      </c>
      <c r="B425" s="110">
        <v>5253700</v>
      </c>
      <c r="C425" s="267" t="s">
        <v>490</v>
      </c>
      <c r="D425" s="55"/>
      <c r="E425" s="92">
        <v>0</v>
      </c>
      <c r="F425" s="68">
        <f t="shared" si="64"/>
        <v>0</v>
      </c>
      <c r="G425" s="181"/>
      <c r="H425" s="276">
        <v>0</v>
      </c>
      <c r="I425" s="68">
        <f t="shared" si="65"/>
        <v>0</v>
      </c>
      <c r="K425" s="277">
        <v>0</v>
      </c>
      <c r="L425" s="68">
        <f t="shared" si="66"/>
        <v>0</v>
      </c>
      <c r="M425" s="68"/>
      <c r="N425" s="290">
        <v>26177600.757699996</v>
      </c>
      <c r="O425" s="68">
        <f t="shared" si="67"/>
        <v>13</v>
      </c>
      <c r="P425" s="68"/>
      <c r="Q425" s="276">
        <v>0</v>
      </c>
      <c r="R425" s="68">
        <f t="shared" si="68"/>
        <v>0</v>
      </c>
      <c r="S425" s="238"/>
      <c r="T425" s="56" t="s">
        <v>37</v>
      </c>
      <c r="U425" s="68">
        <f t="shared" si="69"/>
        <v>12.5</v>
      </c>
      <c r="V425" s="68"/>
      <c r="W425" s="69">
        <f t="shared" si="61"/>
        <v>25.5</v>
      </c>
      <c r="X425" s="93" t="str">
        <f t="shared" si="62"/>
        <v>IV</v>
      </c>
      <c r="Y425" s="93">
        <f t="shared" si="63"/>
        <v>4</v>
      </c>
    </row>
    <row r="426" spans="1:25">
      <c r="A426" t="s">
        <v>73</v>
      </c>
      <c r="B426" s="110">
        <v>5253400</v>
      </c>
      <c r="C426" s="267" t="s">
        <v>491</v>
      </c>
      <c r="D426" s="55"/>
      <c r="E426" s="92">
        <v>13.451626030645102</v>
      </c>
      <c r="F426" s="68">
        <f t="shared" si="64"/>
        <v>75</v>
      </c>
      <c r="G426" s="181"/>
      <c r="H426" s="276">
        <v>47324411.005795851</v>
      </c>
      <c r="I426" s="68">
        <f t="shared" si="65"/>
        <v>62.5</v>
      </c>
      <c r="K426" s="277">
        <v>100786128.40789913</v>
      </c>
      <c r="L426" s="68">
        <f t="shared" si="66"/>
        <v>100</v>
      </c>
      <c r="M426" s="68"/>
      <c r="N426" s="290">
        <v>4174120573.2376037</v>
      </c>
      <c r="O426" s="68">
        <f t="shared" si="67"/>
        <v>75</v>
      </c>
      <c r="P426" s="68"/>
      <c r="Q426" s="276">
        <v>7080993.1515000071</v>
      </c>
      <c r="R426" s="68">
        <f t="shared" si="68"/>
        <v>12.5</v>
      </c>
      <c r="S426" s="238"/>
      <c r="T426" s="56" t="s">
        <v>37</v>
      </c>
      <c r="U426" s="68">
        <f t="shared" si="69"/>
        <v>12.5</v>
      </c>
      <c r="V426" s="68"/>
      <c r="W426" s="69">
        <f t="shared" si="61"/>
        <v>337.5</v>
      </c>
      <c r="X426" s="93" t="str">
        <f t="shared" si="62"/>
        <v>I</v>
      </c>
      <c r="Y426" s="93">
        <f t="shared" si="63"/>
        <v>1</v>
      </c>
    </row>
    <row r="427" spans="1:25">
      <c r="A427" t="s">
        <v>103</v>
      </c>
      <c r="B427" s="110">
        <v>8260200</v>
      </c>
      <c r="C427" s="267" t="s">
        <v>492</v>
      </c>
      <c r="D427" s="55"/>
      <c r="E427" s="92">
        <v>6.1316069740447787</v>
      </c>
      <c r="F427" s="68">
        <f t="shared" si="64"/>
        <v>30</v>
      </c>
      <c r="G427" s="181"/>
      <c r="H427" s="276">
        <v>30225041.580300808</v>
      </c>
      <c r="I427" s="68">
        <f t="shared" si="65"/>
        <v>37.5</v>
      </c>
      <c r="K427" s="277">
        <v>37309949.921301618</v>
      </c>
      <c r="L427" s="68">
        <f t="shared" si="66"/>
        <v>20</v>
      </c>
      <c r="M427" s="68"/>
      <c r="N427" s="290">
        <v>1310562912.2658048</v>
      </c>
      <c r="O427" s="68">
        <f t="shared" si="67"/>
        <v>13</v>
      </c>
      <c r="P427" s="68"/>
      <c r="Q427" s="276">
        <v>5778188.9665999971</v>
      </c>
      <c r="R427" s="68">
        <f t="shared" si="68"/>
        <v>12.5</v>
      </c>
      <c r="S427" s="238"/>
      <c r="T427" s="56" t="s">
        <v>37</v>
      </c>
      <c r="U427" s="68">
        <f t="shared" si="69"/>
        <v>12.5</v>
      </c>
      <c r="V427" s="68"/>
      <c r="W427" s="69">
        <f t="shared" si="61"/>
        <v>125.5</v>
      </c>
      <c r="X427" s="93" t="str">
        <f t="shared" si="62"/>
        <v>III</v>
      </c>
      <c r="Y427" s="93">
        <f t="shared" si="63"/>
        <v>3</v>
      </c>
    </row>
    <row r="428" spans="1:25">
      <c r="A428" t="s">
        <v>95</v>
      </c>
      <c r="B428" s="110">
        <v>5055000</v>
      </c>
      <c r="C428" s="267" t="s">
        <v>493</v>
      </c>
      <c r="D428" s="55"/>
      <c r="E428" s="92">
        <v>5.2556631206098103</v>
      </c>
      <c r="F428" s="68">
        <f t="shared" si="64"/>
        <v>30</v>
      </c>
      <c r="G428" s="181"/>
      <c r="H428" s="276">
        <v>14344370.363599917</v>
      </c>
      <c r="I428" s="68">
        <f t="shared" si="65"/>
        <v>25</v>
      </c>
      <c r="K428" s="277">
        <v>47201115.942699693</v>
      </c>
      <c r="L428" s="68">
        <f t="shared" si="66"/>
        <v>30</v>
      </c>
      <c r="M428" s="68"/>
      <c r="N428" s="290">
        <v>1074612483.4881027</v>
      </c>
      <c r="O428" s="68">
        <f t="shared" si="67"/>
        <v>13</v>
      </c>
      <c r="P428" s="68"/>
      <c r="Q428" s="276">
        <v>0</v>
      </c>
      <c r="R428" s="68">
        <f t="shared" si="68"/>
        <v>0</v>
      </c>
      <c r="S428" s="238"/>
      <c r="T428" s="56" t="s">
        <v>37</v>
      </c>
      <c r="U428" s="68">
        <f t="shared" si="69"/>
        <v>12.5</v>
      </c>
      <c r="V428" s="68"/>
      <c r="W428" s="69">
        <f t="shared" si="61"/>
        <v>110.5</v>
      </c>
      <c r="X428" s="93" t="str">
        <f t="shared" si="62"/>
        <v>IV</v>
      </c>
      <c r="Y428" s="93">
        <f t="shared" si="63"/>
        <v>4</v>
      </c>
    </row>
    <row r="429" spans="1:25">
      <c r="A429" t="s">
        <v>73</v>
      </c>
      <c r="B429" s="110">
        <v>4267300</v>
      </c>
      <c r="C429" s="267" t="s">
        <v>494</v>
      </c>
      <c r="D429" s="55"/>
      <c r="E429" s="92">
        <v>6.1316069740447787</v>
      </c>
      <c r="F429" s="68">
        <f t="shared" si="64"/>
        <v>30</v>
      </c>
      <c r="G429" s="181"/>
      <c r="H429" s="276">
        <v>32659716.584199697</v>
      </c>
      <c r="I429" s="68">
        <f t="shared" si="65"/>
        <v>37.5</v>
      </c>
      <c r="K429" s="277">
        <v>59087598.0743993</v>
      </c>
      <c r="L429" s="68">
        <f t="shared" si="66"/>
        <v>30</v>
      </c>
      <c r="M429" s="68"/>
      <c r="N429" s="290">
        <v>1960240180.0464969</v>
      </c>
      <c r="O429" s="68">
        <f t="shared" si="67"/>
        <v>22</v>
      </c>
      <c r="P429" s="68"/>
      <c r="Q429" s="276">
        <v>0</v>
      </c>
      <c r="R429" s="68">
        <f t="shared" si="68"/>
        <v>0</v>
      </c>
      <c r="S429" s="238"/>
      <c r="T429" s="56" t="s">
        <v>37</v>
      </c>
      <c r="U429" s="68">
        <f t="shared" si="69"/>
        <v>12.5</v>
      </c>
      <c r="V429" s="68"/>
      <c r="W429" s="69">
        <f t="shared" si="61"/>
        <v>132</v>
      </c>
      <c r="X429" s="93" t="str">
        <f t="shared" si="62"/>
        <v>III</v>
      </c>
      <c r="Y429" s="93">
        <f>IF(X429="IV",4,IF(X429="III",3,IF(X429="II",2,1)))</f>
        <v>3</v>
      </c>
    </row>
  </sheetData>
  <autoFilter ref="A17:Y429" xr:uid="{84DF8A19-F338-4407-AC01-7647E29833FD}"/>
  <mergeCells count="40">
    <mergeCell ref="E15:G16"/>
    <mergeCell ref="E1:G1"/>
    <mergeCell ref="F2:G2"/>
    <mergeCell ref="I2:J2"/>
    <mergeCell ref="T15:U16"/>
    <mergeCell ref="H1:J1"/>
    <mergeCell ref="K1:M1"/>
    <mergeCell ref="N1:P1"/>
    <mergeCell ref="H15:J16"/>
    <mergeCell ref="K15:M16"/>
    <mergeCell ref="N15:P16"/>
    <mergeCell ref="Q15:S16"/>
    <mergeCell ref="T1:U1"/>
    <mergeCell ref="Y12:Z13"/>
    <mergeCell ref="AA12:AA13"/>
    <mergeCell ref="F3:G3"/>
    <mergeCell ref="F4:G4"/>
    <mergeCell ref="F5:G5"/>
    <mergeCell ref="X7:Y7"/>
    <mergeCell ref="W12:X13"/>
    <mergeCell ref="C11:C12"/>
    <mergeCell ref="C9:C10"/>
    <mergeCell ref="C2:C4"/>
    <mergeCell ref="L2:M2"/>
    <mergeCell ref="I3:J3"/>
    <mergeCell ref="I4:J4"/>
    <mergeCell ref="I5:J5"/>
    <mergeCell ref="L3:M3"/>
    <mergeCell ref="L4:M4"/>
    <mergeCell ref="L5:M5"/>
    <mergeCell ref="A1:A4"/>
    <mergeCell ref="Q1:S1"/>
    <mergeCell ref="R3:S3"/>
    <mergeCell ref="R4:S4"/>
    <mergeCell ref="R5:S5"/>
    <mergeCell ref="O2:P2"/>
    <mergeCell ref="O3:P3"/>
    <mergeCell ref="O4:P4"/>
    <mergeCell ref="O5:P5"/>
    <mergeCell ref="R2:S2"/>
  </mergeCells>
  <conditionalFormatting sqref="F8:F11">
    <cfRule type="dataBar" priority="66">
      <dataBar>
        <cfvo type="min"/>
        <cfvo type="max"/>
        <color rgb="FF63C384"/>
      </dataBar>
      <extLst>
        <ext xmlns:x14="http://schemas.microsoft.com/office/spreadsheetml/2009/9/main" uri="{B025F937-C7B1-47D3-B67F-A62EFF666E3E}">
          <x14:id>{E80C9313-7C11-4D07-B967-2EF5AB9AB2C5}</x14:id>
        </ext>
      </extLst>
    </cfRule>
  </conditionalFormatting>
  <conditionalFormatting sqref="I8:I11">
    <cfRule type="dataBar" priority="4">
      <dataBar>
        <cfvo type="min"/>
        <cfvo type="max"/>
        <color rgb="FF63C384"/>
      </dataBar>
      <extLst>
        <ext xmlns:x14="http://schemas.microsoft.com/office/spreadsheetml/2009/9/main" uri="{B025F937-C7B1-47D3-B67F-A62EFF666E3E}">
          <x14:id>{5811DD0F-3964-495A-B6F1-A76D705F2B43}</x14:id>
        </ext>
      </extLst>
    </cfRule>
  </conditionalFormatting>
  <conditionalFormatting sqref="I9">
    <cfRule type="dataBar" priority="7">
      <dataBar>
        <cfvo type="min"/>
        <cfvo type="max"/>
        <color rgb="FF63C384"/>
      </dataBar>
      <extLst>
        <ext xmlns:x14="http://schemas.microsoft.com/office/spreadsheetml/2009/9/main" uri="{B025F937-C7B1-47D3-B67F-A62EFF666E3E}">
          <x14:id>{D705E620-72B6-439D-A6AE-FC0A6D8869FC}</x14:id>
        </ext>
      </extLst>
    </cfRule>
  </conditionalFormatting>
  <conditionalFormatting sqref="I10">
    <cfRule type="dataBar" priority="6">
      <dataBar>
        <cfvo type="min"/>
        <cfvo type="max"/>
        <color rgb="FF63C384"/>
      </dataBar>
      <extLst>
        <ext xmlns:x14="http://schemas.microsoft.com/office/spreadsheetml/2009/9/main" uri="{B025F937-C7B1-47D3-B67F-A62EFF666E3E}">
          <x14:id>{99E00F1C-303C-4930-9250-4CAE29A00AB1}</x14:id>
        </ext>
      </extLst>
    </cfRule>
  </conditionalFormatting>
  <conditionalFormatting sqref="I11">
    <cfRule type="dataBar" priority="5">
      <dataBar>
        <cfvo type="min"/>
        <cfvo type="max"/>
        <color rgb="FF63C384"/>
      </dataBar>
      <extLst>
        <ext xmlns:x14="http://schemas.microsoft.com/office/spreadsheetml/2009/9/main" uri="{B025F937-C7B1-47D3-B67F-A62EFF666E3E}">
          <x14:id>{694E1E85-4236-4F98-B14B-F5CAD1231C94}</x14:id>
        </ext>
      </extLst>
    </cfRule>
  </conditionalFormatting>
  <conditionalFormatting sqref="L8:L11">
    <cfRule type="dataBar" priority="2">
      <dataBar>
        <cfvo type="min"/>
        <cfvo type="max"/>
        <color rgb="FF63C384"/>
      </dataBar>
      <extLst>
        <ext xmlns:x14="http://schemas.microsoft.com/office/spreadsheetml/2009/9/main" uri="{B025F937-C7B1-47D3-B67F-A62EFF666E3E}">
          <x14:id>{15E4CE32-BA56-4092-BE3D-25B2929C2944}</x14:id>
        </ext>
      </extLst>
    </cfRule>
  </conditionalFormatting>
  <conditionalFormatting sqref="O8:O11">
    <cfRule type="dataBar" priority="3">
      <dataBar>
        <cfvo type="min"/>
        <cfvo type="max"/>
        <color rgb="FF63C384"/>
      </dataBar>
      <extLst>
        <ext xmlns:x14="http://schemas.microsoft.com/office/spreadsheetml/2009/9/main" uri="{B025F937-C7B1-47D3-B67F-A62EFF666E3E}">
          <x14:id>{5DB6F999-CAE3-4726-B03E-F56398EC8A2C}</x14:id>
        </ext>
      </extLst>
    </cfRule>
  </conditionalFormatting>
  <conditionalFormatting sqref="R8:R11">
    <cfRule type="dataBar" priority="41">
      <dataBar>
        <cfvo type="min"/>
        <cfvo type="max"/>
        <color rgb="FF63C384"/>
      </dataBar>
      <extLst>
        <ext xmlns:x14="http://schemas.microsoft.com/office/spreadsheetml/2009/9/main" uri="{B025F937-C7B1-47D3-B67F-A62EFF666E3E}">
          <x14:id>{07F417BB-22B4-43EE-BB3B-CAFFCD4B0B5D}</x14:id>
        </ext>
      </extLst>
    </cfRule>
  </conditionalFormatting>
  <conditionalFormatting sqref="U8:U9">
    <cfRule type="dataBar" priority="1157">
      <dataBar>
        <cfvo type="min"/>
        <cfvo type="max"/>
        <color rgb="FF63C384"/>
      </dataBar>
      <extLst>
        <ext xmlns:x14="http://schemas.microsoft.com/office/spreadsheetml/2009/9/main" uri="{B025F937-C7B1-47D3-B67F-A62EFF666E3E}">
          <x14:id>{6B4958F7-EF37-4219-AC12-D28ED6C9BC1C}</x14:id>
        </ext>
      </extLst>
    </cfRule>
  </conditionalFormatting>
  <conditionalFormatting sqref="X19:X429">
    <cfRule type="cellIs" dxfId="22" priority="241" operator="equal">
      <formula>#REF!</formula>
    </cfRule>
    <cfRule type="cellIs" dxfId="21" priority="242" operator="equal">
      <formula>#REF!</formula>
    </cfRule>
    <cfRule type="cellIs" dxfId="20" priority="243" operator="equal">
      <formula>#REF!</formula>
    </cfRule>
    <cfRule type="cellIs" dxfId="19" priority="244" operator="equal">
      <formula>#REF!</formula>
    </cfRule>
  </conditionalFormatting>
  <conditionalFormatting sqref="Y19:Y429">
    <cfRule type="expression" dxfId="18" priority="1158">
      <formula>$X19=#REF!</formula>
    </cfRule>
    <cfRule type="expression" dxfId="17" priority="1159">
      <formula>$X19=#REF!</formula>
    </cfRule>
    <cfRule type="expression" dxfId="16" priority="1160">
      <formula>$X19=#REF!</formula>
    </cfRule>
    <cfRule type="expression" dxfId="15" priority="1161">
      <formula>$X19=#REF!</formula>
    </cfRule>
  </conditionalFormatting>
  <conditionalFormatting sqref="Z8:Z11">
    <cfRule type="dataBar" priority="1">
      <dataBar>
        <cfvo type="min"/>
        <cfvo type="max"/>
        <color rgb="FF638EC6"/>
      </dataBar>
      <extLst>
        <ext xmlns:x14="http://schemas.microsoft.com/office/spreadsheetml/2009/9/main" uri="{B025F937-C7B1-47D3-B67F-A62EFF666E3E}">
          <x14:id>{403C4BEF-138C-4D04-899E-B7429CE293BB}</x14:id>
        </ext>
      </extLst>
    </cfRule>
  </conditionalFormatting>
  <dataValidations count="1">
    <dataValidation type="custom" allowBlank="1" showInputMessage="1" showErrorMessage="1" errorTitle="Polje s formulom" error="Nije dozvoljen upis!" sqref="N8 Q8 E8 H8 K8" xr:uid="{B66DD147-07B8-470E-B8BA-A455B41BBC8F}">
      <formula1>""</formula1>
    </dataValidation>
  </dataValidations>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E80C9313-7C11-4D07-B967-2EF5AB9AB2C5}">
            <x14:dataBar minLength="0" maxLength="100" border="1" negativeBarBorderColorSameAsPositive="0">
              <x14:cfvo type="autoMin"/>
              <x14:cfvo type="autoMax"/>
              <x14:borderColor rgb="FF63C384"/>
              <x14:negativeFillColor rgb="FFFF0000"/>
              <x14:negativeBorderColor rgb="FFFF0000"/>
              <x14:axisColor rgb="FF000000"/>
            </x14:dataBar>
          </x14:cfRule>
          <xm:sqref>F8:F11</xm:sqref>
        </x14:conditionalFormatting>
        <x14:conditionalFormatting xmlns:xm="http://schemas.microsoft.com/office/excel/2006/main">
          <x14:cfRule type="dataBar" id="{5811DD0F-3964-495A-B6F1-A76D705F2B43}">
            <x14:dataBar minLength="0" maxLength="100" border="1" negativeBarBorderColorSameAsPositive="0">
              <x14:cfvo type="autoMin"/>
              <x14:cfvo type="autoMax"/>
              <x14:borderColor rgb="FF63C384"/>
              <x14:negativeFillColor rgb="FFFF0000"/>
              <x14:negativeBorderColor rgb="FFFF0000"/>
              <x14:axisColor rgb="FF000000"/>
            </x14:dataBar>
          </x14:cfRule>
          <xm:sqref>I8:I11</xm:sqref>
        </x14:conditionalFormatting>
        <x14:conditionalFormatting xmlns:xm="http://schemas.microsoft.com/office/excel/2006/main">
          <x14:cfRule type="dataBar" id="{D705E620-72B6-439D-A6AE-FC0A6D8869FC}">
            <x14:dataBar minLength="0" maxLength="100" border="1" negativeBarBorderColorSameAsPositive="0">
              <x14:cfvo type="autoMin"/>
              <x14:cfvo type="autoMax"/>
              <x14:borderColor rgb="FF63C384"/>
              <x14:negativeFillColor rgb="FFFF0000"/>
              <x14:negativeBorderColor rgb="FFFF0000"/>
              <x14:axisColor rgb="FF000000"/>
            </x14:dataBar>
          </x14:cfRule>
          <xm:sqref>I9</xm:sqref>
        </x14:conditionalFormatting>
        <x14:conditionalFormatting xmlns:xm="http://schemas.microsoft.com/office/excel/2006/main">
          <x14:cfRule type="dataBar" id="{99E00F1C-303C-4930-9250-4CAE29A00AB1}">
            <x14:dataBar minLength="0" maxLength="100" border="1" negativeBarBorderColorSameAsPositive="0">
              <x14:cfvo type="autoMin"/>
              <x14:cfvo type="autoMax"/>
              <x14:borderColor rgb="FF63C384"/>
              <x14:negativeFillColor rgb="FFFF0000"/>
              <x14:negativeBorderColor rgb="FFFF0000"/>
              <x14:axisColor rgb="FF000000"/>
            </x14:dataBar>
          </x14:cfRule>
          <xm:sqref>I10</xm:sqref>
        </x14:conditionalFormatting>
        <x14:conditionalFormatting xmlns:xm="http://schemas.microsoft.com/office/excel/2006/main">
          <x14:cfRule type="dataBar" id="{694E1E85-4236-4F98-B14B-F5CAD1231C94}">
            <x14:dataBar minLength="0" maxLength="100" border="1" negativeBarBorderColorSameAsPositive="0">
              <x14:cfvo type="autoMin"/>
              <x14:cfvo type="autoMax"/>
              <x14:borderColor rgb="FF63C384"/>
              <x14:negativeFillColor rgb="FFFF0000"/>
              <x14:negativeBorderColor rgb="FFFF0000"/>
              <x14:axisColor rgb="FF000000"/>
            </x14:dataBar>
          </x14:cfRule>
          <xm:sqref>I11</xm:sqref>
        </x14:conditionalFormatting>
        <x14:conditionalFormatting xmlns:xm="http://schemas.microsoft.com/office/excel/2006/main">
          <x14:cfRule type="dataBar" id="{15E4CE32-BA56-4092-BE3D-25B2929C2944}">
            <x14:dataBar minLength="0" maxLength="100" border="1" negativeBarBorderColorSameAsPositive="0">
              <x14:cfvo type="autoMin"/>
              <x14:cfvo type="autoMax"/>
              <x14:borderColor rgb="FF63C384"/>
              <x14:negativeFillColor rgb="FFFF0000"/>
              <x14:negativeBorderColor rgb="FFFF0000"/>
              <x14:axisColor rgb="FF000000"/>
            </x14:dataBar>
          </x14:cfRule>
          <xm:sqref>L8:L11</xm:sqref>
        </x14:conditionalFormatting>
        <x14:conditionalFormatting xmlns:xm="http://schemas.microsoft.com/office/excel/2006/main">
          <x14:cfRule type="dataBar" id="{5DB6F999-CAE3-4726-B03E-F56398EC8A2C}">
            <x14:dataBar minLength="0" maxLength="100" border="1" negativeBarBorderColorSameAsPositive="0">
              <x14:cfvo type="autoMin"/>
              <x14:cfvo type="autoMax"/>
              <x14:borderColor rgb="FF63C384"/>
              <x14:negativeFillColor rgb="FFFF0000"/>
              <x14:negativeBorderColor rgb="FFFF0000"/>
              <x14:axisColor rgb="FF000000"/>
            </x14:dataBar>
          </x14:cfRule>
          <xm:sqref>O8:O11</xm:sqref>
        </x14:conditionalFormatting>
        <x14:conditionalFormatting xmlns:xm="http://schemas.microsoft.com/office/excel/2006/main">
          <x14:cfRule type="dataBar" id="{07F417BB-22B4-43EE-BB3B-CAFFCD4B0B5D}">
            <x14:dataBar minLength="0" maxLength="100" border="1" negativeBarBorderColorSameAsPositive="0">
              <x14:cfvo type="autoMin"/>
              <x14:cfvo type="autoMax"/>
              <x14:borderColor rgb="FF63C384"/>
              <x14:negativeFillColor rgb="FFFF0000"/>
              <x14:negativeBorderColor rgb="FFFF0000"/>
              <x14:axisColor rgb="FF000000"/>
            </x14:dataBar>
          </x14:cfRule>
          <xm:sqref>R8:R11</xm:sqref>
        </x14:conditionalFormatting>
        <x14:conditionalFormatting xmlns:xm="http://schemas.microsoft.com/office/excel/2006/main">
          <x14:cfRule type="dataBar" id="{6B4958F7-EF37-4219-AC12-D28ED6C9BC1C}">
            <x14:dataBar minLength="0" maxLength="100" border="1" negativeBarBorderColorSameAsPositive="0">
              <x14:cfvo type="autoMin"/>
              <x14:cfvo type="autoMax"/>
              <x14:borderColor rgb="FF63C384"/>
              <x14:negativeFillColor rgb="FFFF0000"/>
              <x14:negativeBorderColor rgb="FFFF0000"/>
              <x14:axisColor rgb="FF000000"/>
            </x14:dataBar>
          </x14:cfRule>
          <xm:sqref>U8:U9</xm:sqref>
        </x14:conditionalFormatting>
        <x14:conditionalFormatting xmlns:xm="http://schemas.microsoft.com/office/excel/2006/main">
          <x14:cfRule type="dataBar" id="{403C4BEF-138C-4D04-899E-B7429CE293BB}">
            <x14:dataBar minLength="0" maxLength="100" border="1" negativeBarBorderColorSameAsPositive="0">
              <x14:cfvo type="autoMin"/>
              <x14:cfvo type="autoMax"/>
              <x14:borderColor rgb="FF638EC6"/>
              <x14:negativeFillColor rgb="FFFF0000"/>
              <x14:negativeBorderColor rgb="FFFF0000"/>
              <x14:axisColor rgb="FF000000"/>
            </x14:dataBar>
          </x14:cfRule>
          <xm:sqref>Z8:Z11</xm:sqref>
        </x14:conditionalFormatting>
        <x14:conditionalFormatting xmlns:xm="http://schemas.microsoft.com/office/excel/2006/main">
          <x14:cfRule type="iconSet" priority="1147" id="{D8AE2F88-4C7D-4893-95E7-FB8562C7D307}">
            <x14:iconSet iconSet="3Triangles" showValue="0">
              <x14:cfvo type="percent">
                <xm:f>0</xm:f>
              </x14:cfvo>
              <x14:cfvo type="percent">
                <xm:f>33</xm:f>
              </x14:cfvo>
              <x14:cfvo type="percent">
                <xm:f>67</xm:f>
              </x14:cfvo>
            </x14:iconSet>
          </x14:cfRule>
          <xm:sqref>AC25:AC248</xm:sqref>
        </x14:conditionalFormatting>
        <x14:conditionalFormatting xmlns:xm="http://schemas.microsoft.com/office/excel/2006/main">
          <x14:cfRule type="iconSet" priority="1072" id="{9DE62635-4298-4FD9-9B3C-EA6DD182AACF}">
            <x14:iconSet iconSet="3Triangles" showValue="0">
              <x14:cfvo type="percent">
                <xm:f>0</xm:f>
              </x14:cfvo>
              <x14:cfvo type="percent">
                <xm:f>33</xm:f>
              </x14:cfvo>
              <x14:cfvo type="percent">
                <xm:f>67</xm:f>
              </x14:cfvo>
            </x14:iconSet>
          </x14:cfRule>
          <xm:sqref>AC249:AC263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2DE59-D421-40B4-A2D7-8196C1C711C4}">
  <dimension ref="A1:AA241"/>
  <sheetViews>
    <sheetView topLeftCell="L147" workbookViewId="0">
      <selection activeCell="AC171" sqref="AC171"/>
    </sheetView>
  </sheetViews>
  <sheetFormatPr defaultRowHeight="15"/>
  <cols>
    <col min="2" max="2" width="22.42578125" bestFit="1" customWidth="1"/>
    <col min="6" max="6" width="11.42578125" bestFit="1" customWidth="1"/>
    <col min="14" max="14" width="12.85546875" bestFit="1" customWidth="1"/>
    <col min="18" max="18" width="12.85546875" bestFit="1" customWidth="1"/>
  </cols>
  <sheetData>
    <row r="1" spans="1:27">
      <c r="A1" t="s">
        <v>2</v>
      </c>
      <c r="E1" t="s">
        <v>5</v>
      </c>
      <c r="I1" t="s">
        <v>495</v>
      </c>
      <c r="M1" s="328" t="s">
        <v>4</v>
      </c>
      <c r="N1" s="329"/>
      <c r="Q1" t="s">
        <v>3</v>
      </c>
      <c r="U1" t="s">
        <v>6</v>
      </c>
      <c r="Y1" t="s">
        <v>496</v>
      </c>
    </row>
    <row r="2" spans="1:27">
      <c r="A2" t="s">
        <v>51</v>
      </c>
      <c r="B2" t="s">
        <v>497</v>
      </c>
      <c r="C2" t="s">
        <v>498</v>
      </c>
      <c r="E2" t="s">
        <v>51</v>
      </c>
      <c r="F2" t="s">
        <v>497</v>
      </c>
      <c r="G2" t="s">
        <v>498</v>
      </c>
      <c r="I2" t="s">
        <v>498</v>
      </c>
      <c r="J2" t="s">
        <v>498</v>
      </c>
      <c r="K2" t="s">
        <v>498</v>
      </c>
      <c r="M2" t="s">
        <v>498</v>
      </c>
      <c r="N2" t="s">
        <v>498</v>
      </c>
      <c r="O2" t="s">
        <v>498</v>
      </c>
      <c r="Q2" t="s">
        <v>498</v>
      </c>
      <c r="R2" t="s">
        <v>498</v>
      </c>
      <c r="S2" t="s">
        <v>498</v>
      </c>
      <c r="U2" t="s">
        <v>498</v>
      </c>
      <c r="V2" t="s">
        <v>498</v>
      </c>
      <c r="W2" t="s">
        <v>498</v>
      </c>
      <c r="Y2" t="s">
        <v>498</v>
      </c>
      <c r="Z2" t="s">
        <v>498</v>
      </c>
      <c r="AA2" t="s">
        <v>498</v>
      </c>
    </row>
    <row r="3" spans="1:27">
      <c r="A3">
        <v>10748</v>
      </c>
      <c r="B3">
        <v>34.479999999999997</v>
      </c>
      <c r="C3" s="174">
        <f t="shared" ref="C3:C66" si="0">PERCENTRANK($B$3:$B$241,B3)</f>
        <v>1</v>
      </c>
      <c r="E3">
        <v>10612</v>
      </c>
      <c r="F3">
        <v>9320662.4100000001</v>
      </c>
      <c r="G3" s="172">
        <f t="shared" ref="G3:G66" si="1">PERCENTRANK($F$3:$F$241,F3)</f>
        <v>1</v>
      </c>
      <c r="I3">
        <v>10106</v>
      </c>
      <c r="J3">
        <v>522419.41</v>
      </c>
      <c r="K3" s="174">
        <f t="shared" ref="K3:K34" si="2">PERCENTRANK($J$3:$J$118,J3)</f>
        <v>1</v>
      </c>
      <c r="M3">
        <v>10748</v>
      </c>
      <c r="N3">
        <v>3036978.2</v>
      </c>
      <c r="O3" s="174">
        <f t="shared" ref="O3:O66" si="3">PERCENTRANK($N$3:$N$241,N3)</f>
        <v>1</v>
      </c>
      <c r="Q3">
        <v>10748</v>
      </c>
      <c r="R3">
        <v>1385751.07</v>
      </c>
      <c r="S3" s="174">
        <f t="shared" ref="S3:S66" si="4">PERCENTRANK($R$3:$R$241,R3)</f>
        <v>1</v>
      </c>
      <c r="U3">
        <v>20401</v>
      </c>
      <c r="V3">
        <v>81496.34</v>
      </c>
      <c r="W3" s="174">
        <f t="shared" ref="W3:W34" si="5">PERCENTRANK($V$3:$V$184,V3)</f>
        <v>1</v>
      </c>
      <c r="Y3">
        <v>10106</v>
      </c>
      <c r="Z3">
        <v>482.5</v>
      </c>
      <c r="AA3" s="174">
        <f t="shared" ref="AA3:AA66" si="6">PERCENTRANK($Z$3:$Z$241,Z3)</f>
        <v>1</v>
      </c>
    </row>
    <row r="4" spans="1:27">
      <c r="A4">
        <v>40144</v>
      </c>
      <c r="B4">
        <v>26.76</v>
      </c>
      <c r="C4" s="174">
        <f t="shared" si="0"/>
        <v>0.995</v>
      </c>
      <c r="E4">
        <v>10611</v>
      </c>
      <c r="F4">
        <v>7483728.3099999996</v>
      </c>
      <c r="G4" s="172">
        <f t="shared" si="1"/>
        <v>0.995</v>
      </c>
      <c r="I4">
        <v>10124</v>
      </c>
      <c r="J4">
        <v>473992.41</v>
      </c>
      <c r="K4" s="174">
        <f t="shared" si="2"/>
        <v>0.99099999999999999</v>
      </c>
      <c r="M4">
        <v>10612</v>
      </c>
      <c r="N4">
        <v>2588735.48</v>
      </c>
      <c r="O4" s="174">
        <f t="shared" si="3"/>
        <v>0.995</v>
      </c>
      <c r="Q4">
        <v>11412</v>
      </c>
      <c r="R4">
        <v>1025325.22</v>
      </c>
      <c r="S4" s="174">
        <f t="shared" si="4"/>
        <v>0.995</v>
      </c>
      <c r="U4">
        <v>20519</v>
      </c>
      <c r="V4">
        <v>70870.22</v>
      </c>
      <c r="W4" s="174">
        <f t="shared" si="5"/>
        <v>0.99399999999999999</v>
      </c>
      <c r="Y4">
        <v>11420</v>
      </c>
      <c r="Z4">
        <v>475</v>
      </c>
      <c r="AA4" s="174">
        <f t="shared" si="6"/>
        <v>0.995</v>
      </c>
    </row>
    <row r="5" spans="1:27">
      <c r="A5">
        <v>40145</v>
      </c>
      <c r="B5">
        <v>26.07</v>
      </c>
      <c r="C5" s="174">
        <f t="shared" si="0"/>
        <v>0.99099999999999999</v>
      </c>
      <c r="E5">
        <v>10748</v>
      </c>
      <c r="F5">
        <v>7396433.8899999997</v>
      </c>
      <c r="G5" s="172">
        <f t="shared" si="1"/>
        <v>0.99099999999999999</v>
      </c>
      <c r="I5">
        <v>30602</v>
      </c>
      <c r="J5">
        <v>376425.44</v>
      </c>
      <c r="K5" s="174">
        <f t="shared" si="2"/>
        <v>0.98199999999999998</v>
      </c>
      <c r="M5">
        <v>11412</v>
      </c>
      <c r="N5">
        <v>2431440.9300000002</v>
      </c>
      <c r="O5" s="174">
        <f t="shared" si="3"/>
        <v>0.99099999999999999</v>
      </c>
      <c r="Q5">
        <v>30418</v>
      </c>
      <c r="R5">
        <v>726701.71</v>
      </c>
      <c r="S5" s="174">
        <f t="shared" si="4"/>
        <v>0.99099999999999999</v>
      </c>
      <c r="U5">
        <v>11803</v>
      </c>
      <c r="V5">
        <v>65474.52</v>
      </c>
      <c r="W5" s="174">
        <f t="shared" si="5"/>
        <v>0.98799999999999999</v>
      </c>
      <c r="Y5">
        <v>10105</v>
      </c>
      <c r="Z5">
        <v>462.5</v>
      </c>
      <c r="AA5" s="174">
        <f t="shared" si="6"/>
        <v>0.98699999999999999</v>
      </c>
    </row>
    <row r="6" spans="1:27">
      <c r="A6">
        <v>11412</v>
      </c>
      <c r="B6">
        <v>25.69</v>
      </c>
      <c r="C6" s="174">
        <f t="shared" si="0"/>
        <v>0.98699999999999999</v>
      </c>
      <c r="E6">
        <v>11906</v>
      </c>
      <c r="F6">
        <v>6933824.8700000001</v>
      </c>
      <c r="G6" s="172">
        <f t="shared" si="1"/>
        <v>0.98699999999999999</v>
      </c>
      <c r="I6">
        <v>11906</v>
      </c>
      <c r="J6">
        <v>373292.52</v>
      </c>
      <c r="K6" s="174">
        <f t="shared" si="2"/>
        <v>0.97299999999999998</v>
      </c>
      <c r="M6">
        <v>10105</v>
      </c>
      <c r="N6">
        <v>2119675.98</v>
      </c>
      <c r="O6" s="174">
        <f t="shared" si="3"/>
        <v>0.98699999999999999</v>
      </c>
      <c r="Q6">
        <v>40144</v>
      </c>
      <c r="R6">
        <v>668748.97</v>
      </c>
      <c r="S6" s="174">
        <f t="shared" si="4"/>
        <v>0.98699999999999999</v>
      </c>
      <c r="U6">
        <v>10101</v>
      </c>
      <c r="V6">
        <v>61525.31</v>
      </c>
      <c r="W6" s="174">
        <f t="shared" si="5"/>
        <v>0.98299999999999998</v>
      </c>
      <c r="Y6">
        <v>10748</v>
      </c>
      <c r="Z6">
        <v>462.5</v>
      </c>
      <c r="AA6" s="174">
        <f t="shared" si="6"/>
        <v>0.98699999999999999</v>
      </c>
    </row>
    <row r="7" spans="1:27">
      <c r="A7">
        <v>40206</v>
      </c>
      <c r="B7">
        <v>25.09</v>
      </c>
      <c r="C7" s="174">
        <f t="shared" si="0"/>
        <v>0.98299999999999998</v>
      </c>
      <c r="E7">
        <v>20404</v>
      </c>
      <c r="F7">
        <v>6398878.2300000004</v>
      </c>
      <c r="G7" s="172">
        <f t="shared" si="1"/>
        <v>0.98299999999999998</v>
      </c>
      <c r="I7">
        <v>10103</v>
      </c>
      <c r="J7">
        <v>303144.44</v>
      </c>
      <c r="K7" s="174">
        <f t="shared" si="2"/>
        <v>0.96499999999999997</v>
      </c>
      <c r="M7">
        <v>30418</v>
      </c>
      <c r="N7">
        <v>1890209.14</v>
      </c>
      <c r="O7" s="174">
        <f t="shared" si="3"/>
        <v>0.98299999999999998</v>
      </c>
      <c r="Q7">
        <v>30608</v>
      </c>
      <c r="R7">
        <v>660580.67000000004</v>
      </c>
      <c r="S7" s="174">
        <f t="shared" si="4"/>
        <v>0.98299999999999998</v>
      </c>
      <c r="U7">
        <v>10124</v>
      </c>
      <c r="V7">
        <v>60843.28</v>
      </c>
      <c r="W7" s="174">
        <f t="shared" si="5"/>
        <v>0.97699999999999998</v>
      </c>
      <c r="Y7">
        <v>30608</v>
      </c>
      <c r="Z7">
        <v>457.5</v>
      </c>
      <c r="AA7" s="174">
        <f t="shared" si="6"/>
        <v>0.98299999999999998</v>
      </c>
    </row>
    <row r="8" spans="1:27">
      <c r="A8">
        <v>10612</v>
      </c>
      <c r="B8">
        <v>21.9</v>
      </c>
      <c r="C8" s="174">
        <f t="shared" si="0"/>
        <v>0.97799999999999998</v>
      </c>
      <c r="E8">
        <v>11706</v>
      </c>
      <c r="F8">
        <v>6125738.2999999998</v>
      </c>
      <c r="G8" s="172">
        <f t="shared" si="1"/>
        <v>0.97799999999999998</v>
      </c>
      <c r="I8">
        <v>40212</v>
      </c>
      <c r="J8">
        <v>296474.03999999998</v>
      </c>
      <c r="K8" s="174">
        <f t="shared" si="2"/>
        <v>0.95599999999999996</v>
      </c>
      <c r="M8">
        <v>30608</v>
      </c>
      <c r="N8">
        <v>1778932.54</v>
      </c>
      <c r="O8" s="174">
        <f t="shared" si="3"/>
        <v>0.97799999999999998</v>
      </c>
      <c r="Q8">
        <v>10612</v>
      </c>
      <c r="R8">
        <v>584663.09</v>
      </c>
      <c r="S8" s="174">
        <f t="shared" si="4"/>
        <v>0.97799999999999998</v>
      </c>
      <c r="U8">
        <v>10737</v>
      </c>
      <c r="V8">
        <v>60234.79</v>
      </c>
      <c r="W8" s="174">
        <f t="shared" si="5"/>
        <v>0.97199999999999998</v>
      </c>
      <c r="Y8">
        <v>11412</v>
      </c>
      <c r="Z8">
        <v>455</v>
      </c>
      <c r="AA8" s="174">
        <f t="shared" si="6"/>
        <v>0.97799999999999998</v>
      </c>
    </row>
    <row r="9" spans="1:27">
      <c r="A9">
        <v>20216</v>
      </c>
      <c r="B9">
        <v>20.079999999999998</v>
      </c>
      <c r="C9" s="174">
        <f t="shared" si="0"/>
        <v>0.97399999999999998</v>
      </c>
      <c r="E9">
        <v>10105</v>
      </c>
      <c r="F9">
        <v>6003290.3700000001</v>
      </c>
      <c r="G9" s="172">
        <f t="shared" si="1"/>
        <v>0.97399999999999998</v>
      </c>
      <c r="I9">
        <v>20520</v>
      </c>
      <c r="J9">
        <v>295361.28000000003</v>
      </c>
      <c r="K9" s="174">
        <f t="shared" si="2"/>
        <v>0.94699999999999995</v>
      </c>
      <c r="M9">
        <v>10611</v>
      </c>
      <c r="N9">
        <v>1693369.52</v>
      </c>
      <c r="O9" s="174">
        <f t="shared" si="3"/>
        <v>0.97399999999999998</v>
      </c>
      <c r="Q9">
        <v>40131</v>
      </c>
      <c r="R9">
        <v>569548.57999999996</v>
      </c>
      <c r="S9" s="174">
        <f t="shared" si="4"/>
        <v>0.97399999999999998</v>
      </c>
      <c r="U9">
        <v>40139</v>
      </c>
      <c r="V9">
        <v>59334.92</v>
      </c>
      <c r="W9" s="174">
        <f t="shared" si="5"/>
        <v>0.96599999999999997</v>
      </c>
      <c r="Y9">
        <v>10611</v>
      </c>
      <c r="Z9">
        <v>450</v>
      </c>
      <c r="AA9" s="174">
        <f t="shared" si="6"/>
        <v>0.97</v>
      </c>
    </row>
    <row r="10" spans="1:27">
      <c r="A10">
        <v>10611</v>
      </c>
      <c r="B10">
        <v>19.13</v>
      </c>
      <c r="C10" s="174">
        <f t="shared" si="0"/>
        <v>0.97</v>
      </c>
      <c r="E10">
        <v>11211</v>
      </c>
      <c r="F10">
        <v>5986867.25</v>
      </c>
      <c r="G10" s="172">
        <f t="shared" si="1"/>
        <v>0.97</v>
      </c>
      <c r="I10">
        <v>20435</v>
      </c>
      <c r="J10">
        <v>280655.84000000003</v>
      </c>
      <c r="K10" s="174">
        <f t="shared" si="2"/>
        <v>0.93899999999999995</v>
      </c>
      <c r="M10">
        <v>40144</v>
      </c>
      <c r="N10">
        <v>1618942.89</v>
      </c>
      <c r="O10" s="174">
        <f t="shared" si="3"/>
        <v>0.97</v>
      </c>
      <c r="Q10">
        <v>40206</v>
      </c>
      <c r="R10">
        <v>549693.46</v>
      </c>
      <c r="S10" s="174">
        <f t="shared" si="4"/>
        <v>0.97</v>
      </c>
      <c r="U10">
        <v>40109</v>
      </c>
      <c r="V10">
        <v>58707.57</v>
      </c>
      <c r="W10" s="174">
        <f t="shared" si="5"/>
        <v>0.96099999999999997</v>
      </c>
      <c r="Y10">
        <v>10612</v>
      </c>
      <c r="Z10">
        <v>450</v>
      </c>
      <c r="AA10" s="174">
        <f t="shared" si="6"/>
        <v>0.97</v>
      </c>
    </row>
    <row r="11" spans="1:27">
      <c r="A11">
        <v>11501</v>
      </c>
      <c r="B11">
        <v>16.489999999999998</v>
      </c>
      <c r="C11" s="174">
        <f t="shared" si="0"/>
        <v>0.96599999999999997</v>
      </c>
      <c r="E11">
        <v>11420</v>
      </c>
      <c r="F11">
        <v>5861059.8099999996</v>
      </c>
      <c r="G11" s="172">
        <f t="shared" si="1"/>
        <v>0.96599999999999997</v>
      </c>
      <c r="I11">
        <v>11420</v>
      </c>
      <c r="J11">
        <v>279314.44</v>
      </c>
      <c r="K11" s="174">
        <f t="shared" si="2"/>
        <v>0.93</v>
      </c>
      <c r="M11">
        <v>40131</v>
      </c>
      <c r="N11">
        <v>1579016.15</v>
      </c>
      <c r="O11" s="174">
        <f t="shared" si="3"/>
        <v>0.96599999999999997</v>
      </c>
      <c r="Q11">
        <v>20216</v>
      </c>
      <c r="R11">
        <v>529071.79</v>
      </c>
      <c r="S11" s="174">
        <f t="shared" si="4"/>
        <v>0.96599999999999997</v>
      </c>
      <c r="U11" s="41">
        <v>40123</v>
      </c>
      <c r="V11" s="41">
        <v>58551.21</v>
      </c>
      <c r="W11" s="174">
        <f t="shared" si="5"/>
        <v>0.95499999999999996</v>
      </c>
      <c r="Y11">
        <v>30418</v>
      </c>
      <c r="Z11">
        <v>422.5</v>
      </c>
      <c r="AA11" s="174">
        <f t="shared" si="6"/>
        <v>0.95699999999999996</v>
      </c>
    </row>
    <row r="12" spans="1:27">
      <c r="A12">
        <v>40130</v>
      </c>
      <c r="B12">
        <v>15.9</v>
      </c>
      <c r="C12" s="174">
        <f t="shared" si="0"/>
        <v>0.95699999999999996</v>
      </c>
      <c r="E12">
        <v>10101</v>
      </c>
      <c r="F12">
        <v>5695264.1200000001</v>
      </c>
      <c r="G12" s="172">
        <f t="shared" si="1"/>
        <v>0.96199999999999997</v>
      </c>
      <c r="I12">
        <v>40203</v>
      </c>
      <c r="J12">
        <v>278462.32</v>
      </c>
      <c r="K12" s="174">
        <f t="shared" si="2"/>
        <v>0.92100000000000004</v>
      </c>
      <c r="M12">
        <v>40206</v>
      </c>
      <c r="N12">
        <v>1424894.4</v>
      </c>
      <c r="O12" s="174">
        <f t="shared" si="3"/>
        <v>0.96199999999999997</v>
      </c>
      <c r="Q12">
        <v>40145</v>
      </c>
      <c r="R12">
        <v>521121.5</v>
      </c>
      <c r="S12" s="174">
        <f t="shared" si="4"/>
        <v>0.96199999999999997</v>
      </c>
      <c r="U12">
        <v>30614</v>
      </c>
      <c r="V12">
        <v>57919.07</v>
      </c>
      <c r="W12" s="174">
        <f t="shared" si="5"/>
        <v>0.95</v>
      </c>
      <c r="Y12">
        <v>40144</v>
      </c>
      <c r="Z12">
        <v>422.5</v>
      </c>
      <c r="AA12" s="174">
        <f t="shared" si="6"/>
        <v>0.95699999999999996</v>
      </c>
    </row>
    <row r="13" spans="1:27">
      <c r="A13">
        <v>40131</v>
      </c>
      <c r="B13">
        <v>15.9</v>
      </c>
      <c r="C13" s="174">
        <f t="shared" si="0"/>
        <v>0.95699999999999996</v>
      </c>
      <c r="E13">
        <v>11123</v>
      </c>
      <c r="F13">
        <v>5417726.9400000004</v>
      </c>
      <c r="G13" s="172">
        <f t="shared" si="1"/>
        <v>0.95699999999999996</v>
      </c>
      <c r="I13">
        <v>30612</v>
      </c>
      <c r="J13">
        <v>278263.8</v>
      </c>
      <c r="K13" s="174">
        <f t="shared" si="2"/>
        <v>0.91300000000000003</v>
      </c>
      <c r="M13">
        <v>40145</v>
      </c>
      <c r="N13">
        <v>1396111.01</v>
      </c>
      <c r="O13" s="174">
        <f t="shared" si="3"/>
        <v>0.95699999999999996</v>
      </c>
      <c r="Q13">
        <v>10611</v>
      </c>
      <c r="R13">
        <v>495775.66</v>
      </c>
      <c r="S13" s="174">
        <f t="shared" si="4"/>
        <v>0.95699999999999996</v>
      </c>
      <c r="U13">
        <v>40114</v>
      </c>
      <c r="V13">
        <v>57524.93</v>
      </c>
      <c r="W13" s="174">
        <f t="shared" si="5"/>
        <v>0.94399999999999995</v>
      </c>
      <c r="Y13">
        <v>40206</v>
      </c>
      <c r="Z13">
        <v>422.5</v>
      </c>
      <c r="AA13" s="174">
        <f t="shared" si="6"/>
        <v>0.95699999999999996</v>
      </c>
    </row>
    <row r="14" spans="1:27">
      <c r="A14">
        <v>10120</v>
      </c>
      <c r="B14">
        <v>14.65</v>
      </c>
      <c r="C14" s="174">
        <f t="shared" si="0"/>
        <v>0.95299999999999996</v>
      </c>
      <c r="E14">
        <v>30216</v>
      </c>
      <c r="F14">
        <v>5361257.5999999996</v>
      </c>
      <c r="G14" s="172">
        <f t="shared" si="1"/>
        <v>0.95299999999999996</v>
      </c>
      <c r="I14">
        <v>10737</v>
      </c>
      <c r="J14">
        <v>277065.15000000002</v>
      </c>
      <c r="K14" s="174">
        <f t="shared" si="2"/>
        <v>0.90400000000000003</v>
      </c>
      <c r="M14">
        <v>10120</v>
      </c>
      <c r="N14">
        <v>1395393.7</v>
      </c>
      <c r="O14" s="174">
        <f t="shared" si="3"/>
        <v>0.95299999999999996</v>
      </c>
      <c r="Q14">
        <v>40130</v>
      </c>
      <c r="R14">
        <v>494149.6</v>
      </c>
      <c r="S14" s="174">
        <f t="shared" si="4"/>
        <v>0.95299999999999996</v>
      </c>
      <c r="U14">
        <v>10714</v>
      </c>
      <c r="V14">
        <v>57420.61</v>
      </c>
      <c r="W14" s="174">
        <f t="shared" si="5"/>
        <v>0.93899999999999995</v>
      </c>
      <c r="Y14">
        <v>40130</v>
      </c>
      <c r="Z14">
        <v>420</v>
      </c>
      <c r="AA14" s="174">
        <f t="shared" si="6"/>
        <v>0.94899999999999995</v>
      </c>
    </row>
    <row r="15" spans="1:27">
      <c r="A15">
        <v>10105</v>
      </c>
      <c r="B15">
        <v>14.15</v>
      </c>
      <c r="C15" s="174">
        <f t="shared" si="0"/>
        <v>0.94899999999999995</v>
      </c>
      <c r="E15">
        <v>30417</v>
      </c>
      <c r="F15">
        <v>5308061.46</v>
      </c>
      <c r="G15" s="172">
        <f t="shared" si="1"/>
        <v>0.94899999999999995</v>
      </c>
      <c r="I15">
        <v>11803</v>
      </c>
      <c r="J15">
        <v>246938.65</v>
      </c>
      <c r="K15" s="174">
        <f t="shared" si="2"/>
        <v>0.89500000000000002</v>
      </c>
      <c r="M15">
        <v>20216</v>
      </c>
      <c r="N15">
        <v>1352329.98</v>
      </c>
      <c r="O15" s="174">
        <f t="shared" si="3"/>
        <v>0.94899999999999995</v>
      </c>
      <c r="Q15">
        <v>11417</v>
      </c>
      <c r="R15">
        <v>443602.64</v>
      </c>
      <c r="S15" s="174">
        <f t="shared" si="4"/>
        <v>0.94899999999999995</v>
      </c>
      <c r="U15">
        <v>30412</v>
      </c>
      <c r="V15">
        <v>55757.599999999999</v>
      </c>
      <c r="W15" s="174">
        <f t="shared" si="5"/>
        <v>0.93300000000000005</v>
      </c>
      <c r="Y15">
        <v>40145</v>
      </c>
      <c r="Z15">
        <v>420</v>
      </c>
      <c r="AA15" s="174">
        <f t="shared" si="6"/>
        <v>0.94899999999999995</v>
      </c>
    </row>
    <row r="16" spans="1:27">
      <c r="A16">
        <v>30418</v>
      </c>
      <c r="B16">
        <v>13.34</v>
      </c>
      <c r="C16" s="174">
        <f t="shared" si="0"/>
        <v>0.94499999999999995</v>
      </c>
      <c r="E16">
        <v>40137</v>
      </c>
      <c r="F16">
        <v>5258834.1399999997</v>
      </c>
      <c r="G16" s="172">
        <f t="shared" si="1"/>
        <v>0.94499999999999995</v>
      </c>
      <c r="I16">
        <v>11307</v>
      </c>
      <c r="J16">
        <v>242054.83</v>
      </c>
      <c r="K16" s="174">
        <f t="shared" si="2"/>
        <v>0.88600000000000001</v>
      </c>
      <c r="M16">
        <v>40130</v>
      </c>
      <c r="N16">
        <v>1335144.6399999999</v>
      </c>
      <c r="O16" s="174">
        <f t="shared" si="3"/>
        <v>0.94499999999999995</v>
      </c>
      <c r="Q16">
        <v>10105</v>
      </c>
      <c r="R16">
        <v>328346.57</v>
      </c>
      <c r="S16" s="174">
        <f t="shared" si="4"/>
        <v>0.94499999999999995</v>
      </c>
      <c r="U16">
        <v>11208</v>
      </c>
      <c r="V16">
        <v>55099.62</v>
      </c>
      <c r="W16" s="174">
        <f t="shared" si="5"/>
        <v>0.92800000000000005</v>
      </c>
      <c r="Y16">
        <v>20216</v>
      </c>
      <c r="Z16">
        <v>402</v>
      </c>
      <c r="AA16" s="174">
        <f t="shared" si="6"/>
        <v>0.94099999999999995</v>
      </c>
    </row>
    <row r="17" spans="1:27">
      <c r="A17">
        <v>30608</v>
      </c>
      <c r="B17">
        <v>13.13</v>
      </c>
      <c r="C17" s="174">
        <f t="shared" si="0"/>
        <v>0.94099999999999995</v>
      </c>
      <c r="E17">
        <v>20210</v>
      </c>
      <c r="F17">
        <v>5168537.34</v>
      </c>
      <c r="G17" s="172">
        <f t="shared" si="1"/>
        <v>0.94099999999999995</v>
      </c>
      <c r="I17">
        <v>30618</v>
      </c>
      <c r="J17">
        <v>239385.29</v>
      </c>
      <c r="K17" s="174">
        <f t="shared" si="2"/>
        <v>0.878</v>
      </c>
      <c r="M17">
        <v>11706</v>
      </c>
      <c r="N17">
        <v>1288531.72</v>
      </c>
      <c r="O17" s="174">
        <f t="shared" si="3"/>
        <v>0.94099999999999995</v>
      </c>
      <c r="Q17">
        <v>30609</v>
      </c>
      <c r="R17">
        <v>316782.23</v>
      </c>
      <c r="S17" s="174">
        <f t="shared" si="4"/>
        <v>0.94099999999999995</v>
      </c>
      <c r="U17">
        <v>40129</v>
      </c>
      <c r="V17">
        <v>53772.76</v>
      </c>
      <c r="W17" s="174">
        <f t="shared" si="5"/>
        <v>0.92200000000000004</v>
      </c>
      <c r="Y17">
        <v>40131</v>
      </c>
      <c r="Z17">
        <v>402</v>
      </c>
      <c r="AA17" s="174">
        <f t="shared" si="6"/>
        <v>0.94099999999999995</v>
      </c>
    </row>
    <row r="18" spans="1:27">
      <c r="A18">
        <v>10106</v>
      </c>
      <c r="B18">
        <v>13.09</v>
      </c>
      <c r="C18" s="174">
        <f t="shared" si="0"/>
        <v>0.93600000000000005</v>
      </c>
      <c r="E18">
        <v>10706</v>
      </c>
      <c r="F18">
        <v>5099537.66</v>
      </c>
      <c r="G18" s="172">
        <f t="shared" si="1"/>
        <v>0.93600000000000005</v>
      </c>
      <c r="I18">
        <v>30207</v>
      </c>
      <c r="J18">
        <v>237099.03</v>
      </c>
      <c r="K18" s="174">
        <f t="shared" si="2"/>
        <v>0.86899999999999999</v>
      </c>
      <c r="M18">
        <v>11807</v>
      </c>
      <c r="N18">
        <v>1278449.6399999999</v>
      </c>
      <c r="O18" s="174">
        <f t="shared" si="3"/>
        <v>0.93600000000000005</v>
      </c>
      <c r="Q18">
        <v>11501</v>
      </c>
      <c r="R18">
        <v>264223.86</v>
      </c>
      <c r="S18" s="174">
        <f t="shared" si="4"/>
        <v>0.93600000000000005</v>
      </c>
      <c r="U18">
        <v>40118</v>
      </c>
      <c r="V18">
        <v>53451.74</v>
      </c>
      <c r="W18" s="174">
        <f t="shared" si="5"/>
        <v>0.91700000000000004</v>
      </c>
      <c r="Y18">
        <v>11706</v>
      </c>
      <c r="Z18">
        <v>390</v>
      </c>
      <c r="AA18" s="174">
        <f t="shared" si="6"/>
        <v>0.93600000000000005</v>
      </c>
    </row>
    <row r="19" spans="1:27">
      <c r="A19">
        <v>30602</v>
      </c>
      <c r="B19">
        <v>12.45</v>
      </c>
      <c r="C19" s="174">
        <f t="shared" si="0"/>
        <v>0.93200000000000005</v>
      </c>
      <c r="E19">
        <v>30602</v>
      </c>
      <c r="F19">
        <v>5052723.79</v>
      </c>
      <c r="G19" s="172">
        <f t="shared" si="1"/>
        <v>0.93200000000000005</v>
      </c>
      <c r="I19">
        <v>20401</v>
      </c>
      <c r="J19">
        <v>235997.93</v>
      </c>
      <c r="K19" s="174">
        <f t="shared" si="2"/>
        <v>0.86</v>
      </c>
      <c r="M19">
        <v>11420</v>
      </c>
      <c r="N19">
        <v>1228037.06</v>
      </c>
      <c r="O19" s="174">
        <f t="shared" si="3"/>
        <v>0.93200000000000005</v>
      </c>
      <c r="Q19">
        <v>20517</v>
      </c>
      <c r="R19">
        <v>258003.12</v>
      </c>
      <c r="S19" s="174">
        <f t="shared" si="4"/>
        <v>0.93200000000000005</v>
      </c>
      <c r="U19">
        <v>11307</v>
      </c>
      <c r="V19">
        <v>51935.41</v>
      </c>
      <c r="W19" s="174">
        <f t="shared" si="5"/>
        <v>0.91100000000000003</v>
      </c>
      <c r="Y19">
        <v>11501</v>
      </c>
      <c r="Z19">
        <v>370</v>
      </c>
      <c r="AA19" s="174">
        <f t="shared" si="6"/>
        <v>0.92800000000000005</v>
      </c>
    </row>
    <row r="20" spans="1:27">
      <c r="A20">
        <v>30609</v>
      </c>
      <c r="B20">
        <v>12.42</v>
      </c>
      <c r="C20" s="174">
        <f t="shared" si="0"/>
        <v>0.92800000000000005</v>
      </c>
      <c r="E20">
        <v>11701</v>
      </c>
      <c r="F20">
        <v>4954960.74</v>
      </c>
      <c r="G20" s="172">
        <f t="shared" si="1"/>
        <v>0.92800000000000005</v>
      </c>
      <c r="I20">
        <v>11902</v>
      </c>
      <c r="J20">
        <v>230468.89</v>
      </c>
      <c r="K20" s="174">
        <f t="shared" si="2"/>
        <v>0.85199999999999998</v>
      </c>
      <c r="M20">
        <v>10706</v>
      </c>
      <c r="N20">
        <v>1195308.28</v>
      </c>
      <c r="O20" s="174">
        <f t="shared" si="3"/>
        <v>0.92800000000000005</v>
      </c>
      <c r="Q20">
        <v>40102</v>
      </c>
      <c r="R20">
        <v>239495.04000000001</v>
      </c>
      <c r="S20" s="174">
        <f t="shared" si="4"/>
        <v>0.92800000000000005</v>
      </c>
      <c r="U20">
        <v>20915</v>
      </c>
      <c r="V20">
        <v>49538.69</v>
      </c>
      <c r="W20" s="174">
        <f t="shared" si="5"/>
        <v>0.90600000000000003</v>
      </c>
      <c r="Y20">
        <v>30602</v>
      </c>
      <c r="Z20">
        <v>370</v>
      </c>
      <c r="AA20" s="174">
        <f t="shared" si="6"/>
        <v>0.92800000000000005</v>
      </c>
    </row>
    <row r="21" spans="1:27">
      <c r="A21">
        <v>11803</v>
      </c>
      <c r="B21">
        <v>12.28</v>
      </c>
      <c r="C21" s="174">
        <f t="shared" si="0"/>
        <v>0.92400000000000004</v>
      </c>
      <c r="E21">
        <v>30608</v>
      </c>
      <c r="F21">
        <v>4887988.5</v>
      </c>
      <c r="G21" s="172">
        <f t="shared" si="1"/>
        <v>0.92400000000000004</v>
      </c>
      <c r="I21">
        <v>11705</v>
      </c>
      <c r="J21">
        <v>222098.58</v>
      </c>
      <c r="K21" s="174">
        <f t="shared" si="2"/>
        <v>0.84299999999999997</v>
      </c>
      <c r="M21">
        <v>40123</v>
      </c>
      <c r="N21">
        <v>1186701.3</v>
      </c>
      <c r="O21" s="174">
        <f t="shared" si="3"/>
        <v>0.92400000000000004</v>
      </c>
      <c r="Q21">
        <v>11218</v>
      </c>
      <c r="R21">
        <v>220616.63</v>
      </c>
      <c r="S21" s="174">
        <f t="shared" si="4"/>
        <v>0.92400000000000004</v>
      </c>
      <c r="U21">
        <v>40141</v>
      </c>
      <c r="V21">
        <v>49458.45</v>
      </c>
      <c r="W21" s="174">
        <f t="shared" si="5"/>
        <v>0.9</v>
      </c>
      <c r="Y21">
        <v>10120</v>
      </c>
      <c r="Z21">
        <v>365</v>
      </c>
      <c r="AA21" s="174">
        <f t="shared" si="6"/>
        <v>0.92</v>
      </c>
    </row>
    <row r="22" spans="1:27">
      <c r="A22">
        <v>11807</v>
      </c>
      <c r="B22">
        <v>11.59</v>
      </c>
      <c r="C22" s="174">
        <f t="shared" si="0"/>
        <v>0.91100000000000003</v>
      </c>
      <c r="E22">
        <v>11412</v>
      </c>
      <c r="F22">
        <v>4875017.0999999996</v>
      </c>
      <c r="G22" s="172">
        <f t="shared" si="1"/>
        <v>0.92</v>
      </c>
      <c r="I22">
        <v>30619</v>
      </c>
      <c r="J22">
        <v>221570.33</v>
      </c>
      <c r="K22" s="174">
        <f t="shared" si="2"/>
        <v>0.83399999999999996</v>
      </c>
      <c r="M22">
        <v>40128</v>
      </c>
      <c r="N22">
        <v>1177528.24</v>
      </c>
      <c r="O22" s="174">
        <f t="shared" si="3"/>
        <v>0.92</v>
      </c>
      <c r="Q22">
        <v>11706</v>
      </c>
      <c r="R22">
        <v>218741.76000000001</v>
      </c>
      <c r="S22" s="174">
        <f t="shared" si="4"/>
        <v>0.92</v>
      </c>
      <c r="U22">
        <v>40128</v>
      </c>
      <c r="V22">
        <v>49215.13</v>
      </c>
      <c r="W22" s="174">
        <f t="shared" si="5"/>
        <v>0.89500000000000002</v>
      </c>
      <c r="Y22">
        <v>11807</v>
      </c>
      <c r="Z22">
        <v>365</v>
      </c>
      <c r="AA22" s="174">
        <f t="shared" si="6"/>
        <v>0.92</v>
      </c>
    </row>
    <row r="23" spans="1:27">
      <c r="A23">
        <v>30111</v>
      </c>
      <c r="B23">
        <v>11.59</v>
      </c>
      <c r="C23" s="174">
        <f t="shared" si="0"/>
        <v>0.91100000000000003</v>
      </c>
      <c r="E23">
        <v>10106</v>
      </c>
      <c r="F23">
        <v>4856021.92</v>
      </c>
      <c r="G23" s="172">
        <f t="shared" si="1"/>
        <v>0.91500000000000004</v>
      </c>
      <c r="I23">
        <v>11409</v>
      </c>
      <c r="J23">
        <v>221039.35</v>
      </c>
      <c r="K23" s="174">
        <f t="shared" si="2"/>
        <v>0.82599999999999996</v>
      </c>
      <c r="M23">
        <v>10106</v>
      </c>
      <c r="N23">
        <v>1137168.81</v>
      </c>
      <c r="O23" s="174">
        <f t="shared" si="3"/>
        <v>0.91500000000000004</v>
      </c>
      <c r="Q23">
        <v>40104</v>
      </c>
      <c r="R23">
        <v>208461.08</v>
      </c>
      <c r="S23" s="174">
        <f t="shared" si="4"/>
        <v>0.91500000000000004</v>
      </c>
      <c r="U23">
        <v>40124</v>
      </c>
      <c r="V23">
        <v>47793.27</v>
      </c>
      <c r="W23" s="174">
        <f t="shared" si="5"/>
        <v>0.88900000000000001</v>
      </c>
      <c r="Y23">
        <v>30609</v>
      </c>
      <c r="Z23">
        <v>352</v>
      </c>
      <c r="AA23" s="174">
        <f t="shared" si="6"/>
        <v>0.91500000000000004</v>
      </c>
    </row>
    <row r="24" spans="1:27">
      <c r="A24">
        <v>40141</v>
      </c>
      <c r="B24">
        <v>11.59</v>
      </c>
      <c r="C24" s="174">
        <f t="shared" si="0"/>
        <v>0.91100000000000003</v>
      </c>
      <c r="E24">
        <v>20214</v>
      </c>
      <c r="F24">
        <v>4747824.72</v>
      </c>
      <c r="G24" s="172">
        <f t="shared" si="1"/>
        <v>0.91100000000000003</v>
      </c>
      <c r="I24">
        <v>20404</v>
      </c>
      <c r="J24">
        <v>212703.94</v>
      </c>
      <c r="K24" s="174">
        <f t="shared" si="2"/>
        <v>0.81699999999999995</v>
      </c>
      <c r="M24">
        <v>11701</v>
      </c>
      <c r="N24">
        <v>1125992.56</v>
      </c>
      <c r="O24" s="174">
        <f t="shared" si="3"/>
        <v>0.91100000000000003</v>
      </c>
      <c r="Q24">
        <v>11420</v>
      </c>
      <c r="R24">
        <v>202037.73</v>
      </c>
      <c r="S24" s="174">
        <f t="shared" si="4"/>
        <v>0.91100000000000003</v>
      </c>
      <c r="U24">
        <v>11901</v>
      </c>
      <c r="V24">
        <v>47475.46</v>
      </c>
      <c r="W24" s="174">
        <f t="shared" si="5"/>
        <v>0.88300000000000001</v>
      </c>
      <c r="Y24">
        <v>10706</v>
      </c>
      <c r="Z24">
        <v>332.5</v>
      </c>
      <c r="AA24" s="174">
        <f t="shared" si="6"/>
        <v>0.91100000000000003</v>
      </c>
    </row>
    <row r="25" spans="1:27">
      <c r="A25">
        <v>40211</v>
      </c>
      <c r="B25">
        <v>11.56</v>
      </c>
      <c r="C25" s="174">
        <f t="shared" si="0"/>
        <v>0.90700000000000003</v>
      </c>
      <c r="E25">
        <v>20406</v>
      </c>
      <c r="F25">
        <v>4611097.37</v>
      </c>
      <c r="G25" s="172">
        <f t="shared" si="1"/>
        <v>0.90700000000000003</v>
      </c>
      <c r="I25">
        <v>30104</v>
      </c>
      <c r="J25">
        <v>212515.78</v>
      </c>
      <c r="K25" s="174">
        <f t="shared" si="2"/>
        <v>0.80800000000000005</v>
      </c>
      <c r="M25">
        <v>40137</v>
      </c>
      <c r="N25">
        <v>1119391.23</v>
      </c>
      <c r="O25" s="174">
        <f t="shared" si="3"/>
        <v>0.90700000000000003</v>
      </c>
      <c r="Q25">
        <v>11611</v>
      </c>
      <c r="R25">
        <v>201160.76</v>
      </c>
      <c r="S25" s="174">
        <f t="shared" si="4"/>
        <v>0.90700000000000003</v>
      </c>
      <c r="U25">
        <v>11304</v>
      </c>
      <c r="V25">
        <v>47367.74</v>
      </c>
      <c r="W25" s="174">
        <f t="shared" si="5"/>
        <v>0.878</v>
      </c>
      <c r="Y25">
        <v>11701</v>
      </c>
      <c r="Z25">
        <v>330</v>
      </c>
      <c r="AA25" s="174">
        <f t="shared" si="6"/>
        <v>0.90700000000000003</v>
      </c>
    </row>
    <row r="26" spans="1:27">
      <c r="A26">
        <v>11420</v>
      </c>
      <c r="B26">
        <v>11.46</v>
      </c>
      <c r="C26" s="174">
        <f t="shared" si="0"/>
        <v>0.90300000000000002</v>
      </c>
      <c r="E26">
        <v>11305</v>
      </c>
      <c r="F26">
        <v>4554225.05</v>
      </c>
      <c r="G26" s="172">
        <f t="shared" si="1"/>
        <v>0.90300000000000002</v>
      </c>
      <c r="I26">
        <v>11211</v>
      </c>
      <c r="J26">
        <v>204911.37</v>
      </c>
      <c r="K26" s="174">
        <f t="shared" si="2"/>
        <v>0.8</v>
      </c>
      <c r="M26">
        <v>11123</v>
      </c>
      <c r="N26">
        <v>1103400.47</v>
      </c>
      <c r="O26" s="174">
        <f t="shared" si="3"/>
        <v>0.90300000000000002</v>
      </c>
      <c r="Q26">
        <v>10106</v>
      </c>
      <c r="R26">
        <v>189848.91</v>
      </c>
      <c r="S26" s="174">
        <f t="shared" si="4"/>
        <v>0.90300000000000002</v>
      </c>
      <c r="U26">
        <v>11215</v>
      </c>
      <c r="V26">
        <v>47101.93</v>
      </c>
      <c r="W26" s="174">
        <f t="shared" si="5"/>
        <v>0.872</v>
      </c>
      <c r="Y26">
        <v>11123</v>
      </c>
      <c r="Z26">
        <v>327.5</v>
      </c>
      <c r="AA26" s="174">
        <f t="shared" si="6"/>
        <v>0.89900000000000002</v>
      </c>
    </row>
    <row r="27" spans="1:27">
      <c r="A27">
        <v>11906</v>
      </c>
      <c r="B27">
        <v>11.42</v>
      </c>
      <c r="C27" s="174">
        <f t="shared" si="0"/>
        <v>0.89900000000000002</v>
      </c>
      <c r="E27">
        <v>10737</v>
      </c>
      <c r="F27">
        <v>4545941.6500000004</v>
      </c>
      <c r="G27" s="172">
        <f t="shared" si="1"/>
        <v>0.89900000000000002</v>
      </c>
      <c r="I27">
        <v>30216</v>
      </c>
      <c r="J27">
        <v>201376.22</v>
      </c>
      <c r="K27" s="174">
        <f t="shared" si="2"/>
        <v>0.79100000000000004</v>
      </c>
      <c r="M27">
        <v>30609</v>
      </c>
      <c r="N27">
        <v>1092972.95</v>
      </c>
      <c r="O27" s="174">
        <f t="shared" si="3"/>
        <v>0.89900000000000002</v>
      </c>
      <c r="Q27">
        <v>20536</v>
      </c>
      <c r="R27">
        <v>170756.38</v>
      </c>
      <c r="S27" s="174">
        <f t="shared" si="4"/>
        <v>0.89900000000000002</v>
      </c>
      <c r="U27">
        <v>11701</v>
      </c>
      <c r="V27">
        <v>46922.17</v>
      </c>
      <c r="W27" s="174">
        <f t="shared" si="5"/>
        <v>0.86699999999999999</v>
      </c>
      <c r="Y27">
        <v>40141</v>
      </c>
      <c r="Z27">
        <v>327.5</v>
      </c>
      <c r="AA27" s="174">
        <f t="shared" si="6"/>
        <v>0.89900000000000002</v>
      </c>
    </row>
    <row r="28" spans="1:27">
      <c r="A28">
        <v>40102</v>
      </c>
      <c r="B28">
        <v>11.39</v>
      </c>
      <c r="C28" s="174">
        <f t="shared" si="0"/>
        <v>0.89400000000000002</v>
      </c>
      <c r="E28">
        <v>11807</v>
      </c>
      <c r="F28">
        <v>4515348.6900000004</v>
      </c>
      <c r="G28" s="172">
        <f t="shared" si="1"/>
        <v>0.89400000000000002</v>
      </c>
      <c r="I28">
        <v>20210</v>
      </c>
      <c r="J28">
        <v>190397.41</v>
      </c>
      <c r="K28" s="174">
        <f t="shared" si="2"/>
        <v>0.78200000000000003</v>
      </c>
      <c r="M28">
        <v>11501</v>
      </c>
      <c r="N28">
        <v>1091667.49</v>
      </c>
      <c r="O28" s="174">
        <f t="shared" si="3"/>
        <v>0.89400000000000002</v>
      </c>
      <c r="Q28">
        <v>20214</v>
      </c>
      <c r="R28">
        <v>170652.42</v>
      </c>
      <c r="S28" s="174">
        <f t="shared" si="4"/>
        <v>0.89400000000000002</v>
      </c>
      <c r="U28">
        <v>11214</v>
      </c>
      <c r="V28">
        <v>45119.81</v>
      </c>
      <c r="W28" s="174">
        <f t="shared" si="5"/>
        <v>0.86099999999999999</v>
      </c>
      <c r="Y28">
        <v>40137</v>
      </c>
      <c r="Z28">
        <v>325</v>
      </c>
      <c r="AA28" s="174">
        <f t="shared" si="6"/>
        <v>0.89400000000000002</v>
      </c>
    </row>
    <row r="29" spans="1:27">
      <c r="A29">
        <v>11305</v>
      </c>
      <c r="B29">
        <v>11.38</v>
      </c>
      <c r="C29" s="174">
        <f t="shared" si="0"/>
        <v>0.89</v>
      </c>
      <c r="E29">
        <v>30214</v>
      </c>
      <c r="F29">
        <v>4505068.5</v>
      </c>
      <c r="G29" s="172">
        <f t="shared" si="1"/>
        <v>0.89</v>
      </c>
      <c r="I29">
        <v>30111</v>
      </c>
      <c r="J29">
        <v>187292.22</v>
      </c>
      <c r="K29" s="174">
        <f t="shared" si="2"/>
        <v>0.77300000000000002</v>
      </c>
      <c r="M29">
        <v>40139</v>
      </c>
      <c r="N29">
        <v>1089854.3500000001</v>
      </c>
      <c r="O29" s="174">
        <f t="shared" si="3"/>
        <v>0.89</v>
      </c>
      <c r="Q29">
        <v>20429</v>
      </c>
      <c r="R29">
        <v>169689.94</v>
      </c>
      <c r="S29" s="174">
        <f t="shared" si="4"/>
        <v>0.89</v>
      </c>
      <c r="U29">
        <v>40125</v>
      </c>
      <c r="V29">
        <v>44047.199999999997</v>
      </c>
      <c r="W29" s="174">
        <f t="shared" si="5"/>
        <v>0.85599999999999998</v>
      </c>
      <c r="Y29">
        <v>11803</v>
      </c>
      <c r="Z29">
        <v>322</v>
      </c>
      <c r="AA29" s="174">
        <f t="shared" si="6"/>
        <v>0.89</v>
      </c>
    </row>
    <row r="30" spans="1:27">
      <c r="A30">
        <v>10507</v>
      </c>
      <c r="B30">
        <v>11.29</v>
      </c>
      <c r="C30" s="174">
        <f t="shared" si="0"/>
        <v>0.88600000000000001</v>
      </c>
      <c r="E30">
        <v>11909</v>
      </c>
      <c r="F30">
        <v>4500945.03</v>
      </c>
      <c r="G30" s="172">
        <f t="shared" si="1"/>
        <v>0.88600000000000001</v>
      </c>
      <c r="I30">
        <v>11812</v>
      </c>
      <c r="J30">
        <v>183814.97</v>
      </c>
      <c r="K30" s="174">
        <f t="shared" si="2"/>
        <v>0.76500000000000001</v>
      </c>
      <c r="M30">
        <v>40124</v>
      </c>
      <c r="N30">
        <v>1076735.58</v>
      </c>
      <c r="O30" s="174">
        <f t="shared" si="3"/>
        <v>0.88600000000000001</v>
      </c>
      <c r="Q30">
        <v>40111</v>
      </c>
      <c r="R30">
        <v>162410.39000000001</v>
      </c>
      <c r="S30" s="174">
        <f t="shared" si="4"/>
        <v>0.88600000000000001</v>
      </c>
      <c r="U30">
        <v>10706</v>
      </c>
      <c r="V30">
        <v>43826.59</v>
      </c>
      <c r="W30" s="174">
        <f t="shared" si="5"/>
        <v>0.85</v>
      </c>
      <c r="Y30">
        <v>30111</v>
      </c>
      <c r="Z30">
        <v>320</v>
      </c>
      <c r="AA30" s="174">
        <f t="shared" si="6"/>
        <v>0.88600000000000001</v>
      </c>
    </row>
    <row r="31" spans="1:27">
      <c r="A31">
        <v>10706</v>
      </c>
      <c r="B31">
        <v>11.21</v>
      </c>
      <c r="C31" s="174">
        <f t="shared" si="0"/>
        <v>0.878</v>
      </c>
      <c r="E31">
        <v>20528</v>
      </c>
      <c r="F31">
        <v>4490809.9800000004</v>
      </c>
      <c r="G31" s="172">
        <f t="shared" si="1"/>
        <v>0.88200000000000001</v>
      </c>
      <c r="I31">
        <v>10105</v>
      </c>
      <c r="J31">
        <v>183509.77</v>
      </c>
      <c r="K31" s="174">
        <f t="shared" si="2"/>
        <v>0.75600000000000001</v>
      </c>
      <c r="M31">
        <v>30417</v>
      </c>
      <c r="N31">
        <v>1059992.43</v>
      </c>
      <c r="O31" s="174">
        <f t="shared" si="3"/>
        <v>0.88200000000000001</v>
      </c>
      <c r="Q31">
        <v>40141</v>
      </c>
      <c r="R31">
        <v>155269.14000000001</v>
      </c>
      <c r="S31" s="174">
        <f t="shared" si="4"/>
        <v>0.88200000000000001</v>
      </c>
      <c r="U31">
        <v>20911</v>
      </c>
      <c r="V31">
        <v>42939.45</v>
      </c>
      <c r="W31" s="174">
        <f t="shared" si="5"/>
        <v>0.84499999999999997</v>
      </c>
      <c r="Y31">
        <v>11611</v>
      </c>
      <c r="Z31">
        <v>302.5</v>
      </c>
      <c r="AA31" s="174">
        <f t="shared" si="6"/>
        <v>0.873</v>
      </c>
    </row>
    <row r="32" spans="1:27">
      <c r="A32">
        <v>11701</v>
      </c>
      <c r="B32">
        <v>11.21</v>
      </c>
      <c r="C32" s="174">
        <f t="shared" si="0"/>
        <v>0.878</v>
      </c>
      <c r="E32">
        <v>40144</v>
      </c>
      <c r="F32">
        <v>4486258.16</v>
      </c>
      <c r="G32" s="172">
        <f t="shared" si="1"/>
        <v>0.878</v>
      </c>
      <c r="I32">
        <v>10748</v>
      </c>
      <c r="J32">
        <v>181530.63</v>
      </c>
      <c r="K32" s="174">
        <f t="shared" si="2"/>
        <v>0.747</v>
      </c>
      <c r="M32">
        <v>20912</v>
      </c>
      <c r="N32">
        <v>1030133.09</v>
      </c>
      <c r="O32" s="174">
        <f t="shared" si="3"/>
        <v>0.878</v>
      </c>
      <c r="Q32">
        <v>11705</v>
      </c>
      <c r="R32">
        <v>152620.09</v>
      </c>
      <c r="S32" s="174">
        <f t="shared" si="4"/>
        <v>0.878</v>
      </c>
      <c r="U32">
        <v>11906</v>
      </c>
      <c r="V32">
        <v>42322.77</v>
      </c>
      <c r="W32" s="174">
        <f t="shared" si="5"/>
        <v>0.83899999999999997</v>
      </c>
      <c r="Y32">
        <v>40123</v>
      </c>
      <c r="Z32">
        <v>302.5</v>
      </c>
      <c r="AA32" s="174">
        <f t="shared" si="6"/>
        <v>0.873</v>
      </c>
    </row>
    <row r="33" spans="1:27">
      <c r="A33">
        <v>20429</v>
      </c>
      <c r="B33">
        <v>11</v>
      </c>
      <c r="C33" s="174">
        <f t="shared" si="0"/>
        <v>0.86899999999999999</v>
      </c>
      <c r="E33">
        <v>40114</v>
      </c>
      <c r="F33">
        <v>4481974.04</v>
      </c>
      <c r="G33" s="172">
        <f t="shared" si="1"/>
        <v>0.873</v>
      </c>
      <c r="I33">
        <v>10724</v>
      </c>
      <c r="J33">
        <v>175968.72</v>
      </c>
      <c r="K33" s="174">
        <f t="shared" si="2"/>
        <v>0.73899999999999999</v>
      </c>
      <c r="M33">
        <v>11906</v>
      </c>
      <c r="N33">
        <v>1017991.95</v>
      </c>
      <c r="O33" s="174">
        <f t="shared" si="3"/>
        <v>0.873</v>
      </c>
      <c r="Q33">
        <v>11123</v>
      </c>
      <c r="R33">
        <v>147435.82999999999</v>
      </c>
      <c r="S33" s="174">
        <f t="shared" si="4"/>
        <v>0.873</v>
      </c>
      <c r="U33">
        <v>20905</v>
      </c>
      <c r="V33">
        <v>41216.18</v>
      </c>
      <c r="W33" s="174">
        <f t="shared" si="5"/>
        <v>0.83399999999999996</v>
      </c>
      <c r="Y33">
        <v>40211</v>
      </c>
      <c r="Z33">
        <v>302.5</v>
      </c>
      <c r="AA33" s="174">
        <f t="shared" si="6"/>
        <v>0.873</v>
      </c>
    </row>
    <row r="34" spans="1:27">
      <c r="A34">
        <v>40137</v>
      </c>
      <c r="B34">
        <v>11</v>
      </c>
      <c r="C34" s="174">
        <f t="shared" si="0"/>
        <v>0.86899999999999999</v>
      </c>
      <c r="E34">
        <v>30127</v>
      </c>
      <c r="F34">
        <v>4429396.42</v>
      </c>
      <c r="G34" s="172">
        <f t="shared" si="1"/>
        <v>0.86899999999999999</v>
      </c>
      <c r="I34">
        <v>11401</v>
      </c>
      <c r="J34">
        <v>175904.11</v>
      </c>
      <c r="K34" s="174">
        <f t="shared" si="2"/>
        <v>0.73</v>
      </c>
      <c r="M34">
        <v>10605</v>
      </c>
      <c r="N34">
        <v>1003595.61</v>
      </c>
      <c r="O34" s="174">
        <f t="shared" si="3"/>
        <v>0.86899999999999999</v>
      </c>
      <c r="Q34">
        <v>20520</v>
      </c>
      <c r="R34">
        <v>146195.9</v>
      </c>
      <c r="S34" s="174">
        <f t="shared" si="4"/>
        <v>0.86899999999999999</v>
      </c>
      <c r="U34">
        <v>10609</v>
      </c>
      <c r="V34">
        <v>41128.33</v>
      </c>
      <c r="W34" s="174">
        <f t="shared" si="5"/>
        <v>0.82799999999999996</v>
      </c>
      <c r="Y34">
        <v>11906</v>
      </c>
      <c r="Z34">
        <v>300</v>
      </c>
      <c r="AA34" s="174">
        <f t="shared" si="6"/>
        <v>0.86899999999999999</v>
      </c>
    </row>
    <row r="35" spans="1:27">
      <c r="A35">
        <v>10737</v>
      </c>
      <c r="B35">
        <v>10.96</v>
      </c>
      <c r="C35" s="174">
        <f t="shared" si="0"/>
        <v>0.85699999999999998</v>
      </c>
      <c r="E35">
        <v>11802</v>
      </c>
      <c r="F35">
        <v>4370682.1900000004</v>
      </c>
      <c r="G35" s="172">
        <f t="shared" si="1"/>
        <v>0.86499999999999999</v>
      </c>
      <c r="I35">
        <v>11413</v>
      </c>
      <c r="J35">
        <v>172856.98</v>
      </c>
      <c r="K35" s="174">
        <f t="shared" ref="K35:K66" si="7">PERCENTRANK($J$3:$J$118,J35)</f>
        <v>0.72099999999999997</v>
      </c>
      <c r="M35">
        <v>40125</v>
      </c>
      <c r="N35">
        <v>997988.05</v>
      </c>
      <c r="O35" s="174">
        <f t="shared" si="3"/>
        <v>0.86499999999999999</v>
      </c>
      <c r="Q35">
        <v>30417</v>
      </c>
      <c r="R35">
        <v>142700.91</v>
      </c>
      <c r="S35" s="174">
        <f t="shared" si="4"/>
        <v>0.86499999999999999</v>
      </c>
      <c r="U35">
        <v>11210</v>
      </c>
      <c r="V35">
        <v>40469.21</v>
      </c>
      <c r="W35" s="174">
        <f t="shared" ref="W35:W66" si="8">PERCENTRANK($V$3:$V$184,V35)</f>
        <v>0.82299999999999995</v>
      </c>
      <c r="Y35">
        <v>20517</v>
      </c>
      <c r="Z35">
        <v>297.5</v>
      </c>
      <c r="AA35" s="174">
        <f t="shared" si="6"/>
        <v>0.86499999999999999</v>
      </c>
    </row>
    <row r="36" spans="1:27">
      <c r="A36">
        <v>11123</v>
      </c>
      <c r="B36">
        <v>10.96</v>
      </c>
      <c r="C36" s="174">
        <f t="shared" si="0"/>
        <v>0.85699999999999998</v>
      </c>
      <c r="E36">
        <v>30202</v>
      </c>
      <c r="F36">
        <v>4342929.1900000004</v>
      </c>
      <c r="G36" s="172">
        <f t="shared" si="1"/>
        <v>0.86099999999999999</v>
      </c>
      <c r="I36">
        <v>20421</v>
      </c>
      <c r="J36">
        <v>171515.15</v>
      </c>
      <c r="K36" s="174">
        <f t="shared" si="7"/>
        <v>0.71299999999999997</v>
      </c>
      <c r="M36">
        <v>11305</v>
      </c>
      <c r="N36">
        <v>989188.14</v>
      </c>
      <c r="O36" s="174">
        <f t="shared" si="3"/>
        <v>0.86099999999999999</v>
      </c>
      <c r="Q36">
        <v>11906</v>
      </c>
      <c r="R36">
        <v>142199.41</v>
      </c>
      <c r="S36" s="174">
        <f t="shared" si="4"/>
        <v>0.86099999999999999</v>
      </c>
      <c r="U36">
        <v>11503</v>
      </c>
      <c r="V36">
        <v>39008.69</v>
      </c>
      <c r="W36" s="174">
        <f t="shared" si="8"/>
        <v>0.81699999999999995</v>
      </c>
      <c r="Y36">
        <v>40104</v>
      </c>
      <c r="Z36">
        <v>290</v>
      </c>
      <c r="AA36" s="174">
        <f t="shared" si="6"/>
        <v>0.86099999999999999</v>
      </c>
    </row>
    <row r="37" spans="1:27">
      <c r="A37">
        <v>11409</v>
      </c>
      <c r="B37">
        <v>10.96</v>
      </c>
      <c r="C37" s="174">
        <f t="shared" si="0"/>
        <v>0.85699999999999998</v>
      </c>
      <c r="E37">
        <v>10605</v>
      </c>
      <c r="F37">
        <v>4336308.9400000004</v>
      </c>
      <c r="G37" s="172">
        <f t="shared" si="1"/>
        <v>0.85699999999999998</v>
      </c>
      <c r="I37">
        <v>10714</v>
      </c>
      <c r="J37">
        <v>170683.39</v>
      </c>
      <c r="K37" s="174">
        <f t="shared" si="7"/>
        <v>0.70399999999999996</v>
      </c>
      <c r="M37">
        <v>30111</v>
      </c>
      <c r="N37">
        <v>982877.9</v>
      </c>
      <c r="O37" s="174">
        <f t="shared" si="3"/>
        <v>0.85699999999999998</v>
      </c>
      <c r="Q37">
        <v>10706</v>
      </c>
      <c r="R37">
        <v>141053.21</v>
      </c>
      <c r="S37" s="174">
        <f t="shared" si="4"/>
        <v>0.85699999999999998</v>
      </c>
      <c r="U37">
        <v>11413</v>
      </c>
      <c r="V37">
        <v>38104.370000000003</v>
      </c>
      <c r="W37" s="174">
        <f t="shared" si="8"/>
        <v>0.81200000000000006</v>
      </c>
      <c r="Y37">
        <v>10737</v>
      </c>
      <c r="Z37">
        <v>287.5</v>
      </c>
      <c r="AA37" s="174">
        <f t="shared" si="6"/>
        <v>0.85699999999999998</v>
      </c>
    </row>
    <row r="38" spans="1:27">
      <c r="A38">
        <v>20401</v>
      </c>
      <c r="B38">
        <v>10.79</v>
      </c>
      <c r="C38" s="174">
        <f t="shared" si="0"/>
        <v>0.84399999999999997</v>
      </c>
      <c r="E38">
        <v>40139</v>
      </c>
      <c r="F38">
        <v>4269411.28</v>
      </c>
      <c r="G38" s="172">
        <f t="shared" si="1"/>
        <v>0.85199999999999998</v>
      </c>
      <c r="I38">
        <v>20214</v>
      </c>
      <c r="J38">
        <v>166228.66</v>
      </c>
      <c r="K38" s="174">
        <f t="shared" si="7"/>
        <v>0.69499999999999995</v>
      </c>
      <c r="M38">
        <v>20517</v>
      </c>
      <c r="N38">
        <v>981210.1</v>
      </c>
      <c r="O38" s="174">
        <f t="shared" si="3"/>
        <v>0.85199999999999998</v>
      </c>
      <c r="Q38">
        <v>40129</v>
      </c>
      <c r="R38">
        <v>134747.42000000001</v>
      </c>
      <c r="S38" s="174">
        <f t="shared" si="4"/>
        <v>0.85199999999999998</v>
      </c>
      <c r="U38">
        <v>40208</v>
      </c>
      <c r="V38">
        <v>36816.160000000003</v>
      </c>
      <c r="W38" s="174">
        <f t="shared" si="8"/>
        <v>0.80600000000000005</v>
      </c>
      <c r="Y38">
        <v>30417</v>
      </c>
      <c r="Z38">
        <v>277.5</v>
      </c>
      <c r="AA38" s="174">
        <f t="shared" si="6"/>
        <v>0.85199999999999998</v>
      </c>
    </row>
    <row r="39" spans="1:27">
      <c r="A39">
        <v>20517</v>
      </c>
      <c r="B39">
        <v>10.79</v>
      </c>
      <c r="C39" s="174">
        <f t="shared" si="0"/>
        <v>0.84399999999999997</v>
      </c>
      <c r="E39">
        <v>10724</v>
      </c>
      <c r="F39">
        <v>4266899.2300000004</v>
      </c>
      <c r="G39" s="172">
        <f t="shared" si="1"/>
        <v>0.84799999999999998</v>
      </c>
      <c r="I39">
        <v>20205</v>
      </c>
      <c r="J39">
        <v>163351.21</v>
      </c>
      <c r="K39" s="174">
        <f t="shared" si="7"/>
        <v>0.68600000000000005</v>
      </c>
      <c r="M39">
        <v>30602</v>
      </c>
      <c r="N39">
        <v>958234.78</v>
      </c>
      <c r="O39" s="174">
        <f t="shared" si="3"/>
        <v>0.84799999999999998</v>
      </c>
      <c r="Q39">
        <v>10120</v>
      </c>
      <c r="R39">
        <v>134734.85</v>
      </c>
      <c r="S39" s="174">
        <f t="shared" si="4"/>
        <v>0.84799999999999998</v>
      </c>
      <c r="U39">
        <v>20902</v>
      </c>
      <c r="V39">
        <v>36681.910000000003</v>
      </c>
      <c r="W39" s="174">
        <f t="shared" si="8"/>
        <v>0.80100000000000005</v>
      </c>
      <c r="Y39">
        <v>11305</v>
      </c>
      <c r="Z39">
        <v>275</v>
      </c>
      <c r="AA39" s="174">
        <f t="shared" si="6"/>
        <v>0.84799999999999998</v>
      </c>
    </row>
    <row r="40" spans="1:27">
      <c r="A40">
        <v>40117</v>
      </c>
      <c r="B40">
        <v>10.79</v>
      </c>
      <c r="C40" s="174">
        <f t="shared" si="0"/>
        <v>0.84399999999999997</v>
      </c>
      <c r="E40">
        <v>30418</v>
      </c>
      <c r="F40">
        <v>4219798.24</v>
      </c>
      <c r="G40" s="172">
        <f t="shared" si="1"/>
        <v>0.84399999999999997</v>
      </c>
      <c r="I40">
        <v>30214</v>
      </c>
      <c r="J40">
        <v>163259.59</v>
      </c>
      <c r="K40" s="174">
        <f t="shared" si="7"/>
        <v>0.67800000000000005</v>
      </c>
      <c r="M40">
        <v>11803</v>
      </c>
      <c r="N40">
        <v>950493.01</v>
      </c>
      <c r="O40" s="174">
        <f t="shared" si="3"/>
        <v>0.84399999999999997</v>
      </c>
      <c r="Q40">
        <v>11701</v>
      </c>
      <c r="R40">
        <v>134176.82999999999</v>
      </c>
      <c r="S40" s="174">
        <f t="shared" si="4"/>
        <v>0.84399999999999997</v>
      </c>
      <c r="U40">
        <v>40116</v>
      </c>
      <c r="V40">
        <v>35727.870000000003</v>
      </c>
      <c r="W40" s="174">
        <f t="shared" si="8"/>
        <v>0.79500000000000004</v>
      </c>
      <c r="Y40">
        <v>40102</v>
      </c>
      <c r="Z40">
        <v>272</v>
      </c>
      <c r="AA40" s="174">
        <f t="shared" si="6"/>
        <v>0.84</v>
      </c>
    </row>
    <row r="41" spans="1:27">
      <c r="A41">
        <v>11611</v>
      </c>
      <c r="B41">
        <v>10.71</v>
      </c>
      <c r="C41" s="174">
        <f t="shared" si="0"/>
        <v>0.84</v>
      </c>
      <c r="E41">
        <v>11122</v>
      </c>
      <c r="F41">
        <v>4209651.66</v>
      </c>
      <c r="G41" s="172">
        <f t="shared" si="1"/>
        <v>0.84</v>
      </c>
      <c r="I41">
        <v>10721</v>
      </c>
      <c r="J41">
        <v>160992.85</v>
      </c>
      <c r="K41" s="174">
        <f t="shared" si="7"/>
        <v>0.66900000000000004</v>
      </c>
      <c r="M41">
        <v>40141</v>
      </c>
      <c r="N41">
        <v>948859.06</v>
      </c>
      <c r="O41" s="174">
        <f t="shared" si="3"/>
        <v>0.84</v>
      </c>
      <c r="Q41">
        <v>40124</v>
      </c>
      <c r="R41">
        <v>130760.6</v>
      </c>
      <c r="S41" s="174">
        <f t="shared" si="4"/>
        <v>0.84</v>
      </c>
      <c r="U41">
        <v>20907</v>
      </c>
      <c r="V41">
        <v>35719.53</v>
      </c>
      <c r="W41" s="174">
        <f t="shared" si="8"/>
        <v>0.79</v>
      </c>
      <c r="Y41">
        <v>40128</v>
      </c>
      <c r="Z41">
        <v>272</v>
      </c>
      <c r="AA41" s="174">
        <f t="shared" si="6"/>
        <v>0.84</v>
      </c>
    </row>
    <row r="42" spans="1:27">
      <c r="A42">
        <v>30127</v>
      </c>
      <c r="B42">
        <v>10.57</v>
      </c>
      <c r="C42" s="174">
        <f t="shared" si="0"/>
        <v>0.82699999999999996</v>
      </c>
      <c r="E42">
        <v>40124</v>
      </c>
      <c r="F42">
        <v>4094098.52</v>
      </c>
      <c r="G42" s="172">
        <f t="shared" si="1"/>
        <v>0.83599999999999997</v>
      </c>
      <c r="I42">
        <v>10507</v>
      </c>
      <c r="J42">
        <v>160332.64000000001</v>
      </c>
      <c r="K42" s="174">
        <f t="shared" si="7"/>
        <v>0.66</v>
      </c>
      <c r="M42">
        <v>40104</v>
      </c>
      <c r="N42">
        <v>947929.99</v>
      </c>
      <c r="O42" s="174">
        <f t="shared" si="3"/>
        <v>0.83599999999999997</v>
      </c>
      <c r="Q42">
        <v>40142</v>
      </c>
      <c r="R42">
        <v>128310.64</v>
      </c>
      <c r="S42" s="174">
        <f t="shared" si="4"/>
        <v>0.83599999999999997</v>
      </c>
      <c r="U42">
        <v>11509</v>
      </c>
      <c r="V42">
        <v>35249.629999999997</v>
      </c>
      <c r="W42" s="174">
        <f t="shared" si="8"/>
        <v>0.78400000000000003</v>
      </c>
      <c r="Y42">
        <v>11417</v>
      </c>
      <c r="Z42">
        <v>268</v>
      </c>
      <c r="AA42" s="174">
        <f t="shared" si="6"/>
        <v>0.83599999999999997</v>
      </c>
    </row>
    <row r="43" spans="1:27">
      <c r="A43">
        <v>40104</v>
      </c>
      <c r="B43">
        <v>10.57</v>
      </c>
      <c r="C43" s="174">
        <f t="shared" si="0"/>
        <v>0.82699999999999996</v>
      </c>
      <c r="E43">
        <v>11307</v>
      </c>
      <c r="F43">
        <v>4080143.04</v>
      </c>
      <c r="G43" s="172">
        <f t="shared" si="1"/>
        <v>0.83099999999999996</v>
      </c>
      <c r="I43">
        <v>30417</v>
      </c>
      <c r="J43">
        <v>158673.29999999999</v>
      </c>
      <c r="K43" s="174">
        <f t="shared" si="7"/>
        <v>0.65200000000000002</v>
      </c>
      <c r="M43">
        <v>20520</v>
      </c>
      <c r="N43">
        <v>943372.98</v>
      </c>
      <c r="O43" s="174">
        <f t="shared" si="3"/>
        <v>0.83099999999999996</v>
      </c>
      <c r="Q43">
        <v>20912</v>
      </c>
      <c r="R43">
        <v>127287.77</v>
      </c>
      <c r="S43" s="174">
        <f t="shared" si="4"/>
        <v>0.83099999999999996</v>
      </c>
      <c r="U43">
        <v>10120</v>
      </c>
      <c r="V43">
        <v>34764.04</v>
      </c>
      <c r="W43" s="174">
        <f t="shared" si="8"/>
        <v>0.77900000000000003</v>
      </c>
      <c r="Y43">
        <v>10101</v>
      </c>
      <c r="Z43">
        <v>262.5</v>
      </c>
      <c r="AA43" s="174">
        <f t="shared" si="6"/>
        <v>0.83099999999999996</v>
      </c>
    </row>
    <row r="44" spans="1:27">
      <c r="A44">
        <v>40138</v>
      </c>
      <c r="B44">
        <v>10.57</v>
      </c>
      <c r="C44" s="174">
        <f t="shared" si="0"/>
        <v>0.82699999999999996</v>
      </c>
      <c r="E44">
        <v>20520</v>
      </c>
      <c r="F44">
        <v>4012521.6</v>
      </c>
      <c r="G44" s="172">
        <f t="shared" si="1"/>
        <v>0.82699999999999996</v>
      </c>
      <c r="I44">
        <v>40208</v>
      </c>
      <c r="J44">
        <v>157426.82</v>
      </c>
      <c r="K44" s="174">
        <f t="shared" si="7"/>
        <v>0.64300000000000002</v>
      </c>
      <c r="M44">
        <v>10737</v>
      </c>
      <c r="N44">
        <v>941551.09</v>
      </c>
      <c r="O44" s="174">
        <f t="shared" si="3"/>
        <v>0.82699999999999996</v>
      </c>
      <c r="Q44">
        <v>11601</v>
      </c>
      <c r="R44">
        <v>126710.42</v>
      </c>
      <c r="S44" s="174">
        <f t="shared" si="4"/>
        <v>0.82699999999999996</v>
      </c>
      <c r="U44">
        <v>40113</v>
      </c>
      <c r="V44">
        <v>34639.89</v>
      </c>
      <c r="W44" s="174">
        <f t="shared" si="8"/>
        <v>0.77300000000000002</v>
      </c>
      <c r="Y44">
        <v>20520</v>
      </c>
      <c r="Z44">
        <v>257.5</v>
      </c>
      <c r="AA44" s="174">
        <f t="shared" si="6"/>
        <v>0.82299999999999995</v>
      </c>
    </row>
    <row r="45" spans="1:27">
      <c r="A45">
        <v>20418</v>
      </c>
      <c r="B45">
        <v>10.53</v>
      </c>
      <c r="C45" s="174">
        <f t="shared" si="0"/>
        <v>0.81899999999999995</v>
      </c>
      <c r="E45">
        <v>10120</v>
      </c>
      <c r="F45">
        <v>3990710.99</v>
      </c>
      <c r="G45" s="172">
        <f t="shared" si="1"/>
        <v>0.82299999999999995</v>
      </c>
      <c r="I45">
        <v>11415</v>
      </c>
      <c r="J45">
        <v>155828.82</v>
      </c>
      <c r="K45" s="174">
        <f t="shared" si="7"/>
        <v>0.63400000000000001</v>
      </c>
      <c r="M45">
        <v>30214</v>
      </c>
      <c r="N45">
        <v>935756.12</v>
      </c>
      <c r="O45" s="174">
        <f t="shared" si="3"/>
        <v>0.82299999999999995</v>
      </c>
      <c r="Q45">
        <v>10135</v>
      </c>
      <c r="R45">
        <v>120577.1</v>
      </c>
      <c r="S45" s="174">
        <f t="shared" si="4"/>
        <v>0.82299999999999995</v>
      </c>
      <c r="U45">
        <v>11911</v>
      </c>
      <c r="V45">
        <v>34447.25</v>
      </c>
      <c r="W45" s="174">
        <f t="shared" si="8"/>
        <v>0.76700000000000002</v>
      </c>
      <c r="Y45">
        <v>30216</v>
      </c>
      <c r="Z45">
        <v>257.5</v>
      </c>
      <c r="AA45" s="174">
        <f t="shared" si="6"/>
        <v>0.82299999999999995</v>
      </c>
    </row>
    <row r="46" spans="1:27">
      <c r="A46">
        <v>40139</v>
      </c>
      <c r="B46">
        <v>10.53</v>
      </c>
      <c r="C46" s="174">
        <f t="shared" si="0"/>
        <v>0.81899999999999995</v>
      </c>
      <c r="E46">
        <v>20401</v>
      </c>
      <c r="F46">
        <v>3976027.56</v>
      </c>
      <c r="G46" s="172">
        <f t="shared" si="1"/>
        <v>0.81899999999999995</v>
      </c>
      <c r="I46">
        <v>11212</v>
      </c>
      <c r="J46">
        <v>154477.42000000001</v>
      </c>
      <c r="K46" s="174">
        <f t="shared" si="7"/>
        <v>0.626</v>
      </c>
      <c r="M46">
        <v>11611</v>
      </c>
      <c r="N46">
        <v>932504.67</v>
      </c>
      <c r="O46" s="174">
        <f t="shared" si="3"/>
        <v>0.81899999999999995</v>
      </c>
      <c r="Q46">
        <v>40211</v>
      </c>
      <c r="R46">
        <v>119667.87</v>
      </c>
      <c r="S46" s="174">
        <f t="shared" si="4"/>
        <v>0.81899999999999995</v>
      </c>
      <c r="U46">
        <v>10128</v>
      </c>
      <c r="V46">
        <v>34006.879999999997</v>
      </c>
      <c r="W46" s="174">
        <f t="shared" si="8"/>
        <v>0.76200000000000001</v>
      </c>
      <c r="Y46">
        <v>11218</v>
      </c>
      <c r="Z46">
        <v>254.5</v>
      </c>
      <c r="AA46" s="174">
        <f t="shared" si="6"/>
        <v>0.81899999999999995</v>
      </c>
    </row>
    <row r="47" spans="1:27">
      <c r="A47">
        <v>40124</v>
      </c>
      <c r="B47">
        <v>10.4</v>
      </c>
      <c r="C47" s="174">
        <f t="shared" si="0"/>
        <v>0.81499999999999995</v>
      </c>
      <c r="E47">
        <v>11507</v>
      </c>
      <c r="F47">
        <v>3874708.5</v>
      </c>
      <c r="G47" s="172">
        <f t="shared" si="1"/>
        <v>0.81499999999999995</v>
      </c>
      <c r="I47">
        <v>30203</v>
      </c>
      <c r="J47">
        <v>151484.71</v>
      </c>
      <c r="K47" s="174">
        <f t="shared" si="7"/>
        <v>0.61699999999999999</v>
      </c>
      <c r="M47">
        <v>20905</v>
      </c>
      <c r="N47">
        <v>930072.61</v>
      </c>
      <c r="O47" s="174">
        <f t="shared" si="3"/>
        <v>0.81499999999999995</v>
      </c>
      <c r="Q47">
        <v>40121</v>
      </c>
      <c r="R47">
        <v>119440.79</v>
      </c>
      <c r="S47" s="174">
        <f t="shared" si="4"/>
        <v>0.81499999999999995</v>
      </c>
      <c r="U47">
        <v>20406</v>
      </c>
      <c r="V47">
        <v>33992.199999999997</v>
      </c>
      <c r="W47" s="174">
        <f t="shared" si="8"/>
        <v>0.75600000000000001</v>
      </c>
      <c r="Y47">
        <v>40139</v>
      </c>
      <c r="Z47">
        <v>252.5</v>
      </c>
      <c r="AA47" s="174">
        <f t="shared" si="6"/>
        <v>0.81499999999999995</v>
      </c>
    </row>
    <row r="48" spans="1:27">
      <c r="A48">
        <v>11417</v>
      </c>
      <c r="B48">
        <v>10.36</v>
      </c>
      <c r="C48" s="174">
        <f t="shared" si="0"/>
        <v>0.80600000000000005</v>
      </c>
      <c r="E48">
        <v>40121</v>
      </c>
      <c r="F48">
        <v>3867824.05</v>
      </c>
      <c r="G48" s="172">
        <f t="shared" si="1"/>
        <v>0.81</v>
      </c>
      <c r="I48">
        <v>40204</v>
      </c>
      <c r="J48">
        <v>150244.31</v>
      </c>
      <c r="K48" s="174">
        <f t="shared" si="7"/>
        <v>0.60799999999999998</v>
      </c>
      <c r="M48">
        <v>10724</v>
      </c>
      <c r="N48">
        <v>925722.99</v>
      </c>
      <c r="O48" s="174">
        <f t="shared" si="3"/>
        <v>0.81</v>
      </c>
      <c r="Q48">
        <v>40123</v>
      </c>
      <c r="R48">
        <v>119020.48</v>
      </c>
      <c r="S48" s="174">
        <f t="shared" si="4"/>
        <v>0.81</v>
      </c>
      <c r="U48">
        <v>11305</v>
      </c>
      <c r="V48">
        <v>33376.94</v>
      </c>
      <c r="W48" s="174">
        <f t="shared" si="8"/>
        <v>0.751</v>
      </c>
      <c r="Y48">
        <v>20210</v>
      </c>
      <c r="Z48">
        <v>250</v>
      </c>
      <c r="AA48" s="174">
        <f t="shared" si="6"/>
        <v>0.81</v>
      </c>
    </row>
    <row r="49" spans="1:27">
      <c r="A49">
        <v>40123</v>
      </c>
      <c r="B49">
        <v>10.36</v>
      </c>
      <c r="C49" s="174">
        <f t="shared" si="0"/>
        <v>0.80600000000000005</v>
      </c>
      <c r="E49">
        <v>20517</v>
      </c>
      <c r="F49">
        <v>3851152.72</v>
      </c>
      <c r="G49" s="172">
        <f t="shared" si="1"/>
        <v>0.80600000000000005</v>
      </c>
      <c r="I49">
        <v>11210</v>
      </c>
      <c r="J49">
        <v>146282.10999999999</v>
      </c>
      <c r="K49" s="174">
        <f t="shared" si="7"/>
        <v>0.6</v>
      </c>
      <c r="M49">
        <v>20210</v>
      </c>
      <c r="N49">
        <v>924667.19</v>
      </c>
      <c r="O49" s="174">
        <f t="shared" si="3"/>
        <v>0.80600000000000005</v>
      </c>
      <c r="Q49">
        <v>40128</v>
      </c>
      <c r="R49">
        <v>114964.48</v>
      </c>
      <c r="S49" s="174">
        <f t="shared" si="4"/>
        <v>0.80600000000000005</v>
      </c>
      <c r="U49">
        <v>40138</v>
      </c>
      <c r="V49">
        <v>32208.14</v>
      </c>
      <c r="W49" s="174">
        <f t="shared" si="8"/>
        <v>0.745</v>
      </c>
      <c r="Y49">
        <v>11409</v>
      </c>
      <c r="Z49">
        <v>247.5</v>
      </c>
      <c r="AA49" s="174">
        <f t="shared" si="6"/>
        <v>0.80600000000000005</v>
      </c>
    </row>
    <row r="50" spans="1:27">
      <c r="A50">
        <v>10742</v>
      </c>
      <c r="B50">
        <v>10.32</v>
      </c>
      <c r="C50" s="174">
        <f t="shared" si="0"/>
        <v>0.80200000000000005</v>
      </c>
      <c r="E50">
        <v>40141</v>
      </c>
      <c r="F50">
        <v>3846272.37</v>
      </c>
      <c r="G50" s="172">
        <f t="shared" si="1"/>
        <v>0.80200000000000005</v>
      </c>
      <c r="I50">
        <v>40121</v>
      </c>
      <c r="J50">
        <v>142915.29999999999</v>
      </c>
      <c r="K50" s="174">
        <f t="shared" si="7"/>
        <v>0.59099999999999997</v>
      </c>
      <c r="M50">
        <v>40142</v>
      </c>
      <c r="N50">
        <v>921486.7</v>
      </c>
      <c r="O50" s="174">
        <f t="shared" si="3"/>
        <v>0.80200000000000005</v>
      </c>
      <c r="Q50">
        <v>11305</v>
      </c>
      <c r="R50">
        <v>114711</v>
      </c>
      <c r="S50" s="174">
        <f t="shared" si="4"/>
        <v>0.80200000000000005</v>
      </c>
      <c r="U50">
        <v>11406</v>
      </c>
      <c r="V50">
        <v>32013.11</v>
      </c>
      <c r="W50" s="174">
        <f t="shared" si="8"/>
        <v>0.74</v>
      </c>
      <c r="Y50">
        <v>20214</v>
      </c>
      <c r="Z50">
        <v>245</v>
      </c>
      <c r="AA50" s="174">
        <f t="shared" si="6"/>
        <v>0.80200000000000005</v>
      </c>
    </row>
    <row r="51" spans="1:27">
      <c r="A51">
        <v>20903</v>
      </c>
      <c r="B51">
        <v>10.29</v>
      </c>
      <c r="C51" s="174">
        <f t="shared" si="0"/>
        <v>0.78900000000000003</v>
      </c>
      <c r="E51">
        <v>11503</v>
      </c>
      <c r="F51">
        <v>3808604.55</v>
      </c>
      <c r="G51" s="172">
        <f t="shared" si="1"/>
        <v>0.79800000000000004</v>
      </c>
      <c r="I51">
        <v>10702</v>
      </c>
      <c r="J51">
        <v>139731.24</v>
      </c>
      <c r="K51" s="174">
        <f t="shared" si="7"/>
        <v>0.58199999999999996</v>
      </c>
      <c r="M51">
        <v>11218</v>
      </c>
      <c r="N51">
        <v>918812.23</v>
      </c>
      <c r="O51" s="174">
        <f t="shared" si="3"/>
        <v>0.79800000000000004</v>
      </c>
      <c r="Q51">
        <v>11803</v>
      </c>
      <c r="R51">
        <v>113798.61</v>
      </c>
      <c r="S51" s="174">
        <f t="shared" si="4"/>
        <v>0.79800000000000004</v>
      </c>
      <c r="U51">
        <v>11218</v>
      </c>
      <c r="V51">
        <v>31962.74</v>
      </c>
      <c r="W51" s="174">
        <f t="shared" si="8"/>
        <v>0.73399999999999999</v>
      </c>
      <c r="Y51">
        <v>40124</v>
      </c>
      <c r="Z51">
        <v>240</v>
      </c>
      <c r="AA51" s="174">
        <f t="shared" si="6"/>
        <v>0.79800000000000004</v>
      </c>
    </row>
    <row r="52" spans="1:27">
      <c r="A52">
        <v>30417</v>
      </c>
      <c r="B52">
        <v>10.29</v>
      </c>
      <c r="C52" s="174">
        <f t="shared" si="0"/>
        <v>0.78900000000000003</v>
      </c>
      <c r="E52">
        <v>40136</v>
      </c>
      <c r="F52">
        <v>3795660.4</v>
      </c>
      <c r="G52" s="172">
        <f t="shared" si="1"/>
        <v>0.79400000000000004</v>
      </c>
      <c r="I52">
        <v>30205</v>
      </c>
      <c r="J52">
        <v>133697.73000000001</v>
      </c>
      <c r="K52" s="174">
        <f t="shared" si="7"/>
        <v>0.57299999999999995</v>
      </c>
      <c r="M52">
        <v>11409</v>
      </c>
      <c r="N52">
        <v>913035.48</v>
      </c>
      <c r="O52" s="174">
        <f t="shared" si="3"/>
        <v>0.79400000000000004</v>
      </c>
      <c r="Q52">
        <v>11901</v>
      </c>
      <c r="R52">
        <v>112813.25</v>
      </c>
      <c r="S52" s="174">
        <f t="shared" si="4"/>
        <v>0.79400000000000004</v>
      </c>
      <c r="U52">
        <v>11606</v>
      </c>
      <c r="V52">
        <v>30581.68</v>
      </c>
      <c r="W52" s="174">
        <f t="shared" si="8"/>
        <v>0.72899999999999998</v>
      </c>
      <c r="Y52">
        <v>20406</v>
      </c>
      <c r="Z52">
        <v>237.5</v>
      </c>
      <c r="AA52" s="174">
        <f t="shared" si="6"/>
        <v>0.79400000000000004</v>
      </c>
    </row>
    <row r="53" spans="1:27">
      <c r="A53">
        <v>40125</v>
      </c>
      <c r="B53">
        <v>10.29</v>
      </c>
      <c r="C53" s="174">
        <f t="shared" si="0"/>
        <v>0.78900000000000003</v>
      </c>
      <c r="E53">
        <v>11215</v>
      </c>
      <c r="F53">
        <v>3795343.37</v>
      </c>
      <c r="G53" s="172">
        <f t="shared" si="1"/>
        <v>0.78900000000000003</v>
      </c>
      <c r="I53">
        <v>30127</v>
      </c>
      <c r="J53">
        <v>133127.57999999999</v>
      </c>
      <c r="K53" s="174">
        <f t="shared" si="7"/>
        <v>0.56499999999999995</v>
      </c>
      <c r="M53">
        <v>40120</v>
      </c>
      <c r="N53">
        <v>909430.29</v>
      </c>
      <c r="O53" s="174">
        <f t="shared" si="3"/>
        <v>0.78900000000000003</v>
      </c>
      <c r="Q53">
        <v>30602</v>
      </c>
      <c r="R53">
        <v>109080.28</v>
      </c>
      <c r="S53" s="174">
        <f t="shared" si="4"/>
        <v>0.78900000000000003</v>
      </c>
      <c r="U53">
        <v>40126</v>
      </c>
      <c r="V53">
        <v>30361.18</v>
      </c>
      <c r="W53" s="174">
        <f t="shared" si="8"/>
        <v>0.72299999999999998</v>
      </c>
      <c r="Y53">
        <v>11507</v>
      </c>
      <c r="Z53">
        <v>232.5</v>
      </c>
      <c r="AA53" s="174">
        <f t="shared" si="6"/>
        <v>0.78900000000000003</v>
      </c>
    </row>
    <row r="54" spans="1:27">
      <c r="A54">
        <v>10518</v>
      </c>
      <c r="B54">
        <v>10.18</v>
      </c>
      <c r="C54" s="174">
        <f t="shared" si="0"/>
        <v>0.78100000000000003</v>
      </c>
      <c r="E54">
        <v>40145</v>
      </c>
      <c r="F54">
        <v>3773948.27</v>
      </c>
      <c r="G54" s="172">
        <f t="shared" si="1"/>
        <v>0.78500000000000003</v>
      </c>
      <c r="I54">
        <v>11904</v>
      </c>
      <c r="J54">
        <v>132253.59</v>
      </c>
      <c r="K54" s="174">
        <f t="shared" si="7"/>
        <v>0.55600000000000005</v>
      </c>
      <c r="M54">
        <v>40116</v>
      </c>
      <c r="N54">
        <v>908372.26</v>
      </c>
      <c r="O54" s="174">
        <f t="shared" si="3"/>
        <v>0.78500000000000003</v>
      </c>
      <c r="Q54">
        <v>40136</v>
      </c>
      <c r="R54">
        <v>109022.66</v>
      </c>
      <c r="S54" s="174">
        <f t="shared" si="4"/>
        <v>0.78500000000000003</v>
      </c>
      <c r="U54">
        <v>11807</v>
      </c>
      <c r="V54">
        <v>30081.31</v>
      </c>
      <c r="W54" s="174">
        <f t="shared" si="8"/>
        <v>0.71799999999999997</v>
      </c>
      <c r="Y54">
        <v>10124</v>
      </c>
      <c r="Z54">
        <v>222.5</v>
      </c>
      <c r="AA54" s="174">
        <f t="shared" si="6"/>
        <v>0.78100000000000003</v>
      </c>
    </row>
    <row r="55" spans="1:27">
      <c r="A55">
        <v>40128</v>
      </c>
      <c r="B55">
        <v>10.18</v>
      </c>
      <c r="C55" s="174">
        <f t="shared" si="0"/>
        <v>0.78100000000000003</v>
      </c>
      <c r="E55">
        <v>11611</v>
      </c>
      <c r="F55">
        <v>3758147.51</v>
      </c>
      <c r="G55" s="172">
        <f t="shared" si="1"/>
        <v>0.78100000000000003</v>
      </c>
      <c r="I55">
        <v>20406</v>
      </c>
      <c r="J55">
        <v>131367.01</v>
      </c>
      <c r="K55" s="174">
        <f t="shared" si="7"/>
        <v>0.54700000000000004</v>
      </c>
      <c r="M55">
        <v>10124</v>
      </c>
      <c r="N55">
        <v>907418.25</v>
      </c>
      <c r="O55" s="174">
        <f t="shared" si="3"/>
        <v>0.78100000000000003</v>
      </c>
      <c r="Q55">
        <v>30205</v>
      </c>
      <c r="R55">
        <v>106171.39</v>
      </c>
      <c r="S55" s="174">
        <f t="shared" si="4"/>
        <v>0.78100000000000003</v>
      </c>
      <c r="U55">
        <v>20906</v>
      </c>
      <c r="V55">
        <v>29792.67</v>
      </c>
      <c r="W55" s="174">
        <f t="shared" si="8"/>
        <v>0.71199999999999997</v>
      </c>
      <c r="Y55">
        <v>40129</v>
      </c>
      <c r="Z55">
        <v>222.5</v>
      </c>
      <c r="AA55" s="174">
        <f t="shared" si="6"/>
        <v>0.78100000000000003</v>
      </c>
    </row>
    <row r="56" spans="1:27">
      <c r="A56">
        <v>40142</v>
      </c>
      <c r="B56">
        <v>10.15</v>
      </c>
      <c r="C56" s="174">
        <f t="shared" si="0"/>
        <v>0.77700000000000002</v>
      </c>
      <c r="E56">
        <v>40123</v>
      </c>
      <c r="F56">
        <v>3742122.46</v>
      </c>
      <c r="G56" s="172">
        <f t="shared" si="1"/>
        <v>0.77700000000000002</v>
      </c>
      <c r="I56">
        <v>11123</v>
      </c>
      <c r="J56">
        <v>131201.44</v>
      </c>
      <c r="K56" s="174">
        <f t="shared" si="7"/>
        <v>0.53900000000000003</v>
      </c>
      <c r="M56">
        <v>40138</v>
      </c>
      <c r="N56">
        <v>902761.73</v>
      </c>
      <c r="O56" s="174">
        <f t="shared" si="3"/>
        <v>0.77700000000000002</v>
      </c>
      <c r="Q56">
        <v>40137</v>
      </c>
      <c r="R56">
        <v>106071.77</v>
      </c>
      <c r="S56" s="174">
        <f t="shared" si="4"/>
        <v>0.77700000000000002</v>
      </c>
      <c r="U56">
        <v>40137</v>
      </c>
      <c r="V56">
        <v>29696.37</v>
      </c>
      <c r="W56" s="174">
        <f t="shared" si="8"/>
        <v>0.70699999999999996</v>
      </c>
      <c r="Y56">
        <v>10724</v>
      </c>
      <c r="Z56">
        <v>220</v>
      </c>
      <c r="AA56" s="174">
        <f t="shared" si="6"/>
        <v>0.77300000000000002</v>
      </c>
    </row>
    <row r="57" spans="1:27">
      <c r="A57">
        <v>10724</v>
      </c>
      <c r="B57">
        <v>10.1</v>
      </c>
      <c r="C57" s="174">
        <f t="shared" si="0"/>
        <v>0.76800000000000002</v>
      </c>
      <c r="E57">
        <v>11509</v>
      </c>
      <c r="F57">
        <v>3734961.6</v>
      </c>
      <c r="G57" s="172">
        <f t="shared" si="1"/>
        <v>0.77300000000000002</v>
      </c>
      <c r="I57">
        <v>10742</v>
      </c>
      <c r="J57">
        <v>126234.75</v>
      </c>
      <c r="K57" s="174">
        <f t="shared" si="7"/>
        <v>0.53</v>
      </c>
      <c r="M57">
        <v>40102</v>
      </c>
      <c r="N57">
        <v>902706.73</v>
      </c>
      <c r="O57" s="174">
        <f t="shared" si="3"/>
        <v>0.77300000000000002</v>
      </c>
      <c r="Q57">
        <v>11409</v>
      </c>
      <c r="R57">
        <v>104974.03</v>
      </c>
      <c r="S57" s="174">
        <f t="shared" si="4"/>
        <v>0.77300000000000002</v>
      </c>
      <c r="U57">
        <v>20908</v>
      </c>
      <c r="V57">
        <v>29584.31</v>
      </c>
      <c r="W57" s="174">
        <f t="shared" si="8"/>
        <v>0.70099999999999996</v>
      </c>
      <c r="Y57">
        <v>20401</v>
      </c>
      <c r="Z57">
        <v>220</v>
      </c>
      <c r="AA57" s="174">
        <f t="shared" si="6"/>
        <v>0.77300000000000002</v>
      </c>
    </row>
    <row r="58" spans="1:27">
      <c r="A58">
        <v>11507</v>
      </c>
      <c r="B58">
        <v>10.1</v>
      </c>
      <c r="C58" s="174">
        <f t="shared" si="0"/>
        <v>0.76800000000000002</v>
      </c>
      <c r="E58">
        <v>40104</v>
      </c>
      <c r="F58">
        <v>3730785.58</v>
      </c>
      <c r="G58" s="172">
        <f t="shared" si="1"/>
        <v>0.76800000000000002</v>
      </c>
      <c r="I58">
        <v>11215</v>
      </c>
      <c r="J58">
        <v>124800.16</v>
      </c>
      <c r="K58" s="174">
        <f t="shared" si="7"/>
        <v>0.52100000000000002</v>
      </c>
      <c r="M58">
        <v>10101</v>
      </c>
      <c r="N58">
        <v>901318.39</v>
      </c>
      <c r="O58" s="174">
        <f t="shared" si="3"/>
        <v>0.76800000000000002</v>
      </c>
      <c r="Q58">
        <v>20210</v>
      </c>
      <c r="R58">
        <v>102838.97</v>
      </c>
      <c r="S58" s="174">
        <f t="shared" si="4"/>
        <v>0.76800000000000002</v>
      </c>
      <c r="U58">
        <v>40146</v>
      </c>
      <c r="V58">
        <v>29413</v>
      </c>
      <c r="W58" s="174">
        <f t="shared" si="8"/>
        <v>0.69599999999999995</v>
      </c>
      <c r="Y58">
        <v>10103</v>
      </c>
      <c r="Z58">
        <v>219.5</v>
      </c>
      <c r="AA58" s="174">
        <f t="shared" si="6"/>
        <v>0.76800000000000002</v>
      </c>
    </row>
    <row r="59" spans="1:27">
      <c r="A59">
        <v>11706</v>
      </c>
      <c r="B59">
        <v>10.07</v>
      </c>
      <c r="C59" s="174">
        <f t="shared" si="0"/>
        <v>0.76400000000000001</v>
      </c>
      <c r="E59">
        <v>30612</v>
      </c>
      <c r="F59">
        <v>3705875.95</v>
      </c>
      <c r="G59" s="172">
        <f t="shared" si="1"/>
        <v>0.76400000000000001</v>
      </c>
      <c r="I59">
        <v>10706</v>
      </c>
      <c r="J59">
        <v>124549.37</v>
      </c>
      <c r="K59" s="174">
        <f t="shared" si="7"/>
        <v>0.51300000000000001</v>
      </c>
      <c r="M59">
        <v>40109</v>
      </c>
      <c r="N59">
        <v>898018.98</v>
      </c>
      <c r="O59" s="174">
        <f t="shared" si="3"/>
        <v>0.76400000000000001</v>
      </c>
      <c r="Q59">
        <v>11809</v>
      </c>
      <c r="R59">
        <v>102760.48</v>
      </c>
      <c r="S59" s="174">
        <f t="shared" si="4"/>
        <v>0.76400000000000001</v>
      </c>
      <c r="U59">
        <v>11410</v>
      </c>
      <c r="V59">
        <v>28629.05</v>
      </c>
      <c r="W59" s="174">
        <f t="shared" si="8"/>
        <v>0.69</v>
      </c>
      <c r="Y59">
        <v>30207</v>
      </c>
      <c r="Z59">
        <v>217.5</v>
      </c>
      <c r="AA59" s="174">
        <f t="shared" si="6"/>
        <v>0.76</v>
      </c>
    </row>
    <row r="60" spans="1:27">
      <c r="A60">
        <v>10138</v>
      </c>
      <c r="B60">
        <v>10.02</v>
      </c>
      <c r="C60" s="174">
        <f t="shared" si="0"/>
        <v>0.76</v>
      </c>
      <c r="E60" s="41">
        <v>10721</v>
      </c>
      <c r="F60" s="176">
        <v>3697867.02</v>
      </c>
      <c r="G60" s="172">
        <f t="shared" si="1"/>
        <v>0.76</v>
      </c>
      <c r="I60">
        <v>20517</v>
      </c>
      <c r="J60">
        <v>124466.81</v>
      </c>
      <c r="K60" s="174">
        <f t="shared" si="7"/>
        <v>0.504</v>
      </c>
      <c r="M60">
        <v>40118</v>
      </c>
      <c r="N60">
        <v>895374.59</v>
      </c>
      <c r="O60" s="174">
        <f t="shared" si="3"/>
        <v>0.76</v>
      </c>
      <c r="Q60">
        <v>40112</v>
      </c>
      <c r="R60">
        <v>102418.91</v>
      </c>
      <c r="S60" s="174">
        <f t="shared" si="4"/>
        <v>0.76</v>
      </c>
      <c r="U60">
        <v>40202</v>
      </c>
      <c r="V60">
        <v>28223.66</v>
      </c>
      <c r="W60" s="174">
        <f t="shared" si="8"/>
        <v>0.68500000000000005</v>
      </c>
      <c r="Y60">
        <v>30214</v>
      </c>
      <c r="Z60">
        <v>217.5</v>
      </c>
      <c r="AA60" s="174">
        <f t="shared" si="6"/>
        <v>0.76</v>
      </c>
    </row>
    <row r="61" spans="1:27">
      <c r="A61">
        <v>10103</v>
      </c>
      <c r="B61">
        <v>9.9700000000000006</v>
      </c>
      <c r="C61" s="174">
        <f t="shared" si="0"/>
        <v>0.75600000000000001</v>
      </c>
      <c r="E61">
        <v>30412</v>
      </c>
      <c r="F61">
        <v>3684930.15</v>
      </c>
      <c r="G61" s="172">
        <f t="shared" si="1"/>
        <v>0.75600000000000001</v>
      </c>
      <c r="I61">
        <v>11406</v>
      </c>
      <c r="J61">
        <v>121733.5</v>
      </c>
      <c r="K61" s="174">
        <f t="shared" si="7"/>
        <v>0.495</v>
      </c>
      <c r="M61">
        <v>20214</v>
      </c>
      <c r="N61">
        <v>889043.19</v>
      </c>
      <c r="O61" s="174">
        <f t="shared" si="3"/>
        <v>0.75600000000000001</v>
      </c>
      <c r="Q61">
        <v>20514</v>
      </c>
      <c r="R61">
        <v>102232.72</v>
      </c>
      <c r="S61" s="174">
        <f t="shared" si="4"/>
        <v>0.75600000000000001</v>
      </c>
      <c r="U61">
        <v>11212</v>
      </c>
      <c r="V61">
        <v>27231.61</v>
      </c>
      <c r="W61" s="174">
        <f t="shared" si="8"/>
        <v>0.67900000000000005</v>
      </c>
      <c r="Y61">
        <v>40121</v>
      </c>
      <c r="Z61">
        <v>215</v>
      </c>
      <c r="AA61" s="174">
        <f t="shared" si="6"/>
        <v>0.752</v>
      </c>
    </row>
    <row r="62" spans="1:27">
      <c r="A62">
        <v>11802</v>
      </c>
      <c r="B62">
        <v>9.93</v>
      </c>
      <c r="C62" s="174">
        <f t="shared" si="0"/>
        <v>0.74299999999999999</v>
      </c>
      <c r="E62">
        <v>30111</v>
      </c>
      <c r="F62">
        <v>3684851.23</v>
      </c>
      <c r="G62" s="172">
        <f t="shared" si="1"/>
        <v>0.752</v>
      </c>
      <c r="I62">
        <v>11706</v>
      </c>
      <c r="J62">
        <v>121535.55</v>
      </c>
      <c r="K62" s="174">
        <f t="shared" si="7"/>
        <v>0.48599999999999999</v>
      </c>
      <c r="M62">
        <v>11417</v>
      </c>
      <c r="N62">
        <v>886452.38</v>
      </c>
      <c r="O62" s="174">
        <f t="shared" si="3"/>
        <v>0.752</v>
      </c>
      <c r="Q62">
        <v>40139</v>
      </c>
      <c r="R62">
        <v>102009.74</v>
      </c>
      <c r="S62" s="174">
        <f t="shared" si="4"/>
        <v>0.752</v>
      </c>
      <c r="U62">
        <v>10743</v>
      </c>
      <c r="V62">
        <v>26349.74</v>
      </c>
      <c r="W62" s="174">
        <f t="shared" si="8"/>
        <v>0.67400000000000004</v>
      </c>
      <c r="Y62">
        <v>40138</v>
      </c>
      <c r="Z62">
        <v>215</v>
      </c>
      <c r="AA62" s="174">
        <f t="shared" si="6"/>
        <v>0.752</v>
      </c>
    </row>
    <row r="63" spans="1:27">
      <c r="A63">
        <v>20406</v>
      </c>
      <c r="B63">
        <v>9.93</v>
      </c>
      <c r="C63" s="174">
        <f t="shared" si="0"/>
        <v>0.74299999999999999</v>
      </c>
      <c r="E63">
        <v>40211</v>
      </c>
      <c r="F63">
        <v>3646991.36</v>
      </c>
      <c r="G63" s="172">
        <f t="shared" si="1"/>
        <v>0.747</v>
      </c>
      <c r="I63">
        <v>11509</v>
      </c>
      <c r="J63">
        <v>121456.88</v>
      </c>
      <c r="K63" s="174">
        <f t="shared" si="7"/>
        <v>0.47799999999999998</v>
      </c>
      <c r="M63">
        <v>40111</v>
      </c>
      <c r="N63">
        <v>862834.39</v>
      </c>
      <c r="O63" s="174">
        <f t="shared" si="3"/>
        <v>0.747</v>
      </c>
      <c r="Q63">
        <v>10101</v>
      </c>
      <c r="R63">
        <v>101001.96</v>
      </c>
      <c r="S63" s="174">
        <f t="shared" si="4"/>
        <v>0.747</v>
      </c>
      <c r="U63">
        <v>20916</v>
      </c>
      <c r="V63">
        <v>26148.05</v>
      </c>
      <c r="W63" s="174">
        <f t="shared" si="8"/>
        <v>0.66800000000000004</v>
      </c>
      <c r="Y63">
        <v>20429</v>
      </c>
      <c r="Z63">
        <v>214.5</v>
      </c>
      <c r="AA63" s="174">
        <f t="shared" si="6"/>
        <v>0.74299999999999999</v>
      </c>
    </row>
    <row r="64" spans="1:27">
      <c r="A64">
        <v>40121</v>
      </c>
      <c r="B64">
        <v>9.93</v>
      </c>
      <c r="C64" s="174">
        <f t="shared" si="0"/>
        <v>0.74299999999999999</v>
      </c>
      <c r="E64">
        <v>30207</v>
      </c>
      <c r="F64">
        <v>3638302.59</v>
      </c>
      <c r="G64" s="172">
        <f t="shared" si="1"/>
        <v>0.74299999999999999</v>
      </c>
      <c r="I64">
        <v>10118</v>
      </c>
      <c r="J64">
        <v>120396.95</v>
      </c>
      <c r="K64" s="174">
        <f t="shared" si="7"/>
        <v>0.46899999999999997</v>
      </c>
      <c r="M64">
        <v>11802</v>
      </c>
      <c r="N64">
        <v>852968.11</v>
      </c>
      <c r="O64" s="174">
        <f t="shared" si="3"/>
        <v>0.74299999999999999</v>
      </c>
      <c r="Q64">
        <v>20418</v>
      </c>
      <c r="R64">
        <v>100503.06</v>
      </c>
      <c r="S64" s="174">
        <f t="shared" si="4"/>
        <v>0.74299999999999999</v>
      </c>
      <c r="U64">
        <v>20528</v>
      </c>
      <c r="V64">
        <v>25890.57</v>
      </c>
      <c r="W64" s="174">
        <f t="shared" si="8"/>
        <v>0.66200000000000003</v>
      </c>
      <c r="Y64">
        <v>40111</v>
      </c>
      <c r="Z64">
        <v>214.5</v>
      </c>
      <c r="AA64" s="174">
        <f t="shared" si="6"/>
        <v>0.74299999999999999</v>
      </c>
    </row>
    <row r="65" spans="1:27">
      <c r="A65">
        <v>10609</v>
      </c>
      <c r="B65">
        <v>9.89</v>
      </c>
      <c r="C65" s="174">
        <f t="shared" si="0"/>
        <v>0.73899999999999999</v>
      </c>
      <c r="E65">
        <v>10742</v>
      </c>
      <c r="F65">
        <v>3633404.4</v>
      </c>
      <c r="G65" s="172">
        <f t="shared" si="1"/>
        <v>0.73899999999999999</v>
      </c>
      <c r="I65">
        <v>20541</v>
      </c>
      <c r="J65">
        <v>117789.18</v>
      </c>
      <c r="K65" s="174">
        <f t="shared" si="7"/>
        <v>0.46</v>
      </c>
      <c r="M65">
        <v>20429</v>
      </c>
      <c r="N65">
        <v>832002.67</v>
      </c>
      <c r="O65" s="174">
        <f t="shared" si="3"/>
        <v>0.73899999999999999</v>
      </c>
      <c r="Q65">
        <v>11507</v>
      </c>
      <c r="R65">
        <v>99835.33</v>
      </c>
      <c r="S65" s="174">
        <f t="shared" si="4"/>
        <v>0.73899999999999999</v>
      </c>
      <c r="U65">
        <v>10527</v>
      </c>
      <c r="V65">
        <v>22299.71</v>
      </c>
      <c r="W65" s="174">
        <f t="shared" si="8"/>
        <v>0.65700000000000003</v>
      </c>
      <c r="Y65">
        <v>30612</v>
      </c>
      <c r="Z65">
        <v>212.5</v>
      </c>
      <c r="AA65" s="174">
        <f t="shared" si="6"/>
        <v>0.73899999999999999</v>
      </c>
    </row>
    <row r="66" spans="1:27">
      <c r="A66">
        <v>11601</v>
      </c>
      <c r="B66">
        <v>9.76</v>
      </c>
      <c r="C66" s="174">
        <f t="shared" si="0"/>
        <v>0.73499999999999999</v>
      </c>
      <c r="E66">
        <v>40129</v>
      </c>
      <c r="F66">
        <v>3627918.87</v>
      </c>
      <c r="G66" s="172">
        <f t="shared" si="1"/>
        <v>0.73499999999999999</v>
      </c>
      <c r="I66">
        <v>30418</v>
      </c>
      <c r="J66">
        <v>115608</v>
      </c>
      <c r="K66" s="174">
        <f t="shared" si="7"/>
        <v>0.45200000000000001</v>
      </c>
      <c r="M66">
        <v>11811</v>
      </c>
      <c r="N66">
        <v>822159.84</v>
      </c>
      <c r="O66" s="174">
        <f t="shared" si="3"/>
        <v>0.73499999999999999</v>
      </c>
      <c r="Q66">
        <v>20503</v>
      </c>
      <c r="R66">
        <v>99461.17</v>
      </c>
      <c r="S66" s="174">
        <f t="shared" si="4"/>
        <v>0.73499999999999999</v>
      </c>
      <c r="U66">
        <v>20215</v>
      </c>
      <c r="V66">
        <v>20203.88</v>
      </c>
      <c r="W66" s="174">
        <f t="shared" si="8"/>
        <v>0.65100000000000002</v>
      </c>
      <c r="Y66">
        <v>40142</v>
      </c>
      <c r="Z66">
        <v>209.5</v>
      </c>
      <c r="AA66" s="174">
        <f t="shared" si="6"/>
        <v>0.73499999999999999</v>
      </c>
    </row>
    <row r="67" spans="1:27">
      <c r="A67">
        <v>30216</v>
      </c>
      <c r="B67">
        <v>9.7200000000000006</v>
      </c>
      <c r="C67" s="174">
        <f t="shared" ref="C67:C130" si="9">PERCENTRANK($B$3:$B$241,B67)</f>
        <v>0.72199999999999998</v>
      </c>
      <c r="E67">
        <v>40130</v>
      </c>
      <c r="F67">
        <v>3614604.74</v>
      </c>
      <c r="G67" s="172">
        <f t="shared" ref="G67:G130" si="10">PERCENTRANK($F$3:$F$241,F67)</f>
        <v>0.73099999999999998</v>
      </c>
      <c r="I67">
        <v>10527</v>
      </c>
      <c r="J67">
        <v>109757.15</v>
      </c>
      <c r="K67" s="174">
        <f t="shared" ref="K67:K98" si="11">PERCENTRANK($J$3:$J$118,J67)</f>
        <v>0.443</v>
      </c>
      <c r="M67">
        <v>30216</v>
      </c>
      <c r="N67">
        <v>821405.56</v>
      </c>
      <c r="O67" s="174">
        <f t="shared" ref="O67:O130" si="12">PERCENTRANK($N$3:$N$241,N67)</f>
        <v>0.73099999999999998</v>
      </c>
      <c r="Q67">
        <v>30207</v>
      </c>
      <c r="R67">
        <v>97644.05</v>
      </c>
      <c r="S67" s="174">
        <f t="shared" ref="S67:S130" si="13">PERCENTRANK($R$3:$R$241,R67)</f>
        <v>0.73099999999999998</v>
      </c>
      <c r="U67">
        <v>20408</v>
      </c>
      <c r="V67">
        <v>18194.759999999998</v>
      </c>
      <c r="W67" s="174">
        <f t="shared" ref="W67:W98" si="14">PERCENTRANK($V$3:$V$184,V67)</f>
        <v>0.64600000000000002</v>
      </c>
      <c r="Y67">
        <v>10605</v>
      </c>
      <c r="Z67">
        <v>207.5</v>
      </c>
      <c r="AA67" s="174">
        <f t="shared" ref="AA67:AA130" si="15">PERCENTRANK($Z$3:$Z$241,Z67)</f>
        <v>0.72199999999999998</v>
      </c>
    </row>
    <row r="68" spans="1:27">
      <c r="A68">
        <v>40108</v>
      </c>
      <c r="B68">
        <v>9.7200000000000006</v>
      </c>
      <c r="C68" s="174">
        <f t="shared" si="9"/>
        <v>0.72199999999999998</v>
      </c>
      <c r="E68">
        <v>11409</v>
      </c>
      <c r="F68">
        <v>3593927.42</v>
      </c>
      <c r="G68" s="172">
        <f t="shared" si="10"/>
        <v>0.72599999999999998</v>
      </c>
      <c r="I68">
        <v>20913</v>
      </c>
      <c r="J68">
        <v>109524.64</v>
      </c>
      <c r="K68" s="174">
        <f t="shared" si="11"/>
        <v>0.434</v>
      </c>
      <c r="M68">
        <v>30207</v>
      </c>
      <c r="N68">
        <v>819793.93</v>
      </c>
      <c r="O68" s="174">
        <f t="shared" si="12"/>
        <v>0.72599999999999998</v>
      </c>
      <c r="Q68">
        <v>10103</v>
      </c>
      <c r="R68">
        <v>96900.09</v>
      </c>
      <c r="S68" s="174">
        <f t="shared" si="13"/>
        <v>0.72599999999999998</v>
      </c>
      <c r="U68">
        <v>11508</v>
      </c>
      <c r="V68">
        <v>18023.72</v>
      </c>
      <c r="W68" s="174">
        <f t="shared" si="14"/>
        <v>0.64</v>
      </c>
      <c r="Y68">
        <v>11211</v>
      </c>
      <c r="Z68">
        <v>207.5</v>
      </c>
      <c r="AA68" s="174">
        <f t="shared" si="15"/>
        <v>0.72199999999999998</v>
      </c>
    </row>
    <row r="69" spans="1:27">
      <c r="A69">
        <v>40111</v>
      </c>
      <c r="B69">
        <v>9.7200000000000006</v>
      </c>
      <c r="C69" s="174">
        <f t="shared" si="9"/>
        <v>0.72199999999999998</v>
      </c>
      <c r="E69">
        <v>11501</v>
      </c>
      <c r="F69">
        <v>3591019.1</v>
      </c>
      <c r="G69" s="172">
        <f t="shared" si="10"/>
        <v>0.72199999999999998</v>
      </c>
      <c r="I69">
        <v>11911</v>
      </c>
      <c r="J69">
        <v>109516.63</v>
      </c>
      <c r="K69" s="174">
        <f t="shared" si="11"/>
        <v>0.42599999999999999</v>
      </c>
      <c r="M69">
        <v>11215</v>
      </c>
      <c r="N69">
        <v>818971.65</v>
      </c>
      <c r="O69" s="174">
        <f t="shared" si="12"/>
        <v>0.72199999999999998</v>
      </c>
      <c r="Q69">
        <v>10605</v>
      </c>
      <c r="R69">
        <v>96113.33</v>
      </c>
      <c r="S69" s="174">
        <f t="shared" si="13"/>
        <v>0.72199999999999998</v>
      </c>
      <c r="U69">
        <v>20913</v>
      </c>
      <c r="V69">
        <v>16963.080000000002</v>
      </c>
      <c r="W69" s="174">
        <f t="shared" si="14"/>
        <v>0.63500000000000001</v>
      </c>
      <c r="Y69">
        <v>20404</v>
      </c>
      <c r="Z69">
        <v>207.5</v>
      </c>
      <c r="AA69" s="174">
        <f t="shared" si="15"/>
        <v>0.72199999999999998</v>
      </c>
    </row>
    <row r="70" spans="1:27">
      <c r="A70" s="41">
        <v>11705</v>
      </c>
      <c r="B70" s="176">
        <v>9.58</v>
      </c>
      <c r="C70" s="174">
        <f t="shared" si="9"/>
        <v>0.71799999999999997</v>
      </c>
      <c r="E70">
        <v>10124</v>
      </c>
      <c r="F70">
        <v>3582135.73</v>
      </c>
      <c r="G70" s="172">
        <f t="shared" si="10"/>
        <v>0.71799999999999997</v>
      </c>
      <c r="I70">
        <v>30608</v>
      </c>
      <c r="J70">
        <v>108104.49</v>
      </c>
      <c r="K70" s="174">
        <f t="shared" si="11"/>
        <v>0.41699999999999998</v>
      </c>
      <c r="M70">
        <v>40129</v>
      </c>
      <c r="N70">
        <v>811990.79</v>
      </c>
      <c r="O70" s="174">
        <f t="shared" si="12"/>
        <v>0.71799999999999997</v>
      </c>
      <c r="Q70">
        <v>20528</v>
      </c>
      <c r="R70">
        <v>95599.26</v>
      </c>
      <c r="S70" s="174">
        <f t="shared" si="13"/>
        <v>0.71799999999999997</v>
      </c>
      <c r="U70">
        <v>11502</v>
      </c>
      <c r="V70">
        <v>16907.96</v>
      </c>
      <c r="W70" s="174">
        <f t="shared" si="14"/>
        <v>0.629</v>
      </c>
      <c r="Y70">
        <v>11705</v>
      </c>
      <c r="Z70">
        <v>207</v>
      </c>
      <c r="AA70" s="174">
        <f t="shared" si="15"/>
        <v>0.71799999999999997</v>
      </c>
    </row>
    <row r="71" spans="1:27">
      <c r="A71">
        <v>40120</v>
      </c>
      <c r="B71">
        <v>9.4700000000000006</v>
      </c>
      <c r="C71" s="174">
        <f t="shared" si="9"/>
        <v>0.71399999999999997</v>
      </c>
      <c r="E71">
        <v>10527</v>
      </c>
      <c r="F71">
        <v>3576407.25</v>
      </c>
      <c r="G71" s="172">
        <f t="shared" si="10"/>
        <v>0.71399999999999997</v>
      </c>
      <c r="I71">
        <v>20408</v>
      </c>
      <c r="J71">
        <v>107110.05</v>
      </c>
      <c r="K71" s="174">
        <f t="shared" si="11"/>
        <v>0.40799999999999997</v>
      </c>
      <c r="M71">
        <v>40211</v>
      </c>
      <c r="N71">
        <v>801117.42</v>
      </c>
      <c r="O71" s="174">
        <f t="shared" si="12"/>
        <v>0.71399999999999997</v>
      </c>
      <c r="Q71">
        <v>11807</v>
      </c>
      <c r="R71">
        <v>95318.65</v>
      </c>
      <c r="S71" s="174">
        <f t="shared" si="13"/>
        <v>0.71399999999999997</v>
      </c>
      <c r="U71">
        <v>20903</v>
      </c>
      <c r="V71">
        <v>16338.14</v>
      </c>
      <c r="W71" s="174">
        <f t="shared" si="14"/>
        <v>0.624</v>
      </c>
      <c r="Y71">
        <v>11802</v>
      </c>
      <c r="Z71">
        <v>202.5</v>
      </c>
      <c r="AA71" s="174">
        <f t="shared" si="15"/>
        <v>0.71399999999999997</v>
      </c>
    </row>
    <row r="72" spans="1:27">
      <c r="A72">
        <v>20520</v>
      </c>
      <c r="B72">
        <v>9.3800000000000008</v>
      </c>
      <c r="C72" s="174">
        <f t="shared" si="9"/>
        <v>0.70499999999999996</v>
      </c>
      <c r="E72">
        <v>40138</v>
      </c>
      <c r="F72">
        <v>3552322.75</v>
      </c>
      <c r="G72" s="172">
        <f t="shared" si="10"/>
        <v>0.71</v>
      </c>
      <c r="I72">
        <v>11617</v>
      </c>
      <c r="J72">
        <v>105404.22</v>
      </c>
      <c r="K72" s="174">
        <f t="shared" si="11"/>
        <v>0.4</v>
      </c>
      <c r="M72">
        <v>20416</v>
      </c>
      <c r="N72">
        <v>795188.08</v>
      </c>
      <c r="O72" s="174">
        <f t="shared" si="12"/>
        <v>0.71</v>
      </c>
      <c r="Q72">
        <v>11708</v>
      </c>
      <c r="R72">
        <v>91420.33</v>
      </c>
      <c r="S72" s="174">
        <f t="shared" si="13"/>
        <v>0.71</v>
      </c>
      <c r="U72">
        <v>11415</v>
      </c>
      <c r="V72">
        <v>16244.5</v>
      </c>
      <c r="W72" s="174">
        <f t="shared" si="14"/>
        <v>0.61799999999999999</v>
      </c>
      <c r="Y72">
        <v>20418</v>
      </c>
      <c r="Z72">
        <v>199.5</v>
      </c>
      <c r="AA72" s="174">
        <f t="shared" si="15"/>
        <v>0.71</v>
      </c>
    </row>
    <row r="73" spans="1:27">
      <c r="A73">
        <v>30612</v>
      </c>
      <c r="B73">
        <v>9.3800000000000008</v>
      </c>
      <c r="C73" s="174">
        <f t="shared" si="9"/>
        <v>0.70499999999999996</v>
      </c>
      <c r="E73">
        <v>20513</v>
      </c>
      <c r="F73">
        <v>3537839.81</v>
      </c>
      <c r="G73" s="172">
        <f t="shared" si="10"/>
        <v>0.70499999999999996</v>
      </c>
      <c r="I73">
        <v>10744</v>
      </c>
      <c r="J73">
        <v>103407.77</v>
      </c>
      <c r="K73" s="174">
        <f t="shared" si="11"/>
        <v>0.39100000000000001</v>
      </c>
      <c r="M73">
        <v>11413</v>
      </c>
      <c r="N73">
        <v>791892.35</v>
      </c>
      <c r="O73" s="174">
        <f t="shared" si="12"/>
        <v>0.70499999999999996</v>
      </c>
      <c r="Q73">
        <v>30111</v>
      </c>
      <c r="R73">
        <v>90125.49</v>
      </c>
      <c r="S73" s="174">
        <f t="shared" si="13"/>
        <v>0.70499999999999996</v>
      </c>
      <c r="U73">
        <v>11116</v>
      </c>
      <c r="V73">
        <v>14670.52</v>
      </c>
      <c r="W73" s="174">
        <f t="shared" si="14"/>
        <v>0.61299999999999999</v>
      </c>
      <c r="Y73">
        <v>40125</v>
      </c>
      <c r="Z73">
        <v>197</v>
      </c>
      <c r="AA73" s="174">
        <f t="shared" si="15"/>
        <v>0.70499999999999996</v>
      </c>
    </row>
    <row r="74" spans="1:27">
      <c r="A74">
        <v>30214</v>
      </c>
      <c r="B74">
        <v>9.25</v>
      </c>
      <c r="C74" s="174">
        <f t="shared" si="9"/>
        <v>0.70099999999999996</v>
      </c>
      <c r="E74">
        <v>40108</v>
      </c>
      <c r="F74">
        <v>3510438.78</v>
      </c>
      <c r="G74" s="172">
        <f t="shared" si="10"/>
        <v>0.70099999999999996</v>
      </c>
      <c r="I74">
        <v>40207</v>
      </c>
      <c r="J74">
        <v>103369.74</v>
      </c>
      <c r="K74" s="174">
        <f t="shared" si="11"/>
        <v>0.38200000000000001</v>
      </c>
      <c r="M74">
        <v>11507</v>
      </c>
      <c r="N74">
        <v>790686.1</v>
      </c>
      <c r="O74" s="174">
        <f t="shared" si="12"/>
        <v>0.70099999999999996</v>
      </c>
      <c r="Q74">
        <v>20519</v>
      </c>
      <c r="R74">
        <v>89250.1</v>
      </c>
      <c r="S74" s="174">
        <f t="shared" si="13"/>
        <v>0.70099999999999996</v>
      </c>
      <c r="U74">
        <v>11123</v>
      </c>
      <c r="V74">
        <v>14485.42</v>
      </c>
      <c r="W74" s="174">
        <f t="shared" si="14"/>
        <v>0.60699999999999998</v>
      </c>
      <c r="Y74">
        <v>10742</v>
      </c>
      <c r="Z74">
        <v>195</v>
      </c>
      <c r="AA74" s="174">
        <f t="shared" si="15"/>
        <v>0.69699999999999995</v>
      </c>
    </row>
    <row r="75" spans="1:27">
      <c r="A75">
        <v>10101</v>
      </c>
      <c r="B75">
        <v>9.2200000000000006</v>
      </c>
      <c r="C75" s="174">
        <f t="shared" si="9"/>
        <v>0.68400000000000005</v>
      </c>
      <c r="E75">
        <v>40206</v>
      </c>
      <c r="F75">
        <v>3449799.45</v>
      </c>
      <c r="G75" s="172">
        <f t="shared" si="10"/>
        <v>0.69699999999999995</v>
      </c>
      <c r="I75">
        <v>40206</v>
      </c>
      <c r="J75">
        <v>101279.71</v>
      </c>
      <c r="K75" s="174">
        <f t="shared" si="11"/>
        <v>0.373</v>
      </c>
      <c r="M75">
        <v>10742</v>
      </c>
      <c r="N75">
        <v>786358.25</v>
      </c>
      <c r="O75" s="174">
        <f t="shared" si="12"/>
        <v>0.69699999999999995</v>
      </c>
      <c r="Q75">
        <v>20416</v>
      </c>
      <c r="R75">
        <v>87291.36</v>
      </c>
      <c r="S75" s="174">
        <f t="shared" si="13"/>
        <v>0.69699999999999995</v>
      </c>
      <c r="U75">
        <v>11902</v>
      </c>
      <c r="V75">
        <v>14284.07</v>
      </c>
      <c r="W75" s="174">
        <f t="shared" si="14"/>
        <v>0.60199999999999998</v>
      </c>
      <c r="Y75">
        <v>30127</v>
      </c>
      <c r="Z75">
        <v>195</v>
      </c>
      <c r="AA75" s="174">
        <f t="shared" si="15"/>
        <v>0.69699999999999995</v>
      </c>
    </row>
    <row r="76" spans="1:27">
      <c r="A76">
        <v>11413</v>
      </c>
      <c r="B76">
        <v>9.2200000000000006</v>
      </c>
      <c r="C76" s="174">
        <f t="shared" si="9"/>
        <v>0.68400000000000005</v>
      </c>
      <c r="E76">
        <v>11803</v>
      </c>
      <c r="F76">
        <v>3441283.89</v>
      </c>
      <c r="G76" s="172">
        <f t="shared" si="10"/>
        <v>0.69299999999999995</v>
      </c>
      <c r="I76">
        <v>40144</v>
      </c>
      <c r="J76">
        <v>100341.94</v>
      </c>
      <c r="K76" s="174">
        <f t="shared" si="11"/>
        <v>0.36499999999999999</v>
      </c>
      <c r="M76">
        <v>20519</v>
      </c>
      <c r="N76">
        <v>785601.73</v>
      </c>
      <c r="O76" s="174">
        <f t="shared" si="12"/>
        <v>0.69299999999999995</v>
      </c>
      <c r="Q76">
        <v>20215</v>
      </c>
      <c r="R76">
        <v>85761.06</v>
      </c>
      <c r="S76" s="174">
        <f t="shared" si="13"/>
        <v>0.69299999999999995</v>
      </c>
      <c r="U76">
        <v>40127</v>
      </c>
      <c r="V76">
        <v>14163.58</v>
      </c>
      <c r="W76" s="174">
        <f t="shared" si="14"/>
        <v>0.59599999999999997</v>
      </c>
      <c r="Y76">
        <v>11215</v>
      </c>
      <c r="Z76">
        <v>192.5</v>
      </c>
      <c r="AA76" s="174">
        <f t="shared" si="15"/>
        <v>0.69299999999999995</v>
      </c>
    </row>
    <row r="77" spans="1:27">
      <c r="A77">
        <v>20210</v>
      </c>
      <c r="B77">
        <v>9.2200000000000006</v>
      </c>
      <c r="C77" s="174">
        <f t="shared" si="9"/>
        <v>0.68400000000000005</v>
      </c>
      <c r="E77">
        <v>20907</v>
      </c>
      <c r="F77">
        <v>3439157.83</v>
      </c>
      <c r="G77" s="172">
        <f t="shared" si="10"/>
        <v>0.68899999999999995</v>
      </c>
      <c r="I77">
        <v>11611</v>
      </c>
      <c r="J77">
        <v>98972.4</v>
      </c>
      <c r="K77" s="174">
        <f t="shared" si="11"/>
        <v>0.35599999999999998</v>
      </c>
      <c r="M77">
        <v>20528</v>
      </c>
      <c r="N77">
        <v>785004.89</v>
      </c>
      <c r="O77" s="174">
        <f t="shared" si="12"/>
        <v>0.68899999999999995</v>
      </c>
      <c r="Q77">
        <v>11909</v>
      </c>
      <c r="R77">
        <v>84912.18</v>
      </c>
      <c r="S77" s="174">
        <f t="shared" si="13"/>
        <v>0.68899999999999995</v>
      </c>
      <c r="U77">
        <v>11618</v>
      </c>
      <c r="V77">
        <v>13692.07</v>
      </c>
      <c r="W77" s="174">
        <f t="shared" si="14"/>
        <v>0.59099999999999997</v>
      </c>
      <c r="Y77">
        <v>20912</v>
      </c>
      <c r="Z77">
        <v>192</v>
      </c>
      <c r="AA77" s="174">
        <f t="shared" si="15"/>
        <v>0.68899999999999995</v>
      </c>
    </row>
    <row r="78" spans="1:27">
      <c r="A78">
        <v>40146</v>
      </c>
      <c r="B78">
        <v>9.2200000000000006</v>
      </c>
      <c r="C78" s="174">
        <f t="shared" si="9"/>
        <v>0.68400000000000005</v>
      </c>
      <c r="E78">
        <v>30402</v>
      </c>
      <c r="F78">
        <v>3436421.08</v>
      </c>
      <c r="G78" s="172">
        <f t="shared" si="10"/>
        <v>0.68400000000000005</v>
      </c>
      <c r="I78">
        <v>11510</v>
      </c>
      <c r="J78">
        <v>96953.3</v>
      </c>
      <c r="K78" s="174">
        <f t="shared" si="11"/>
        <v>0.34699999999999998</v>
      </c>
      <c r="M78">
        <v>30607</v>
      </c>
      <c r="N78">
        <v>782277.41</v>
      </c>
      <c r="O78" s="174">
        <f t="shared" si="12"/>
        <v>0.68400000000000005</v>
      </c>
      <c r="Q78">
        <v>30112</v>
      </c>
      <c r="R78">
        <v>84415.95</v>
      </c>
      <c r="S78" s="174">
        <f t="shared" si="13"/>
        <v>0.68400000000000005</v>
      </c>
      <c r="U78">
        <v>20523</v>
      </c>
      <c r="V78">
        <v>13466.16</v>
      </c>
      <c r="W78" s="174">
        <f t="shared" si="14"/>
        <v>0.58499999999999996</v>
      </c>
      <c r="Y78">
        <v>11307</v>
      </c>
      <c r="Z78">
        <v>190</v>
      </c>
      <c r="AA78" s="174">
        <f t="shared" si="15"/>
        <v>0.68</v>
      </c>
    </row>
    <row r="79" spans="1:27">
      <c r="A79">
        <v>11218</v>
      </c>
      <c r="B79">
        <v>9.2100000000000009</v>
      </c>
      <c r="C79" s="174">
        <f t="shared" si="9"/>
        <v>0.66800000000000004</v>
      </c>
      <c r="E79">
        <v>20913</v>
      </c>
      <c r="F79">
        <v>3432582.23</v>
      </c>
      <c r="G79" s="172">
        <f t="shared" si="10"/>
        <v>0.68</v>
      </c>
      <c r="I79">
        <v>30609</v>
      </c>
      <c r="J79">
        <v>95054.03</v>
      </c>
      <c r="K79" s="174">
        <f t="shared" si="11"/>
        <v>0.33900000000000002</v>
      </c>
      <c r="M79">
        <v>20406</v>
      </c>
      <c r="N79">
        <v>773575.83</v>
      </c>
      <c r="O79" s="174">
        <f t="shared" si="12"/>
        <v>0.68</v>
      </c>
      <c r="Q79">
        <v>40113</v>
      </c>
      <c r="R79">
        <v>84342.720000000001</v>
      </c>
      <c r="S79" s="174">
        <f t="shared" si="13"/>
        <v>0.68</v>
      </c>
      <c r="U79">
        <v>11613</v>
      </c>
      <c r="V79">
        <v>11938</v>
      </c>
      <c r="W79" s="174">
        <f t="shared" si="14"/>
        <v>0.57999999999999996</v>
      </c>
      <c r="Y79">
        <v>20528</v>
      </c>
      <c r="Z79">
        <v>190</v>
      </c>
      <c r="AA79" s="174">
        <f t="shared" si="15"/>
        <v>0.68</v>
      </c>
    </row>
    <row r="80" spans="1:27">
      <c r="A80">
        <v>20214</v>
      </c>
      <c r="B80">
        <v>9.2100000000000009</v>
      </c>
      <c r="C80" s="174">
        <f t="shared" si="9"/>
        <v>0.66800000000000004</v>
      </c>
      <c r="E80">
        <v>20429</v>
      </c>
      <c r="F80">
        <v>3412537.13</v>
      </c>
      <c r="G80" s="172">
        <f t="shared" si="10"/>
        <v>0.67600000000000005</v>
      </c>
      <c r="I80">
        <v>11116</v>
      </c>
      <c r="J80">
        <v>95038.19</v>
      </c>
      <c r="K80" s="174">
        <f t="shared" si="11"/>
        <v>0.33</v>
      </c>
      <c r="M80">
        <v>20913</v>
      </c>
      <c r="N80">
        <v>767139.83999999997</v>
      </c>
      <c r="O80" s="174">
        <f t="shared" si="12"/>
        <v>0.67600000000000005</v>
      </c>
      <c r="Q80">
        <v>40114</v>
      </c>
      <c r="R80">
        <v>83297.81</v>
      </c>
      <c r="S80" s="174">
        <f t="shared" si="13"/>
        <v>0.67600000000000005</v>
      </c>
      <c r="U80">
        <v>30405</v>
      </c>
      <c r="V80">
        <v>11885.18</v>
      </c>
      <c r="W80" s="174">
        <f t="shared" si="14"/>
        <v>0.57399999999999995</v>
      </c>
      <c r="Y80">
        <v>40108</v>
      </c>
      <c r="Z80">
        <v>187.5</v>
      </c>
      <c r="AA80" s="174">
        <f t="shared" si="15"/>
        <v>0.67600000000000005</v>
      </c>
    </row>
    <row r="81" spans="1:27">
      <c r="A81">
        <v>20528</v>
      </c>
      <c r="B81">
        <v>9.2100000000000009</v>
      </c>
      <c r="C81" s="174">
        <f t="shared" si="9"/>
        <v>0.66800000000000004</v>
      </c>
      <c r="E81">
        <v>11902</v>
      </c>
      <c r="F81">
        <v>3401847.93</v>
      </c>
      <c r="G81" s="172">
        <f t="shared" si="10"/>
        <v>0.67200000000000004</v>
      </c>
      <c r="I81">
        <v>10518</v>
      </c>
      <c r="J81">
        <v>92992.68</v>
      </c>
      <c r="K81" s="174">
        <f t="shared" si="11"/>
        <v>0.32100000000000001</v>
      </c>
      <c r="M81">
        <v>11401</v>
      </c>
      <c r="N81">
        <v>758464.72</v>
      </c>
      <c r="O81" s="174">
        <f t="shared" si="12"/>
        <v>0.67200000000000004</v>
      </c>
      <c r="Q81">
        <v>20406</v>
      </c>
      <c r="R81">
        <v>82341.47</v>
      </c>
      <c r="S81" s="174">
        <f t="shared" si="13"/>
        <v>0.67200000000000004</v>
      </c>
      <c r="U81">
        <v>40103</v>
      </c>
      <c r="V81">
        <v>11705.4</v>
      </c>
      <c r="W81" s="174">
        <f t="shared" si="14"/>
        <v>0.56899999999999995</v>
      </c>
      <c r="Y81">
        <v>11601</v>
      </c>
      <c r="Z81">
        <v>185.5</v>
      </c>
      <c r="AA81" s="174">
        <f t="shared" si="15"/>
        <v>0.67200000000000004</v>
      </c>
    </row>
    <row r="82" spans="1:27">
      <c r="A82">
        <v>20912</v>
      </c>
      <c r="B82">
        <v>9.2100000000000009</v>
      </c>
      <c r="C82" s="174">
        <f t="shared" si="9"/>
        <v>0.66800000000000004</v>
      </c>
      <c r="E82">
        <v>11218</v>
      </c>
      <c r="F82">
        <v>3398207.96</v>
      </c>
      <c r="G82" s="172">
        <f t="shared" si="10"/>
        <v>0.66800000000000004</v>
      </c>
      <c r="I82">
        <v>10144</v>
      </c>
      <c r="J82">
        <v>92877.84</v>
      </c>
      <c r="K82" s="174">
        <f t="shared" si="11"/>
        <v>0.313</v>
      </c>
      <c r="M82">
        <v>11503</v>
      </c>
      <c r="N82">
        <v>737352.16</v>
      </c>
      <c r="O82" s="174">
        <f t="shared" si="12"/>
        <v>0.66800000000000004</v>
      </c>
      <c r="Q82">
        <v>40146</v>
      </c>
      <c r="R82">
        <v>81881.38</v>
      </c>
      <c r="S82" s="174">
        <f t="shared" si="13"/>
        <v>0.66800000000000004</v>
      </c>
      <c r="U82">
        <v>30207</v>
      </c>
      <c r="V82">
        <v>11106.35</v>
      </c>
      <c r="W82" s="174">
        <f t="shared" si="14"/>
        <v>0.56299999999999994</v>
      </c>
      <c r="Y82">
        <v>20519</v>
      </c>
      <c r="Z82">
        <v>184.5</v>
      </c>
      <c r="AA82" s="174">
        <f t="shared" si="15"/>
        <v>0.66300000000000003</v>
      </c>
    </row>
    <row r="83" spans="1:27">
      <c r="A83">
        <v>40129</v>
      </c>
      <c r="B83">
        <v>9.1199999999999992</v>
      </c>
      <c r="C83" s="174">
        <f t="shared" si="9"/>
        <v>0.66300000000000003</v>
      </c>
      <c r="E83">
        <v>20519</v>
      </c>
      <c r="F83">
        <v>3380912.03</v>
      </c>
      <c r="G83" s="172">
        <f t="shared" si="10"/>
        <v>0.66300000000000003</v>
      </c>
      <c r="I83">
        <v>11606</v>
      </c>
      <c r="J83">
        <v>92489.58</v>
      </c>
      <c r="K83" s="174">
        <f t="shared" si="11"/>
        <v>0.30399999999999999</v>
      </c>
      <c r="M83">
        <v>11509</v>
      </c>
      <c r="N83">
        <v>735457.16</v>
      </c>
      <c r="O83" s="174">
        <f t="shared" si="12"/>
        <v>0.66300000000000003</v>
      </c>
      <c r="Q83">
        <v>11215</v>
      </c>
      <c r="R83">
        <v>79311.820000000007</v>
      </c>
      <c r="S83" s="174">
        <f t="shared" si="13"/>
        <v>0.66300000000000003</v>
      </c>
      <c r="U83">
        <v>10702</v>
      </c>
      <c r="V83">
        <v>8601.58</v>
      </c>
      <c r="W83" s="174">
        <f t="shared" si="14"/>
        <v>0.55800000000000005</v>
      </c>
      <c r="Y83">
        <v>40120</v>
      </c>
      <c r="Z83">
        <v>184.5</v>
      </c>
      <c r="AA83" s="174">
        <f t="shared" si="15"/>
        <v>0.66300000000000003</v>
      </c>
    </row>
    <row r="84" spans="1:27">
      <c r="A84">
        <v>10124</v>
      </c>
      <c r="B84">
        <v>9.08</v>
      </c>
      <c r="C84" s="174">
        <f t="shared" si="9"/>
        <v>0.65900000000000003</v>
      </c>
      <c r="E84">
        <v>40131</v>
      </c>
      <c r="F84">
        <v>3375143.19</v>
      </c>
      <c r="G84" s="172">
        <f t="shared" si="10"/>
        <v>0.65900000000000003</v>
      </c>
      <c r="I84">
        <v>20418</v>
      </c>
      <c r="J84">
        <v>90378.86</v>
      </c>
      <c r="K84" s="174">
        <f t="shared" si="11"/>
        <v>0.29499999999999998</v>
      </c>
      <c r="M84">
        <v>30205</v>
      </c>
      <c r="N84">
        <v>726028.83</v>
      </c>
      <c r="O84" s="174">
        <f t="shared" si="12"/>
        <v>0.65900000000000003</v>
      </c>
      <c r="Q84">
        <v>20913</v>
      </c>
      <c r="R84">
        <v>79260.05</v>
      </c>
      <c r="S84" s="174">
        <f t="shared" si="13"/>
        <v>0.65900000000000003</v>
      </c>
      <c r="U84">
        <v>10106</v>
      </c>
      <c r="V84">
        <v>5084.72</v>
      </c>
      <c r="W84" s="174">
        <f t="shared" si="14"/>
        <v>0.55200000000000005</v>
      </c>
      <c r="Y84">
        <v>10507</v>
      </c>
      <c r="Z84">
        <v>179.5</v>
      </c>
      <c r="AA84" s="174">
        <f t="shared" si="15"/>
        <v>0.65100000000000002</v>
      </c>
    </row>
    <row r="85" spans="1:27">
      <c r="A85">
        <v>11122</v>
      </c>
      <c r="B85">
        <v>9.0399999999999991</v>
      </c>
      <c r="C85" s="174">
        <f t="shared" si="9"/>
        <v>0.65500000000000003</v>
      </c>
      <c r="E85">
        <v>40142</v>
      </c>
      <c r="F85">
        <v>3373002.91</v>
      </c>
      <c r="G85" s="172">
        <f t="shared" si="10"/>
        <v>0.65500000000000003</v>
      </c>
      <c r="I85">
        <v>11117</v>
      </c>
      <c r="J85">
        <v>89874.35</v>
      </c>
      <c r="K85" s="174">
        <f t="shared" si="11"/>
        <v>0.28599999999999998</v>
      </c>
      <c r="M85">
        <v>40202</v>
      </c>
      <c r="N85">
        <v>719465.24</v>
      </c>
      <c r="O85" s="174">
        <f t="shared" si="12"/>
        <v>0.65500000000000003</v>
      </c>
      <c r="Q85">
        <v>30216</v>
      </c>
      <c r="R85">
        <v>79258.94</v>
      </c>
      <c r="S85" s="174">
        <f t="shared" si="13"/>
        <v>0.65500000000000003</v>
      </c>
      <c r="U85">
        <v>20424</v>
      </c>
      <c r="V85">
        <v>4235.49</v>
      </c>
      <c r="W85" s="174">
        <f t="shared" si="14"/>
        <v>0.54600000000000004</v>
      </c>
      <c r="Y85">
        <v>40109</v>
      </c>
      <c r="Z85">
        <v>179.5</v>
      </c>
      <c r="AA85" s="174">
        <f t="shared" si="15"/>
        <v>0.65100000000000002</v>
      </c>
    </row>
    <row r="86" spans="1:27">
      <c r="A86">
        <v>40112</v>
      </c>
      <c r="B86">
        <v>8.98</v>
      </c>
      <c r="C86" s="174">
        <f t="shared" si="9"/>
        <v>0.65100000000000002</v>
      </c>
      <c r="E86">
        <v>40109</v>
      </c>
      <c r="F86">
        <v>3368815.5</v>
      </c>
      <c r="G86" s="172">
        <f t="shared" si="10"/>
        <v>0.65100000000000002</v>
      </c>
      <c r="I86">
        <v>10526</v>
      </c>
      <c r="J86">
        <v>89767.01</v>
      </c>
      <c r="K86" s="174">
        <f t="shared" si="11"/>
        <v>0.27800000000000002</v>
      </c>
      <c r="M86">
        <v>40108</v>
      </c>
      <c r="N86">
        <v>719218.42</v>
      </c>
      <c r="O86" s="174">
        <f t="shared" si="12"/>
        <v>0.65100000000000002</v>
      </c>
      <c r="Q86" s="41">
        <v>30127</v>
      </c>
      <c r="R86" s="176">
        <v>79141.119999999995</v>
      </c>
      <c r="S86" s="174">
        <f t="shared" si="13"/>
        <v>0.65100000000000002</v>
      </c>
      <c r="U86">
        <v>30205</v>
      </c>
      <c r="V86">
        <v>1877.77</v>
      </c>
      <c r="W86" s="174">
        <f t="shared" si="14"/>
        <v>0.54100000000000004</v>
      </c>
      <c r="Y86">
        <v>40118</v>
      </c>
      <c r="Z86">
        <v>179.5</v>
      </c>
      <c r="AA86" s="174">
        <f t="shared" si="15"/>
        <v>0.65100000000000002</v>
      </c>
    </row>
    <row r="87" spans="1:27">
      <c r="A87">
        <v>40133</v>
      </c>
      <c r="B87">
        <v>8.8699999999999992</v>
      </c>
      <c r="C87" s="174">
        <f t="shared" si="9"/>
        <v>0.64200000000000002</v>
      </c>
      <c r="E87">
        <v>11811</v>
      </c>
      <c r="F87">
        <v>3282773.09</v>
      </c>
      <c r="G87" s="172">
        <f t="shared" si="10"/>
        <v>0.64700000000000002</v>
      </c>
      <c r="I87">
        <v>20429</v>
      </c>
      <c r="J87">
        <v>89376.31</v>
      </c>
      <c r="K87" s="174">
        <f t="shared" si="11"/>
        <v>0.26900000000000002</v>
      </c>
      <c r="M87">
        <v>20401</v>
      </c>
      <c r="N87">
        <v>719198.45</v>
      </c>
      <c r="O87" s="174">
        <f t="shared" si="12"/>
        <v>0.64700000000000002</v>
      </c>
      <c r="Q87">
        <v>40108</v>
      </c>
      <c r="R87">
        <v>78976.89</v>
      </c>
      <c r="S87" s="174">
        <f t="shared" si="13"/>
        <v>0.64700000000000002</v>
      </c>
      <c r="U87">
        <v>10144</v>
      </c>
      <c r="V87">
        <v>1111.68</v>
      </c>
      <c r="W87" s="174">
        <f t="shared" si="14"/>
        <v>0.53500000000000003</v>
      </c>
      <c r="Y87">
        <v>30412</v>
      </c>
      <c r="Z87">
        <v>177.5</v>
      </c>
      <c r="AA87" s="174">
        <f t="shared" si="15"/>
        <v>0.63800000000000001</v>
      </c>
    </row>
    <row r="88" spans="1:27">
      <c r="A88">
        <v>40212</v>
      </c>
      <c r="B88">
        <v>8.8699999999999992</v>
      </c>
      <c r="C88" s="174">
        <f t="shared" si="9"/>
        <v>0.64200000000000002</v>
      </c>
      <c r="E88">
        <v>30205</v>
      </c>
      <c r="F88">
        <v>3271031.46</v>
      </c>
      <c r="G88" s="172">
        <f t="shared" si="10"/>
        <v>0.64200000000000002</v>
      </c>
      <c r="I88">
        <v>40213</v>
      </c>
      <c r="J88">
        <v>87386.96</v>
      </c>
      <c r="K88" s="174">
        <f t="shared" si="11"/>
        <v>0.26</v>
      </c>
      <c r="M88">
        <v>11510</v>
      </c>
      <c r="N88">
        <v>718096.35</v>
      </c>
      <c r="O88" s="174">
        <f t="shared" si="12"/>
        <v>0.64200000000000002</v>
      </c>
      <c r="Q88">
        <v>40133</v>
      </c>
      <c r="R88">
        <v>78957.27</v>
      </c>
      <c r="S88" s="174">
        <f t="shared" si="13"/>
        <v>0.64200000000000002</v>
      </c>
      <c r="U88">
        <v>40105</v>
      </c>
      <c r="V88">
        <v>998</v>
      </c>
      <c r="W88" s="174">
        <f t="shared" si="14"/>
        <v>0.53</v>
      </c>
      <c r="Y88">
        <v>40114</v>
      </c>
      <c r="Z88">
        <v>177.5</v>
      </c>
      <c r="AA88" s="174">
        <f t="shared" si="15"/>
        <v>0.63800000000000001</v>
      </c>
    </row>
    <row r="89" spans="1:27">
      <c r="A89">
        <v>11211</v>
      </c>
      <c r="B89">
        <v>8.74</v>
      </c>
      <c r="C89" s="174">
        <f t="shared" si="9"/>
        <v>0.63800000000000001</v>
      </c>
      <c r="E89">
        <v>20435</v>
      </c>
      <c r="F89">
        <v>3256355.5</v>
      </c>
      <c r="G89" s="172">
        <f t="shared" si="10"/>
        <v>0.63800000000000001</v>
      </c>
      <c r="I89">
        <v>40145</v>
      </c>
      <c r="J89">
        <v>83117.929999999993</v>
      </c>
      <c r="K89" s="174">
        <f t="shared" si="11"/>
        <v>0.252</v>
      </c>
      <c r="M89">
        <v>20907</v>
      </c>
      <c r="N89">
        <v>712960.75</v>
      </c>
      <c r="O89" s="174">
        <f t="shared" si="12"/>
        <v>0.63800000000000001</v>
      </c>
      <c r="Q89">
        <v>11710</v>
      </c>
      <c r="R89">
        <v>78764.83</v>
      </c>
      <c r="S89" s="174">
        <f t="shared" si="13"/>
        <v>0.63800000000000001</v>
      </c>
      <c r="U89">
        <v>20541</v>
      </c>
      <c r="V89">
        <v>598.33000000000004</v>
      </c>
      <c r="W89" s="174">
        <f t="shared" si="14"/>
        <v>0.52400000000000002</v>
      </c>
      <c r="Y89">
        <v>40136</v>
      </c>
      <c r="Z89">
        <v>177.5</v>
      </c>
      <c r="AA89" s="174">
        <f t="shared" si="15"/>
        <v>0.63800000000000001</v>
      </c>
    </row>
    <row r="90" spans="1:27">
      <c r="A90">
        <v>20416</v>
      </c>
      <c r="B90">
        <v>8.7100000000000009</v>
      </c>
      <c r="C90" s="174">
        <f t="shared" si="9"/>
        <v>0.63400000000000001</v>
      </c>
      <c r="E90">
        <v>11618</v>
      </c>
      <c r="F90">
        <v>3248444.31</v>
      </c>
      <c r="G90" s="172">
        <f t="shared" si="10"/>
        <v>0.63400000000000001</v>
      </c>
      <c r="I90">
        <v>11501</v>
      </c>
      <c r="J90">
        <v>81786.7</v>
      </c>
      <c r="K90" s="174">
        <f t="shared" si="11"/>
        <v>0.24299999999999999</v>
      </c>
      <c r="M90">
        <v>11705</v>
      </c>
      <c r="N90">
        <v>708025.14</v>
      </c>
      <c r="O90" s="174">
        <f t="shared" si="12"/>
        <v>0.63400000000000001</v>
      </c>
      <c r="Q90">
        <v>10724</v>
      </c>
      <c r="R90">
        <v>78728.429999999993</v>
      </c>
      <c r="S90" s="174">
        <f t="shared" si="13"/>
        <v>0.63400000000000001</v>
      </c>
      <c r="U90">
        <v>30417</v>
      </c>
      <c r="V90">
        <v>498.75</v>
      </c>
      <c r="W90" s="174">
        <f t="shared" si="14"/>
        <v>0.51900000000000002</v>
      </c>
      <c r="Y90">
        <v>30205</v>
      </c>
      <c r="Z90">
        <v>174.5</v>
      </c>
      <c r="AA90" s="174">
        <f t="shared" si="15"/>
        <v>0.63400000000000001</v>
      </c>
    </row>
    <row r="91" spans="1:27">
      <c r="A91">
        <v>10527</v>
      </c>
      <c r="B91">
        <v>8.69</v>
      </c>
      <c r="C91" s="174">
        <f t="shared" si="9"/>
        <v>0.626</v>
      </c>
      <c r="E91">
        <v>11901</v>
      </c>
      <c r="F91">
        <v>3248359.22</v>
      </c>
      <c r="G91" s="172">
        <f t="shared" si="10"/>
        <v>0.63</v>
      </c>
      <c r="I91">
        <v>20908</v>
      </c>
      <c r="J91">
        <v>81065.649999999994</v>
      </c>
      <c r="K91" s="174">
        <f t="shared" si="11"/>
        <v>0.23400000000000001</v>
      </c>
      <c r="M91">
        <v>30112</v>
      </c>
      <c r="N91">
        <v>705280.94</v>
      </c>
      <c r="O91" s="174">
        <f t="shared" si="12"/>
        <v>0.63</v>
      </c>
      <c r="Q91">
        <v>11122</v>
      </c>
      <c r="R91">
        <v>77763.429999999993</v>
      </c>
      <c r="S91" s="174">
        <f t="shared" si="13"/>
        <v>0.63</v>
      </c>
      <c r="U91">
        <v>11616</v>
      </c>
      <c r="V91">
        <v>437.09</v>
      </c>
      <c r="W91" s="174">
        <f t="shared" si="14"/>
        <v>0.51300000000000001</v>
      </c>
      <c r="Y91">
        <v>11509</v>
      </c>
      <c r="Z91">
        <v>172.5</v>
      </c>
      <c r="AA91" s="174">
        <f t="shared" si="15"/>
        <v>0.63</v>
      </c>
    </row>
    <row r="92" spans="1:27">
      <c r="A92">
        <v>11616</v>
      </c>
      <c r="B92">
        <v>8.69</v>
      </c>
      <c r="C92" s="174">
        <f t="shared" si="9"/>
        <v>0.626</v>
      </c>
      <c r="E92">
        <v>10518</v>
      </c>
      <c r="F92">
        <v>3236596.65</v>
      </c>
      <c r="G92" s="172">
        <f t="shared" si="10"/>
        <v>0.626</v>
      </c>
      <c r="I92">
        <v>11412</v>
      </c>
      <c r="J92">
        <v>80391.649999999994</v>
      </c>
      <c r="K92" s="174">
        <f t="shared" si="11"/>
        <v>0.22600000000000001</v>
      </c>
      <c r="M92">
        <v>20433</v>
      </c>
      <c r="N92">
        <v>704443.14</v>
      </c>
      <c r="O92" s="174">
        <f t="shared" si="12"/>
        <v>0.626</v>
      </c>
      <c r="Q92">
        <v>11802</v>
      </c>
      <c r="R92">
        <v>77540.03</v>
      </c>
      <c r="S92" s="174">
        <f t="shared" si="13"/>
        <v>0.626</v>
      </c>
      <c r="U92">
        <v>40122</v>
      </c>
      <c r="V92">
        <v>423.24</v>
      </c>
      <c r="W92" s="174">
        <f t="shared" si="14"/>
        <v>0.50800000000000001</v>
      </c>
      <c r="Y92">
        <v>11901</v>
      </c>
      <c r="Z92">
        <v>172</v>
      </c>
      <c r="AA92" s="174">
        <f t="shared" si="15"/>
        <v>0.621</v>
      </c>
    </row>
    <row r="93" spans="1:27">
      <c r="A93">
        <v>30203</v>
      </c>
      <c r="B93">
        <v>8.66</v>
      </c>
      <c r="C93" s="174">
        <f t="shared" si="9"/>
        <v>0.621</v>
      </c>
      <c r="E93">
        <v>10609</v>
      </c>
      <c r="F93">
        <v>3193863.65</v>
      </c>
      <c r="G93" s="172">
        <f t="shared" si="10"/>
        <v>0.621</v>
      </c>
      <c r="I93">
        <v>10138</v>
      </c>
      <c r="J93">
        <v>76257.67</v>
      </c>
      <c r="K93" s="174">
        <f t="shared" si="11"/>
        <v>0.217</v>
      </c>
      <c r="M93">
        <v>40117</v>
      </c>
      <c r="N93">
        <v>702432.64</v>
      </c>
      <c r="O93" s="174">
        <f t="shared" si="12"/>
        <v>0.621</v>
      </c>
      <c r="Q93">
        <v>40120</v>
      </c>
      <c r="R93">
        <v>76033.17</v>
      </c>
      <c r="S93" s="174">
        <f t="shared" si="13"/>
        <v>0.621</v>
      </c>
      <c r="U93">
        <v>20912</v>
      </c>
      <c r="V93">
        <v>357.96</v>
      </c>
      <c r="W93" s="174">
        <f t="shared" si="14"/>
        <v>0.502</v>
      </c>
      <c r="Y93">
        <v>20903</v>
      </c>
      <c r="Z93">
        <v>172</v>
      </c>
      <c r="AA93" s="174">
        <f t="shared" si="15"/>
        <v>0.621</v>
      </c>
    </row>
    <row r="94" spans="1:27">
      <c r="A94">
        <v>20503</v>
      </c>
      <c r="B94">
        <v>8.61</v>
      </c>
      <c r="C94" s="174">
        <f t="shared" si="9"/>
        <v>0.61699999999999999</v>
      </c>
      <c r="E94">
        <v>20216</v>
      </c>
      <c r="F94">
        <v>3159974</v>
      </c>
      <c r="G94" s="172">
        <f t="shared" si="10"/>
        <v>0.61699999999999999</v>
      </c>
      <c r="I94">
        <v>20523</v>
      </c>
      <c r="J94">
        <v>72690.67</v>
      </c>
      <c r="K94" s="174">
        <f t="shared" si="11"/>
        <v>0.20799999999999999</v>
      </c>
      <c r="M94">
        <v>11304</v>
      </c>
      <c r="N94">
        <v>699761.65</v>
      </c>
      <c r="O94" s="174">
        <f t="shared" si="12"/>
        <v>0.61699999999999999</v>
      </c>
      <c r="Q94">
        <v>30214</v>
      </c>
      <c r="R94">
        <v>75148.62</v>
      </c>
      <c r="S94" s="174">
        <f t="shared" si="13"/>
        <v>0.61699999999999999</v>
      </c>
      <c r="U94">
        <v>30112</v>
      </c>
      <c r="V94">
        <v>296.68</v>
      </c>
      <c r="W94" s="174">
        <f t="shared" si="14"/>
        <v>0.497</v>
      </c>
      <c r="Y94">
        <v>11413</v>
      </c>
      <c r="Z94">
        <v>170.5</v>
      </c>
      <c r="AA94" s="174">
        <f t="shared" si="15"/>
        <v>0.61699999999999999</v>
      </c>
    </row>
    <row r="95" spans="1:27">
      <c r="A95">
        <v>20404</v>
      </c>
      <c r="B95">
        <v>8.44</v>
      </c>
      <c r="C95" s="174">
        <f t="shared" si="9"/>
        <v>0.61299999999999999</v>
      </c>
      <c r="E95">
        <v>30609</v>
      </c>
      <c r="F95">
        <v>3122619.16</v>
      </c>
      <c r="G95" s="172">
        <f t="shared" si="10"/>
        <v>0.61299999999999999</v>
      </c>
      <c r="I95">
        <v>10108</v>
      </c>
      <c r="J95">
        <v>72051.75</v>
      </c>
      <c r="K95" s="174">
        <f t="shared" si="11"/>
        <v>0.2</v>
      </c>
      <c r="M95">
        <v>11208</v>
      </c>
      <c r="N95">
        <v>697985.4</v>
      </c>
      <c r="O95" s="174">
        <f t="shared" si="12"/>
        <v>0.61299999999999999</v>
      </c>
      <c r="Q95">
        <v>20404</v>
      </c>
      <c r="R95">
        <v>74588.81</v>
      </c>
      <c r="S95" s="174">
        <f t="shared" si="13"/>
        <v>0.61299999999999999</v>
      </c>
      <c r="U95">
        <v>11812</v>
      </c>
      <c r="V95">
        <v>290.5</v>
      </c>
      <c r="W95" s="174">
        <f t="shared" si="14"/>
        <v>0.49099999999999999</v>
      </c>
      <c r="Y95">
        <v>10609</v>
      </c>
      <c r="Z95">
        <v>169.5</v>
      </c>
      <c r="AA95" s="174">
        <f t="shared" si="15"/>
        <v>0.61299999999999999</v>
      </c>
    </row>
    <row r="96" spans="1:27">
      <c r="A96">
        <v>30207</v>
      </c>
      <c r="B96">
        <v>8.3699999999999992</v>
      </c>
      <c r="C96" s="174">
        <f t="shared" si="9"/>
        <v>0.60899999999999999</v>
      </c>
      <c r="E96">
        <v>30614</v>
      </c>
      <c r="F96">
        <v>3106149.94</v>
      </c>
      <c r="G96" s="172">
        <f t="shared" si="10"/>
        <v>0.60899999999999999</v>
      </c>
      <c r="I96">
        <v>10609</v>
      </c>
      <c r="J96">
        <v>70155.649999999994</v>
      </c>
      <c r="K96" s="174">
        <f t="shared" si="11"/>
        <v>0.191</v>
      </c>
      <c r="M96">
        <v>20418</v>
      </c>
      <c r="N96">
        <v>697620.51</v>
      </c>
      <c r="O96" s="174">
        <f t="shared" si="12"/>
        <v>0.60899999999999999</v>
      </c>
      <c r="Q96">
        <v>40109</v>
      </c>
      <c r="R96">
        <v>74408.429999999993</v>
      </c>
      <c r="S96" s="174">
        <f t="shared" si="13"/>
        <v>0.60899999999999999</v>
      </c>
      <c r="U96">
        <v>20404</v>
      </c>
      <c r="V96">
        <v>280</v>
      </c>
      <c r="W96" s="174">
        <f t="shared" si="14"/>
        <v>0.48599999999999999</v>
      </c>
      <c r="Y96">
        <v>10527</v>
      </c>
      <c r="Z96">
        <v>167.5</v>
      </c>
      <c r="AA96" s="174">
        <f t="shared" si="15"/>
        <v>0.60899999999999999</v>
      </c>
    </row>
    <row r="97" spans="1:27">
      <c r="A97">
        <v>20536</v>
      </c>
      <c r="B97">
        <v>8.33</v>
      </c>
      <c r="C97" s="174">
        <f t="shared" si="9"/>
        <v>0.60499999999999998</v>
      </c>
      <c r="E97">
        <v>40213</v>
      </c>
      <c r="F97">
        <v>3105129.1</v>
      </c>
      <c r="G97" s="172">
        <f t="shared" si="10"/>
        <v>0.60499999999999998</v>
      </c>
      <c r="I97">
        <v>40209</v>
      </c>
      <c r="J97">
        <v>69357.59</v>
      </c>
      <c r="K97" s="174">
        <f t="shared" si="11"/>
        <v>0.182</v>
      </c>
      <c r="M97" s="41">
        <v>30127</v>
      </c>
      <c r="N97" s="176">
        <v>692453.67</v>
      </c>
      <c r="O97" s="174">
        <f t="shared" si="12"/>
        <v>0.60499999999999998</v>
      </c>
      <c r="Q97">
        <v>10737</v>
      </c>
      <c r="R97">
        <v>74259.66</v>
      </c>
      <c r="S97" s="174">
        <f t="shared" si="13"/>
        <v>0.60499999999999998</v>
      </c>
      <c r="U97">
        <v>11311</v>
      </c>
      <c r="V97">
        <v>279.57</v>
      </c>
      <c r="W97" s="174">
        <f t="shared" si="14"/>
        <v>0.48</v>
      </c>
      <c r="Y97">
        <v>10518</v>
      </c>
      <c r="Z97">
        <v>167</v>
      </c>
      <c r="AA97" s="174">
        <f t="shared" si="15"/>
        <v>0.60499999999999998</v>
      </c>
    </row>
    <row r="98" spans="1:27">
      <c r="A98">
        <v>40116</v>
      </c>
      <c r="B98">
        <v>8.23</v>
      </c>
      <c r="C98" s="174">
        <f t="shared" si="9"/>
        <v>0.6</v>
      </c>
      <c r="E98">
        <v>11705</v>
      </c>
      <c r="F98">
        <v>3088239.74</v>
      </c>
      <c r="G98" s="172">
        <f t="shared" si="10"/>
        <v>0.6</v>
      </c>
      <c r="I98">
        <v>20215</v>
      </c>
      <c r="J98">
        <v>69067.89</v>
      </c>
      <c r="K98" s="174">
        <f t="shared" si="11"/>
        <v>0.17299999999999999</v>
      </c>
      <c r="M98">
        <v>11210</v>
      </c>
      <c r="N98">
        <v>690271.88</v>
      </c>
      <c r="O98" s="174">
        <f t="shared" si="12"/>
        <v>0.6</v>
      </c>
      <c r="Q98">
        <v>10527</v>
      </c>
      <c r="R98">
        <v>74247.520000000004</v>
      </c>
      <c r="S98" s="174">
        <f t="shared" si="13"/>
        <v>0.6</v>
      </c>
      <c r="U98">
        <v>11912</v>
      </c>
      <c r="V98">
        <v>257.5</v>
      </c>
      <c r="W98" s="174">
        <f t="shared" si="14"/>
        <v>0.47499999999999998</v>
      </c>
      <c r="Y98">
        <v>11809</v>
      </c>
      <c r="Z98">
        <v>164.5</v>
      </c>
      <c r="AA98" s="174">
        <f t="shared" si="15"/>
        <v>0.59599999999999997</v>
      </c>
    </row>
    <row r="99" spans="1:27">
      <c r="A99">
        <v>40109</v>
      </c>
      <c r="B99">
        <v>8.1999999999999993</v>
      </c>
      <c r="C99" s="174">
        <f t="shared" si="9"/>
        <v>0.59199999999999997</v>
      </c>
      <c r="E99">
        <v>11510</v>
      </c>
      <c r="F99">
        <v>3080203.41</v>
      </c>
      <c r="G99" s="172">
        <f t="shared" si="10"/>
        <v>0.59599999999999997</v>
      </c>
      <c r="I99">
        <v>10137</v>
      </c>
      <c r="J99">
        <v>64596.3</v>
      </c>
      <c r="K99" s="174">
        <f t="shared" ref="K99:K118" si="16">PERCENTRANK($J$3:$J$118,J99)</f>
        <v>0.16500000000000001</v>
      </c>
      <c r="M99">
        <v>10527</v>
      </c>
      <c r="N99">
        <v>687647.68</v>
      </c>
      <c r="O99" s="174">
        <f t="shared" si="12"/>
        <v>0.59599999999999997</v>
      </c>
      <c r="Q99">
        <v>40138</v>
      </c>
      <c r="R99">
        <v>73902.39</v>
      </c>
      <c r="S99" s="174">
        <f t="shared" si="13"/>
        <v>0.59599999999999997</v>
      </c>
      <c r="U99">
        <v>30402</v>
      </c>
      <c r="V99">
        <v>253.75</v>
      </c>
      <c r="W99" s="174">
        <f t="shared" ref="W99:W130" si="17">PERCENTRANK($V$3:$V$184,V99)</f>
        <v>0.46899999999999997</v>
      </c>
      <c r="Y99">
        <v>20503</v>
      </c>
      <c r="Z99">
        <v>164.5</v>
      </c>
      <c r="AA99" s="174">
        <f t="shared" si="15"/>
        <v>0.59599999999999997</v>
      </c>
    </row>
    <row r="100" spans="1:27">
      <c r="A100">
        <v>40202</v>
      </c>
      <c r="B100">
        <v>8.1999999999999993</v>
      </c>
      <c r="C100" s="174">
        <f t="shared" si="9"/>
        <v>0.59199999999999997</v>
      </c>
      <c r="E100">
        <v>11303</v>
      </c>
      <c r="F100">
        <v>3069373.67</v>
      </c>
      <c r="G100" s="172">
        <f t="shared" si="10"/>
        <v>0.59199999999999997</v>
      </c>
      <c r="I100">
        <v>20536</v>
      </c>
      <c r="J100">
        <v>63921.87</v>
      </c>
      <c r="K100" s="174">
        <f t="shared" si="16"/>
        <v>0.156</v>
      </c>
      <c r="M100">
        <v>10103</v>
      </c>
      <c r="N100">
        <v>683867.69</v>
      </c>
      <c r="O100" s="174">
        <f t="shared" si="12"/>
        <v>0.59199999999999997</v>
      </c>
      <c r="Q100">
        <v>10742</v>
      </c>
      <c r="R100">
        <v>73178.02</v>
      </c>
      <c r="S100" s="174">
        <f t="shared" si="13"/>
        <v>0.59199999999999997</v>
      </c>
      <c r="U100">
        <v>30109</v>
      </c>
      <c r="V100">
        <v>246.12</v>
      </c>
      <c r="W100" s="174">
        <f t="shared" si="17"/>
        <v>0.46400000000000002</v>
      </c>
      <c r="Y100">
        <v>10138</v>
      </c>
      <c r="Z100">
        <v>162</v>
      </c>
      <c r="AA100" s="174">
        <f t="shared" si="15"/>
        <v>0.58799999999999997</v>
      </c>
    </row>
    <row r="101" spans="1:27">
      <c r="A101">
        <v>20908</v>
      </c>
      <c r="B101">
        <v>8.19</v>
      </c>
      <c r="C101" s="174">
        <f t="shared" si="9"/>
        <v>0.58399999999999996</v>
      </c>
      <c r="E101">
        <v>40111</v>
      </c>
      <c r="F101">
        <v>3061500.73</v>
      </c>
      <c r="G101" s="172">
        <f t="shared" si="10"/>
        <v>0.58799999999999997</v>
      </c>
      <c r="I101">
        <v>11701</v>
      </c>
      <c r="J101">
        <v>62584.36</v>
      </c>
      <c r="K101" s="174">
        <f t="shared" si="16"/>
        <v>0.14699999999999999</v>
      </c>
      <c r="M101">
        <v>10714</v>
      </c>
      <c r="N101">
        <v>675281.67</v>
      </c>
      <c r="O101" s="174">
        <f t="shared" si="12"/>
        <v>0.58799999999999997</v>
      </c>
      <c r="Q101">
        <v>30108</v>
      </c>
      <c r="R101">
        <v>72888.5</v>
      </c>
      <c r="S101" s="174">
        <f t="shared" si="13"/>
        <v>0.58799999999999997</v>
      </c>
      <c r="U101">
        <v>11811</v>
      </c>
      <c r="V101">
        <v>245.42</v>
      </c>
      <c r="W101" s="174">
        <f t="shared" si="17"/>
        <v>0.45800000000000002</v>
      </c>
      <c r="Y101">
        <v>11811</v>
      </c>
      <c r="Z101">
        <v>162</v>
      </c>
      <c r="AA101" s="174">
        <f t="shared" si="15"/>
        <v>0.58799999999999997</v>
      </c>
    </row>
    <row r="102" spans="1:27">
      <c r="A102">
        <v>30108</v>
      </c>
      <c r="B102">
        <v>8.19</v>
      </c>
      <c r="C102" s="174">
        <f t="shared" si="9"/>
        <v>0.58399999999999996</v>
      </c>
      <c r="E102">
        <v>20908</v>
      </c>
      <c r="F102">
        <v>3057601.09</v>
      </c>
      <c r="G102" s="172">
        <f t="shared" si="10"/>
        <v>0.58399999999999996</v>
      </c>
      <c r="I102">
        <v>20528</v>
      </c>
      <c r="J102">
        <v>61930.01</v>
      </c>
      <c r="K102" s="174">
        <f t="shared" si="16"/>
        <v>0.13900000000000001</v>
      </c>
      <c r="M102">
        <v>30108</v>
      </c>
      <c r="N102">
        <v>668868.11</v>
      </c>
      <c r="O102" s="174">
        <f t="shared" si="12"/>
        <v>0.58399999999999996</v>
      </c>
      <c r="Q102">
        <v>40125</v>
      </c>
      <c r="R102">
        <v>72377.87</v>
      </c>
      <c r="S102" s="174">
        <f t="shared" si="13"/>
        <v>0.58399999999999996</v>
      </c>
      <c r="U102">
        <v>11814</v>
      </c>
      <c r="V102">
        <v>244.18</v>
      </c>
      <c r="W102" s="174">
        <f t="shared" si="17"/>
        <v>0.45300000000000001</v>
      </c>
      <c r="Y102">
        <v>20536</v>
      </c>
      <c r="Z102">
        <v>160.5</v>
      </c>
      <c r="AA102" s="174">
        <f t="shared" si="15"/>
        <v>0.58399999999999996</v>
      </c>
    </row>
    <row r="103" spans="1:27">
      <c r="A103">
        <v>11215</v>
      </c>
      <c r="B103">
        <v>8.16</v>
      </c>
      <c r="C103" s="174">
        <f t="shared" si="9"/>
        <v>0.57899999999999996</v>
      </c>
      <c r="E103">
        <v>20215</v>
      </c>
      <c r="F103">
        <v>3026140.17</v>
      </c>
      <c r="G103" s="172">
        <f t="shared" si="10"/>
        <v>0.57899999999999996</v>
      </c>
      <c r="I103">
        <v>10501</v>
      </c>
      <c r="J103">
        <v>60946.42</v>
      </c>
      <c r="K103" s="174">
        <f t="shared" si="16"/>
        <v>0.13</v>
      </c>
      <c r="M103">
        <v>40121</v>
      </c>
      <c r="N103">
        <v>666115.59</v>
      </c>
      <c r="O103" s="174">
        <f t="shared" si="12"/>
        <v>0.57899999999999996</v>
      </c>
      <c r="Q103">
        <v>30402</v>
      </c>
      <c r="R103">
        <v>71739.16</v>
      </c>
      <c r="S103" s="174">
        <f t="shared" si="13"/>
        <v>0.57899999999999996</v>
      </c>
      <c r="U103">
        <v>20526</v>
      </c>
      <c r="V103">
        <v>239.6</v>
      </c>
      <c r="W103" s="174">
        <f t="shared" si="17"/>
        <v>0.44700000000000001</v>
      </c>
      <c r="Y103">
        <v>11909</v>
      </c>
      <c r="Z103">
        <v>160</v>
      </c>
      <c r="AA103" s="174">
        <f t="shared" si="15"/>
        <v>0.57899999999999996</v>
      </c>
    </row>
    <row r="104" spans="1:27">
      <c r="A104">
        <v>30112</v>
      </c>
      <c r="B104">
        <v>8.1199999999999992</v>
      </c>
      <c r="C104" s="174">
        <f t="shared" si="9"/>
        <v>0.57099999999999995</v>
      </c>
      <c r="E104">
        <v>11401</v>
      </c>
      <c r="F104">
        <v>3013349.5</v>
      </c>
      <c r="G104" s="172">
        <f t="shared" si="10"/>
        <v>0.57499999999999996</v>
      </c>
      <c r="I104">
        <v>30407</v>
      </c>
      <c r="J104">
        <v>60565.83</v>
      </c>
      <c r="K104" s="174">
        <f t="shared" si="16"/>
        <v>0.121</v>
      </c>
      <c r="M104">
        <v>11204</v>
      </c>
      <c r="N104">
        <v>664231.55000000005</v>
      </c>
      <c r="O104" s="174">
        <f t="shared" si="12"/>
        <v>0.57499999999999996</v>
      </c>
      <c r="Q104">
        <v>40117</v>
      </c>
      <c r="R104">
        <v>69983.350000000006</v>
      </c>
      <c r="S104" s="174">
        <f t="shared" si="13"/>
        <v>0.57499999999999996</v>
      </c>
      <c r="U104">
        <v>10140</v>
      </c>
      <c r="V104">
        <v>226.65</v>
      </c>
      <c r="W104" s="174">
        <f t="shared" si="17"/>
        <v>0.441</v>
      </c>
      <c r="Y104">
        <v>10714</v>
      </c>
      <c r="Z104">
        <v>159.5</v>
      </c>
      <c r="AA104" s="174">
        <f t="shared" si="15"/>
        <v>0.56299999999999994</v>
      </c>
    </row>
    <row r="105" spans="1:27">
      <c r="A105">
        <v>30205</v>
      </c>
      <c r="B105">
        <v>8.1199999999999992</v>
      </c>
      <c r="C105" s="174">
        <f t="shared" si="9"/>
        <v>0.57099999999999995</v>
      </c>
      <c r="E105">
        <v>20418</v>
      </c>
      <c r="F105">
        <v>2984437.6</v>
      </c>
      <c r="G105" s="172">
        <f t="shared" si="10"/>
        <v>0.57099999999999995</v>
      </c>
      <c r="I105">
        <v>10516</v>
      </c>
      <c r="J105">
        <v>51520.959999999999</v>
      </c>
      <c r="K105" s="174">
        <f t="shared" si="16"/>
        <v>0.113</v>
      </c>
      <c r="M105">
        <v>10609</v>
      </c>
      <c r="N105">
        <v>662903.21</v>
      </c>
      <c r="O105" s="174">
        <f t="shared" si="12"/>
        <v>0.57099999999999995</v>
      </c>
      <c r="Q105">
        <v>30202</v>
      </c>
      <c r="R105">
        <v>69697.86</v>
      </c>
      <c r="S105" s="174">
        <f t="shared" si="13"/>
        <v>0.57099999999999995</v>
      </c>
      <c r="U105">
        <v>20514</v>
      </c>
      <c r="V105">
        <v>225.84</v>
      </c>
      <c r="W105" s="174">
        <f t="shared" si="17"/>
        <v>0.436</v>
      </c>
      <c r="Y105">
        <v>11208</v>
      </c>
      <c r="Z105">
        <v>159.5</v>
      </c>
      <c r="AA105" s="174">
        <f t="shared" si="15"/>
        <v>0.56299999999999994</v>
      </c>
    </row>
    <row r="106" spans="1:27">
      <c r="A106">
        <v>40136</v>
      </c>
      <c r="B106">
        <v>8.07</v>
      </c>
      <c r="C106" s="174">
        <f t="shared" si="9"/>
        <v>0.56699999999999995</v>
      </c>
      <c r="E106">
        <v>10103</v>
      </c>
      <c r="F106">
        <v>2979151</v>
      </c>
      <c r="G106" s="172">
        <f t="shared" si="10"/>
        <v>0.56699999999999995</v>
      </c>
      <c r="I106">
        <v>20912</v>
      </c>
      <c r="J106">
        <v>48686.22</v>
      </c>
      <c r="K106" s="174">
        <f t="shared" si="16"/>
        <v>0.104</v>
      </c>
      <c r="M106">
        <v>20523</v>
      </c>
      <c r="N106">
        <v>658371.62</v>
      </c>
      <c r="O106" s="174">
        <f t="shared" si="12"/>
        <v>0.56699999999999995</v>
      </c>
      <c r="Q106">
        <v>20435</v>
      </c>
      <c r="R106">
        <v>68902.3</v>
      </c>
      <c r="S106" s="174">
        <f t="shared" si="13"/>
        <v>0.56699999999999995</v>
      </c>
      <c r="U106">
        <v>11211</v>
      </c>
      <c r="V106">
        <v>222.92</v>
      </c>
      <c r="W106" s="174">
        <f t="shared" si="17"/>
        <v>0.43</v>
      </c>
      <c r="Y106">
        <v>20416</v>
      </c>
      <c r="Z106">
        <v>159.5</v>
      </c>
      <c r="AA106" s="174">
        <f t="shared" si="15"/>
        <v>0.56299999999999994</v>
      </c>
    </row>
    <row r="107" spans="1:27">
      <c r="A107">
        <v>20519</v>
      </c>
      <c r="B107">
        <v>7.95</v>
      </c>
      <c r="C107" s="174">
        <f t="shared" si="9"/>
        <v>0.56299999999999994</v>
      </c>
      <c r="E107">
        <v>10736</v>
      </c>
      <c r="F107">
        <v>2953948.35</v>
      </c>
      <c r="G107" s="172">
        <f t="shared" si="10"/>
        <v>0.56299999999999994</v>
      </c>
      <c r="I107">
        <v>11618</v>
      </c>
      <c r="J107">
        <v>47783.09</v>
      </c>
      <c r="K107" s="174">
        <f t="shared" si="16"/>
        <v>9.5000000000000001E-2</v>
      </c>
      <c r="M107">
        <v>30612</v>
      </c>
      <c r="N107">
        <v>655378.81999999995</v>
      </c>
      <c r="O107" s="174">
        <f t="shared" si="12"/>
        <v>0.56299999999999994</v>
      </c>
      <c r="Q107">
        <v>20916</v>
      </c>
      <c r="R107">
        <v>68215.66</v>
      </c>
      <c r="S107" s="174">
        <f t="shared" si="13"/>
        <v>0.56299999999999994</v>
      </c>
      <c r="U107">
        <v>11909</v>
      </c>
      <c r="V107">
        <v>221.81</v>
      </c>
      <c r="W107" s="174">
        <f t="shared" si="17"/>
        <v>0.42499999999999999</v>
      </c>
      <c r="Y107">
        <v>40212</v>
      </c>
      <c r="Z107">
        <v>159.5</v>
      </c>
      <c r="AA107" s="174">
        <f t="shared" si="15"/>
        <v>0.56299999999999994</v>
      </c>
    </row>
    <row r="108" spans="1:27">
      <c r="A108">
        <v>40118</v>
      </c>
      <c r="B108">
        <v>7.94</v>
      </c>
      <c r="C108" s="174">
        <f t="shared" si="9"/>
        <v>0.55800000000000005</v>
      </c>
      <c r="E108">
        <v>20212</v>
      </c>
      <c r="F108">
        <v>2953699.99</v>
      </c>
      <c r="G108" s="172">
        <f t="shared" si="10"/>
        <v>0.55800000000000005</v>
      </c>
      <c r="I108">
        <v>11609</v>
      </c>
      <c r="J108">
        <v>46598.78</v>
      </c>
      <c r="K108" s="174">
        <f t="shared" si="16"/>
        <v>8.5999999999999993E-2</v>
      </c>
      <c r="M108">
        <v>20911</v>
      </c>
      <c r="N108">
        <v>654349.32999999996</v>
      </c>
      <c r="O108" s="174">
        <f t="shared" si="12"/>
        <v>0.55800000000000005</v>
      </c>
      <c r="Q108">
        <v>10124</v>
      </c>
      <c r="R108">
        <v>67036.960000000006</v>
      </c>
      <c r="S108" s="174">
        <f t="shared" si="13"/>
        <v>0.55800000000000005</v>
      </c>
      <c r="U108">
        <v>30214</v>
      </c>
      <c r="V108">
        <v>214.98</v>
      </c>
      <c r="W108" s="174">
        <f t="shared" si="17"/>
        <v>0.41899999999999998</v>
      </c>
      <c r="Y108">
        <v>20514</v>
      </c>
      <c r="Z108">
        <v>158</v>
      </c>
      <c r="AA108" s="174">
        <f t="shared" si="15"/>
        <v>0.55400000000000005</v>
      </c>
    </row>
    <row r="109" spans="1:27">
      <c r="A109">
        <v>11210</v>
      </c>
      <c r="B109">
        <v>7.82</v>
      </c>
      <c r="C109" s="174">
        <f t="shared" si="9"/>
        <v>0.55400000000000005</v>
      </c>
      <c r="E109">
        <v>10138</v>
      </c>
      <c r="F109">
        <v>2928865.46</v>
      </c>
      <c r="G109" s="172">
        <f t="shared" si="10"/>
        <v>0.55400000000000005</v>
      </c>
      <c r="I109">
        <v>20513</v>
      </c>
      <c r="J109">
        <v>45761.919999999998</v>
      </c>
      <c r="K109" s="174">
        <f t="shared" si="16"/>
        <v>7.8E-2</v>
      </c>
      <c r="M109">
        <v>20536</v>
      </c>
      <c r="N109">
        <v>653449.19999999995</v>
      </c>
      <c r="O109" s="174">
        <f t="shared" si="12"/>
        <v>0.55400000000000005</v>
      </c>
      <c r="Q109">
        <v>11413</v>
      </c>
      <c r="R109">
        <v>66744.850000000006</v>
      </c>
      <c r="S109" s="174">
        <f t="shared" si="13"/>
        <v>0.55400000000000005</v>
      </c>
      <c r="U109">
        <v>10507</v>
      </c>
      <c r="V109">
        <v>201.67</v>
      </c>
      <c r="W109" s="174">
        <f t="shared" si="17"/>
        <v>0.41399999999999998</v>
      </c>
      <c r="Y109">
        <v>40116</v>
      </c>
      <c r="Z109">
        <v>158</v>
      </c>
      <c r="AA109" s="174">
        <f t="shared" si="15"/>
        <v>0.55400000000000005</v>
      </c>
    </row>
    <row r="110" spans="1:27">
      <c r="A110">
        <v>40203</v>
      </c>
      <c r="B110">
        <v>7.8</v>
      </c>
      <c r="C110" s="174">
        <f t="shared" si="9"/>
        <v>0.55000000000000004</v>
      </c>
      <c r="E110">
        <v>11809</v>
      </c>
      <c r="F110">
        <v>2924932.18</v>
      </c>
      <c r="G110" s="172">
        <f t="shared" si="10"/>
        <v>0.55000000000000004</v>
      </c>
      <c r="I110">
        <v>20216</v>
      </c>
      <c r="J110">
        <v>44065.18</v>
      </c>
      <c r="K110" s="174">
        <f t="shared" si="16"/>
        <v>6.9000000000000006E-2</v>
      </c>
      <c r="M110">
        <v>10138</v>
      </c>
      <c r="N110">
        <v>651675.44999999995</v>
      </c>
      <c r="O110" s="174">
        <f t="shared" si="12"/>
        <v>0.55000000000000004</v>
      </c>
      <c r="Q110">
        <v>11811</v>
      </c>
      <c r="R110">
        <v>65318.2</v>
      </c>
      <c r="S110" s="174">
        <f t="shared" si="13"/>
        <v>0.55000000000000004</v>
      </c>
      <c r="U110">
        <v>10601</v>
      </c>
      <c r="V110">
        <v>199.18</v>
      </c>
      <c r="W110" s="174">
        <f t="shared" si="17"/>
        <v>0.40799999999999997</v>
      </c>
      <c r="Y110">
        <v>40112</v>
      </c>
      <c r="Z110">
        <v>155.5</v>
      </c>
      <c r="AA110" s="174">
        <f t="shared" si="15"/>
        <v>0.54600000000000004</v>
      </c>
    </row>
    <row r="111" spans="1:27">
      <c r="A111">
        <v>11401</v>
      </c>
      <c r="B111">
        <v>7.76</v>
      </c>
      <c r="C111" s="174">
        <f t="shared" si="9"/>
        <v>0.54600000000000004</v>
      </c>
      <c r="E111">
        <v>11304</v>
      </c>
      <c r="F111">
        <v>2902022.81</v>
      </c>
      <c r="G111" s="172">
        <f t="shared" si="10"/>
        <v>0.54600000000000004</v>
      </c>
      <c r="I111">
        <v>11417</v>
      </c>
      <c r="J111">
        <v>43575.92</v>
      </c>
      <c r="K111" s="174">
        <f t="shared" si="16"/>
        <v>0.06</v>
      </c>
      <c r="M111">
        <v>10507</v>
      </c>
      <c r="N111">
        <v>647697.43999999994</v>
      </c>
      <c r="O111" s="174">
        <f t="shared" si="12"/>
        <v>0.54600000000000004</v>
      </c>
      <c r="Q111">
        <v>11510</v>
      </c>
      <c r="R111">
        <v>63013.79</v>
      </c>
      <c r="S111" s="174">
        <f t="shared" si="13"/>
        <v>0.54600000000000004</v>
      </c>
      <c r="U111">
        <v>30104</v>
      </c>
      <c r="V111">
        <v>185.31</v>
      </c>
      <c r="W111" s="174">
        <f t="shared" si="17"/>
        <v>0.40300000000000002</v>
      </c>
      <c r="Y111">
        <v>40117</v>
      </c>
      <c r="Z111">
        <v>155.5</v>
      </c>
      <c r="AA111" s="174">
        <f t="shared" si="15"/>
        <v>0.54600000000000004</v>
      </c>
    </row>
    <row r="112" spans="1:27">
      <c r="A112">
        <v>20408</v>
      </c>
      <c r="B112">
        <v>7.54</v>
      </c>
      <c r="C112" s="174">
        <f t="shared" si="9"/>
        <v>0.53300000000000003</v>
      </c>
      <c r="E112">
        <v>30607</v>
      </c>
      <c r="F112">
        <v>2889649.7</v>
      </c>
      <c r="G112" s="172">
        <f t="shared" si="10"/>
        <v>0.54200000000000004</v>
      </c>
      <c r="I112">
        <v>11613</v>
      </c>
      <c r="J112">
        <v>42874.89</v>
      </c>
      <c r="K112" s="174">
        <f t="shared" si="16"/>
        <v>5.1999999999999998E-2</v>
      </c>
      <c r="M112">
        <v>40136</v>
      </c>
      <c r="N112">
        <v>643942.56000000006</v>
      </c>
      <c r="O112" s="174">
        <f t="shared" si="12"/>
        <v>0.54200000000000004</v>
      </c>
      <c r="Q112">
        <v>20401</v>
      </c>
      <c r="R112">
        <v>62769.96</v>
      </c>
      <c r="S112" s="174">
        <f t="shared" si="13"/>
        <v>0.54200000000000004</v>
      </c>
      <c r="U112">
        <v>20212</v>
      </c>
      <c r="V112">
        <v>163.75</v>
      </c>
      <c r="W112" s="174">
        <f t="shared" si="17"/>
        <v>0.39700000000000002</v>
      </c>
      <c r="Y112">
        <v>20435</v>
      </c>
      <c r="Z112">
        <v>154.5</v>
      </c>
      <c r="AA112" s="174">
        <f t="shared" si="15"/>
        <v>0.54200000000000004</v>
      </c>
    </row>
    <row r="113" spans="1:27">
      <c r="A113">
        <v>20514</v>
      </c>
      <c r="B113">
        <v>7.54</v>
      </c>
      <c r="C113" s="174">
        <f t="shared" si="9"/>
        <v>0.53300000000000003</v>
      </c>
      <c r="E113">
        <v>10743</v>
      </c>
      <c r="F113">
        <v>2881011.6</v>
      </c>
      <c r="G113" s="172">
        <f t="shared" si="10"/>
        <v>0.53700000000000003</v>
      </c>
      <c r="I113">
        <v>40131</v>
      </c>
      <c r="J113">
        <v>40634.83</v>
      </c>
      <c r="K113" s="174">
        <f t="shared" si="16"/>
        <v>4.2999999999999997E-2</v>
      </c>
      <c r="M113">
        <v>11122</v>
      </c>
      <c r="N113">
        <v>641879.23</v>
      </c>
      <c r="O113" s="174">
        <f t="shared" si="12"/>
        <v>0.53700000000000003</v>
      </c>
      <c r="Q113">
        <v>40127</v>
      </c>
      <c r="R113">
        <v>62465.16</v>
      </c>
      <c r="S113" s="174">
        <f t="shared" si="13"/>
        <v>0.53700000000000003</v>
      </c>
      <c r="U113">
        <v>11706</v>
      </c>
      <c r="V113">
        <v>148.33000000000001</v>
      </c>
      <c r="W113" s="174">
        <f t="shared" si="17"/>
        <v>0.39200000000000002</v>
      </c>
      <c r="Y113">
        <v>11122</v>
      </c>
      <c r="Z113">
        <v>152.5</v>
      </c>
      <c r="AA113" s="174">
        <f t="shared" si="15"/>
        <v>0.53300000000000003</v>
      </c>
    </row>
    <row r="114" spans="1:27">
      <c r="A114">
        <v>20913</v>
      </c>
      <c r="B114">
        <v>7.54</v>
      </c>
      <c r="C114" s="174">
        <f t="shared" si="9"/>
        <v>0.53300000000000003</v>
      </c>
      <c r="E114">
        <v>40128</v>
      </c>
      <c r="F114">
        <v>2860042.28</v>
      </c>
      <c r="G114" s="172">
        <f t="shared" si="10"/>
        <v>0.53300000000000003</v>
      </c>
      <c r="I114">
        <v>11311</v>
      </c>
      <c r="J114">
        <v>36795.870000000003</v>
      </c>
      <c r="K114" s="174">
        <f t="shared" si="16"/>
        <v>3.4000000000000002E-2</v>
      </c>
      <c r="M114">
        <v>20514</v>
      </c>
      <c r="N114">
        <v>641032</v>
      </c>
      <c r="O114" s="174">
        <f t="shared" si="12"/>
        <v>0.53300000000000003</v>
      </c>
      <c r="Q114">
        <v>11208</v>
      </c>
      <c r="R114">
        <v>62094.26</v>
      </c>
      <c r="S114" s="174">
        <f t="shared" si="13"/>
        <v>0.53300000000000003</v>
      </c>
      <c r="U114">
        <v>10502</v>
      </c>
      <c r="V114">
        <v>147.5</v>
      </c>
      <c r="W114" s="174">
        <f t="shared" si="17"/>
        <v>0.38600000000000001</v>
      </c>
      <c r="Y114">
        <v>11503</v>
      </c>
      <c r="Z114">
        <v>152.5</v>
      </c>
      <c r="AA114" s="174">
        <f t="shared" si="15"/>
        <v>0.53300000000000003</v>
      </c>
    </row>
    <row r="115" spans="1:27">
      <c r="A115">
        <v>20212</v>
      </c>
      <c r="B115">
        <v>7.53</v>
      </c>
      <c r="C115" s="174">
        <f t="shared" si="9"/>
        <v>0.52900000000000003</v>
      </c>
      <c r="E115">
        <v>40118</v>
      </c>
      <c r="F115">
        <v>2829370.49</v>
      </c>
      <c r="G115" s="172">
        <f t="shared" si="10"/>
        <v>0.52900000000000003</v>
      </c>
      <c r="I115">
        <v>40130</v>
      </c>
      <c r="J115">
        <v>33686.699999999997</v>
      </c>
      <c r="K115" s="174">
        <f t="shared" si="16"/>
        <v>2.5999999999999999E-2</v>
      </c>
      <c r="M115">
        <v>30412</v>
      </c>
      <c r="N115">
        <v>637967.91</v>
      </c>
      <c r="O115" s="174">
        <f t="shared" si="12"/>
        <v>0.52900000000000003</v>
      </c>
      <c r="Q115">
        <v>11211</v>
      </c>
      <c r="R115">
        <v>61332.62</v>
      </c>
      <c r="S115" s="174">
        <f t="shared" si="13"/>
        <v>0.52900000000000003</v>
      </c>
      <c r="U115">
        <v>10712</v>
      </c>
      <c r="V115">
        <v>147.07</v>
      </c>
      <c r="W115" s="174">
        <f t="shared" si="17"/>
        <v>0.38100000000000001</v>
      </c>
      <c r="Y115">
        <v>10721</v>
      </c>
      <c r="Z115">
        <v>150</v>
      </c>
      <c r="AA115" s="174">
        <f t="shared" si="15"/>
        <v>0.52900000000000003</v>
      </c>
    </row>
    <row r="116" spans="1:27">
      <c r="A116">
        <v>11809</v>
      </c>
      <c r="B116">
        <v>7.5</v>
      </c>
      <c r="C116" s="174">
        <f t="shared" si="9"/>
        <v>0.52500000000000002</v>
      </c>
      <c r="E116">
        <v>30618</v>
      </c>
      <c r="F116">
        <v>2823379.95</v>
      </c>
      <c r="G116" s="172">
        <f t="shared" si="10"/>
        <v>0.52500000000000002</v>
      </c>
      <c r="I116">
        <v>11303</v>
      </c>
      <c r="J116">
        <v>32430.79</v>
      </c>
      <c r="K116" s="174">
        <f t="shared" si="16"/>
        <v>1.7000000000000001E-2</v>
      </c>
      <c r="M116">
        <v>20513</v>
      </c>
      <c r="N116">
        <v>635391.19999999995</v>
      </c>
      <c r="O116" s="174">
        <f t="shared" si="12"/>
        <v>0.52500000000000002</v>
      </c>
      <c r="Q116">
        <v>40126</v>
      </c>
      <c r="R116">
        <v>61081.16</v>
      </c>
      <c r="S116" s="174">
        <f t="shared" si="13"/>
        <v>0.52500000000000002</v>
      </c>
      <c r="U116">
        <v>40106</v>
      </c>
      <c r="V116">
        <v>143.06</v>
      </c>
      <c r="W116" s="174">
        <f t="shared" si="17"/>
        <v>0.375</v>
      </c>
      <c r="Y116">
        <v>11708</v>
      </c>
      <c r="Z116">
        <v>149.5</v>
      </c>
      <c r="AA116" s="174">
        <f t="shared" si="15"/>
        <v>0.51600000000000001</v>
      </c>
    </row>
    <row r="117" spans="1:27">
      <c r="A117">
        <v>40213</v>
      </c>
      <c r="B117">
        <v>7.38</v>
      </c>
      <c r="C117" s="174">
        <f t="shared" si="9"/>
        <v>0.52100000000000002</v>
      </c>
      <c r="E117">
        <v>40146</v>
      </c>
      <c r="F117">
        <v>2796658.7</v>
      </c>
      <c r="G117" s="172">
        <f t="shared" si="10"/>
        <v>0.52100000000000002</v>
      </c>
      <c r="I117">
        <v>10605</v>
      </c>
      <c r="J117">
        <v>6658.79</v>
      </c>
      <c r="K117" s="174">
        <f t="shared" si="16"/>
        <v>8.0000000000000002E-3</v>
      </c>
      <c r="M117">
        <v>30402</v>
      </c>
      <c r="N117">
        <v>628973.84</v>
      </c>
      <c r="O117" s="174">
        <f t="shared" si="12"/>
        <v>0.52100000000000002</v>
      </c>
      <c r="Q117">
        <v>20903</v>
      </c>
      <c r="R117">
        <v>61004.18</v>
      </c>
      <c r="S117" s="174">
        <f t="shared" si="13"/>
        <v>0.52100000000000002</v>
      </c>
      <c r="U117">
        <v>10518</v>
      </c>
      <c r="V117">
        <v>141.24</v>
      </c>
      <c r="W117" s="174">
        <f t="shared" si="17"/>
        <v>0.37</v>
      </c>
      <c r="Y117">
        <v>20408</v>
      </c>
      <c r="Z117">
        <v>149.5</v>
      </c>
      <c r="AA117" s="174">
        <f t="shared" si="15"/>
        <v>0.51600000000000001</v>
      </c>
    </row>
    <row r="118" spans="1:27">
      <c r="A118">
        <v>11208</v>
      </c>
      <c r="B118">
        <v>7.37</v>
      </c>
      <c r="C118" s="174">
        <f t="shared" si="9"/>
        <v>0.51600000000000001</v>
      </c>
      <c r="E118">
        <v>40125</v>
      </c>
      <c r="F118">
        <v>2779436.03</v>
      </c>
      <c r="G118" s="172">
        <f t="shared" si="10"/>
        <v>0.51600000000000001</v>
      </c>
      <c r="I118">
        <v>10101</v>
      </c>
      <c r="J118">
        <v>1795.89</v>
      </c>
      <c r="K118" s="174">
        <f t="shared" si="16"/>
        <v>0</v>
      </c>
      <c r="M118">
        <v>11616</v>
      </c>
      <c r="N118">
        <v>625385.4</v>
      </c>
      <c r="O118" s="174">
        <f t="shared" si="12"/>
        <v>0.51600000000000001</v>
      </c>
      <c r="Q118">
        <v>40116</v>
      </c>
      <c r="R118">
        <v>60860.32</v>
      </c>
      <c r="S118" s="174">
        <f t="shared" si="13"/>
        <v>0.51600000000000001</v>
      </c>
      <c r="U118">
        <v>11409</v>
      </c>
      <c r="V118">
        <v>135.83000000000001</v>
      </c>
      <c r="W118" s="174">
        <f t="shared" si="17"/>
        <v>0.36399999999999999</v>
      </c>
      <c r="Y118">
        <v>20913</v>
      </c>
      <c r="Z118">
        <v>149.5</v>
      </c>
      <c r="AA118" s="174">
        <f t="shared" si="15"/>
        <v>0.51600000000000001</v>
      </c>
    </row>
    <row r="119" spans="1:27">
      <c r="A119">
        <v>10137</v>
      </c>
      <c r="B119">
        <v>7.34</v>
      </c>
      <c r="C119" s="174">
        <f t="shared" si="9"/>
        <v>0.50800000000000001</v>
      </c>
      <c r="E119">
        <v>10711</v>
      </c>
      <c r="F119">
        <v>2766835.89</v>
      </c>
      <c r="G119" s="172">
        <f t="shared" si="10"/>
        <v>0.51200000000000001</v>
      </c>
      <c r="K119" s="174"/>
      <c r="M119">
        <v>20408</v>
      </c>
      <c r="N119">
        <v>624701.18000000005</v>
      </c>
      <c r="O119" s="174">
        <f t="shared" si="12"/>
        <v>0.51200000000000001</v>
      </c>
      <c r="Q119">
        <v>10507</v>
      </c>
      <c r="R119">
        <v>60609.52</v>
      </c>
      <c r="S119" s="174">
        <f t="shared" si="13"/>
        <v>0.51200000000000001</v>
      </c>
      <c r="U119">
        <v>30602</v>
      </c>
      <c r="V119">
        <v>132.5</v>
      </c>
      <c r="W119" s="174">
        <f t="shared" si="17"/>
        <v>0.35899999999999999</v>
      </c>
      <c r="Y119">
        <v>20513</v>
      </c>
      <c r="Z119">
        <v>147.5</v>
      </c>
      <c r="AA119" s="174">
        <f t="shared" si="15"/>
        <v>0.51200000000000001</v>
      </c>
    </row>
    <row r="120" spans="1:27">
      <c r="A120">
        <v>40204</v>
      </c>
      <c r="B120">
        <v>7.34</v>
      </c>
      <c r="C120" s="174">
        <f t="shared" si="9"/>
        <v>0.50800000000000001</v>
      </c>
      <c r="E120">
        <v>10507</v>
      </c>
      <c r="F120">
        <v>2725355.61</v>
      </c>
      <c r="G120" s="172">
        <f t="shared" si="10"/>
        <v>0.50800000000000001</v>
      </c>
      <c r="K120" s="174"/>
      <c r="M120">
        <v>40114</v>
      </c>
      <c r="N120">
        <v>620962.30000000005</v>
      </c>
      <c r="O120" s="174">
        <f t="shared" si="12"/>
        <v>0.50800000000000001</v>
      </c>
      <c r="Q120">
        <v>40213</v>
      </c>
      <c r="R120">
        <v>60262.86</v>
      </c>
      <c r="S120" s="174">
        <f t="shared" si="13"/>
        <v>0.50800000000000001</v>
      </c>
      <c r="U120">
        <v>30216</v>
      </c>
      <c r="V120">
        <v>131.25</v>
      </c>
      <c r="W120" s="174">
        <f t="shared" si="17"/>
        <v>0.35299999999999998</v>
      </c>
      <c r="Y120">
        <v>11304</v>
      </c>
      <c r="Z120">
        <v>147</v>
      </c>
      <c r="AA120" s="174">
        <f t="shared" si="15"/>
        <v>0.49099999999999999</v>
      </c>
    </row>
    <row r="121" spans="1:27">
      <c r="A121">
        <v>11304</v>
      </c>
      <c r="B121">
        <v>7.33</v>
      </c>
      <c r="C121" s="174">
        <f t="shared" si="9"/>
        <v>0.49099999999999999</v>
      </c>
      <c r="E121">
        <v>11210</v>
      </c>
      <c r="F121">
        <v>2709487.98</v>
      </c>
      <c r="G121" s="172">
        <f t="shared" si="10"/>
        <v>0.504</v>
      </c>
      <c r="K121" s="174"/>
      <c r="M121">
        <v>11601</v>
      </c>
      <c r="N121">
        <v>619070.99</v>
      </c>
      <c r="O121" s="174">
        <f t="shared" si="12"/>
        <v>0.504</v>
      </c>
      <c r="Q121">
        <v>40212</v>
      </c>
      <c r="R121">
        <v>59994.42</v>
      </c>
      <c r="S121" s="174">
        <f t="shared" si="13"/>
        <v>0.504</v>
      </c>
      <c r="U121">
        <v>30407</v>
      </c>
      <c r="V121">
        <v>125.07</v>
      </c>
      <c r="W121" s="174">
        <f t="shared" si="17"/>
        <v>0.34799999999999998</v>
      </c>
      <c r="Y121">
        <v>11401</v>
      </c>
      <c r="Z121">
        <v>147</v>
      </c>
      <c r="AA121" s="174">
        <f t="shared" si="15"/>
        <v>0.49099999999999999</v>
      </c>
    </row>
    <row r="122" spans="1:27">
      <c r="A122">
        <v>11613</v>
      </c>
      <c r="B122">
        <v>7.33</v>
      </c>
      <c r="C122" s="174">
        <f t="shared" si="9"/>
        <v>0.49099999999999999</v>
      </c>
      <c r="E122">
        <v>11117</v>
      </c>
      <c r="F122">
        <v>2698589.26</v>
      </c>
      <c r="G122" s="172">
        <f t="shared" si="10"/>
        <v>0.5</v>
      </c>
      <c r="K122" s="174"/>
      <c r="M122">
        <v>11809</v>
      </c>
      <c r="N122">
        <v>618627.31000000006</v>
      </c>
      <c r="O122" s="174">
        <f t="shared" si="12"/>
        <v>0.5</v>
      </c>
      <c r="Q122">
        <v>10133</v>
      </c>
      <c r="R122">
        <v>59377.36</v>
      </c>
      <c r="S122" s="174">
        <f t="shared" si="13"/>
        <v>0.5</v>
      </c>
      <c r="U122">
        <v>10137</v>
      </c>
      <c r="V122">
        <v>123.83</v>
      </c>
      <c r="W122" s="174">
        <f t="shared" si="17"/>
        <v>0.34200000000000003</v>
      </c>
      <c r="Y122">
        <v>20205</v>
      </c>
      <c r="Z122">
        <v>147</v>
      </c>
      <c r="AA122" s="174">
        <f t="shared" si="15"/>
        <v>0.49099999999999999</v>
      </c>
    </row>
    <row r="123" spans="1:27">
      <c r="A123">
        <v>11909</v>
      </c>
      <c r="B123">
        <v>7.33</v>
      </c>
      <c r="C123" s="174">
        <f t="shared" si="9"/>
        <v>0.49099999999999999</v>
      </c>
      <c r="E123">
        <v>10744</v>
      </c>
      <c r="F123">
        <v>2696635.22</v>
      </c>
      <c r="G123" s="172">
        <f t="shared" si="10"/>
        <v>0.495</v>
      </c>
      <c r="K123" s="174"/>
      <c r="M123">
        <v>11901</v>
      </c>
      <c r="N123">
        <v>615457</v>
      </c>
      <c r="O123" s="174">
        <f t="shared" si="12"/>
        <v>0.495</v>
      </c>
      <c r="Q123">
        <v>10736</v>
      </c>
      <c r="R123">
        <v>59358.81</v>
      </c>
      <c r="S123" s="174">
        <f t="shared" si="13"/>
        <v>0.495</v>
      </c>
      <c r="U123">
        <v>30612</v>
      </c>
      <c r="V123">
        <v>122.92</v>
      </c>
      <c r="W123" s="174">
        <f t="shared" si="17"/>
        <v>0.33700000000000002</v>
      </c>
      <c r="Y123">
        <v>20215</v>
      </c>
      <c r="Z123">
        <v>147</v>
      </c>
      <c r="AA123" s="174">
        <f t="shared" si="15"/>
        <v>0.49099999999999999</v>
      </c>
    </row>
    <row r="124" spans="1:27">
      <c r="A124">
        <v>30412</v>
      </c>
      <c r="B124">
        <v>7.33</v>
      </c>
      <c r="C124" s="174">
        <f t="shared" si="9"/>
        <v>0.49099999999999999</v>
      </c>
      <c r="E124">
        <v>20903</v>
      </c>
      <c r="F124">
        <v>2684685.33</v>
      </c>
      <c r="G124" s="172">
        <f t="shared" si="10"/>
        <v>0.49099999999999999</v>
      </c>
      <c r="K124" s="174"/>
      <c r="M124">
        <v>20903</v>
      </c>
      <c r="N124">
        <v>607140.9</v>
      </c>
      <c r="O124" s="174">
        <f t="shared" si="12"/>
        <v>0.49099999999999999</v>
      </c>
      <c r="Q124">
        <v>30421</v>
      </c>
      <c r="R124">
        <v>59346.21</v>
      </c>
      <c r="S124" s="174">
        <f t="shared" si="13"/>
        <v>0.49099999999999999</v>
      </c>
      <c r="U124">
        <v>20210</v>
      </c>
      <c r="V124">
        <v>119.17</v>
      </c>
      <c r="W124" s="174">
        <f t="shared" si="17"/>
        <v>0.33100000000000002</v>
      </c>
      <c r="Y124">
        <v>40113</v>
      </c>
      <c r="Z124">
        <v>147</v>
      </c>
      <c r="AA124" s="174">
        <f t="shared" si="15"/>
        <v>0.49099999999999999</v>
      </c>
    </row>
    <row r="125" spans="1:27">
      <c r="A125">
        <v>10605</v>
      </c>
      <c r="B125">
        <v>7.29</v>
      </c>
      <c r="C125" s="174">
        <f t="shared" si="9"/>
        <v>0.48699999999999999</v>
      </c>
      <c r="E125">
        <v>20911</v>
      </c>
      <c r="F125">
        <v>2656701.15</v>
      </c>
      <c r="G125" s="172">
        <f t="shared" si="10"/>
        <v>0.48699999999999999</v>
      </c>
      <c r="K125" s="174"/>
      <c r="M125">
        <v>40208</v>
      </c>
      <c r="N125">
        <v>606018.82999999996</v>
      </c>
      <c r="O125" s="174">
        <f t="shared" si="12"/>
        <v>0.48699999999999999</v>
      </c>
      <c r="Q125">
        <v>20513</v>
      </c>
      <c r="R125">
        <v>59325.93</v>
      </c>
      <c r="S125" s="174">
        <f t="shared" si="13"/>
        <v>0.48699999999999999</v>
      </c>
      <c r="U125">
        <v>10724</v>
      </c>
      <c r="V125">
        <v>112.91</v>
      </c>
      <c r="W125" s="174">
        <f t="shared" si="17"/>
        <v>0.32500000000000001</v>
      </c>
      <c r="Y125">
        <v>20905</v>
      </c>
      <c r="Z125">
        <v>145.5</v>
      </c>
      <c r="AA125" s="174">
        <f t="shared" si="15"/>
        <v>0.48699999999999999</v>
      </c>
    </row>
    <row r="126" spans="1:27">
      <c r="A126">
        <v>11204</v>
      </c>
      <c r="B126">
        <v>7.17</v>
      </c>
      <c r="C126" s="174">
        <f t="shared" si="9"/>
        <v>0.47799999999999998</v>
      </c>
      <c r="E126">
        <v>11109</v>
      </c>
      <c r="F126">
        <v>2654291.3199999998</v>
      </c>
      <c r="G126" s="172">
        <f t="shared" si="10"/>
        <v>0.48299999999999998</v>
      </c>
      <c r="K126" s="174"/>
      <c r="M126">
        <v>11909</v>
      </c>
      <c r="N126">
        <v>595237.39</v>
      </c>
      <c r="O126" s="174">
        <f t="shared" si="12"/>
        <v>0.48299999999999998</v>
      </c>
      <c r="Q126">
        <v>30618</v>
      </c>
      <c r="R126">
        <v>59123.46</v>
      </c>
      <c r="S126" s="174">
        <f t="shared" si="13"/>
        <v>0.48299999999999998</v>
      </c>
      <c r="U126">
        <v>10118</v>
      </c>
      <c r="V126">
        <v>106.25</v>
      </c>
      <c r="W126" s="174">
        <f t="shared" si="17"/>
        <v>0.32</v>
      </c>
      <c r="Y126">
        <v>11510</v>
      </c>
      <c r="Z126">
        <v>144.5</v>
      </c>
      <c r="AA126" s="174">
        <f t="shared" si="15"/>
        <v>0.48299999999999998</v>
      </c>
    </row>
    <row r="127" spans="1:27">
      <c r="A127">
        <v>40147</v>
      </c>
      <c r="B127">
        <v>7.17</v>
      </c>
      <c r="C127" s="174">
        <f t="shared" si="9"/>
        <v>0.47799999999999998</v>
      </c>
      <c r="E127">
        <v>30615</v>
      </c>
      <c r="F127">
        <v>2652588.44</v>
      </c>
      <c r="G127" s="172">
        <f t="shared" si="10"/>
        <v>0.47799999999999998</v>
      </c>
      <c r="K127" s="174"/>
      <c r="M127">
        <v>11211</v>
      </c>
      <c r="N127">
        <v>591154.30000000005</v>
      </c>
      <c r="O127" s="174">
        <f t="shared" si="12"/>
        <v>0.47799999999999998</v>
      </c>
      <c r="Q127" s="41">
        <v>10518</v>
      </c>
      <c r="R127" s="176">
        <v>58935.57</v>
      </c>
      <c r="S127" s="174">
        <f t="shared" si="13"/>
        <v>0.47799999999999998</v>
      </c>
      <c r="U127">
        <v>20433</v>
      </c>
      <c r="V127">
        <v>105</v>
      </c>
      <c r="W127" s="174">
        <f t="shared" si="17"/>
        <v>0.314</v>
      </c>
      <c r="Y127">
        <v>11210</v>
      </c>
      <c r="Z127">
        <v>142</v>
      </c>
      <c r="AA127" s="174">
        <f t="shared" si="15"/>
        <v>0.46600000000000003</v>
      </c>
    </row>
    <row r="128" spans="1:27">
      <c r="A128">
        <v>10501</v>
      </c>
      <c r="B128">
        <v>7.12</v>
      </c>
      <c r="C128" s="174">
        <f t="shared" si="9"/>
        <v>0.47399999999999998</v>
      </c>
      <c r="E128">
        <v>40120</v>
      </c>
      <c r="F128">
        <v>2640531.66</v>
      </c>
      <c r="G128" s="172">
        <f t="shared" si="10"/>
        <v>0.47399999999999998</v>
      </c>
      <c r="K128" s="174"/>
      <c r="M128">
        <v>11710</v>
      </c>
      <c r="N128">
        <v>590586.07999999996</v>
      </c>
      <c r="O128" s="174">
        <f t="shared" si="12"/>
        <v>0.47399999999999998</v>
      </c>
      <c r="Q128">
        <v>20408</v>
      </c>
      <c r="R128">
        <v>57990.55</v>
      </c>
      <c r="S128" s="174">
        <f t="shared" si="13"/>
        <v>0.47399999999999998</v>
      </c>
      <c r="U128">
        <v>20909</v>
      </c>
      <c r="V128">
        <v>95.41</v>
      </c>
      <c r="W128" s="174">
        <f t="shared" si="17"/>
        <v>0.309</v>
      </c>
      <c r="Y128">
        <v>20908</v>
      </c>
      <c r="Z128">
        <v>142</v>
      </c>
      <c r="AA128" s="174">
        <f t="shared" si="15"/>
        <v>0.46600000000000003</v>
      </c>
    </row>
    <row r="129" spans="1:27">
      <c r="A129">
        <v>10128</v>
      </c>
      <c r="B129">
        <v>7.09</v>
      </c>
      <c r="C129" s="174">
        <f t="shared" si="9"/>
        <v>0.45700000000000002</v>
      </c>
      <c r="E129">
        <v>10714</v>
      </c>
      <c r="F129">
        <v>2625498.14</v>
      </c>
      <c r="G129" s="172">
        <f t="shared" si="10"/>
        <v>0.47</v>
      </c>
      <c r="K129" s="174"/>
      <c r="M129">
        <v>11814</v>
      </c>
      <c r="N129">
        <v>590372.06000000006</v>
      </c>
      <c r="O129" s="174">
        <f t="shared" si="12"/>
        <v>0.47</v>
      </c>
      <c r="Q129">
        <v>11509</v>
      </c>
      <c r="R129">
        <v>57859.35</v>
      </c>
      <c r="S129" s="174">
        <f t="shared" si="13"/>
        <v>0.47</v>
      </c>
      <c r="U129">
        <v>11117</v>
      </c>
      <c r="V129">
        <v>92.08</v>
      </c>
      <c r="W129" s="174">
        <f t="shared" si="17"/>
        <v>0.30299999999999999</v>
      </c>
      <c r="Y129">
        <v>30402</v>
      </c>
      <c r="Z129">
        <v>142</v>
      </c>
      <c r="AA129" s="174">
        <f t="shared" si="15"/>
        <v>0.46600000000000003</v>
      </c>
    </row>
    <row r="130" spans="1:27">
      <c r="A130">
        <v>11509</v>
      </c>
      <c r="B130">
        <v>7.09</v>
      </c>
      <c r="C130" s="174">
        <f t="shared" si="9"/>
        <v>0.45700000000000002</v>
      </c>
      <c r="E130">
        <v>11708</v>
      </c>
      <c r="F130">
        <v>2624579.5</v>
      </c>
      <c r="G130" s="172">
        <f t="shared" si="10"/>
        <v>0.46600000000000003</v>
      </c>
      <c r="K130" s="174"/>
      <c r="M130">
        <v>40213</v>
      </c>
      <c r="N130">
        <v>589590.25</v>
      </c>
      <c r="O130" s="174">
        <f t="shared" si="12"/>
        <v>0.46600000000000003</v>
      </c>
      <c r="Q130">
        <v>30612</v>
      </c>
      <c r="R130">
        <v>57858.74</v>
      </c>
      <c r="S130" s="174">
        <f t="shared" si="13"/>
        <v>0.46600000000000003</v>
      </c>
      <c r="U130">
        <v>30619</v>
      </c>
      <c r="V130">
        <v>91.69</v>
      </c>
      <c r="W130" s="174">
        <f t="shared" si="17"/>
        <v>0.29799999999999999</v>
      </c>
      <c r="Y130">
        <v>30618</v>
      </c>
      <c r="Z130">
        <v>142</v>
      </c>
      <c r="AA130" s="174">
        <f t="shared" si="15"/>
        <v>0.46600000000000003</v>
      </c>
    </row>
    <row r="131" spans="1:27">
      <c r="A131">
        <v>20435</v>
      </c>
      <c r="B131">
        <v>7.09</v>
      </c>
      <c r="C131" s="174">
        <f t="shared" ref="C131:C194" si="18">PERCENTRANK($B$3:$B$241,B131)</f>
        <v>0.45700000000000002</v>
      </c>
      <c r="E131">
        <v>11204</v>
      </c>
      <c r="F131">
        <v>2622241.63</v>
      </c>
      <c r="G131" s="172">
        <f t="shared" ref="G131:G194" si="19">PERCENTRANK($F$3:$F$241,F131)</f>
        <v>0.46200000000000002</v>
      </c>
      <c r="K131" s="174"/>
      <c r="M131">
        <v>30405</v>
      </c>
      <c r="N131">
        <v>588418.56000000006</v>
      </c>
      <c r="O131" s="174">
        <f t="shared" ref="O131:O194" si="20">PERCENTRANK($N$3:$N$241,N131)</f>
        <v>0.46200000000000002</v>
      </c>
      <c r="Q131">
        <v>30607</v>
      </c>
      <c r="R131">
        <v>57625.09</v>
      </c>
      <c r="S131" s="174">
        <f t="shared" ref="S131:S194" si="21">PERCENTRANK($R$3:$R$241,R131)</f>
        <v>0.46200000000000002</v>
      </c>
      <c r="U131">
        <v>20416</v>
      </c>
      <c r="V131">
        <v>90.84</v>
      </c>
      <c r="W131" s="174">
        <f t="shared" ref="W131:W162" si="22">PERCENTRANK($V$3:$V$184,V131)</f>
        <v>0.29199999999999998</v>
      </c>
      <c r="Y131">
        <v>11902</v>
      </c>
      <c r="Z131">
        <v>139.5</v>
      </c>
      <c r="AA131" s="174">
        <f t="shared" ref="AA131:AA194" si="23">PERCENTRANK($Z$3:$Z$241,Z131)</f>
        <v>0.45300000000000001</v>
      </c>
    </row>
    <row r="132" spans="1:27">
      <c r="A132">
        <v>30618</v>
      </c>
      <c r="B132">
        <v>7.09</v>
      </c>
      <c r="C132" s="174">
        <f t="shared" si="18"/>
        <v>0.45700000000000002</v>
      </c>
      <c r="E132">
        <v>11812</v>
      </c>
      <c r="F132">
        <v>2620676.83</v>
      </c>
      <c r="G132" s="172">
        <f t="shared" si="19"/>
        <v>0.45700000000000002</v>
      </c>
      <c r="K132" s="174"/>
      <c r="M132">
        <v>20404</v>
      </c>
      <c r="N132">
        <v>585923.56000000006</v>
      </c>
      <c r="O132" s="174">
        <f t="shared" si="20"/>
        <v>0.45700000000000002</v>
      </c>
      <c r="Q132">
        <v>20205</v>
      </c>
      <c r="R132">
        <v>57545.440000000002</v>
      </c>
      <c r="S132" s="174">
        <f t="shared" si="21"/>
        <v>0.45700000000000002</v>
      </c>
      <c r="U132">
        <v>20513</v>
      </c>
      <c r="V132">
        <v>85.91</v>
      </c>
      <c r="W132" s="174">
        <f t="shared" si="22"/>
        <v>0.28699999999999998</v>
      </c>
      <c r="Y132">
        <v>30607</v>
      </c>
      <c r="Z132">
        <v>139.5</v>
      </c>
      <c r="AA132" s="174">
        <f t="shared" si="23"/>
        <v>0.45300000000000001</v>
      </c>
    </row>
    <row r="133" spans="1:27">
      <c r="A133">
        <v>30607</v>
      </c>
      <c r="B133">
        <v>7.08</v>
      </c>
      <c r="C133" s="174">
        <f t="shared" si="18"/>
        <v>0.45300000000000001</v>
      </c>
      <c r="E133">
        <v>40113</v>
      </c>
      <c r="F133">
        <v>2593232.94</v>
      </c>
      <c r="G133" s="172">
        <f t="shared" si="19"/>
        <v>0.45300000000000001</v>
      </c>
      <c r="K133" s="174"/>
      <c r="M133">
        <v>40133</v>
      </c>
      <c r="N133">
        <v>583518.35</v>
      </c>
      <c r="O133" s="174">
        <f t="shared" si="20"/>
        <v>0.45300000000000001</v>
      </c>
      <c r="Q133">
        <v>40115</v>
      </c>
      <c r="R133">
        <v>56897.440000000002</v>
      </c>
      <c r="S133" s="174">
        <f t="shared" si="21"/>
        <v>0.45300000000000001</v>
      </c>
      <c r="U133">
        <v>10721</v>
      </c>
      <c r="V133">
        <v>83.34</v>
      </c>
      <c r="W133" s="174">
        <f t="shared" si="22"/>
        <v>0.28100000000000003</v>
      </c>
      <c r="Y133">
        <v>40213</v>
      </c>
      <c r="Z133">
        <v>139.5</v>
      </c>
      <c r="AA133" s="174">
        <f t="shared" si="23"/>
        <v>0.45300000000000001</v>
      </c>
    </row>
    <row r="134" spans="1:27">
      <c r="A134">
        <v>20905</v>
      </c>
      <c r="B134">
        <v>7.03</v>
      </c>
      <c r="C134" s="174">
        <f t="shared" si="18"/>
        <v>0.44500000000000001</v>
      </c>
      <c r="E134">
        <v>20431</v>
      </c>
      <c r="F134">
        <v>2571459.2000000002</v>
      </c>
      <c r="G134" s="172">
        <f t="shared" si="19"/>
        <v>0.44900000000000001</v>
      </c>
      <c r="K134" s="174"/>
      <c r="M134">
        <v>11303</v>
      </c>
      <c r="N134">
        <v>581490.06000000006</v>
      </c>
      <c r="O134" s="174">
        <f t="shared" si="20"/>
        <v>0.44900000000000001</v>
      </c>
      <c r="Q134">
        <v>20908</v>
      </c>
      <c r="R134">
        <v>56654.05</v>
      </c>
      <c r="S134" s="174">
        <f t="shared" si="21"/>
        <v>0.44900000000000001</v>
      </c>
      <c r="U134" s="41">
        <v>11306</v>
      </c>
      <c r="V134" s="41">
        <v>81.709999999999994</v>
      </c>
      <c r="W134" s="174">
        <f t="shared" si="22"/>
        <v>0.27600000000000002</v>
      </c>
      <c r="Y134">
        <v>40203</v>
      </c>
      <c r="Z134">
        <v>138</v>
      </c>
      <c r="AA134" s="174">
        <f t="shared" si="23"/>
        <v>0.44900000000000001</v>
      </c>
    </row>
    <row r="135" spans="1:27">
      <c r="A135">
        <v>20907</v>
      </c>
      <c r="B135">
        <v>7.03</v>
      </c>
      <c r="C135" s="174">
        <f t="shared" si="18"/>
        <v>0.44500000000000001</v>
      </c>
      <c r="E135">
        <v>20424</v>
      </c>
      <c r="F135">
        <v>2534598.79</v>
      </c>
      <c r="G135" s="172">
        <f t="shared" si="19"/>
        <v>0.44500000000000001</v>
      </c>
      <c r="K135" s="174"/>
      <c r="M135">
        <v>10743</v>
      </c>
      <c r="N135">
        <v>579915.59</v>
      </c>
      <c r="O135" s="174">
        <f t="shared" si="20"/>
        <v>0.44500000000000001</v>
      </c>
      <c r="Q135">
        <v>30615</v>
      </c>
      <c r="R135">
        <v>56595.23</v>
      </c>
      <c r="S135" s="174">
        <f t="shared" si="21"/>
        <v>0.44500000000000001</v>
      </c>
      <c r="U135">
        <v>30127</v>
      </c>
      <c r="V135">
        <v>76.67</v>
      </c>
      <c r="W135" s="174">
        <f t="shared" si="22"/>
        <v>0.27</v>
      </c>
      <c r="Y135">
        <v>10128</v>
      </c>
      <c r="Z135">
        <v>134.5</v>
      </c>
      <c r="AA135" s="174">
        <f t="shared" si="23"/>
        <v>0.441</v>
      </c>
    </row>
    <row r="136" spans="1:27">
      <c r="A136">
        <v>11606</v>
      </c>
      <c r="B136">
        <v>6.92</v>
      </c>
      <c r="C136" s="174">
        <f t="shared" si="18"/>
        <v>0.441</v>
      </c>
      <c r="E136">
        <v>11613</v>
      </c>
      <c r="F136">
        <v>2525650.65</v>
      </c>
      <c r="G136" s="172">
        <f t="shared" si="19"/>
        <v>0.441</v>
      </c>
      <c r="K136" s="174"/>
      <c r="M136">
        <v>40113</v>
      </c>
      <c r="N136">
        <v>575067.91</v>
      </c>
      <c r="O136" s="174">
        <f t="shared" si="20"/>
        <v>0.441</v>
      </c>
      <c r="Q136">
        <v>40106</v>
      </c>
      <c r="R136">
        <v>56127.81</v>
      </c>
      <c r="S136" s="174">
        <f t="shared" si="21"/>
        <v>0.441</v>
      </c>
      <c r="U136">
        <v>40108</v>
      </c>
      <c r="V136">
        <v>75.48</v>
      </c>
      <c r="W136" s="174">
        <f t="shared" si="22"/>
        <v>0.26500000000000001</v>
      </c>
      <c r="Y136">
        <v>20907</v>
      </c>
      <c r="Z136">
        <v>134.5</v>
      </c>
      <c r="AA136" s="174">
        <f t="shared" si="23"/>
        <v>0.441</v>
      </c>
    </row>
    <row r="137" spans="1:27">
      <c r="A137">
        <v>40113</v>
      </c>
      <c r="B137">
        <v>6.83</v>
      </c>
      <c r="C137" s="174">
        <f t="shared" si="18"/>
        <v>0.436</v>
      </c>
      <c r="E137">
        <v>10702</v>
      </c>
      <c r="F137">
        <v>2517675.16</v>
      </c>
      <c r="G137" s="172">
        <f t="shared" si="19"/>
        <v>0.436</v>
      </c>
      <c r="K137" s="174"/>
      <c r="M137">
        <v>10721</v>
      </c>
      <c r="N137">
        <v>574439.38</v>
      </c>
      <c r="O137" s="174">
        <f t="shared" si="20"/>
        <v>0.436</v>
      </c>
      <c r="Q137">
        <v>11902</v>
      </c>
      <c r="R137">
        <v>55605.57</v>
      </c>
      <c r="S137" s="174">
        <f t="shared" si="21"/>
        <v>0.436</v>
      </c>
      <c r="U137">
        <v>11312</v>
      </c>
      <c r="V137">
        <v>75</v>
      </c>
      <c r="W137" s="174">
        <f t="shared" si="22"/>
        <v>0.25900000000000001</v>
      </c>
      <c r="Y137">
        <v>11616</v>
      </c>
      <c r="Z137">
        <v>133</v>
      </c>
      <c r="AA137" s="174">
        <f t="shared" si="23"/>
        <v>0.42799999999999999</v>
      </c>
    </row>
    <row r="138" spans="1:27">
      <c r="A138">
        <v>10702</v>
      </c>
      <c r="B138">
        <v>6.76</v>
      </c>
      <c r="C138" s="174">
        <f t="shared" si="18"/>
        <v>0.42799999999999999</v>
      </c>
      <c r="E138">
        <v>30619</v>
      </c>
      <c r="F138">
        <v>2517241</v>
      </c>
      <c r="G138" s="172">
        <f t="shared" si="19"/>
        <v>0.432</v>
      </c>
      <c r="K138" s="174"/>
      <c r="M138">
        <v>11307</v>
      </c>
      <c r="N138">
        <v>567325.32999999996</v>
      </c>
      <c r="O138" s="174">
        <f t="shared" si="20"/>
        <v>0.432</v>
      </c>
      <c r="Q138">
        <v>11117</v>
      </c>
      <c r="R138">
        <v>55292.99</v>
      </c>
      <c r="S138" s="174">
        <f t="shared" si="21"/>
        <v>0.432</v>
      </c>
      <c r="U138">
        <v>11303</v>
      </c>
      <c r="V138">
        <v>74.989999999999995</v>
      </c>
      <c r="W138" s="174">
        <f t="shared" si="22"/>
        <v>0.254</v>
      </c>
      <c r="Y138">
        <v>30112</v>
      </c>
      <c r="Z138">
        <v>133</v>
      </c>
      <c r="AA138" s="174">
        <f t="shared" si="23"/>
        <v>0.42799999999999999</v>
      </c>
    </row>
    <row r="139" spans="1:27">
      <c r="A139">
        <v>10714</v>
      </c>
      <c r="B139">
        <v>6.76</v>
      </c>
      <c r="C139" s="174">
        <f t="shared" si="18"/>
        <v>0.42799999999999999</v>
      </c>
      <c r="E139">
        <v>30405</v>
      </c>
      <c r="F139">
        <v>2511011.5</v>
      </c>
      <c r="G139" s="172">
        <f t="shared" si="19"/>
        <v>0.42799999999999999</v>
      </c>
      <c r="K139" s="174"/>
      <c r="M139">
        <v>40212</v>
      </c>
      <c r="N139">
        <v>565543.21</v>
      </c>
      <c r="O139" s="174">
        <f t="shared" si="20"/>
        <v>0.42799999999999999</v>
      </c>
      <c r="Q139">
        <v>11401</v>
      </c>
      <c r="R139">
        <v>54433.83</v>
      </c>
      <c r="S139" s="174">
        <f t="shared" si="21"/>
        <v>0.42799999999999999</v>
      </c>
      <c r="U139">
        <v>10501</v>
      </c>
      <c r="V139">
        <v>71.23</v>
      </c>
      <c r="W139" s="174">
        <f t="shared" si="22"/>
        <v>0.248</v>
      </c>
      <c r="Y139">
        <v>40208</v>
      </c>
      <c r="Z139">
        <v>133</v>
      </c>
      <c r="AA139" s="174">
        <f t="shared" si="23"/>
        <v>0.42799999999999999</v>
      </c>
    </row>
    <row r="140" spans="1:27">
      <c r="A140">
        <v>11811</v>
      </c>
      <c r="B140">
        <v>6.7</v>
      </c>
      <c r="C140" s="174">
        <f t="shared" si="18"/>
        <v>0.42399999999999999</v>
      </c>
      <c r="E140">
        <v>20916</v>
      </c>
      <c r="F140">
        <v>2487654.0099999998</v>
      </c>
      <c r="G140" s="172">
        <f t="shared" si="19"/>
        <v>0.42399999999999999</v>
      </c>
      <c r="K140" s="174"/>
      <c r="M140">
        <v>20215</v>
      </c>
      <c r="N140">
        <v>563020.01</v>
      </c>
      <c r="O140" s="174">
        <f t="shared" si="20"/>
        <v>0.42399999999999999</v>
      </c>
      <c r="Q140">
        <v>20212</v>
      </c>
      <c r="R140">
        <v>54414.33</v>
      </c>
      <c r="S140" s="174">
        <f t="shared" si="21"/>
        <v>0.42399999999999999</v>
      </c>
      <c r="U140">
        <v>11809</v>
      </c>
      <c r="V140">
        <v>69.569999999999993</v>
      </c>
      <c r="W140" s="174">
        <f t="shared" si="22"/>
        <v>0.24299999999999999</v>
      </c>
      <c r="Y140">
        <v>30202</v>
      </c>
      <c r="Z140">
        <v>132.5</v>
      </c>
      <c r="AA140" s="174">
        <f t="shared" si="23"/>
        <v>0.42399999999999999</v>
      </c>
    </row>
    <row r="141" spans="1:27">
      <c r="A141">
        <v>11503</v>
      </c>
      <c r="B141">
        <v>6.68</v>
      </c>
      <c r="C141" s="174">
        <f t="shared" si="18"/>
        <v>0.40699999999999997</v>
      </c>
      <c r="E141">
        <v>20205</v>
      </c>
      <c r="F141">
        <v>2486729.13</v>
      </c>
      <c r="G141" s="172">
        <f t="shared" si="19"/>
        <v>0.42</v>
      </c>
      <c r="K141" s="174"/>
      <c r="M141">
        <v>20503</v>
      </c>
      <c r="N141">
        <v>562599.64</v>
      </c>
      <c r="O141" s="174">
        <f t="shared" si="20"/>
        <v>0.42</v>
      </c>
      <c r="Q141">
        <v>30203</v>
      </c>
      <c r="R141">
        <v>53735.39</v>
      </c>
      <c r="S141" s="174">
        <f t="shared" si="21"/>
        <v>0.42</v>
      </c>
      <c r="U141">
        <v>20511</v>
      </c>
      <c r="V141">
        <v>66.67</v>
      </c>
      <c r="W141" s="174">
        <f t="shared" si="22"/>
        <v>0.23699999999999999</v>
      </c>
      <c r="Y141">
        <v>10501</v>
      </c>
      <c r="Z141">
        <v>132</v>
      </c>
      <c r="AA141" s="174">
        <f t="shared" si="23"/>
        <v>0.40699999999999997</v>
      </c>
    </row>
    <row r="142" spans="1:27">
      <c r="A142">
        <v>11510</v>
      </c>
      <c r="B142">
        <v>6.68</v>
      </c>
      <c r="C142" s="174">
        <f t="shared" si="18"/>
        <v>0.40699999999999997</v>
      </c>
      <c r="E142">
        <v>20503</v>
      </c>
      <c r="F142">
        <v>2460895</v>
      </c>
      <c r="G142" s="172">
        <f t="shared" si="19"/>
        <v>0.41499999999999998</v>
      </c>
      <c r="K142" s="174"/>
      <c r="M142">
        <v>11708</v>
      </c>
      <c r="N142">
        <v>562522.88</v>
      </c>
      <c r="O142" s="174">
        <f t="shared" si="20"/>
        <v>0.41499999999999998</v>
      </c>
      <c r="Q142">
        <v>10526</v>
      </c>
      <c r="R142">
        <v>53677.96</v>
      </c>
      <c r="S142" s="174">
        <f t="shared" si="21"/>
        <v>0.41499999999999998</v>
      </c>
      <c r="U142">
        <v>30202</v>
      </c>
      <c r="V142">
        <v>64.16</v>
      </c>
      <c r="W142" s="174">
        <f t="shared" si="22"/>
        <v>0.23200000000000001</v>
      </c>
      <c r="Y142">
        <v>20212</v>
      </c>
      <c r="Z142">
        <v>132</v>
      </c>
      <c r="AA142" s="174">
        <f t="shared" si="23"/>
        <v>0.40699999999999997</v>
      </c>
    </row>
    <row r="143" spans="1:27">
      <c r="A143">
        <v>11901</v>
      </c>
      <c r="B143">
        <v>6.68</v>
      </c>
      <c r="C143" s="174">
        <f t="shared" si="18"/>
        <v>0.40699999999999997</v>
      </c>
      <c r="E143">
        <v>30616</v>
      </c>
      <c r="F143">
        <v>2441040.0299999998</v>
      </c>
      <c r="G143" s="172">
        <f t="shared" si="19"/>
        <v>0.41099999999999998</v>
      </c>
      <c r="K143" s="174"/>
      <c r="M143">
        <v>20915</v>
      </c>
      <c r="N143">
        <v>562249.97</v>
      </c>
      <c r="O143" s="174">
        <f t="shared" si="20"/>
        <v>0.41099999999999998</v>
      </c>
      <c r="Q143">
        <v>11616</v>
      </c>
      <c r="R143">
        <v>53048.12</v>
      </c>
      <c r="S143" s="174">
        <f t="shared" si="21"/>
        <v>0.41099999999999998</v>
      </c>
      <c r="U143">
        <v>20205</v>
      </c>
      <c r="V143">
        <v>62.97</v>
      </c>
      <c r="W143" s="174">
        <f t="shared" si="22"/>
        <v>0.22600000000000001</v>
      </c>
      <c r="Y143">
        <v>20916</v>
      </c>
      <c r="Z143">
        <v>132</v>
      </c>
      <c r="AA143" s="174">
        <f t="shared" si="23"/>
        <v>0.40699999999999997</v>
      </c>
    </row>
    <row r="144" spans="1:27">
      <c r="A144">
        <v>30405</v>
      </c>
      <c r="B144">
        <v>6.68</v>
      </c>
      <c r="C144" s="174">
        <f t="shared" si="18"/>
        <v>0.40699999999999997</v>
      </c>
      <c r="E144">
        <v>40102</v>
      </c>
      <c r="F144">
        <v>2437962.0299999998</v>
      </c>
      <c r="G144" s="172">
        <f t="shared" si="19"/>
        <v>0.40699999999999997</v>
      </c>
      <c r="K144" s="174"/>
      <c r="M144">
        <v>10738</v>
      </c>
      <c r="N144">
        <v>559991.52</v>
      </c>
      <c r="O144" s="174">
        <f t="shared" si="20"/>
        <v>0.40699999999999997</v>
      </c>
      <c r="Q144">
        <v>20523</v>
      </c>
      <c r="R144">
        <v>52567.9</v>
      </c>
      <c r="S144" s="174">
        <f t="shared" si="21"/>
        <v>0.40699999999999997</v>
      </c>
      <c r="U144">
        <v>11601</v>
      </c>
      <c r="V144">
        <v>62.09</v>
      </c>
      <c r="W144" s="174">
        <f t="shared" si="22"/>
        <v>0.22</v>
      </c>
      <c r="Y144">
        <v>40146</v>
      </c>
      <c r="Z144">
        <v>132</v>
      </c>
      <c r="AA144" s="174">
        <f t="shared" si="23"/>
        <v>0.40699999999999997</v>
      </c>
    </row>
    <row r="145" spans="1:27">
      <c r="A145">
        <v>11307</v>
      </c>
      <c r="B145">
        <v>6.67</v>
      </c>
      <c r="C145" s="174">
        <f t="shared" si="18"/>
        <v>0.40300000000000002</v>
      </c>
      <c r="E145">
        <v>11208</v>
      </c>
      <c r="F145">
        <v>2428940.5099999998</v>
      </c>
      <c r="G145" s="172">
        <f t="shared" si="19"/>
        <v>0.40300000000000002</v>
      </c>
      <c r="K145" s="174"/>
      <c r="M145">
        <v>11214</v>
      </c>
      <c r="N145">
        <v>555600.82999999996</v>
      </c>
      <c r="O145" s="174">
        <f t="shared" si="20"/>
        <v>0.40300000000000002</v>
      </c>
      <c r="Q145">
        <v>20511</v>
      </c>
      <c r="R145">
        <v>51978.48</v>
      </c>
      <c r="S145" s="174">
        <f t="shared" si="21"/>
        <v>0.40300000000000002</v>
      </c>
      <c r="U145">
        <v>30616</v>
      </c>
      <c r="V145">
        <v>58.36</v>
      </c>
      <c r="W145" s="174">
        <f t="shared" si="22"/>
        <v>0.215</v>
      </c>
      <c r="Y145">
        <v>30108</v>
      </c>
      <c r="Z145">
        <v>130.5</v>
      </c>
      <c r="AA145" s="174">
        <f t="shared" si="23"/>
        <v>0.39900000000000002</v>
      </c>
    </row>
    <row r="146" spans="1:27">
      <c r="A146">
        <v>30402</v>
      </c>
      <c r="B146">
        <v>6.62</v>
      </c>
      <c r="C146" s="174">
        <f t="shared" si="18"/>
        <v>0.39400000000000002</v>
      </c>
      <c r="E146">
        <v>20416</v>
      </c>
      <c r="F146">
        <v>2420156.3199999998</v>
      </c>
      <c r="G146" s="172">
        <f t="shared" si="19"/>
        <v>0.39900000000000002</v>
      </c>
      <c r="K146" s="174"/>
      <c r="M146">
        <v>20205</v>
      </c>
      <c r="N146">
        <v>555245.59</v>
      </c>
      <c r="O146" s="174">
        <f t="shared" si="20"/>
        <v>0.39900000000000002</v>
      </c>
      <c r="Q146">
        <v>40118</v>
      </c>
      <c r="R146">
        <v>51808.06</v>
      </c>
      <c r="S146" s="174">
        <f t="shared" si="21"/>
        <v>0.39900000000000002</v>
      </c>
      <c r="U146">
        <v>11510</v>
      </c>
      <c r="V146">
        <v>56.66</v>
      </c>
      <c r="W146" s="174">
        <f t="shared" si="22"/>
        <v>0.20899999999999999</v>
      </c>
      <c r="Y146">
        <v>40133</v>
      </c>
      <c r="Z146">
        <v>130.5</v>
      </c>
      <c r="AA146" s="174">
        <f t="shared" si="23"/>
        <v>0.39900000000000002</v>
      </c>
    </row>
    <row r="147" spans="1:27">
      <c r="A147">
        <v>40114</v>
      </c>
      <c r="B147">
        <v>6.62</v>
      </c>
      <c r="C147" s="174">
        <f t="shared" si="18"/>
        <v>0.39400000000000002</v>
      </c>
      <c r="E147">
        <v>10118</v>
      </c>
      <c r="F147">
        <v>2407328.27</v>
      </c>
      <c r="G147" s="172">
        <f t="shared" si="19"/>
        <v>0.39400000000000002</v>
      </c>
      <c r="K147" s="174"/>
      <c r="M147">
        <v>40112</v>
      </c>
      <c r="N147">
        <v>554525.48</v>
      </c>
      <c r="O147" s="174">
        <f t="shared" si="20"/>
        <v>0.39400000000000002</v>
      </c>
      <c r="Q147">
        <v>11304</v>
      </c>
      <c r="R147">
        <v>51564.1</v>
      </c>
      <c r="S147" s="174">
        <f t="shared" si="21"/>
        <v>0.39400000000000002</v>
      </c>
      <c r="U147">
        <v>30203</v>
      </c>
      <c r="V147">
        <v>51.67</v>
      </c>
      <c r="W147" s="174">
        <f t="shared" si="22"/>
        <v>0.20399999999999999</v>
      </c>
      <c r="Y147">
        <v>11303</v>
      </c>
      <c r="Z147">
        <v>129.5</v>
      </c>
      <c r="AA147" s="174">
        <f t="shared" si="23"/>
        <v>0.39</v>
      </c>
    </row>
    <row r="148" spans="1:27">
      <c r="A148">
        <v>11415</v>
      </c>
      <c r="B148">
        <v>6.51</v>
      </c>
      <c r="C148" s="174">
        <f t="shared" si="18"/>
        <v>0.36899999999999999</v>
      </c>
      <c r="E148">
        <v>20912</v>
      </c>
      <c r="F148">
        <v>2387760.7200000002</v>
      </c>
      <c r="G148" s="172">
        <f t="shared" si="19"/>
        <v>0.39</v>
      </c>
      <c r="K148" s="174"/>
      <c r="M148">
        <v>10140</v>
      </c>
      <c r="N148">
        <v>549011.63</v>
      </c>
      <c r="O148" s="174">
        <f t="shared" si="20"/>
        <v>0.39</v>
      </c>
      <c r="Q148">
        <v>40147</v>
      </c>
      <c r="R148">
        <v>51306.15</v>
      </c>
      <c r="S148" s="174">
        <f t="shared" si="21"/>
        <v>0.39</v>
      </c>
      <c r="U148">
        <v>10504</v>
      </c>
      <c r="V148">
        <v>50.42</v>
      </c>
      <c r="W148" s="174">
        <f t="shared" si="22"/>
        <v>0.19800000000000001</v>
      </c>
      <c r="Y148">
        <v>30405</v>
      </c>
      <c r="Z148">
        <v>129.5</v>
      </c>
      <c r="AA148" s="174">
        <f t="shared" si="23"/>
        <v>0.39</v>
      </c>
    </row>
    <row r="149" spans="1:27">
      <c r="A149">
        <v>20205</v>
      </c>
      <c r="B149">
        <v>6.51</v>
      </c>
      <c r="C149" s="174">
        <f t="shared" si="18"/>
        <v>0.36899999999999999</v>
      </c>
      <c r="E149">
        <v>20408</v>
      </c>
      <c r="F149">
        <v>2380444.7400000002</v>
      </c>
      <c r="G149" s="172">
        <f t="shared" si="19"/>
        <v>0.38600000000000001</v>
      </c>
      <c r="K149" s="174"/>
      <c r="M149">
        <v>11311</v>
      </c>
      <c r="N149">
        <v>548730.48</v>
      </c>
      <c r="O149" s="174">
        <f t="shared" si="20"/>
        <v>0.38600000000000001</v>
      </c>
      <c r="Q149">
        <v>20424</v>
      </c>
      <c r="R149">
        <v>50788.37</v>
      </c>
      <c r="S149" s="174">
        <f t="shared" si="21"/>
        <v>0.38600000000000001</v>
      </c>
      <c r="U149">
        <v>30615</v>
      </c>
      <c r="V149">
        <v>49.99</v>
      </c>
      <c r="W149" s="174">
        <f t="shared" si="22"/>
        <v>0.193</v>
      </c>
      <c r="Y149">
        <v>30203</v>
      </c>
      <c r="Z149">
        <v>128</v>
      </c>
      <c r="AA149" s="174">
        <f t="shared" si="23"/>
        <v>0.38200000000000001</v>
      </c>
    </row>
    <row r="150" spans="1:27">
      <c r="A150">
        <v>20215</v>
      </c>
      <c r="B150">
        <v>6.51</v>
      </c>
      <c r="C150" s="174">
        <f t="shared" si="18"/>
        <v>0.36899999999999999</v>
      </c>
      <c r="E150">
        <v>11904</v>
      </c>
      <c r="F150">
        <v>2378248.48</v>
      </c>
      <c r="G150" s="172">
        <f t="shared" si="19"/>
        <v>0.38200000000000001</v>
      </c>
      <c r="K150" s="174"/>
      <c r="M150">
        <v>10137</v>
      </c>
      <c r="N150">
        <v>544048.53</v>
      </c>
      <c r="O150" s="174">
        <f t="shared" si="20"/>
        <v>0.38200000000000001</v>
      </c>
      <c r="Q150">
        <v>40209</v>
      </c>
      <c r="R150">
        <v>50365.07</v>
      </c>
      <c r="S150" s="174">
        <f t="shared" si="21"/>
        <v>0.38200000000000001</v>
      </c>
      <c r="U150" s="41">
        <v>10711</v>
      </c>
      <c r="V150" s="41">
        <v>46.66</v>
      </c>
      <c r="W150" s="174">
        <f t="shared" si="22"/>
        <v>0.187</v>
      </c>
      <c r="Y150">
        <v>40126</v>
      </c>
      <c r="Z150">
        <v>128</v>
      </c>
      <c r="AA150" s="174">
        <f t="shared" si="23"/>
        <v>0.38200000000000001</v>
      </c>
    </row>
    <row r="151" spans="1:27">
      <c r="A151">
        <v>20541</v>
      </c>
      <c r="B151">
        <v>6.51</v>
      </c>
      <c r="C151" s="174">
        <f t="shared" si="18"/>
        <v>0.36899999999999999</v>
      </c>
      <c r="E151">
        <v>11710</v>
      </c>
      <c r="F151">
        <v>2368023.84</v>
      </c>
      <c r="G151" s="172">
        <f t="shared" si="19"/>
        <v>0.378</v>
      </c>
      <c r="K151" s="174"/>
      <c r="M151">
        <v>10501</v>
      </c>
      <c r="N151">
        <v>543814.36</v>
      </c>
      <c r="O151" s="174">
        <f t="shared" si="20"/>
        <v>0.378</v>
      </c>
      <c r="Q151">
        <v>11312</v>
      </c>
      <c r="R151">
        <v>50310.3</v>
      </c>
      <c r="S151" s="174">
        <f t="shared" si="21"/>
        <v>0.378</v>
      </c>
      <c r="U151">
        <v>40133</v>
      </c>
      <c r="V151">
        <v>45.55</v>
      </c>
      <c r="W151" s="174">
        <f t="shared" si="22"/>
        <v>0.182</v>
      </c>
      <c r="Y151">
        <v>10702</v>
      </c>
      <c r="Z151">
        <v>127</v>
      </c>
      <c r="AA151" s="174">
        <f t="shared" si="23"/>
        <v>0.373</v>
      </c>
    </row>
    <row r="152" spans="1:27">
      <c r="A152">
        <v>20916</v>
      </c>
      <c r="B152">
        <v>6.51</v>
      </c>
      <c r="C152" s="174">
        <f t="shared" si="18"/>
        <v>0.36899999999999999</v>
      </c>
      <c r="E152">
        <v>10516</v>
      </c>
      <c r="F152">
        <v>2332057.48</v>
      </c>
      <c r="G152" s="172">
        <f t="shared" si="19"/>
        <v>0.373</v>
      </c>
      <c r="K152" s="174"/>
      <c r="M152">
        <v>10128</v>
      </c>
      <c r="N152">
        <v>541622.80000000005</v>
      </c>
      <c r="O152" s="174">
        <f t="shared" si="20"/>
        <v>0.373</v>
      </c>
      <c r="Q152">
        <v>10738</v>
      </c>
      <c r="R152">
        <v>49618.03</v>
      </c>
      <c r="S152" s="174">
        <f t="shared" si="21"/>
        <v>0.373</v>
      </c>
      <c r="U152">
        <v>11705</v>
      </c>
      <c r="V152">
        <v>45.41</v>
      </c>
      <c r="W152" s="174">
        <f t="shared" si="22"/>
        <v>0.17599999999999999</v>
      </c>
      <c r="Y152">
        <v>20424</v>
      </c>
      <c r="Z152">
        <v>127</v>
      </c>
      <c r="AA152" s="174">
        <f t="shared" si="23"/>
        <v>0.373</v>
      </c>
    </row>
    <row r="153" spans="1:27">
      <c r="A153">
        <v>40126</v>
      </c>
      <c r="B153">
        <v>6.51</v>
      </c>
      <c r="C153" s="174">
        <f t="shared" si="18"/>
        <v>0.36899999999999999</v>
      </c>
      <c r="E153">
        <v>40212</v>
      </c>
      <c r="F153">
        <v>2323740.88</v>
      </c>
      <c r="G153" s="172">
        <f t="shared" si="19"/>
        <v>0.36899999999999999</v>
      </c>
      <c r="K153" s="174"/>
      <c r="M153">
        <v>20902</v>
      </c>
      <c r="N153">
        <v>539573.43000000005</v>
      </c>
      <c r="O153" s="174">
        <f t="shared" si="20"/>
        <v>0.36899999999999999</v>
      </c>
      <c r="Q153">
        <v>11303</v>
      </c>
      <c r="R153">
        <v>48752.14</v>
      </c>
      <c r="S153" s="174">
        <f t="shared" si="21"/>
        <v>0.36899999999999999</v>
      </c>
      <c r="U153">
        <v>30108</v>
      </c>
      <c r="V153">
        <v>44.18</v>
      </c>
      <c r="W153" s="174">
        <f t="shared" si="22"/>
        <v>0.17100000000000001</v>
      </c>
      <c r="Y153">
        <v>11613</v>
      </c>
      <c r="Z153">
        <v>124.5</v>
      </c>
      <c r="AA153" s="174">
        <f t="shared" si="23"/>
        <v>0.36499999999999999</v>
      </c>
    </row>
    <row r="154" spans="1:27">
      <c r="A154">
        <v>40122</v>
      </c>
      <c r="B154">
        <v>6.48</v>
      </c>
      <c r="C154" s="174">
        <f t="shared" si="18"/>
        <v>0.36499999999999999</v>
      </c>
      <c r="E154">
        <v>11312</v>
      </c>
      <c r="F154">
        <v>2320879.77</v>
      </c>
      <c r="G154" s="172">
        <f t="shared" si="19"/>
        <v>0.36499999999999999</v>
      </c>
      <c r="K154" s="174"/>
      <c r="M154">
        <v>11212</v>
      </c>
      <c r="N154">
        <v>527746.89</v>
      </c>
      <c r="O154" s="174">
        <f t="shared" si="20"/>
        <v>0.36499999999999999</v>
      </c>
      <c r="Q154">
        <v>30412</v>
      </c>
      <c r="R154">
        <v>48545.31</v>
      </c>
      <c r="S154" s="174">
        <f t="shared" si="21"/>
        <v>0.36499999999999999</v>
      </c>
      <c r="U154">
        <v>30121</v>
      </c>
      <c r="V154">
        <v>42.5</v>
      </c>
      <c r="W154" s="174">
        <f t="shared" si="22"/>
        <v>0.16500000000000001</v>
      </c>
      <c r="Y154">
        <v>11710</v>
      </c>
      <c r="Z154">
        <v>124.5</v>
      </c>
      <c r="AA154" s="174">
        <f t="shared" si="23"/>
        <v>0.36499999999999999</v>
      </c>
    </row>
    <row r="155" spans="1:27">
      <c r="A155">
        <v>40207</v>
      </c>
      <c r="B155">
        <v>6.42</v>
      </c>
      <c r="C155" s="174">
        <f t="shared" si="18"/>
        <v>0.36099999999999999</v>
      </c>
      <c r="E155">
        <v>10501</v>
      </c>
      <c r="F155">
        <v>2318360.79</v>
      </c>
      <c r="G155" s="172">
        <f t="shared" si="19"/>
        <v>0.36099999999999999</v>
      </c>
      <c r="K155" s="174"/>
      <c r="M155">
        <v>20424</v>
      </c>
      <c r="N155">
        <v>524491.13</v>
      </c>
      <c r="O155" s="174">
        <f t="shared" si="20"/>
        <v>0.36099999999999999</v>
      </c>
      <c r="Q155">
        <v>11307</v>
      </c>
      <c r="R155">
        <v>48339.12</v>
      </c>
      <c r="S155" s="174">
        <f t="shared" si="21"/>
        <v>0.36099999999999999</v>
      </c>
      <c r="U155">
        <v>20214</v>
      </c>
      <c r="V155">
        <v>39.159999999999997</v>
      </c>
      <c r="W155" s="174">
        <f t="shared" si="22"/>
        <v>0.16</v>
      </c>
      <c r="Y155">
        <v>10137</v>
      </c>
      <c r="Z155">
        <v>123</v>
      </c>
      <c r="AA155" s="174">
        <f t="shared" si="23"/>
        <v>0.35199999999999998</v>
      </c>
    </row>
    <row r="156" spans="1:27">
      <c r="A156">
        <v>40208</v>
      </c>
      <c r="B156">
        <v>6.33</v>
      </c>
      <c r="C156" s="174">
        <f t="shared" si="18"/>
        <v>0.35199999999999998</v>
      </c>
      <c r="E156" s="41">
        <v>10128</v>
      </c>
      <c r="F156" s="176">
        <v>2306903.23</v>
      </c>
      <c r="G156" s="172">
        <f t="shared" si="19"/>
        <v>0.35699999999999998</v>
      </c>
      <c r="K156" s="174"/>
      <c r="M156">
        <v>40203</v>
      </c>
      <c r="N156">
        <v>523160.95</v>
      </c>
      <c r="O156" s="174">
        <f t="shared" si="20"/>
        <v>0.35699999999999998</v>
      </c>
      <c r="Q156">
        <v>10721</v>
      </c>
      <c r="R156">
        <v>48295.77</v>
      </c>
      <c r="S156" s="174">
        <f t="shared" si="21"/>
        <v>0.35699999999999998</v>
      </c>
      <c r="U156">
        <v>11708</v>
      </c>
      <c r="V156">
        <v>35.44</v>
      </c>
      <c r="W156" s="174">
        <f t="shared" si="22"/>
        <v>0.154</v>
      </c>
      <c r="Y156">
        <v>20523</v>
      </c>
      <c r="Z156">
        <v>123</v>
      </c>
      <c r="AA156" s="174">
        <f t="shared" si="23"/>
        <v>0.35199999999999998</v>
      </c>
    </row>
    <row r="157" spans="1:27">
      <c r="A157">
        <v>40209</v>
      </c>
      <c r="B157">
        <v>6.33</v>
      </c>
      <c r="C157" s="174">
        <f t="shared" si="18"/>
        <v>0.35199999999999998</v>
      </c>
      <c r="E157">
        <v>11116</v>
      </c>
      <c r="F157">
        <v>2276715.86</v>
      </c>
      <c r="G157" s="172">
        <f t="shared" si="19"/>
        <v>0.35199999999999998</v>
      </c>
      <c r="K157" s="174"/>
      <c r="M157">
        <v>11902</v>
      </c>
      <c r="N157">
        <v>522925.6</v>
      </c>
      <c r="O157" s="174">
        <f t="shared" si="20"/>
        <v>0.35199999999999998</v>
      </c>
      <c r="Q157">
        <v>30104</v>
      </c>
      <c r="R157">
        <v>48062.5</v>
      </c>
      <c r="S157" s="174">
        <f t="shared" si="21"/>
        <v>0.35199999999999998</v>
      </c>
      <c r="U157">
        <v>10103</v>
      </c>
      <c r="V157">
        <v>34.17</v>
      </c>
      <c r="W157" s="174">
        <f t="shared" si="22"/>
        <v>0.14899999999999999</v>
      </c>
      <c r="Y157">
        <v>20915</v>
      </c>
      <c r="Z157">
        <v>123</v>
      </c>
      <c r="AA157" s="174">
        <f t="shared" si="23"/>
        <v>0.35199999999999998</v>
      </c>
    </row>
    <row r="158" spans="1:27">
      <c r="A158">
        <v>10736</v>
      </c>
      <c r="B158">
        <v>6.26</v>
      </c>
      <c r="C158" s="174">
        <f t="shared" si="18"/>
        <v>0.32700000000000001</v>
      </c>
      <c r="E158">
        <v>11911</v>
      </c>
      <c r="F158">
        <v>2276584.9500000002</v>
      </c>
      <c r="G158" s="172">
        <f t="shared" si="19"/>
        <v>0.34799999999999998</v>
      </c>
      <c r="K158" s="174"/>
      <c r="M158">
        <v>11306</v>
      </c>
      <c r="N158">
        <v>522117.27</v>
      </c>
      <c r="O158" s="174">
        <f t="shared" si="20"/>
        <v>0.34799999999999998</v>
      </c>
      <c r="Q158">
        <v>10702</v>
      </c>
      <c r="R158">
        <v>47980.52</v>
      </c>
      <c r="S158" s="174">
        <f t="shared" si="21"/>
        <v>0.34799999999999998</v>
      </c>
      <c r="U158">
        <v>10741</v>
      </c>
      <c r="V158">
        <v>32.49</v>
      </c>
      <c r="W158" s="174">
        <f t="shared" si="22"/>
        <v>0.14299999999999999</v>
      </c>
      <c r="Y158">
        <v>11204</v>
      </c>
      <c r="Z158">
        <v>122</v>
      </c>
      <c r="AA158" s="174">
        <f t="shared" si="23"/>
        <v>0.34399999999999997</v>
      </c>
    </row>
    <row r="159" spans="1:27">
      <c r="A159">
        <v>11303</v>
      </c>
      <c r="B159">
        <v>6.26</v>
      </c>
      <c r="C159" s="174">
        <f t="shared" si="18"/>
        <v>0.32700000000000001</v>
      </c>
      <c r="E159">
        <v>40117</v>
      </c>
      <c r="F159">
        <v>2274053.23</v>
      </c>
      <c r="G159" s="172">
        <f t="shared" si="19"/>
        <v>0.34399999999999997</v>
      </c>
      <c r="K159" s="174"/>
      <c r="M159">
        <v>20212</v>
      </c>
      <c r="N159">
        <v>515595.95</v>
      </c>
      <c r="O159" s="174">
        <f t="shared" si="20"/>
        <v>0.34399999999999997</v>
      </c>
      <c r="Q159">
        <v>10711</v>
      </c>
      <c r="R159">
        <v>47695.86</v>
      </c>
      <c r="S159" s="174">
        <f t="shared" si="21"/>
        <v>0.34399999999999997</v>
      </c>
      <c r="U159">
        <v>10605</v>
      </c>
      <c r="V159">
        <v>30.02</v>
      </c>
      <c r="W159" s="174">
        <f t="shared" si="22"/>
        <v>0.13800000000000001</v>
      </c>
      <c r="Y159">
        <v>30614</v>
      </c>
      <c r="Z159">
        <v>122</v>
      </c>
      <c r="AA159" s="174">
        <f t="shared" si="23"/>
        <v>0.34399999999999997</v>
      </c>
    </row>
    <row r="160" spans="1:27">
      <c r="A160">
        <v>11311</v>
      </c>
      <c r="B160">
        <v>6.26</v>
      </c>
      <c r="C160" s="174">
        <f t="shared" si="18"/>
        <v>0.32700000000000001</v>
      </c>
      <c r="E160">
        <v>40203</v>
      </c>
      <c r="F160">
        <v>2273419</v>
      </c>
      <c r="G160" s="172">
        <f t="shared" si="19"/>
        <v>0.34</v>
      </c>
      <c r="K160" s="174"/>
      <c r="M160">
        <v>30618</v>
      </c>
      <c r="N160">
        <v>512308.25</v>
      </c>
      <c r="O160" s="174">
        <f t="shared" si="20"/>
        <v>0.34</v>
      </c>
      <c r="Q160">
        <v>11503</v>
      </c>
      <c r="R160">
        <v>47525.59</v>
      </c>
      <c r="S160" s="174">
        <f t="shared" si="21"/>
        <v>0.34</v>
      </c>
      <c r="U160">
        <v>20418</v>
      </c>
      <c r="V160">
        <v>30</v>
      </c>
      <c r="W160" s="174">
        <f t="shared" si="22"/>
        <v>0.127</v>
      </c>
      <c r="Y160">
        <v>11606</v>
      </c>
      <c r="Z160">
        <v>120.5</v>
      </c>
      <c r="AA160" s="174">
        <f t="shared" si="23"/>
        <v>0.32700000000000001</v>
      </c>
    </row>
    <row r="161" spans="1:27">
      <c r="A161">
        <v>20523</v>
      </c>
      <c r="B161">
        <v>6.26</v>
      </c>
      <c r="C161" s="174">
        <f t="shared" si="18"/>
        <v>0.32700000000000001</v>
      </c>
      <c r="E161">
        <v>30108</v>
      </c>
      <c r="F161">
        <v>2273258.42</v>
      </c>
      <c r="G161" s="172">
        <f t="shared" si="19"/>
        <v>0.33600000000000002</v>
      </c>
      <c r="K161" s="174"/>
      <c r="M161">
        <v>40209</v>
      </c>
      <c r="N161">
        <v>510513.65</v>
      </c>
      <c r="O161" s="174">
        <f t="shared" si="20"/>
        <v>0.33600000000000002</v>
      </c>
      <c r="Q161">
        <v>10743</v>
      </c>
      <c r="R161">
        <v>46667.65</v>
      </c>
      <c r="S161" s="174">
        <f t="shared" si="21"/>
        <v>0.33600000000000002</v>
      </c>
      <c r="U161">
        <v>20520</v>
      </c>
      <c r="V161">
        <v>30</v>
      </c>
      <c r="W161" s="174">
        <f t="shared" si="22"/>
        <v>0.127</v>
      </c>
      <c r="Y161">
        <v>30104</v>
      </c>
      <c r="Z161">
        <v>120.5</v>
      </c>
      <c r="AA161" s="174">
        <f t="shared" si="23"/>
        <v>0.32700000000000001</v>
      </c>
    </row>
    <row r="162" spans="1:27">
      <c r="A162">
        <v>30614</v>
      </c>
      <c r="B162">
        <v>6.26</v>
      </c>
      <c r="C162" s="174">
        <f t="shared" si="18"/>
        <v>0.32700000000000001</v>
      </c>
      <c r="E162">
        <v>11212</v>
      </c>
      <c r="F162">
        <v>2266316.15</v>
      </c>
      <c r="G162" s="172">
        <f t="shared" si="19"/>
        <v>0.33100000000000002</v>
      </c>
      <c r="K162" s="174"/>
      <c r="M162">
        <v>20435</v>
      </c>
      <c r="N162">
        <v>510353.98</v>
      </c>
      <c r="O162" s="174">
        <f t="shared" si="20"/>
        <v>0.33100000000000002</v>
      </c>
      <c r="Q162">
        <v>20526</v>
      </c>
      <c r="R162">
        <v>46635.59</v>
      </c>
      <c r="S162" s="174">
        <f t="shared" si="21"/>
        <v>0.33100000000000002</v>
      </c>
      <c r="U162">
        <v>11404</v>
      </c>
      <c r="V162">
        <v>29.57</v>
      </c>
      <c r="W162" s="174">
        <f t="shared" si="22"/>
        <v>0.121</v>
      </c>
      <c r="Y162">
        <v>40202</v>
      </c>
      <c r="Z162">
        <v>120.5</v>
      </c>
      <c r="AA162" s="174">
        <f t="shared" si="23"/>
        <v>0.32700000000000001</v>
      </c>
    </row>
    <row r="163" spans="1:27">
      <c r="A163">
        <v>40103</v>
      </c>
      <c r="B163">
        <v>6.26</v>
      </c>
      <c r="C163" s="174">
        <f t="shared" si="18"/>
        <v>0.32700000000000001</v>
      </c>
      <c r="E163">
        <v>20523</v>
      </c>
      <c r="F163">
        <v>2249718.63</v>
      </c>
      <c r="G163" s="172">
        <f t="shared" si="19"/>
        <v>0.32700000000000001</v>
      </c>
      <c r="K163" s="174"/>
      <c r="M163">
        <v>10736</v>
      </c>
      <c r="N163">
        <v>510345.38</v>
      </c>
      <c r="O163" s="174">
        <f t="shared" si="20"/>
        <v>0.32700000000000001</v>
      </c>
      <c r="Q163">
        <v>30616</v>
      </c>
      <c r="R163">
        <v>46287.8</v>
      </c>
      <c r="S163" s="174">
        <f t="shared" si="21"/>
        <v>0.32700000000000001</v>
      </c>
      <c r="U163">
        <v>11611</v>
      </c>
      <c r="V163">
        <v>27.93</v>
      </c>
      <c r="W163" s="174">
        <f t="shared" ref="W163:W184" si="24">PERCENTRANK($V$3:$V$184,V163)</f>
        <v>0.11600000000000001</v>
      </c>
      <c r="Y163">
        <v>40209</v>
      </c>
      <c r="Z163">
        <v>120.5</v>
      </c>
      <c r="AA163" s="174">
        <f t="shared" si="23"/>
        <v>0.32700000000000001</v>
      </c>
    </row>
    <row r="164" spans="1:27">
      <c r="A164">
        <v>11904</v>
      </c>
      <c r="B164">
        <v>6.21</v>
      </c>
      <c r="C164" s="174">
        <f t="shared" si="18"/>
        <v>0.315</v>
      </c>
      <c r="E164">
        <v>11403</v>
      </c>
      <c r="F164">
        <v>2245754.73</v>
      </c>
      <c r="G164" s="172">
        <f t="shared" si="19"/>
        <v>0.32300000000000001</v>
      </c>
      <c r="K164" s="174"/>
      <c r="M164">
        <v>20916</v>
      </c>
      <c r="N164">
        <v>508001.9</v>
      </c>
      <c r="O164" s="174">
        <f t="shared" si="20"/>
        <v>0.32300000000000001</v>
      </c>
      <c r="Q164">
        <v>11814</v>
      </c>
      <c r="R164">
        <v>46025.5</v>
      </c>
      <c r="S164" s="174">
        <f t="shared" si="21"/>
        <v>0.32300000000000001</v>
      </c>
      <c r="U164">
        <v>20435</v>
      </c>
      <c r="V164">
        <v>25.42</v>
      </c>
      <c r="W164" s="174">
        <f t="shared" si="24"/>
        <v>0.11</v>
      </c>
      <c r="Y164">
        <v>11117</v>
      </c>
      <c r="Z164">
        <v>119.5</v>
      </c>
      <c r="AA164" s="174">
        <f t="shared" si="23"/>
        <v>0.31900000000000001</v>
      </c>
    </row>
    <row r="165" spans="1:27">
      <c r="A165">
        <v>20906</v>
      </c>
      <c r="B165">
        <v>6.21</v>
      </c>
      <c r="C165" s="174">
        <f t="shared" si="18"/>
        <v>0.315</v>
      </c>
      <c r="E165">
        <v>11609</v>
      </c>
      <c r="F165">
        <v>2241260.04</v>
      </c>
      <c r="G165" s="172">
        <f t="shared" si="19"/>
        <v>0.31900000000000001</v>
      </c>
      <c r="K165" s="174"/>
      <c r="M165">
        <v>40119</v>
      </c>
      <c r="N165">
        <v>507411.76</v>
      </c>
      <c r="O165" s="174">
        <f t="shared" si="20"/>
        <v>0.31900000000000001</v>
      </c>
      <c r="Q165">
        <v>20905</v>
      </c>
      <c r="R165">
        <v>45943.68</v>
      </c>
      <c r="S165" s="174">
        <f t="shared" si="21"/>
        <v>0.31900000000000001</v>
      </c>
      <c r="U165">
        <v>10526</v>
      </c>
      <c r="V165">
        <v>25.01</v>
      </c>
      <c r="W165" s="174">
        <f t="shared" si="24"/>
        <v>0.104</v>
      </c>
      <c r="Y165">
        <v>20911</v>
      </c>
      <c r="Z165">
        <v>119.5</v>
      </c>
      <c r="AA165" s="174">
        <f t="shared" si="23"/>
        <v>0.31900000000000001</v>
      </c>
    </row>
    <row r="166" spans="1:27">
      <c r="A166">
        <v>40106</v>
      </c>
      <c r="B166">
        <v>6.21</v>
      </c>
      <c r="C166" s="174">
        <f t="shared" si="18"/>
        <v>0.315</v>
      </c>
      <c r="E166">
        <v>20514</v>
      </c>
      <c r="F166">
        <v>2216521.59</v>
      </c>
      <c r="G166" s="172">
        <f t="shared" si="19"/>
        <v>0.315</v>
      </c>
      <c r="K166" s="174"/>
      <c r="M166">
        <v>10711</v>
      </c>
      <c r="N166">
        <v>501950.12</v>
      </c>
      <c r="O166" s="174">
        <f t="shared" si="20"/>
        <v>0.315</v>
      </c>
      <c r="Q166">
        <v>40203</v>
      </c>
      <c r="R166">
        <v>45908.56</v>
      </c>
      <c r="S166" s="174">
        <f t="shared" si="21"/>
        <v>0.315</v>
      </c>
      <c r="U166">
        <v>20431</v>
      </c>
      <c r="V166">
        <v>25</v>
      </c>
      <c r="W166" s="174">
        <f t="shared" si="24"/>
        <v>9.9000000000000005E-2</v>
      </c>
      <c r="Y166">
        <v>11415</v>
      </c>
      <c r="Z166">
        <v>118</v>
      </c>
      <c r="AA166" s="174">
        <f t="shared" si="23"/>
        <v>0.31</v>
      </c>
    </row>
    <row r="167" spans="1:27">
      <c r="A167">
        <v>11406</v>
      </c>
      <c r="B167">
        <v>6.1</v>
      </c>
      <c r="C167" s="174">
        <f t="shared" si="18"/>
        <v>0.31</v>
      </c>
      <c r="E167">
        <v>11413</v>
      </c>
      <c r="F167">
        <v>2215016.2599999998</v>
      </c>
      <c r="G167" s="172">
        <f t="shared" si="19"/>
        <v>0.31</v>
      </c>
      <c r="K167" s="174"/>
      <c r="M167">
        <v>30616</v>
      </c>
      <c r="N167">
        <v>499604.74</v>
      </c>
      <c r="O167" s="174">
        <f t="shared" si="20"/>
        <v>0.31</v>
      </c>
      <c r="Q167">
        <v>11606</v>
      </c>
      <c r="R167">
        <v>45731.44</v>
      </c>
      <c r="S167" s="174">
        <f t="shared" si="21"/>
        <v>0.31</v>
      </c>
      <c r="U167">
        <v>40112</v>
      </c>
      <c r="V167">
        <v>24.28</v>
      </c>
      <c r="W167" s="174">
        <f t="shared" si="24"/>
        <v>9.2999999999999999E-2</v>
      </c>
      <c r="Y167">
        <v>20541</v>
      </c>
      <c r="Z167">
        <v>118</v>
      </c>
      <c r="AA167" s="174">
        <f t="shared" si="23"/>
        <v>0.31</v>
      </c>
    </row>
    <row r="168" spans="1:27">
      <c r="A168">
        <v>11618</v>
      </c>
      <c r="B168">
        <v>6.09</v>
      </c>
      <c r="C168" s="174">
        <f t="shared" si="18"/>
        <v>0.30199999999999999</v>
      </c>
      <c r="E168">
        <v>11415</v>
      </c>
      <c r="F168">
        <v>2213198.0299999998</v>
      </c>
      <c r="G168" s="172">
        <f t="shared" si="19"/>
        <v>0.30599999999999999</v>
      </c>
      <c r="K168" s="174"/>
      <c r="M168">
        <v>30202</v>
      </c>
      <c r="N168">
        <v>493997.69</v>
      </c>
      <c r="O168" s="174">
        <f t="shared" si="20"/>
        <v>0.30599999999999999</v>
      </c>
      <c r="Q168">
        <v>11306</v>
      </c>
      <c r="R168">
        <v>45633.24</v>
      </c>
      <c r="S168" s="174">
        <f t="shared" si="21"/>
        <v>0.30599999999999999</v>
      </c>
      <c r="U168">
        <v>10138</v>
      </c>
      <c r="V168">
        <v>23.75</v>
      </c>
      <c r="W168" s="174">
        <f t="shared" si="24"/>
        <v>8.7999999999999995E-2</v>
      </c>
      <c r="Y168">
        <v>11812</v>
      </c>
      <c r="Z168">
        <v>117</v>
      </c>
      <c r="AA168" s="174">
        <f t="shared" si="23"/>
        <v>0.30199999999999999</v>
      </c>
    </row>
    <row r="169" spans="1:27">
      <c r="A169">
        <v>40149</v>
      </c>
      <c r="B169">
        <v>6.09</v>
      </c>
      <c r="C169" s="174">
        <f t="shared" si="18"/>
        <v>0.30199999999999999</v>
      </c>
      <c r="E169">
        <v>11406</v>
      </c>
      <c r="F169">
        <v>2192835.88</v>
      </c>
      <c r="G169" s="172">
        <f t="shared" si="19"/>
        <v>0.30199999999999999</v>
      </c>
      <c r="K169" s="174"/>
      <c r="M169">
        <v>11609</v>
      </c>
      <c r="N169">
        <v>493929.97</v>
      </c>
      <c r="O169" s="174">
        <f t="shared" si="20"/>
        <v>0.30199999999999999</v>
      </c>
      <c r="Q169">
        <v>10601</v>
      </c>
      <c r="R169">
        <v>45585.95</v>
      </c>
      <c r="S169" s="174">
        <f t="shared" si="21"/>
        <v>0.30199999999999999</v>
      </c>
      <c r="U169">
        <v>30607</v>
      </c>
      <c r="V169">
        <v>23.74</v>
      </c>
      <c r="W169" s="174">
        <f t="shared" si="24"/>
        <v>8.2000000000000003E-2</v>
      </c>
      <c r="Y169">
        <v>11911</v>
      </c>
      <c r="Z169">
        <v>117</v>
      </c>
      <c r="AA169" s="174">
        <f t="shared" si="23"/>
        <v>0.30199999999999999</v>
      </c>
    </row>
    <row r="170" spans="1:27">
      <c r="A170">
        <v>11109</v>
      </c>
      <c r="B170">
        <v>6.06</v>
      </c>
      <c r="C170" s="174">
        <f t="shared" si="18"/>
        <v>0.28899999999999998</v>
      </c>
      <c r="E170">
        <v>10144</v>
      </c>
      <c r="F170">
        <v>2188374.1800000002</v>
      </c>
      <c r="G170" s="172">
        <f t="shared" si="19"/>
        <v>0.29799999999999999</v>
      </c>
      <c r="K170" s="174"/>
      <c r="M170">
        <v>11613</v>
      </c>
      <c r="N170">
        <v>492786.06</v>
      </c>
      <c r="O170" s="174">
        <f t="shared" si="20"/>
        <v>0.29799999999999999</v>
      </c>
      <c r="Q170">
        <v>11214</v>
      </c>
      <c r="R170">
        <v>45579.45</v>
      </c>
      <c r="S170" s="174">
        <f t="shared" si="21"/>
        <v>0.29799999999999999</v>
      </c>
      <c r="U170">
        <v>11507</v>
      </c>
      <c r="V170">
        <v>22.92</v>
      </c>
      <c r="W170" s="174">
        <f t="shared" si="24"/>
        <v>7.6999999999999999E-2</v>
      </c>
      <c r="Y170">
        <v>10738</v>
      </c>
      <c r="Z170">
        <v>115.5</v>
      </c>
      <c r="AA170" s="174">
        <f t="shared" si="23"/>
        <v>0.29399999999999998</v>
      </c>
    </row>
    <row r="171" spans="1:27">
      <c r="A171">
        <v>11116</v>
      </c>
      <c r="B171">
        <v>6.06</v>
      </c>
      <c r="C171" s="174">
        <f t="shared" si="18"/>
        <v>0.28899999999999998</v>
      </c>
      <c r="E171">
        <v>11601</v>
      </c>
      <c r="F171">
        <v>2185627.08</v>
      </c>
      <c r="G171" s="172">
        <f t="shared" si="19"/>
        <v>0.29399999999999998</v>
      </c>
      <c r="K171" s="174"/>
      <c r="M171">
        <v>11403</v>
      </c>
      <c r="N171">
        <v>492273.12</v>
      </c>
      <c r="O171" s="174">
        <f t="shared" si="20"/>
        <v>0.29399999999999998</v>
      </c>
      <c r="Q171">
        <v>30405</v>
      </c>
      <c r="R171">
        <v>45392.69</v>
      </c>
      <c r="S171" s="174">
        <f t="shared" si="21"/>
        <v>0.29399999999999998</v>
      </c>
      <c r="U171">
        <v>10738</v>
      </c>
      <c r="V171">
        <v>21.25</v>
      </c>
      <c r="W171" s="174">
        <f t="shared" si="24"/>
        <v>7.0999999999999994E-2</v>
      </c>
      <c r="Y171">
        <v>40147</v>
      </c>
      <c r="Z171">
        <v>115.5</v>
      </c>
      <c r="AA171" s="174">
        <f t="shared" si="23"/>
        <v>0.29399999999999998</v>
      </c>
    </row>
    <row r="172" spans="1:27">
      <c r="A172">
        <v>20915</v>
      </c>
      <c r="B172">
        <v>6.06</v>
      </c>
      <c r="C172" s="174">
        <f t="shared" si="18"/>
        <v>0.28899999999999998</v>
      </c>
      <c r="E172">
        <v>20902</v>
      </c>
      <c r="F172">
        <v>2183089.21</v>
      </c>
      <c r="G172" s="172">
        <f t="shared" si="19"/>
        <v>0.28899999999999998</v>
      </c>
      <c r="K172" s="174"/>
      <c r="M172">
        <v>30104</v>
      </c>
      <c r="N172">
        <v>491364.29</v>
      </c>
      <c r="O172" s="174">
        <f t="shared" si="20"/>
        <v>0.28899999999999998</v>
      </c>
      <c r="Q172">
        <v>11204</v>
      </c>
      <c r="R172">
        <v>44677.74</v>
      </c>
      <c r="S172" s="174">
        <f t="shared" si="21"/>
        <v>0.28899999999999998</v>
      </c>
      <c r="U172">
        <v>20503</v>
      </c>
      <c r="V172">
        <v>19.59</v>
      </c>
      <c r="W172" s="174">
        <f t="shared" si="24"/>
        <v>6.6000000000000003E-2</v>
      </c>
      <c r="Y172">
        <v>10736</v>
      </c>
      <c r="Z172">
        <v>114.5</v>
      </c>
      <c r="AA172" s="174">
        <f t="shared" si="23"/>
        <v>0.27300000000000002</v>
      </c>
    </row>
    <row r="173" spans="1:27">
      <c r="A173">
        <v>40115</v>
      </c>
      <c r="B173">
        <v>6.05</v>
      </c>
      <c r="C173" s="174">
        <f t="shared" si="18"/>
        <v>0.28499999999999998</v>
      </c>
      <c r="E173">
        <v>20915</v>
      </c>
      <c r="F173">
        <v>2179074.2000000002</v>
      </c>
      <c r="G173" s="172">
        <f t="shared" si="19"/>
        <v>0.28499999999999998</v>
      </c>
      <c r="K173" s="174"/>
      <c r="M173">
        <v>10744</v>
      </c>
      <c r="N173">
        <v>489682.71</v>
      </c>
      <c r="O173" s="174">
        <f t="shared" si="20"/>
        <v>0.28499999999999998</v>
      </c>
      <c r="Q173">
        <v>30614</v>
      </c>
      <c r="R173">
        <v>43951.73</v>
      </c>
      <c r="S173" s="174">
        <f t="shared" si="21"/>
        <v>0.28499999999999998</v>
      </c>
      <c r="U173">
        <v>30618</v>
      </c>
      <c r="V173">
        <v>17.09</v>
      </c>
      <c r="W173" s="174">
        <f t="shared" si="24"/>
        <v>0.06</v>
      </c>
      <c r="Y173">
        <v>10743</v>
      </c>
      <c r="Z173">
        <v>114.5</v>
      </c>
      <c r="AA173" s="174">
        <f t="shared" si="23"/>
        <v>0.27300000000000002</v>
      </c>
    </row>
    <row r="174" spans="1:27">
      <c r="A174">
        <v>20902</v>
      </c>
      <c r="B174">
        <v>6.04</v>
      </c>
      <c r="C174" s="174">
        <f t="shared" si="18"/>
        <v>0.28100000000000003</v>
      </c>
      <c r="E174">
        <v>20541</v>
      </c>
      <c r="F174">
        <v>2175847.19</v>
      </c>
      <c r="G174" s="172">
        <f t="shared" si="19"/>
        <v>0.28100000000000003</v>
      </c>
      <c r="K174" s="174"/>
      <c r="M174">
        <v>30109</v>
      </c>
      <c r="N174">
        <v>489453.33</v>
      </c>
      <c r="O174" s="174">
        <f t="shared" si="20"/>
        <v>0.28100000000000003</v>
      </c>
      <c r="Q174">
        <v>20907</v>
      </c>
      <c r="R174">
        <v>43345.34</v>
      </c>
      <c r="S174" s="174">
        <f t="shared" si="21"/>
        <v>0.28100000000000003</v>
      </c>
      <c r="U174">
        <v>11609</v>
      </c>
      <c r="V174">
        <v>16.66</v>
      </c>
      <c r="W174" s="174">
        <f t="shared" si="24"/>
        <v>5.5E-2</v>
      </c>
      <c r="Y174">
        <v>11312</v>
      </c>
      <c r="Z174">
        <v>114.5</v>
      </c>
      <c r="AA174" s="174">
        <f t="shared" si="23"/>
        <v>0.27300000000000002</v>
      </c>
    </row>
    <row r="175" spans="1:27">
      <c r="A175">
        <v>11214</v>
      </c>
      <c r="B175">
        <v>5.95</v>
      </c>
      <c r="C175" s="174">
        <f t="shared" si="18"/>
        <v>0.27300000000000002</v>
      </c>
      <c r="E175">
        <v>20905</v>
      </c>
      <c r="F175">
        <v>2171216.09</v>
      </c>
      <c r="G175" s="172">
        <f t="shared" si="19"/>
        <v>0.27700000000000002</v>
      </c>
      <c r="K175" s="174"/>
      <c r="M175">
        <v>11606</v>
      </c>
      <c r="N175">
        <v>487005.28</v>
      </c>
      <c r="O175" s="174">
        <f t="shared" si="20"/>
        <v>0.27700000000000002</v>
      </c>
      <c r="Q175">
        <v>20915</v>
      </c>
      <c r="R175">
        <v>42829.83</v>
      </c>
      <c r="S175" s="174">
        <f t="shared" si="21"/>
        <v>0.27700000000000002</v>
      </c>
      <c r="U175">
        <v>40111</v>
      </c>
      <c r="V175">
        <v>15.86</v>
      </c>
      <c r="W175" s="174">
        <f t="shared" si="24"/>
        <v>4.9000000000000002E-2</v>
      </c>
      <c r="Y175">
        <v>30615</v>
      </c>
      <c r="Z175">
        <v>114.5</v>
      </c>
      <c r="AA175" s="174">
        <f t="shared" si="23"/>
        <v>0.27300000000000002</v>
      </c>
    </row>
    <row r="176" spans="1:27">
      <c r="A176">
        <v>11502</v>
      </c>
      <c r="B176">
        <v>5.95</v>
      </c>
      <c r="C176" s="174">
        <f t="shared" si="18"/>
        <v>0.27300000000000002</v>
      </c>
      <c r="E176">
        <v>40106</v>
      </c>
      <c r="F176">
        <v>2159234.63</v>
      </c>
      <c r="G176" s="172">
        <f t="shared" si="19"/>
        <v>0.27300000000000002</v>
      </c>
      <c r="K176" s="174"/>
      <c r="M176">
        <v>11911</v>
      </c>
      <c r="N176">
        <v>484261.18</v>
      </c>
      <c r="O176" s="174">
        <f t="shared" si="20"/>
        <v>0.27300000000000002</v>
      </c>
      <c r="Q176">
        <v>40207</v>
      </c>
      <c r="R176">
        <v>42425.17</v>
      </c>
      <c r="S176" s="174">
        <f t="shared" si="21"/>
        <v>0.27300000000000002</v>
      </c>
      <c r="U176">
        <v>11904</v>
      </c>
      <c r="V176">
        <v>15.42</v>
      </c>
      <c r="W176" s="174">
        <f t="shared" si="24"/>
        <v>4.3999999999999997E-2</v>
      </c>
      <c r="Y176">
        <v>30619</v>
      </c>
      <c r="Z176">
        <v>114.5</v>
      </c>
      <c r="AA176" s="174">
        <f t="shared" si="23"/>
        <v>0.27300000000000002</v>
      </c>
    </row>
    <row r="177" spans="1:27">
      <c r="A177">
        <v>11306</v>
      </c>
      <c r="B177">
        <v>5.91</v>
      </c>
      <c r="C177" s="174">
        <f t="shared" si="18"/>
        <v>0.26800000000000002</v>
      </c>
      <c r="E177">
        <v>40147</v>
      </c>
      <c r="F177">
        <v>2133033.33</v>
      </c>
      <c r="G177" s="172">
        <f t="shared" si="19"/>
        <v>0.26800000000000002</v>
      </c>
      <c r="K177" s="174"/>
      <c r="M177" s="41">
        <v>10518</v>
      </c>
      <c r="N177" s="176">
        <v>478079.25</v>
      </c>
      <c r="O177" s="174">
        <f t="shared" si="20"/>
        <v>0.26800000000000002</v>
      </c>
      <c r="Q177">
        <v>11904</v>
      </c>
      <c r="R177">
        <v>42238.32</v>
      </c>
      <c r="S177" s="174">
        <f t="shared" si="21"/>
        <v>0.26800000000000002</v>
      </c>
      <c r="U177">
        <v>10736</v>
      </c>
      <c r="V177">
        <v>15</v>
      </c>
      <c r="W177" s="174">
        <f t="shared" si="24"/>
        <v>3.7999999999999999E-2</v>
      </c>
      <c r="Y177">
        <v>11212</v>
      </c>
      <c r="Z177">
        <v>113</v>
      </c>
      <c r="AA177" s="174">
        <f t="shared" si="23"/>
        <v>0.26800000000000002</v>
      </c>
    </row>
    <row r="178" spans="1:27">
      <c r="A178">
        <v>11403</v>
      </c>
      <c r="B178">
        <v>5.9</v>
      </c>
      <c r="C178" s="174">
        <f t="shared" si="18"/>
        <v>0.26400000000000001</v>
      </c>
      <c r="E178">
        <v>10738</v>
      </c>
      <c r="F178">
        <v>2123257.52</v>
      </c>
      <c r="G178" s="172">
        <f t="shared" si="19"/>
        <v>0.26400000000000001</v>
      </c>
      <c r="K178" s="174"/>
      <c r="M178">
        <v>11415</v>
      </c>
      <c r="N178">
        <v>474802.13</v>
      </c>
      <c r="O178" s="174">
        <f t="shared" si="20"/>
        <v>0.26400000000000001</v>
      </c>
      <c r="Q178">
        <v>10501</v>
      </c>
      <c r="R178">
        <v>42029.88</v>
      </c>
      <c r="S178" s="174">
        <f t="shared" si="21"/>
        <v>0.26400000000000001</v>
      </c>
      <c r="U178">
        <v>30111</v>
      </c>
      <c r="V178">
        <v>12.5</v>
      </c>
      <c r="W178" s="174">
        <f t="shared" si="24"/>
        <v>2.7E-2</v>
      </c>
      <c r="Y178">
        <v>10135</v>
      </c>
      <c r="Z178">
        <v>112.5</v>
      </c>
      <c r="AA178" s="174">
        <f t="shared" si="23"/>
        <v>0.26400000000000001</v>
      </c>
    </row>
    <row r="179" spans="1:27">
      <c r="A179" s="41">
        <v>10144</v>
      </c>
      <c r="B179" s="176">
        <v>5.77</v>
      </c>
      <c r="C179" s="174">
        <f t="shared" si="18"/>
        <v>0.26</v>
      </c>
      <c r="E179">
        <v>10140</v>
      </c>
      <c r="F179">
        <v>2111840.36</v>
      </c>
      <c r="G179" s="172">
        <f t="shared" si="19"/>
        <v>0.26</v>
      </c>
      <c r="K179" s="174"/>
      <c r="M179">
        <v>11406</v>
      </c>
      <c r="N179">
        <v>468328.62</v>
      </c>
      <c r="O179" s="174">
        <f t="shared" si="20"/>
        <v>0.26</v>
      </c>
      <c r="Q179">
        <v>10138</v>
      </c>
      <c r="R179">
        <v>41885.33</v>
      </c>
      <c r="S179" s="174">
        <f t="shared" si="21"/>
        <v>0.26</v>
      </c>
      <c r="U179">
        <v>40132</v>
      </c>
      <c r="V179">
        <v>12.5</v>
      </c>
      <c r="W179" s="174">
        <f t="shared" si="24"/>
        <v>2.7E-2</v>
      </c>
      <c r="Y179">
        <v>10526</v>
      </c>
      <c r="Z179">
        <v>110.5</v>
      </c>
      <c r="AA179" s="174">
        <f t="shared" si="23"/>
        <v>0.23499999999999999</v>
      </c>
    </row>
    <row r="180" spans="1:27">
      <c r="A180">
        <v>20433</v>
      </c>
      <c r="B180">
        <v>5.76</v>
      </c>
      <c r="C180" s="174">
        <f t="shared" si="18"/>
        <v>0.25600000000000001</v>
      </c>
      <c r="E180">
        <v>40133</v>
      </c>
      <c r="F180">
        <v>2101759.75</v>
      </c>
      <c r="G180" s="172">
        <f t="shared" si="19"/>
        <v>0.25600000000000001</v>
      </c>
      <c r="K180" s="174"/>
      <c r="M180">
        <v>40122</v>
      </c>
      <c r="N180">
        <v>466261.41</v>
      </c>
      <c r="O180" s="174">
        <f t="shared" si="20"/>
        <v>0.25600000000000001</v>
      </c>
      <c r="Q180">
        <v>10144</v>
      </c>
      <c r="R180">
        <v>41618.1</v>
      </c>
      <c r="S180" s="174">
        <f t="shared" si="21"/>
        <v>0.25600000000000001</v>
      </c>
      <c r="U180">
        <v>11710</v>
      </c>
      <c r="V180">
        <v>9.58</v>
      </c>
      <c r="W180" s="174">
        <f t="shared" si="24"/>
        <v>2.1999999999999999E-2</v>
      </c>
      <c r="Y180">
        <v>11214</v>
      </c>
      <c r="Z180">
        <v>110.5</v>
      </c>
      <c r="AA180" s="174">
        <f t="shared" si="23"/>
        <v>0.23499999999999999</v>
      </c>
    </row>
    <row r="181" spans="1:27">
      <c r="A181">
        <v>10738</v>
      </c>
      <c r="B181">
        <v>5.75</v>
      </c>
      <c r="C181" s="174">
        <f t="shared" si="18"/>
        <v>0.252</v>
      </c>
      <c r="E181">
        <v>20536</v>
      </c>
      <c r="F181">
        <v>2101245.9</v>
      </c>
      <c r="G181" s="172">
        <f t="shared" si="19"/>
        <v>0.252</v>
      </c>
      <c r="K181" s="174"/>
      <c r="M181">
        <v>40103</v>
      </c>
      <c r="N181">
        <v>462959.55</v>
      </c>
      <c r="O181" s="174">
        <f t="shared" si="20"/>
        <v>0.252</v>
      </c>
      <c r="Q181">
        <v>11406</v>
      </c>
      <c r="R181">
        <v>41477.919999999998</v>
      </c>
      <c r="S181" s="174">
        <f t="shared" si="21"/>
        <v>0.252</v>
      </c>
      <c r="U181">
        <v>20536</v>
      </c>
      <c r="V181">
        <v>8.75</v>
      </c>
      <c r="W181" s="174">
        <f t="shared" si="24"/>
        <v>1.6E-2</v>
      </c>
      <c r="Y181">
        <v>11311</v>
      </c>
      <c r="Z181">
        <v>110.5</v>
      </c>
      <c r="AA181" s="174">
        <f t="shared" si="23"/>
        <v>0.23499999999999999</v>
      </c>
    </row>
    <row r="182" spans="1:27">
      <c r="A182">
        <v>11902</v>
      </c>
      <c r="B182">
        <v>5.68</v>
      </c>
      <c r="C182" s="174">
        <f t="shared" si="18"/>
        <v>0.247</v>
      </c>
      <c r="E182">
        <v>40115</v>
      </c>
      <c r="F182">
        <v>2094569.58</v>
      </c>
      <c r="G182" s="172">
        <f t="shared" si="19"/>
        <v>0.247</v>
      </c>
      <c r="K182" s="174"/>
      <c r="M182">
        <v>40105</v>
      </c>
      <c r="N182">
        <v>462725.55</v>
      </c>
      <c r="O182" s="174">
        <f t="shared" si="20"/>
        <v>0.247</v>
      </c>
      <c r="Q182">
        <v>40208</v>
      </c>
      <c r="R182">
        <v>41337.9</v>
      </c>
      <c r="S182" s="174">
        <f t="shared" si="21"/>
        <v>0.247</v>
      </c>
      <c r="U182">
        <v>10742</v>
      </c>
      <c r="V182">
        <v>7.08</v>
      </c>
      <c r="W182" s="174">
        <f t="shared" si="24"/>
        <v>1.0999999999999999E-2</v>
      </c>
      <c r="Y182">
        <v>20902</v>
      </c>
      <c r="Z182">
        <v>110.5</v>
      </c>
      <c r="AA182" s="174">
        <f t="shared" si="23"/>
        <v>0.23499999999999999</v>
      </c>
    </row>
    <row r="183" spans="1:27">
      <c r="A183">
        <v>20911</v>
      </c>
      <c r="B183">
        <v>5.66</v>
      </c>
      <c r="C183" s="174">
        <f t="shared" si="18"/>
        <v>0.24299999999999999</v>
      </c>
      <c r="E183">
        <v>30112</v>
      </c>
      <c r="F183">
        <v>2092426.08</v>
      </c>
      <c r="G183" s="172">
        <f t="shared" si="19"/>
        <v>0.24299999999999999</v>
      </c>
      <c r="K183" s="174"/>
      <c r="M183">
        <v>30203</v>
      </c>
      <c r="N183">
        <v>461718.19</v>
      </c>
      <c r="O183" s="174">
        <f t="shared" si="20"/>
        <v>0.24299999999999999</v>
      </c>
      <c r="Q183">
        <v>11212</v>
      </c>
      <c r="R183">
        <v>41176.230000000003</v>
      </c>
      <c r="S183" s="174">
        <f t="shared" si="21"/>
        <v>0.24299999999999999</v>
      </c>
      <c r="U183">
        <v>20421</v>
      </c>
      <c r="V183">
        <v>6.25</v>
      </c>
      <c r="W183" s="174">
        <f t="shared" si="24"/>
        <v>5.0000000000000001E-3</v>
      </c>
      <c r="Y183">
        <v>40122</v>
      </c>
      <c r="Z183">
        <v>110.5</v>
      </c>
      <c r="AA183" s="174">
        <f t="shared" si="23"/>
        <v>0.23499999999999999</v>
      </c>
    </row>
    <row r="184" spans="1:27">
      <c r="A184">
        <v>20431</v>
      </c>
      <c r="B184">
        <v>5.63</v>
      </c>
      <c r="C184" s="174">
        <f t="shared" si="18"/>
        <v>0.23899999999999999</v>
      </c>
      <c r="E184">
        <v>11311</v>
      </c>
      <c r="F184">
        <v>2077951.71</v>
      </c>
      <c r="G184" s="172">
        <f t="shared" si="19"/>
        <v>0.23899999999999999</v>
      </c>
      <c r="K184" s="174"/>
      <c r="M184">
        <v>20526</v>
      </c>
      <c r="N184">
        <v>459644.27</v>
      </c>
      <c r="O184" s="174">
        <f t="shared" si="20"/>
        <v>0.23899999999999999</v>
      </c>
      <c r="Q184">
        <v>20909</v>
      </c>
      <c r="R184">
        <v>41164.559999999998</v>
      </c>
      <c r="S184" s="174">
        <f t="shared" si="21"/>
        <v>0.23899999999999999</v>
      </c>
      <c r="U184">
        <v>10105</v>
      </c>
      <c r="V184">
        <v>0.83</v>
      </c>
      <c r="W184" s="174">
        <f t="shared" si="24"/>
        <v>0</v>
      </c>
      <c r="Y184">
        <v>40204</v>
      </c>
      <c r="Z184">
        <v>110.5</v>
      </c>
      <c r="AA184" s="174">
        <f t="shared" si="23"/>
        <v>0.23499999999999999</v>
      </c>
    </row>
    <row r="185" spans="1:27">
      <c r="A185">
        <v>10744</v>
      </c>
      <c r="B185">
        <v>5.62</v>
      </c>
      <c r="C185" s="174">
        <f t="shared" si="18"/>
        <v>0.23100000000000001</v>
      </c>
      <c r="E185">
        <v>11214</v>
      </c>
      <c r="F185">
        <v>2076452.96</v>
      </c>
      <c r="G185" s="172">
        <f t="shared" si="19"/>
        <v>0.23499999999999999</v>
      </c>
      <c r="K185" s="174"/>
      <c r="M185">
        <v>20908</v>
      </c>
      <c r="N185">
        <v>447651.29</v>
      </c>
      <c r="O185" s="174">
        <f t="shared" si="20"/>
        <v>0.23499999999999999</v>
      </c>
      <c r="Q185">
        <v>10714</v>
      </c>
      <c r="R185">
        <v>40906.559999999998</v>
      </c>
      <c r="S185" s="174">
        <f t="shared" si="21"/>
        <v>0.23499999999999999</v>
      </c>
      <c r="W185" s="174"/>
      <c r="Y185">
        <v>40207</v>
      </c>
      <c r="Z185">
        <v>110.5</v>
      </c>
      <c r="AA185" s="174">
        <f t="shared" si="23"/>
        <v>0.23499999999999999</v>
      </c>
    </row>
    <row r="186" spans="1:27">
      <c r="A186">
        <v>20526</v>
      </c>
      <c r="B186">
        <v>5.62</v>
      </c>
      <c r="C186" s="174">
        <f t="shared" si="18"/>
        <v>0.23100000000000001</v>
      </c>
      <c r="E186">
        <v>20909</v>
      </c>
      <c r="F186">
        <v>2075138.16</v>
      </c>
      <c r="G186" s="172">
        <f t="shared" si="19"/>
        <v>0.23100000000000001</v>
      </c>
      <c r="K186" s="174"/>
      <c r="M186">
        <v>10118</v>
      </c>
      <c r="N186">
        <v>446076.93</v>
      </c>
      <c r="O186" s="174">
        <f t="shared" si="20"/>
        <v>0.23100000000000001</v>
      </c>
      <c r="Q186">
        <v>40202</v>
      </c>
      <c r="R186">
        <v>40474.910000000003</v>
      </c>
      <c r="S186" s="174">
        <f t="shared" si="21"/>
        <v>0.23100000000000001</v>
      </c>
      <c r="W186" s="174"/>
      <c r="Y186">
        <v>10118</v>
      </c>
      <c r="Z186">
        <v>109.5</v>
      </c>
      <c r="AA186" s="174">
        <f t="shared" si="23"/>
        <v>0.218</v>
      </c>
    </row>
    <row r="187" spans="1:27">
      <c r="A187">
        <v>11117</v>
      </c>
      <c r="B187">
        <v>5.6</v>
      </c>
      <c r="C187" s="174">
        <f t="shared" si="18"/>
        <v>0.22600000000000001</v>
      </c>
      <c r="E187">
        <v>11606</v>
      </c>
      <c r="F187">
        <v>2065301.9</v>
      </c>
      <c r="G187" s="172">
        <f t="shared" si="19"/>
        <v>0.22600000000000001</v>
      </c>
      <c r="K187" s="174"/>
      <c r="M187">
        <v>40106</v>
      </c>
      <c r="N187">
        <v>441644.51</v>
      </c>
      <c r="O187" s="174">
        <f t="shared" si="20"/>
        <v>0.22600000000000001</v>
      </c>
      <c r="Q187">
        <v>11311</v>
      </c>
      <c r="R187">
        <v>40126.870000000003</v>
      </c>
      <c r="S187" s="174">
        <f t="shared" si="21"/>
        <v>0.22600000000000001</v>
      </c>
      <c r="W187" s="174"/>
      <c r="Y187">
        <v>11116</v>
      </c>
      <c r="Z187">
        <v>109.5</v>
      </c>
      <c r="AA187" s="174">
        <f t="shared" si="23"/>
        <v>0.218</v>
      </c>
    </row>
    <row r="188" spans="1:27">
      <c r="A188">
        <v>11708</v>
      </c>
      <c r="B188">
        <v>5.53</v>
      </c>
      <c r="C188" s="174">
        <f t="shared" si="18"/>
        <v>0.222</v>
      </c>
      <c r="E188" s="41">
        <v>11502</v>
      </c>
      <c r="F188" s="176">
        <v>2061993.62</v>
      </c>
      <c r="G188" s="172">
        <f t="shared" si="19"/>
        <v>0.222</v>
      </c>
      <c r="K188" s="174"/>
      <c r="M188">
        <v>40115</v>
      </c>
      <c r="N188">
        <v>440165.9</v>
      </c>
      <c r="O188" s="174">
        <f t="shared" si="20"/>
        <v>0.222</v>
      </c>
      <c r="Q188">
        <v>11911</v>
      </c>
      <c r="R188">
        <v>40083.43</v>
      </c>
      <c r="S188" s="174">
        <f t="shared" si="21"/>
        <v>0.222</v>
      </c>
      <c r="W188" s="174"/>
      <c r="Y188">
        <v>11618</v>
      </c>
      <c r="Z188">
        <v>109.5</v>
      </c>
      <c r="AA188" s="174">
        <f t="shared" si="23"/>
        <v>0.218</v>
      </c>
    </row>
    <row r="189" spans="1:27">
      <c r="A189" s="41">
        <v>11212</v>
      </c>
      <c r="B189" s="176">
        <v>5.5</v>
      </c>
      <c r="C189" s="174">
        <f t="shared" si="18"/>
        <v>0.218</v>
      </c>
      <c r="E189">
        <v>11417</v>
      </c>
      <c r="F189">
        <v>2052483.27</v>
      </c>
      <c r="G189" s="172">
        <f t="shared" si="19"/>
        <v>0.218</v>
      </c>
      <c r="K189" s="174"/>
      <c r="M189">
        <v>10144</v>
      </c>
      <c r="N189">
        <v>437925.83</v>
      </c>
      <c r="O189" s="174">
        <f t="shared" si="20"/>
        <v>0.218</v>
      </c>
      <c r="Q189">
        <v>20421</v>
      </c>
      <c r="R189">
        <v>39433.72</v>
      </c>
      <c r="S189" s="174">
        <f t="shared" si="21"/>
        <v>0.218</v>
      </c>
      <c r="W189" s="174"/>
      <c r="Y189">
        <v>11904</v>
      </c>
      <c r="Z189">
        <v>109.5</v>
      </c>
      <c r="AA189" s="174">
        <f t="shared" si="23"/>
        <v>0.218</v>
      </c>
    </row>
    <row r="190" spans="1:27">
      <c r="A190">
        <v>40127</v>
      </c>
      <c r="B190">
        <v>5.38</v>
      </c>
      <c r="C190" s="174">
        <f t="shared" si="18"/>
        <v>0.214</v>
      </c>
      <c r="E190">
        <v>40116</v>
      </c>
      <c r="F190">
        <v>2032888.69</v>
      </c>
      <c r="G190" s="172">
        <f t="shared" si="19"/>
        <v>0.214</v>
      </c>
      <c r="K190" s="174"/>
      <c r="M190">
        <v>40204</v>
      </c>
      <c r="N190">
        <v>435825.78</v>
      </c>
      <c r="O190" s="174">
        <f t="shared" si="20"/>
        <v>0.214</v>
      </c>
      <c r="Q190">
        <v>20433</v>
      </c>
      <c r="R190">
        <v>38451.56</v>
      </c>
      <c r="S190" s="174">
        <f t="shared" si="21"/>
        <v>0.214</v>
      </c>
      <c r="W190" s="174"/>
      <c r="Y190">
        <v>11406</v>
      </c>
      <c r="Z190">
        <v>108</v>
      </c>
      <c r="AA190" s="174">
        <f t="shared" si="23"/>
        <v>0.20499999999999999</v>
      </c>
    </row>
    <row r="191" spans="1:27">
      <c r="A191">
        <v>11911</v>
      </c>
      <c r="B191">
        <v>5.27</v>
      </c>
      <c r="C191" s="174">
        <f t="shared" si="18"/>
        <v>0.20499999999999999</v>
      </c>
      <c r="E191">
        <v>10137</v>
      </c>
      <c r="F191">
        <v>2011947.89</v>
      </c>
      <c r="G191" s="172">
        <f t="shared" si="19"/>
        <v>0.21</v>
      </c>
      <c r="K191" s="174"/>
      <c r="M191">
        <v>40126</v>
      </c>
      <c r="N191">
        <v>431632.78</v>
      </c>
      <c r="O191" s="174">
        <f t="shared" si="20"/>
        <v>0.21</v>
      </c>
      <c r="Q191">
        <v>11403</v>
      </c>
      <c r="R191">
        <v>38434.5</v>
      </c>
      <c r="S191" s="174">
        <f t="shared" si="21"/>
        <v>0.21</v>
      </c>
      <c r="W191" s="174"/>
      <c r="Y191">
        <v>40106</v>
      </c>
      <c r="Z191">
        <v>108</v>
      </c>
      <c r="AA191" s="174">
        <f t="shared" si="23"/>
        <v>0.20499999999999999</v>
      </c>
    </row>
    <row r="192" spans="1:27">
      <c r="A192">
        <v>20424</v>
      </c>
      <c r="B192">
        <v>5.27</v>
      </c>
      <c r="C192" s="174">
        <f t="shared" si="18"/>
        <v>0.20499999999999999</v>
      </c>
      <c r="E192">
        <v>11616</v>
      </c>
      <c r="F192">
        <v>1995794.6</v>
      </c>
      <c r="G192" s="172">
        <f t="shared" si="19"/>
        <v>0.20499999999999999</v>
      </c>
      <c r="K192" s="174"/>
      <c r="M192">
        <v>10502</v>
      </c>
      <c r="N192">
        <v>427230.64</v>
      </c>
      <c r="O192" s="174">
        <f t="shared" si="20"/>
        <v>0.20499999999999999</v>
      </c>
      <c r="Q192">
        <v>11618</v>
      </c>
      <c r="R192">
        <v>38401.300000000003</v>
      </c>
      <c r="S192" s="174">
        <f t="shared" si="21"/>
        <v>0.20499999999999999</v>
      </c>
      <c r="W192" s="174"/>
      <c r="Y192">
        <v>40127</v>
      </c>
      <c r="Z192">
        <v>108</v>
      </c>
      <c r="AA192" s="174">
        <f t="shared" si="23"/>
        <v>0.20499999999999999</v>
      </c>
    </row>
    <row r="193" spans="1:27">
      <c r="A193">
        <v>11312</v>
      </c>
      <c r="B193">
        <v>5.24</v>
      </c>
      <c r="C193" s="174">
        <f t="shared" si="18"/>
        <v>0.20100000000000001</v>
      </c>
      <c r="E193">
        <v>20526</v>
      </c>
      <c r="F193">
        <v>1993781.66</v>
      </c>
      <c r="G193" s="172">
        <f t="shared" si="19"/>
        <v>0.20100000000000001</v>
      </c>
      <c r="K193" s="174"/>
      <c r="M193">
        <v>40146</v>
      </c>
      <c r="N193">
        <v>422698.58</v>
      </c>
      <c r="O193" s="174">
        <f t="shared" si="20"/>
        <v>0.20100000000000001</v>
      </c>
      <c r="Q193">
        <v>10128</v>
      </c>
      <c r="R193">
        <v>38159.43</v>
      </c>
      <c r="S193" s="174">
        <f t="shared" si="21"/>
        <v>0.20100000000000001</v>
      </c>
      <c r="W193" s="174"/>
      <c r="Y193">
        <v>10140</v>
      </c>
      <c r="Z193">
        <v>105.5</v>
      </c>
      <c r="AA193" s="174">
        <f t="shared" si="23"/>
        <v>0.189</v>
      </c>
    </row>
    <row r="194" spans="1:27">
      <c r="A194">
        <v>20513</v>
      </c>
      <c r="B194">
        <v>5.23</v>
      </c>
      <c r="C194" s="174">
        <f t="shared" si="18"/>
        <v>0.19700000000000001</v>
      </c>
      <c r="E194">
        <v>11814</v>
      </c>
      <c r="F194">
        <v>1993302.16</v>
      </c>
      <c r="G194" s="172">
        <f t="shared" si="19"/>
        <v>0.19700000000000001</v>
      </c>
      <c r="K194" s="174"/>
      <c r="M194">
        <v>11117</v>
      </c>
      <c r="N194">
        <v>413349.44</v>
      </c>
      <c r="O194" s="174">
        <f t="shared" si="20"/>
        <v>0.19700000000000001</v>
      </c>
      <c r="Q194">
        <v>30407</v>
      </c>
      <c r="R194">
        <v>37917.599999999999</v>
      </c>
      <c r="S194" s="174">
        <f t="shared" si="21"/>
        <v>0.19700000000000001</v>
      </c>
      <c r="W194" s="174"/>
      <c r="Y194">
        <v>11814</v>
      </c>
      <c r="Z194">
        <v>105.5</v>
      </c>
      <c r="AA194" s="174">
        <f t="shared" si="23"/>
        <v>0.189</v>
      </c>
    </row>
    <row r="195" spans="1:27">
      <c r="A195">
        <v>10118</v>
      </c>
      <c r="B195">
        <v>5.21</v>
      </c>
      <c r="C195" s="174">
        <f t="shared" ref="C195:C241" si="25">PERCENTRANK($B$3:$B$241,B195)</f>
        <v>0.193</v>
      </c>
      <c r="E195">
        <v>40105</v>
      </c>
      <c r="F195">
        <v>1985072.43</v>
      </c>
      <c r="G195" s="172">
        <f t="shared" ref="G195:G241" si="26">PERCENTRANK($F$3:$F$241,F195)</f>
        <v>0.193</v>
      </c>
      <c r="K195" s="174"/>
      <c r="M195">
        <v>20909</v>
      </c>
      <c r="N195">
        <v>410894.02</v>
      </c>
      <c r="O195" s="174">
        <f t="shared" ref="O195:O241" si="27">PERCENTRANK($N$3:$N$241,N195)</f>
        <v>0.193</v>
      </c>
      <c r="Q195">
        <v>10137</v>
      </c>
      <c r="R195">
        <v>37624.14</v>
      </c>
      <c r="S195" s="174">
        <f t="shared" ref="S195:S241" si="28">PERCENTRANK($R$3:$R$241,R195)</f>
        <v>0.193</v>
      </c>
      <c r="W195" s="174"/>
      <c r="Y195">
        <v>20421</v>
      </c>
      <c r="Z195">
        <v>105.5</v>
      </c>
      <c r="AA195" s="174">
        <f t="shared" ref="AA195:AA241" si="29">PERCENTRANK($Z$3:$Z$241,Z195)</f>
        <v>0.189</v>
      </c>
    </row>
    <row r="196" spans="1:27">
      <c r="A196">
        <v>20421</v>
      </c>
      <c r="B196">
        <v>5.18</v>
      </c>
      <c r="C196" s="174">
        <f t="shared" si="25"/>
        <v>0.189</v>
      </c>
      <c r="E196">
        <v>40208</v>
      </c>
      <c r="F196">
        <v>1980024.29</v>
      </c>
      <c r="G196" s="172">
        <f t="shared" si="26"/>
        <v>0.189</v>
      </c>
      <c r="K196" s="174"/>
      <c r="M196">
        <v>11602</v>
      </c>
      <c r="N196">
        <v>410323.16</v>
      </c>
      <c r="O196" s="174">
        <f t="shared" si="27"/>
        <v>0.189</v>
      </c>
      <c r="Q196">
        <v>10140</v>
      </c>
      <c r="R196">
        <v>37361.78</v>
      </c>
      <c r="S196" s="174">
        <f t="shared" si="28"/>
        <v>0.189</v>
      </c>
      <c r="W196" s="174"/>
      <c r="Y196">
        <v>20511</v>
      </c>
      <c r="Z196">
        <v>105.5</v>
      </c>
      <c r="AA196" s="174">
        <f t="shared" si="29"/>
        <v>0.189</v>
      </c>
    </row>
    <row r="197" spans="1:27">
      <c r="A197">
        <v>20909</v>
      </c>
      <c r="B197">
        <v>5.17</v>
      </c>
      <c r="C197" s="174">
        <f t="shared" si="25"/>
        <v>0.184</v>
      </c>
      <c r="E197">
        <v>11306</v>
      </c>
      <c r="F197">
        <v>1957471.71</v>
      </c>
      <c r="G197" s="172">
        <f t="shared" si="26"/>
        <v>0.184</v>
      </c>
      <c r="K197" s="174"/>
      <c r="M197">
        <v>10702</v>
      </c>
      <c r="N197">
        <v>409883.71</v>
      </c>
      <c r="O197" s="174">
        <f t="shared" si="27"/>
        <v>0.184</v>
      </c>
      <c r="Q197">
        <v>10609</v>
      </c>
      <c r="R197">
        <v>37208.400000000001</v>
      </c>
      <c r="S197" s="174">
        <f t="shared" si="28"/>
        <v>0.184</v>
      </c>
      <c r="W197" s="174"/>
      <c r="Y197">
        <v>10744</v>
      </c>
      <c r="Z197">
        <v>104.5</v>
      </c>
      <c r="AA197" s="174">
        <f t="shared" si="29"/>
        <v>0.184</v>
      </c>
    </row>
    <row r="198" spans="1:27">
      <c r="A198">
        <v>30616</v>
      </c>
      <c r="B198">
        <v>5.07</v>
      </c>
      <c r="C198" s="174">
        <f t="shared" si="25"/>
        <v>0.18</v>
      </c>
      <c r="E198">
        <v>40122</v>
      </c>
      <c r="F198">
        <v>1935701.93</v>
      </c>
      <c r="G198" s="172">
        <f t="shared" si="26"/>
        <v>0.18</v>
      </c>
      <c r="K198" s="174"/>
      <c r="M198">
        <v>30614</v>
      </c>
      <c r="N198">
        <v>408553.12</v>
      </c>
      <c r="O198" s="174">
        <f t="shared" si="27"/>
        <v>0.18</v>
      </c>
      <c r="Q198">
        <v>11415</v>
      </c>
      <c r="R198">
        <v>36980.660000000003</v>
      </c>
      <c r="S198" s="174">
        <f t="shared" si="28"/>
        <v>0.18</v>
      </c>
      <c r="W198" s="174"/>
      <c r="Y198">
        <v>20433</v>
      </c>
      <c r="Z198">
        <v>103</v>
      </c>
      <c r="AA198" s="174">
        <f t="shared" si="29"/>
        <v>0.18</v>
      </c>
    </row>
    <row r="199" spans="1:27">
      <c r="A199">
        <v>10721</v>
      </c>
      <c r="B199">
        <v>5.0599999999999996</v>
      </c>
      <c r="C199" s="174">
        <f t="shared" si="25"/>
        <v>0.16300000000000001</v>
      </c>
      <c r="E199">
        <v>40207</v>
      </c>
      <c r="F199">
        <v>1928395.23</v>
      </c>
      <c r="G199" s="172">
        <f t="shared" si="26"/>
        <v>0.17599999999999999</v>
      </c>
      <c r="K199" s="174"/>
      <c r="M199">
        <v>20431</v>
      </c>
      <c r="N199">
        <v>403722.48</v>
      </c>
      <c r="O199" s="174">
        <f t="shared" si="27"/>
        <v>0.17599999999999999</v>
      </c>
      <c r="Q199">
        <v>20902</v>
      </c>
      <c r="R199">
        <v>36660</v>
      </c>
      <c r="S199" s="174">
        <f t="shared" si="28"/>
        <v>0.17599999999999999</v>
      </c>
      <c r="W199" s="174"/>
      <c r="Y199">
        <v>10516</v>
      </c>
      <c r="Z199">
        <v>102</v>
      </c>
      <c r="AA199" s="174">
        <f t="shared" si="29"/>
        <v>0.16300000000000001</v>
      </c>
    </row>
    <row r="200" spans="1:27">
      <c r="A200">
        <v>11812</v>
      </c>
      <c r="B200">
        <v>5.0599999999999996</v>
      </c>
      <c r="C200" s="174">
        <f t="shared" si="25"/>
        <v>0.16300000000000001</v>
      </c>
      <c r="E200">
        <v>20421</v>
      </c>
      <c r="F200">
        <v>1923825.88</v>
      </c>
      <c r="G200" s="172">
        <f t="shared" si="26"/>
        <v>0.17199999999999999</v>
      </c>
      <c r="K200" s="174"/>
      <c r="M200">
        <v>20421</v>
      </c>
      <c r="N200">
        <v>398840.9</v>
      </c>
      <c r="O200" s="174">
        <f t="shared" si="27"/>
        <v>0.17199999999999999</v>
      </c>
      <c r="Q200">
        <v>30619</v>
      </c>
      <c r="R200">
        <v>36433.68</v>
      </c>
      <c r="S200" s="174">
        <f t="shared" si="28"/>
        <v>0.17199999999999999</v>
      </c>
      <c r="W200" s="174"/>
      <c r="Y200">
        <v>10711</v>
      </c>
      <c r="Z200">
        <v>102</v>
      </c>
      <c r="AA200" s="174">
        <f t="shared" si="29"/>
        <v>0.16300000000000001</v>
      </c>
    </row>
    <row r="201" spans="1:27">
      <c r="A201">
        <v>11814</v>
      </c>
      <c r="B201">
        <v>5.0599999999999996</v>
      </c>
      <c r="C201" s="174">
        <f t="shared" si="25"/>
        <v>0.16300000000000001</v>
      </c>
      <c r="E201">
        <v>40202</v>
      </c>
      <c r="F201">
        <v>1900326.98</v>
      </c>
      <c r="G201" s="172">
        <f t="shared" si="26"/>
        <v>0.16800000000000001</v>
      </c>
      <c r="K201" s="174"/>
      <c r="M201">
        <v>30421</v>
      </c>
      <c r="N201">
        <v>390476.66</v>
      </c>
      <c r="O201" s="174">
        <f t="shared" si="27"/>
        <v>0.16800000000000001</v>
      </c>
      <c r="Q201">
        <v>40103</v>
      </c>
      <c r="R201">
        <v>36177.699999999997</v>
      </c>
      <c r="S201" s="174">
        <f t="shared" si="28"/>
        <v>0.16800000000000001</v>
      </c>
      <c r="W201" s="174"/>
      <c r="Y201">
        <v>20431</v>
      </c>
      <c r="Z201">
        <v>102</v>
      </c>
      <c r="AA201" s="174">
        <f t="shared" si="29"/>
        <v>0.16300000000000001</v>
      </c>
    </row>
    <row r="202" spans="1:27">
      <c r="A202">
        <v>30104</v>
      </c>
      <c r="B202">
        <v>5.0599999999999996</v>
      </c>
      <c r="C202" s="174">
        <f t="shared" si="25"/>
        <v>0.16300000000000001</v>
      </c>
      <c r="E202">
        <v>30121</v>
      </c>
      <c r="F202">
        <v>1900226.84</v>
      </c>
      <c r="G202" s="172">
        <f t="shared" si="26"/>
        <v>0.16300000000000001</v>
      </c>
      <c r="K202" s="174"/>
      <c r="M202">
        <v>40127</v>
      </c>
      <c r="N202">
        <v>382574.08000000002</v>
      </c>
      <c r="O202" s="174">
        <f t="shared" si="27"/>
        <v>0.16300000000000001</v>
      </c>
      <c r="Q202">
        <v>20541</v>
      </c>
      <c r="R202">
        <v>35892.129999999997</v>
      </c>
      <c r="S202" s="174">
        <f t="shared" si="28"/>
        <v>0.16300000000000001</v>
      </c>
      <c r="W202" s="174"/>
      <c r="Y202">
        <v>30616</v>
      </c>
      <c r="Z202">
        <v>102</v>
      </c>
      <c r="AA202" s="174">
        <f t="shared" si="29"/>
        <v>0.16300000000000001</v>
      </c>
    </row>
    <row r="203" spans="1:27">
      <c r="A203">
        <v>11609</v>
      </c>
      <c r="B203">
        <v>5.04</v>
      </c>
      <c r="C203" s="174">
        <f t="shared" si="25"/>
        <v>0.155</v>
      </c>
      <c r="E203">
        <v>30203</v>
      </c>
      <c r="F203">
        <v>1899794.81</v>
      </c>
      <c r="G203" s="172">
        <f t="shared" si="26"/>
        <v>0.159</v>
      </c>
      <c r="K203" s="174"/>
      <c r="M203">
        <v>11812</v>
      </c>
      <c r="N203">
        <v>382400.46</v>
      </c>
      <c r="O203" s="174">
        <f t="shared" si="27"/>
        <v>0.159</v>
      </c>
      <c r="Q203">
        <v>10744</v>
      </c>
      <c r="R203">
        <v>35551.339999999997</v>
      </c>
      <c r="S203" s="174">
        <f t="shared" si="28"/>
        <v>0.159</v>
      </c>
      <c r="W203" s="174"/>
      <c r="Y203">
        <v>10144</v>
      </c>
      <c r="Z203">
        <v>100.5</v>
      </c>
      <c r="AA203" s="174">
        <f t="shared" si="29"/>
        <v>0.14699999999999999</v>
      </c>
    </row>
    <row r="204" spans="1:27">
      <c r="A204">
        <v>11710</v>
      </c>
      <c r="B204">
        <v>5.04</v>
      </c>
      <c r="C204" s="174">
        <f t="shared" si="25"/>
        <v>0.155</v>
      </c>
      <c r="E204">
        <v>30109</v>
      </c>
      <c r="F204">
        <v>1895616.15</v>
      </c>
      <c r="G204" s="172">
        <f t="shared" si="26"/>
        <v>0.155</v>
      </c>
      <c r="K204" s="174"/>
      <c r="M204">
        <v>20906</v>
      </c>
      <c r="N204">
        <v>381696.29</v>
      </c>
      <c r="O204" s="174">
        <f t="shared" si="27"/>
        <v>0.155</v>
      </c>
      <c r="Q204">
        <v>30109</v>
      </c>
      <c r="R204">
        <v>34795.599999999999</v>
      </c>
      <c r="S204" s="174">
        <f t="shared" si="28"/>
        <v>0.155</v>
      </c>
      <c r="W204" s="174"/>
      <c r="Y204">
        <v>20906</v>
      </c>
      <c r="Z204">
        <v>100.5</v>
      </c>
      <c r="AA204" s="174">
        <f t="shared" si="29"/>
        <v>0.14699999999999999</v>
      </c>
    </row>
    <row r="205" spans="1:27">
      <c r="A205">
        <v>11602</v>
      </c>
      <c r="B205">
        <v>5.03</v>
      </c>
      <c r="C205" s="174">
        <f t="shared" si="25"/>
        <v>0.151</v>
      </c>
      <c r="E205">
        <v>30104</v>
      </c>
      <c r="F205">
        <v>1874659.25</v>
      </c>
      <c r="G205" s="172">
        <f t="shared" si="26"/>
        <v>0.151</v>
      </c>
      <c r="K205" s="174"/>
      <c r="M205">
        <v>40207</v>
      </c>
      <c r="N205">
        <v>379057.33</v>
      </c>
      <c r="O205" s="174">
        <f t="shared" si="27"/>
        <v>0.151</v>
      </c>
      <c r="Q205">
        <v>11116</v>
      </c>
      <c r="R205">
        <v>34449.82</v>
      </c>
      <c r="S205" s="174">
        <f t="shared" si="28"/>
        <v>0.151</v>
      </c>
      <c r="U205" s="41"/>
      <c r="V205" s="41"/>
      <c r="W205" s="175"/>
      <c r="Y205">
        <v>30421</v>
      </c>
      <c r="Z205">
        <v>100.5</v>
      </c>
      <c r="AA205" s="174">
        <f t="shared" si="29"/>
        <v>0.14699999999999999</v>
      </c>
    </row>
    <row r="206" spans="1:27">
      <c r="A206">
        <v>11508</v>
      </c>
      <c r="B206">
        <v>5.01</v>
      </c>
      <c r="C206" s="174">
        <f t="shared" si="25"/>
        <v>0.14699999999999999</v>
      </c>
      <c r="E206">
        <v>11602</v>
      </c>
      <c r="F206">
        <v>1860579.62</v>
      </c>
      <c r="G206" s="172">
        <f t="shared" si="26"/>
        <v>0.14699999999999999</v>
      </c>
      <c r="K206" s="174"/>
      <c r="M206">
        <v>11502</v>
      </c>
      <c r="N206">
        <v>376410.17</v>
      </c>
      <c r="O206" s="174">
        <f t="shared" si="27"/>
        <v>0.14699999999999999</v>
      </c>
      <c r="Q206">
        <v>11124</v>
      </c>
      <c r="R206">
        <v>34231.35</v>
      </c>
      <c r="S206" s="174">
        <f t="shared" si="28"/>
        <v>0.14699999999999999</v>
      </c>
      <c r="W206" s="174"/>
      <c r="Y206">
        <v>40115</v>
      </c>
      <c r="Z206">
        <v>100.5</v>
      </c>
      <c r="AA206" s="174">
        <f t="shared" si="29"/>
        <v>0.14699999999999999</v>
      </c>
    </row>
    <row r="207" spans="1:27">
      <c r="A207">
        <v>10743</v>
      </c>
      <c r="B207">
        <v>5</v>
      </c>
      <c r="C207" s="174">
        <f t="shared" si="25"/>
        <v>0.14199999999999999</v>
      </c>
      <c r="E207">
        <v>40112</v>
      </c>
      <c r="F207">
        <v>1810524.27</v>
      </c>
      <c r="G207" s="172">
        <f t="shared" si="26"/>
        <v>0.14199999999999999</v>
      </c>
      <c r="K207" s="174"/>
      <c r="M207">
        <v>20511</v>
      </c>
      <c r="N207">
        <v>376001.72</v>
      </c>
      <c r="O207" s="174">
        <f t="shared" si="27"/>
        <v>0.14199999999999999</v>
      </c>
      <c r="Q207">
        <v>10504</v>
      </c>
      <c r="R207">
        <v>33413.71</v>
      </c>
      <c r="S207" s="174">
        <f t="shared" si="28"/>
        <v>0.14199999999999999</v>
      </c>
      <c r="W207" s="174"/>
      <c r="Y207">
        <v>11609</v>
      </c>
      <c r="Z207">
        <v>98</v>
      </c>
      <c r="AA207" s="174">
        <f t="shared" si="29"/>
        <v>0.13800000000000001</v>
      </c>
    </row>
    <row r="208" spans="1:27">
      <c r="A208">
        <v>40132</v>
      </c>
      <c r="B208">
        <v>4.99</v>
      </c>
      <c r="C208" s="174">
        <f t="shared" si="25"/>
        <v>0.13800000000000001</v>
      </c>
      <c r="E208">
        <v>40204</v>
      </c>
      <c r="F208">
        <v>1756886.84</v>
      </c>
      <c r="G208" s="172">
        <f t="shared" si="26"/>
        <v>0.13800000000000001</v>
      </c>
      <c r="K208" s="174"/>
      <c r="M208">
        <v>11410</v>
      </c>
      <c r="N208">
        <v>375695.59</v>
      </c>
      <c r="O208" s="174">
        <f t="shared" si="27"/>
        <v>0.13800000000000001</v>
      </c>
      <c r="Q208">
        <v>10109</v>
      </c>
      <c r="R208">
        <v>32383.66</v>
      </c>
      <c r="S208" s="174">
        <f t="shared" si="28"/>
        <v>0.13800000000000001</v>
      </c>
      <c r="W208" s="174"/>
      <c r="Y208">
        <v>30407</v>
      </c>
      <c r="Z208">
        <v>98</v>
      </c>
      <c r="AA208" s="174">
        <f t="shared" si="29"/>
        <v>0.13800000000000001</v>
      </c>
    </row>
    <row r="209" spans="1:27">
      <c r="A209">
        <v>40105</v>
      </c>
      <c r="B209">
        <v>4.9800000000000004</v>
      </c>
      <c r="C209" s="174">
        <f t="shared" si="25"/>
        <v>0.13400000000000001</v>
      </c>
      <c r="E209">
        <v>11410</v>
      </c>
      <c r="F209">
        <v>1750796.22</v>
      </c>
      <c r="G209" s="172">
        <f t="shared" si="26"/>
        <v>0.13400000000000001</v>
      </c>
      <c r="K209" s="174"/>
      <c r="M209">
        <v>10601</v>
      </c>
      <c r="N209">
        <v>372245.8</v>
      </c>
      <c r="O209" s="174">
        <f t="shared" si="27"/>
        <v>0.13400000000000001</v>
      </c>
      <c r="Q209">
        <v>11109</v>
      </c>
      <c r="R209">
        <v>32298.959999999999</v>
      </c>
      <c r="S209" s="174">
        <f t="shared" si="28"/>
        <v>0.13400000000000001</v>
      </c>
      <c r="W209" s="174"/>
      <c r="Y209">
        <v>11109</v>
      </c>
      <c r="Z209">
        <v>97</v>
      </c>
      <c r="AA209" s="174">
        <f t="shared" si="29"/>
        <v>0.13400000000000001</v>
      </c>
    </row>
    <row r="210" spans="1:27">
      <c r="A210">
        <v>40107</v>
      </c>
      <c r="B210">
        <v>4.97</v>
      </c>
      <c r="C210" s="174">
        <f t="shared" si="25"/>
        <v>0.13</v>
      </c>
      <c r="E210">
        <v>10109</v>
      </c>
      <c r="F210">
        <v>1744531.94</v>
      </c>
      <c r="G210" s="172">
        <f t="shared" si="26"/>
        <v>0.13</v>
      </c>
      <c r="K210" s="174"/>
      <c r="M210">
        <v>10109</v>
      </c>
      <c r="N210">
        <v>370192.34</v>
      </c>
      <c r="O210" s="174">
        <f t="shared" si="27"/>
        <v>0.13</v>
      </c>
      <c r="Q210">
        <v>10118</v>
      </c>
      <c r="R210">
        <v>32273.21</v>
      </c>
      <c r="S210" s="174">
        <f t="shared" si="28"/>
        <v>0.13</v>
      </c>
      <c r="W210" s="174"/>
      <c r="Y210">
        <v>10502</v>
      </c>
      <c r="Z210">
        <v>95.5</v>
      </c>
      <c r="AA210" s="174">
        <f t="shared" si="29"/>
        <v>8.4000000000000005E-2</v>
      </c>
    </row>
    <row r="211" spans="1:27">
      <c r="A211">
        <v>10711</v>
      </c>
      <c r="B211">
        <v>4.92</v>
      </c>
      <c r="C211" s="174">
        <f t="shared" si="25"/>
        <v>0.126</v>
      </c>
      <c r="E211">
        <v>20511</v>
      </c>
      <c r="F211">
        <v>1701588.21</v>
      </c>
      <c r="G211" s="172">
        <f t="shared" si="26"/>
        <v>0.126</v>
      </c>
      <c r="K211" s="174"/>
      <c r="M211">
        <v>11109</v>
      </c>
      <c r="N211">
        <v>365759.82</v>
      </c>
      <c r="O211" s="174">
        <f t="shared" si="27"/>
        <v>0.126</v>
      </c>
      <c r="Q211">
        <v>20911</v>
      </c>
      <c r="R211">
        <v>32218.76</v>
      </c>
      <c r="S211" s="174">
        <f t="shared" si="28"/>
        <v>0.126</v>
      </c>
      <c r="W211" s="174"/>
      <c r="Y211">
        <v>10601</v>
      </c>
      <c r="Z211">
        <v>95.5</v>
      </c>
      <c r="AA211" s="174">
        <f t="shared" si="29"/>
        <v>8.4000000000000005E-2</v>
      </c>
    </row>
    <row r="212" spans="1:27">
      <c r="A212">
        <v>40119</v>
      </c>
      <c r="B212">
        <v>4.82</v>
      </c>
      <c r="C212" s="174">
        <f t="shared" si="25"/>
        <v>0.121</v>
      </c>
      <c r="E212">
        <v>40209</v>
      </c>
      <c r="F212">
        <v>1690296.82</v>
      </c>
      <c r="G212" s="172">
        <f t="shared" si="26"/>
        <v>0.121</v>
      </c>
      <c r="K212" s="174"/>
      <c r="M212">
        <v>30619</v>
      </c>
      <c r="N212">
        <v>362821.97</v>
      </c>
      <c r="O212" s="174">
        <f t="shared" si="27"/>
        <v>0.121</v>
      </c>
      <c r="Q212">
        <v>11613</v>
      </c>
      <c r="R212">
        <v>31609.42</v>
      </c>
      <c r="S212" s="174">
        <f t="shared" si="28"/>
        <v>0.121</v>
      </c>
      <c r="W212" s="174"/>
      <c r="Y212">
        <v>10712</v>
      </c>
      <c r="Z212">
        <v>95.5</v>
      </c>
      <c r="AA212" s="174">
        <f t="shared" si="29"/>
        <v>8.4000000000000005E-2</v>
      </c>
    </row>
    <row r="213" spans="1:27">
      <c r="A213">
        <v>30615</v>
      </c>
      <c r="B213">
        <v>4.76</v>
      </c>
      <c r="C213" s="174">
        <f t="shared" si="25"/>
        <v>0.11700000000000001</v>
      </c>
      <c r="E213">
        <v>40103</v>
      </c>
      <c r="F213">
        <v>1610650.13</v>
      </c>
      <c r="G213" s="172">
        <f t="shared" si="26"/>
        <v>0.11700000000000001</v>
      </c>
      <c r="K213" s="174"/>
      <c r="M213">
        <v>11904</v>
      </c>
      <c r="N213">
        <v>359162.27</v>
      </c>
      <c r="O213" s="174">
        <f t="shared" si="27"/>
        <v>0.11700000000000001</v>
      </c>
      <c r="Q213">
        <v>10516</v>
      </c>
      <c r="R213">
        <v>31581.29</v>
      </c>
      <c r="S213" s="174">
        <f t="shared" si="28"/>
        <v>0.11700000000000001</v>
      </c>
      <c r="W213" s="174"/>
      <c r="Y213">
        <v>11410</v>
      </c>
      <c r="Z213">
        <v>95.5</v>
      </c>
      <c r="AA213" s="174">
        <f t="shared" si="29"/>
        <v>8.4000000000000005E-2</v>
      </c>
    </row>
    <row r="214" spans="1:27">
      <c r="A214">
        <v>20511</v>
      </c>
      <c r="B214">
        <v>4.7300000000000004</v>
      </c>
      <c r="C214" s="174">
        <f t="shared" si="25"/>
        <v>0.113</v>
      </c>
      <c r="E214">
        <v>10526</v>
      </c>
      <c r="F214">
        <v>1601029.63</v>
      </c>
      <c r="G214" s="172">
        <f t="shared" si="26"/>
        <v>0.113</v>
      </c>
      <c r="K214" s="174"/>
      <c r="M214">
        <v>11116</v>
      </c>
      <c r="N214">
        <v>358257.42</v>
      </c>
      <c r="O214" s="174">
        <f t="shared" si="27"/>
        <v>0.113</v>
      </c>
      <c r="Q214">
        <v>11812</v>
      </c>
      <c r="R214">
        <v>30992.31</v>
      </c>
      <c r="S214" s="174">
        <f t="shared" si="28"/>
        <v>0.113</v>
      </c>
      <c r="W214" s="174"/>
      <c r="Y214">
        <v>11502</v>
      </c>
      <c r="Z214">
        <v>95.5</v>
      </c>
      <c r="AA214" s="174">
        <f t="shared" si="29"/>
        <v>8.4000000000000005E-2</v>
      </c>
    </row>
    <row r="215" spans="1:27">
      <c r="A215">
        <v>10526</v>
      </c>
      <c r="B215">
        <v>4.6500000000000004</v>
      </c>
      <c r="C215" s="174">
        <f t="shared" si="25"/>
        <v>0.109</v>
      </c>
      <c r="E215">
        <v>10502</v>
      </c>
      <c r="F215">
        <v>1600065.9</v>
      </c>
      <c r="G215" s="172">
        <f t="shared" si="26"/>
        <v>0.109</v>
      </c>
      <c r="K215" s="174"/>
      <c r="M215">
        <v>10747</v>
      </c>
      <c r="N215">
        <v>355271.46</v>
      </c>
      <c r="O215" s="174">
        <f t="shared" si="27"/>
        <v>0.109</v>
      </c>
      <c r="Q215">
        <v>11502</v>
      </c>
      <c r="R215">
        <v>30908.85</v>
      </c>
      <c r="S215" s="174">
        <f t="shared" si="28"/>
        <v>0.109</v>
      </c>
      <c r="W215" s="174"/>
      <c r="Y215">
        <v>11508</v>
      </c>
      <c r="Z215">
        <v>95.5</v>
      </c>
      <c r="AA215" s="174">
        <f t="shared" si="29"/>
        <v>8.4000000000000005E-2</v>
      </c>
    </row>
    <row r="216" spans="1:27">
      <c r="A216">
        <v>10502</v>
      </c>
      <c r="B216">
        <v>4.6399999999999997</v>
      </c>
      <c r="C216" s="174">
        <f t="shared" si="25"/>
        <v>0.105</v>
      </c>
      <c r="E216">
        <v>40127</v>
      </c>
      <c r="F216">
        <v>1585662.37</v>
      </c>
      <c r="G216" s="172">
        <f t="shared" si="26"/>
        <v>0.105</v>
      </c>
      <c r="K216" s="174"/>
      <c r="M216">
        <v>10504</v>
      </c>
      <c r="N216">
        <v>350463.65</v>
      </c>
      <c r="O216" s="174">
        <f t="shared" si="27"/>
        <v>0.105</v>
      </c>
      <c r="Q216">
        <v>40122</v>
      </c>
      <c r="R216">
        <v>30801.1</v>
      </c>
      <c r="S216" s="174">
        <f t="shared" si="28"/>
        <v>0.105</v>
      </c>
      <c r="W216" s="174"/>
      <c r="Y216">
        <v>11617</v>
      </c>
      <c r="Z216">
        <v>95.5</v>
      </c>
      <c r="AA216" s="174">
        <f t="shared" si="29"/>
        <v>8.4000000000000005E-2</v>
      </c>
    </row>
    <row r="217" spans="1:27">
      <c r="A217">
        <v>30421</v>
      </c>
      <c r="B217">
        <v>4.63</v>
      </c>
      <c r="C217" s="174">
        <f t="shared" si="25"/>
        <v>0.1</v>
      </c>
      <c r="E217">
        <v>10108</v>
      </c>
      <c r="F217">
        <v>1558834.04</v>
      </c>
      <c r="G217" s="172">
        <f t="shared" si="26"/>
        <v>0.1</v>
      </c>
      <c r="K217" s="174"/>
      <c r="M217">
        <v>11618</v>
      </c>
      <c r="N217">
        <v>348472.99</v>
      </c>
      <c r="O217" s="174">
        <f t="shared" si="27"/>
        <v>0.1</v>
      </c>
      <c r="Q217">
        <v>40132</v>
      </c>
      <c r="R217">
        <v>30389.14</v>
      </c>
      <c r="S217" s="174">
        <f t="shared" si="28"/>
        <v>0.1</v>
      </c>
      <c r="W217" s="174"/>
      <c r="Y217">
        <v>11912</v>
      </c>
      <c r="Z217">
        <v>95.5</v>
      </c>
      <c r="AA217" s="174">
        <f t="shared" si="29"/>
        <v>8.4000000000000005E-2</v>
      </c>
    </row>
    <row r="218" spans="1:27">
      <c r="A218">
        <v>30202</v>
      </c>
      <c r="B218">
        <v>4.58</v>
      </c>
      <c r="C218" s="174">
        <f t="shared" si="25"/>
        <v>9.6000000000000002E-2</v>
      </c>
      <c r="E218">
        <v>11912</v>
      </c>
      <c r="F218">
        <v>1525892.28</v>
      </c>
      <c r="G218" s="172">
        <f t="shared" si="26"/>
        <v>9.6000000000000002E-2</v>
      </c>
      <c r="K218" s="174"/>
      <c r="M218">
        <v>11617</v>
      </c>
      <c r="N218">
        <v>345469.66</v>
      </c>
      <c r="O218" s="174">
        <f t="shared" si="27"/>
        <v>9.6000000000000002E-2</v>
      </c>
      <c r="Q218">
        <v>11210</v>
      </c>
      <c r="R218">
        <v>30371.14</v>
      </c>
      <c r="S218" s="174">
        <f t="shared" si="28"/>
        <v>9.6000000000000002E-2</v>
      </c>
      <c r="W218" s="174"/>
      <c r="Y218">
        <v>20526</v>
      </c>
      <c r="Z218">
        <v>95.5</v>
      </c>
      <c r="AA218" s="174">
        <f t="shared" si="29"/>
        <v>8.4000000000000005E-2</v>
      </c>
    </row>
    <row r="219" spans="1:27">
      <c r="A219">
        <v>11410</v>
      </c>
      <c r="B219">
        <v>4.53</v>
      </c>
      <c r="C219" s="174">
        <f t="shared" si="25"/>
        <v>9.1999999999999998E-2</v>
      </c>
      <c r="E219">
        <v>20906</v>
      </c>
      <c r="F219">
        <v>1497438.22</v>
      </c>
      <c r="G219" s="172">
        <f t="shared" si="26"/>
        <v>9.1999999999999998E-2</v>
      </c>
      <c r="K219" s="174"/>
      <c r="M219">
        <v>30615</v>
      </c>
      <c r="N219">
        <v>344926.28</v>
      </c>
      <c r="O219" s="174">
        <f t="shared" si="27"/>
        <v>9.1999999999999998E-2</v>
      </c>
      <c r="Q219">
        <v>11602</v>
      </c>
      <c r="R219">
        <v>29686.95</v>
      </c>
      <c r="S219" s="174">
        <f t="shared" si="28"/>
        <v>9.1999999999999998E-2</v>
      </c>
      <c r="W219" s="174"/>
      <c r="Y219">
        <v>30109</v>
      </c>
      <c r="Z219">
        <v>95.5</v>
      </c>
      <c r="AA219" s="174">
        <f t="shared" si="29"/>
        <v>8.4000000000000005E-2</v>
      </c>
    </row>
    <row r="220" spans="1:27">
      <c r="A220">
        <v>10741</v>
      </c>
      <c r="B220">
        <v>4.5199999999999996</v>
      </c>
      <c r="C220" s="174">
        <f t="shared" si="25"/>
        <v>8.7999999999999995E-2</v>
      </c>
      <c r="E220">
        <v>40119</v>
      </c>
      <c r="F220">
        <v>1468627.9</v>
      </c>
      <c r="G220" s="172">
        <f t="shared" si="26"/>
        <v>8.7999999999999995E-2</v>
      </c>
      <c r="K220" s="174"/>
      <c r="M220">
        <v>10741</v>
      </c>
      <c r="N220">
        <v>343534.35</v>
      </c>
      <c r="O220" s="174">
        <f t="shared" si="27"/>
        <v>8.7999999999999995E-2</v>
      </c>
      <c r="Q220">
        <v>40204</v>
      </c>
      <c r="R220">
        <v>29512.46</v>
      </c>
      <c r="S220" s="174">
        <f t="shared" si="28"/>
        <v>8.7999999999999995E-2</v>
      </c>
      <c r="W220" s="174"/>
      <c r="Y220">
        <v>40103</v>
      </c>
      <c r="Z220">
        <v>95.5</v>
      </c>
      <c r="AA220" s="174">
        <f t="shared" si="29"/>
        <v>8.4000000000000005E-2</v>
      </c>
    </row>
    <row r="221" spans="1:27">
      <c r="A221">
        <v>10135</v>
      </c>
      <c r="B221">
        <v>4.49</v>
      </c>
      <c r="C221" s="174">
        <f t="shared" si="25"/>
        <v>8.4000000000000005E-2</v>
      </c>
      <c r="E221">
        <v>30407</v>
      </c>
      <c r="F221">
        <v>1462442.13</v>
      </c>
      <c r="G221" s="172">
        <f t="shared" si="26"/>
        <v>8.4000000000000005E-2</v>
      </c>
      <c r="K221" s="174"/>
      <c r="M221" s="41">
        <v>11404</v>
      </c>
      <c r="N221" s="176">
        <v>332421</v>
      </c>
      <c r="O221" s="174">
        <f t="shared" si="27"/>
        <v>8.4000000000000005E-2</v>
      </c>
      <c r="Q221">
        <v>11609</v>
      </c>
      <c r="R221">
        <v>29215.65</v>
      </c>
      <c r="S221" s="174">
        <f t="shared" si="28"/>
        <v>8.4000000000000005E-2</v>
      </c>
      <c r="W221" s="174"/>
      <c r="Y221">
        <v>40105</v>
      </c>
      <c r="Z221">
        <v>95.5</v>
      </c>
      <c r="AA221" s="174">
        <f t="shared" si="29"/>
        <v>8.4000000000000005E-2</v>
      </c>
    </row>
    <row r="222" spans="1:27">
      <c r="A222">
        <v>10108</v>
      </c>
      <c r="B222">
        <v>4.46</v>
      </c>
      <c r="C222" s="174">
        <f t="shared" si="25"/>
        <v>7.9000000000000001E-2</v>
      </c>
      <c r="E222">
        <v>20433</v>
      </c>
      <c r="F222">
        <v>1454768.81</v>
      </c>
      <c r="G222" s="172">
        <f t="shared" si="26"/>
        <v>7.9000000000000001E-2</v>
      </c>
      <c r="K222" s="174"/>
      <c r="M222">
        <v>11124</v>
      </c>
      <c r="N222">
        <v>326483.96999999997</v>
      </c>
      <c r="O222" s="174">
        <f t="shared" si="27"/>
        <v>7.9000000000000001E-2</v>
      </c>
      <c r="Q222">
        <v>40105</v>
      </c>
      <c r="R222">
        <v>28286.3</v>
      </c>
      <c r="S222" s="174">
        <f t="shared" si="28"/>
        <v>7.9000000000000001E-2</v>
      </c>
      <c r="W222" s="174"/>
      <c r="Y222">
        <v>10108</v>
      </c>
      <c r="Z222">
        <v>93</v>
      </c>
      <c r="AA222" s="174">
        <f t="shared" si="29"/>
        <v>0.05</v>
      </c>
    </row>
    <row r="223" spans="1:27">
      <c r="A223">
        <v>30109</v>
      </c>
      <c r="B223">
        <v>4.45</v>
      </c>
      <c r="C223" s="174">
        <f t="shared" si="25"/>
        <v>7.4999999999999997E-2</v>
      </c>
      <c r="E223">
        <v>10741</v>
      </c>
      <c r="F223">
        <v>1443488.76</v>
      </c>
      <c r="G223" s="172">
        <f t="shared" si="26"/>
        <v>7.4999999999999997E-2</v>
      </c>
      <c r="K223" s="174"/>
      <c r="M223">
        <v>11312</v>
      </c>
      <c r="N223">
        <v>324639.43</v>
      </c>
      <c r="O223" s="174">
        <f t="shared" si="27"/>
        <v>7.4999999999999997E-2</v>
      </c>
      <c r="Q223">
        <v>11410</v>
      </c>
      <c r="R223">
        <v>27578.37</v>
      </c>
      <c r="S223" s="174">
        <f t="shared" si="28"/>
        <v>7.4999999999999997E-2</v>
      </c>
      <c r="W223" s="174"/>
      <c r="Y223">
        <v>10504</v>
      </c>
      <c r="Z223">
        <v>93</v>
      </c>
      <c r="AA223" s="174">
        <f t="shared" si="29"/>
        <v>0.05</v>
      </c>
    </row>
    <row r="224" spans="1:27">
      <c r="A224">
        <v>30407</v>
      </c>
      <c r="B224">
        <v>4.43</v>
      </c>
      <c r="C224" s="174">
        <f t="shared" si="25"/>
        <v>7.0999999999999994E-2</v>
      </c>
      <c r="E224">
        <v>11508</v>
      </c>
      <c r="F224">
        <v>1394410.51</v>
      </c>
      <c r="G224" s="172">
        <f t="shared" si="26"/>
        <v>7.0999999999999994E-2</v>
      </c>
      <c r="K224" s="174"/>
      <c r="M224">
        <v>10526</v>
      </c>
      <c r="N224">
        <v>315000.67</v>
      </c>
      <c r="O224" s="174">
        <f t="shared" si="27"/>
        <v>7.0999999999999994E-2</v>
      </c>
      <c r="Q224">
        <v>20431</v>
      </c>
      <c r="R224">
        <v>26889.15</v>
      </c>
      <c r="S224" s="174">
        <f t="shared" si="28"/>
        <v>7.0999999999999994E-2</v>
      </c>
      <c r="W224" s="174"/>
      <c r="Y224">
        <v>10741</v>
      </c>
      <c r="Z224">
        <v>93</v>
      </c>
      <c r="AA224" s="174">
        <f t="shared" si="29"/>
        <v>0.05</v>
      </c>
    </row>
    <row r="225" spans="1:27">
      <c r="A225">
        <v>10140</v>
      </c>
      <c r="B225">
        <v>4.3099999999999996</v>
      </c>
      <c r="C225" s="174">
        <f t="shared" si="25"/>
        <v>6.7000000000000004E-2</v>
      </c>
      <c r="E225">
        <v>30421</v>
      </c>
      <c r="F225">
        <v>1377302.08</v>
      </c>
      <c r="G225" s="172">
        <f t="shared" si="26"/>
        <v>6.7000000000000004E-2</v>
      </c>
      <c r="K225" s="174"/>
      <c r="M225">
        <v>40147</v>
      </c>
      <c r="N225">
        <v>310686.26</v>
      </c>
      <c r="O225" s="174">
        <f t="shared" si="27"/>
        <v>6.7000000000000004E-2</v>
      </c>
      <c r="Q225">
        <v>10502</v>
      </c>
      <c r="R225">
        <v>26276.720000000001</v>
      </c>
      <c r="S225" s="174">
        <f t="shared" si="28"/>
        <v>6.7000000000000004E-2</v>
      </c>
      <c r="W225" s="174"/>
      <c r="Y225">
        <v>11306</v>
      </c>
      <c r="Z225">
        <v>93</v>
      </c>
      <c r="AA225" s="174">
        <f t="shared" si="29"/>
        <v>0.05</v>
      </c>
    </row>
    <row r="226" spans="1:27">
      <c r="A226">
        <v>10601</v>
      </c>
      <c r="B226">
        <v>4.09</v>
      </c>
      <c r="C226" s="174">
        <f t="shared" si="25"/>
        <v>6.3E-2</v>
      </c>
      <c r="E226">
        <v>10712</v>
      </c>
      <c r="F226">
        <v>1296346.29</v>
      </c>
      <c r="G226" s="172">
        <f t="shared" si="26"/>
        <v>6.3E-2</v>
      </c>
      <c r="K226" s="174"/>
      <c r="M226">
        <v>30407</v>
      </c>
      <c r="N226">
        <v>307125.77</v>
      </c>
      <c r="O226" s="174">
        <f t="shared" si="27"/>
        <v>6.3E-2</v>
      </c>
      <c r="Q226">
        <v>10712</v>
      </c>
      <c r="R226">
        <v>25564.31</v>
      </c>
      <c r="S226" s="174">
        <f t="shared" si="28"/>
        <v>6.3E-2</v>
      </c>
      <c r="W226" s="174"/>
      <c r="Y226">
        <v>11404</v>
      </c>
      <c r="Z226">
        <v>93</v>
      </c>
      <c r="AA226" s="174">
        <f t="shared" si="29"/>
        <v>0.05</v>
      </c>
    </row>
    <row r="227" spans="1:27">
      <c r="A227">
        <v>10516</v>
      </c>
      <c r="B227">
        <v>4.07</v>
      </c>
      <c r="C227" s="174">
        <f t="shared" si="25"/>
        <v>0.05</v>
      </c>
      <c r="E227">
        <v>10601</v>
      </c>
      <c r="F227">
        <v>1256427.57</v>
      </c>
      <c r="G227" s="172">
        <f t="shared" si="26"/>
        <v>5.8000000000000003E-2</v>
      </c>
      <c r="K227" s="174"/>
      <c r="M227">
        <v>10712</v>
      </c>
      <c r="N227">
        <v>305106.25</v>
      </c>
      <c r="O227" s="174">
        <f t="shared" si="27"/>
        <v>5.8000000000000003E-2</v>
      </c>
      <c r="Q227">
        <v>11912</v>
      </c>
      <c r="R227">
        <v>24245.85</v>
      </c>
      <c r="S227" s="174">
        <f t="shared" si="28"/>
        <v>5.8000000000000003E-2</v>
      </c>
      <c r="W227" s="174"/>
      <c r="Y227">
        <v>20909</v>
      </c>
      <c r="Z227">
        <v>93</v>
      </c>
      <c r="AA227" s="174">
        <f t="shared" si="29"/>
        <v>0.05</v>
      </c>
    </row>
    <row r="228" spans="1:27">
      <c r="A228">
        <v>10747</v>
      </c>
      <c r="B228">
        <v>4.07</v>
      </c>
      <c r="C228" s="174">
        <f t="shared" si="25"/>
        <v>0.05</v>
      </c>
      <c r="E228">
        <v>11617</v>
      </c>
      <c r="F228">
        <v>1227460.98</v>
      </c>
      <c r="G228" s="172">
        <f t="shared" si="26"/>
        <v>5.3999999999999999E-2</v>
      </c>
      <c r="K228" s="174"/>
      <c r="M228">
        <v>40107</v>
      </c>
      <c r="N228">
        <v>304103.95</v>
      </c>
      <c r="O228" s="174">
        <f t="shared" si="27"/>
        <v>5.3999999999999999E-2</v>
      </c>
      <c r="Q228">
        <v>20906</v>
      </c>
      <c r="R228">
        <v>22035.200000000001</v>
      </c>
      <c r="S228" s="174">
        <f t="shared" si="28"/>
        <v>5.3999999999999999E-2</v>
      </c>
      <c r="W228" s="174"/>
      <c r="Y228">
        <v>30121</v>
      </c>
      <c r="Z228">
        <v>93</v>
      </c>
      <c r="AA228" s="174">
        <f t="shared" si="29"/>
        <v>0.05</v>
      </c>
    </row>
    <row r="229" spans="1:27">
      <c r="A229">
        <v>30619</v>
      </c>
      <c r="B229">
        <v>4.07</v>
      </c>
      <c r="C229" s="174">
        <f t="shared" si="25"/>
        <v>0.05</v>
      </c>
      <c r="E229">
        <v>40132</v>
      </c>
      <c r="F229">
        <v>1041465.11</v>
      </c>
      <c r="G229" s="172">
        <f t="shared" si="26"/>
        <v>0.05</v>
      </c>
      <c r="K229" s="174"/>
      <c r="M229">
        <v>20541</v>
      </c>
      <c r="N229">
        <v>301715.96000000002</v>
      </c>
      <c r="O229" s="174">
        <f t="shared" si="27"/>
        <v>0.05</v>
      </c>
      <c r="Q229">
        <v>11508</v>
      </c>
      <c r="R229">
        <v>21205.33</v>
      </c>
      <c r="S229" s="174">
        <f t="shared" si="28"/>
        <v>0.05</v>
      </c>
      <c r="W229" s="174"/>
      <c r="Y229">
        <v>40132</v>
      </c>
      <c r="Z229">
        <v>93</v>
      </c>
      <c r="AA229" s="174">
        <f t="shared" si="29"/>
        <v>0.05</v>
      </c>
    </row>
    <row r="230" spans="1:27">
      <c r="A230">
        <v>10712</v>
      </c>
      <c r="B230">
        <v>4.03</v>
      </c>
      <c r="C230" s="174">
        <f t="shared" si="25"/>
        <v>4.5999999999999999E-2</v>
      </c>
      <c r="E230">
        <v>11404</v>
      </c>
      <c r="F230">
        <v>1036661.9</v>
      </c>
      <c r="G230" s="172">
        <f t="shared" si="26"/>
        <v>4.5999999999999999E-2</v>
      </c>
      <c r="K230" s="174"/>
      <c r="M230">
        <v>10516</v>
      </c>
      <c r="N230">
        <v>291978.87</v>
      </c>
      <c r="O230" s="174">
        <f t="shared" si="27"/>
        <v>4.5999999999999999E-2</v>
      </c>
      <c r="Q230">
        <v>40119</v>
      </c>
      <c r="R230">
        <v>20622.04</v>
      </c>
      <c r="S230" s="174">
        <f t="shared" si="28"/>
        <v>4.5999999999999999E-2</v>
      </c>
      <c r="W230" s="174"/>
      <c r="Y230">
        <v>10109</v>
      </c>
      <c r="Z230">
        <v>88</v>
      </c>
      <c r="AA230" s="174">
        <f t="shared" si="29"/>
        <v>1.2E-2</v>
      </c>
    </row>
    <row r="231" spans="1:27">
      <c r="A231">
        <v>30121</v>
      </c>
      <c r="B231">
        <v>4.0199999999999996</v>
      </c>
      <c r="C231" s="174">
        <f t="shared" si="25"/>
        <v>4.2000000000000003E-2</v>
      </c>
      <c r="E231">
        <v>10747</v>
      </c>
      <c r="F231">
        <v>1016976.12</v>
      </c>
      <c r="G231" s="172">
        <f t="shared" si="26"/>
        <v>4.2000000000000003E-2</v>
      </c>
      <c r="K231" s="174"/>
      <c r="M231">
        <v>11912</v>
      </c>
      <c r="N231">
        <v>262189.23</v>
      </c>
      <c r="O231" s="174">
        <f t="shared" si="27"/>
        <v>4.2000000000000003E-2</v>
      </c>
      <c r="Q231" s="41">
        <v>11404</v>
      </c>
      <c r="R231" s="176">
        <v>20042.43</v>
      </c>
      <c r="S231" s="174">
        <f t="shared" si="28"/>
        <v>4.2000000000000003E-2</v>
      </c>
      <c r="W231" s="174"/>
      <c r="Y231">
        <v>10747</v>
      </c>
      <c r="Z231">
        <v>88</v>
      </c>
      <c r="AA231" s="174">
        <f t="shared" si="29"/>
        <v>1.2E-2</v>
      </c>
    </row>
    <row r="232" spans="1:27">
      <c r="A232">
        <v>11617</v>
      </c>
      <c r="B232">
        <v>4</v>
      </c>
      <c r="C232" s="174">
        <f t="shared" si="25"/>
        <v>3.6999999999999998E-2</v>
      </c>
      <c r="E232">
        <v>10504</v>
      </c>
      <c r="F232">
        <v>1006631.41</v>
      </c>
      <c r="G232" s="172">
        <f t="shared" si="26"/>
        <v>3.6999999999999998E-2</v>
      </c>
      <c r="K232" s="174"/>
      <c r="M232">
        <v>10108</v>
      </c>
      <c r="N232">
        <v>260584.15</v>
      </c>
      <c r="O232" s="174">
        <f t="shared" si="27"/>
        <v>3.6999999999999998E-2</v>
      </c>
      <c r="Q232">
        <v>10134</v>
      </c>
      <c r="R232">
        <v>19331.900000000001</v>
      </c>
      <c r="S232" s="174">
        <f t="shared" si="28"/>
        <v>3.6999999999999998E-2</v>
      </c>
      <c r="W232" s="174"/>
      <c r="Y232">
        <v>11124</v>
      </c>
      <c r="Z232">
        <v>88</v>
      </c>
      <c r="AA232" s="174">
        <f t="shared" si="29"/>
        <v>1.2E-2</v>
      </c>
    </row>
    <row r="233" spans="1:27">
      <c r="A233">
        <v>40148</v>
      </c>
      <c r="B233">
        <v>3.62</v>
      </c>
      <c r="C233" s="174">
        <f t="shared" si="25"/>
        <v>3.3000000000000002E-2</v>
      </c>
      <c r="E233">
        <v>40126</v>
      </c>
      <c r="F233">
        <v>929545.18</v>
      </c>
      <c r="G233" s="172">
        <f t="shared" si="26"/>
        <v>3.3000000000000002E-2</v>
      </c>
      <c r="K233" s="174"/>
      <c r="M233">
        <v>11508</v>
      </c>
      <c r="N233">
        <v>258774.19</v>
      </c>
      <c r="O233" s="174">
        <f t="shared" si="27"/>
        <v>3.3000000000000002E-2</v>
      </c>
      <c r="Q233">
        <v>10741</v>
      </c>
      <c r="R233">
        <v>18307.68</v>
      </c>
      <c r="S233" s="174">
        <f t="shared" si="28"/>
        <v>3.3000000000000002E-2</v>
      </c>
      <c r="W233" s="174"/>
      <c r="Y233">
        <v>11403</v>
      </c>
      <c r="Z233">
        <v>88</v>
      </c>
      <c r="AA233" s="174">
        <f t="shared" si="29"/>
        <v>1.2E-2</v>
      </c>
    </row>
    <row r="234" spans="1:27">
      <c r="A234">
        <v>10504</v>
      </c>
      <c r="B234">
        <v>3.51</v>
      </c>
      <c r="C234" s="174">
        <f t="shared" si="25"/>
        <v>2.5000000000000001E-2</v>
      </c>
      <c r="E234">
        <v>40107</v>
      </c>
      <c r="F234">
        <v>869863.25</v>
      </c>
      <c r="G234" s="172">
        <f t="shared" si="26"/>
        <v>2.9000000000000001E-2</v>
      </c>
      <c r="K234" s="174"/>
      <c r="M234">
        <v>30121</v>
      </c>
      <c r="N234">
        <v>245817.55</v>
      </c>
      <c r="O234" s="174">
        <f t="shared" si="27"/>
        <v>2.9000000000000001E-2</v>
      </c>
      <c r="Q234">
        <v>30121</v>
      </c>
      <c r="R234">
        <v>16090.66</v>
      </c>
      <c r="S234" s="174">
        <f t="shared" si="28"/>
        <v>2.9000000000000001E-2</v>
      </c>
      <c r="W234" s="174"/>
      <c r="Y234">
        <v>11602</v>
      </c>
      <c r="Z234">
        <v>88</v>
      </c>
      <c r="AA234" s="174">
        <f t="shared" si="29"/>
        <v>1.2E-2</v>
      </c>
    </row>
    <row r="235" spans="1:27">
      <c r="A235">
        <v>11124</v>
      </c>
      <c r="B235">
        <v>3.51</v>
      </c>
      <c r="C235" s="174">
        <f t="shared" si="25"/>
        <v>2.5000000000000001E-2</v>
      </c>
      <c r="E235">
        <v>11124</v>
      </c>
      <c r="F235">
        <v>831751.82</v>
      </c>
      <c r="G235" s="172">
        <f t="shared" si="26"/>
        <v>2.5000000000000001E-2</v>
      </c>
      <c r="M235">
        <v>40132</v>
      </c>
      <c r="N235">
        <v>233365.95</v>
      </c>
      <c r="O235" s="174">
        <f t="shared" si="27"/>
        <v>2.5000000000000001E-2</v>
      </c>
      <c r="Q235">
        <v>40107</v>
      </c>
      <c r="R235">
        <v>15971.72</v>
      </c>
      <c r="S235" s="174">
        <f t="shared" si="28"/>
        <v>2.5000000000000001E-2</v>
      </c>
      <c r="Y235">
        <v>40107</v>
      </c>
      <c r="Z235">
        <v>88</v>
      </c>
      <c r="AA235" s="174">
        <f t="shared" si="29"/>
        <v>1.2E-2</v>
      </c>
    </row>
    <row r="236" spans="1:27">
      <c r="A236">
        <v>11912</v>
      </c>
      <c r="B236">
        <v>3.5</v>
      </c>
      <c r="C236" s="174">
        <f t="shared" si="25"/>
        <v>2.1000000000000001E-2</v>
      </c>
      <c r="E236">
        <v>10130</v>
      </c>
      <c r="F236">
        <v>596080.87</v>
      </c>
      <c r="G236" s="172">
        <f t="shared" si="26"/>
        <v>2.1000000000000001E-2</v>
      </c>
      <c r="M236">
        <v>10135</v>
      </c>
      <c r="N236">
        <v>188148.66</v>
      </c>
      <c r="O236" s="174">
        <f t="shared" si="27"/>
        <v>2.1000000000000001E-2</v>
      </c>
      <c r="Q236">
        <v>10747</v>
      </c>
      <c r="R236">
        <v>13409.71</v>
      </c>
      <c r="S236" s="174">
        <f t="shared" si="28"/>
        <v>2.1000000000000001E-2</v>
      </c>
      <c r="Y236">
        <v>40119</v>
      </c>
      <c r="Z236">
        <v>88</v>
      </c>
      <c r="AA236" s="174">
        <f t="shared" si="29"/>
        <v>1.2E-2</v>
      </c>
    </row>
    <row r="237" spans="1:27">
      <c r="A237">
        <v>11404</v>
      </c>
      <c r="B237">
        <v>3.48</v>
      </c>
      <c r="C237" s="174">
        <f t="shared" si="25"/>
        <v>1.6E-2</v>
      </c>
      <c r="E237">
        <v>40148</v>
      </c>
      <c r="F237">
        <v>370677.28</v>
      </c>
      <c r="G237" s="172">
        <f t="shared" si="26"/>
        <v>1.6E-2</v>
      </c>
      <c r="M237">
        <v>10133</v>
      </c>
      <c r="N237">
        <v>74547.350000000006</v>
      </c>
      <c r="O237" s="174">
        <f t="shared" si="27"/>
        <v>1.6E-2</v>
      </c>
      <c r="Q237">
        <v>11617</v>
      </c>
      <c r="R237">
        <v>7921.55</v>
      </c>
      <c r="S237" s="174">
        <f t="shared" si="28"/>
        <v>1.6E-2</v>
      </c>
      <c r="Y237">
        <v>40148</v>
      </c>
      <c r="Z237">
        <v>88</v>
      </c>
      <c r="AA237" s="174">
        <f t="shared" si="29"/>
        <v>1.2E-2</v>
      </c>
    </row>
    <row r="238" spans="1:27">
      <c r="A238">
        <v>10109</v>
      </c>
      <c r="B238">
        <v>3.45</v>
      </c>
      <c r="C238" s="174">
        <f t="shared" si="25"/>
        <v>1.2E-2</v>
      </c>
      <c r="E238">
        <v>40149</v>
      </c>
      <c r="F238">
        <v>269532.37</v>
      </c>
      <c r="G238" s="172">
        <f t="shared" si="26"/>
        <v>1.2E-2</v>
      </c>
      <c r="M238">
        <v>40148</v>
      </c>
      <c r="N238">
        <v>73657.67</v>
      </c>
      <c r="O238" s="174">
        <f t="shared" si="27"/>
        <v>1.2E-2</v>
      </c>
      <c r="Q238">
        <v>10108</v>
      </c>
      <c r="R238">
        <v>7611.29</v>
      </c>
      <c r="S238" s="174">
        <f t="shared" si="28"/>
        <v>1.2E-2</v>
      </c>
      <c r="Y238">
        <v>40149</v>
      </c>
      <c r="Z238">
        <v>88</v>
      </c>
      <c r="AA238" s="174">
        <f t="shared" si="29"/>
        <v>1.2E-2</v>
      </c>
    </row>
    <row r="239" spans="1:27">
      <c r="A239">
        <v>10134</v>
      </c>
      <c r="B239">
        <v>3.07</v>
      </c>
      <c r="C239" s="174">
        <f t="shared" si="25"/>
        <v>8.0000000000000002E-3</v>
      </c>
      <c r="E239">
        <v>10133</v>
      </c>
      <c r="F239">
        <v>0</v>
      </c>
      <c r="G239" s="172">
        <f t="shared" si="26"/>
        <v>0</v>
      </c>
      <c r="M239">
        <v>40149</v>
      </c>
      <c r="N239">
        <v>67408.08</v>
      </c>
      <c r="O239" s="174">
        <f t="shared" si="27"/>
        <v>8.0000000000000002E-3</v>
      </c>
      <c r="Q239">
        <v>40149</v>
      </c>
      <c r="R239">
        <v>7599.71</v>
      </c>
      <c r="S239" s="174">
        <f t="shared" si="28"/>
        <v>8.0000000000000002E-3</v>
      </c>
      <c r="Y239">
        <v>10133</v>
      </c>
      <c r="Z239">
        <v>87.5</v>
      </c>
      <c r="AA239" s="174">
        <f t="shared" si="29"/>
        <v>8.0000000000000002E-3</v>
      </c>
    </row>
    <row r="240" spans="1:27">
      <c r="A240">
        <v>10133</v>
      </c>
      <c r="B240">
        <v>2</v>
      </c>
      <c r="C240" s="174">
        <f t="shared" si="25"/>
        <v>4.0000000000000001E-3</v>
      </c>
      <c r="E240">
        <v>10134</v>
      </c>
      <c r="F240">
        <v>0</v>
      </c>
      <c r="G240" s="172">
        <f t="shared" si="26"/>
        <v>0</v>
      </c>
      <c r="M240">
        <v>10134</v>
      </c>
      <c r="N240">
        <v>28411.61</v>
      </c>
      <c r="O240" s="174">
        <f t="shared" si="27"/>
        <v>4.0000000000000001E-3</v>
      </c>
      <c r="Q240">
        <v>40148</v>
      </c>
      <c r="R240">
        <v>3056.97</v>
      </c>
      <c r="S240" s="174">
        <f t="shared" si="28"/>
        <v>4.0000000000000001E-3</v>
      </c>
      <c r="Y240">
        <v>10134</v>
      </c>
      <c r="Z240">
        <v>75</v>
      </c>
      <c r="AA240" s="174">
        <f t="shared" si="29"/>
        <v>4.0000000000000001E-3</v>
      </c>
    </row>
    <row r="241" spans="1:27">
      <c r="A241">
        <v>10130</v>
      </c>
      <c r="B241">
        <v>0</v>
      </c>
      <c r="C241" s="174">
        <f t="shared" si="25"/>
        <v>0</v>
      </c>
      <c r="E241">
        <v>10135</v>
      </c>
      <c r="F241">
        <v>0</v>
      </c>
      <c r="G241" s="172">
        <f t="shared" si="26"/>
        <v>0</v>
      </c>
      <c r="M241">
        <v>10130</v>
      </c>
      <c r="N241">
        <v>1157</v>
      </c>
      <c r="O241" s="174">
        <f t="shared" si="27"/>
        <v>0</v>
      </c>
      <c r="Q241">
        <v>10130</v>
      </c>
      <c r="R241">
        <v>0</v>
      </c>
      <c r="S241" s="174">
        <f t="shared" si="28"/>
        <v>0</v>
      </c>
      <c r="Y241">
        <v>10130</v>
      </c>
      <c r="Z241">
        <v>33</v>
      </c>
      <c r="AA241" s="174">
        <f t="shared" si="29"/>
        <v>0</v>
      </c>
    </row>
  </sheetData>
  <autoFilter ref="Y2:AA241" xr:uid="{6DC2DE59-D421-40B4-A2D7-8196C1C711C4}">
    <sortState xmlns:xlrd2="http://schemas.microsoft.com/office/spreadsheetml/2017/richdata2" ref="Y3:AA241">
      <sortCondition descending="1" ref="AA2:AA241"/>
    </sortState>
  </autoFilter>
  <mergeCells count="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2F45-7F7A-490C-BB50-2B2D61F8D58C}">
  <dimension ref="B1:N275"/>
  <sheetViews>
    <sheetView workbookViewId="0">
      <selection activeCell="G23" sqref="G23"/>
    </sheetView>
  </sheetViews>
  <sheetFormatPr defaultRowHeight="15"/>
  <cols>
    <col min="2" max="2" width="11.28515625" bestFit="1" customWidth="1"/>
  </cols>
  <sheetData>
    <row r="1" spans="2:14">
      <c r="B1" t="s">
        <v>499</v>
      </c>
      <c r="F1">
        <f>COUNT(B2:B275)</f>
        <v>19</v>
      </c>
    </row>
    <row r="2" spans="2:14">
      <c r="B2" s="56">
        <v>4943.49</v>
      </c>
      <c r="C2" s="164" t="s">
        <v>500</v>
      </c>
      <c r="D2" s="171">
        <v>1</v>
      </c>
      <c r="F2" s="165">
        <v>0.1</v>
      </c>
      <c r="G2" s="165">
        <v>0.2</v>
      </c>
      <c r="H2" s="165">
        <v>0.4</v>
      </c>
      <c r="I2" s="165">
        <v>0.3</v>
      </c>
    </row>
    <row r="3" spans="2:14">
      <c r="B3" s="56">
        <v>4502.59</v>
      </c>
      <c r="C3" s="164" t="s">
        <v>500</v>
      </c>
      <c r="D3" s="171">
        <v>2</v>
      </c>
      <c r="F3">
        <f>ROUNDUP(F1*10%,0)</f>
        <v>2</v>
      </c>
      <c r="G3">
        <f>ROUNDUP(F1*F2+F1*G2,0)</f>
        <v>6</v>
      </c>
      <c r="H3">
        <f>ROUNDUP(F1*F2+F1*G2+F1*H2,0)</f>
        <v>14</v>
      </c>
      <c r="M3" s="89">
        <v>27</v>
      </c>
      <c r="N3" s="172">
        <f>M3/SUM($M$3:$M$6)</f>
        <v>9.9630996309963096E-2</v>
      </c>
    </row>
    <row r="4" spans="2:14">
      <c r="B4" s="56">
        <v>3878.79</v>
      </c>
      <c r="C4" s="164" t="s">
        <v>500</v>
      </c>
      <c r="D4" s="171">
        <v>3</v>
      </c>
      <c r="F4">
        <f>_xlfn.XLOOKUP(F$3,$D:$D,$B:$B,0,0)</f>
        <v>4502.59</v>
      </c>
      <c r="G4">
        <f t="shared" ref="G4:H4" si="0">_xlfn.XLOOKUP(G$3,$D:$D,$B:$B,0,0)</f>
        <v>2379.1</v>
      </c>
      <c r="H4">
        <f t="shared" si="0"/>
        <v>0</v>
      </c>
      <c r="M4" s="89">
        <v>52</v>
      </c>
      <c r="N4" s="172">
        <f t="shared" ref="N4:N6" si="1">M4/SUM($M$3:$M$6)</f>
        <v>0.1918819188191882</v>
      </c>
    </row>
    <row r="5" spans="2:14">
      <c r="B5" s="56">
        <v>3138.19</v>
      </c>
      <c r="C5" s="164" t="s">
        <v>500</v>
      </c>
      <c r="D5" s="171">
        <v>4</v>
      </c>
      <c r="M5" s="89">
        <v>110</v>
      </c>
      <c r="N5" s="172">
        <f t="shared" si="1"/>
        <v>0.4059040590405904</v>
      </c>
    </row>
    <row r="6" spans="2:14">
      <c r="B6" s="56">
        <v>2781.83</v>
      </c>
      <c r="C6" s="164" t="s">
        <v>500</v>
      </c>
      <c r="D6" s="171">
        <v>5</v>
      </c>
      <c r="M6" s="89">
        <v>82</v>
      </c>
      <c r="N6" s="172">
        <f t="shared" si="1"/>
        <v>0.30258302583025831</v>
      </c>
    </row>
    <row r="7" spans="2:14">
      <c r="B7" s="56">
        <v>2379.1</v>
      </c>
      <c r="C7" s="164" t="s">
        <v>500</v>
      </c>
      <c r="D7" s="171">
        <v>6</v>
      </c>
    </row>
    <row r="8" spans="2:14">
      <c r="B8" s="56">
        <v>2119.5300000000002</v>
      </c>
      <c r="C8" s="164" t="s">
        <v>500</v>
      </c>
      <c r="D8" s="171">
        <v>7</v>
      </c>
    </row>
    <row r="9" spans="2:14">
      <c r="B9" s="56">
        <v>2111.8000000000002</v>
      </c>
      <c r="C9" s="164" t="s">
        <v>500</v>
      </c>
      <c r="D9" s="171">
        <v>8</v>
      </c>
    </row>
    <row r="10" spans="2:14">
      <c r="B10" s="56">
        <v>1906.87</v>
      </c>
      <c r="C10" s="164" t="s">
        <v>500</v>
      </c>
      <c r="D10" s="171">
        <v>9</v>
      </c>
    </row>
    <row r="11" spans="2:14">
      <c r="B11" s="56">
        <v>1279.9000000000001</v>
      </c>
      <c r="C11" s="164" t="s">
        <v>500</v>
      </c>
      <c r="D11" s="171">
        <v>10</v>
      </c>
    </row>
    <row r="12" spans="2:14">
      <c r="B12" s="56">
        <v>1064.18</v>
      </c>
      <c r="C12" s="164" t="s">
        <v>500</v>
      </c>
      <c r="D12" s="171">
        <v>11</v>
      </c>
    </row>
    <row r="13" spans="2:14">
      <c r="B13" s="56">
        <v>0</v>
      </c>
      <c r="C13" s="164" t="s">
        <v>500</v>
      </c>
      <c r="D13" s="171">
        <v>12</v>
      </c>
    </row>
    <row r="14" spans="2:14">
      <c r="B14" s="56">
        <v>0</v>
      </c>
      <c r="C14" s="164" t="s">
        <v>500</v>
      </c>
      <c r="D14" s="171">
        <v>13</v>
      </c>
    </row>
    <row r="15" spans="2:14">
      <c r="B15" s="56">
        <v>0</v>
      </c>
      <c r="C15" s="164" t="s">
        <v>500</v>
      </c>
      <c r="D15" s="171">
        <v>14</v>
      </c>
    </row>
    <row r="16" spans="2:14">
      <c r="B16" s="56">
        <v>0</v>
      </c>
      <c r="C16" s="164" t="s">
        <v>500</v>
      </c>
      <c r="D16" s="171">
        <v>15</v>
      </c>
    </row>
    <row r="17" spans="2:4">
      <c r="B17" s="56">
        <v>0</v>
      </c>
      <c r="C17" s="164" t="s">
        <v>500</v>
      </c>
      <c r="D17" s="171">
        <v>16</v>
      </c>
    </row>
    <row r="18" spans="2:4">
      <c r="B18" s="56">
        <v>0</v>
      </c>
      <c r="C18" s="164" t="s">
        <v>500</v>
      </c>
      <c r="D18" s="171">
        <v>17</v>
      </c>
    </row>
    <row r="19" spans="2:4">
      <c r="B19" s="56">
        <v>0</v>
      </c>
      <c r="C19" s="164" t="s">
        <v>500</v>
      </c>
      <c r="D19" s="171">
        <v>18</v>
      </c>
    </row>
    <row r="20" spans="2:4">
      <c r="B20" s="56">
        <v>0</v>
      </c>
      <c r="C20" s="164" t="s">
        <v>500</v>
      </c>
      <c r="D20" s="171">
        <v>19</v>
      </c>
    </row>
    <row r="21" spans="2:4">
      <c r="B21" s="56"/>
      <c r="C21" s="164"/>
      <c r="D21" s="171">
        <v>20</v>
      </c>
    </row>
    <row r="22" spans="2:4">
      <c r="B22" s="56"/>
      <c r="C22" s="164"/>
      <c r="D22" s="171">
        <v>21</v>
      </c>
    </row>
    <row r="23" spans="2:4">
      <c r="B23" s="56"/>
      <c r="C23" s="164"/>
      <c r="D23" s="171">
        <v>22</v>
      </c>
    </row>
    <row r="24" spans="2:4">
      <c r="B24" s="56"/>
      <c r="C24" s="164"/>
      <c r="D24" s="171">
        <v>23</v>
      </c>
    </row>
    <row r="25" spans="2:4">
      <c r="B25" s="56"/>
      <c r="C25" s="164"/>
      <c r="D25" s="171">
        <v>24</v>
      </c>
    </row>
    <row r="26" spans="2:4">
      <c r="B26" s="56"/>
      <c r="C26" s="164"/>
      <c r="D26" s="171">
        <v>25</v>
      </c>
    </row>
    <row r="27" spans="2:4">
      <c r="B27" s="56"/>
      <c r="C27" s="164"/>
      <c r="D27" s="171">
        <v>26</v>
      </c>
    </row>
    <row r="28" spans="2:4">
      <c r="B28" s="56"/>
      <c r="C28" s="164"/>
      <c r="D28" s="171">
        <v>27</v>
      </c>
    </row>
    <row r="29" spans="2:4">
      <c r="B29" s="56"/>
      <c r="C29" s="164"/>
      <c r="D29" s="171">
        <v>28</v>
      </c>
    </row>
    <row r="30" spans="2:4">
      <c r="B30" s="56"/>
      <c r="C30" s="164"/>
      <c r="D30" s="171">
        <v>29</v>
      </c>
    </row>
    <row r="31" spans="2:4">
      <c r="B31" s="56"/>
      <c r="C31" s="164"/>
      <c r="D31" s="171">
        <v>30</v>
      </c>
    </row>
    <row r="32" spans="2:4">
      <c r="B32" s="56"/>
      <c r="C32" s="164"/>
      <c r="D32" s="171">
        <v>31</v>
      </c>
    </row>
    <row r="33" spans="2:4">
      <c r="B33" s="56"/>
      <c r="C33" s="164"/>
      <c r="D33" s="171">
        <v>32</v>
      </c>
    </row>
    <row r="34" spans="2:4">
      <c r="B34" s="56"/>
      <c r="C34" s="164"/>
      <c r="D34" s="171">
        <v>33</v>
      </c>
    </row>
    <row r="35" spans="2:4">
      <c r="B35" s="56"/>
      <c r="C35" s="164"/>
      <c r="D35" s="171">
        <v>34</v>
      </c>
    </row>
    <row r="36" spans="2:4">
      <c r="B36" s="56"/>
      <c r="C36" s="164"/>
      <c r="D36" s="171">
        <v>35</v>
      </c>
    </row>
    <row r="37" spans="2:4">
      <c r="B37" s="56"/>
      <c r="C37" s="164"/>
      <c r="D37" s="171">
        <v>36</v>
      </c>
    </row>
    <row r="38" spans="2:4">
      <c r="B38" s="56"/>
      <c r="C38" s="164"/>
      <c r="D38" s="171">
        <v>37</v>
      </c>
    </row>
    <row r="39" spans="2:4">
      <c r="B39" s="56"/>
      <c r="C39" s="164"/>
      <c r="D39" s="171">
        <v>38</v>
      </c>
    </row>
    <row r="40" spans="2:4">
      <c r="B40" s="56"/>
      <c r="C40" s="164"/>
      <c r="D40" s="171">
        <v>39</v>
      </c>
    </row>
    <row r="41" spans="2:4">
      <c r="B41" s="56"/>
      <c r="C41" s="164"/>
      <c r="D41" s="171">
        <v>40</v>
      </c>
    </row>
    <row r="42" spans="2:4">
      <c r="B42" s="56"/>
      <c r="C42" s="164"/>
      <c r="D42" s="171">
        <v>41</v>
      </c>
    </row>
    <row r="43" spans="2:4">
      <c r="B43" s="56"/>
      <c r="C43" s="164"/>
      <c r="D43" s="171">
        <v>42</v>
      </c>
    </row>
    <row r="44" spans="2:4">
      <c r="B44" s="56"/>
      <c r="C44" s="164"/>
      <c r="D44" s="171">
        <v>43</v>
      </c>
    </row>
    <row r="45" spans="2:4">
      <c r="B45" s="56"/>
      <c r="C45" s="164"/>
      <c r="D45" s="171">
        <v>44</v>
      </c>
    </row>
    <row r="46" spans="2:4">
      <c r="B46" s="56"/>
      <c r="C46" s="164"/>
      <c r="D46" s="171">
        <v>45</v>
      </c>
    </row>
    <row r="47" spans="2:4">
      <c r="B47" s="56"/>
      <c r="C47" s="164"/>
      <c r="D47" s="171">
        <v>46</v>
      </c>
    </row>
    <row r="48" spans="2:4">
      <c r="B48" s="56"/>
      <c r="C48" s="164"/>
      <c r="D48" s="171">
        <v>47</v>
      </c>
    </row>
    <row r="49" spans="2:4">
      <c r="B49" s="56"/>
      <c r="C49" s="164"/>
      <c r="D49" s="171">
        <v>48</v>
      </c>
    </row>
    <row r="50" spans="2:4">
      <c r="B50" s="56"/>
      <c r="C50" s="164"/>
      <c r="D50" s="171">
        <v>49</v>
      </c>
    </row>
    <row r="51" spans="2:4">
      <c r="B51" s="56"/>
      <c r="C51" s="164"/>
      <c r="D51" s="171">
        <v>50</v>
      </c>
    </row>
    <row r="52" spans="2:4">
      <c r="B52" s="56"/>
      <c r="C52" s="164"/>
      <c r="D52" s="171">
        <v>51</v>
      </c>
    </row>
    <row r="53" spans="2:4">
      <c r="B53" s="56"/>
      <c r="C53" s="164"/>
      <c r="D53" s="171">
        <v>52</v>
      </c>
    </row>
    <row r="54" spans="2:4">
      <c r="B54" s="56"/>
      <c r="C54" s="164"/>
      <c r="D54" s="171">
        <v>53</v>
      </c>
    </row>
    <row r="55" spans="2:4">
      <c r="B55" s="56"/>
      <c r="C55" s="164"/>
      <c r="D55" s="171">
        <v>54</v>
      </c>
    </row>
    <row r="56" spans="2:4">
      <c r="B56" s="56"/>
      <c r="C56" s="164"/>
      <c r="D56" s="171">
        <v>55</v>
      </c>
    </row>
    <row r="57" spans="2:4">
      <c r="B57" s="56"/>
      <c r="C57" s="164"/>
      <c r="D57" s="171">
        <v>56</v>
      </c>
    </row>
    <row r="58" spans="2:4">
      <c r="B58" s="56"/>
      <c r="C58" s="164"/>
      <c r="D58" s="171">
        <v>57</v>
      </c>
    </row>
    <row r="59" spans="2:4">
      <c r="B59" s="56"/>
      <c r="C59" s="164"/>
      <c r="D59" s="171">
        <v>58</v>
      </c>
    </row>
    <row r="60" spans="2:4">
      <c r="B60" s="56"/>
      <c r="C60" s="164"/>
      <c r="D60" s="171">
        <v>59</v>
      </c>
    </row>
    <row r="61" spans="2:4">
      <c r="B61" s="56"/>
      <c r="C61" s="164"/>
      <c r="D61" s="171">
        <v>60</v>
      </c>
    </row>
    <row r="62" spans="2:4">
      <c r="B62" s="56"/>
      <c r="C62" s="164"/>
      <c r="D62" s="171">
        <v>61</v>
      </c>
    </row>
    <row r="63" spans="2:4">
      <c r="B63" s="56"/>
      <c r="C63" s="164"/>
      <c r="D63" s="171">
        <v>62</v>
      </c>
    </row>
    <row r="64" spans="2:4">
      <c r="B64" s="56"/>
      <c r="C64" s="164"/>
      <c r="D64" s="171">
        <v>63</v>
      </c>
    </row>
    <row r="65" spans="2:4">
      <c r="B65" s="56"/>
      <c r="C65" s="164"/>
      <c r="D65" s="171">
        <v>64</v>
      </c>
    </row>
    <row r="66" spans="2:4">
      <c r="B66" s="56"/>
      <c r="C66" s="164"/>
      <c r="D66" s="171">
        <v>65</v>
      </c>
    </row>
    <row r="67" spans="2:4">
      <c r="B67" s="56"/>
      <c r="C67" s="164"/>
      <c r="D67" s="171">
        <v>66</v>
      </c>
    </row>
    <row r="68" spans="2:4">
      <c r="B68" s="56"/>
      <c r="C68" s="164"/>
      <c r="D68" s="171">
        <v>67</v>
      </c>
    </row>
    <row r="69" spans="2:4">
      <c r="B69" s="56"/>
      <c r="C69" s="164"/>
      <c r="D69" s="171">
        <v>68</v>
      </c>
    </row>
    <row r="70" spans="2:4">
      <c r="B70" s="56"/>
      <c r="C70" s="164"/>
      <c r="D70" s="171">
        <v>69</v>
      </c>
    </row>
    <row r="71" spans="2:4">
      <c r="B71" s="56"/>
      <c r="C71" s="164"/>
      <c r="D71" s="171">
        <v>70</v>
      </c>
    </row>
    <row r="72" spans="2:4">
      <c r="B72" s="56"/>
      <c r="C72" s="164"/>
      <c r="D72" s="171">
        <v>71</v>
      </c>
    </row>
    <row r="73" spans="2:4">
      <c r="B73" s="56"/>
      <c r="C73" s="164"/>
      <c r="D73" s="171">
        <v>72</v>
      </c>
    </row>
    <row r="74" spans="2:4">
      <c r="B74" s="56"/>
      <c r="C74" s="164"/>
      <c r="D74" s="171">
        <v>73</v>
      </c>
    </row>
    <row r="75" spans="2:4">
      <c r="B75" s="56"/>
      <c r="C75" s="164"/>
      <c r="D75" s="171">
        <v>74</v>
      </c>
    </row>
    <row r="76" spans="2:4">
      <c r="B76" s="56"/>
      <c r="C76" s="164"/>
      <c r="D76" s="171">
        <v>75</v>
      </c>
    </row>
    <row r="77" spans="2:4">
      <c r="B77" s="56"/>
      <c r="C77" s="164"/>
      <c r="D77" s="171">
        <v>76</v>
      </c>
    </row>
    <row r="78" spans="2:4">
      <c r="B78" s="56"/>
      <c r="C78" s="164"/>
      <c r="D78" s="171">
        <v>77</v>
      </c>
    </row>
    <row r="79" spans="2:4">
      <c r="B79" s="56"/>
      <c r="C79" s="164"/>
      <c r="D79" s="171">
        <v>78</v>
      </c>
    </row>
    <row r="80" spans="2:4">
      <c r="B80" s="56"/>
      <c r="C80" s="164"/>
      <c r="D80" s="171">
        <v>79</v>
      </c>
    </row>
    <row r="81" spans="2:4">
      <c r="B81" s="56"/>
      <c r="C81" s="164"/>
      <c r="D81" s="171">
        <v>80</v>
      </c>
    </row>
    <row r="82" spans="2:4">
      <c r="B82" s="56"/>
      <c r="C82" s="164"/>
      <c r="D82" s="171">
        <v>81</v>
      </c>
    </row>
    <row r="83" spans="2:4">
      <c r="B83" s="56"/>
      <c r="C83" s="164"/>
      <c r="D83" s="171">
        <v>82</v>
      </c>
    </row>
    <row r="84" spans="2:4">
      <c r="B84" s="56"/>
      <c r="C84" s="164"/>
      <c r="D84" s="171">
        <v>83</v>
      </c>
    </row>
    <row r="85" spans="2:4">
      <c r="B85" s="56"/>
      <c r="C85" s="164"/>
      <c r="D85" s="171">
        <v>84</v>
      </c>
    </row>
    <row r="86" spans="2:4">
      <c r="B86" s="56"/>
      <c r="C86" s="164"/>
      <c r="D86" s="171">
        <v>85</v>
      </c>
    </row>
    <row r="87" spans="2:4">
      <c r="B87" s="56"/>
      <c r="C87" s="164"/>
      <c r="D87" s="171">
        <v>86</v>
      </c>
    </row>
    <row r="88" spans="2:4">
      <c r="B88" s="56"/>
      <c r="C88" s="164"/>
      <c r="D88" s="171">
        <v>87</v>
      </c>
    </row>
    <row r="89" spans="2:4">
      <c r="B89" s="56"/>
      <c r="C89" s="164"/>
      <c r="D89" s="171">
        <v>88</v>
      </c>
    </row>
    <row r="90" spans="2:4">
      <c r="B90" s="56"/>
      <c r="C90" s="164"/>
      <c r="D90" s="171">
        <v>89</v>
      </c>
    </row>
    <row r="91" spans="2:4">
      <c r="B91" s="56"/>
      <c r="C91" s="164"/>
      <c r="D91" s="171">
        <v>90</v>
      </c>
    </row>
    <row r="92" spans="2:4">
      <c r="B92" s="56"/>
      <c r="C92" s="164"/>
      <c r="D92" s="171">
        <v>91</v>
      </c>
    </row>
    <row r="93" spans="2:4">
      <c r="B93" s="56"/>
      <c r="C93" s="164"/>
      <c r="D93" s="171">
        <v>92</v>
      </c>
    </row>
    <row r="94" spans="2:4">
      <c r="B94" s="56"/>
      <c r="C94" s="164"/>
      <c r="D94" s="171">
        <v>93</v>
      </c>
    </row>
    <row r="95" spans="2:4">
      <c r="B95" s="56"/>
      <c r="C95" s="164"/>
      <c r="D95" s="171">
        <v>94</v>
      </c>
    </row>
    <row r="96" spans="2:4">
      <c r="B96" s="56"/>
      <c r="C96" s="164"/>
      <c r="D96" s="171">
        <v>95</v>
      </c>
    </row>
    <row r="97" spans="2:4">
      <c r="B97" s="56"/>
      <c r="C97" s="164"/>
      <c r="D97" s="171">
        <v>96</v>
      </c>
    </row>
    <row r="98" spans="2:4">
      <c r="B98" s="56"/>
      <c r="C98" s="164"/>
      <c r="D98" s="171">
        <v>97</v>
      </c>
    </row>
    <row r="99" spans="2:4">
      <c r="B99" s="56"/>
      <c r="C99" s="164"/>
      <c r="D99" s="171">
        <v>98</v>
      </c>
    </row>
    <row r="100" spans="2:4">
      <c r="B100" s="56"/>
      <c r="C100" s="164"/>
      <c r="D100" s="171">
        <v>99</v>
      </c>
    </row>
    <row r="101" spans="2:4">
      <c r="B101" s="56"/>
      <c r="C101" s="164"/>
      <c r="D101" s="171">
        <v>100</v>
      </c>
    </row>
    <row r="102" spans="2:4">
      <c r="B102" s="56"/>
      <c r="C102" s="164"/>
      <c r="D102" s="171">
        <v>101</v>
      </c>
    </row>
    <row r="103" spans="2:4">
      <c r="B103" s="56"/>
      <c r="C103" s="164"/>
      <c r="D103" s="171">
        <v>102</v>
      </c>
    </row>
    <row r="104" spans="2:4">
      <c r="B104" s="56"/>
      <c r="C104" s="164"/>
      <c r="D104" s="171">
        <v>103</v>
      </c>
    </row>
    <row r="105" spans="2:4">
      <c r="B105" s="56"/>
      <c r="C105" s="164"/>
      <c r="D105" s="171">
        <v>104</v>
      </c>
    </row>
    <row r="106" spans="2:4">
      <c r="B106" s="56"/>
      <c r="C106" s="164"/>
      <c r="D106" s="171">
        <v>105</v>
      </c>
    </row>
    <row r="107" spans="2:4">
      <c r="B107" s="56"/>
      <c r="C107" s="164"/>
      <c r="D107" s="171">
        <v>106</v>
      </c>
    </row>
    <row r="108" spans="2:4">
      <c r="B108" s="56"/>
      <c r="C108" s="164"/>
      <c r="D108" s="171">
        <v>107</v>
      </c>
    </row>
    <row r="109" spans="2:4">
      <c r="B109" s="56"/>
      <c r="C109" s="164"/>
      <c r="D109" s="171">
        <v>108</v>
      </c>
    </row>
    <row r="110" spans="2:4">
      <c r="B110" s="56"/>
      <c r="C110" s="164"/>
      <c r="D110" s="171">
        <v>109</v>
      </c>
    </row>
    <row r="111" spans="2:4">
      <c r="B111" s="56"/>
      <c r="C111" s="164"/>
      <c r="D111" s="171">
        <v>110</v>
      </c>
    </row>
    <row r="112" spans="2:4">
      <c r="B112" s="56"/>
      <c r="C112" s="164"/>
      <c r="D112" s="171">
        <v>111</v>
      </c>
    </row>
    <row r="113" spans="2:4">
      <c r="B113" s="56"/>
      <c r="C113" s="164"/>
      <c r="D113" s="171">
        <v>112</v>
      </c>
    </row>
    <row r="114" spans="2:4">
      <c r="B114" s="56"/>
      <c r="C114" s="164"/>
      <c r="D114" s="171">
        <v>113</v>
      </c>
    </row>
    <row r="115" spans="2:4">
      <c r="B115" s="56"/>
      <c r="C115" s="164"/>
      <c r="D115" s="171">
        <v>114</v>
      </c>
    </row>
    <row r="116" spans="2:4">
      <c r="B116" s="56"/>
      <c r="C116" s="164"/>
      <c r="D116" s="171">
        <v>115</v>
      </c>
    </row>
    <row r="117" spans="2:4">
      <c r="B117" s="56"/>
      <c r="C117" s="164"/>
      <c r="D117" s="171">
        <v>116</v>
      </c>
    </row>
    <row r="118" spans="2:4">
      <c r="B118" s="56"/>
      <c r="C118" s="164"/>
      <c r="D118" s="171">
        <v>117</v>
      </c>
    </row>
    <row r="119" spans="2:4">
      <c r="B119" s="56"/>
      <c r="C119" s="164"/>
      <c r="D119" s="171">
        <v>118</v>
      </c>
    </row>
    <row r="120" spans="2:4">
      <c r="B120" s="56"/>
      <c r="C120" s="164"/>
      <c r="D120" s="171">
        <v>119</v>
      </c>
    </row>
    <row r="121" spans="2:4">
      <c r="B121" s="56"/>
      <c r="C121" s="164"/>
      <c r="D121" s="171">
        <v>120</v>
      </c>
    </row>
    <row r="122" spans="2:4">
      <c r="B122" s="56"/>
      <c r="C122" s="164"/>
      <c r="D122" s="171">
        <v>121</v>
      </c>
    </row>
    <row r="123" spans="2:4">
      <c r="B123" s="56"/>
      <c r="C123" s="164"/>
      <c r="D123" s="171">
        <v>122</v>
      </c>
    </row>
    <row r="124" spans="2:4">
      <c r="B124" s="56"/>
      <c r="C124" s="164"/>
      <c r="D124" s="171">
        <v>123</v>
      </c>
    </row>
    <row r="125" spans="2:4">
      <c r="B125" s="56"/>
      <c r="C125" s="164"/>
      <c r="D125" s="171">
        <v>124</v>
      </c>
    </row>
    <row r="126" spans="2:4">
      <c r="B126" s="56"/>
      <c r="C126" s="164"/>
      <c r="D126" s="171">
        <v>125</v>
      </c>
    </row>
    <row r="127" spans="2:4">
      <c r="B127" s="56"/>
      <c r="C127" s="164"/>
      <c r="D127" s="171">
        <v>126</v>
      </c>
    </row>
    <row r="128" spans="2:4">
      <c r="B128" s="56"/>
      <c r="C128" s="164"/>
      <c r="D128" s="171">
        <v>127</v>
      </c>
    </row>
    <row r="129" spans="2:4">
      <c r="B129" s="56"/>
      <c r="C129" s="164"/>
      <c r="D129" s="171">
        <v>128</v>
      </c>
    </row>
    <row r="130" spans="2:4">
      <c r="B130" s="56"/>
      <c r="C130" s="164"/>
      <c r="D130" s="171">
        <v>129</v>
      </c>
    </row>
    <row r="131" spans="2:4">
      <c r="B131" s="56"/>
      <c r="C131" s="164"/>
      <c r="D131" s="171">
        <v>130</v>
      </c>
    </row>
    <row r="132" spans="2:4">
      <c r="B132" s="56"/>
      <c r="C132" s="164"/>
      <c r="D132" s="171">
        <v>131</v>
      </c>
    </row>
    <row r="133" spans="2:4">
      <c r="B133" s="56"/>
      <c r="C133" s="164"/>
      <c r="D133" s="171">
        <v>132</v>
      </c>
    </row>
    <row r="134" spans="2:4">
      <c r="B134" s="56"/>
      <c r="C134" s="164"/>
      <c r="D134" s="171">
        <v>133</v>
      </c>
    </row>
    <row r="135" spans="2:4">
      <c r="B135" s="56"/>
      <c r="C135" s="164"/>
      <c r="D135" s="171">
        <v>134</v>
      </c>
    </row>
    <row r="136" spans="2:4">
      <c r="B136" s="56"/>
      <c r="C136" s="164"/>
      <c r="D136" s="171">
        <v>135</v>
      </c>
    </row>
    <row r="137" spans="2:4">
      <c r="B137" s="56"/>
      <c r="C137" s="164"/>
      <c r="D137" s="171">
        <v>136</v>
      </c>
    </row>
    <row r="138" spans="2:4">
      <c r="B138" s="56"/>
      <c r="C138" s="164"/>
      <c r="D138" s="171">
        <v>137</v>
      </c>
    </row>
    <row r="139" spans="2:4">
      <c r="B139" s="56"/>
      <c r="C139" s="164"/>
      <c r="D139" s="171">
        <v>138</v>
      </c>
    </row>
    <row r="140" spans="2:4">
      <c r="B140" s="56"/>
      <c r="C140" s="164"/>
      <c r="D140" s="171">
        <v>139</v>
      </c>
    </row>
    <row r="141" spans="2:4">
      <c r="B141" s="56"/>
      <c r="C141" s="164"/>
      <c r="D141" s="171">
        <v>140</v>
      </c>
    </row>
    <row r="142" spans="2:4">
      <c r="B142" s="56"/>
      <c r="C142" s="164"/>
      <c r="D142" s="171">
        <v>141</v>
      </c>
    </row>
    <row r="143" spans="2:4">
      <c r="B143" s="56"/>
      <c r="C143" s="164"/>
      <c r="D143" s="171">
        <v>142</v>
      </c>
    </row>
    <row r="144" spans="2:4">
      <c r="B144" s="56"/>
      <c r="C144" s="164"/>
      <c r="D144" s="171">
        <v>143</v>
      </c>
    </row>
    <row r="145" spans="2:4">
      <c r="B145" s="56"/>
      <c r="C145" s="164"/>
      <c r="D145" s="171">
        <v>144</v>
      </c>
    </row>
    <row r="146" spans="2:4">
      <c r="B146" s="56"/>
      <c r="C146" s="164"/>
      <c r="D146" s="171">
        <v>145</v>
      </c>
    </row>
    <row r="147" spans="2:4">
      <c r="B147" s="56"/>
      <c r="C147" s="164"/>
      <c r="D147" s="171">
        <v>146</v>
      </c>
    </row>
    <row r="148" spans="2:4">
      <c r="B148" s="56"/>
      <c r="C148" s="164"/>
      <c r="D148" s="171">
        <v>147</v>
      </c>
    </row>
    <row r="149" spans="2:4">
      <c r="B149" s="56"/>
      <c r="C149" s="164"/>
      <c r="D149" s="171">
        <v>148</v>
      </c>
    </row>
    <row r="150" spans="2:4">
      <c r="B150" s="56"/>
      <c r="C150" s="164"/>
      <c r="D150" s="171">
        <v>149</v>
      </c>
    </row>
    <row r="151" spans="2:4">
      <c r="B151" s="56"/>
      <c r="C151" s="164"/>
      <c r="D151" s="171">
        <v>150</v>
      </c>
    </row>
    <row r="152" spans="2:4">
      <c r="B152" s="56"/>
      <c r="C152" s="164"/>
      <c r="D152" s="171">
        <v>151</v>
      </c>
    </row>
    <row r="153" spans="2:4">
      <c r="B153" s="56"/>
      <c r="C153" s="164"/>
      <c r="D153" s="171">
        <v>152</v>
      </c>
    </row>
    <row r="154" spans="2:4">
      <c r="B154" s="56"/>
      <c r="C154" s="164"/>
      <c r="D154" s="171">
        <v>153</v>
      </c>
    </row>
    <row r="155" spans="2:4">
      <c r="B155" s="56"/>
      <c r="C155" s="164"/>
      <c r="D155" s="171">
        <v>154</v>
      </c>
    </row>
    <row r="156" spans="2:4">
      <c r="B156" s="56"/>
      <c r="C156" s="164"/>
      <c r="D156" s="171">
        <v>155</v>
      </c>
    </row>
    <row r="157" spans="2:4">
      <c r="B157" s="56"/>
      <c r="C157" s="164"/>
      <c r="D157" s="171">
        <v>156</v>
      </c>
    </row>
    <row r="158" spans="2:4">
      <c r="B158" s="56"/>
      <c r="C158" s="164"/>
      <c r="D158" s="171">
        <v>157</v>
      </c>
    </row>
    <row r="159" spans="2:4">
      <c r="B159" s="56"/>
      <c r="C159" s="164"/>
      <c r="D159" s="171">
        <v>158</v>
      </c>
    </row>
    <row r="160" spans="2:4">
      <c r="B160" s="56"/>
      <c r="C160" s="164"/>
      <c r="D160" s="171">
        <v>159</v>
      </c>
    </row>
    <row r="161" spans="2:4">
      <c r="B161" s="56"/>
      <c r="C161" s="164"/>
      <c r="D161" s="171">
        <v>160</v>
      </c>
    </row>
    <row r="162" spans="2:4">
      <c r="B162" s="56"/>
      <c r="C162" s="164"/>
      <c r="D162" s="171">
        <v>161</v>
      </c>
    </row>
    <row r="163" spans="2:4">
      <c r="B163" s="56"/>
      <c r="C163" s="164"/>
      <c r="D163" s="171">
        <v>162</v>
      </c>
    </row>
    <row r="164" spans="2:4">
      <c r="B164" s="56"/>
      <c r="C164" s="164"/>
      <c r="D164" s="171">
        <v>163</v>
      </c>
    </row>
    <row r="165" spans="2:4">
      <c r="B165" s="56"/>
      <c r="C165" s="164"/>
      <c r="D165" s="171">
        <v>164</v>
      </c>
    </row>
    <row r="166" spans="2:4">
      <c r="B166" s="56"/>
      <c r="C166" s="164"/>
      <c r="D166" s="171">
        <v>165</v>
      </c>
    </row>
    <row r="167" spans="2:4">
      <c r="B167" s="56"/>
      <c r="C167" s="164"/>
      <c r="D167" s="171">
        <v>166</v>
      </c>
    </row>
    <row r="168" spans="2:4">
      <c r="B168" s="56"/>
      <c r="C168" s="164"/>
      <c r="D168" s="171">
        <v>167</v>
      </c>
    </row>
    <row r="169" spans="2:4">
      <c r="B169" s="56"/>
      <c r="C169" s="164"/>
      <c r="D169" s="171">
        <v>168</v>
      </c>
    </row>
    <row r="170" spans="2:4">
      <c r="B170" s="56"/>
      <c r="C170" s="164"/>
      <c r="D170" s="171">
        <v>169</v>
      </c>
    </row>
    <row r="171" spans="2:4">
      <c r="B171" s="56"/>
      <c r="C171" s="164"/>
      <c r="D171" s="171">
        <v>170</v>
      </c>
    </row>
    <row r="172" spans="2:4">
      <c r="B172" s="56"/>
      <c r="C172" s="164"/>
      <c r="D172" s="171">
        <v>171</v>
      </c>
    </row>
    <row r="173" spans="2:4">
      <c r="B173" s="56"/>
      <c r="C173" s="164"/>
      <c r="D173" s="171">
        <v>172</v>
      </c>
    </row>
    <row r="174" spans="2:4">
      <c r="B174" s="56"/>
      <c r="C174" s="164"/>
      <c r="D174" s="171">
        <v>173</v>
      </c>
    </row>
    <row r="175" spans="2:4">
      <c r="B175" s="56"/>
      <c r="C175" s="164"/>
      <c r="D175" s="171">
        <v>174</v>
      </c>
    </row>
    <row r="176" spans="2:4">
      <c r="B176" s="56"/>
      <c r="C176" s="164"/>
      <c r="D176" s="171">
        <v>175</v>
      </c>
    </row>
    <row r="177" spans="2:4">
      <c r="B177" s="56"/>
      <c r="C177" s="164"/>
      <c r="D177" s="171">
        <v>176</v>
      </c>
    </row>
    <row r="178" spans="2:4">
      <c r="B178" s="56"/>
      <c r="C178" s="164"/>
      <c r="D178" s="171">
        <v>177</v>
      </c>
    </row>
    <row r="179" spans="2:4">
      <c r="B179" s="56"/>
      <c r="C179" s="164"/>
      <c r="D179" s="171">
        <v>178</v>
      </c>
    </row>
    <row r="180" spans="2:4">
      <c r="B180" s="56"/>
      <c r="C180" s="164"/>
      <c r="D180" s="171">
        <v>179</v>
      </c>
    </row>
    <row r="181" spans="2:4">
      <c r="B181" s="56"/>
      <c r="C181" s="164"/>
      <c r="D181" s="171">
        <v>180</v>
      </c>
    </row>
    <row r="182" spans="2:4">
      <c r="B182" s="56"/>
      <c r="C182" s="164"/>
      <c r="D182" s="171">
        <v>181</v>
      </c>
    </row>
    <row r="183" spans="2:4">
      <c r="B183" s="56"/>
      <c r="C183" s="164"/>
      <c r="D183" s="171">
        <v>182</v>
      </c>
    </row>
    <row r="184" spans="2:4">
      <c r="B184" s="56"/>
      <c r="C184" s="164"/>
      <c r="D184" s="171">
        <v>183</v>
      </c>
    </row>
    <row r="185" spans="2:4">
      <c r="B185" s="56"/>
      <c r="C185" s="164"/>
      <c r="D185" s="171">
        <v>184</v>
      </c>
    </row>
    <row r="186" spans="2:4">
      <c r="B186" s="56"/>
      <c r="C186" s="164"/>
      <c r="D186" s="171">
        <v>185</v>
      </c>
    </row>
    <row r="187" spans="2:4">
      <c r="B187" s="56"/>
      <c r="C187" s="164"/>
      <c r="D187" s="171">
        <v>186</v>
      </c>
    </row>
    <row r="188" spans="2:4">
      <c r="B188" s="56"/>
      <c r="C188" s="164"/>
      <c r="D188" s="171">
        <v>187</v>
      </c>
    </row>
    <row r="189" spans="2:4">
      <c r="B189" s="56"/>
      <c r="C189" s="164"/>
      <c r="D189" s="171">
        <v>188</v>
      </c>
    </row>
    <row r="190" spans="2:4">
      <c r="B190" s="56"/>
      <c r="C190" s="164"/>
      <c r="D190" s="171">
        <v>189</v>
      </c>
    </row>
    <row r="191" spans="2:4">
      <c r="B191" s="56"/>
      <c r="C191" s="164"/>
      <c r="D191" s="171">
        <v>190</v>
      </c>
    </row>
    <row r="192" spans="2:4">
      <c r="B192" s="56"/>
      <c r="C192" s="164"/>
      <c r="D192" s="171">
        <v>191</v>
      </c>
    </row>
    <row r="193" spans="2:4">
      <c r="B193" s="56"/>
      <c r="C193" s="164"/>
      <c r="D193" s="171">
        <v>192</v>
      </c>
    </row>
    <row r="194" spans="2:4">
      <c r="B194" s="56"/>
      <c r="C194" s="164"/>
      <c r="D194" s="171">
        <v>193</v>
      </c>
    </row>
    <row r="195" spans="2:4">
      <c r="B195" s="56"/>
      <c r="C195" s="164"/>
      <c r="D195" s="171">
        <v>194</v>
      </c>
    </row>
    <row r="196" spans="2:4">
      <c r="B196" s="56"/>
      <c r="C196" s="164"/>
      <c r="D196" s="171">
        <v>195</v>
      </c>
    </row>
    <row r="197" spans="2:4">
      <c r="B197" s="56"/>
      <c r="C197" s="164"/>
      <c r="D197" s="171">
        <v>196</v>
      </c>
    </row>
    <row r="198" spans="2:4">
      <c r="B198" s="56"/>
      <c r="C198" s="164"/>
      <c r="D198" s="171">
        <v>197</v>
      </c>
    </row>
    <row r="199" spans="2:4">
      <c r="B199" s="56"/>
      <c r="C199" s="164"/>
      <c r="D199" s="171">
        <v>198</v>
      </c>
    </row>
    <row r="200" spans="2:4">
      <c r="B200" s="56"/>
      <c r="C200" s="164"/>
      <c r="D200" s="171">
        <v>199</v>
      </c>
    </row>
    <row r="201" spans="2:4">
      <c r="B201" s="56"/>
      <c r="C201" s="164"/>
      <c r="D201" s="171">
        <v>200</v>
      </c>
    </row>
    <row r="202" spans="2:4">
      <c r="B202" s="56"/>
      <c r="C202" s="164"/>
      <c r="D202" s="171">
        <v>201</v>
      </c>
    </row>
    <row r="203" spans="2:4">
      <c r="B203" s="56"/>
      <c r="C203" s="164"/>
      <c r="D203" s="171">
        <v>202</v>
      </c>
    </row>
    <row r="204" spans="2:4">
      <c r="B204" s="56"/>
      <c r="C204" s="164"/>
      <c r="D204" s="171">
        <v>203</v>
      </c>
    </row>
    <row r="205" spans="2:4">
      <c r="B205" s="56"/>
      <c r="C205" s="164"/>
      <c r="D205" s="171">
        <v>204</v>
      </c>
    </row>
    <row r="206" spans="2:4">
      <c r="B206" s="56"/>
      <c r="C206" s="164"/>
      <c r="D206" s="171">
        <v>205</v>
      </c>
    </row>
    <row r="207" spans="2:4">
      <c r="B207" s="56"/>
      <c r="C207" s="164"/>
      <c r="D207" s="171">
        <v>206</v>
      </c>
    </row>
    <row r="208" spans="2:4">
      <c r="B208" s="56"/>
      <c r="C208" s="164"/>
      <c r="D208" s="171">
        <v>207</v>
      </c>
    </row>
    <row r="209" spans="2:4">
      <c r="B209" s="56"/>
      <c r="C209" s="164"/>
      <c r="D209" s="171">
        <v>208</v>
      </c>
    </row>
    <row r="210" spans="2:4">
      <c r="B210" s="56"/>
      <c r="C210" s="164"/>
      <c r="D210" s="171">
        <v>209</v>
      </c>
    </row>
    <row r="211" spans="2:4">
      <c r="B211" s="56"/>
      <c r="C211" s="164"/>
      <c r="D211" s="171">
        <v>210</v>
      </c>
    </row>
    <row r="212" spans="2:4">
      <c r="B212" s="56"/>
      <c r="C212" s="164"/>
      <c r="D212" s="171">
        <v>211</v>
      </c>
    </row>
    <row r="213" spans="2:4">
      <c r="B213" s="56"/>
      <c r="C213" s="164"/>
      <c r="D213" s="171">
        <v>212</v>
      </c>
    </row>
    <row r="214" spans="2:4">
      <c r="B214" s="56"/>
      <c r="C214" s="164"/>
      <c r="D214" s="171">
        <v>213</v>
      </c>
    </row>
    <row r="215" spans="2:4">
      <c r="B215" s="56"/>
      <c r="C215" s="164"/>
      <c r="D215" s="171">
        <v>214</v>
      </c>
    </row>
    <row r="216" spans="2:4">
      <c r="B216" s="56"/>
      <c r="C216" s="164"/>
      <c r="D216" s="171">
        <v>215</v>
      </c>
    </row>
    <row r="217" spans="2:4">
      <c r="B217" s="56"/>
      <c r="C217" s="164"/>
      <c r="D217" s="171">
        <v>216</v>
      </c>
    </row>
    <row r="218" spans="2:4">
      <c r="B218" s="56"/>
      <c r="C218" s="164"/>
      <c r="D218" s="171">
        <v>217</v>
      </c>
    </row>
    <row r="219" spans="2:4">
      <c r="B219" s="56"/>
      <c r="C219" s="164"/>
      <c r="D219" s="171">
        <v>218</v>
      </c>
    </row>
    <row r="220" spans="2:4">
      <c r="B220" s="56"/>
      <c r="C220" s="164"/>
      <c r="D220" s="171">
        <v>219</v>
      </c>
    </row>
    <row r="221" spans="2:4">
      <c r="B221" s="56"/>
      <c r="C221" s="164"/>
      <c r="D221" s="171">
        <v>220</v>
      </c>
    </row>
    <row r="222" spans="2:4">
      <c r="B222" s="56"/>
      <c r="C222" s="164"/>
      <c r="D222" s="171">
        <v>221</v>
      </c>
    </row>
    <row r="223" spans="2:4">
      <c r="B223" s="56"/>
      <c r="C223" s="164"/>
      <c r="D223" s="171">
        <v>222</v>
      </c>
    </row>
    <row r="224" spans="2:4">
      <c r="B224" s="56"/>
      <c r="C224" s="164"/>
      <c r="D224" s="171">
        <v>223</v>
      </c>
    </row>
    <row r="225" spans="2:4">
      <c r="B225" s="56"/>
      <c r="C225" s="164"/>
      <c r="D225" s="171">
        <v>224</v>
      </c>
    </row>
    <row r="226" spans="2:4">
      <c r="B226" s="56"/>
      <c r="C226" s="164"/>
      <c r="D226" s="171">
        <v>225</v>
      </c>
    </row>
    <row r="227" spans="2:4">
      <c r="B227" s="56"/>
      <c r="C227" s="164"/>
      <c r="D227" s="171">
        <v>226</v>
      </c>
    </row>
    <row r="228" spans="2:4">
      <c r="B228" s="56"/>
      <c r="C228" s="164"/>
      <c r="D228" s="171">
        <v>227</v>
      </c>
    </row>
    <row r="229" spans="2:4">
      <c r="B229" s="56"/>
      <c r="C229" s="164"/>
      <c r="D229" s="171">
        <v>228</v>
      </c>
    </row>
    <row r="230" spans="2:4">
      <c r="B230" s="56"/>
      <c r="C230" s="164"/>
      <c r="D230" s="171">
        <v>229</v>
      </c>
    </row>
    <row r="231" spans="2:4">
      <c r="B231" s="56"/>
      <c r="C231" s="164"/>
      <c r="D231" s="171">
        <v>230</v>
      </c>
    </row>
    <row r="232" spans="2:4">
      <c r="B232" s="56"/>
      <c r="C232" s="164"/>
      <c r="D232" s="171">
        <v>231</v>
      </c>
    </row>
    <row r="233" spans="2:4">
      <c r="B233" s="56"/>
      <c r="C233" s="164"/>
      <c r="D233" s="171">
        <v>232</v>
      </c>
    </row>
    <row r="234" spans="2:4">
      <c r="B234" s="56"/>
      <c r="C234" s="164"/>
      <c r="D234" s="171">
        <v>233</v>
      </c>
    </row>
    <row r="235" spans="2:4">
      <c r="B235" s="56"/>
      <c r="C235" s="164"/>
      <c r="D235" s="171">
        <v>234</v>
      </c>
    </row>
    <row r="236" spans="2:4">
      <c r="B236" s="56"/>
      <c r="C236" s="164"/>
      <c r="D236" s="171">
        <v>235</v>
      </c>
    </row>
    <row r="237" spans="2:4">
      <c r="B237" s="56"/>
      <c r="C237" s="164"/>
      <c r="D237" s="171">
        <v>236</v>
      </c>
    </row>
    <row r="238" spans="2:4">
      <c r="B238" s="56"/>
      <c r="C238" s="164"/>
      <c r="D238" s="171">
        <v>237</v>
      </c>
    </row>
    <row r="239" spans="2:4">
      <c r="B239" s="56"/>
      <c r="C239" s="164"/>
      <c r="D239" s="171">
        <v>238</v>
      </c>
    </row>
    <row r="240" spans="2:4">
      <c r="B240" s="56"/>
      <c r="C240" s="164"/>
      <c r="D240" s="171">
        <v>239</v>
      </c>
    </row>
    <row r="241" spans="2:4">
      <c r="B241" s="56"/>
      <c r="C241" s="164"/>
      <c r="D241" s="171">
        <v>240</v>
      </c>
    </row>
    <row r="242" spans="2:4">
      <c r="B242" s="56"/>
      <c r="C242" s="164"/>
      <c r="D242" s="171">
        <v>241</v>
      </c>
    </row>
    <row r="243" spans="2:4">
      <c r="B243" s="56"/>
      <c r="C243" s="164"/>
      <c r="D243" s="171">
        <v>242</v>
      </c>
    </row>
    <row r="244" spans="2:4">
      <c r="B244" s="56"/>
      <c r="C244" s="164"/>
      <c r="D244" s="171">
        <v>243</v>
      </c>
    </row>
    <row r="245" spans="2:4">
      <c r="B245" s="56"/>
      <c r="C245" s="164"/>
      <c r="D245" s="171">
        <v>244</v>
      </c>
    </row>
    <row r="246" spans="2:4">
      <c r="B246" s="56"/>
      <c r="C246" s="164"/>
      <c r="D246" s="171">
        <v>245</v>
      </c>
    </row>
    <row r="247" spans="2:4">
      <c r="B247" s="56"/>
      <c r="C247" s="164"/>
      <c r="D247" s="171">
        <v>246</v>
      </c>
    </row>
    <row r="248" spans="2:4">
      <c r="B248" s="56"/>
      <c r="C248" s="164"/>
      <c r="D248" s="171">
        <v>247</v>
      </c>
    </row>
    <row r="249" spans="2:4">
      <c r="B249" s="56"/>
      <c r="C249" s="164"/>
      <c r="D249" s="171">
        <v>248</v>
      </c>
    </row>
    <row r="250" spans="2:4">
      <c r="B250" s="56"/>
      <c r="C250" s="164"/>
      <c r="D250" s="171">
        <v>249</v>
      </c>
    </row>
    <row r="251" spans="2:4">
      <c r="B251" s="56"/>
      <c r="C251" s="164"/>
      <c r="D251" s="171">
        <v>250</v>
      </c>
    </row>
    <row r="252" spans="2:4">
      <c r="B252" s="56"/>
      <c r="C252" s="164"/>
      <c r="D252" s="171">
        <v>251</v>
      </c>
    </row>
    <row r="253" spans="2:4">
      <c r="B253" s="56"/>
      <c r="C253" s="164"/>
      <c r="D253" s="171">
        <v>252</v>
      </c>
    </row>
    <row r="254" spans="2:4">
      <c r="B254" s="56"/>
      <c r="C254" s="164"/>
      <c r="D254" s="171">
        <v>253</v>
      </c>
    </row>
    <row r="255" spans="2:4">
      <c r="B255" s="56"/>
      <c r="C255" s="164"/>
      <c r="D255" s="171">
        <v>254</v>
      </c>
    </row>
    <row r="256" spans="2:4">
      <c r="B256" s="56"/>
      <c r="C256" s="164"/>
      <c r="D256" s="171">
        <v>255</v>
      </c>
    </row>
    <row r="257" spans="2:4">
      <c r="B257" s="56"/>
      <c r="C257" s="164"/>
      <c r="D257" s="171">
        <v>256</v>
      </c>
    </row>
    <row r="258" spans="2:4">
      <c r="B258" s="56"/>
      <c r="C258" s="164"/>
      <c r="D258" s="171">
        <v>257</v>
      </c>
    </row>
    <row r="259" spans="2:4">
      <c r="B259" s="56"/>
      <c r="C259" s="164"/>
      <c r="D259" s="171">
        <v>258</v>
      </c>
    </row>
    <row r="260" spans="2:4">
      <c r="B260" s="56"/>
      <c r="C260" s="164"/>
      <c r="D260" s="171">
        <v>259</v>
      </c>
    </row>
    <row r="261" spans="2:4">
      <c r="B261" s="56"/>
      <c r="C261" s="164"/>
      <c r="D261" s="171">
        <v>260</v>
      </c>
    </row>
    <row r="262" spans="2:4">
      <c r="B262" s="56"/>
      <c r="C262" s="164"/>
      <c r="D262" s="171">
        <v>261</v>
      </c>
    </row>
    <row r="263" spans="2:4">
      <c r="B263" s="56"/>
      <c r="C263" s="164"/>
      <c r="D263" s="171">
        <v>262</v>
      </c>
    </row>
    <row r="264" spans="2:4">
      <c r="B264" s="56"/>
      <c r="C264" s="164"/>
      <c r="D264" s="171">
        <v>263</v>
      </c>
    </row>
    <row r="265" spans="2:4">
      <c r="B265" s="56"/>
      <c r="C265" s="164"/>
      <c r="D265" s="171">
        <v>264</v>
      </c>
    </row>
    <row r="266" spans="2:4">
      <c r="B266" s="56"/>
      <c r="C266" s="164"/>
      <c r="D266" s="171">
        <v>265</v>
      </c>
    </row>
    <row r="267" spans="2:4">
      <c r="B267" s="56"/>
      <c r="C267" s="164"/>
      <c r="D267" s="171">
        <v>266</v>
      </c>
    </row>
    <row r="268" spans="2:4">
      <c r="B268" s="56"/>
      <c r="C268" s="164"/>
      <c r="D268" s="171">
        <v>267</v>
      </c>
    </row>
    <row r="269" spans="2:4">
      <c r="B269" s="56"/>
      <c r="C269" s="164"/>
      <c r="D269" s="171">
        <v>268</v>
      </c>
    </row>
    <row r="270" spans="2:4">
      <c r="B270" s="56"/>
      <c r="C270" s="164"/>
      <c r="D270" s="171">
        <v>269</v>
      </c>
    </row>
    <row r="271" spans="2:4">
      <c r="B271" s="56"/>
      <c r="C271" s="164"/>
      <c r="D271" s="171">
        <v>270</v>
      </c>
    </row>
    <row r="272" spans="2:4">
      <c r="B272" s="56"/>
      <c r="C272" s="164"/>
      <c r="D272" s="171">
        <v>271</v>
      </c>
    </row>
    <row r="273" spans="2:4">
      <c r="B273" s="56"/>
      <c r="C273" s="164"/>
      <c r="D273" s="171">
        <v>272</v>
      </c>
    </row>
    <row r="274" spans="2:4">
      <c r="B274" s="56"/>
      <c r="C274" s="164"/>
      <c r="D274" s="171">
        <v>273</v>
      </c>
    </row>
    <row r="275" spans="2:4">
      <c r="B275" s="56"/>
      <c r="C275" s="164"/>
      <c r="D275" s="171">
        <v>274</v>
      </c>
    </row>
  </sheetData>
  <autoFilter ref="B1:C1" xr:uid="{C7212F45-7F7A-490C-BB50-2B2D61F8D58C}">
    <sortState xmlns:xlrd2="http://schemas.microsoft.com/office/spreadsheetml/2017/richdata2" ref="B2:C275">
      <sortCondition descending="1" ref="B1"/>
    </sortState>
  </autoFilter>
  <conditionalFormatting sqref="M3:M6">
    <cfRule type="dataBar" priority="1">
      <dataBar>
        <cfvo type="min"/>
        <cfvo type="max"/>
        <color rgb="FF63C384"/>
      </dataBar>
      <extLst>
        <ext xmlns:x14="http://schemas.microsoft.com/office/spreadsheetml/2009/9/main" uri="{B025F937-C7B1-47D3-B67F-A62EFF666E3E}">
          <x14:id>{BE4E4FC1-6C8C-4FEE-A806-29018D32624B}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E4E4FC1-6C8C-4FEE-A806-29018D32624B}">
            <x14:dataBar minLength="0" maxLength="100" border="1" negativeBarBorderColorSameAsPositive="0">
              <x14:cfvo type="autoMin"/>
              <x14:cfvo type="autoMax"/>
              <x14:borderColor rgb="FF63C384"/>
              <x14:negativeFillColor rgb="FFFF0000"/>
              <x14:negativeBorderColor rgb="FFFF0000"/>
              <x14:axisColor rgb="FF000000"/>
            </x14:dataBar>
          </x14:cfRule>
          <xm:sqref>M3:M6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E7B2-DE3D-4E1D-8DED-BCFC7E35EE23}">
  <dimension ref="A1:Q235"/>
  <sheetViews>
    <sheetView topLeftCell="E1" workbookViewId="0">
      <selection activeCell="O1" sqref="O1"/>
    </sheetView>
  </sheetViews>
  <sheetFormatPr defaultRowHeight="15"/>
  <cols>
    <col min="1" max="1" width="13.140625" bestFit="1" customWidth="1"/>
    <col min="2" max="2" width="34.140625" bestFit="1" customWidth="1"/>
    <col min="3" max="3" width="10.5703125" bestFit="1" customWidth="1"/>
    <col min="4" max="5" width="13.140625" bestFit="1" customWidth="1"/>
    <col min="6" max="6" width="34.140625" bestFit="1" customWidth="1"/>
    <col min="7" max="7" width="10.5703125" bestFit="1" customWidth="1"/>
    <col min="8" max="8" width="42.28515625" bestFit="1" customWidth="1"/>
    <col min="9" max="9" width="38.5703125" bestFit="1" customWidth="1"/>
    <col min="10" max="11" width="5.7109375" bestFit="1" customWidth="1"/>
    <col min="15" max="15" width="17.7109375" bestFit="1" customWidth="1"/>
    <col min="16" max="16" width="36" bestFit="1" customWidth="1"/>
    <col min="17" max="17" width="5.7109375" bestFit="1" customWidth="1"/>
  </cols>
  <sheetData>
    <row r="1" spans="1:17">
      <c r="A1" s="173" t="s">
        <v>51</v>
      </c>
      <c r="B1" s="173" t="s">
        <v>501</v>
      </c>
      <c r="C1" t="s">
        <v>502</v>
      </c>
      <c r="D1" t="s">
        <v>503</v>
      </c>
      <c r="E1" t="s">
        <v>504</v>
      </c>
      <c r="F1" t="s">
        <v>505</v>
      </c>
      <c r="H1" s="97" t="s">
        <v>506</v>
      </c>
      <c r="O1" t="s">
        <v>507</v>
      </c>
      <c r="P1" t="s">
        <v>508</v>
      </c>
      <c r="Q1" t="s">
        <v>509</v>
      </c>
    </row>
    <row r="2" spans="1:17">
      <c r="A2" s="110">
        <v>10748</v>
      </c>
      <c r="B2" s="54" t="s">
        <v>510</v>
      </c>
      <c r="C2">
        <v>300</v>
      </c>
      <c r="D2">
        <v>300</v>
      </c>
      <c r="E2">
        <f>D2-C2</f>
        <v>0</v>
      </c>
      <c r="F2">
        <f>IF(E2&gt;0,"Increase",IF(E2&lt;0,"Decrase",0))</f>
        <v>0</v>
      </c>
      <c r="H2" s="97" t="s">
        <v>505</v>
      </c>
      <c r="I2" s="97" t="s">
        <v>501</v>
      </c>
      <c r="J2" t="s">
        <v>496</v>
      </c>
      <c r="O2" s="1" t="s">
        <v>511</v>
      </c>
      <c r="P2" t="s">
        <v>512</v>
      </c>
      <c r="Q2" s="179">
        <v>-100</v>
      </c>
    </row>
    <row r="3" spans="1:17">
      <c r="A3" s="110">
        <v>10612</v>
      </c>
      <c r="B3" s="54" t="s">
        <v>513</v>
      </c>
      <c r="C3">
        <v>300</v>
      </c>
      <c r="D3">
        <v>300</v>
      </c>
      <c r="E3">
        <f t="shared" ref="E3:E66" si="0">D3-C3</f>
        <v>0</v>
      </c>
      <c r="F3">
        <f t="shared" ref="F3:F66" si="1">IF(E3&gt;0,"Increase",IF(E3&lt;0,"Decrase",0))</f>
        <v>0</v>
      </c>
      <c r="H3">
        <v>0</v>
      </c>
      <c r="I3" t="s">
        <v>514</v>
      </c>
      <c r="J3">
        <v>0</v>
      </c>
      <c r="O3" s="1"/>
      <c r="P3" t="s">
        <v>515</v>
      </c>
      <c r="Q3" s="179">
        <v>-100</v>
      </c>
    </row>
    <row r="4" spans="1:17">
      <c r="A4" s="110">
        <v>30418</v>
      </c>
      <c r="B4" s="54" t="s">
        <v>516</v>
      </c>
      <c r="C4">
        <v>300</v>
      </c>
      <c r="D4">
        <v>300</v>
      </c>
      <c r="E4">
        <f t="shared" si="0"/>
        <v>0</v>
      </c>
      <c r="F4">
        <f t="shared" si="1"/>
        <v>0</v>
      </c>
      <c r="I4" t="s">
        <v>517</v>
      </c>
      <c r="J4">
        <v>0</v>
      </c>
      <c r="O4" s="1"/>
      <c r="P4" t="s">
        <v>518</v>
      </c>
      <c r="Q4" s="179">
        <v>-50</v>
      </c>
    </row>
    <row r="5" spans="1:17">
      <c r="A5" s="110">
        <v>11412</v>
      </c>
      <c r="B5" s="54" t="s">
        <v>519</v>
      </c>
      <c r="C5">
        <v>300</v>
      </c>
      <c r="D5">
        <v>300</v>
      </c>
      <c r="E5">
        <f t="shared" si="0"/>
        <v>0</v>
      </c>
      <c r="F5">
        <f t="shared" si="1"/>
        <v>0</v>
      </c>
      <c r="I5" t="s">
        <v>520</v>
      </c>
      <c r="J5">
        <v>0</v>
      </c>
      <c r="O5" s="1"/>
      <c r="P5" t="s">
        <v>521</v>
      </c>
      <c r="Q5" s="179">
        <v>-100</v>
      </c>
    </row>
    <row r="6" spans="1:17">
      <c r="A6" s="110">
        <v>10611</v>
      </c>
      <c r="B6" s="54" t="s">
        <v>522</v>
      </c>
      <c r="C6">
        <v>300</v>
      </c>
      <c r="D6">
        <v>300</v>
      </c>
      <c r="E6">
        <f t="shared" si="0"/>
        <v>0</v>
      </c>
      <c r="F6">
        <f t="shared" si="1"/>
        <v>0</v>
      </c>
      <c r="I6" t="s">
        <v>523</v>
      </c>
      <c r="J6">
        <v>0</v>
      </c>
      <c r="O6" s="1"/>
      <c r="P6" t="s">
        <v>524</v>
      </c>
      <c r="Q6" s="179">
        <v>-50</v>
      </c>
    </row>
    <row r="7" spans="1:17">
      <c r="A7" s="110">
        <v>10105</v>
      </c>
      <c r="B7" s="54" t="s">
        <v>525</v>
      </c>
      <c r="C7">
        <v>300</v>
      </c>
      <c r="D7">
        <v>300</v>
      </c>
      <c r="E7">
        <f t="shared" si="0"/>
        <v>0</v>
      </c>
      <c r="F7">
        <f t="shared" si="1"/>
        <v>0</v>
      </c>
      <c r="I7" t="s">
        <v>526</v>
      </c>
      <c r="J7">
        <v>0</v>
      </c>
      <c r="O7" s="1"/>
      <c r="P7" t="s">
        <v>527</v>
      </c>
      <c r="Q7" s="179">
        <v>-100</v>
      </c>
    </row>
    <row r="8" spans="1:17">
      <c r="A8" s="110">
        <v>30608</v>
      </c>
      <c r="B8" s="54" t="s">
        <v>528</v>
      </c>
      <c r="C8">
        <v>300</v>
      </c>
      <c r="D8">
        <v>300</v>
      </c>
      <c r="E8">
        <f t="shared" si="0"/>
        <v>0</v>
      </c>
      <c r="F8">
        <f t="shared" si="1"/>
        <v>0</v>
      </c>
      <c r="I8" t="s">
        <v>529</v>
      </c>
      <c r="J8">
        <v>0</v>
      </c>
      <c r="O8" s="1"/>
      <c r="P8" t="s">
        <v>530</v>
      </c>
      <c r="Q8" s="179">
        <v>-100</v>
      </c>
    </row>
    <row r="9" spans="1:17">
      <c r="A9" s="110">
        <v>10706</v>
      </c>
      <c r="B9" s="54" t="s">
        <v>531</v>
      </c>
      <c r="C9">
        <v>300</v>
      </c>
      <c r="D9">
        <v>300</v>
      </c>
      <c r="E9">
        <f t="shared" si="0"/>
        <v>0</v>
      </c>
      <c r="F9">
        <f t="shared" si="1"/>
        <v>0</v>
      </c>
      <c r="I9" t="s">
        <v>532</v>
      </c>
      <c r="J9">
        <v>0</v>
      </c>
      <c r="O9" s="1"/>
      <c r="P9" t="s">
        <v>533</v>
      </c>
      <c r="Q9" s="179">
        <v>-100</v>
      </c>
    </row>
    <row r="10" spans="1:17">
      <c r="A10" s="110">
        <v>10101</v>
      </c>
      <c r="B10" s="54" t="s">
        <v>534</v>
      </c>
      <c r="C10">
        <v>200</v>
      </c>
      <c r="D10">
        <v>200</v>
      </c>
      <c r="E10">
        <f t="shared" si="0"/>
        <v>0</v>
      </c>
      <c r="F10">
        <f t="shared" si="1"/>
        <v>0</v>
      </c>
      <c r="I10" t="s">
        <v>535</v>
      </c>
      <c r="J10">
        <v>0</v>
      </c>
      <c r="O10" s="1"/>
      <c r="P10" t="s">
        <v>536</v>
      </c>
      <c r="Q10" s="179">
        <v>-50</v>
      </c>
    </row>
    <row r="11" spans="1:17">
      <c r="A11" s="110">
        <v>40141</v>
      </c>
      <c r="B11" s="54" t="s">
        <v>537</v>
      </c>
      <c r="C11">
        <v>200</v>
      </c>
      <c r="D11">
        <v>300</v>
      </c>
      <c r="E11">
        <f t="shared" si="0"/>
        <v>100</v>
      </c>
      <c r="F11" t="str">
        <f t="shared" si="1"/>
        <v>Increase</v>
      </c>
      <c r="I11" t="s">
        <v>538</v>
      </c>
      <c r="J11">
        <v>0</v>
      </c>
      <c r="O11" s="1"/>
      <c r="P11" t="s">
        <v>539</v>
      </c>
      <c r="Q11" s="179">
        <v>-100</v>
      </c>
    </row>
    <row r="12" spans="1:17">
      <c r="A12" s="110">
        <v>11701</v>
      </c>
      <c r="B12" s="54" t="s">
        <v>540</v>
      </c>
      <c r="C12">
        <v>300</v>
      </c>
      <c r="D12">
        <v>300</v>
      </c>
      <c r="E12">
        <f t="shared" si="0"/>
        <v>0</v>
      </c>
      <c r="F12">
        <f t="shared" si="1"/>
        <v>0</v>
      </c>
      <c r="I12" t="s">
        <v>541</v>
      </c>
      <c r="J12">
        <v>0</v>
      </c>
      <c r="O12" s="1"/>
      <c r="P12" t="s">
        <v>542</v>
      </c>
      <c r="Q12" s="179">
        <v>-50</v>
      </c>
    </row>
    <row r="13" spans="1:17">
      <c r="A13" s="110">
        <v>20216</v>
      </c>
      <c r="B13" s="54" t="s">
        <v>543</v>
      </c>
      <c r="C13">
        <v>300</v>
      </c>
      <c r="D13">
        <v>300</v>
      </c>
      <c r="E13">
        <f t="shared" si="0"/>
        <v>0</v>
      </c>
      <c r="F13">
        <f t="shared" si="1"/>
        <v>0</v>
      </c>
      <c r="I13" t="s">
        <v>544</v>
      </c>
      <c r="J13">
        <v>0</v>
      </c>
      <c r="O13" s="1"/>
      <c r="P13" t="s">
        <v>545</v>
      </c>
      <c r="Q13" s="179">
        <v>-100</v>
      </c>
    </row>
    <row r="14" spans="1:17">
      <c r="A14" s="110">
        <v>40131</v>
      </c>
      <c r="B14" s="54" t="s">
        <v>546</v>
      </c>
      <c r="C14">
        <v>300</v>
      </c>
      <c r="D14">
        <v>300</v>
      </c>
      <c r="E14">
        <f t="shared" si="0"/>
        <v>0</v>
      </c>
      <c r="F14">
        <f t="shared" si="1"/>
        <v>0</v>
      </c>
      <c r="I14" t="s">
        <v>547</v>
      </c>
      <c r="J14">
        <v>0</v>
      </c>
      <c r="O14" s="1"/>
      <c r="P14" t="s">
        <v>548</v>
      </c>
      <c r="Q14" s="179">
        <v>-50</v>
      </c>
    </row>
    <row r="15" spans="1:17">
      <c r="A15" s="110">
        <v>40130</v>
      </c>
      <c r="B15" s="54" t="s">
        <v>549</v>
      </c>
      <c r="C15">
        <v>300</v>
      </c>
      <c r="D15">
        <v>300</v>
      </c>
      <c r="E15">
        <f t="shared" si="0"/>
        <v>0</v>
      </c>
      <c r="F15">
        <f t="shared" si="1"/>
        <v>0</v>
      </c>
      <c r="I15" t="s">
        <v>550</v>
      </c>
      <c r="J15">
        <v>0</v>
      </c>
      <c r="O15" s="1"/>
      <c r="P15" t="s">
        <v>551</v>
      </c>
      <c r="Q15" s="179">
        <v>-50</v>
      </c>
    </row>
    <row r="16" spans="1:17">
      <c r="A16" s="110">
        <v>11123</v>
      </c>
      <c r="B16" s="54" t="s">
        <v>552</v>
      </c>
      <c r="C16">
        <v>300</v>
      </c>
      <c r="D16">
        <v>300</v>
      </c>
      <c r="E16">
        <f t="shared" si="0"/>
        <v>0</v>
      </c>
      <c r="F16">
        <f t="shared" si="1"/>
        <v>0</v>
      </c>
      <c r="I16" t="s">
        <v>553</v>
      </c>
      <c r="J16">
        <v>0</v>
      </c>
      <c r="O16" s="1"/>
      <c r="P16" t="s">
        <v>554</v>
      </c>
      <c r="Q16" s="179">
        <v>-100</v>
      </c>
    </row>
    <row r="17" spans="1:17">
      <c r="A17" s="110">
        <v>10737</v>
      </c>
      <c r="B17" s="54" t="s">
        <v>555</v>
      </c>
      <c r="C17">
        <v>200</v>
      </c>
      <c r="D17">
        <v>200</v>
      </c>
      <c r="E17">
        <f t="shared" si="0"/>
        <v>0</v>
      </c>
      <c r="F17">
        <f t="shared" si="1"/>
        <v>0</v>
      </c>
      <c r="I17" t="s">
        <v>556</v>
      </c>
      <c r="J17">
        <v>0</v>
      </c>
      <c r="O17" s="1"/>
      <c r="P17" t="s">
        <v>557</v>
      </c>
      <c r="Q17" s="179">
        <v>-100</v>
      </c>
    </row>
    <row r="18" spans="1:17">
      <c r="A18" s="110">
        <v>11706</v>
      </c>
      <c r="B18" s="54" t="s">
        <v>558</v>
      </c>
      <c r="C18">
        <v>300</v>
      </c>
      <c r="D18">
        <v>300</v>
      </c>
      <c r="E18">
        <f t="shared" si="0"/>
        <v>0</v>
      </c>
      <c r="F18">
        <f t="shared" si="1"/>
        <v>0</v>
      </c>
      <c r="I18" t="s">
        <v>559</v>
      </c>
      <c r="J18">
        <v>0</v>
      </c>
      <c r="O18" s="1"/>
      <c r="P18" t="s">
        <v>560</v>
      </c>
      <c r="Q18" s="179">
        <v>-100</v>
      </c>
    </row>
    <row r="19" spans="1:17">
      <c r="A19" s="110">
        <v>40144</v>
      </c>
      <c r="B19" s="54" t="s">
        <v>561</v>
      </c>
      <c r="C19">
        <v>300</v>
      </c>
      <c r="D19">
        <v>300</v>
      </c>
      <c r="E19">
        <f t="shared" si="0"/>
        <v>0</v>
      </c>
      <c r="F19">
        <f t="shared" si="1"/>
        <v>0</v>
      </c>
      <c r="I19" t="s">
        <v>562</v>
      </c>
      <c r="J19">
        <v>0</v>
      </c>
      <c r="O19" s="1"/>
      <c r="P19" t="s">
        <v>563</v>
      </c>
      <c r="Q19" s="179">
        <v>-50</v>
      </c>
    </row>
    <row r="20" spans="1:17">
      <c r="A20" s="110">
        <v>11906</v>
      </c>
      <c r="B20" s="54" t="s">
        <v>564</v>
      </c>
      <c r="C20">
        <v>300</v>
      </c>
      <c r="D20">
        <v>200</v>
      </c>
      <c r="E20">
        <f t="shared" si="0"/>
        <v>-100</v>
      </c>
      <c r="F20" t="str">
        <f t="shared" si="1"/>
        <v>Decrase</v>
      </c>
      <c r="I20" t="s">
        <v>525</v>
      </c>
      <c r="J20">
        <v>0</v>
      </c>
      <c r="O20" s="1"/>
      <c r="P20" t="s">
        <v>565</v>
      </c>
      <c r="Q20" s="179">
        <v>-100</v>
      </c>
    </row>
    <row r="21" spans="1:17">
      <c r="A21" s="110">
        <v>10120</v>
      </c>
      <c r="B21" s="54" t="s">
        <v>566</v>
      </c>
      <c r="C21">
        <v>300</v>
      </c>
      <c r="D21">
        <v>300</v>
      </c>
      <c r="E21">
        <f t="shared" si="0"/>
        <v>0</v>
      </c>
      <c r="F21">
        <f t="shared" si="1"/>
        <v>0</v>
      </c>
      <c r="I21" t="s">
        <v>567</v>
      </c>
      <c r="J21">
        <v>0</v>
      </c>
      <c r="O21" s="1"/>
      <c r="P21" t="s">
        <v>568</v>
      </c>
      <c r="Q21" s="179">
        <v>-50</v>
      </c>
    </row>
    <row r="22" spans="1:17">
      <c r="A22" s="110">
        <v>11420</v>
      </c>
      <c r="B22" s="54" t="s">
        <v>569</v>
      </c>
      <c r="C22">
        <v>300</v>
      </c>
      <c r="D22">
        <v>300</v>
      </c>
      <c r="E22">
        <f t="shared" si="0"/>
        <v>0</v>
      </c>
      <c r="F22">
        <f t="shared" si="1"/>
        <v>0</v>
      </c>
      <c r="I22" t="s">
        <v>570</v>
      </c>
      <c r="J22">
        <v>0</v>
      </c>
      <c r="O22" s="1"/>
      <c r="P22" t="s">
        <v>571</v>
      </c>
      <c r="Q22" s="179">
        <v>-100</v>
      </c>
    </row>
    <row r="23" spans="1:17">
      <c r="A23" s="110">
        <v>40124</v>
      </c>
      <c r="B23" s="54" t="s">
        <v>530</v>
      </c>
      <c r="C23">
        <v>300</v>
      </c>
      <c r="D23">
        <v>200</v>
      </c>
      <c r="E23">
        <f t="shared" si="0"/>
        <v>-100</v>
      </c>
      <c r="F23" t="str">
        <f t="shared" si="1"/>
        <v>Decrase</v>
      </c>
      <c r="I23" t="s">
        <v>572</v>
      </c>
      <c r="J23">
        <v>0</v>
      </c>
      <c r="O23" s="1"/>
      <c r="P23" t="s">
        <v>573</v>
      </c>
      <c r="Q23" s="179">
        <v>-50</v>
      </c>
    </row>
    <row r="24" spans="1:17">
      <c r="A24" s="110">
        <v>11807</v>
      </c>
      <c r="B24" s="54" t="s">
        <v>574</v>
      </c>
      <c r="C24">
        <v>300</v>
      </c>
      <c r="D24">
        <v>300</v>
      </c>
      <c r="E24">
        <f t="shared" si="0"/>
        <v>0</v>
      </c>
      <c r="F24">
        <f t="shared" si="1"/>
        <v>0</v>
      </c>
      <c r="I24" t="s">
        <v>575</v>
      </c>
      <c r="J24">
        <v>0</v>
      </c>
      <c r="O24" s="1"/>
      <c r="P24" t="s">
        <v>576</v>
      </c>
      <c r="Q24" s="179">
        <v>-50</v>
      </c>
    </row>
    <row r="25" spans="1:17">
      <c r="A25" s="110">
        <v>30602</v>
      </c>
      <c r="B25" s="54" t="s">
        <v>577</v>
      </c>
      <c r="C25">
        <v>200</v>
      </c>
      <c r="D25">
        <v>300</v>
      </c>
      <c r="E25">
        <f t="shared" si="0"/>
        <v>100</v>
      </c>
      <c r="F25" t="str">
        <f t="shared" si="1"/>
        <v>Increase</v>
      </c>
      <c r="I25" t="s">
        <v>578</v>
      </c>
      <c r="J25">
        <v>0</v>
      </c>
      <c r="O25" s="1"/>
      <c r="P25" t="s">
        <v>579</v>
      </c>
      <c r="Q25" s="179">
        <v>-50</v>
      </c>
    </row>
    <row r="26" spans="1:17">
      <c r="A26" s="110">
        <v>40139</v>
      </c>
      <c r="B26" s="54" t="s">
        <v>580</v>
      </c>
      <c r="C26">
        <v>300</v>
      </c>
      <c r="D26">
        <v>200</v>
      </c>
      <c r="E26">
        <f t="shared" si="0"/>
        <v>-100</v>
      </c>
      <c r="F26" t="str">
        <f t="shared" si="1"/>
        <v>Decrase</v>
      </c>
      <c r="I26" t="s">
        <v>581</v>
      </c>
      <c r="J26">
        <v>0</v>
      </c>
      <c r="O26" s="1"/>
      <c r="P26" t="s">
        <v>582</v>
      </c>
      <c r="Q26" s="179">
        <v>-50</v>
      </c>
    </row>
    <row r="27" spans="1:17">
      <c r="A27" s="110">
        <v>10106</v>
      </c>
      <c r="B27" s="54" t="s">
        <v>550</v>
      </c>
      <c r="C27">
        <v>300</v>
      </c>
      <c r="D27">
        <v>300</v>
      </c>
      <c r="E27">
        <f t="shared" si="0"/>
        <v>0</v>
      </c>
      <c r="F27">
        <f t="shared" si="1"/>
        <v>0</v>
      </c>
      <c r="I27" t="s">
        <v>583</v>
      </c>
      <c r="J27">
        <v>0</v>
      </c>
      <c r="O27" s="1"/>
      <c r="P27" t="s">
        <v>584</v>
      </c>
      <c r="Q27" s="179">
        <v>-100</v>
      </c>
    </row>
    <row r="28" spans="1:17">
      <c r="A28" s="110">
        <v>11501</v>
      </c>
      <c r="B28" s="54" t="s">
        <v>585</v>
      </c>
      <c r="C28">
        <v>300</v>
      </c>
      <c r="D28">
        <v>300</v>
      </c>
      <c r="E28">
        <f t="shared" si="0"/>
        <v>0</v>
      </c>
      <c r="F28">
        <f t="shared" si="1"/>
        <v>0</v>
      </c>
      <c r="I28" t="s">
        <v>586</v>
      </c>
      <c r="J28">
        <v>0</v>
      </c>
      <c r="O28" s="1"/>
      <c r="P28" t="s">
        <v>587</v>
      </c>
      <c r="Q28" s="179">
        <v>-50</v>
      </c>
    </row>
    <row r="29" spans="1:17">
      <c r="A29" s="110">
        <v>40137</v>
      </c>
      <c r="B29" s="54" t="s">
        <v>588</v>
      </c>
      <c r="C29">
        <v>300</v>
      </c>
      <c r="D29">
        <v>200</v>
      </c>
      <c r="E29">
        <f t="shared" si="0"/>
        <v>-100</v>
      </c>
      <c r="F29" t="str">
        <f t="shared" si="1"/>
        <v>Decrase</v>
      </c>
      <c r="I29" t="s">
        <v>534</v>
      </c>
      <c r="J29">
        <v>0</v>
      </c>
      <c r="O29" s="1"/>
      <c r="P29" t="s">
        <v>589</v>
      </c>
      <c r="Q29" s="179">
        <v>-100</v>
      </c>
    </row>
    <row r="30" spans="1:17">
      <c r="A30" s="110">
        <v>30111</v>
      </c>
      <c r="B30" s="54" t="s">
        <v>590</v>
      </c>
      <c r="C30">
        <v>200</v>
      </c>
      <c r="D30">
        <v>200</v>
      </c>
      <c r="E30">
        <f t="shared" si="0"/>
        <v>0</v>
      </c>
      <c r="F30">
        <f t="shared" si="1"/>
        <v>0</v>
      </c>
      <c r="I30" t="s">
        <v>591</v>
      </c>
      <c r="J30">
        <v>0</v>
      </c>
      <c r="O30" s="1"/>
      <c r="P30" t="s">
        <v>592</v>
      </c>
      <c r="Q30" s="179">
        <v>-100</v>
      </c>
    </row>
    <row r="31" spans="1:17">
      <c r="A31" s="110">
        <v>11802</v>
      </c>
      <c r="B31" s="54" t="s">
        <v>593</v>
      </c>
      <c r="C31">
        <v>200</v>
      </c>
      <c r="D31">
        <v>200</v>
      </c>
      <c r="E31">
        <f t="shared" si="0"/>
        <v>0</v>
      </c>
      <c r="F31">
        <f t="shared" si="1"/>
        <v>0</v>
      </c>
      <c r="I31" t="s">
        <v>594</v>
      </c>
      <c r="J31">
        <v>0</v>
      </c>
      <c r="O31" s="1"/>
      <c r="P31" t="s">
        <v>595</v>
      </c>
      <c r="Q31" s="179">
        <v>-50</v>
      </c>
    </row>
    <row r="32" spans="1:17">
      <c r="A32" s="110">
        <v>30609</v>
      </c>
      <c r="B32" s="54" t="s">
        <v>596</v>
      </c>
      <c r="C32">
        <v>200</v>
      </c>
      <c r="D32">
        <v>300</v>
      </c>
      <c r="E32">
        <f t="shared" si="0"/>
        <v>100</v>
      </c>
      <c r="F32" t="str">
        <f t="shared" si="1"/>
        <v>Increase</v>
      </c>
      <c r="I32" t="s">
        <v>549</v>
      </c>
      <c r="J32">
        <v>0</v>
      </c>
      <c r="O32" s="1"/>
      <c r="P32" t="s">
        <v>597</v>
      </c>
      <c r="Q32" s="179">
        <v>-50</v>
      </c>
    </row>
    <row r="33" spans="1:17">
      <c r="A33" s="110">
        <v>40123</v>
      </c>
      <c r="B33" s="54" t="s">
        <v>527</v>
      </c>
      <c r="C33">
        <v>300</v>
      </c>
      <c r="D33">
        <v>200</v>
      </c>
      <c r="E33">
        <f t="shared" si="0"/>
        <v>-100</v>
      </c>
      <c r="F33" t="str">
        <f t="shared" si="1"/>
        <v>Decrase</v>
      </c>
      <c r="I33" t="s">
        <v>546</v>
      </c>
      <c r="J33">
        <v>0</v>
      </c>
      <c r="O33" s="1"/>
      <c r="P33" t="s">
        <v>588</v>
      </c>
      <c r="Q33" s="179">
        <v>-100</v>
      </c>
    </row>
    <row r="34" spans="1:17">
      <c r="A34" s="110">
        <v>11305</v>
      </c>
      <c r="B34" s="54" t="s">
        <v>598</v>
      </c>
      <c r="C34">
        <v>200</v>
      </c>
      <c r="D34">
        <v>200</v>
      </c>
      <c r="E34">
        <f t="shared" si="0"/>
        <v>0</v>
      </c>
      <c r="F34">
        <f t="shared" si="1"/>
        <v>0</v>
      </c>
      <c r="I34" t="s">
        <v>540</v>
      </c>
      <c r="J34">
        <v>0</v>
      </c>
      <c r="O34" s="1"/>
      <c r="P34" t="s">
        <v>564</v>
      </c>
      <c r="Q34" s="179">
        <v>-100</v>
      </c>
    </row>
    <row r="35" spans="1:17">
      <c r="A35" s="110">
        <v>30216</v>
      </c>
      <c r="B35" s="54" t="s">
        <v>599</v>
      </c>
      <c r="C35">
        <v>200</v>
      </c>
      <c r="D35">
        <v>200</v>
      </c>
      <c r="E35">
        <f t="shared" si="0"/>
        <v>0</v>
      </c>
      <c r="F35">
        <f t="shared" si="1"/>
        <v>0</v>
      </c>
      <c r="I35" t="s">
        <v>600</v>
      </c>
      <c r="J35">
        <v>0</v>
      </c>
      <c r="O35" s="1"/>
      <c r="P35" t="s">
        <v>601</v>
      </c>
      <c r="Q35" s="179">
        <v>-50</v>
      </c>
    </row>
    <row r="36" spans="1:17">
      <c r="A36" s="110">
        <v>11409</v>
      </c>
      <c r="B36" s="54" t="s">
        <v>602</v>
      </c>
      <c r="C36">
        <v>200</v>
      </c>
      <c r="D36">
        <v>200</v>
      </c>
      <c r="E36">
        <f t="shared" si="0"/>
        <v>0</v>
      </c>
      <c r="F36">
        <f t="shared" si="1"/>
        <v>0</v>
      </c>
      <c r="I36" t="s">
        <v>603</v>
      </c>
      <c r="J36">
        <v>0</v>
      </c>
      <c r="O36" s="1"/>
      <c r="P36" t="s">
        <v>604</v>
      </c>
      <c r="Q36" s="179">
        <v>-50</v>
      </c>
    </row>
    <row r="37" spans="1:17">
      <c r="A37" s="110">
        <v>40206</v>
      </c>
      <c r="B37" s="54" t="s">
        <v>605</v>
      </c>
      <c r="C37">
        <v>200</v>
      </c>
      <c r="D37">
        <v>300</v>
      </c>
      <c r="E37">
        <f t="shared" si="0"/>
        <v>100</v>
      </c>
      <c r="F37" t="str">
        <f t="shared" si="1"/>
        <v>Increase</v>
      </c>
      <c r="I37" t="s">
        <v>585</v>
      </c>
      <c r="J37">
        <v>0</v>
      </c>
      <c r="O37" s="1"/>
      <c r="P37" t="s">
        <v>606</v>
      </c>
      <c r="Q37" s="179">
        <v>-50</v>
      </c>
    </row>
    <row r="38" spans="1:17">
      <c r="A38" s="110">
        <v>11611</v>
      </c>
      <c r="B38" s="54" t="s">
        <v>607</v>
      </c>
      <c r="C38">
        <v>200</v>
      </c>
      <c r="D38">
        <v>200</v>
      </c>
      <c r="E38">
        <f t="shared" si="0"/>
        <v>0</v>
      </c>
      <c r="F38">
        <f t="shared" si="1"/>
        <v>0</v>
      </c>
      <c r="I38" t="s">
        <v>608</v>
      </c>
      <c r="J38">
        <v>0</v>
      </c>
      <c r="O38" s="1"/>
      <c r="P38" t="s">
        <v>609</v>
      </c>
      <c r="Q38" s="179">
        <v>-50</v>
      </c>
    </row>
    <row r="39" spans="1:17">
      <c r="A39" s="110">
        <v>30417</v>
      </c>
      <c r="B39" s="54" t="s">
        <v>610</v>
      </c>
      <c r="C39">
        <v>200</v>
      </c>
      <c r="D39">
        <v>200</v>
      </c>
      <c r="E39">
        <f t="shared" si="0"/>
        <v>0</v>
      </c>
      <c r="F39">
        <f t="shared" si="1"/>
        <v>0</v>
      </c>
      <c r="I39" t="s">
        <v>611</v>
      </c>
      <c r="J39">
        <v>0</v>
      </c>
      <c r="O39" s="1"/>
      <c r="P39" t="s">
        <v>612</v>
      </c>
      <c r="Q39" s="179">
        <v>-100</v>
      </c>
    </row>
    <row r="40" spans="1:17">
      <c r="A40" s="110">
        <v>40104</v>
      </c>
      <c r="B40" s="54" t="s">
        <v>613</v>
      </c>
      <c r="C40">
        <v>200</v>
      </c>
      <c r="D40">
        <v>200</v>
      </c>
      <c r="E40">
        <f t="shared" si="0"/>
        <v>0</v>
      </c>
      <c r="F40">
        <f t="shared" si="1"/>
        <v>0</v>
      </c>
      <c r="I40" t="s">
        <v>614</v>
      </c>
      <c r="J40">
        <v>0</v>
      </c>
      <c r="O40" s="1"/>
      <c r="P40" t="s">
        <v>615</v>
      </c>
      <c r="Q40" s="179">
        <v>-50</v>
      </c>
    </row>
    <row r="41" spans="1:17">
      <c r="A41" s="110">
        <v>20517</v>
      </c>
      <c r="B41" s="54" t="s">
        <v>616</v>
      </c>
      <c r="C41">
        <v>200</v>
      </c>
      <c r="D41">
        <v>200</v>
      </c>
      <c r="E41">
        <f t="shared" si="0"/>
        <v>0</v>
      </c>
      <c r="F41">
        <f t="shared" si="1"/>
        <v>0</v>
      </c>
      <c r="I41" t="s">
        <v>617</v>
      </c>
      <c r="J41">
        <v>0</v>
      </c>
      <c r="O41" s="1"/>
      <c r="P41" t="s">
        <v>618</v>
      </c>
      <c r="Q41" s="179">
        <v>-100</v>
      </c>
    </row>
    <row r="42" spans="1:17">
      <c r="A42" s="110">
        <v>10605</v>
      </c>
      <c r="B42" s="54" t="s">
        <v>619</v>
      </c>
      <c r="C42">
        <v>200</v>
      </c>
      <c r="D42">
        <v>200</v>
      </c>
      <c r="E42">
        <f t="shared" si="0"/>
        <v>0</v>
      </c>
      <c r="F42">
        <f t="shared" si="1"/>
        <v>0</v>
      </c>
      <c r="I42" t="s">
        <v>620</v>
      </c>
      <c r="J42">
        <v>0</v>
      </c>
      <c r="O42" s="1"/>
      <c r="P42" t="s">
        <v>621</v>
      </c>
      <c r="Q42" s="179">
        <v>-50</v>
      </c>
    </row>
    <row r="43" spans="1:17">
      <c r="A43" s="110">
        <v>20520</v>
      </c>
      <c r="B43" s="54" t="s">
        <v>622</v>
      </c>
      <c r="C43">
        <v>200</v>
      </c>
      <c r="D43">
        <v>200</v>
      </c>
      <c r="E43">
        <f t="shared" si="0"/>
        <v>0</v>
      </c>
      <c r="F43">
        <f t="shared" si="1"/>
        <v>0</v>
      </c>
      <c r="I43" t="s">
        <v>623</v>
      </c>
      <c r="J43">
        <v>0</v>
      </c>
      <c r="O43" s="1"/>
      <c r="P43" t="s">
        <v>624</v>
      </c>
      <c r="Q43" s="179">
        <v>-100</v>
      </c>
    </row>
    <row r="44" spans="1:17">
      <c r="A44" s="110">
        <v>40145</v>
      </c>
      <c r="B44" s="54" t="s">
        <v>625</v>
      </c>
      <c r="C44">
        <v>200</v>
      </c>
      <c r="D44">
        <v>300</v>
      </c>
      <c r="E44">
        <f t="shared" si="0"/>
        <v>100</v>
      </c>
      <c r="F44" t="str">
        <f t="shared" si="1"/>
        <v>Increase</v>
      </c>
      <c r="I44" t="s">
        <v>626</v>
      </c>
      <c r="J44">
        <v>0</v>
      </c>
      <c r="O44" s="1"/>
      <c r="P44" t="s">
        <v>627</v>
      </c>
      <c r="Q44" s="179">
        <v>-50</v>
      </c>
    </row>
    <row r="45" spans="1:17">
      <c r="A45" s="110">
        <v>20210</v>
      </c>
      <c r="B45" s="54" t="s">
        <v>628</v>
      </c>
      <c r="C45">
        <v>200</v>
      </c>
      <c r="D45">
        <v>200</v>
      </c>
      <c r="E45">
        <f t="shared" si="0"/>
        <v>0</v>
      </c>
      <c r="F45">
        <f t="shared" si="1"/>
        <v>0</v>
      </c>
      <c r="I45" t="s">
        <v>629</v>
      </c>
      <c r="J45">
        <v>0</v>
      </c>
      <c r="O45" s="1"/>
      <c r="P45" t="s">
        <v>630</v>
      </c>
      <c r="Q45" s="179">
        <v>-100</v>
      </c>
    </row>
    <row r="46" spans="1:17">
      <c r="A46" s="110">
        <v>11803</v>
      </c>
      <c r="B46" s="54" t="s">
        <v>631</v>
      </c>
      <c r="C46">
        <v>200</v>
      </c>
      <c r="D46">
        <v>200</v>
      </c>
      <c r="E46">
        <f t="shared" si="0"/>
        <v>0</v>
      </c>
      <c r="F46">
        <f t="shared" si="1"/>
        <v>0</v>
      </c>
      <c r="I46" t="s">
        <v>632</v>
      </c>
      <c r="J46">
        <v>0</v>
      </c>
      <c r="O46" s="1"/>
      <c r="P46" t="s">
        <v>633</v>
      </c>
      <c r="Q46" s="179">
        <v>-50</v>
      </c>
    </row>
    <row r="47" spans="1:17">
      <c r="A47" s="110">
        <v>40128</v>
      </c>
      <c r="B47" s="54" t="s">
        <v>539</v>
      </c>
      <c r="C47">
        <v>300</v>
      </c>
      <c r="D47">
        <v>200</v>
      </c>
      <c r="E47">
        <f t="shared" si="0"/>
        <v>-100</v>
      </c>
      <c r="F47" t="str">
        <f t="shared" si="1"/>
        <v>Decrase</v>
      </c>
      <c r="I47" t="s">
        <v>634</v>
      </c>
      <c r="J47">
        <v>0</v>
      </c>
      <c r="O47" s="1"/>
      <c r="P47" t="s">
        <v>635</v>
      </c>
      <c r="Q47" s="179">
        <v>-50</v>
      </c>
    </row>
    <row r="48" spans="1:17">
      <c r="A48" s="110">
        <v>20528</v>
      </c>
      <c r="B48" s="54" t="s">
        <v>592</v>
      </c>
      <c r="C48">
        <v>200</v>
      </c>
      <c r="D48">
        <v>100</v>
      </c>
      <c r="E48">
        <f t="shared" si="0"/>
        <v>-100</v>
      </c>
      <c r="F48" t="str">
        <f t="shared" si="1"/>
        <v>Decrase</v>
      </c>
      <c r="I48" t="s">
        <v>636</v>
      </c>
      <c r="J48">
        <v>0</v>
      </c>
      <c r="O48" s="1"/>
      <c r="P48" t="s">
        <v>637</v>
      </c>
      <c r="Q48" s="179">
        <v>-50</v>
      </c>
    </row>
    <row r="49" spans="1:17">
      <c r="A49" s="110">
        <v>40114</v>
      </c>
      <c r="B49" s="54" t="s">
        <v>638</v>
      </c>
      <c r="C49">
        <v>200</v>
      </c>
      <c r="D49">
        <v>100</v>
      </c>
      <c r="E49">
        <f t="shared" si="0"/>
        <v>-100</v>
      </c>
      <c r="F49" t="str">
        <f t="shared" si="1"/>
        <v>Decrase</v>
      </c>
      <c r="I49" t="s">
        <v>531</v>
      </c>
      <c r="J49">
        <v>0</v>
      </c>
      <c r="O49" s="1"/>
      <c r="P49" t="s">
        <v>580</v>
      </c>
      <c r="Q49" s="179">
        <v>-100</v>
      </c>
    </row>
    <row r="50" spans="1:17">
      <c r="A50" s="110">
        <v>40117</v>
      </c>
      <c r="B50" s="54" t="s">
        <v>560</v>
      </c>
      <c r="C50">
        <v>200</v>
      </c>
      <c r="D50">
        <v>100</v>
      </c>
      <c r="E50">
        <f t="shared" si="0"/>
        <v>-100</v>
      </c>
      <c r="F50" t="str">
        <f t="shared" si="1"/>
        <v>Decrase</v>
      </c>
      <c r="I50" t="s">
        <v>543</v>
      </c>
      <c r="J50">
        <v>0</v>
      </c>
      <c r="O50" s="1"/>
      <c r="P50" t="s">
        <v>639</v>
      </c>
      <c r="Q50" s="179">
        <v>-50</v>
      </c>
    </row>
    <row r="51" spans="1:17">
      <c r="A51" s="110">
        <v>10742</v>
      </c>
      <c r="B51" s="54" t="s">
        <v>640</v>
      </c>
      <c r="C51">
        <v>200</v>
      </c>
      <c r="D51">
        <v>200</v>
      </c>
      <c r="E51">
        <f t="shared" si="0"/>
        <v>0</v>
      </c>
      <c r="F51">
        <f t="shared" si="1"/>
        <v>0</v>
      </c>
      <c r="I51" t="s">
        <v>641</v>
      </c>
      <c r="J51">
        <v>0</v>
      </c>
      <c r="O51" s="1"/>
      <c r="P51" t="s">
        <v>642</v>
      </c>
      <c r="Q51" s="179">
        <v>-50</v>
      </c>
    </row>
    <row r="52" spans="1:17">
      <c r="A52" s="110">
        <v>20214</v>
      </c>
      <c r="B52" s="54" t="s">
        <v>643</v>
      </c>
      <c r="C52">
        <v>200</v>
      </c>
      <c r="D52">
        <v>200</v>
      </c>
      <c r="E52">
        <f t="shared" si="0"/>
        <v>0</v>
      </c>
      <c r="F52">
        <f t="shared" si="1"/>
        <v>0</v>
      </c>
      <c r="I52" t="s">
        <v>644</v>
      </c>
      <c r="J52">
        <v>0</v>
      </c>
      <c r="O52" s="1"/>
      <c r="P52" t="s">
        <v>645</v>
      </c>
      <c r="Q52" s="179">
        <v>-50</v>
      </c>
    </row>
    <row r="53" spans="1:17">
      <c r="A53" s="110">
        <v>20406</v>
      </c>
      <c r="B53" s="54" t="s">
        <v>603</v>
      </c>
      <c r="C53">
        <v>200</v>
      </c>
      <c r="D53">
        <v>200</v>
      </c>
      <c r="E53">
        <f t="shared" si="0"/>
        <v>0</v>
      </c>
      <c r="F53">
        <f t="shared" si="1"/>
        <v>0</v>
      </c>
      <c r="I53" t="s">
        <v>646</v>
      </c>
      <c r="J53">
        <v>0</v>
      </c>
      <c r="O53" s="1"/>
      <c r="P53" t="s">
        <v>647</v>
      </c>
      <c r="Q53" s="179">
        <v>-50</v>
      </c>
    </row>
    <row r="54" spans="1:17">
      <c r="A54" s="110">
        <v>10124</v>
      </c>
      <c r="B54" s="54" t="s">
        <v>570</v>
      </c>
      <c r="C54">
        <v>200</v>
      </c>
      <c r="D54">
        <v>200</v>
      </c>
      <c r="E54">
        <f t="shared" si="0"/>
        <v>0</v>
      </c>
      <c r="F54">
        <f t="shared" si="1"/>
        <v>0</v>
      </c>
      <c r="I54" t="s">
        <v>648</v>
      </c>
      <c r="J54">
        <v>0</v>
      </c>
      <c r="O54" s="1"/>
      <c r="P54" t="s">
        <v>638</v>
      </c>
      <c r="Q54" s="179">
        <v>-100</v>
      </c>
    </row>
    <row r="55" spans="1:17">
      <c r="A55" s="110">
        <v>11215</v>
      </c>
      <c r="B55" s="54" t="s">
        <v>612</v>
      </c>
      <c r="C55">
        <v>200</v>
      </c>
      <c r="D55">
        <v>100</v>
      </c>
      <c r="E55">
        <f t="shared" si="0"/>
        <v>-100</v>
      </c>
      <c r="F55" t="str">
        <f t="shared" si="1"/>
        <v>Decrase</v>
      </c>
      <c r="I55" t="s">
        <v>649</v>
      </c>
      <c r="J55">
        <v>0</v>
      </c>
      <c r="O55" s="1"/>
      <c r="P55" t="s">
        <v>650</v>
      </c>
      <c r="Q55" s="179">
        <v>-50</v>
      </c>
    </row>
    <row r="56" spans="1:17">
      <c r="A56" s="110">
        <v>20519</v>
      </c>
      <c r="B56" s="54" t="s">
        <v>651</v>
      </c>
      <c r="C56">
        <v>200</v>
      </c>
      <c r="D56">
        <v>100</v>
      </c>
      <c r="E56">
        <f t="shared" si="0"/>
        <v>-100</v>
      </c>
      <c r="F56" t="str">
        <f t="shared" si="1"/>
        <v>Decrase</v>
      </c>
      <c r="I56" t="s">
        <v>652</v>
      </c>
      <c r="J56">
        <v>0</v>
      </c>
      <c r="O56" s="1"/>
      <c r="P56" t="s">
        <v>653</v>
      </c>
      <c r="Q56" s="179">
        <v>-50</v>
      </c>
    </row>
    <row r="57" spans="1:17">
      <c r="A57" s="110">
        <v>30214</v>
      </c>
      <c r="B57" s="54" t="s">
        <v>654</v>
      </c>
      <c r="C57">
        <v>100</v>
      </c>
      <c r="D57">
        <v>200</v>
      </c>
      <c r="E57">
        <f t="shared" si="0"/>
        <v>100</v>
      </c>
      <c r="F57" t="str">
        <f t="shared" si="1"/>
        <v>Increase</v>
      </c>
      <c r="I57" t="s">
        <v>552</v>
      </c>
      <c r="J57">
        <v>0</v>
      </c>
      <c r="O57" s="1"/>
      <c r="P57" t="s">
        <v>655</v>
      </c>
      <c r="Q57" s="179">
        <v>-50</v>
      </c>
    </row>
    <row r="58" spans="1:17">
      <c r="A58" s="110">
        <v>40108</v>
      </c>
      <c r="B58" s="54" t="s">
        <v>512</v>
      </c>
      <c r="C58">
        <v>200</v>
      </c>
      <c r="D58">
        <v>100</v>
      </c>
      <c r="E58">
        <f t="shared" si="0"/>
        <v>-100</v>
      </c>
      <c r="F58" t="str">
        <f t="shared" si="1"/>
        <v>Decrase</v>
      </c>
      <c r="I58" t="s">
        <v>656</v>
      </c>
      <c r="J58">
        <v>0</v>
      </c>
      <c r="O58" s="177"/>
      <c r="P58" t="s">
        <v>651</v>
      </c>
      <c r="Q58" s="179">
        <v>-100</v>
      </c>
    </row>
    <row r="59" spans="1:17">
      <c r="A59" s="110">
        <v>20913</v>
      </c>
      <c r="B59" s="54" t="s">
        <v>571</v>
      </c>
      <c r="C59">
        <v>200</v>
      </c>
      <c r="D59">
        <v>100</v>
      </c>
      <c r="E59">
        <f t="shared" si="0"/>
        <v>-100</v>
      </c>
      <c r="F59" t="str">
        <f t="shared" si="1"/>
        <v>Decrase</v>
      </c>
      <c r="I59" t="s">
        <v>657</v>
      </c>
      <c r="J59">
        <v>0</v>
      </c>
      <c r="O59" s="1" t="s">
        <v>658</v>
      </c>
      <c r="P59" t="s">
        <v>577</v>
      </c>
      <c r="Q59" s="180">
        <v>100</v>
      </c>
    </row>
    <row r="60" spans="1:17">
      <c r="A60" s="110">
        <v>11122</v>
      </c>
      <c r="B60" s="54" t="s">
        <v>659</v>
      </c>
      <c r="C60">
        <v>100</v>
      </c>
      <c r="D60">
        <v>100</v>
      </c>
      <c r="E60">
        <f t="shared" si="0"/>
        <v>0</v>
      </c>
      <c r="F60">
        <f t="shared" si="1"/>
        <v>0</v>
      </c>
      <c r="I60" t="s">
        <v>593</v>
      </c>
      <c r="J60">
        <v>0</v>
      </c>
      <c r="O60" s="1"/>
      <c r="P60" t="s">
        <v>660</v>
      </c>
      <c r="Q60" s="180">
        <v>100</v>
      </c>
    </row>
    <row r="61" spans="1:17">
      <c r="A61" s="110">
        <v>11507</v>
      </c>
      <c r="B61" s="54" t="s">
        <v>661</v>
      </c>
      <c r="C61">
        <v>200</v>
      </c>
      <c r="D61">
        <v>200</v>
      </c>
      <c r="E61">
        <f t="shared" si="0"/>
        <v>0</v>
      </c>
      <c r="F61">
        <f t="shared" si="1"/>
        <v>0</v>
      </c>
      <c r="I61" t="s">
        <v>662</v>
      </c>
      <c r="J61">
        <v>0</v>
      </c>
      <c r="O61" s="1"/>
      <c r="P61" t="s">
        <v>605</v>
      </c>
      <c r="Q61" s="180">
        <v>100</v>
      </c>
    </row>
    <row r="62" spans="1:17">
      <c r="A62" s="110">
        <v>40120</v>
      </c>
      <c r="B62" s="54" t="s">
        <v>557</v>
      </c>
      <c r="C62">
        <v>200</v>
      </c>
      <c r="D62">
        <v>100</v>
      </c>
      <c r="E62">
        <f t="shared" si="0"/>
        <v>-100</v>
      </c>
      <c r="F62" t="str">
        <f t="shared" si="1"/>
        <v>Decrase</v>
      </c>
      <c r="I62" t="s">
        <v>663</v>
      </c>
      <c r="J62">
        <v>0</v>
      </c>
      <c r="O62" s="1"/>
      <c r="P62" t="s">
        <v>664</v>
      </c>
      <c r="Q62" s="180">
        <v>50</v>
      </c>
    </row>
    <row r="63" spans="1:17">
      <c r="A63" s="110">
        <v>20401</v>
      </c>
      <c r="B63" s="54" t="s">
        <v>523</v>
      </c>
      <c r="C63">
        <v>200</v>
      </c>
      <c r="D63">
        <v>200</v>
      </c>
      <c r="E63">
        <f t="shared" si="0"/>
        <v>0</v>
      </c>
      <c r="F63">
        <f t="shared" si="1"/>
        <v>0</v>
      </c>
      <c r="I63" t="s">
        <v>665</v>
      </c>
      <c r="J63">
        <v>0</v>
      </c>
      <c r="O63" s="1"/>
      <c r="P63" t="s">
        <v>666</v>
      </c>
      <c r="Q63" s="180">
        <v>100</v>
      </c>
    </row>
    <row r="64" spans="1:17">
      <c r="A64" s="110">
        <v>10527</v>
      </c>
      <c r="B64" s="54" t="s">
        <v>589</v>
      </c>
      <c r="C64">
        <v>200</v>
      </c>
      <c r="D64">
        <v>100</v>
      </c>
      <c r="E64">
        <f t="shared" si="0"/>
        <v>-100</v>
      </c>
      <c r="F64" t="str">
        <f t="shared" si="1"/>
        <v>Decrase</v>
      </c>
      <c r="I64" t="s">
        <v>631</v>
      </c>
      <c r="J64">
        <v>0</v>
      </c>
      <c r="O64" s="1"/>
      <c r="P64" t="s">
        <v>667</v>
      </c>
      <c r="Q64" s="180">
        <v>100</v>
      </c>
    </row>
    <row r="65" spans="1:17">
      <c r="A65" s="110">
        <v>40118</v>
      </c>
      <c r="B65" s="54" t="s">
        <v>545</v>
      </c>
      <c r="C65">
        <v>200</v>
      </c>
      <c r="D65">
        <v>100</v>
      </c>
      <c r="E65">
        <f t="shared" si="0"/>
        <v>-100</v>
      </c>
      <c r="F65" t="str">
        <f t="shared" si="1"/>
        <v>Decrase</v>
      </c>
      <c r="I65" t="s">
        <v>668</v>
      </c>
      <c r="J65">
        <v>0</v>
      </c>
      <c r="O65" s="1"/>
      <c r="P65" t="s">
        <v>596</v>
      </c>
      <c r="Q65" s="180">
        <v>100</v>
      </c>
    </row>
    <row r="66" spans="1:17">
      <c r="A66" s="110">
        <v>40129</v>
      </c>
      <c r="B66" s="54" t="s">
        <v>532</v>
      </c>
      <c r="C66">
        <v>200</v>
      </c>
      <c r="D66">
        <v>200</v>
      </c>
      <c r="E66">
        <f t="shared" si="0"/>
        <v>0</v>
      </c>
      <c r="F66">
        <f t="shared" si="1"/>
        <v>0</v>
      </c>
      <c r="I66" t="s">
        <v>669</v>
      </c>
      <c r="J66">
        <v>0</v>
      </c>
      <c r="O66" s="1"/>
      <c r="P66" t="s">
        <v>625</v>
      </c>
      <c r="Q66" s="180">
        <v>100</v>
      </c>
    </row>
    <row r="67" spans="1:17">
      <c r="A67" s="110">
        <v>40102</v>
      </c>
      <c r="B67" s="54" t="s">
        <v>644</v>
      </c>
      <c r="C67">
        <v>200</v>
      </c>
      <c r="D67">
        <v>200</v>
      </c>
      <c r="E67">
        <f t="shared" ref="E67:E130" si="2">D67-C67</f>
        <v>0</v>
      </c>
      <c r="F67">
        <f t="shared" ref="F67:F130" si="3">IF(E67&gt;0,"Increase",IF(E67&lt;0,"Decrase",0))</f>
        <v>0</v>
      </c>
      <c r="I67" t="s">
        <v>670</v>
      </c>
      <c r="J67">
        <v>0</v>
      </c>
      <c r="O67" s="1"/>
      <c r="P67" t="s">
        <v>671</v>
      </c>
      <c r="Q67" s="180">
        <v>100</v>
      </c>
    </row>
    <row r="68" spans="1:17">
      <c r="A68" s="110">
        <v>40138</v>
      </c>
      <c r="B68" s="54" t="s">
        <v>672</v>
      </c>
      <c r="C68">
        <v>200</v>
      </c>
      <c r="D68">
        <v>200</v>
      </c>
      <c r="E68">
        <f t="shared" si="2"/>
        <v>0</v>
      </c>
      <c r="F68">
        <f t="shared" si="3"/>
        <v>0</v>
      </c>
      <c r="I68" t="s">
        <v>673</v>
      </c>
      <c r="J68">
        <v>0</v>
      </c>
      <c r="O68" s="1"/>
      <c r="P68" t="s">
        <v>654</v>
      </c>
      <c r="Q68" s="180">
        <v>100</v>
      </c>
    </row>
    <row r="69" spans="1:17">
      <c r="A69" s="110">
        <v>20404</v>
      </c>
      <c r="B69" s="54" t="s">
        <v>591</v>
      </c>
      <c r="C69">
        <v>200</v>
      </c>
      <c r="D69">
        <v>200</v>
      </c>
      <c r="E69">
        <f t="shared" si="2"/>
        <v>0</v>
      </c>
      <c r="F69">
        <f t="shared" si="3"/>
        <v>0</v>
      </c>
      <c r="I69" t="s">
        <v>590</v>
      </c>
      <c r="J69">
        <v>0</v>
      </c>
      <c r="O69" s="1"/>
      <c r="P69" t="s">
        <v>674</v>
      </c>
      <c r="Q69" s="180">
        <v>100</v>
      </c>
    </row>
    <row r="70" spans="1:17">
      <c r="A70" s="110">
        <v>11211</v>
      </c>
      <c r="B70" s="54" t="s">
        <v>667</v>
      </c>
      <c r="C70">
        <v>100</v>
      </c>
      <c r="D70">
        <v>200</v>
      </c>
      <c r="E70">
        <f t="shared" si="2"/>
        <v>100</v>
      </c>
      <c r="F70" t="str">
        <f t="shared" si="3"/>
        <v>Increase</v>
      </c>
      <c r="I70" t="s">
        <v>675</v>
      </c>
      <c r="J70">
        <v>0</v>
      </c>
      <c r="O70" s="1"/>
      <c r="P70" t="s">
        <v>676</v>
      </c>
      <c r="Q70" s="180">
        <v>100</v>
      </c>
    </row>
    <row r="71" spans="1:17">
      <c r="A71" s="110">
        <v>40125</v>
      </c>
      <c r="B71" s="54" t="s">
        <v>562</v>
      </c>
      <c r="C71">
        <v>200</v>
      </c>
      <c r="D71">
        <v>200</v>
      </c>
      <c r="E71">
        <f t="shared" si="2"/>
        <v>0</v>
      </c>
      <c r="F71">
        <f t="shared" si="3"/>
        <v>0</v>
      </c>
      <c r="I71" t="s">
        <v>677</v>
      </c>
      <c r="J71">
        <v>0</v>
      </c>
      <c r="O71" s="177"/>
      <c r="P71" t="s">
        <v>537</v>
      </c>
      <c r="Q71" s="180">
        <v>100</v>
      </c>
    </row>
    <row r="72" spans="1:17">
      <c r="A72" s="110">
        <v>30412</v>
      </c>
      <c r="B72" s="54" t="s">
        <v>624</v>
      </c>
      <c r="C72">
        <v>200</v>
      </c>
      <c r="D72">
        <v>100</v>
      </c>
      <c r="E72">
        <f t="shared" si="2"/>
        <v>-100</v>
      </c>
      <c r="F72" t="str">
        <f t="shared" si="3"/>
        <v>Decrase</v>
      </c>
      <c r="I72" t="s">
        <v>678</v>
      </c>
      <c r="J72">
        <v>0</v>
      </c>
      <c r="O72" s="178" t="s">
        <v>679</v>
      </c>
      <c r="P72" s="178"/>
      <c r="Q72" s="178">
        <v>-2850</v>
      </c>
    </row>
    <row r="73" spans="1:17">
      <c r="A73" s="110">
        <v>40121</v>
      </c>
      <c r="B73" s="54" t="s">
        <v>680</v>
      </c>
      <c r="C73">
        <v>200</v>
      </c>
      <c r="D73">
        <v>200</v>
      </c>
      <c r="E73">
        <f t="shared" si="2"/>
        <v>0</v>
      </c>
      <c r="F73">
        <f t="shared" si="3"/>
        <v>0</v>
      </c>
      <c r="I73" t="s">
        <v>681</v>
      </c>
      <c r="J73">
        <v>0</v>
      </c>
    </row>
    <row r="74" spans="1:17">
      <c r="A74" s="110">
        <v>11811</v>
      </c>
      <c r="B74" s="54" t="s">
        <v>682</v>
      </c>
      <c r="C74">
        <v>100</v>
      </c>
      <c r="D74">
        <v>100</v>
      </c>
      <c r="E74">
        <f t="shared" si="2"/>
        <v>0</v>
      </c>
      <c r="F74">
        <f t="shared" si="3"/>
        <v>0</v>
      </c>
      <c r="I74" t="s">
        <v>619</v>
      </c>
      <c r="J74">
        <v>0</v>
      </c>
    </row>
    <row r="75" spans="1:17">
      <c r="A75" s="110">
        <v>40142</v>
      </c>
      <c r="B75" s="54" t="s">
        <v>670</v>
      </c>
      <c r="C75">
        <v>200</v>
      </c>
      <c r="D75">
        <v>200</v>
      </c>
      <c r="E75">
        <f t="shared" si="2"/>
        <v>0</v>
      </c>
      <c r="F75">
        <f t="shared" si="3"/>
        <v>0</v>
      </c>
      <c r="I75" t="s">
        <v>683</v>
      </c>
      <c r="J75">
        <v>0</v>
      </c>
    </row>
    <row r="76" spans="1:17">
      <c r="A76" s="110">
        <v>30207</v>
      </c>
      <c r="B76" s="54" t="s">
        <v>684</v>
      </c>
      <c r="C76">
        <v>200</v>
      </c>
      <c r="D76">
        <v>200</v>
      </c>
      <c r="E76">
        <f t="shared" si="2"/>
        <v>0</v>
      </c>
      <c r="F76">
        <f t="shared" si="3"/>
        <v>0</v>
      </c>
      <c r="I76" t="s">
        <v>685</v>
      </c>
      <c r="J76">
        <v>0</v>
      </c>
    </row>
    <row r="77" spans="1:17">
      <c r="A77" s="110">
        <v>30205</v>
      </c>
      <c r="B77" s="54" t="s">
        <v>686</v>
      </c>
      <c r="C77">
        <v>100</v>
      </c>
      <c r="D77">
        <v>100</v>
      </c>
      <c r="E77">
        <f t="shared" si="2"/>
        <v>0</v>
      </c>
      <c r="F77">
        <f t="shared" si="3"/>
        <v>0</v>
      </c>
      <c r="I77" t="s">
        <v>687</v>
      </c>
      <c r="J77">
        <v>0</v>
      </c>
    </row>
    <row r="78" spans="1:17">
      <c r="A78" s="110">
        <v>11509</v>
      </c>
      <c r="B78" s="54" t="s">
        <v>688</v>
      </c>
      <c r="C78">
        <v>100</v>
      </c>
      <c r="D78">
        <v>100</v>
      </c>
      <c r="E78">
        <f t="shared" si="2"/>
        <v>0</v>
      </c>
      <c r="F78">
        <f t="shared" si="3"/>
        <v>0</v>
      </c>
      <c r="I78" t="s">
        <v>689</v>
      </c>
      <c r="J78">
        <v>0</v>
      </c>
    </row>
    <row r="79" spans="1:17">
      <c r="A79" s="110">
        <v>11901</v>
      </c>
      <c r="B79" s="54" t="s">
        <v>515</v>
      </c>
      <c r="C79">
        <v>200</v>
      </c>
      <c r="D79">
        <v>100</v>
      </c>
      <c r="E79">
        <f t="shared" si="2"/>
        <v>-100</v>
      </c>
      <c r="F79" t="str">
        <f t="shared" si="3"/>
        <v>Decrase</v>
      </c>
      <c r="I79" t="s">
        <v>690</v>
      </c>
      <c r="J79">
        <v>0</v>
      </c>
    </row>
    <row r="80" spans="1:17">
      <c r="A80" s="110">
        <v>30127</v>
      </c>
      <c r="B80" s="54" t="s">
        <v>691</v>
      </c>
      <c r="C80">
        <v>200</v>
      </c>
      <c r="D80">
        <v>200</v>
      </c>
      <c r="E80">
        <f t="shared" si="2"/>
        <v>0</v>
      </c>
      <c r="F80">
        <f t="shared" si="3"/>
        <v>0</v>
      </c>
      <c r="I80" t="s">
        <v>692</v>
      </c>
      <c r="J80">
        <v>0</v>
      </c>
    </row>
    <row r="81" spans="1:10">
      <c r="A81" s="110">
        <v>11417</v>
      </c>
      <c r="B81" s="54" t="s">
        <v>693</v>
      </c>
      <c r="C81">
        <v>200</v>
      </c>
      <c r="D81">
        <v>200</v>
      </c>
      <c r="E81">
        <f t="shared" si="2"/>
        <v>0</v>
      </c>
      <c r="F81">
        <f t="shared" si="3"/>
        <v>0</v>
      </c>
      <c r="I81" t="s">
        <v>528</v>
      </c>
      <c r="J81">
        <v>0</v>
      </c>
    </row>
    <row r="82" spans="1:10">
      <c r="A82" s="110">
        <v>30612</v>
      </c>
      <c r="B82" s="54" t="s">
        <v>671</v>
      </c>
      <c r="C82">
        <v>100</v>
      </c>
      <c r="D82">
        <v>200</v>
      </c>
      <c r="E82">
        <f t="shared" si="2"/>
        <v>100</v>
      </c>
      <c r="F82" t="str">
        <f t="shared" si="3"/>
        <v>Increase</v>
      </c>
      <c r="I82" t="s">
        <v>694</v>
      </c>
      <c r="J82">
        <v>0</v>
      </c>
    </row>
    <row r="83" spans="1:10">
      <c r="A83" s="110">
        <v>10518</v>
      </c>
      <c r="B83" s="54" t="s">
        <v>695</v>
      </c>
      <c r="C83">
        <v>100</v>
      </c>
      <c r="D83">
        <v>100</v>
      </c>
      <c r="E83">
        <f t="shared" si="2"/>
        <v>0</v>
      </c>
      <c r="F83">
        <f t="shared" si="3"/>
        <v>0</v>
      </c>
      <c r="I83" t="s">
        <v>696</v>
      </c>
      <c r="J83">
        <v>0</v>
      </c>
    </row>
    <row r="84" spans="1:10">
      <c r="A84" s="110">
        <v>30607</v>
      </c>
      <c r="B84" s="54" t="s">
        <v>626</v>
      </c>
      <c r="C84">
        <v>100</v>
      </c>
      <c r="D84">
        <v>100</v>
      </c>
      <c r="E84">
        <f t="shared" si="2"/>
        <v>0</v>
      </c>
      <c r="F84">
        <f t="shared" si="3"/>
        <v>0</v>
      </c>
      <c r="I84" t="s">
        <v>697</v>
      </c>
      <c r="J84">
        <v>0</v>
      </c>
    </row>
    <row r="85" spans="1:10">
      <c r="A85" s="110">
        <v>11503</v>
      </c>
      <c r="B85" s="54" t="s">
        <v>554</v>
      </c>
      <c r="C85">
        <v>200</v>
      </c>
      <c r="D85">
        <v>100</v>
      </c>
      <c r="E85">
        <f t="shared" si="2"/>
        <v>-100</v>
      </c>
      <c r="F85" t="str">
        <f t="shared" si="3"/>
        <v>Decrase</v>
      </c>
      <c r="I85" t="s">
        <v>698</v>
      </c>
      <c r="J85">
        <v>0</v>
      </c>
    </row>
    <row r="86" spans="1:10">
      <c r="A86" s="110">
        <v>20418</v>
      </c>
      <c r="B86" s="54" t="s">
        <v>676</v>
      </c>
      <c r="C86">
        <v>100</v>
      </c>
      <c r="D86">
        <v>200</v>
      </c>
      <c r="E86">
        <f t="shared" si="2"/>
        <v>100</v>
      </c>
      <c r="F86" t="str">
        <f t="shared" si="3"/>
        <v>Increase</v>
      </c>
      <c r="I86" t="s">
        <v>699</v>
      </c>
      <c r="J86">
        <v>0</v>
      </c>
    </row>
    <row r="87" spans="1:10">
      <c r="A87" s="110">
        <v>11307</v>
      </c>
      <c r="B87" s="54" t="s">
        <v>584</v>
      </c>
      <c r="C87">
        <v>200</v>
      </c>
      <c r="D87">
        <v>100</v>
      </c>
      <c r="E87">
        <f t="shared" si="2"/>
        <v>-100</v>
      </c>
      <c r="F87" t="str">
        <f t="shared" si="3"/>
        <v>Decrase</v>
      </c>
      <c r="I87" t="s">
        <v>700</v>
      </c>
      <c r="J87">
        <v>0</v>
      </c>
    </row>
    <row r="88" spans="1:10">
      <c r="A88" s="110">
        <v>11401</v>
      </c>
      <c r="B88" s="54" t="s">
        <v>514</v>
      </c>
      <c r="C88">
        <v>100</v>
      </c>
      <c r="D88">
        <v>100</v>
      </c>
      <c r="E88">
        <f t="shared" si="2"/>
        <v>0</v>
      </c>
      <c r="F88">
        <f t="shared" si="3"/>
        <v>0</v>
      </c>
      <c r="I88" t="s">
        <v>684</v>
      </c>
      <c r="J88">
        <v>0</v>
      </c>
    </row>
    <row r="89" spans="1:10">
      <c r="A89" s="110">
        <v>30402</v>
      </c>
      <c r="B89" s="54" t="s">
        <v>648</v>
      </c>
      <c r="C89">
        <v>100</v>
      </c>
      <c r="D89">
        <v>100</v>
      </c>
      <c r="E89">
        <f t="shared" si="2"/>
        <v>0</v>
      </c>
      <c r="F89">
        <f t="shared" si="3"/>
        <v>0</v>
      </c>
      <c r="I89" t="s">
        <v>686</v>
      </c>
      <c r="J89">
        <v>0</v>
      </c>
    </row>
    <row r="90" spans="1:10">
      <c r="A90" s="110">
        <v>10714</v>
      </c>
      <c r="B90" s="54" t="s">
        <v>701</v>
      </c>
      <c r="C90">
        <v>100</v>
      </c>
      <c r="D90">
        <v>100</v>
      </c>
      <c r="E90">
        <f t="shared" si="2"/>
        <v>0</v>
      </c>
      <c r="F90">
        <f t="shared" si="3"/>
        <v>0</v>
      </c>
      <c r="I90" t="s">
        <v>574</v>
      </c>
      <c r="J90">
        <v>0</v>
      </c>
    </row>
    <row r="91" spans="1:10">
      <c r="A91" s="110">
        <v>40111</v>
      </c>
      <c r="B91" s="54" t="s">
        <v>674</v>
      </c>
      <c r="C91">
        <v>100</v>
      </c>
      <c r="D91">
        <v>200</v>
      </c>
      <c r="E91">
        <f t="shared" si="2"/>
        <v>100</v>
      </c>
      <c r="F91" t="str">
        <f t="shared" si="3"/>
        <v>Increase</v>
      </c>
      <c r="I91" t="s">
        <v>558</v>
      </c>
      <c r="J91">
        <v>0</v>
      </c>
    </row>
    <row r="92" spans="1:10">
      <c r="A92" s="110">
        <v>10609</v>
      </c>
      <c r="B92" s="54" t="s">
        <v>618</v>
      </c>
      <c r="C92">
        <v>200</v>
      </c>
      <c r="D92">
        <v>100</v>
      </c>
      <c r="E92">
        <f t="shared" si="2"/>
        <v>-100</v>
      </c>
      <c r="F92" t="str">
        <f t="shared" si="3"/>
        <v>Decrase</v>
      </c>
      <c r="I92" t="s">
        <v>598</v>
      </c>
      <c r="J92">
        <v>0</v>
      </c>
    </row>
    <row r="93" spans="1:10">
      <c r="A93" s="110">
        <v>11218</v>
      </c>
      <c r="B93" s="54" t="s">
        <v>583</v>
      </c>
      <c r="C93">
        <v>200</v>
      </c>
      <c r="D93">
        <v>200</v>
      </c>
      <c r="E93">
        <f t="shared" si="2"/>
        <v>0</v>
      </c>
      <c r="F93">
        <f t="shared" si="3"/>
        <v>0</v>
      </c>
      <c r="I93" t="s">
        <v>702</v>
      </c>
      <c r="J93">
        <v>0</v>
      </c>
    </row>
    <row r="94" spans="1:10">
      <c r="A94" s="110">
        <v>40116</v>
      </c>
      <c r="B94" s="54" t="s">
        <v>687</v>
      </c>
      <c r="C94">
        <v>100</v>
      </c>
      <c r="D94">
        <v>100</v>
      </c>
      <c r="E94">
        <f t="shared" si="2"/>
        <v>0</v>
      </c>
      <c r="F94">
        <f t="shared" si="3"/>
        <v>0</v>
      </c>
      <c r="I94" t="s">
        <v>569</v>
      </c>
      <c r="J94">
        <v>0</v>
      </c>
    </row>
    <row r="95" spans="1:10">
      <c r="A95" s="110">
        <v>20907</v>
      </c>
      <c r="B95" s="54" t="s">
        <v>703</v>
      </c>
      <c r="C95">
        <v>100</v>
      </c>
      <c r="D95">
        <v>100</v>
      </c>
      <c r="E95">
        <f t="shared" si="2"/>
        <v>0</v>
      </c>
      <c r="F95">
        <f t="shared" si="3"/>
        <v>0</v>
      </c>
      <c r="I95" t="s">
        <v>704</v>
      </c>
      <c r="J95">
        <v>0</v>
      </c>
    </row>
    <row r="96" spans="1:10">
      <c r="A96" s="110">
        <v>11809</v>
      </c>
      <c r="B96" s="54" t="s">
        <v>705</v>
      </c>
      <c r="C96">
        <v>100</v>
      </c>
      <c r="D96">
        <v>100</v>
      </c>
      <c r="E96">
        <f t="shared" si="2"/>
        <v>0</v>
      </c>
      <c r="F96">
        <f t="shared" si="3"/>
        <v>0</v>
      </c>
      <c r="I96" t="s">
        <v>706</v>
      </c>
      <c r="J96">
        <v>0</v>
      </c>
    </row>
    <row r="97" spans="1:10">
      <c r="A97" s="110">
        <v>30203</v>
      </c>
      <c r="B97" s="54" t="s">
        <v>675</v>
      </c>
      <c r="C97">
        <v>100</v>
      </c>
      <c r="D97">
        <v>100</v>
      </c>
      <c r="E97">
        <f t="shared" si="2"/>
        <v>0</v>
      </c>
      <c r="F97">
        <f t="shared" si="3"/>
        <v>0</v>
      </c>
      <c r="I97" t="s">
        <v>707</v>
      </c>
      <c r="J97">
        <v>0</v>
      </c>
    </row>
    <row r="98" spans="1:10">
      <c r="A98" s="110">
        <v>10501</v>
      </c>
      <c r="B98" s="54" t="s">
        <v>535</v>
      </c>
      <c r="C98">
        <v>100</v>
      </c>
      <c r="D98">
        <v>100</v>
      </c>
      <c r="E98">
        <f t="shared" si="2"/>
        <v>0</v>
      </c>
      <c r="F98">
        <f t="shared" si="3"/>
        <v>0</v>
      </c>
      <c r="I98" t="s">
        <v>566</v>
      </c>
      <c r="J98">
        <v>0</v>
      </c>
    </row>
    <row r="99" spans="1:10">
      <c r="A99" s="110">
        <v>20903</v>
      </c>
      <c r="B99" s="54" t="s">
        <v>533</v>
      </c>
      <c r="C99">
        <v>200</v>
      </c>
      <c r="D99">
        <v>100</v>
      </c>
      <c r="E99">
        <f t="shared" si="2"/>
        <v>-100</v>
      </c>
      <c r="F99" t="str">
        <f t="shared" si="3"/>
        <v>Decrase</v>
      </c>
      <c r="I99" t="s">
        <v>701</v>
      </c>
      <c r="J99">
        <v>0</v>
      </c>
    </row>
    <row r="100" spans="1:10">
      <c r="A100" s="110">
        <v>11304</v>
      </c>
      <c r="B100" s="54" t="s">
        <v>685</v>
      </c>
      <c r="C100">
        <v>100</v>
      </c>
      <c r="D100">
        <v>100</v>
      </c>
      <c r="E100">
        <f t="shared" si="2"/>
        <v>0</v>
      </c>
      <c r="F100">
        <f t="shared" si="3"/>
        <v>0</v>
      </c>
      <c r="I100" t="s">
        <v>708</v>
      </c>
      <c r="J100">
        <v>0</v>
      </c>
    </row>
    <row r="101" spans="1:10">
      <c r="A101" s="110">
        <v>30618</v>
      </c>
      <c r="B101" s="54" t="s">
        <v>709</v>
      </c>
      <c r="C101">
        <v>100</v>
      </c>
      <c r="D101">
        <v>100</v>
      </c>
      <c r="E101">
        <f t="shared" si="2"/>
        <v>0</v>
      </c>
      <c r="F101">
        <f t="shared" si="3"/>
        <v>0</v>
      </c>
      <c r="I101" t="s">
        <v>561</v>
      </c>
      <c r="J101">
        <v>0</v>
      </c>
    </row>
    <row r="102" spans="1:10">
      <c r="A102" s="110">
        <v>20429</v>
      </c>
      <c r="B102" s="54" t="s">
        <v>690</v>
      </c>
      <c r="C102">
        <v>200</v>
      </c>
      <c r="D102">
        <v>200</v>
      </c>
      <c r="E102">
        <f t="shared" si="2"/>
        <v>0</v>
      </c>
      <c r="F102">
        <f t="shared" si="3"/>
        <v>0</v>
      </c>
      <c r="I102" t="s">
        <v>710</v>
      </c>
      <c r="J102">
        <v>0</v>
      </c>
    </row>
    <row r="103" spans="1:10">
      <c r="A103" s="110">
        <v>11601</v>
      </c>
      <c r="B103" s="54" t="s">
        <v>517</v>
      </c>
      <c r="C103">
        <v>100</v>
      </c>
      <c r="D103">
        <v>100</v>
      </c>
      <c r="E103">
        <f t="shared" si="2"/>
        <v>0</v>
      </c>
      <c r="F103">
        <f t="shared" si="3"/>
        <v>0</v>
      </c>
      <c r="I103" t="s">
        <v>672</v>
      </c>
      <c r="J103">
        <v>0</v>
      </c>
    </row>
    <row r="104" spans="1:10">
      <c r="A104" s="110">
        <v>11510</v>
      </c>
      <c r="B104" s="54" t="s">
        <v>711</v>
      </c>
      <c r="C104">
        <v>100</v>
      </c>
      <c r="D104">
        <v>100</v>
      </c>
      <c r="E104">
        <f t="shared" si="2"/>
        <v>0</v>
      </c>
      <c r="F104">
        <f t="shared" si="3"/>
        <v>0</v>
      </c>
      <c r="I104" t="s">
        <v>712</v>
      </c>
      <c r="J104">
        <v>0</v>
      </c>
    </row>
    <row r="105" spans="1:10">
      <c r="A105" s="110">
        <v>20503</v>
      </c>
      <c r="B105" s="54" t="s">
        <v>713</v>
      </c>
      <c r="C105">
        <v>100</v>
      </c>
      <c r="D105">
        <v>100</v>
      </c>
      <c r="E105">
        <f t="shared" si="2"/>
        <v>0</v>
      </c>
      <c r="F105">
        <f t="shared" si="3"/>
        <v>0</v>
      </c>
      <c r="I105" t="s">
        <v>714</v>
      </c>
      <c r="J105">
        <v>0</v>
      </c>
    </row>
    <row r="106" spans="1:10">
      <c r="A106" s="110">
        <v>40113</v>
      </c>
      <c r="B106" s="54" t="s">
        <v>694</v>
      </c>
      <c r="C106">
        <v>100</v>
      </c>
      <c r="D106">
        <v>100</v>
      </c>
      <c r="E106">
        <f t="shared" si="2"/>
        <v>0</v>
      </c>
      <c r="F106">
        <f t="shared" si="3"/>
        <v>0</v>
      </c>
      <c r="I106" t="s">
        <v>715</v>
      </c>
      <c r="J106">
        <v>0</v>
      </c>
    </row>
    <row r="107" spans="1:10">
      <c r="A107" s="110">
        <v>40211</v>
      </c>
      <c r="B107" s="54" t="s">
        <v>666</v>
      </c>
      <c r="C107">
        <v>100</v>
      </c>
      <c r="D107">
        <v>200</v>
      </c>
      <c r="E107">
        <f t="shared" si="2"/>
        <v>100</v>
      </c>
      <c r="F107" t="str">
        <f t="shared" si="3"/>
        <v>Increase</v>
      </c>
      <c r="I107" t="s">
        <v>716</v>
      </c>
      <c r="J107">
        <v>0</v>
      </c>
    </row>
    <row r="108" spans="1:10">
      <c r="A108" s="110">
        <v>40109</v>
      </c>
      <c r="B108" s="54" t="s">
        <v>521</v>
      </c>
      <c r="C108">
        <v>200</v>
      </c>
      <c r="D108">
        <v>100</v>
      </c>
      <c r="E108">
        <f t="shared" si="2"/>
        <v>-100</v>
      </c>
      <c r="F108" t="str">
        <f t="shared" si="3"/>
        <v>Decrase</v>
      </c>
      <c r="I108" t="s">
        <v>602</v>
      </c>
      <c r="J108">
        <v>0</v>
      </c>
    </row>
    <row r="109" spans="1:10">
      <c r="A109" s="110">
        <v>11208</v>
      </c>
      <c r="B109" s="54" t="s">
        <v>559</v>
      </c>
      <c r="C109">
        <v>100</v>
      </c>
      <c r="D109">
        <v>100</v>
      </c>
      <c r="E109">
        <f t="shared" si="2"/>
        <v>0</v>
      </c>
      <c r="F109">
        <f t="shared" si="3"/>
        <v>0</v>
      </c>
      <c r="I109" t="s">
        <v>717</v>
      </c>
      <c r="J109">
        <v>0</v>
      </c>
    </row>
    <row r="110" spans="1:10">
      <c r="A110" s="110">
        <v>10138</v>
      </c>
      <c r="B110" s="54" t="s">
        <v>617</v>
      </c>
      <c r="C110">
        <v>100</v>
      </c>
      <c r="D110">
        <v>100</v>
      </c>
      <c r="E110">
        <f t="shared" si="2"/>
        <v>0</v>
      </c>
      <c r="F110">
        <f t="shared" si="3"/>
        <v>0</v>
      </c>
      <c r="I110" t="s">
        <v>713</v>
      </c>
      <c r="J110">
        <v>0</v>
      </c>
    </row>
    <row r="111" spans="1:10">
      <c r="A111" s="110">
        <v>20912</v>
      </c>
      <c r="B111" s="54" t="s">
        <v>630</v>
      </c>
      <c r="C111">
        <v>200</v>
      </c>
      <c r="D111">
        <v>100</v>
      </c>
      <c r="E111">
        <f t="shared" si="2"/>
        <v>-100</v>
      </c>
      <c r="F111" t="str">
        <f t="shared" si="3"/>
        <v>Decrase</v>
      </c>
      <c r="I111" t="s">
        <v>718</v>
      </c>
      <c r="J111">
        <v>0</v>
      </c>
    </row>
    <row r="112" spans="1:10">
      <c r="A112" s="110">
        <v>20408</v>
      </c>
      <c r="B112" s="54" t="s">
        <v>681</v>
      </c>
      <c r="C112">
        <v>100</v>
      </c>
      <c r="D112">
        <v>100</v>
      </c>
      <c r="E112">
        <f t="shared" si="2"/>
        <v>0</v>
      </c>
      <c r="F112">
        <f t="shared" si="3"/>
        <v>0</v>
      </c>
      <c r="I112" t="s">
        <v>719</v>
      </c>
      <c r="J112">
        <v>0</v>
      </c>
    </row>
    <row r="113" spans="1:10">
      <c r="A113" s="110">
        <v>40136</v>
      </c>
      <c r="B113" s="54" t="s">
        <v>708</v>
      </c>
      <c r="C113">
        <v>100</v>
      </c>
      <c r="D113">
        <v>100</v>
      </c>
      <c r="E113">
        <f t="shared" si="2"/>
        <v>0</v>
      </c>
      <c r="F113">
        <f t="shared" si="3"/>
        <v>0</v>
      </c>
      <c r="I113" t="s">
        <v>607</v>
      </c>
      <c r="J113">
        <v>0</v>
      </c>
    </row>
    <row r="114" spans="1:10">
      <c r="A114" s="110">
        <v>11909</v>
      </c>
      <c r="B114" s="54" t="s">
        <v>720</v>
      </c>
      <c r="C114">
        <v>100</v>
      </c>
      <c r="D114">
        <v>100</v>
      </c>
      <c r="E114">
        <f t="shared" si="2"/>
        <v>0</v>
      </c>
      <c r="F114">
        <f t="shared" si="3"/>
        <v>0</v>
      </c>
      <c r="I114" t="s">
        <v>691</v>
      </c>
      <c r="J114">
        <v>0</v>
      </c>
    </row>
    <row r="115" spans="1:10">
      <c r="A115" s="110">
        <v>11214</v>
      </c>
      <c r="B115" s="54" t="s">
        <v>597</v>
      </c>
      <c r="C115">
        <v>100</v>
      </c>
      <c r="D115">
        <v>50</v>
      </c>
      <c r="E115">
        <f t="shared" si="2"/>
        <v>-50</v>
      </c>
      <c r="F115" t="str">
        <f t="shared" si="3"/>
        <v>Decrase</v>
      </c>
      <c r="I115" t="s">
        <v>628</v>
      </c>
      <c r="J115">
        <v>0</v>
      </c>
    </row>
    <row r="116" spans="1:10">
      <c r="A116" s="110">
        <v>20905</v>
      </c>
      <c r="B116" s="54" t="s">
        <v>575</v>
      </c>
      <c r="C116">
        <v>100</v>
      </c>
      <c r="D116">
        <v>100</v>
      </c>
      <c r="E116">
        <f t="shared" si="2"/>
        <v>0</v>
      </c>
      <c r="F116">
        <f t="shared" si="3"/>
        <v>0</v>
      </c>
      <c r="I116" t="s">
        <v>720</v>
      </c>
      <c r="J116">
        <v>0</v>
      </c>
    </row>
    <row r="117" spans="1:10">
      <c r="A117" s="110">
        <v>20416</v>
      </c>
      <c r="B117" s="54" t="s">
        <v>721</v>
      </c>
      <c r="C117">
        <v>100</v>
      </c>
      <c r="D117">
        <v>100</v>
      </c>
      <c r="E117">
        <f t="shared" si="2"/>
        <v>0</v>
      </c>
      <c r="F117">
        <f t="shared" si="3"/>
        <v>0</v>
      </c>
      <c r="I117" t="s">
        <v>705</v>
      </c>
      <c r="J117">
        <v>0</v>
      </c>
    </row>
    <row r="118" spans="1:10">
      <c r="A118" s="110">
        <v>20205</v>
      </c>
      <c r="B118" s="54" t="s">
        <v>689</v>
      </c>
      <c r="C118">
        <v>100</v>
      </c>
      <c r="D118">
        <v>100</v>
      </c>
      <c r="E118">
        <f t="shared" si="2"/>
        <v>0</v>
      </c>
      <c r="F118">
        <f t="shared" si="3"/>
        <v>0</v>
      </c>
      <c r="I118" t="s">
        <v>513</v>
      </c>
      <c r="J118">
        <v>0</v>
      </c>
    </row>
    <row r="119" spans="1:10">
      <c r="A119" s="110">
        <v>20435</v>
      </c>
      <c r="B119" s="54" t="s">
        <v>520</v>
      </c>
      <c r="C119">
        <v>100</v>
      </c>
      <c r="D119">
        <v>100</v>
      </c>
      <c r="E119">
        <f t="shared" si="2"/>
        <v>0</v>
      </c>
      <c r="F119">
        <f t="shared" si="3"/>
        <v>0</v>
      </c>
      <c r="I119" t="s">
        <v>522</v>
      </c>
      <c r="J119">
        <v>0</v>
      </c>
    </row>
    <row r="120" spans="1:10">
      <c r="A120" s="110">
        <v>30405</v>
      </c>
      <c r="B120" s="54" t="s">
        <v>678</v>
      </c>
      <c r="C120">
        <v>100</v>
      </c>
      <c r="D120">
        <v>100</v>
      </c>
      <c r="E120">
        <f t="shared" si="2"/>
        <v>0</v>
      </c>
      <c r="F120">
        <f t="shared" si="3"/>
        <v>0</v>
      </c>
      <c r="I120" t="s">
        <v>680</v>
      </c>
      <c r="J120">
        <v>0</v>
      </c>
    </row>
    <row r="121" spans="1:10">
      <c r="A121" s="110">
        <v>11710</v>
      </c>
      <c r="B121" s="54" t="s">
        <v>722</v>
      </c>
      <c r="C121">
        <v>100</v>
      </c>
      <c r="D121">
        <v>100</v>
      </c>
      <c r="E121">
        <f t="shared" si="2"/>
        <v>0</v>
      </c>
      <c r="F121">
        <f t="shared" si="3"/>
        <v>0</v>
      </c>
      <c r="I121" t="s">
        <v>723</v>
      </c>
      <c r="J121">
        <v>0</v>
      </c>
    </row>
    <row r="122" spans="1:10">
      <c r="A122" s="110">
        <v>10736</v>
      </c>
      <c r="B122" s="54" t="s">
        <v>642</v>
      </c>
      <c r="C122">
        <v>100</v>
      </c>
      <c r="D122">
        <v>50</v>
      </c>
      <c r="E122">
        <f t="shared" si="2"/>
        <v>-50</v>
      </c>
      <c r="F122" t="str">
        <f t="shared" si="3"/>
        <v>Decrase</v>
      </c>
      <c r="I122" t="s">
        <v>661</v>
      </c>
      <c r="J122">
        <v>0</v>
      </c>
    </row>
    <row r="123" spans="1:10">
      <c r="A123" s="110">
        <v>11618</v>
      </c>
      <c r="B123" s="54" t="s">
        <v>609</v>
      </c>
      <c r="C123">
        <v>100</v>
      </c>
      <c r="D123">
        <v>50</v>
      </c>
      <c r="E123">
        <f t="shared" si="2"/>
        <v>-50</v>
      </c>
      <c r="F123" t="str">
        <f t="shared" si="3"/>
        <v>Decrase</v>
      </c>
      <c r="I123" t="s">
        <v>640</v>
      </c>
      <c r="J123">
        <v>0</v>
      </c>
    </row>
    <row r="124" spans="1:10">
      <c r="A124" s="110">
        <v>20513</v>
      </c>
      <c r="B124" s="54" t="s">
        <v>724</v>
      </c>
      <c r="C124">
        <v>100</v>
      </c>
      <c r="D124">
        <v>100</v>
      </c>
      <c r="E124">
        <f t="shared" si="2"/>
        <v>0</v>
      </c>
      <c r="F124">
        <f t="shared" si="3"/>
        <v>0</v>
      </c>
      <c r="I124" t="s">
        <v>725</v>
      </c>
      <c r="J124">
        <v>0</v>
      </c>
    </row>
    <row r="125" spans="1:10">
      <c r="A125" s="110">
        <v>20523</v>
      </c>
      <c r="B125" s="54" t="s">
        <v>623</v>
      </c>
      <c r="C125">
        <v>100</v>
      </c>
      <c r="D125">
        <v>100</v>
      </c>
      <c r="E125">
        <f t="shared" si="2"/>
        <v>0</v>
      </c>
      <c r="F125">
        <f t="shared" si="3"/>
        <v>0</v>
      </c>
      <c r="I125" t="s">
        <v>726</v>
      </c>
      <c r="J125">
        <v>0</v>
      </c>
    </row>
    <row r="126" spans="1:10">
      <c r="A126" s="110">
        <v>10724</v>
      </c>
      <c r="B126" s="54" t="s">
        <v>629</v>
      </c>
      <c r="C126">
        <v>200</v>
      </c>
      <c r="D126">
        <v>200</v>
      </c>
      <c r="E126">
        <f t="shared" si="2"/>
        <v>0</v>
      </c>
      <c r="F126">
        <f t="shared" si="3"/>
        <v>0</v>
      </c>
      <c r="I126" t="s">
        <v>682</v>
      </c>
      <c r="J126">
        <v>0</v>
      </c>
    </row>
    <row r="127" spans="1:10">
      <c r="A127" s="110">
        <v>11705</v>
      </c>
      <c r="B127" s="54" t="s">
        <v>697</v>
      </c>
      <c r="C127">
        <v>200</v>
      </c>
      <c r="D127">
        <v>200</v>
      </c>
      <c r="E127">
        <f t="shared" si="2"/>
        <v>0</v>
      </c>
      <c r="F127">
        <f t="shared" si="3"/>
        <v>0</v>
      </c>
      <c r="I127" t="s">
        <v>727</v>
      </c>
      <c r="J127">
        <v>0</v>
      </c>
    </row>
    <row r="128" spans="1:10">
      <c r="A128" s="110">
        <v>10103</v>
      </c>
      <c r="B128" s="54" t="s">
        <v>660</v>
      </c>
      <c r="C128">
        <v>100</v>
      </c>
      <c r="D128">
        <v>200</v>
      </c>
      <c r="E128">
        <f t="shared" si="2"/>
        <v>100</v>
      </c>
      <c r="F128" t="str">
        <f t="shared" si="3"/>
        <v>Increase</v>
      </c>
      <c r="I128" t="s">
        <v>610</v>
      </c>
      <c r="J128">
        <v>0</v>
      </c>
    </row>
    <row r="129" spans="1:10">
      <c r="A129" s="110">
        <v>11210</v>
      </c>
      <c r="B129" s="54" t="s">
        <v>567</v>
      </c>
      <c r="C129">
        <v>100</v>
      </c>
      <c r="D129">
        <v>100</v>
      </c>
      <c r="E129">
        <f t="shared" si="2"/>
        <v>0</v>
      </c>
      <c r="F129">
        <f t="shared" si="3"/>
        <v>0</v>
      </c>
      <c r="I129" t="s">
        <v>709</v>
      </c>
      <c r="J129">
        <v>0</v>
      </c>
    </row>
    <row r="130" spans="1:10">
      <c r="A130" s="110">
        <v>10128</v>
      </c>
      <c r="B130" s="54" t="s">
        <v>723</v>
      </c>
      <c r="C130">
        <v>100</v>
      </c>
      <c r="D130">
        <v>100</v>
      </c>
      <c r="E130">
        <f t="shared" si="2"/>
        <v>0</v>
      </c>
      <c r="F130">
        <f t="shared" si="3"/>
        <v>0</v>
      </c>
      <c r="I130" t="s">
        <v>693</v>
      </c>
      <c r="J130">
        <v>0</v>
      </c>
    </row>
    <row r="131" spans="1:10">
      <c r="A131" s="110">
        <v>20536</v>
      </c>
      <c r="B131" s="54" t="s">
        <v>728</v>
      </c>
      <c r="C131">
        <v>100</v>
      </c>
      <c r="D131">
        <v>100</v>
      </c>
      <c r="E131">
        <f t="shared" ref="E131:E194" si="4">D131-C131</f>
        <v>0</v>
      </c>
      <c r="F131">
        <f t="shared" ref="F131:F194" si="5">IF(E131&gt;0,"Increase",IF(E131&lt;0,"Decrase",0))</f>
        <v>0</v>
      </c>
      <c r="I131" t="s">
        <v>729</v>
      </c>
      <c r="J131">
        <v>0</v>
      </c>
    </row>
    <row r="132" spans="1:10">
      <c r="A132" s="110">
        <v>11415</v>
      </c>
      <c r="B132" s="54" t="s">
        <v>601</v>
      </c>
      <c r="C132">
        <v>100</v>
      </c>
      <c r="D132">
        <v>50</v>
      </c>
      <c r="E132">
        <f t="shared" si="4"/>
        <v>-50</v>
      </c>
      <c r="F132" t="str">
        <f t="shared" si="5"/>
        <v>Decrase</v>
      </c>
      <c r="I132" t="s">
        <v>730</v>
      </c>
      <c r="J132">
        <v>0</v>
      </c>
    </row>
    <row r="133" spans="1:10">
      <c r="A133" s="110">
        <v>11413</v>
      </c>
      <c r="B133" s="54" t="s">
        <v>731</v>
      </c>
      <c r="C133">
        <v>100</v>
      </c>
      <c r="D133">
        <v>100</v>
      </c>
      <c r="E133">
        <f t="shared" si="4"/>
        <v>0</v>
      </c>
      <c r="F133">
        <f t="shared" si="5"/>
        <v>0</v>
      </c>
      <c r="I133" t="s">
        <v>703</v>
      </c>
      <c r="J133">
        <v>0</v>
      </c>
    </row>
    <row r="134" spans="1:10">
      <c r="A134" s="110">
        <v>11204</v>
      </c>
      <c r="B134" s="54" t="s">
        <v>572</v>
      </c>
      <c r="C134">
        <v>100</v>
      </c>
      <c r="D134">
        <v>100</v>
      </c>
      <c r="E134">
        <f t="shared" si="4"/>
        <v>0</v>
      </c>
      <c r="F134">
        <f t="shared" si="5"/>
        <v>0</v>
      </c>
      <c r="I134" t="s">
        <v>516</v>
      </c>
      <c r="J134">
        <v>0</v>
      </c>
    </row>
    <row r="135" spans="1:10">
      <c r="A135" s="110">
        <v>11303</v>
      </c>
      <c r="B135" s="54" t="s">
        <v>649</v>
      </c>
      <c r="C135">
        <v>100</v>
      </c>
      <c r="D135">
        <v>100</v>
      </c>
      <c r="E135">
        <f t="shared" si="4"/>
        <v>0</v>
      </c>
      <c r="F135">
        <f t="shared" si="5"/>
        <v>0</v>
      </c>
      <c r="I135" t="s">
        <v>732</v>
      </c>
      <c r="J135">
        <v>0</v>
      </c>
    </row>
    <row r="136" spans="1:10">
      <c r="A136" s="110">
        <v>11616</v>
      </c>
      <c r="B136" s="54" t="s">
        <v>733</v>
      </c>
      <c r="C136">
        <v>100</v>
      </c>
      <c r="D136">
        <v>100</v>
      </c>
      <c r="E136">
        <f t="shared" si="4"/>
        <v>0</v>
      </c>
      <c r="F136">
        <f t="shared" si="5"/>
        <v>0</v>
      </c>
      <c r="I136" t="s">
        <v>734</v>
      </c>
      <c r="J136">
        <v>0</v>
      </c>
    </row>
    <row r="137" spans="1:10">
      <c r="A137" s="110">
        <v>20514</v>
      </c>
      <c r="B137" s="54" t="s">
        <v>735</v>
      </c>
      <c r="C137">
        <v>100</v>
      </c>
      <c r="D137">
        <v>100</v>
      </c>
      <c r="E137">
        <f t="shared" si="4"/>
        <v>0</v>
      </c>
      <c r="F137">
        <f t="shared" si="5"/>
        <v>0</v>
      </c>
      <c r="I137" t="s">
        <v>735</v>
      </c>
      <c r="J137">
        <v>0</v>
      </c>
    </row>
    <row r="138" spans="1:10">
      <c r="A138" s="110">
        <v>11311</v>
      </c>
      <c r="B138" s="54" t="s">
        <v>653</v>
      </c>
      <c r="C138">
        <v>100</v>
      </c>
      <c r="D138">
        <v>50</v>
      </c>
      <c r="E138">
        <f t="shared" si="4"/>
        <v>-50</v>
      </c>
      <c r="F138" t="str">
        <f t="shared" si="5"/>
        <v>Decrase</v>
      </c>
      <c r="I138" t="s">
        <v>736</v>
      </c>
      <c r="J138">
        <v>0</v>
      </c>
    </row>
    <row r="139" spans="1:10">
      <c r="A139" s="110">
        <v>40115</v>
      </c>
      <c r="B139" s="54" t="s">
        <v>655</v>
      </c>
      <c r="C139">
        <v>100</v>
      </c>
      <c r="D139">
        <v>50</v>
      </c>
      <c r="E139">
        <f t="shared" si="4"/>
        <v>-50</v>
      </c>
      <c r="F139" t="str">
        <f t="shared" si="5"/>
        <v>Decrase</v>
      </c>
      <c r="I139" t="s">
        <v>737</v>
      </c>
      <c r="J139">
        <v>0</v>
      </c>
    </row>
    <row r="140" spans="1:10">
      <c r="A140" s="110">
        <v>10507</v>
      </c>
      <c r="B140" s="54" t="s">
        <v>565</v>
      </c>
      <c r="C140">
        <v>200</v>
      </c>
      <c r="D140">
        <v>100</v>
      </c>
      <c r="E140">
        <f t="shared" si="4"/>
        <v>-100</v>
      </c>
      <c r="F140" t="str">
        <f t="shared" si="5"/>
        <v>Decrase</v>
      </c>
      <c r="I140" t="s">
        <v>738</v>
      </c>
      <c r="J140">
        <v>0</v>
      </c>
    </row>
    <row r="141" spans="1:10">
      <c r="A141" s="110">
        <v>20915</v>
      </c>
      <c r="B141" s="54" t="s">
        <v>739</v>
      </c>
      <c r="C141">
        <v>100</v>
      </c>
      <c r="D141">
        <v>100</v>
      </c>
      <c r="E141">
        <f t="shared" si="4"/>
        <v>0</v>
      </c>
      <c r="F141">
        <f t="shared" si="5"/>
        <v>0</v>
      </c>
      <c r="I141" t="s">
        <v>519</v>
      </c>
      <c r="J141">
        <v>0</v>
      </c>
    </row>
    <row r="142" spans="1:10">
      <c r="A142" s="110">
        <v>20215</v>
      </c>
      <c r="B142" s="54" t="s">
        <v>702</v>
      </c>
      <c r="C142">
        <v>100</v>
      </c>
      <c r="D142">
        <v>100</v>
      </c>
      <c r="E142">
        <f t="shared" si="4"/>
        <v>0</v>
      </c>
      <c r="F142">
        <f t="shared" si="5"/>
        <v>0</v>
      </c>
      <c r="I142" t="s">
        <v>731</v>
      </c>
      <c r="J142">
        <v>0</v>
      </c>
    </row>
    <row r="143" spans="1:10">
      <c r="A143" s="110">
        <v>10721</v>
      </c>
      <c r="B143" s="54" t="s">
        <v>736</v>
      </c>
      <c r="C143">
        <v>100</v>
      </c>
      <c r="D143">
        <v>100</v>
      </c>
      <c r="E143">
        <f t="shared" si="4"/>
        <v>0</v>
      </c>
      <c r="F143">
        <f t="shared" si="5"/>
        <v>0</v>
      </c>
      <c r="I143" t="s">
        <v>688</v>
      </c>
      <c r="J143">
        <v>0</v>
      </c>
    </row>
    <row r="144" spans="1:10">
      <c r="A144" s="110">
        <v>20902</v>
      </c>
      <c r="B144" s="54" t="s">
        <v>536</v>
      </c>
      <c r="C144">
        <v>100</v>
      </c>
      <c r="D144">
        <v>50</v>
      </c>
      <c r="E144">
        <f t="shared" si="4"/>
        <v>-50</v>
      </c>
      <c r="F144" t="str">
        <f t="shared" si="5"/>
        <v>Decrase</v>
      </c>
      <c r="I144" t="s">
        <v>555</v>
      </c>
      <c r="J144">
        <v>0</v>
      </c>
    </row>
    <row r="145" spans="1:10">
      <c r="A145" s="110">
        <v>11606</v>
      </c>
      <c r="B145" s="54" t="s">
        <v>573</v>
      </c>
      <c r="C145">
        <v>100</v>
      </c>
      <c r="D145">
        <v>50</v>
      </c>
      <c r="E145">
        <f t="shared" si="4"/>
        <v>-50</v>
      </c>
      <c r="F145" t="str">
        <f t="shared" si="5"/>
        <v>Decrase</v>
      </c>
      <c r="I145" t="s">
        <v>740</v>
      </c>
      <c r="J145">
        <v>0</v>
      </c>
    </row>
    <row r="146" spans="1:10">
      <c r="A146" s="110">
        <v>30202</v>
      </c>
      <c r="B146" s="54" t="s">
        <v>634</v>
      </c>
      <c r="C146">
        <v>100</v>
      </c>
      <c r="D146">
        <v>100</v>
      </c>
      <c r="E146">
        <f t="shared" si="4"/>
        <v>0</v>
      </c>
      <c r="F146">
        <f t="shared" si="5"/>
        <v>0</v>
      </c>
      <c r="I146" t="s">
        <v>728</v>
      </c>
      <c r="J146">
        <v>0</v>
      </c>
    </row>
    <row r="147" spans="1:10">
      <c r="A147" s="110">
        <v>11613</v>
      </c>
      <c r="B147" s="54" t="s">
        <v>737</v>
      </c>
      <c r="C147">
        <v>100</v>
      </c>
      <c r="D147">
        <v>100</v>
      </c>
      <c r="E147">
        <f t="shared" si="4"/>
        <v>0</v>
      </c>
      <c r="F147">
        <f t="shared" si="5"/>
        <v>0</v>
      </c>
      <c r="I147" t="s">
        <v>724</v>
      </c>
      <c r="J147">
        <v>0</v>
      </c>
    </row>
    <row r="148" spans="1:10">
      <c r="A148" s="110">
        <v>20916</v>
      </c>
      <c r="B148" s="54" t="s">
        <v>673</v>
      </c>
      <c r="C148">
        <v>100</v>
      </c>
      <c r="D148">
        <v>100</v>
      </c>
      <c r="E148">
        <f t="shared" si="4"/>
        <v>0</v>
      </c>
      <c r="F148">
        <f t="shared" si="5"/>
        <v>0</v>
      </c>
      <c r="I148" t="s">
        <v>721</v>
      </c>
      <c r="J148">
        <v>0</v>
      </c>
    </row>
    <row r="149" spans="1:10">
      <c r="A149" s="110">
        <v>40133</v>
      </c>
      <c r="B149" s="54" t="s">
        <v>665</v>
      </c>
      <c r="C149">
        <v>100</v>
      </c>
      <c r="D149">
        <v>100</v>
      </c>
      <c r="E149">
        <f t="shared" si="4"/>
        <v>0</v>
      </c>
      <c r="F149">
        <f t="shared" si="5"/>
        <v>0</v>
      </c>
      <c r="I149" t="s">
        <v>659</v>
      </c>
      <c r="J149">
        <v>0</v>
      </c>
    </row>
    <row r="150" spans="1:10">
      <c r="A150" s="110">
        <v>40112</v>
      </c>
      <c r="B150" s="54" t="s">
        <v>641</v>
      </c>
      <c r="C150">
        <v>100</v>
      </c>
      <c r="D150">
        <v>100</v>
      </c>
      <c r="E150">
        <f t="shared" si="4"/>
        <v>0</v>
      </c>
      <c r="F150">
        <f t="shared" si="5"/>
        <v>0</v>
      </c>
      <c r="I150" t="s">
        <v>741</v>
      </c>
      <c r="J150">
        <v>0</v>
      </c>
    </row>
    <row r="151" spans="1:10">
      <c r="A151" s="110">
        <v>40212</v>
      </c>
      <c r="B151" s="54" t="s">
        <v>712</v>
      </c>
      <c r="C151">
        <v>100</v>
      </c>
      <c r="D151">
        <v>100</v>
      </c>
      <c r="E151">
        <f t="shared" si="4"/>
        <v>0</v>
      </c>
      <c r="F151">
        <f t="shared" si="5"/>
        <v>0</v>
      </c>
      <c r="I151" t="s">
        <v>742</v>
      </c>
      <c r="J151">
        <v>0</v>
      </c>
    </row>
    <row r="152" spans="1:10">
      <c r="A152" s="110">
        <v>10702</v>
      </c>
      <c r="B152" s="54" t="s">
        <v>707</v>
      </c>
      <c r="C152">
        <v>100</v>
      </c>
      <c r="D152">
        <v>100</v>
      </c>
      <c r="E152">
        <f t="shared" si="4"/>
        <v>0</v>
      </c>
      <c r="F152">
        <f t="shared" si="5"/>
        <v>0</v>
      </c>
      <c r="I152" t="s">
        <v>599</v>
      </c>
      <c r="J152">
        <v>0</v>
      </c>
    </row>
    <row r="153" spans="1:10">
      <c r="A153" s="110">
        <v>20908</v>
      </c>
      <c r="B153" s="54" t="s">
        <v>704</v>
      </c>
      <c r="C153">
        <v>100</v>
      </c>
      <c r="D153">
        <v>100</v>
      </c>
      <c r="E153">
        <f t="shared" si="4"/>
        <v>0</v>
      </c>
      <c r="F153">
        <f t="shared" si="5"/>
        <v>0</v>
      </c>
      <c r="I153" t="s">
        <v>711</v>
      </c>
      <c r="J153">
        <v>0</v>
      </c>
    </row>
    <row r="154" spans="1:10">
      <c r="A154" s="110">
        <v>20424</v>
      </c>
      <c r="B154" s="54" t="s">
        <v>632</v>
      </c>
      <c r="C154">
        <v>100</v>
      </c>
      <c r="D154">
        <v>100</v>
      </c>
      <c r="E154">
        <f t="shared" si="4"/>
        <v>0</v>
      </c>
      <c r="F154">
        <f t="shared" si="5"/>
        <v>0</v>
      </c>
      <c r="I154" t="s">
        <v>643</v>
      </c>
      <c r="J154">
        <v>0</v>
      </c>
    </row>
    <row r="155" spans="1:10">
      <c r="A155" s="110">
        <v>11306</v>
      </c>
      <c r="B155" s="54" t="s">
        <v>587</v>
      </c>
      <c r="C155">
        <v>100</v>
      </c>
      <c r="D155">
        <v>50</v>
      </c>
      <c r="E155">
        <f t="shared" si="4"/>
        <v>-50</v>
      </c>
      <c r="F155" t="str">
        <f t="shared" si="5"/>
        <v>Decrase</v>
      </c>
      <c r="I155" t="s">
        <v>722</v>
      </c>
      <c r="J155">
        <v>0</v>
      </c>
    </row>
    <row r="156" spans="1:10">
      <c r="A156" s="110">
        <v>10738</v>
      </c>
      <c r="B156" s="54" t="s">
        <v>518</v>
      </c>
      <c r="C156">
        <v>100</v>
      </c>
      <c r="D156">
        <v>50</v>
      </c>
      <c r="E156">
        <f t="shared" si="4"/>
        <v>-50</v>
      </c>
      <c r="F156" t="str">
        <f t="shared" si="5"/>
        <v>Decrase</v>
      </c>
      <c r="I156" t="s">
        <v>510</v>
      </c>
      <c r="J156">
        <v>0</v>
      </c>
    </row>
    <row r="157" spans="1:10">
      <c r="A157" s="110">
        <v>40213</v>
      </c>
      <c r="B157" s="54" t="s">
        <v>715</v>
      </c>
      <c r="C157">
        <v>100</v>
      </c>
      <c r="D157">
        <v>100</v>
      </c>
      <c r="E157">
        <f t="shared" si="4"/>
        <v>0</v>
      </c>
      <c r="F157">
        <f t="shared" si="5"/>
        <v>0</v>
      </c>
      <c r="I157" t="s">
        <v>695</v>
      </c>
      <c r="J157">
        <v>0</v>
      </c>
    </row>
    <row r="158" spans="1:10">
      <c r="A158" s="110">
        <v>30614</v>
      </c>
      <c r="B158" s="54" t="s">
        <v>714</v>
      </c>
      <c r="C158">
        <v>100</v>
      </c>
      <c r="D158">
        <v>100</v>
      </c>
      <c r="E158">
        <f t="shared" si="4"/>
        <v>0</v>
      </c>
      <c r="F158">
        <f t="shared" si="5"/>
        <v>0</v>
      </c>
      <c r="I158" t="s">
        <v>743</v>
      </c>
      <c r="J158">
        <v>0</v>
      </c>
    </row>
    <row r="159" spans="1:10">
      <c r="A159" s="110">
        <v>11708</v>
      </c>
      <c r="B159" s="54" t="s">
        <v>730</v>
      </c>
      <c r="C159">
        <v>100</v>
      </c>
      <c r="D159">
        <v>100</v>
      </c>
      <c r="E159">
        <f t="shared" si="4"/>
        <v>0</v>
      </c>
      <c r="F159">
        <f t="shared" si="5"/>
        <v>0</v>
      </c>
      <c r="I159" t="s">
        <v>613</v>
      </c>
      <c r="J159">
        <v>0</v>
      </c>
    </row>
    <row r="160" spans="1:10">
      <c r="A160" s="110">
        <v>11911</v>
      </c>
      <c r="B160" s="54" t="s">
        <v>627</v>
      </c>
      <c r="C160">
        <v>100</v>
      </c>
      <c r="D160">
        <v>50</v>
      </c>
      <c r="E160">
        <f t="shared" si="4"/>
        <v>-50</v>
      </c>
      <c r="F160" t="str">
        <f t="shared" si="5"/>
        <v>Decrase</v>
      </c>
      <c r="I160" t="s">
        <v>744</v>
      </c>
      <c r="J160">
        <v>0</v>
      </c>
    </row>
    <row r="161" spans="1:10">
      <c r="A161" s="110">
        <v>11814</v>
      </c>
      <c r="B161" s="54" t="s">
        <v>645</v>
      </c>
      <c r="C161">
        <v>100</v>
      </c>
      <c r="D161">
        <v>50</v>
      </c>
      <c r="E161">
        <f t="shared" si="4"/>
        <v>-50</v>
      </c>
      <c r="F161" t="str">
        <f t="shared" si="5"/>
        <v>Decrase</v>
      </c>
      <c r="I161" t="s">
        <v>739</v>
      </c>
      <c r="J161">
        <v>0</v>
      </c>
    </row>
    <row r="162" spans="1:10">
      <c r="A162" s="110">
        <v>11212</v>
      </c>
      <c r="B162" s="54" t="s">
        <v>576</v>
      </c>
      <c r="C162">
        <v>100</v>
      </c>
      <c r="D162">
        <v>50</v>
      </c>
      <c r="E162">
        <f t="shared" si="4"/>
        <v>-50</v>
      </c>
      <c r="F162" t="str">
        <f t="shared" si="5"/>
        <v>Decrase</v>
      </c>
      <c r="I162" t="s">
        <v>733</v>
      </c>
      <c r="J162">
        <v>0</v>
      </c>
    </row>
    <row r="163" spans="1:10">
      <c r="A163" s="110">
        <v>20911</v>
      </c>
      <c r="B163" s="54" t="s">
        <v>582</v>
      </c>
      <c r="C163">
        <v>100</v>
      </c>
      <c r="D163">
        <v>50</v>
      </c>
      <c r="E163">
        <f t="shared" si="4"/>
        <v>-50</v>
      </c>
      <c r="F163" t="str">
        <f t="shared" si="5"/>
        <v>Decrase</v>
      </c>
      <c r="I163" t="s">
        <v>622</v>
      </c>
      <c r="J163">
        <v>0</v>
      </c>
    </row>
    <row r="164" spans="1:10">
      <c r="A164" s="110">
        <v>20212</v>
      </c>
      <c r="B164" s="54" t="s">
        <v>740</v>
      </c>
      <c r="C164">
        <v>100</v>
      </c>
      <c r="D164">
        <v>100</v>
      </c>
      <c r="E164">
        <f t="shared" si="4"/>
        <v>0</v>
      </c>
      <c r="F164">
        <f t="shared" si="5"/>
        <v>0</v>
      </c>
      <c r="I164" t="s">
        <v>616</v>
      </c>
      <c r="J164">
        <v>0</v>
      </c>
    </row>
    <row r="165" spans="1:10">
      <c r="A165" s="110">
        <v>10137</v>
      </c>
      <c r="B165" s="54" t="s">
        <v>544</v>
      </c>
      <c r="C165">
        <v>100</v>
      </c>
      <c r="D165">
        <v>100</v>
      </c>
      <c r="E165">
        <f t="shared" si="4"/>
        <v>0</v>
      </c>
      <c r="F165">
        <f t="shared" si="5"/>
        <v>0</v>
      </c>
      <c r="H165" t="s">
        <v>511</v>
      </c>
      <c r="I165" t="s">
        <v>512</v>
      </c>
      <c r="J165">
        <v>-100</v>
      </c>
    </row>
    <row r="166" spans="1:10">
      <c r="A166" s="110">
        <v>30108</v>
      </c>
      <c r="B166" s="54" t="s">
        <v>669</v>
      </c>
      <c r="C166">
        <v>100</v>
      </c>
      <c r="D166">
        <v>100</v>
      </c>
      <c r="E166">
        <f t="shared" si="4"/>
        <v>0</v>
      </c>
      <c r="F166">
        <f t="shared" si="5"/>
        <v>0</v>
      </c>
      <c r="I166" t="s">
        <v>515</v>
      </c>
      <c r="J166">
        <v>-100</v>
      </c>
    </row>
    <row r="167" spans="1:10">
      <c r="A167" s="110">
        <v>10744</v>
      </c>
      <c r="B167" s="54" t="s">
        <v>633</v>
      </c>
      <c r="C167">
        <v>100</v>
      </c>
      <c r="D167">
        <v>50</v>
      </c>
      <c r="E167">
        <f t="shared" si="4"/>
        <v>-50</v>
      </c>
      <c r="F167" t="str">
        <f t="shared" si="5"/>
        <v>Decrase</v>
      </c>
      <c r="I167" t="s">
        <v>518</v>
      </c>
      <c r="J167">
        <v>-50</v>
      </c>
    </row>
    <row r="168" spans="1:10">
      <c r="A168" s="110">
        <v>11508</v>
      </c>
      <c r="B168" s="54" t="s">
        <v>615</v>
      </c>
      <c r="C168">
        <v>100</v>
      </c>
      <c r="D168">
        <v>50</v>
      </c>
      <c r="E168">
        <f t="shared" si="4"/>
        <v>-50</v>
      </c>
      <c r="F168" t="str">
        <f t="shared" si="5"/>
        <v>Decrase</v>
      </c>
      <c r="I168" t="s">
        <v>521</v>
      </c>
      <c r="J168">
        <v>-100</v>
      </c>
    </row>
    <row r="169" spans="1:10">
      <c r="A169" s="110">
        <v>10743</v>
      </c>
      <c r="B169" s="54" t="s">
        <v>635</v>
      </c>
      <c r="C169">
        <v>100</v>
      </c>
      <c r="D169">
        <v>50</v>
      </c>
      <c r="E169">
        <f t="shared" si="4"/>
        <v>-50</v>
      </c>
      <c r="F169" t="str">
        <f t="shared" si="5"/>
        <v>Decrase</v>
      </c>
      <c r="I169" t="s">
        <v>524</v>
      </c>
      <c r="J169">
        <v>-50</v>
      </c>
    </row>
    <row r="170" spans="1:10">
      <c r="A170" s="110">
        <v>30616</v>
      </c>
      <c r="B170" s="54" t="s">
        <v>606</v>
      </c>
      <c r="C170">
        <v>100</v>
      </c>
      <c r="D170">
        <v>50</v>
      </c>
      <c r="E170">
        <f t="shared" si="4"/>
        <v>-50</v>
      </c>
      <c r="F170" t="str">
        <f t="shared" si="5"/>
        <v>Decrase</v>
      </c>
      <c r="I170" t="s">
        <v>527</v>
      </c>
      <c r="J170">
        <v>-100</v>
      </c>
    </row>
    <row r="171" spans="1:10">
      <c r="A171" s="110">
        <v>11406</v>
      </c>
      <c r="B171" s="54" t="s">
        <v>579</v>
      </c>
      <c r="C171">
        <v>100</v>
      </c>
      <c r="D171">
        <v>50</v>
      </c>
      <c r="E171">
        <f t="shared" si="4"/>
        <v>-50</v>
      </c>
      <c r="F171" t="str">
        <f t="shared" si="5"/>
        <v>Decrase</v>
      </c>
      <c r="I171" t="s">
        <v>530</v>
      </c>
      <c r="J171">
        <v>-100</v>
      </c>
    </row>
    <row r="172" spans="1:10">
      <c r="A172" s="110">
        <v>11109</v>
      </c>
      <c r="B172" s="54" t="s">
        <v>652</v>
      </c>
      <c r="C172">
        <v>50</v>
      </c>
      <c r="D172">
        <v>50</v>
      </c>
      <c r="E172">
        <f t="shared" si="4"/>
        <v>0</v>
      </c>
      <c r="F172">
        <f t="shared" si="5"/>
        <v>0</v>
      </c>
      <c r="I172" t="s">
        <v>533</v>
      </c>
      <c r="J172">
        <v>-100</v>
      </c>
    </row>
    <row r="173" spans="1:10">
      <c r="A173" s="110">
        <v>11502</v>
      </c>
      <c r="B173" s="54" t="s">
        <v>548</v>
      </c>
      <c r="C173">
        <v>100</v>
      </c>
      <c r="D173">
        <v>50</v>
      </c>
      <c r="E173">
        <f t="shared" si="4"/>
        <v>-50</v>
      </c>
      <c r="F173" t="str">
        <f t="shared" si="5"/>
        <v>Decrase</v>
      </c>
      <c r="I173" t="s">
        <v>536</v>
      </c>
      <c r="J173">
        <v>-50</v>
      </c>
    </row>
    <row r="174" spans="1:10">
      <c r="A174" s="110">
        <v>10140</v>
      </c>
      <c r="B174" s="54" t="s">
        <v>551</v>
      </c>
      <c r="C174">
        <v>100</v>
      </c>
      <c r="D174">
        <v>50</v>
      </c>
      <c r="E174">
        <f t="shared" si="4"/>
        <v>-50</v>
      </c>
      <c r="F174" t="str">
        <f t="shared" si="5"/>
        <v>Decrase</v>
      </c>
      <c r="I174" t="s">
        <v>539</v>
      </c>
      <c r="J174">
        <v>-100</v>
      </c>
    </row>
    <row r="175" spans="1:10">
      <c r="A175" s="110">
        <v>30112</v>
      </c>
      <c r="B175" s="54" t="s">
        <v>662</v>
      </c>
      <c r="C175">
        <v>100</v>
      </c>
      <c r="D175">
        <v>100</v>
      </c>
      <c r="E175">
        <f t="shared" si="4"/>
        <v>0</v>
      </c>
      <c r="F175">
        <f t="shared" si="5"/>
        <v>0</v>
      </c>
      <c r="I175" t="s">
        <v>542</v>
      </c>
      <c r="J175">
        <v>-50</v>
      </c>
    </row>
    <row r="176" spans="1:10">
      <c r="A176" s="110">
        <v>11902</v>
      </c>
      <c r="B176" s="54" t="s">
        <v>636</v>
      </c>
      <c r="C176">
        <v>100</v>
      </c>
      <c r="D176">
        <v>100</v>
      </c>
      <c r="E176">
        <f t="shared" si="4"/>
        <v>0</v>
      </c>
      <c r="F176">
        <f t="shared" si="5"/>
        <v>0</v>
      </c>
      <c r="I176" t="s">
        <v>545</v>
      </c>
      <c r="J176">
        <v>-100</v>
      </c>
    </row>
    <row r="177" spans="1:10">
      <c r="A177" s="110">
        <v>40202</v>
      </c>
      <c r="B177" s="54" t="s">
        <v>524</v>
      </c>
      <c r="C177">
        <v>100</v>
      </c>
      <c r="D177">
        <v>50</v>
      </c>
      <c r="E177">
        <f t="shared" si="4"/>
        <v>-50</v>
      </c>
      <c r="F177" t="str">
        <f t="shared" si="5"/>
        <v>Decrase</v>
      </c>
      <c r="I177" t="s">
        <v>548</v>
      </c>
      <c r="J177">
        <v>-50</v>
      </c>
    </row>
    <row r="178" spans="1:10">
      <c r="A178" s="110">
        <v>10118</v>
      </c>
      <c r="B178" s="54" t="s">
        <v>541</v>
      </c>
      <c r="C178">
        <v>50</v>
      </c>
      <c r="D178">
        <v>50</v>
      </c>
      <c r="E178">
        <f t="shared" si="4"/>
        <v>0</v>
      </c>
      <c r="F178">
        <f t="shared" si="5"/>
        <v>0</v>
      </c>
      <c r="I178" t="s">
        <v>551</v>
      </c>
      <c r="J178">
        <v>-50</v>
      </c>
    </row>
    <row r="179" spans="1:10">
      <c r="A179" s="110">
        <v>40122</v>
      </c>
      <c r="B179" s="54" t="s">
        <v>526</v>
      </c>
      <c r="C179">
        <v>50</v>
      </c>
      <c r="D179">
        <v>50</v>
      </c>
      <c r="E179">
        <f t="shared" si="4"/>
        <v>0</v>
      </c>
      <c r="F179">
        <f t="shared" si="5"/>
        <v>0</v>
      </c>
      <c r="I179" t="s">
        <v>554</v>
      </c>
      <c r="J179">
        <v>-100</v>
      </c>
    </row>
    <row r="180" spans="1:10">
      <c r="A180" s="110">
        <v>40126</v>
      </c>
      <c r="B180" s="54" t="s">
        <v>581</v>
      </c>
      <c r="C180">
        <v>100</v>
      </c>
      <c r="D180">
        <v>100</v>
      </c>
      <c r="E180">
        <f t="shared" si="4"/>
        <v>0</v>
      </c>
      <c r="F180">
        <f t="shared" si="5"/>
        <v>0</v>
      </c>
      <c r="I180" t="s">
        <v>557</v>
      </c>
      <c r="J180">
        <v>-100</v>
      </c>
    </row>
    <row r="181" spans="1:10">
      <c r="A181" s="110">
        <v>40106</v>
      </c>
      <c r="B181" s="54" t="s">
        <v>563</v>
      </c>
      <c r="C181">
        <v>100</v>
      </c>
      <c r="D181">
        <v>50</v>
      </c>
      <c r="E181">
        <f t="shared" si="4"/>
        <v>-50</v>
      </c>
      <c r="F181" t="str">
        <f t="shared" si="5"/>
        <v>Decrase</v>
      </c>
      <c r="I181" t="s">
        <v>560</v>
      </c>
      <c r="J181">
        <v>-100</v>
      </c>
    </row>
    <row r="182" spans="1:10">
      <c r="A182" s="110">
        <v>10711</v>
      </c>
      <c r="B182" s="54" t="s">
        <v>639</v>
      </c>
      <c r="C182">
        <v>100</v>
      </c>
      <c r="D182">
        <v>50</v>
      </c>
      <c r="E182">
        <f t="shared" si="4"/>
        <v>-50</v>
      </c>
      <c r="F182" t="str">
        <f t="shared" si="5"/>
        <v>Decrase</v>
      </c>
      <c r="I182" t="s">
        <v>563</v>
      </c>
      <c r="J182">
        <v>-50</v>
      </c>
    </row>
    <row r="183" spans="1:10">
      <c r="A183" s="110">
        <v>40203</v>
      </c>
      <c r="B183" s="54" t="s">
        <v>547</v>
      </c>
      <c r="C183">
        <v>100</v>
      </c>
      <c r="D183">
        <v>100</v>
      </c>
      <c r="E183">
        <f t="shared" si="4"/>
        <v>0</v>
      </c>
      <c r="F183">
        <f t="shared" si="5"/>
        <v>0</v>
      </c>
      <c r="I183" t="s">
        <v>565</v>
      </c>
      <c r="J183">
        <v>-100</v>
      </c>
    </row>
    <row r="184" spans="1:10">
      <c r="A184" s="110">
        <v>40207</v>
      </c>
      <c r="B184" s="54" t="s">
        <v>656</v>
      </c>
      <c r="C184">
        <v>50</v>
      </c>
      <c r="D184">
        <v>50</v>
      </c>
      <c r="E184">
        <f t="shared" si="4"/>
        <v>0</v>
      </c>
      <c r="F184">
        <f t="shared" si="5"/>
        <v>0</v>
      </c>
      <c r="I184" t="s">
        <v>568</v>
      </c>
      <c r="J184">
        <v>-50</v>
      </c>
    </row>
    <row r="185" spans="1:10">
      <c r="A185" s="110">
        <v>11609</v>
      </c>
      <c r="B185" s="54" t="s">
        <v>710</v>
      </c>
      <c r="C185">
        <v>50</v>
      </c>
      <c r="D185">
        <v>50</v>
      </c>
      <c r="E185">
        <f t="shared" si="4"/>
        <v>0</v>
      </c>
      <c r="F185">
        <f t="shared" si="5"/>
        <v>0</v>
      </c>
      <c r="I185" t="s">
        <v>571</v>
      </c>
      <c r="J185">
        <v>-100</v>
      </c>
    </row>
    <row r="186" spans="1:10">
      <c r="A186" s="110">
        <v>20511</v>
      </c>
      <c r="B186" s="54" t="s">
        <v>718</v>
      </c>
      <c r="C186">
        <v>50</v>
      </c>
      <c r="D186">
        <v>50</v>
      </c>
      <c r="E186">
        <f t="shared" si="4"/>
        <v>0</v>
      </c>
      <c r="F186">
        <f t="shared" si="5"/>
        <v>0</v>
      </c>
      <c r="I186" t="s">
        <v>573</v>
      </c>
      <c r="J186">
        <v>-50</v>
      </c>
    </row>
    <row r="187" spans="1:10">
      <c r="A187" s="110">
        <v>11117</v>
      </c>
      <c r="B187" s="54" t="s">
        <v>637</v>
      </c>
      <c r="C187">
        <v>100</v>
      </c>
      <c r="D187">
        <v>50</v>
      </c>
      <c r="E187">
        <f t="shared" si="4"/>
        <v>-50</v>
      </c>
      <c r="F187" t="str">
        <f t="shared" si="5"/>
        <v>Decrase</v>
      </c>
      <c r="I187" t="s">
        <v>576</v>
      </c>
      <c r="J187">
        <v>-50</v>
      </c>
    </row>
    <row r="188" spans="1:10">
      <c r="A188" s="110">
        <v>11403</v>
      </c>
      <c r="B188" s="54" t="s">
        <v>542</v>
      </c>
      <c r="C188">
        <v>100</v>
      </c>
      <c r="D188">
        <v>50</v>
      </c>
      <c r="E188">
        <f t="shared" si="4"/>
        <v>-50</v>
      </c>
      <c r="F188" t="str">
        <f t="shared" si="5"/>
        <v>Decrase</v>
      </c>
      <c r="I188" t="s">
        <v>579</v>
      </c>
      <c r="J188">
        <v>-50</v>
      </c>
    </row>
    <row r="189" spans="1:10">
      <c r="A189" s="110">
        <v>11904</v>
      </c>
      <c r="B189" s="54" t="s">
        <v>568</v>
      </c>
      <c r="C189">
        <v>100</v>
      </c>
      <c r="D189">
        <v>50</v>
      </c>
      <c r="E189">
        <f t="shared" si="4"/>
        <v>-50</v>
      </c>
      <c r="F189" t="str">
        <f t="shared" si="5"/>
        <v>Decrase</v>
      </c>
      <c r="I189" t="s">
        <v>582</v>
      </c>
      <c r="J189">
        <v>-50</v>
      </c>
    </row>
    <row r="190" spans="1:10">
      <c r="A190" s="110">
        <v>11116</v>
      </c>
      <c r="B190" s="54" t="s">
        <v>732</v>
      </c>
      <c r="C190">
        <v>50</v>
      </c>
      <c r="D190">
        <v>50</v>
      </c>
      <c r="E190">
        <f t="shared" si="4"/>
        <v>0</v>
      </c>
      <c r="F190">
        <f t="shared" si="5"/>
        <v>0</v>
      </c>
      <c r="I190" t="s">
        <v>584</v>
      </c>
      <c r="J190">
        <v>-100</v>
      </c>
    </row>
    <row r="191" spans="1:10">
      <c r="A191" s="110">
        <v>20431</v>
      </c>
      <c r="B191" s="54" t="s">
        <v>719</v>
      </c>
      <c r="C191">
        <v>50</v>
      </c>
      <c r="D191">
        <v>50</v>
      </c>
      <c r="E191">
        <f t="shared" si="4"/>
        <v>0</v>
      </c>
      <c r="F191">
        <f t="shared" si="5"/>
        <v>0</v>
      </c>
      <c r="I191" t="s">
        <v>587</v>
      </c>
      <c r="J191">
        <v>-50</v>
      </c>
    </row>
    <row r="192" spans="1:10">
      <c r="A192" s="110">
        <v>20433</v>
      </c>
      <c r="B192" s="54" t="s">
        <v>621</v>
      </c>
      <c r="C192">
        <v>100</v>
      </c>
      <c r="D192">
        <v>50</v>
      </c>
      <c r="E192">
        <f t="shared" si="4"/>
        <v>-50</v>
      </c>
      <c r="F192" t="str">
        <f t="shared" si="5"/>
        <v>Decrase</v>
      </c>
      <c r="I192" t="s">
        <v>589</v>
      </c>
      <c r="J192">
        <v>-100</v>
      </c>
    </row>
    <row r="193" spans="1:10">
      <c r="A193" s="110">
        <v>20906</v>
      </c>
      <c r="B193" s="54" t="s">
        <v>611</v>
      </c>
      <c r="C193">
        <v>50</v>
      </c>
      <c r="D193">
        <v>50</v>
      </c>
      <c r="E193">
        <f t="shared" si="4"/>
        <v>0</v>
      </c>
      <c r="F193">
        <f t="shared" si="5"/>
        <v>0</v>
      </c>
      <c r="I193" t="s">
        <v>592</v>
      </c>
      <c r="J193">
        <v>-100</v>
      </c>
    </row>
    <row r="194" spans="1:10">
      <c r="A194" s="110">
        <v>30619</v>
      </c>
      <c r="B194" s="54" t="s">
        <v>729</v>
      </c>
      <c r="C194">
        <v>50</v>
      </c>
      <c r="D194">
        <v>50</v>
      </c>
      <c r="E194">
        <f t="shared" si="4"/>
        <v>0</v>
      </c>
      <c r="F194">
        <f t="shared" si="5"/>
        <v>0</v>
      </c>
      <c r="I194" t="s">
        <v>595</v>
      </c>
      <c r="J194">
        <v>-50</v>
      </c>
    </row>
    <row r="195" spans="1:10">
      <c r="A195" s="110">
        <v>20541</v>
      </c>
      <c r="B195" s="54" t="s">
        <v>604</v>
      </c>
      <c r="C195">
        <v>100</v>
      </c>
      <c r="D195">
        <v>50</v>
      </c>
      <c r="E195">
        <f t="shared" ref="E195:E233" si="6">D195-C195</f>
        <v>-50</v>
      </c>
      <c r="F195" t="str">
        <f t="shared" ref="F195:F233" si="7">IF(E195&gt;0,"Increase",IF(E195&lt;0,"Decrase",0))</f>
        <v>Decrase</v>
      </c>
      <c r="I195" t="s">
        <v>597</v>
      </c>
      <c r="J195">
        <v>-50</v>
      </c>
    </row>
    <row r="196" spans="1:10">
      <c r="A196" s="110">
        <v>40103</v>
      </c>
      <c r="B196" s="54" t="s">
        <v>716</v>
      </c>
      <c r="C196">
        <v>50</v>
      </c>
      <c r="D196">
        <v>50</v>
      </c>
      <c r="E196">
        <f t="shared" si="6"/>
        <v>0</v>
      </c>
      <c r="F196">
        <f t="shared" si="7"/>
        <v>0</v>
      </c>
      <c r="I196" t="s">
        <v>588</v>
      </c>
      <c r="J196">
        <v>-100</v>
      </c>
    </row>
    <row r="197" spans="1:10">
      <c r="A197" s="110">
        <v>40105</v>
      </c>
      <c r="B197" s="54" t="s">
        <v>614</v>
      </c>
      <c r="C197">
        <v>50</v>
      </c>
      <c r="D197">
        <v>50</v>
      </c>
      <c r="E197">
        <f t="shared" si="6"/>
        <v>0</v>
      </c>
      <c r="F197">
        <f t="shared" si="7"/>
        <v>0</v>
      </c>
      <c r="I197" t="s">
        <v>564</v>
      </c>
      <c r="J197">
        <v>-100</v>
      </c>
    </row>
    <row r="198" spans="1:10">
      <c r="A198" s="110">
        <v>20909</v>
      </c>
      <c r="B198" s="54" t="s">
        <v>734</v>
      </c>
      <c r="C198">
        <v>50</v>
      </c>
      <c r="D198">
        <v>50</v>
      </c>
      <c r="E198">
        <f t="shared" si="6"/>
        <v>0</v>
      </c>
      <c r="F198">
        <f t="shared" si="7"/>
        <v>0</v>
      </c>
      <c r="I198" t="s">
        <v>601</v>
      </c>
      <c r="J198">
        <v>-50</v>
      </c>
    </row>
    <row r="199" spans="1:10">
      <c r="A199" s="110">
        <v>30421</v>
      </c>
      <c r="B199" s="54" t="s">
        <v>650</v>
      </c>
      <c r="C199">
        <v>100</v>
      </c>
      <c r="D199">
        <v>50</v>
      </c>
      <c r="E199">
        <f t="shared" si="6"/>
        <v>-50</v>
      </c>
      <c r="F199" t="str">
        <f t="shared" si="7"/>
        <v>Decrase</v>
      </c>
      <c r="I199" t="s">
        <v>604</v>
      </c>
      <c r="J199">
        <v>-50</v>
      </c>
    </row>
    <row r="200" spans="1:10">
      <c r="A200" s="110">
        <v>10516</v>
      </c>
      <c r="B200" s="54" t="s">
        <v>742</v>
      </c>
      <c r="C200">
        <v>50</v>
      </c>
      <c r="D200">
        <v>50</v>
      </c>
      <c r="E200">
        <f t="shared" si="6"/>
        <v>0</v>
      </c>
      <c r="F200">
        <f t="shared" si="7"/>
        <v>0</v>
      </c>
      <c r="I200" t="s">
        <v>606</v>
      </c>
      <c r="J200">
        <v>-50</v>
      </c>
    </row>
    <row r="201" spans="1:10">
      <c r="A201" s="110">
        <v>11312</v>
      </c>
      <c r="B201" s="54" t="s">
        <v>595</v>
      </c>
      <c r="C201">
        <v>100</v>
      </c>
      <c r="D201">
        <v>50</v>
      </c>
      <c r="E201">
        <f t="shared" si="6"/>
        <v>-50</v>
      </c>
      <c r="F201" t="str">
        <f t="shared" si="7"/>
        <v>Decrase</v>
      </c>
      <c r="I201" t="s">
        <v>609</v>
      </c>
      <c r="J201">
        <v>-50</v>
      </c>
    </row>
    <row r="202" spans="1:10">
      <c r="A202" s="110">
        <v>20421</v>
      </c>
      <c r="B202" s="54" t="s">
        <v>744</v>
      </c>
      <c r="C202">
        <v>50</v>
      </c>
      <c r="D202">
        <v>50</v>
      </c>
      <c r="E202">
        <f t="shared" si="6"/>
        <v>0</v>
      </c>
      <c r="F202">
        <f t="shared" si="7"/>
        <v>0</v>
      </c>
      <c r="I202" t="s">
        <v>612</v>
      </c>
      <c r="J202">
        <v>-100</v>
      </c>
    </row>
    <row r="203" spans="1:10">
      <c r="A203" s="110">
        <v>40208</v>
      </c>
      <c r="B203" s="54" t="s">
        <v>664</v>
      </c>
      <c r="C203">
        <v>50</v>
      </c>
      <c r="D203">
        <v>100</v>
      </c>
      <c r="E203">
        <f t="shared" si="6"/>
        <v>50</v>
      </c>
      <c r="F203" t="str">
        <f t="shared" si="7"/>
        <v>Increase</v>
      </c>
      <c r="I203" t="s">
        <v>615</v>
      </c>
      <c r="J203">
        <v>-50</v>
      </c>
    </row>
    <row r="204" spans="1:10">
      <c r="A204" s="110">
        <v>30121</v>
      </c>
      <c r="B204" s="54" t="s">
        <v>620</v>
      </c>
      <c r="C204">
        <v>50</v>
      </c>
      <c r="D204">
        <v>50</v>
      </c>
      <c r="E204">
        <f t="shared" si="6"/>
        <v>0</v>
      </c>
      <c r="F204">
        <f t="shared" si="7"/>
        <v>0</v>
      </c>
      <c r="I204" t="s">
        <v>618</v>
      </c>
      <c r="J204">
        <v>-100</v>
      </c>
    </row>
    <row r="205" spans="1:10">
      <c r="A205" s="110">
        <v>30104</v>
      </c>
      <c r="B205" s="54" t="s">
        <v>663</v>
      </c>
      <c r="C205">
        <v>50</v>
      </c>
      <c r="D205">
        <v>50</v>
      </c>
      <c r="E205">
        <f t="shared" si="6"/>
        <v>0</v>
      </c>
      <c r="F205">
        <f t="shared" si="7"/>
        <v>0</v>
      </c>
      <c r="I205" t="s">
        <v>621</v>
      </c>
      <c r="J205">
        <v>-50</v>
      </c>
    </row>
    <row r="206" spans="1:10">
      <c r="A206" s="110">
        <v>30109</v>
      </c>
      <c r="B206" s="54" t="s">
        <v>668</v>
      </c>
      <c r="C206">
        <v>50</v>
      </c>
      <c r="D206">
        <v>50</v>
      </c>
      <c r="E206">
        <f t="shared" si="6"/>
        <v>0</v>
      </c>
      <c r="F206">
        <f t="shared" si="7"/>
        <v>0</v>
      </c>
      <c r="I206" t="s">
        <v>624</v>
      </c>
      <c r="J206">
        <v>-100</v>
      </c>
    </row>
    <row r="207" spans="1:10">
      <c r="A207" s="110">
        <v>11812</v>
      </c>
      <c r="B207" s="54" t="s">
        <v>727</v>
      </c>
      <c r="C207">
        <v>50</v>
      </c>
      <c r="D207">
        <v>50</v>
      </c>
      <c r="E207">
        <f t="shared" si="6"/>
        <v>0</v>
      </c>
      <c r="F207">
        <f t="shared" si="7"/>
        <v>0</v>
      </c>
      <c r="I207" t="s">
        <v>627</v>
      </c>
      <c r="J207">
        <v>-50</v>
      </c>
    </row>
    <row r="208" spans="1:10">
      <c r="A208" s="110">
        <v>40209</v>
      </c>
      <c r="B208" s="54" t="s">
        <v>700</v>
      </c>
      <c r="C208">
        <v>50</v>
      </c>
      <c r="D208">
        <v>50</v>
      </c>
      <c r="E208">
        <f t="shared" si="6"/>
        <v>0</v>
      </c>
      <c r="F208">
        <f t="shared" si="7"/>
        <v>0</v>
      </c>
      <c r="I208" t="s">
        <v>630</v>
      </c>
      <c r="J208">
        <v>-100</v>
      </c>
    </row>
    <row r="209" spans="1:10">
      <c r="A209" s="110">
        <v>40204</v>
      </c>
      <c r="B209" s="54" t="s">
        <v>553</v>
      </c>
      <c r="C209">
        <v>50</v>
      </c>
      <c r="D209">
        <v>50</v>
      </c>
      <c r="E209">
        <f t="shared" si="6"/>
        <v>0</v>
      </c>
      <c r="F209">
        <f t="shared" si="7"/>
        <v>0</v>
      </c>
      <c r="I209" t="s">
        <v>633</v>
      </c>
      <c r="J209">
        <v>-50</v>
      </c>
    </row>
    <row r="210" spans="1:10">
      <c r="A210" s="110">
        <v>40119</v>
      </c>
      <c r="B210" s="54" t="s">
        <v>725</v>
      </c>
      <c r="C210">
        <v>50</v>
      </c>
      <c r="D210">
        <v>50</v>
      </c>
      <c r="E210">
        <f t="shared" si="6"/>
        <v>0</v>
      </c>
      <c r="F210">
        <f t="shared" si="7"/>
        <v>0</v>
      </c>
      <c r="I210" t="s">
        <v>635</v>
      </c>
      <c r="J210">
        <v>-50</v>
      </c>
    </row>
    <row r="211" spans="1:10">
      <c r="A211" s="110">
        <v>10601</v>
      </c>
      <c r="B211" s="54" t="s">
        <v>594</v>
      </c>
      <c r="C211">
        <v>50</v>
      </c>
      <c r="D211">
        <v>50</v>
      </c>
      <c r="E211">
        <f t="shared" si="6"/>
        <v>0</v>
      </c>
      <c r="F211">
        <f t="shared" si="7"/>
        <v>0</v>
      </c>
      <c r="I211" t="s">
        <v>637</v>
      </c>
      <c r="J211">
        <v>-50</v>
      </c>
    </row>
    <row r="212" spans="1:10">
      <c r="A212" s="110">
        <v>10502</v>
      </c>
      <c r="B212" s="54" t="s">
        <v>538</v>
      </c>
      <c r="C212">
        <v>50</v>
      </c>
      <c r="D212">
        <v>50</v>
      </c>
      <c r="E212">
        <f t="shared" si="6"/>
        <v>0</v>
      </c>
      <c r="F212">
        <f t="shared" si="7"/>
        <v>0</v>
      </c>
      <c r="I212" t="s">
        <v>580</v>
      </c>
      <c r="J212">
        <v>-100</v>
      </c>
    </row>
    <row r="213" spans="1:10">
      <c r="A213" s="110">
        <v>10526</v>
      </c>
      <c r="B213" s="54" t="s">
        <v>677</v>
      </c>
      <c r="C213">
        <v>50</v>
      </c>
      <c r="D213">
        <v>50</v>
      </c>
      <c r="E213">
        <f t="shared" si="6"/>
        <v>0</v>
      </c>
      <c r="F213">
        <f t="shared" si="7"/>
        <v>0</v>
      </c>
      <c r="I213" t="s">
        <v>639</v>
      </c>
      <c r="J213">
        <v>-50</v>
      </c>
    </row>
    <row r="214" spans="1:10">
      <c r="A214" s="110">
        <v>11410</v>
      </c>
      <c r="B214" s="54" t="s">
        <v>717</v>
      </c>
      <c r="C214">
        <v>50</v>
      </c>
      <c r="D214">
        <v>50</v>
      </c>
      <c r="E214">
        <f t="shared" si="6"/>
        <v>0</v>
      </c>
      <c r="F214">
        <f t="shared" si="7"/>
        <v>0</v>
      </c>
      <c r="I214" t="s">
        <v>642</v>
      </c>
      <c r="J214">
        <v>-50</v>
      </c>
    </row>
    <row r="215" spans="1:10">
      <c r="A215" s="110">
        <v>10144</v>
      </c>
      <c r="B215" s="54" t="s">
        <v>578</v>
      </c>
      <c r="C215">
        <v>50</v>
      </c>
      <c r="D215">
        <v>50</v>
      </c>
      <c r="E215">
        <f t="shared" si="6"/>
        <v>0</v>
      </c>
      <c r="F215">
        <f t="shared" si="7"/>
        <v>0</v>
      </c>
      <c r="I215" t="s">
        <v>645</v>
      </c>
      <c r="J215">
        <v>-50</v>
      </c>
    </row>
    <row r="216" spans="1:10">
      <c r="A216" s="110">
        <v>30407</v>
      </c>
      <c r="B216" s="54" t="s">
        <v>706</v>
      </c>
      <c r="C216">
        <v>50</v>
      </c>
      <c r="D216">
        <v>50</v>
      </c>
      <c r="E216">
        <f t="shared" si="6"/>
        <v>0</v>
      </c>
      <c r="F216">
        <f t="shared" si="7"/>
        <v>0</v>
      </c>
      <c r="I216" t="s">
        <v>647</v>
      </c>
      <c r="J216">
        <v>-50</v>
      </c>
    </row>
    <row r="217" spans="1:10">
      <c r="A217" s="110">
        <v>30615</v>
      </c>
      <c r="B217" s="54" t="s">
        <v>647</v>
      </c>
      <c r="C217">
        <v>100</v>
      </c>
      <c r="D217">
        <v>50</v>
      </c>
      <c r="E217">
        <f t="shared" si="6"/>
        <v>-50</v>
      </c>
      <c r="F217" t="str">
        <f t="shared" si="7"/>
        <v>Decrase</v>
      </c>
      <c r="I217" t="s">
        <v>638</v>
      </c>
      <c r="J217">
        <v>-100</v>
      </c>
    </row>
    <row r="218" spans="1:10">
      <c r="A218" s="110">
        <v>40127</v>
      </c>
      <c r="B218" s="54" t="s">
        <v>556</v>
      </c>
      <c r="C218">
        <v>50</v>
      </c>
      <c r="D218">
        <v>50</v>
      </c>
      <c r="E218">
        <f t="shared" si="6"/>
        <v>0</v>
      </c>
      <c r="F218">
        <f t="shared" si="7"/>
        <v>0</v>
      </c>
      <c r="I218" t="s">
        <v>650</v>
      </c>
      <c r="J218">
        <v>-50</v>
      </c>
    </row>
    <row r="219" spans="1:10">
      <c r="A219" s="110">
        <v>20526</v>
      </c>
      <c r="B219" s="54" t="s">
        <v>696</v>
      </c>
      <c r="C219">
        <v>50</v>
      </c>
      <c r="D219">
        <v>50</v>
      </c>
      <c r="E219">
        <f t="shared" si="6"/>
        <v>0</v>
      </c>
      <c r="F219">
        <f t="shared" si="7"/>
        <v>0</v>
      </c>
      <c r="I219" t="s">
        <v>653</v>
      </c>
      <c r="J219">
        <v>-50</v>
      </c>
    </row>
    <row r="220" spans="1:10">
      <c r="A220" s="110">
        <v>10741</v>
      </c>
      <c r="B220" s="54" t="s">
        <v>692</v>
      </c>
      <c r="C220">
        <v>50</v>
      </c>
      <c r="D220">
        <v>50</v>
      </c>
      <c r="E220">
        <f t="shared" si="6"/>
        <v>0</v>
      </c>
      <c r="F220">
        <f t="shared" si="7"/>
        <v>0</v>
      </c>
      <c r="I220" t="s">
        <v>655</v>
      </c>
      <c r="J220">
        <v>-50</v>
      </c>
    </row>
    <row r="221" spans="1:10">
      <c r="A221" s="110">
        <v>11602</v>
      </c>
      <c r="B221" s="54" t="s">
        <v>529</v>
      </c>
      <c r="C221">
        <v>50</v>
      </c>
      <c r="D221">
        <v>50</v>
      </c>
      <c r="E221">
        <f t="shared" si="6"/>
        <v>0</v>
      </c>
      <c r="F221">
        <f t="shared" si="7"/>
        <v>0</v>
      </c>
      <c r="I221" t="s">
        <v>651</v>
      </c>
      <c r="J221">
        <v>-100</v>
      </c>
    </row>
    <row r="222" spans="1:10">
      <c r="A222" s="110">
        <v>10109</v>
      </c>
      <c r="B222" s="54" t="s">
        <v>586</v>
      </c>
      <c r="C222">
        <v>50</v>
      </c>
      <c r="D222">
        <v>50</v>
      </c>
      <c r="E222">
        <f t="shared" si="6"/>
        <v>0</v>
      </c>
      <c r="F222">
        <f t="shared" si="7"/>
        <v>0</v>
      </c>
      <c r="H222" t="s">
        <v>658</v>
      </c>
      <c r="I222" t="s">
        <v>577</v>
      </c>
      <c r="J222">
        <v>100</v>
      </c>
    </row>
    <row r="223" spans="1:10">
      <c r="A223" s="110">
        <v>10504</v>
      </c>
      <c r="B223" s="54" t="s">
        <v>608</v>
      </c>
      <c r="C223">
        <v>50</v>
      </c>
      <c r="D223">
        <v>50</v>
      </c>
      <c r="E223">
        <f t="shared" si="6"/>
        <v>0</v>
      </c>
      <c r="F223">
        <f t="shared" si="7"/>
        <v>0</v>
      </c>
      <c r="I223" t="s">
        <v>660</v>
      </c>
      <c r="J223">
        <v>100</v>
      </c>
    </row>
    <row r="224" spans="1:10">
      <c r="A224" s="110">
        <v>11124</v>
      </c>
      <c r="B224" s="54" t="s">
        <v>600</v>
      </c>
      <c r="C224">
        <v>50</v>
      </c>
      <c r="D224">
        <v>50</v>
      </c>
      <c r="E224">
        <f t="shared" si="6"/>
        <v>0</v>
      </c>
      <c r="F224">
        <f t="shared" si="7"/>
        <v>0</v>
      </c>
      <c r="I224" t="s">
        <v>605</v>
      </c>
      <c r="J224">
        <v>100</v>
      </c>
    </row>
    <row r="225" spans="1:10">
      <c r="A225" s="110">
        <v>40132</v>
      </c>
      <c r="B225" s="54" t="s">
        <v>657</v>
      </c>
      <c r="C225">
        <v>50</v>
      </c>
      <c r="D225">
        <v>50</v>
      </c>
      <c r="E225">
        <f t="shared" si="6"/>
        <v>0</v>
      </c>
      <c r="F225">
        <f t="shared" si="7"/>
        <v>0</v>
      </c>
      <c r="I225" t="s">
        <v>664</v>
      </c>
      <c r="J225">
        <v>50</v>
      </c>
    </row>
    <row r="226" spans="1:10">
      <c r="A226" s="110">
        <v>40107</v>
      </c>
      <c r="B226" s="54" t="s">
        <v>698</v>
      </c>
      <c r="C226">
        <v>50</v>
      </c>
      <c r="D226">
        <v>50</v>
      </c>
      <c r="E226">
        <f t="shared" si="6"/>
        <v>0</v>
      </c>
      <c r="F226">
        <f t="shared" si="7"/>
        <v>0</v>
      </c>
      <c r="I226" t="s">
        <v>666</v>
      </c>
      <c r="J226">
        <v>100</v>
      </c>
    </row>
    <row r="227" spans="1:10">
      <c r="A227" s="110">
        <v>11912</v>
      </c>
      <c r="B227" s="54" t="s">
        <v>699</v>
      </c>
      <c r="C227">
        <v>50</v>
      </c>
      <c r="D227">
        <v>50</v>
      </c>
      <c r="E227">
        <f t="shared" si="6"/>
        <v>0</v>
      </c>
      <c r="F227">
        <f t="shared" si="7"/>
        <v>0</v>
      </c>
      <c r="I227" t="s">
        <v>667</v>
      </c>
      <c r="J227">
        <v>100</v>
      </c>
    </row>
    <row r="228" spans="1:10">
      <c r="A228" s="110">
        <v>10712</v>
      </c>
      <c r="B228" s="54" t="s">
        <v>738</v>
      </c>
      <c r="C228">
        <v>50</v>
      </c>
      <c r="D228">
        <v>50</v>
      </c>
      <c r="E228">
        <f t="shared" si="6"/>
        <v>0</v>
      </c>
      <c r="F228">
        <f t="shared" si="7"/>
        <v>0</v>
      </c>
      <c r="I228" t="s">
        <v>596</v>
      </c>
      <c r="J228">
        <v>100</v>
      </c>
    </row>
    <row r="229" spans="1:10">
      <c r="A229" s="110">
        <v>11404</v>
      </c>
      <c r="B229" s="54" t="s">
        <v>683</v>
      </c>
      <c r="C229">
        <v>50</v>
      </c>
      <c r="D229">
        <v>50</v>
      </c>
      <c r="E229">
        <f t="shared" si="6"/>
        <v>0</v>
      </c>
      <c r="F229">
        <f t="shared" si="7"/>
        <v>0</v>
      </c>
      <c r="I229" t="s">
        <v>625</v>
      </c>
      <c r="J229">
        <v>100</v>
      </c>
    </row>
    <row r="230" spans="1:10">
      <c r="A230" s="110">
        <v>10747</v>
      </c>
      <c r="B230" s="54" t="s">
        <v>646</v>
      </c>
      <c r="C230">
        <v>50</v>
      </c>
      <c r="D230">
        <v>50</v>
      </c>
      <c r="E230">
        <f t="shared" si="6"/>
        <v>0</v>
      </c>
      <c r="F230">
        <f t="shared" si="7"/>
        <v>0</v>
      </c>
      <c r="I230" t="s">
        <v>671</v>
      </c>
      <c r="J230">
        <v>100</v>
      </c>
    </row>
    <row r="231" spans="1:10">
      <c r="A231" s="110">
        <v>11617</v>
      </c>
      <c r="B231" s="54" t="s">
        <v>743</v>
      </c>
      <c r="C231">
        <v>50</v>
      </c>
      <c r="D231">
        <v>50</v>
      </c>
      <c r="E231">
        <f t="shared" si="6"/>
        <v>0</v>
      </c>
      <c r="F231">
        <f t="shared" si="7"/>
        <v>0</v>
      </c>
      <c r="I231" t="s">
        <v>654</v>
      </c>
      <c r="J231">
        <v>100</v>
      </c>
    </row>
    <row r="232" spans="1:10">
      <c r="A232" s="110">
        <v>10133</v>
      </c>
      <c r="B232" s="54" t="s">
        <v>741</v>
      </c>
      <c r="C232">
        <v>50</v>
      </c>
      <c r="D232">
        <v>50</v>
      </c>
      <c r="E232">
        <f t="shared" si="6"/>
        <v>0</v>
      </c>
      <c r="F232">
        <f t="shared" si="7"/>
        <v>0</v>
      </c>
      <c r="I232" t="s">
        <v>674</v>
      </c>
      <c r="J232">
        <v>100</v>
      </c>
    </row>
    <row r="233" spans="1:10">
      <c r="A233" s="110">
        <v>10130</v>
      </c>
      <c r="B233" s="54" t="s">
        <v>726</v>
      </c>
      <c r="C233">
        <v>50</v>
      </c>
      <c r="D233">
        <v>50</v>
      </c>
      <c r="E233">
        <f t="shared" si="6"/>
        <v>0</v>
      </c>
      <c r="F233">
        <f t="shared" si="7"/>
        <v>0</v>
      </c>
      <c r="I233" t="s">
        <v>676</v>
      </c>
      <c r="J233">
        <v>100</v>
      </c>
    </row>
    <row r="234" spans="1:10">
      <c r="I234" t="s">
        <v>537</v>
      </c>
      <c r="J234">
        <v>100</v>
      </c>
    </row>
    <row r="235" spans="1:10">
      <c r="H235" t="s">
        <v>679</v>
      </c>
      <c r="J235">
        <v>-2850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EE09-4C66-418F-8390-886F9D73E3FD}">
  <sheetPr codeName="Sheet9">
    <tabColor theme="4" tint="0.79998168889431442"/>
    <outlinePr summaryRight="0"/>
  </sheetPr>
  <dimension ref="B3:Q25"/>
  <sheetViews>
    <sheetView showGridLines="0" topLeftCell="A23" zoomScale="115" zoomScaleNormal="115" workbookViewId="0">
      <selection activeCell="L8" sqref="L8"/>
    </sheetView>
  </sheetViews>
  <sheetFormatPr defaultRowHeight="15"/>
  <cols>
    <col min="2" max="2" width="16.28515625" hidden="1" customWidth="1"/>
    <col min="3" max="3" width="7.42578125" style="1" hidden="1" customWidth="1"/>
    <col min="4" max="4" width="15.42578125" hidden="1" customWidth="1"/>
    <col min="5" max="5" width="15" hidden="1" customWidth="1"/>
    <col min="6" max="6" width="9" hidden="1" customWidth="1"/>
    <col min="7" max="7" width="9.140625" style="13" hidden="1" customWidth="1"/>
    <col min="8" max="8" width="13.7109375" hidden="1" customWidth="1"/>
    <col min="9" max="9" width="9.28515625" hidden="1" customWidth="1"/>
    <col min="11" max="11" width="15.28515625" hidden="1" customWidth="1"/>
    <col min="12" max="12" width="18" customWidth="1"/>
    <col min="13" max="13" width="9.140625" bestFit="1" customWidth="1"/>
    <col min="17" max="17" width="16.42578125" bestFit="1" customWidth="1"/>
    <col min="20" max="20" width="20.42578125" bestFit="1" customWidth="1"/>
  </cols>
  <sheetData>
    <row r="3" spans="2:17" ht="21">
      <c r="F3" s="32"/>
    </row>
    <row r="4" spans="2:17" ht="15.75">
      <c r="F4" s="47" t="s">
        <v>745</v>
      </c>
    </row>
    <row r="5" spans="2:17">
      <c r="M5">
        <f>COUNTIFS('NEW MODEL BY SES'!X19:X390,"I",'NEW MODEL BY SES'!A19:A390,)</f>
        <v>0</v>
      </c>
    </row>
    <row r="6" spans="2:17" ht="30">
      <c r="B6" s="121" t="s">
        <v>746</v>
      </c>
      <c r="C6" s="330" t="s">
        <v>747</v>
      </c>
      <c r="D6" s="330"/>
      <c r="E6" s="330"/>
      <c r="F6" s="330" t="s">
        <v>748</v>
      </c>
      <c r="G6" s="330"/>
      <c r="H6" s="330"/>
      <c r="I6" s="122" t="s">
        <v>749</v>
      </c>
      <c r="K6" s="334" t="s">
        <v>750</v>
      </c>
      <c r="L6" s="334" t="s">
        <v>50</v>
      </c>
      <c r="M6" s="331" t="s">
        <v>751</v>
      </c>
      <c r="N6" s="332"/>
      <c r="O6" s="332"/>
      <c r="P6" s="333"/>
    </row>
    <row r="7" spans="2:17" ht="15" customHeight="1">
      <c r="B7" s="83" t="s">
        <v>752</v>
      </c>
      <c r="C7" s="129"/>
      <c r="D7" s="94" t="e">
        <f>E7/$E$7</f>
        <v>#VALUE!</v>
      </c>
      <c r="E7" s="85" t="e">
        <f>SUM(E8:E11)</f>
        <v>#VALUE!</v>
      </c>
      <c r="F7" s="85"/>
      <c r="G7" s="84" t="e">
        <f>H7/$H$7</f>
        <v>#DIV/0!</v>
      </c>
      <c r="H7" s="85">
        <f>SUM(H8:H11)</f>
        <v>0</v>
      </c>
      <c r="I7" s="86"/>
      <c r="J7" s="70"/>
      <c r="K7" s="335"/>
      <c r="L7" s="336"/>
      <c r="M7" s="136" t="s">
        <v>33</v>
      </c>
      <c r="N7" s="136" t="s">
        <v>38</v>
      </c>
      <c r="O7" s="136" t="s">
        <v>40</v>
      </c>
      <c r="P7" s="136" t="s">
        <v>44</v>
      </c>
      <c r="Q7" s="136" t="s">
        <v>496</v>
      </c>
    </row>
    <row r="8" spans="2:17" ht="15" customHeight="1">
      <c r="B8" s="36"/>
      <c r="C8" s="125"/>
      <c r="D8" s="79" t="e">
        <f>E8/$E$7</f>
        <v>#VALUE!</v>
      </c>
      <c r="E8" s="39" t="e">
        <f>COUNTIFS('NEW MODEL BY SES'!$D$19:$D$242,$B$7,'NEW MODEL BY SES'!$AA$21:$AA$242,$C8)</f>
        <v>#VALUE!</v>
      </c>
      <c r="F8" s="36" t="s">
        <v>33</v>
      </c>
      <c r="G8" s="79" t="e">
        <f>H8/$H$7</f>
        <v>#DIV/0!</v>
      </c>
      <c r="H8" s="63">
        <f>COUNTIFS('NEW MODEL BY SES'!$D$19:$D$242,$B$7,'NEW MODEL BY SES'!$X$19:$X$242,$F8)</f>
        <v>0</v>
      </c>
      <c r="I8" s="64" t="e">
        <f>H8-E8</f>
        <v>#VALUE!</v>
      </c>
      <c r="J8" s="71"/>
      <c r="K8" s="269"/>
      <c r="L8" s="268" t="str" cm="1">
        <f t="array" ref="L8:L24">_xlfn.UNIQUE('NEW MODEL BY SES'!A19:A429)</f>
        <v>Area Manager 1</v>
      </c>
      <c r="M8">
        <f>COUNTIFS('NEW MODEL BY SES'!$X$19:$X$429,M$7,'NEW MODEL BY SES'!$A$19:$A$429,$L8)</f>
        <v>1</v>
      </c>
      <c r="N8">
        <f>COUNTIFS('NEW MODEL BY SES'!$X$19:$X$429,N$7,'NEW MODEL BY SES'!$A$19:$A$429,$L8)</f>
        <v>9</v>
      </c>
      <c r="O8">
        <f>COUNTIFS('NEW MODEL BY SES'!$X$19:$X$429,O$7,'NEW MODEL BY SES'!$A$19:$A$429,$L8)</f>
        <v>9</v>
      </c>
      <c r="P8">
        <f>COUNTIFS('NEW MODEL BY SES'!$X$19:$X$429,P$7,'NEW MODEL BY SES'!$A$19:$A$429,$L8)</f>
        <v>6</v>
      </c>
      <c r="Q8" s="137">
        <f>SUM(M8:P8)</f>
        <v>25</v>
      </c>
    </row>
    <row r="9" spans="2:17" ht="15" customHeight="1">
      <c r="B9" s="35"/>
      <c r="C9" s="126" t="s">
        <v>40</v>
      </c>
      <c r="D9" s="80" t="e">
        <f>E9/$E$7</f>
        <v>#VALUE!</v>
      </c>
      <c r="E9" s="38" t="e">
        <f>COUNTIFS('NEW MODEL BY SES'!$D$19:$D$242,$B$7,'NEW MODEL BY SES'!$AA$21:$AA$242,$C9)</f>
        <v>#VALUE!</v>
      </c>
      <c r="F9" s="35" t="s">
        <v>38</v>
      </c>
      <c r="G9" s="80" t="e">
        <f>H9/$H$7</f>
        <v>#DIV/0!</v>
      </c>
      <c r="H9" s="61">
        <f>COUNTIFS('NEW MODEL BY SES'!$D$19:$D$242,$B$7,'NEW MODEL BY SES'!$X$19:$X$242,$F9)</f>
        <v>0</v>
      </c>
      <c r="I9" s="62" t="e">
        <f>H9-E9</f>
        <v>#VALUE!</v>
      </c>
      <c r="J9" s="71"/>
      <c r="K9" s="269"/>
      <c r="L9" s="268" t="str">
        <v>Area Manager 2</v>
      </c>
      <c r="M9">
        <f>COUNTIFS('NEW MODEL BY SES'!$X$19:$X$429,M$7,'NEW MODEL BY SES'!$A$19:$A$429,$L9)</f>
        <v>2</v>
      </c>
      <c r="N9">
        <f>COUNTIFS('NEW MODEL BY SES'!$X$19:$X$429,N$7,'NEW MODEL BY SES'!$A$19:$A$429,$L9)</f>
        <v>4</v>
      </c>
      <c r="O9">
        <f>COUNTIFS('NEW MODEL BY SES'!$X$19:$X$429,O$7,'NEW MODEL BY SES'!$A$19:$A$429,$L9)</f>
        <v>13</v>
      </c>
      <c r="P9">
        <f>COUNTIFS('NEW MODEL BY SES'!$X$19:$X$429,P$7,'NEW MODEL BY SES'!$A$19:$A$429,$L9)</f>
        <v>4</v>
      </c>
      <c r="Q9" s="137">
        <f t="shared" ref="Q9:Q23" si="0">SUM(M9:P9)</f>
        <v>23</v>
      </c>
    </row>
    <row r="10" spans="2:17" ht="15" customHeight="1">
      <c r="B10" s="34"/>
      <c r="C10" s="127" t="s">
        <v>38</v>
      </c>
      <c r="D10" s="81" t="e">
        <f>E10/$E$7</f>
        <v>#VALUE!</v>
      </c>
      <c r="E10" s="37" t="e">
        <f>COUNTIFS('NEW MODEL BY SES'!$D$19:$D$242,$B$7,'NEW MODEL BY SES'!$AA$21:$AA$242,$C10)</f>
        <v>#VALUE!</v>
      </c>
      <c r="F10" s="34" t="s">
        <v>40</v>
      </c>
      <c r="G10" s="81" t="e">
        <f>H10/$H$7</f>
        <v>#DIV/0!</v>
      </c>
      <c r="H10" s="59">
        <f>COUNTIFS('NEW MODEL BY SES'!$D$19:$D$242,$B$7,'NEW MODEL BY SES'!$X$19:$X$242,$F10)</f>
        <v>0</v>
      </c>
      <c r="I10" s="60" t="e">
        <f>H10-E10</f>
        <v>#VALUE!</v>
      </c>
      <c r="J10" s="71"/>
      <c r="K10" s="269"/>
      <c r="L10" s="268" t="str">
        <v>Area Manager 3</v>
      </c>
      <c r="M10">
        <f>COUNTIFS('NEW MODEL BY SES'!$X$19:$X$429,M$7,'NEW MODEL BY SES'!$A$19:$A$429,$L10)</f>
        <v>4</v>
      </c>
      <c r="N10">
        <f>COUNTIFS('NEW MODEL BY SES'!$X$19:$X$429,N$7,'NEW MODEL BY SES'!$A$19:$A$429,$L10)</f>
        <v>6</v>
      </c>
      <c r="O10">
        <f>COUNTIFS('NEW MODEL BY SES'!$X$19:$X$429,O$7,'NEW MODEL BY SES'!$A$19:$A$429,$L10)</f>
        <v>6</v>
      </c>
      <c r="P10">
        <f>COUNTIFS('NEW MODEL BY SES'!$X$19:$X$429,P$7,'NEW MODEL BY SES'!$A$19:$A$429,$L10)</f>
        <v>5</v>
      </c>
      <c r="Q10" s="137">
        <f t="shared" si="0"/>
        <v>21</v>
      </c>
    </row>
    <row r="11" spans="2:17">
      <c r="B11" s="75"/>
      <c r="C11" s="128" t="s">
        <v>33</v>
      </c>
      <c r="D11" s="82" t="e">
        <f>E11/$E$7</f>
        <v>#VALUE!</v>
      </c>
      <c r="E11" s="76" t="e">
        <f>COUNTIFS('NEW MODEL BY SES'!$D$19:$D$242,$B$7,'NEW MODEL BY SES'!$AA$21:$AA$242,$C11)</f>
        <v>#VALUE!</v>
      </c>
      <c r="F11" s="75" t="s">
        <v>44</v>
      </c>
      <c r="G11" s="82" t="e">
        <f>H11/$H$7</f>
        <v>#DIV/0!</v>
      </c>
      <c r="H11" s="77">
        <f>COUNTIFS('NEW MODEL BY SES'!$D$19:$D$242,$B$7,'NEW MODEL BY SES'!$X$19:$X$242,$F11)</f>
        <v>0</v>
      </c>
      <c r="I11" s="78" t="e">
        <f>H11-E11</f>
        <v>#VALUE!</v>
      </c>
      <c r="K11" s="269"/>
      <c r="L11" s="268" t="str">
        <v>Area Manager 4</v>
      </c>
      <c r="M11">
        <f>COUNTIFS('NEW MODEL BY SES'!$X$19:$X$429,M$7,'NEW MODEL BY SES'!$A$19:$A$429,$L11)</f>
        <v>3</v>
      </c>
      <c r="N11">
        <f>COUNTIFS('NEW MODEL BY SES'!$X$19:$X$429,N$7,'NEW MODEL BY SES'!$A$19:$A$429,$L11)</f>
        <v>5</v>
      </c>
      <c r="O11">
        <f>COUNTIFS('NEW MODEL BY SES'!$X$19:$X$429,O$7,'NEW MODEL BY SES'!$A$19:$A$429,$L11)</f>
        <v>13</v>
      </c>
      <c r="P11">
        <f>COUNTIFS('NEW MODEL BY SES'!$X$19:$X$429,P$7,'NEW MODEL BY SES'!$A$19:$A$429,$L11)</f>
        <v>6</v>
      </c>
      <c r="Q11" s="137">
        <f t="shared" si="0"/>
        <v>27</v>
      </c>
    </row>
    <row r="12" spans="2:17">
      <c r="K12" s="269"/>
      <c r="L12" s="268" t="str">
        <v>Area Manager 5</v>
      </c>
      <c r="M12">
        <f>COUNTIFS('NEW MODEL BY SES'!$X$19:$X$429,M$7,'NEW MODEL BY SES'!$A$19:$A$429,$L12)</f>
        <v>6</v>
      </c>
      <c r="N12">
        <f>COUNTIFS('NEW MODEL BY SES'!$X$19:$X$429,N$7,'NEW MODEL BY SES'!$A$19:$A$429,$L12)</f>
        <v>7</v>
      </c>
      <c r="O12">
        <f>COUNTIFS('NEW MODEL BY SES'!$X$19:$X$429,O$7,'NEW MODEL BY SES'!$A$19:$A$429,$L12)</f>
        <v>6</v>
      </c>
      <c r="P12">
        <f>COUNTIFS('NEW MODEL BY SES'!$X$19:$X$429,P$7,'NEW MODEL BY SES'!$A$19:$A$429,$L12)</f>
        <v>4</v>
      </c>
      <c r="Q12" s="137">
        <f t="shared" si="0"/>
        <v>23</v>
      </c>
    </row>
    <row r="13" spans="2:17">
      <c r="K13" s="269"/>
      <c r="L13" s="268" t="str">
        <v>Area Manager 6</v>
      </c>
      <c r="M13">
        <f>COUNTIFS('NEW MODEL BY SES'!$X$19:$X$429,M$7,'NEW MODEL BY SES'!$A$19:$A$429,$L13)</f>
        <v>0</v>
      </c>
      <c r="N13">
        <f>COUNTIFS('NEW MODEL BY SES'!$X$19:$X$429,N$7,'NEW MODEL BY SES'!$A$19:$A$429,$L13)</f>
        <v>6</v>
      </c>
      <c r="O13">
        <f>COUNTIFS('NEW MODEL BY SES'!$X$19:$X$429,O$7,'NEW MODEL BY SES'!$A$19:$A$429,$L13)</f>
        <v>9</v>
      </c>
      <c r="P13">
        <f>COUNTIFS('NEW MODEL BY SES'!$X$19:$X$429,P$7,'NEW MODEL BY SES'!$A$19:$A$429,$L13)</f>
        <v>14</v>
      </c>
      <c r="Q13" s="137">
        <f t="shared" si="0"/>
        <v>29</v>
      </c>
    </row>
    <row r="14" spans="2:17">
      <c r="J14" s="71"/>
      <c r="K14" s="270"/>
      <c r="L14" s="273" t="str">
        <v>Area Manager 7</v>
      </c>
      <c r="M14">
        <f>COUNTIFS('NEW MODEL BY SES'!$X$19:$X$429,M$7,'NEW MODEL BY SES'!$A$19:$A$429,$L14)</f>
        <v>3</v>
      </c>
      <c r="N14">
        <f>COUNTIFS('NEW MODEL BY SES'!$X$19:$X$429,N$7,'NEW MODEL BY SES'!$A$19:$A$429,$L14)</f>
        <v>3</v>
      </c>
      <c r="O14">
        <f>COUNTIFS('NEW MODEL BY SES'!$X$19:$X$429,O$7,'NEW MODEL BY SES'!$A$19:$A$429,$L14)</f>
        <v>12</v>
      </c>
      <c r="P14">
        <f>COUNTIFS('NEW MODEL BY SES'!$X$19:$X$429,P$7,'NEW MODEL BY SES'!$A$19:$A$429,$L14)</f>
        <v>12</v>
      </c>
      <c r="Q14" s="138">
        <f t="shared" si="0"/>
        <v>30</v>
      </c>
    </row>
    <row r="15" spans="2:17">
      <c r="J15" s="71"/>
      <c r="K15" s="269"/>
      <c r="L15" s="268" t="str">
        <v>Area Manager 8</v>
      </c>
      <c r="M15">
        <f>COUNTIFS('NEW MODEL BY SES'!$X$19:$X$429,M$7,'NEW MODEL BY SES'!$A$19:$A$429,$L15)</f>
        <v>6</v>
      </c>
      <c r="N15">
        <f>COUNTIFS('NEW MODEL BY SES'!$X$19:$X$429,N$7,'NEW MODEL BY SES'!$A$19:$A$429,$L15)</f>
        <v>6</v>
      </c>
      <c r="O15">
        <f>COUNTIFS('NEW MODEL BY SES'!$X$19:$X$429,O$7,'NEW MODEL BY SES'!$A$19:$A$429,$L15)</f>
        <v>8</v>
      </c>
      <c r="P15">
        <f>COUNTIFS('NEW MODEL BY SES'!$X$19:$X$429,P$7,'NEW MODEL BY SES'!$A$19:$A$429,$L15)</f>
        <v>9</v>
      </c>
      <c r="Q15" s="137">
        <f>SUM(M15:P15)</f>
        <v>29</v>
      </c>
    </row>
    <row r="16" spans="2:17">
      <c r="J16" s="71"/>
      <c r="K16" s="269"/>
      <c r="L16" s="268" t="str">
        <v>Area Manager 9</v>
      </c>
      <c r="M16">
        <f>COUNTIFS('NEW MODEL BY SES'!$X$19:$X$429,M$7,'NEW MODEL BY SES'!$A$19:$A$429,$L16)</f>
        <v>8</v>
      </c>
      <c r="N16">
        <f>COUNTIFS('NEW MODEL BY SES'!$X$19:$X$429,N$7,'NEW MODEL BY SES'!$A$19:$A$429,$L16)</f>
        <v>8</v>
      </c>
      <c r="O16">
        <f>COUNTIFS('NEW MODEL BY SES'!$X$19:$X$429,O$7,'NEW MODEL BY SES'!$A$19:$A$429,$L16)</f>
        <v>5</v>
      </c>
      <c r="P16">
        <f>COUNTIFS('NEW MODEL BY SES'!$X$19:$X$429,P$7,'NEW MODEL BY SES'!$A$19:$A$429,$L16)</f>
        <v>2</v>
      </c>
      <c r="Q16" s="137">
        <f t="shared" si="0"/>
        <v>23</v>
      </c>
    </row>
    <row r="17" spans="6:17">
      <c r="K17" s="269"/>
      <c r="L17" s="268" t="str">
        <v>Area Manager 10</v>
      </c>
      <c r="M17">
        <f>COUNTIFS('NEW MODEL BY SES'!$X$19:$X$429,M$7,'NEW MODEL BY SES'!$A$19:$A$429,$L17)</f>
        <v>0</v>
      </c>
      <c r="N17">
        <f>COUNTIFS('NEW MODEL BY SES'!$X$19:$X$429,N$7,'NEW MODEL BY SES'!$A$19:$A$429,$L17)</f>
        <v>5</v>
      </c>
      <c r="O17">
        <f>COUNTIFS('NEW MODEL BY SES'!$X$19:$X$429,O$7,'NEW MODEL BY SES'!$A$19:$A$429,$L17)</f>
        <v>15</v>
      </c>
      <c r="P17">
        <f>COUNTIFS('NEW MODEL BY SES'!$X$19:$X$429,P$7,'NEW MODEL BY SES'!$A$19:$A$429,$L17)</f>
        <v>12</v>
      </c>
      <c r="Q17" s="137">
        <f t="shared" si="0"/>
        <v>32</v>
      </c>
    </row>
    <row r="18" spans="6:17">
      <c r="K18" s="269"/>
      <c r="L18" s="268" t="str">
        <v>Area Manager 11</v>
      </c>
      <c r="M18">
        <f>COUNTIFS('NEW MODEL BY SES'!$X$19:$X$429,M$7,'NEW MODEL BY SES'!$A$19:$A$429,$L18)</f>
        <v>5</v>
      </c>
      <c r="N18">
        <f>COUNTIFS('NEW MODEL BY SES'!$X$19:$X$429,N$7,'NEW MODEL BY SES'!$A$19:$A$429,$L18)</f>
        <v>4</v>
      </c>
      <c r="O18">
        <f>COUNTIFS('NEW MODEL BY SES'!$X$19:$X$429,O$7,'NEW MODEL BY SES'!$A$19:$A$429,$L18)</f>
        <v>7</v>
      </c>
      <c r="P18">
        <f>COUNTIFS('NEW MODEL BY SES'!$X$19:$X$429,P$7,'NEW MODEL BY SES'!$A$19:$A$429,$L18)</f>
        <v>5</v>
      </c>
      <c r="Q18" s="137">
        <f t="shared" si="0"/>
        <v>21</v>
      </c>
    </row>
    <row r="19" spans="6:17">
      <c r="J19" s="70"/>
      <c r="K19" s="269"/>
      <c r="L19" s="268" t="str">
        <v>Area Manager 12</v>
      </c>
      <c r="M19">
        <f>COUNTIFS('NEW MODEL BY SES'!$X$19:$X$429,M$7,'NEW MODEL BY SES'!$A$19:$A$429,$L19)</f>
        <v>1</v>
      </c>
      <c r="N19">
        <f>COUNTIFS('NEW MODEL BY SES'!$X$19:$X$429,N$7,'NEW MODEL BY SES'!$A$19:$A$429,$L19)</f>
        <v>4</v>
      </c>
      <c r="O19">
        <f>COUNTIFS('NEW MODEL BY SES'!$X$19:$X$429,O$7,'NEW MODEL BY SES'!$A$19:$A$429,$L19)</f>
        <v>12</v>
      </c>
      <c r="P19">
        <f>COUNTIFS('NEW MODEL BY SES'!$X$19:$X$429,P$7,'NEW MODEL BY SES'!$A$19:$A$429,$L19)</f>
        <v>8</v>
      </c>
      <c r="Q19" s="137">
        <f t="shared" si="0"/>
        <v>25</v>
      </c>
    </row>
    <row r="20" spans="6:17">
      <c r="J20" s="70"/>
      <c r="K20" s="269"/>
      <c r="L20" s="268" t="str">
        <v>Area Manager 13</v>
      </c>
      <c r="M20">
        <f>COUNTIFS('NEW MODEL BY SES'!$X$19:$X$429,M$7,'NEW MODEL BY SES'!$A$19:$A$429,$L20)</f>
        <v>4</v>
      </c>
      <c r="N20">
        <f>COUNTIFS('NEW MODEL BY SES'!$X$19:$X$429,N$7,'NEW MODEL BY SES'!$A$19:$A$429,$L20)</f>
        <v>5</v>
      </c>
      <c r="O20">
        <f>COUNTIFS('NEW MODEL BY SES'!$X$19:$X$429,O$7,'NEW MODEL BY SES'!$A$19:$A$429,$L20)</f>
        <v>9</v>
      </c>
      <c r="P20">
        <f>COUNTIFS('NEW MODEL BY SES'!$X$19:$X$429,P$7,'NEW MODEL BY SES'!$A$19:$A$429,$L20)</f>
        <v>9</v>
      </c>
      <c r="Q20" s="137">
        <f t="shared" si="0"/>
        <v>27</v>
      </c>
    </row>
    <row r="21" spans="6:17" ht="15.75" thickBot="1">
      <c r="J21" s="71"/>
      <c r="K21" s="270"/>
      <c r="L21" s="273" t="str">
        <v>Area Manager 14</v>
      </c>
      <c r="M21">
        <f>COUNTIFS('NEW MODEL BY SES'!$X$19:$X$429,M$7,'NEW MODEL BY SES'!$A$19:$A$429,$L21)</f>
        <v>0</v>
      </c>
      <c r="N21">
        <f>COUNTIFS('NEW MODEL BY SES'!$X$19:$X$429,N$7,'NEW MODEL BY SES'!$A$19:$A$429,$L21)</f>
        <v>6</v>
      </c>
      <c r="O21">
        <f>COUNTIFS('NEW MODEL BY SES'!$X$19:$X$429,O$7,'NEW MODEL BY SES'!$A$19:$A$429,$L21)</f>
        <v>9</v>
      </c>
      <c r="P21">
        <f>COUNTIFS('NEW MODEL BY SES'!$X$19:$X$429,P$7,'NEW MODEL BY SES'!$A$19:$A$429,$L21)</f>
        <v>8</v>
      </c>
      <c r="Q21" s="138">
        <f t="shared" si="0"/>
        <v>23</v>
      </c>
    </row>
    <row r="22" spans="6:17" ht="16.5" thickTop="1" thickBot="1">
      <c r="J22" s="71"/>
      <c r="K22" s="271" t="s">
        <v>496</v>
      </c>
      <c r="L22" s="274" t="str">
        <v>Area Manager 18</v>
      </c>
      <c r="M22">
        <f>COUNTIFS('NEW MODEL BY SES'!$X$19:$X$429,M$7,'NEW MODEL BY SES'!$A$19:$A$429,$L22)</f>
        <v>0</v>
      </c>
      <c r="N22">
        <f>COUNTIFS('NEW MODEL BY SES'!$X$19:$X$429,N$7,'NEW MODEL BY SES'!$A$19:$A$429,$L22)</f>
        <v>3</v>
      </c>
      <c r="O22">
        <f>COUNTIFS('NEW MODEL BY SES'!$X$19:$X$429,O$7,'NEW MODEL BY SES'!$A$19:$A$429,$L22)</f>
        <v>0</v>
      </c>
      <c r="P22">
        <f>COUNTIFS('NEW MODEL BY SES'!$X$19:$X$429,P$7,'NEW MODEL BY SES'!$A$19:$A$429,$L22)</f>
        <v>1</v>
      </c>
      <c r="Q22" s="139">
        <f t="shared" si="0"/>
        <v>4</v>
      </c>
    </row>
    <row r="23" spans="6:17" ht="15.75" thickTop="1">
      <c r="L23" s="275" t="str">
        <v>Area Manager 16</v>
      </c>
      <c r="M23">
        <f>COUNTIFS('NEW MODEL BY SES'!$X$19:$X$429,M$7,'NEW MODEL BY SES'!$A$19:$A$429,$L23)</f>
        <v>0</v>
      </c>
      <c r="N23">
        <f>COUNTIFS('NEW MODEL BY SES'!$X$19:$X$429,N$7,'NEW MODEL BY SES'!$A$19:$A$429,$L23)</f>
        <v>8</v>
      </c>
      <c r="O23">
        <f>COUNTIFS('NEW MODEL BY SES'!$X$19:$X$429,O$7,'NEW MODEL BY SES'!$A$19:$A$429,$L23)</f>
        <v>13</v>
      </c>
      <c r="P23">
        <f>COUNTIFS('NEW MODEL BY SES'!$X$19:$X$429,P$7,'NEW MODEL BY SES'!$A$19:$A$429,$L23)</f>
        <v>3</v>
      </c>
      <c r="Q23" s="137">
        <f t="shared" si="0"/>
        <v>24</v>
      </c>
    </row>
    <row r="24" spans="6:17">
      <c r="F24" s="113"/>
      <c r="L24" s="275" t="str">
        <v>Area Manager 17</v>
      </c>
      <c r="M24">
        <f>COUNTIFS('NEW MODEL BY SES'!$X$19:$X$429,M$7,'NEW MODEL BY SES'!$A$19:$A$429,$L24)</f>
        <v>3</v>
      </c>
      <c r="N24">
        <f>COUNTIFS('NEW MODEL BY SES'!$X$19:$X$429,N$7,'NEW MODEL BY SES'!$A$19:$A$429,$L24)</f>
        <v>6</v>
      </c>
      <c r="O24">
        <f>COUNTIFS('NEW MODEL BY SES'!$X$19:$X$429,O$7,'NEW MODEL BY SES'!$A$19:$A$429,$L24)</f>
        <v>12</v>
      </c>
      <c r="P24">
        <f>COUNTIFS('NEW MODEL BY SES'!$X$19:$X$429,P$7,'NEW MODEL BY SES'!$A$19:$A$429,$L24)</f>
        <v>4</v>
      </c>
      <c r="Q24" s="138">
        <f>SUM(M24:P24)</f>
        <v>25</v>
      </c>
    </row>
    <row r="25" spans="6:17">
      <c r="F25" s="113"/>
      <c r="L25" s="272" t="s">
        <v>753</v>
      </c>
      <c r="M25" s="138">
        <f>SUM(M8:M24)</f>
        <v>46</v>
      </c>
      <c r="N25" s="138">
        <f>SUM(N8:N24)</f>
        <v>95</v>
      </c>
      <c r="O25" s="138">
        <f>SUM(O8:O24)</f>
        <v>158</v>
      </c>
      <c r="P25" s="138">
        <f>SUM(P8:P24)</f>
        <v>112</v>
      </c>
      <c r="Q25" s="138">
        <f>SUM(M25:P25)</f>
        <v>411</v>
      </c>
    </row>
  </sheetData>
  <mergeCells count="5">
    <mergeCell ref="C6:E6"/>
    <mergeCell ref="F6:H6"/>
    <mergeCell ref="M6:P6"/>
    <mergeCell ref="K6:K7"/>
    <mergeCell ref="L6:L7"/>
  </mergeCells>
  <conditionalFormatting sqref="C9:C11">
    <cfRule type="dataBar" priority="6">
      <dataBar>
        <cfvo type="min"/>
        <cfvo type="max"/>
        <color rgb="FF008AEF"/>
      </dataBar>
      <extLst>
        <ext xmlns:x14="http://schemas.microsoft.com/office/spreadsheetml/2009/9/main" uri="{B025F937-C7B1-47D3-B67F-A62EFF666E3E}">
          <x14:id>{08DBBB8C-B8EE-470B-B8B0-FA8E841F14E1}</x14:id>
        </ext>
      </extLst>
    </cfRule>
  </conditionalFormatting>
  <conditionalFormatting sqref="E8:E11">
    <cfRule type="dataBar" priority="13">
      <dataBar>
        <cfvo type="min"/>
        <cfvo type="max"/>
        <color theme="0" tint="-0.499984740745262"/>
      </dataBar>
      <extLst>
        <ext xmlns:x14="http://schemas.microsoft.com/office/spreadsheetml/2009/9/main" uri="{B025F937-C7B1-47D3-B67F-A62EFF666E3E}">
          <x14:id>{7E940DD7-8BED-4586-B8AC-9265FFD1375B}</x14:id>
        </ext>
      </extLst>
    </cfRule>
  </conditionalFormatting>
  <conditionalFormatting sqref="G8:H11">
    <cfRule type="dataBar" priority="12">
      <dataBar>
        <cfvo type="min"/>
        <cfvo type="max"/>
        <color rgb="FF63C384"/>
      </dataBar>
      <extLst>
        <ext xmlns:x14="http://schemas.microsoft.com/office/spreadsheetml/2009/9/main" uri="{B025F937-C7B1-47D3-B67F-A62EFF666E3E}">
          <x14:id>{7BB26FDE-CC38-47E5-B7A3-FDCCA7B01414}</x14:id>
        </ext>
      </extLst>
    </cfRule>
  </conditionalFormatting>
  <conditionalFormatting sqref="Q8:Q24">
    <cfRule type="colorScale" priority="1">
      <colorScale>
        <cfvo type="min"/>
        <cfvo type="max"/>
        <color theme="0"/>
        <color rgb="FFFF0000"/>
      </colorScale>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8DBBB8C-B8EE-470B-B8B0-FA8E841F14E1}">
            <x14:dataBar minLength="0" maxLength="100" border="1" negativeBarBorderColorSameAsPositive="0">
              <x14:cfvo type="autoMin"/>
              <x14:cfvo type="autoMax"/>
              <x14:borderColor rgb="FF008AEF"/>
              <x14:negativeFillColor rgb="FFFF0000"/>
              <x14:negativeBorderColor rgb="FFFF0000"/>
              <x14:axisColor rgb="FF000000"/>
            </x14:dataBar>
          </x14:cfRule>
          <xm:sqref>C9:C11</xm:sqref>
        </x14:conditionalFormatting>
        <x14:conditionalFormatting xmlns:xm="http://schemas.microsoft.com/office/excel/2006/main">
          <x14:cfRule type="dataBar" id="{7E940DD7-8BED-4586-B8AC-9265FFD1375B}">
            <x14:dataBar minLength="0" maxLength="100" border="1" negativeBarBorderColorSameAsPositive="0">
              <x14:cfvo type="autoMin"/>
              <x14:cfvo type="autoMax"/>
              <x14:borderColor rgb="FF008AEF"/>
              <x14:negativeFillColor rgb="FFFF0000"/>
              <x14:negativeBorderColor rgb="FFFF0000"/>
              <x14:axisColor rgb="FF000000"/>
            </x14:dataBar>
          </x14:cfRule>
          <xm:sqref>E8:E11</xm:sqref>
        </x14:conditionalFormatting>
        <x14:conditionalFormatting xmlns:xm="http://schemas.microsoft.com/office/excel/2006/main">
          <x14:cfRule type="dataBar" id="{7BB26FDE-CC38-47E5-B7A3-FDCCA7B01414}">
            <x14:dataBar minLength="0" maxLength="100" border="1" negativeBarBorderColorSameAsPositive="0">
              <x14:cfvo type="autoMin"/>
              <x14:cfvo type="autoMax"/>
              <x14:borderColor rgb="FF63C384"/>
              <x14:negativeFillColor rgb="FFFF0000"/>
              <x14:negativeBorderColor rgb="FFFF0000"/>
              <x14:axisColor rgb="FF000000"/>
            </x14:dataBar>
          </x14:cfRule>
          <xm:sqref>G8:H11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5B90-1462-4BDE-A8C2-D59C858CC792}">
  <dimension ref="A1:F240"/>
  <sheetViews>
    <sheetView workbookViewId="0">
      <selection activeCell="AC171" sqref="AC171"/>
    </sheetView>
  </sheetViews>
  <sheetFormatPr defaultRowHeight="15"/>
  <cols>
    <col min="1" max="1" width="38.5703125" bestFit="1" customWidth="1"/>
    <col min="2" max="2" width="36.140625" bestFit="1" customWidth="1"/>
    <col min="4" max="4" width="12.42578125" bestFit="1" customWidth="1"/>
    <col min="6" max="6" width="9.140625" style="41"/>
  </cols>
  <sheetData>
    <row r="1" spans="1:6" ht="42">
      <c r="A1" s="173" t="s">
        <v>51</v>
      </c>
      <c r="B1" s="173" t="s">
        <v>501</v>
      </c>
      <c r="C1" s="112" t="s">
        <v>64</v>
      </c>
      <c r="D1" s="123" t="s">
        <v>66</v>
      </c>
      <c r="E1" t="s">
        <v>754</v>
      </c>
      <c r="F1" s="41" t="s">
        <v>755</v>
      </c>
    </row>
    <row r="2" spans="1:6">
      <c r="A2" s="110">
        <v>10101</v>
      </c>
      <c r="B2" s="54" t="s">
        <v>756</v>
      </c>
      <c r="C2" s="69">
        <f>_xlfn.XLOOKUP(A2,'NEW MODEL BY SES'!B:B,'NEW MODEL BY SES'!AC:AC,0,0)</f>
        <v>0</v>
      </c>
      <c r="D2" s="93">
        <f>_xlfn.XLOOKUP(A2,'NEW MODEL BY SES'!B:B,'NEW MODEL BY SES'!AD:AD,0,0)</f>
        <v>0</v>
      </c>
      <c r="F2" s="41" t="b">
        <f>IF(C2="I",300,IF(C2="II",200,IF(C2="III",100,IF(C2="IV",50))))</f>
        <v>0</v>
      </c>
    </row>
    <row r="3" spans="1:6">
      <c r="A3" s="110">
        <v>10103</v>
      </c>
      <c r="B3" s="54" t="s">
        <v>757</v>
      </c>
      <c r="C3" s="69">
        <f>_xlfn.XLOOKUP(A3,'NEW MODEL BY SES'!B:B,'NEW MODEL BY SES'!AC:AC,0,0)</f>
        <v>0</v>
      </c>
      <c r="D3" s="93">
        <f>_xlfn.XLOOKUP(A3,'NEW MODEL BY SES'!B:B,'NEW MODEL BY SES'!AD:AD,0,0)</f>
        <v>0</v>
      </c>
      <c r="F3" s="41" t="b">
        <f t="shared" ref="F3:F66" si="0">IF(C3="I",300,IF(C3="II",200,IF(C3="III",100,IF(C3="IV",50))))</f>
        <v>0</v>
      </c>
    </row>
    <row r="4" spans="1:6">
      <c r="A4" s="110">
        <v>10105</v>
      </c>
      <c r="B4" s="54" t="s">
        <v>758</v>
      </c>
      <c r="C4" s="69">
        <f>_xlfn.XLOOKUP(A4,'NEW MODEL BY SES'!B:B,'NEW MODEL BY SES'!AC:AC,0,0)</f>
        <v>0</v>
      </c>
      <c r="D4" s="93">
        <f>_xlfn.XLOOKUP(A4,'NEW MODEL BY SES'!B:B,'NEW MODEL BY SES'!AD:AD,0,0)</f>
        <v>0</v>
      </c>
      <c r="F4" s="41" t="b">
        <f t="shared" si="0"/>
        <v>0</v>
      </c>
    </row>
    <row r="5" spans="1:6">
      <c r="A5" s="110">
        <v>10106</v>
      </c>
      <c r="B5" s="54" t="s">
        <v>759</v>
      </c>
      <c r="C5" s="69">
        <f>_xlfn.XLOOKUP(A5,'NEW MODEL BY SES'!B:B,'NEW MODEL BY SES'!AC:AC,0,0)</f>
        <v>0</v>
      </c>
      <c r="D5" s="93">
        <f>_xlfn.XLOOKUP(A5,'NEW MODEL BY SES'!B:B,'NEW MODEL BY SES'!AD:AD,0,0)</f>
        <v>0</v>
      </c>
      <c r="F5" s="41" t="b">
        <f t="shared" si="0"/>
        <v>0</v>
      </c>
    </row>
    <row r="6" spans="1:6">
      <c r="A6" s="110">
        <v>10108</v>
      </c>
      <c r="B6" s="54" t="s">
        <v>760</v>
      </c>
      <c r="C6" s="69">
        <f>_xlfn.XLOOKUP(A6,'NEW MODEL BY SES'!B:B,'NEW MODEL BY SES'!AC:AC,0,0)</f>
        <v>0</v>
      </c>
      <c r="D6" s="93">
        <f>_xlfn.XLOOKUP(A6,'NEW MODEL BY SES'!B:B,'NEW MODEL BY SES'!AD:AD,0,0)</f>
        <v>0</v>
      </c>
      <c r="F6" s="41" t="b">
        <f t="shared" si="0"/>
        <v>0</v>
      </c>
    </row>
    <row r="7" spans="1:6">
      <c r="A7" s="110">
        <v>10109</v>
      </c>
      <c r="B7" s="54" t="s">
        <v>761</v>
      </c>
      <c r="C7" s="69">
        <f>_xlfn.XLOOKUP(A7,'NEW MODEL BY SES'!B:B,'NEW MODEL BY SES'!AC:AC,0,0)</f>
        <v>0</v>
      </c>
      <c r="D7" s="93">
        <f>_xlfn.XLOOKUP(A7,'NEW MODEL BY SES'!B:B,'NEW MODEL BY SES'!AD:AD,0,0)</f>
        <v>0</v>
      </c>
      <c r="F7" s="41" t="b">
        <f t="shared" si="0"/>
        <v>0</v>
      </c>
    </row>
    <row r="8" spans="1:6">
      <c r="A8" s="110">
        <v>10118</v>
      </c>
      <c r="B8" s="54" t="s">
        <v>541</v>
      </c>
      <c r="C8" s="69">
        <f>_xlfn.XLOOKUP(A8,'NEW MODEL BY SES'!B:B,'NEW MODEL BY SES'!AC:AC,0,0)</f>
        <v>0</v>
      </c>
      <c r="D8" s="93">
        <f>_xlfn.XLOOKUP(A8,'NEW MODEL BY SES'!B:B,'NEW MODEL BY SES'!AD:AD,0,0)</f>
        <v>0</v>
      </c>
      <c r="F8" s="41" t="b">
        <f t="shared" si="0"/>
        <v>0</v>
      </c>
    </row>
    <row r="9" spans="1:6">
      <c r="A9" s="110">
        <v>10120</v>
      </c>
      <c r="B9" s="54" t="s">
        <v>762</v>
      </c>
      <c r="C9" s="69">
        <f>_xlfn.XLOOKUP(A9,'NEW MODEL BY SES'!B:B,'NEW MODEL BY SES'!AC:AC,0,0)</f>
        <v>0</v>
      </c>
      <c r="D9" s="93">
        <f>_xlfn.XLOOKUP(A9,'NEW MODEL BY SES'!B:B,'NEW MODEL BY SES'!AD:AD,0,0)</f>
        <v>0</v>
      </c>
      <c r="F9" s="41" t="b">
        <f t="shared" si="0"/>
        <v>0</v>
      </c>
    </row>
    <row r="10" spans="1:6">
      <c r="A10" s="110">
        <v>10124</v>
      </c>
      <c r="B10" s="54" t="s">
        <v>763</v>
      </c>
      <c r="C10" s="69">
        <f>_xlfn.XLOOKUP(A10,'NEW MODEL BY SES'!B:B,'NEW MODEL BY SES'!AC:AC,0,0)</f>
        <v>0</v>
      </c>
      <c r="D10" s="93">
        <f>_xlfn.XLOOKUP(A10,'NEW MODEL BY SES'!B:B,'NEW MODEL BY SES'!AD:AD,0,0)</f>
        <v>0</v>
      </c>
      <c r="F10" s="41" t="b">
        <f t="shared" si="0"/>
        <v>0</v>
      </c>
    </row>
    <row r="11" spans="1:6">
      <c r="A11" s="110">
        <v>10128</v>
      </c>
      <c r="B11" s="54" t="s">
        <v>764</v>
      </c>
      <c r="C11" s="69">
        <f>_xlfn.XLOOKUP(A11,'NEW MODEL BY SES'!B:B,'NEW MODEL BY SES'!AC:AC,0,0)</f>
        <v>0</v>
      </c>
      <c r="D11" s="93">
        <f>_xlfn.XLOOKUP(A11,'NEW MODEL BY SES'!B:B,'NEW MODEL BY SES'!AD:AD,0,0)</f>
        <v>0</v>
      </c>
      <c r="F11" s="41" t="b">
        <f t="shared" si="0"/>
        <v>0</v>
      </c>
    </row>
    <row r="12" spans="1:6">
      <c r="A12" s="110">
        <v>10130</v>
      </c>
      <c r="B12" s="54" t="s">
        <v>765</v>
      </c>
      <c r="C12" s="69">
        <f>_xlfn.XLOOKUP(A12,'NEW MODEL BY SES'!B:B,'NEW MODEL BY SES'!AC:AC,0,0)</f>
        <v>0</v>
      </c>
      <c r="D12" s="93">
        <f>_xlfn.XLOOKUP(A12,'NEW MODEL BY SES'!B:B,'NEW MODEL BY SES'!AD:AD,0,0)</f>
        <v>0</v>
      </c>
      <c r="F12" s="41" t="b">
        <f t="shared" si="0"/>
        <v>0</v>
      </c>
    </row>
    <row r="13" spans="1:6">
      <c r="A13" s="110">
        <v>10133</v>
      </c>
      <c r="B13" s="54" t="s">
        <v>766</v>
      </c>
      <c r="C13" s="69">
        <f>_xlfn.XLOOKUP(A13,'NEW MODEL BY SES'!B:B,'NEW MODEL BY SES'!AC:AC,0,0)</f>
        <v>0</v>
      </c>
      <c r="D13" s="93">
        <f>_xlfn.XLOOKUP(A13,'NEW MODEL BY SES'!B:B,'NEW MODEL BY SES'!AD:AD,0,0)</f>
        <v>0</v>
      </c>
      <c r="F13" s="41" t="b">
        <f t="shared" si="0"/>
        <v>0</v>
      </c>
    </row>
    <row r="14" spans="1:6">
      <c r="A14" s="110">
        <v>10134</v>
      </c>
      <c r="B14" s="54" t="s">
        <v>767</v>
      </c>
      <c r="C14" s="69">
        <f>_xlfn.XLOOKUP(A14,'NEW MODEL BY SES'!B:B,'NEW MODEL BY SES'!AC:AC,0,0)</f>
        <v>0</v>
      </c>
      <c r="D14" s="93">
        <f>_xlfn.XLOOKUP(A14,'NEW MODEL BY SES'!B:B,'NEW MODEL BY SES'!AD:AD,0,0)</f>
        <v>0</v>
      </c>
      <c r="F14" s="41" t="b">
        <f t="shared" si="0"/>
        <v>0</v>
      </c>
    </row>
    <row r="15" spans="1:6">
      <c r="A15" s="110">
        <v>10135</v>
      </c>
      <c r="B15" s="54" t="s">
        <v>768</v>
      </c>
      <c r="C15" s="69">
        <f>_xlfn.XLOOKUP(A15,'NEW MODEL BY SES'!B:B,'NEW MODEL BY SES'!AC:AC,0,0)</f>
        <v>0</v>
      </c>
      <c r="D15" s="93">
        <f>_xlfn.XLOOKUP(A15,'NEW MODEL BY SES'!B:B,'NEW MODEL BY SES'!AD:AD,0,0)</f>
        <v>0</v>
      </c>
      <c r="F15" s="41" t="b">
        <f t="shared" si="0"/>
        <v>0</v>
      </c>
    </row>
    <row r="16" spans="1:6">
      <c r="A16" s="110">
        <v>10137</v>
      </c>
      <c r="B16" s="54" t="s">
        <v>544</v>
      </c>
      <c r="C16" s="69">
        <f>_xlfn.XLOOKUP(A16,'NEW MODEL BY SES'!B:B,'NEW MODEL BY SES'!AC:AC,0,0)</f>
        <v>0</v>
      </c>
      <c r="D16" s="93">
        <f>_xlfn.XLOOKUP(A16,'NEW MODEL BY SES'!B:B,'NEW MODEL BY SES'!AD:AD,0,0)</f>
        <v>0</v>
      </c>
      <c r="F16" s="41" t="b">
        <f t="shared" si="0"/>
        <v>0</v>
      </c>
    </row>
    <row r="17" spans="1:6">
      <c r="A17" s="110">
        <v>10138</v>
      </c>
      <c r="B17" s="54" t="s">
        <v>769</v>
      </c>
      <c r="C17" s="69">
        <f>_xlfn.XLOOKUP(A17,'NEW MODEL BY SES'!B:B,'NEW MODEL BY SES'!AC:AC,0,0)</f>
        <v>0</v>
      </c>
      <c r="D17" s="93">
        <f>_xlfn.XLOOKUP(A17,'NEW MODEL BY SES'!B:B,'NEW MODEL BY SES'!AD:AD,0,0)</f>
        <v>0</v>
      </c>
      <c r="F17" s="41" t="b">
        <f t="shared" si="0"/>
        <v>0</v>
      </c>
    </row>
    <row r="18" spans="1:6">
      <c r="A18" s="110">
        <v>10140</v>
      </c>
      <c r="B18" s="54" t="s">
        <v>551</v>
      </c>
      <c r="C18" s="69">
        <f>_xlfn.XLOOKUP(A18,'NEW MODEL BY SES'!B:B,'NEW MODEL BY SES'!AC:AC,0,0)</f>
        <v>0</v>
      </c>
      <c r="D18" s="93">
        <f>_xlfn.XLOOKUP(A18,'NEW MODEL BY SES'!B:B,'NEW MODEL BY SES'!AD:AD,0,0)</f>
        <v>0</v>
      </c>
      <c r="F18" s="41" t="b">
        <f t="shared" si="0"/>
        <v>0</v>
      </c>
    </row>
    <row r="19" spans="1:6">
      <c r="A19" s="110">
        <v>10144</v>
      </c>
      <c r="B19" s="54" t="s">
        <v>770</v>
      </c>
      <c r="C19" s="69">
        <f>_xlfn.XLOOKUP(A19,'NEW MODEL BY SES'!B:B,'NEW MODEL BY SES'!AC:AC,0,0)</f>
        <v>0</v>
      </c>
      <c r="D19" s="93">
        <f>_xlfn.XLOOKUP(A19,'NEW MODEL BY SES'!B:B,'NEW MODEL BY SES'!AD:AD,0,0)</f>
        <v>0</v>
      </c>
      <c r="F19" s="41" t="b">
        <f t="shared" si="0"/>
        <v>0</v>
      </c>
    </row>
    <row r="20" spans="1:6">
      <c r="A20" s="110">
        <v>10501</v>
      </c>
      <c r="B20" s="54" t="s">
        <v>771</v>
      </c>
      <c r="C20" s="69">
        <f>_xlfn.XLOOKUP(A20,'NEW MODEL BY SES'!B:B,'NEW MODEL BY SES'!AC:AC,0,0)</f>
        <v>0</v>
      </c>
      <c r="D20" s="93">
        <f>_xlfn.XLOOKUP(A20,'NEW MODEL BY SES'!B:B,'NEW MODEL BY SES'!AD:AD,0,0)</f>
        <v>0</v>
      </c>
      <c r="F20" s="41" t="b">
        <f t="shared" si="0"/>
        <v>0</v>
      </c>
    </row>
    <row r="21" spans="1:6">
      <c r="A21" s="110">
        <v>10502</v>
      </c>
      <c r="B21" s="54" t="s">
        <v>538</v>
      </c>
      <c r="C21" s="69">
        <f>_xlfn.XLOOKUP(A21,'NEW MODEL BY SES'!B:B,'NEW MODEL BY SES'!AC:AC,0,0)</f>
        <v>0</v>
      </c>
      <c r="D21" s="93">
        <f>_xlfn.XLOOKUP(A21,'NEW MODEL BY SES'!B:B,'NEW MODEL BY SES'!AD:AD,0,0)</f>
        <v>0</v>
      </c>
      <c r="F21" s="41" t="b">
        <f t="shared" si="0"/>
        <v>0</v>
      </c>
    </row>
    <row r="22" spans="1:6">
      <c r="A22" s="110">
        <v>10504</v>
      </c>
      <c r="B22" s="54" t="s">
        <v>608</v>
      </c>
      <c r="C22" s="69">
        <f>_xlfn.XLOOKUP(A22,'NEW MODEL BY SES'!B:B,'NEW MODEL BY SES'!AC:AC,0,0)</f>
        <v>0</v>
      </c>
      <c r="D22" s="93">
        <f>_xlfn.XLOOKUP(A22,'NEW MODEL BY SES'!B:B,'NEW MODEL BY SES'!AD:AD,0,0)</f>
        <v>0</v>
      </c>
      <c r="F22" s="41" t="b">
        <f t="shared" si="0"/>
        <v>0</v>
      </c>
    </row>
    <row r="23" spans="1:6">
      <c r="A23" s="110">
        <v>10507</v>
      </c>
      <c r="B23" s="54" t="s">
        <v>772</v>
      </c>
      <c r="C23" s="69">
        <f>_xlfn.XLOOKUP(A23,'NEW MODEL BY SES'!B:B,'NEW MODEL BY SES'!AC:AC,0,0)</f>
        <v>0</v>
      </c>
      <c r="D23" s="93">
        <f>_xlfn.XLOOKUP(A23,'NEW MODEL BY SES'!B:B,'NEW MODEL BY SES'!AD:AD,0,0)</f>
        <v>0</v>
      </c>
      <c r="F23" s="41" t="b">
        <f t="shared" si="0"/>
        <v>0</v>
      </c>
    </row>
    <row r="24" spans="1:6">
      <c r="A24" s="110">
        <v>10516</v>
      </c>
      <c r="B24" s="54" t="s">
        <v>773</v>
      </c>
      <c r="C24" s="69">
        <f>_xlfn.XLOOKUP(A24,'NEW MODEL BY SES'!B:B,'NEW MODEL BY SES'!AC:AC,0,0)</f>
        <v>0</v>
      </c>
      <c r="D24" s="93">
        <f>_xlfn.XLOOKUP(A24,'NEW MODEL BY SES'!B:B,'NEW MODEL BY SES'!AD:AD,0,0)</f>
        <v>0</v>
      </c>
      <c r="F24" s="41" t="b">
        <f t="shared" si="0"/>
        <v>0</v>
      </c>
    </row>
    <row r="25" spans="1:6">
      <c r="A25" s="110">
        <v>10518</v>
      </c>
      <c r="B25" s="54" t="s">
        <v>774</v>
      </c>
      <c r="C25" s="69">
        <f>_xlfn.XLOOKUP(A25,'NEW MODEL BY SES'!B:B,'NEW MODEL BY SES'!AC:AC,0,0)</f>
        <v>0</v>
      </c>
      <c r="D25" s="93">
        <f>_xlfn.XLOOKUP(A25,'NEW MODEL BY SES'!B:B,'NEW MODEL BY SES'!AD:AD,0,0)</f>
        <v>0</v>
      </c>
      <c r="F25" s="41" t="b">
        <f t="shared" si="0"/>
        <v>0</v>
      </c>
    </row>
    <row r="26" spans="1:6">
      <c r="A26" s="110">
        <v>10526</v>
      </c>
      <c r="B26" s="54" t="s">
        <v>677</v>
      </c>
      <c r="C26" s="69">
        <f>_xlfn.XLOOKUP(A26,'NEW MODEL BY SES'!B:B,'NEW MODEL BY SES'!AC:AC,0,0)</f>
        <v>0</v>
      </c>
      <c r="D26" s="93">
        <f>_xlfn.XLOOKUP(A26,'NEW MODEL BY SES'!B:B,'NEW MODEL BY SES'!AD:AD,0,0)</f>
        <v>0</v>
      </c>
      <c r="F26" s="41" t="b">
        <f t="shared" si="0"/>
        <v>0</v>
      </c>
    </row>
    <row r="27" spans="1:6">
      <c r="A27" s="110">
        <v>10527</v>
      </c>
      <c r="B27" s="54" t="s">
        <v>775</v>
      </c>
      <c r="C27" s="69">
        <f>_xlfn.XLOOKUP(A27,'NEW MODEL BY SES'!B:B,'NEW MODEL BY SES'!AC:AC,0,0)</f>
        <v>0</v>
      </c>
      <c r="D27" s="93">
        <f>_xlfn.XLOOKUP(A27,'NEW MODEL BY SES'!B:B,'NEW MODEL BY SES'!AD:AD,0,0)</f>
        <v>0</v>
      </c>
      <c r="F27" s="41" t="b">
        <f t="shared" si="0"/>
        <v>0</v>
      </c>
    </row>
    <row r="28" spans="1:6">
      <c r="A28" s="110">
        <v>10601</v>
      </c>
      <c r="B28" s="54" t="s">
        <v>594</v>
      </c>
      <c r="C28" s="69">
        <f>_xlfn.XLOOKUP(A28,'NEW MODEL BY SES'!B:B,'NEW MODEL BY SES'!AC:AC,0,0)</f>
        <v>0</v>
      </c>
      <c r="D28" s="93">
        <f>_xlfn.XLOOKUP(A28,'NEW MODEL BY SES'!B:B,'NEW MODEL BY SES'!AD:AD,0,0)</f>
        <v>0</v>
      </c>
      <c r="F28" s="41" t="b">
        <f t="shared" si="0"/>
        <v>0</v>
      </c>
    </row>
    <row r="29" spans="1:6">
      <c r="A29" s="110">
        <v>10605</v>
      </c>
      <c r="B29" s="54" t="s">
        <v>619</v>
      </c>
      <c r="C29" s="69">
        <f>_xlfn.XLOOKUP(A29,'NEW MODEL BY SES'!B:B,'NEW MODEL BY SES'!AC:AC,0,0)</f>
        <v>0</v>
      </c>
      <c r="D29" s="93">
        <f>_xlfn.XLOOKUP(A29,'NEW MODEL BY SES'!B:B,'NEW MODEL BY SES'!AD:AD,0,0)</f>
        <v>0</v>
      </c>
      <c r="F29" s="41" t="b">
        <f t="shared" si="0"/>
        <v>0</v>
      </c>
    </row>
    <row r="30" spans="1:6">
      <c r="A30" s="110">
        <v>10609</v>
      </c>
      <c r="B30" s="54" t="s">
        <v>618</v>
      </c>
      <c r="C30" s="69">
        <f>_xlfn.XLOOKUP(A30,'NEW MODEL BY SES'!B:B,'NEW MODEL BY SES'!AC:AC,0,0)</f>
        <v>0</v>
      </c>
      <c r="D30" s="93">
        <f>_xlfn.XLOOKUP(A30,'NEW MODEL BY SES'!B:B,'NEW MODEL BY SES'!AD:AD,0,0)</f>
        <v>0</v>
      </c>
      <c r="F30" s="41" t="b">
        <f t="shared" si="0"/>
        <v>0</v>
      </c>
    </row>
    <row r="31" spans="1:6">
      <c r="A31" s="110">
        <v>10611</v>
      </c>
      <c r="B31" s="54" t="s">
        <v>522</v>
      </c>
      <c r="C31" s="69">
        <f>_xlfn.XLOOKUP(A31,'NEW MODEL BY SES'!B:B,'NEW MODEL BY SES'!AC:AC,0,0)</f>
        <v>0</v>
      </c>
      <c r="D31" s="93">
        <f>_xlfn.XLOOKUP(A31,'NEW MODEL BY SES'!B:B,'NEW MODEL BY SES'!AD:AD,0,0)</f>
        <v>0</v>
      </c>
      <c r="F31" s="41" t="b">
        <f t="shared" si="0"/>
        <v>0</v>
      </c>
    </row>
    <row r="32" spans="1:6">
      <c r="A32" s="110">
        <v>10612</v>
      </c>
      <c r="B32" s="54" t="s">
        <v>513</v>
      </c>
      <c r="C32" s="69">
        <f>_xlfn.XLOOKUP(A32,'NEW MODEL BY SES'!B:B,'NEW MODEL BY SES'!AC:AC,0,0)</f>
        <v>0</v>
      </c>
      <c r="D32" s="93">
        <f>_xlfn.XLOOKUP(A32,'NEW MODEL BY SES'!B:B,'NEW MODEL BY SES'!AD:AD,0,0)</f>
        <v>0</v>
      </c>
      <c r="F32" s="41" t="b">
        <f t="shared" si="0"/>
        <v>0</v>
      </c>
    </row>
    <row r="33" spans="1:6">
      <c r="A33" s="110">
        <v>10702</v>
      </c>
      <c r="B33" s="54" t="s">
        <v>707</v>
      </c>
      <c r="C33" s="69">
        <f>_xlfn.XLOOKUP(A33,'NEW MODEL BY SES'!B:B,'NEW MODEL BY SES'!AC:AC,0,0)</f>
        <v>0</v>
      </c>
      <c r="D33" s="93">
        <f>_xlfn.XLOOKUP(A33,'NEW MODEL BY SES'!B:B,'NEW MODEL BY SES'!AD:AD,0,0)</f>
        <v>0</v>
      </c>
      <c r="F33" s="41" t="b">
        <f t="shared" si="0"/>
        <v>0</v>
      </c>
    </row>
    <row r="34" spans="1:6">
      <c r="A34" s="110">
        <v>10706</v>
      </c>
      <c r="B34" s="54" t="s">
        <v>776</v>
      </c>
      <c r="C34" s="69">
        <f>_xlfn.XLOOKUP(A34,'NEW MODEL BY SES'!B:B,'NEW MODEL BY SES'!AC:AC,0,0)</f>
        <v>0</v>
      </c>
      <c r="D34" s="93">
        <f>_xlfn.XLOOKUP(A34,'NEW MODEL BY SES'!B:B,'NEW MODEL BY SES'!AD:AD,0,0)</f>
        <v>0</v>
      </c>
      <c r="F34" s="41" t="b">
        <f t="shared" si="0"/>
        <v>0</v>
      </c>
    </row>
    <row r="35" spans="1:6">
      <c r="A35" s="110">
        <v>10711</v>
      </c>
      <c r="B35" s="54" t="s">
        <v>777</v>
      </c>
      <c r="C35" s="69">
        <f>_xlfn.XLOOKUP(A35,'NEW MODEL BY SES'!B:B,'NEW MODEL BY SES'!AC:AC,0,0)</f>
        <v>0</v>
      </c>
      <c r="D35" s="93">
        <f>_xlfn.XLOOKUP(A35,'NEW MODEL BY SES'!B:B,'NEW MODEL BY SES'!AD:AD,0,0)</f>
        <v>0</v>
      </c>
      <c r="F35" s="41" t="b">
        <f t="shared" si="0"/>
        <v>0</v>
      </c>
    </row>
    <row r="36" spans="1:6">
      <c r="A36" s="110">
        <v>10712</v>
      </c>
      <c r="B36" s="54" t="s">
        <v>738</v>
      </c>
      <c r="C36" s="69">
        <f>_xlfn.XLOOKUP(A36,'NEW MODEL BY SES'!B:B,'NEW MODEL BY SES'!AC:AC,0,0)</f>
        <v>0</v>
      </c>
      <c r="D36" s="93">
        <f>_xlfn.XLOOKUP(A36,'NEW MODEL BY SES'!B:B,'NEW MODEL BY SES'!AD:AD,0,0)</f>
        <v>0</v>
      </c>
      <c r="F36" s="41" t="b">
        <f t="shared" si="0"/>
        <v>0</v>
      </c>
    </row>
    <row r="37" spans="1:6">
      <c r="A37" s="110">
        <v>10714</v>
      </c>
      <c r="B37" s="54" t="s">
        <v>778</v>
      </c>
      <c r="C37" s="69">
        <f>_xlfn.XLOOKUP(A37,'NEW MODEL BY SES'!B:B,'NEW MODEL BY SES'!AC:AC,0,0)</f>
        <v>0</v>
      </c>
      <c r="D37" s="93">
        <f>_xlfn.XLOOKUP(A37,'NEW MODEL BY SES'!B:B,'NEW MODEL BY SES'!AD:AD,0,0)</f>
        <v>0</v>
      </c>
      <c r="F37" s="41" t="b">
        <f t="shared" si="0"/>
        <v>0</v>
      </c>
    </row>
    <row r="38" spans="1:6">
      <c r="A38" s="110">
        <v>10721</v>
      </c>
      <c r="B38" s="54" t="s">
        <v>779</v>
      </c>
      <c r="C38" s="69">
        <f>_xlfn.XLOOKUP(A38,'NEW MODEL BY SES'!B:B,'NEW MODEL BY SES'!AC:AC,0,0)</f>
        <v>0</v>
      </c>
      <c r="D38" s="93">
        <f>_xlfn.XLOOKUP(A38,'NEW MODEL BY SES'!B:B,'NEW MODEL BY SES'!AD:AD,0,0)</f>
        <v>0</v>
      </c>
      <c r="F38" s="41" t="b">
        <f t="shared" si="0"/>
        <v>0</v>
      </c>
    </row>
    <row r="39" spans="1:6">
      <c r="A39" s="110">
        <v>10724</v>
      </c>
      <c r="B39" s="54" t="s">
        <v>780</v>
      </c>
      <c r="C39" s="69">
        <f>_xlfn.XLOOKUP(A39,'NEW MODEL BY SES'!B:B,'NEW MODEL BY SES'!AC:AC,0,0)</f>
        <v>0</v>
      </c>
      <c r="D39" s="93">
        <f>_xlfn.XLOOKUP(A39,'NEW MODEL BY SES'!B:B,'NEW MODEL BY SES'!AD:AD,0,0)</f>
        <v>0</v>
      </c>
      <c r="F39" s="41" t="b">
        <f t="shared" si="0"/>
        <v>0</v>
      </c>
    </row>
    <row r="40" spans="1:6">
      <c r="A40" s="110">
        <v>10736</v>
      </c>
      <c r="B40" s="54" t="s">
        <v>781</v>
      </c>
      <c r="C40" s="69">
        <f>_xlfn.XLOOKUP(A40,'NEW MODEL BY SES'!B:B,'NEW MODEL BY SES'!AC:AC,0,0)</f>
        <v>0</v>
      </c>
      <c r="D40" s="93">
        <f>_xlfn.XLOOKUP(A40,'NEW MODEL BY SES'!B:B,'NEW MODEL BY SES'!AD:AD,0,0)</f>
        <v>0</v>
      </c>
      <c r="F40" s="41" t="b">
        <f t="shared" si="0"/>
        <v>0</v>
      </c>
    </row>
    <row r="41" spans="1:6">
      <c r="A41" s="110">
        <v>10737</v>
      </c>
      <c r="B41" s="54" t="s">
        <v>782</v>
      </c>
      <c r="C41" s="69">
        <f>_xlfn.XLOOKUP(A41,'NEW MODEL BY SES'!B:B,'NEW MODEL BY SES'!AC:AC,0,0)</f>
        <v>0</v>
      </c>
      <c r="D41" s="93">
        <f>_xlfn.XLOOKUP(A41,'NEW MODEL BY SES'!B:B,'NEW MODEL BY SES'!AD:AD,0,0)</f>
        <v>0</v>
      </c>
      <c r="F41" s="41" t="b">
        <f t="shared" si="0"/>
        <v>0</v>
      </c>
    </row>
    <row r="42" spans="1:6">
      <c r="A42" s="110">
        <v>10738</v>
      </c>
      <c r="B42" s="54" t="s">
        <v>518</v>
      </c>
      <c r="C42" s="69">
        <f>_xlfn.XLOOKUP(A42,'NEW MODEL BY SES'!B:B,'NEW MODEL BY SES'!AC:AC,0,0)</f>
        <v>0</v>
      </c>
      <c r="D42" s="93">
        <f>_xlfn.XLOOKUP(A42,'NEW MODEL BY SES'!B:B,'NEW MODEL BY SES'!AD:AD,0,0)</f>
        <v>0</v>
      </c>
      <c r="F42" s="41" t="b">
        <f t="shared" si="0"/>
        <v>0</v>
      </c>
    </row>
    <row r="43" spans="1:6">
      <c r="A43" s="110">
        <v>10741</v>
      </c>
      <c r="B43" s="54" t="s">
        <v>692</v>
      </c>
      <c r="C43" s="69">
        <f>_xlfn.XLOOKUP(A43,'NEW MODEL BY SES'!B:B,'NEW MODEL BY SES'!AC:AC,0,0)</f>
        <v>0</v>
      </c>
      <c r="D43" s="93">
        <f>_xlfn.XLOOKUP(A43,'NEW MODEL BY SES'!B:B,'NEW MODEL BY SES'!AD:AD,0,0)</f>
        <v>0</v>
      </c>
      <c r="F43" s="41" t="b">
        <f t="shared" si="0"/>
        <v>0</v>
      </c>
    </row>
    <row r="44" spans="1:6">
      <c r="A44" s="110">
        <v>10742</v>
      </c>
      <c r="B44" s="54" t="s">
        <v>640</v>
      </c>
      <c r="C44" s="69">
        <f>_xlfn.XLOOKUP(A44,'NEW MODEL BY SES'!B:B,'NEW MODEL BY SES'!AC:AC,0,0)</f>
        <v>0</v>
      </c>
      <c r="D44" s="93">
        <f>_xlfn.XLOOKUP(A44,'NEW MODEL BY SES'!B:B,'NEW MODEL BY SES'!AD:AD,0,0)</f>
        <v>0</v>
      </c>
      <c r="F44" s="41" t="b">
        <f t="shared" si="0"/>
        <v>0</v>
      </c>
    </row>
    <row r="45" spans="1:6">
      <c r="A45" s="110">
        <v>10743</v>
      </c>
      <c r="B45" s="54" t="s">
        <v>783</v>
      </c>
      <c r="C45" s="69">
        <f>_xlfn.XLOOKUP(A45,'NEW MODEL BY SES'!B:B,'NEW MODEL BY SES'!AC:AC,0,0)</f>
        <v>0</v>
      </c>
      <c r="D45" s="93">
        <f>_xlfn.XLOOKUP(A45,'NEW MODEL BY SES'!B:B,'NEW MODEL BY SES'!AD:AD,0,0)</f>
        <v>0</v>
      </c>
      <c r="F45" s="41" t="b">
        <f t="shared" si="0"/>
        <v>0</v>
      </c>
    </row>
    <row r="46" spans="1:6">
      <c r="A46" s="110">
        <v>10744</v>
      </c>
      <c r="B46" s="54" t="s">
        <v>784</v>
      </c>
      <c r="C46" s="69">
        <f>_xlfn.XLOOKUP(A46,'NEW MODEL BY SES'!B:B,'NEW MODEL BY SES'!AC:AC,0,0)</f>
        <v>0</v>
      </c>
      <c r="D46" s="93">
        <f>_xlfn.XLOOKUP(A46,'NEW MODEL BY SES'!B:B,'NEW MODEL BY SES'!AD:AD,0,0)</f>
        <v>0</v>
      </c>
      <c r="F46" s="41" t="b">
        <f t="shared" si="0"/>
        <v>0</v>
      </c>
    </row>
    <row r="47" spans="1:6">
      <c r="A47" s="110">
        <v>10747</v>
      </c>
      <c r="B47" s="54" t="s">
        <v>646</v>
      </c>
      <c r="C47" s="69">
        <f>_xlfn.XLOOKUP(A47,'NEW MODEL BY SES'!B:B,'NEW MODEL BY SES'!AC:AC,0,0)</f>
        <v>0</v>
      </c>
      <c r="D47" s="93">
        <f>_xlfn.XLOOKUP(A47,'NEW MODEL BY SES'!B:B,'NEW MODEL BY SES'!AD:AD,0,0)</f>
        <v>0</v>
      </c>
      <c r="F47" s="41" t="b">
        <f t="shared" si="0"/>
        <v>0</v>
      </c>
    </row>
    <row r="48" spans="1:6">
      <c r="A48" s="110">
        <v>10748</v>
      </c>
      <c r="B48" s="54" t="s">
        <v>510</v>
      </c>
      <c r="C48" s="69">
        <f>_xlfn.XLOOKUP(A48,'NEW MODEL BY SES'!B:B,'NEW MODEL BY SES'!AC:AC,0,0)</f>
        <v>0</v>
      </c>
      <c r="D48" s="93">
        <f>_xlfn.XLOOKUP(A48,'NEW MODEL BY SES'!B:B,'NEW MODEL BY SES'!AD:AD,0,0)</f>
        <v>0</v>
      </c>
      <c r="F48" s="41" t="b">
        <f t="shared" si="0"/>
        <v>0</v>
      </c>
    </row>
    <row r="49" spans="1:6">
      <c r="A49" s="110">
        <v>11109</v>
      </c>
      <c r="B49" s="54" t="s">
        <v>785</v>
      </c>
      <c r="C49" s="69">
        <f>_xlfn.XLOOKUP(A49,'NEW MODEL BY SES'!B:B,'NEW MODEL BY SES'!AC:AC,0,0)</f>
        <v>0</v>
      </c>
      <c r="D49" s="93">
        <f>_xlfn.XLOOKUP(A49,'NEW MODEL BY SES'!B:B,'NEW MODEL BY SES'!AD:AD,0,0)</f>
        <v>0</v>
      </c>
      <c r="F49" s="41" t="b">
        <f t="shared" si="0"/>
        <v>0</v>
      </c>
    </row>
    <row r="50" spans="1:6">
      <c r="A50" s="110">
        <v>11116</v>
      </c>
      <c r="B50" s="54" t="s">
        <v>786</v>
      </c>
      <c r="C50" s="69">
        <f>_xlfn.XLOOKUP(A50,'NEW MODEL BY SES'!B:B,'NEW MODEL BY SES'!AC:AC,0,0)</f>
        <v>0</v>
      </c>
      <c r="D50" s="93">
        <f>_xlfn.XLOOKUP(A50,'NEW MODEL BY SES'!B:B,'NEW MODEL BY SES'!AD:AD,0,0)</f>
        <v>0</v>
      </c>
      <c r="F50" s="41" t="b">
        <f t="shared" si="0"/>
        <v>0</v>
      </c>
    </row>
    <row r="51" spans="1:6">
      <c r="A51" s="110">
        <v>11117</v>
      </c>
      <c r="B51" s="54" t="s">
        <v>637</v>
      </c>
      <c r="C51" s="69">
        <f>_xlfn.XLOOKUP(A51,'NEW MODEL BY SES'!B:B,'NEW MODEL BY SES'!AC:AC,0,0)</f>
        <v>0</v>
      </c>
      <c r="D51" s="93">
        <f>_xlfn.XLOOKUP(A51,'NEW MODEL BY SES'!B:B,'NEW MODEL BY SES'!AD:AD,0,0)</f>
        <v>0</v>
      </c>
      <c r="F51" s="41" t="b">
        <f t="shared" si="0"/>
        <v>0</v>
      </c>
    </row>
    <row r="52" spans="1:6">
      <c r="A52" s="110">
        <v>11122</v>
      </c>
      <c r="B52" s="54" t="s">
        <v>659</v>
      </c>
      <c r="C52" s="69">
        <f>_xlfn.XLOOKUP(A52,'NEW MODEL BY SES'!B:B,'NEW MODEL BY SES'!AC:AC,0,0)</f>
        <v>0</v>
      </c>
      <c r="D52" s="93">
        <f>_xlfn.XLOOKUP(A52,'NEW MODEL BY SES'!B:B,'NEW MODEL BY SES'!AD:AD,0,0)</f>
        <v>0</v>
      </c>
      <c r="F52" s="41" t="b">
        <f t="shared" si="0"/>
        <v>0</v>
      </c>
    </row>
    <row r="53" spans="1:6">
      <c r="A53" s="110">
        <v>11123</v>
      </c>
      <c r="B53" s="54" t="s">
        <v>787</v>
      </c>
      <c r="C53" s="69">
        <f>_xlfn.XLOOKUP(A53,'NEW MODEL BY SES'!B:B,'NEW MODEL BY SES'!AC:AC,0,0)</f>
        <v>0</v>
      </c>
      <c r="D53" s="93">
        <f>_xlfn.XLOOKUP(A53,'NEW MODEL BY SES'!B:B,'NEW MODEL BY SES'!AD:AD,0,0)</f>
        <v>0</v>
      </c>
      <c r="F53" s="41" t="b">
        <f t="shared" si="0"/>
        <v>0</v>
      </c>
    </row>
    <row r="54" spans="1:6">
      <c r="A54" s="110">
        <v>11124</v>
      </c>
      <c r="B54" s="54" t="s">
        <v>600</v>
      </c>
      <c r="C54" s="69">
        <f>_xlfn.XLOOKUP(A54,'NEW MODEL BY SES'!B:B,'NEW MODEL BY SES'!AC:AC,0,0)</f>
        <v>0</v>
      </c>
      <c r="D54" s="93">
        <f>_xlfn.XLOOKUP(A54,'NEW MODEL BY SES'!B:B,'NEW MODEL BY SES'!AD:AD,0,0)</f>
        <v>0</v>
      </c>
      <c r="F54" s="41" t="b">
        <f t="shared" si="0"/>
        <v>0</v>
      </c>
    </row>
    <row r="55" spans="1:6">
      <c r="A55" s="110">
        <v>11204</v>
      </c>
      <c r="B55" s="54" t="s">
        <v>788</v>
      </c>
      <c r="C55" s="69">
        <f>_xlfn.XLOOKUP(A55,'NEW MODEL BY SES'!B:B,'NEW MODEL BY SES'!AC:AC,0,0)</f>
        <v>0</v>
      </c>
      <c r="D55" s="93">
        <f>_xlfn.XLOOKUP(A55,'NEW MODEL BY SES'!B:B,'NEW MODEL BY SES'!AD:AD,0,0)</f>
        <v>0</v>
      </c>
      <c r="F55" s="41" t="b">
        <f t="shared" si="0"/>
        <v>0</v>
      </c>
    </row>
    <row r="56" spans="1:6">
      <c r="A56" s="110">
        <v>11208</v>
      </c>
      <c r="B56" s="54" t="s">
        <v>789</v>
      </c>
      <c r="C56" s="69">
        <f>_xlfn.XLOOKUP(A56,'NEW MODEL BY SES'!B:B,'NEW MODEL BY SES'!AC:AC,0,0)</f>
        <v>0</v>
      </c>
      <c r="D56" s="93">
        <f>_xlfn.XLOOKUP(A56,'NEW MODEL BY SES'!B:B,'NEW MODEL BY SES'!AD:AD,0,0)</f>
        <v>0</v>
      </c>
      <c r="F56" s="41" t="b">
        <f t="shared" si="0"/>
        <v>0</v>
      </c>
    </row>
    <row r="57" spans="1:6">
      <c r="A57" s="110">
        <v>11210</v>
      </c>
      <c r="B57" s="54" t="s">
        <v>790</v>
      </c>
      <c r="C57" s="69">
        <f>_xlfn.XLOOKUP(A57,'NEW MODEL BY SES'!B:B,'NEW MODEL BY SES'!AC:AC,0,0)</f>
        <v>0</v>
      </c>
      <c r="D57" s="93">
        <f>_xlfn.XLOOKUP(A57,'NEW MODEL BY SES'!B:B,'NEW MODEL BY SES'!AD:AD,0,0)</f>
        <v>0</v>
      </c>
      <c r="F57" s="41" t="b">
        <f t="shared" si="0"/>
        <v>0</v>
      </c>
    </row>
    <row r="58" spans="1:6">
      <c r="A58" s="110">
        <v>11211</v>
      </c>
      <c r="B58" s="54" t="s">
        <v>791</v>
      </c>
      <c r="C58" s="69">
        <f>_xlfn.XLOOKUP(A58,'NEW MODEL BY SES'!B:B,'NEW MODEL BY SES'!AC:AC,0,0)</f>
        <v>0</v>
      </c>
      <c r="D58" s="93">
        <f>_xlfn.XLOOKUP(A58,'NEW MODEL BY SES'!B:B,'NEW MODEL BY SES'!AD:AD,0,0)</f>
        <v>0</v>
      </c>
      <c r="F58" s="41" t="b">
        <f t="shared" si="0"/>
        <v>0</v>
      </c>
    </row>
    <row r="59" spans="1:6">
      <c r="A59" s="110">
        <v>11212</v>
      </c>
      <c r="B59" s="54" t="s">
        <v>792</v>
      </c>
      <c r="C59" s="69">
        <f>_xlfn.XLOOKUP(A59,'NEW MODEL BY SES'!B:B,'NEW MODEL BY SES'!AC:AC,0,0)</f>
        <v>0</v>
      </c>
      <c r="D59" s="93">
        <f>_xlfn.XLOOKUP(A59,'NEW MODEL BY SES'!B:B,'NEW MODEL BY SES'!AD:AD,0,0)</f>
        <v>0</v>
      </c>
      <c r="F59" s="41" t="b">
        <f t="shared" si="0"/>
        <v>0</v>
      </c>
    </row>
    <row r="60" spans="1:6">
      <c r="A60" s="110">
        <v>11214</v>
      </c>
      <c r="B60" s="54" t="s">
        <v>793</v>
      </c>
      <c r="C60" s="69">
        <f>_xlfn.XLOOKUP(A60,'NEW MODEL BY SES'!B:B,'NEW MODEL BY SES'!AC:AC,0,0)</f>
        <v>0</v>
      </c>
      <c r="D60" s="93">
        <f>_xlfn.XLOOKUP(A60,'NEW MODEL BY SES'!B:B,'NEW MODEL BY SES'!AD:AD,0,0)</f>
        <v>0</v>
      </c>
      <c r="F60" s="41" t="b">
        <f t="shared" si="0"/>
        <v>0</v>
      </c>
    </row>
    <row r="61" spans="1:6">
      <c r="A61" s="110">
        <v>11215</v>
      </c>
      <c r="B61" s="54" t="s">
        <v>794</v>
      </c>
      <c r="C61" s="69">
        <f>_xlfn.XLOOKUP(A61,'NEW MODEL BY SES'!B:B,'NEW MODEL BY SES'!AC:AC,0,0)</f>
        <v>0</v>
      </c>
      <c r="D61" s="93">
        <f>_xlfn.XLOOKUP(A61,'NEW MODEL BY SES'!B:B,'NEW MODEL BY SES'!AD:AD,0,0)</f>
        <v>0</v>
      </c>
      <c r="F61" s="41" t="b">
        <f t="shared" si="0"/>
        <v>0</v>
      </c>
    </row>
    <row r="62" spans="1:6">
      <c r="A62" s="110">
        <v>11218</v>
      </c>
      <c r="B62" s="54" t="s">
        <v>795</v>
      </c>
      <c r="C62" s="69">
        <f>_xlfn.XLOOKUP(A62,'NEW MODEL BY SES'!B:B,'NEW MODEL BY SES'!AC:AC,0,0)</f>
        <v>0</v>
      </c>
      <c r="D62" s="93">
        <f>_xlfn.XLOOKUP(A62,'NEW MODEL BY SES'!B:B,'NEW MODEL BY SES'!AD:AD,0,0)</f>
        <v>0</v>
      </c>
      <c r="F62" s="41" t="b">
        <f t="shared" si="0"/>
        <v>0</v>
      </c>
    </row>
    <row r="63" spans="1:6">
      <c r="A63" s="110">
        <v>11303</v>
      </c>
      <c r="B63" s="54" t="s">
        <v>649</v>
      </c>
      <c r="C63" s="69">
        <f>_xlfn.XLOOKUP(A63,'NEW MODEL BY SES'!B:B,'NEW MODEL BY SES'!AC:AC,0,0)</f>
        <v>0</v>
      </c>
      <c r="D63" s="93">
        <f>_xlfn.XLOOKUP(A63,'NEW MODEL BY SES'!B:B,'NEW MODEL BY SES'!AD:AD,0,0)</f>
        <v>0</v>
      </c>
      <c r="F63" s="41" t="b">
        <f t="shared" si="0"/>
        <v>0</v>
      </c>
    </row>
    <row r="64" spans="1:6">
      <c r="A64" s="110">
        <v>11304</v>
      </c>
      <c r="B64" s="54" t="s">
        <v>796</v>
      </c>
      <c r="C64" s="69">
        <f>_xlfn.XLOOKUP(A64,'NEW MODEL BY SES'!B:B,'NEW MODEL BY SES'!AC:AC,0,0)</f>
        <v>0</v>
      </c>
      <c r="D64" s="93">
        <f>_xlfn.XLOOKUP(A64,'NEW MODEL BY SES'!B:B,'NEW MODEL BY SES'!AD:AD,0,0)</f>
        <v>0</v>
      </c>
      <c r="F64" s="41" t="b">
        <f t="shared" si="0"/>
        <v>0</v>
      </c>
    </row>
    <row r="65" spans="1:6">
      <c r="A65" s="110">
        <v>11305</v>
      </c>
      <c r="B65" s="54" t="s">
        <v>797</v>
      </c>
      <c r="C65" s="69">
        <f>_xlfn.XLOOKUP(A65,'NEW MODEL BY SES'!B:B,'NEW MODEL BY SES'!AC:AC,0,0)</f>
        <v>0</v>
      </c>
      <c r="D65" s="93">
        <f>_xlfn.XLOOKUP(A65,'NEW MODEL BY SES'!B:B,'NEW MODEL BY SES'!AD:AD,0,0)</f>
        <v>0</v>
      </c>
      <c r="F65" s="41" t="b">
        <f t="shared" si="0"/>
        <v>0</v>
      </c>
    </row>
    <row r="66" spans="1:6">
      <c r="A66" s="110">
        <v>11306</v>
      </c>
      <c r="B66" s="54" t="s">
        <v>798</v>
      </c>
      <c r="C66" s="69">
        <f>_xlfn.XLOOKUP(A66,'NEW MODEL BY SES'!B:B,'NEW MODEL BY SES'!AC:AC,0,0)</f>
        <v>0</v>
      </c>
      <c r="D66" s="93">
        <f>_xlfn.XLOOKUP(A66,'NEW MODEL BY SES'!B:B,'NEW MODEL BY SES'!AD:AD,0,0)</f>
        <v>0</v>
      </c>
      <c r="F66" s="41" t="b">
        <f t="shared" si="0"/>
        <v>0</v>
      </c>
    </row>
    <row r="67" spans="1:6">
      <c r="A67" s="110">
        <v>11307</v>
      </c>
      <c r="B67" s="54" t="s">
        <v>799</v>
      </c>
      <c r="C67" s="69">
        <f>_xlfn.XLOOKUP(A67,'NEW MODEL BY SES'!B:B,'NEW MODEL BY SES'!AC:AC,0,0)</f>
        <v>0</v>
      </c>
      <c r="D67" s="93">
        <f>_xlfn.XLOOKUP(A67,'NEW MODEL BY SES'!B:B,'NEW MODEL BY SES'!AD:AD,0,0)</f>
        <v>0</v>
      </c>
      <c r="F67" s="41" t="b">
        <f t="shared" ref="F67:F130" si="1">IF(C67="I",300,IF(C67="II",200,IF(C67="III",100,IF(C67="IV",50))))</f>
        <v>0</v>
      </c>
    </row>
    <row r="68" spans="1:6">
      <c r="A68" s="110">
        <v>11311</v>
      </c>
      <c r="B68" s="54" t="s">
        <v>653</v>
      </c>
      <c r="C68" s="69">
        <f>_xlfn.XLOOKUP(A68,'NEW MODEL BY SES'!B:B,'NEW MODEL BY SES'!AC:AC,0,0)</f>
        <v>0</v>
      </c>
      <c r="D68" s="93">
        <f>_xlfn.XLOOKUP(A68,'NEW MODEL BY SES'!B:B,'NEW MODEL BY SES'!AD:AD,0,0)</f>
        <v>0</v>
      </c>
      <c r="F68" s="41" t="b">
        <f t="shared" si="1"/>
        <v>0</v>
      </c>
    </row>
    <row r="69" spans="1:6">
      <c r="A69" s="110">
        <v>11312</v>
      </c>
      <c r="B69" s="54" t="s">
        <v>800</v>
      </c>
      <c r="C69" s="69">
        <f>_xlfn.XLOOKUP(A69,'NEW MODEL BY SES'!B:B,'NEW MODEL BY SES'!AC:AC,0,0)</f>
        <v>0</v>
      </c>
      <c r="D69" s="93">
        <f>_xlfn.XLOOKUP(A69,'NEW MODEL BY SES'!B:B,'NEW MODEL BY SES'!AD:AD,0,0)</f>
        <v>0</v>
      </c>
      <c r="F69" s="41" t="b">
        <f t="shared" si="1"/>
        <v>0</v>
      </c>
    </row>
    <row r="70" spans="1:6">
      <c r="A70" s="110">
        <v>11401</v>
      </c>
      <c r="B70" s="54" t="s">
        <v>514</v>
      </c>
      <c r="C70" s="69">
        <f>_xlfn.XLOOKUP(A70,'NEW MODEL BY SES'!B:B,'NEW MODEL BY SES'!AC:AC,0,0)</f>
        <v>0</v>
      </c>
      <c r="D70" s="93">
        <f>_xlfn.XLOOKUP(A70,'NEW MODEL BY SES'!B:B,'NEW MODEL BY SES'!AD:AD,0,0)</f>
        <v>0</v>
      </c>
      <c r="F70" s="41" t="b">
        <f t="shared" si="1"/>
        <v>0</v>
      </c>
    </row>
    <row r="71" spans="1:6">
      <c r="A71" s="110">
        <v>11403</v>
      </c>
      <c r="B71" s="54" t="s">
        <v>542</v>
      </c>
      <c r="C71" s="69">
        <f>_xlfn.XLOOKUP(A71,'NEW MODEL BY SES'!B:B,'NEW MODEL BY SES'!AC:AC,0,0)</f>
        <v>0</v>
      </c>
      <c r="D71" s="93">
        <f>_xlfn.XLOOKUP(A71,'NEW MODEL BY SES'!B:B,'NEW MODEL BY SES'!AD:AD,0,0)</f>
        <v>0</v>
      </c>
      <c r="F71" s="41" t="b">
        <f t="shared" si="1"/>
        <v>0</v>
      </c>
    </row>
    <row r="72" spans="1:6">
      <c r="A72" s="110">
        <v>11404</v>
      </c>
      <c r="B72" s="54" t="s">
        <v>683</v>
      </c>
      <c r="C72" s="69">
        <f>_xlfn.XLOOKUP(A72,'NEW MODEL BY SES'!B:B,'NEW MODEL BY SES'!AC:AC,0,0)</f>
        <v>0</v>
      </c>
      <c r="D72" s="93">
        <f>_xlfn.XLOOKUP(A72,'NEW MODEL BY SES'!B:B,'NEW MODEL BY SES'!AD:AD,0,0)</f>
        <v>0</v>
      </c>
      <c r="F72" s="41" t="b">
        <f t="shared" si="1"/>
        <v>0</v>
      </c>
    </row>
    <row r="73" spans="1:6">
      <c r="A73" s="110">
        <v>11406</v>
      </c>
      <c r="B73" s="54" t="s">
        <v>579</v>
      </c>
      <c r="C73" s="69">
        <f>_xlfn.XLOOKUP(A73,'NEW MODEL BY SES'!B:B,'NEW MODEL BY SES'!AC:AC,0,0)</f>
        <v>0</v>
      </c>
      <c r="D73" s="93">
        <f>_xlfn.XLOOKUP(A73,'NEW MODEL BY SES'!B:B,'NEW MODEL BY SES'!AD:AD,0,0)</f>
        <v>0</v>
      </c>
      <c r="F73" s="41" t="b">
        <f t="shared" si="1"/>
        <v>0</v>
      </c>
    </row>
    <row r="74" spans="1:6">
      <c r="A74" s="110">
        <v>11409</v>
      </c>
      <c r="B74" s="54" t="s">
        <v>801</v>
      </c>
      <c r="C74" s="69">
        <f>_xlfn.XLOOKUP(A74,'NEW MODEL BY SES'!B:B,'NEW MODEL BY SES'!AC:AC,0,0)</f>
        <v>0</v>
      </c>
      <c r="D74" s="93">
        <f>_xlfn.XLOOKUP(A74,'NEW MODEL BY SES'!B:B,'NEW MODEL BY SES'!AD:AD,0,0)</f>
        <v>0</v>
      </c>
      <c r="F74" s="41" t="b">
        <f t="shared" si="1"/>
        <v>0</v>
      </c>
    </row>
    <row r="75" spans="1:6">
      <c r="A75" s="110">
        <v>11410</v>
      </c>
      <c r="B75" s="54" t="s">
        <v>802</v>
      </c>
      <c r="C75" s="69">
        <f>_xlfn.XLOOKUP(A75,'NEW MODEL BY SES'!B:B,'NEW MODEL BY SES'!AC:AC,0,0)</f>
        <v>0</v>
      </c>
      <c r="D75" s="93">
        <f>_xlfn.XLOOKUP(A75,'NEW MODEL BY SES'!B:B,'NEW MODEL BY SES'!AD:AD,0,0)</f>
        <v>0</v>
      </c>
      <c r="F75" s="41" t="b">
        <f t="shared" si="1"/>
        <v>0</v>
      </c>
    </row>
    <row r="76" spans="1:6">
      <c r="A76" s="110">
        <v>11412</v>
      </c>
      <c r="B76" s="54" t="s">
        <v>803</v>
      </c>
      <c r="C76" s="69">
        <f>_xlfn.XLOOKUP(A76,'NEW MODEL BY SES'!B:B,'NEW MODEL BY SES'!AC:AC,0,0)</f>
        <v>0</v>
      </c>
      <c r="D76" s="93">
        <f>_xlfn.XLOOKUP(A76,'NEW MODEL BY SES'!B:B,'NEW MODEL BY SES'!AD:AD,0,0)</f>
        <v>0</v>
      </c>
      <c r="F76" s="41" t="b">
        <f t="shared" si="1"/>
        <v>0</v>
      </c>
    </row>
    <row r="77" spans="1:6">
      <c r="A77" s="110">
        <v>11413</v>
      </c>
      <c r="B77" s="54" t="s">
        <v>804</v>
      </c>
      <c r="C77" s="69">
        <f>_xlfn.XLOOKUP(A77,'NEW MODEL BY SES'!B:B,'NEW MODEL BY SES'!AC:AC,0,0)</f>
        <v>0</v>
      </c>
      <c r="D77" s="93">
        <f>_xlfn.XLOOKUP(A77,'NEW MODEL BY SES'!B:B,'NEW MODEL BY SES'!AD:AD,0,0)</f>
        <v>0</v>
      </c>
      <c r="F77" s="41" t="b">
        <f t="shared" si="1"/>
        <v>0</v>
      </c>
    </row>
    <row r="78" spans="1:6">
      <c r="A78" s="110">
        <v>11415</v>
      </c>
      <c r="B78" s="54" t="s">
        <v>805</v>
      </c>
      <c r="C78" s="69">
        <f>_xlfn.XLOOKUP(A78,'NEW MODEL BY SES'!B:B,'NEW MODEL BY SES'!AC:AC,0,0)</f>
        <v>0</v>
      </c>
      <c r="D78" s="93">
        <f>_xlfn.XLOOKUP(A78,'NEW MODEL BY SES'!B:B,'NEW MODEL BY SES'!AD:AD,0,0)</f>
        <v>0</v>
      </c>
      <c r="F78" s="41" t="b">
        <f t="shared" si="1"/>
        <v>0</v>
      </c>
    </row>
    <row r="79" spans="1:6">
      <c r="A79" s="110">
        <v>11417</v>
      </c>
      <c r="B79" s="54" t="s">
        <v>693</v>
      </c>
      <c r="C79" s="69">
        <f>_xlfn.XLOOKUP(A79,'NEW MODEL BY SES'!B:B,'NEW MODEL BY SES'!AC:AC,0,0)</f>
        <v>0</v>
      </c>
      <c r="D79" s="93">
        <f>_xlfn.XLOOKUP(A79,'NEW MODEL BY SES'!B:B,'NEW MODEL BY SES'!AD:AD,0,0)</f>
        <v>0</v>
      </c>
      <c r="F79" s="41" t="b">
        <f t="shared" si="1"/>
        <v>0</v>
      </c>
    </row>
    <row r="80" spans="1:6">
      <c r="A80" s="110">
        <v>11420</v>
      </c>
      <c r="B80" s="54" t="s">
        <v>569</v>
      </c>
      <c r="C80" s="69">
        <f>_xlfn.XLOOKUP(A80,'NEW MODEL BY SES'!B:B,'NEW MODEL BY SES'!AC:AC,0,0)</f>
        <v>0</v>
      </c>
      <c r="D80" s="93">
        <f>_xlfn.XLOOKUP(A80,'NEW MODEL BY SES'!B:B,'NEW MODEL BY SES'!AD:AD,0,0)</f>
        <v>0</v>
      </c>
      <c r="F80" s="41" t="b">
        <f t="shared" si="1"/>
        <v>0</v>
      </c>
    </row>
    <row r="81" spans="1:6">
      <c r="A81" s="110">
        <v>11501</v>
      </c>
      <c r="B81" s="54" t="s">
        <v>585</v>
      </c>
      <c r="C81" s="69">
        <f>_xlfn.XLOOKUP(A81,'NEW MODEL BY SES'!B:B,'NEW MODEL BY SES'!AC:AC,0,0)</f>
        <v>0</v>
      </c>
      <c r="D81" s="93">
        <f>_xlfn.XLOOKUP(A81,'NEW MODEL BY SES'!B:B,'NEW MODEL BY SES'!AD:AD,0,0)</f>
        <v>0</v>
      </c>
      <c r="F81" s="41" t="b">
        <f t="shared" si="1"/>
        <v>0</v>
      </c>
    </row>
    <row r="82" spans="1:6">
      <c r="A82" s="110">
        <v>11502</v>
      </c>
      <c r="B82" s="54" t="s">
        <v>806</v>
      </c>
      <c r="C82" s="69">
        <f>_xlfn.XLOOKUP(A82,'NEW MODEL BY SES'!B:B,'NEW MODEL BY SES'!AC:AC,0,0)</f>
        <v>0</v>
      </c>
      <c r="D82" s="93">
        <f>_xlfn.XLOOKUP(A82,'NEW MODEL BY SES'!B:B,'NEW MODEL BY SES'!AD:AD,0,0)</f>
        <v>0</v>
      </c>
      <c r="F82" s="41" t="b">
        <f t="shared" si="1"/>
        <v>0</v>
      </c>
    </row>
    <row r="83" spans="1:6">
      <c r="A83" s="110">
        <v>11503</v>
      </c>
      <c r="B83" s="54" t="s">
        <v>807</v>
      </c>
      <c r="C83" s="69">
        <f>_xlfn.XLOOKUP(A83,'NEW MODEL BY SES'!B:B,'NEW MODEL BY SES'!AC:AC,0,0)</f>
        <v>0</v>
      </c>
      <c r="D83" s="93">
        <f>_xlfn.XLOOKUP(A83,'NEW MODEL BY SES'!B:B,'NEW MODEL BY SES'!AD:AD,0,0)</f>
        <v>0</v>
      </c>
      <c r="F83" s="41" t="b">
        <f t="shared" si="1"/>
        <v>0</v>
      </c>
    </row>
    <row r="84" spans="1:6">
      <c r="A84" s="110">
        <v>11507</v>
      </c>
      <c r="B84" s="54" t="s">
        <v>661</v>
      </c>
      <c r="C84" s="69">
        <f>_xlfn.XLOOKUP(A84,'NEW MODEL BY SES'!B:B,'NEW MODEL BY SES'!AC:AC,0,0)</f>
        <v>0</v>
      </c>
      <c r="D84" s="93">
        <f>_xlfn.XLOOKUP(A84,'NEW MODEL BY SES'!B:B,'NEW MODEL BY SES'!AD:AD,0,0)</f>
        <v>0</v>
      </c>
      <c r="F84" s="41" t="b">
        <f t="shared" si="1"/>
        <v>0</v>
      </c>
    </row>
    <row r="85" spans="1:6">
      <c r="A85" s="110">
        <v>11508</v>
      </c>
      <c r="B85" s="54" t="s">
        <v>615</v>
      </c>
      <c r="C85" s="69">
        <f>_xlfn.XLOOKUP(A85,'NEW MODEL BY SES'!B:B,'NEW MODEL BY SES'!AC:AC,0,0)</f>
        <v>0</v>
      </c>
      <c r="D85" s="93">
        <f>_xlfn.XLOOKUP(A85,'NEW MODEL BY SES'!B:B,'NEW MODEL BY SES'!AD:AD,0,0)</f>
        <v>0</v>
      </c>
      <c r="F85" s="41" t="b">
        <f t="shared" si="1"/>
        <v>0</v>
      </c>
    </row>
    <row r="86" spans="1:6">
      <c r="A86" s="110">
        <v>11509</v>
      </c>
      <c r="B86" s="54" t="s">
        <v>808</v>
      </c>
      <c r="C86" s="69">
        <f>_xlfn.XLOOKUP(A86,'NEW MODEL BY SES'!B:B,'NEW MODEL BY SES'!AC:AC,0,0)</f>
        <v>0</v>
      </c>
      <c r="D86" s="93">
        <f>_xlfn.XLOOKUP(A86,'NEW MODEL BY SES'!B:B,'NEW MODEL BY SES'!AD:AD,0,0)</f>
        <v>0</v>
      </c>
      <c r="F86" s="41" t="b">
        <f t="shared" si="1"/>
        <v>0</v>
      </c>
    </row>
    <row r="87" spans="1:6">
      <c r="A87" s="110">
        <v>11510</v>
      </c>
      <c r="B87" s="54" t="s">
        <v>711</v>
      </c>
      <c r="C87" s="69">
        <f>_xlfn.XLOOKUP(A87,'NEW MODEL BY SES'!B:B,'NEW MODEL BY SES'!AC:AC,0,0)</f>
        <v>0</v>
      </c>
      <c r="D87" s="93">
        <f>_xlfn.XLOOKUP(A87,'NEW MODEL BY SES'!B:B,'NEW MODEL BY SES'!AD:AD,0,0)</f>
        <v>0</v>
      </c>
      <c r="F87" s="41" t="b">
        <f t="shared" si="1"/>
        <v>0</v>
      </c>
    </row>
    <row r="88" spans="1:6">
      <c r="A88" s="110">
        <v>11601</v>
      </c>
      <c r="B88" s="54" t="s">
        <v>809</v>
      </c>
      <c r="C88" s="69">
        <f>_xlfn.XLOOKUP(A88,'NEW MODEL BY SES'!B:B,'NEW MODEL BY SES'!AC:AC,0,0)</f>
        <v>0</v>
      </c>
      <c r="D88" s="93">
        <f>_xlfn.XLOOKUP(A88,'NEW MODEL BY SES'!B:B,'NEW MODEL BY SES'!AD:AD,0,0)</f>
        <v>0</v>
      </c>
      <c r="F88" s="41" t="b">
        <f t="shared" si="1"/>
        <v>0</v>
      </c>
    </row>
    <row r="89" spans="1:6">
      <c r="A89" s="110">
        <v>11602</v>
      </c>
      <c r="B89" s="54" t="s">
        <v>810</v>
      </c>
      <c r="C89" s="69">
        <f>_xlfn.XLOOKUP(A89,'NEW MODEL BY SES'!B:B,'NEW MODEL BY SES'!AC:AC,0,0)</f>
        <v>0</v>
      </c>
      <c r="D89" s="93">
        <f>_xlfn.XLOOKUP(A89,'NEW MODEL BY SES'!B:B,'NEW MODEL BY SES'!AD:AD,0,0)</f>
        <v>0</v>
      </c>
      <c r="F89" s="41" t="b">
        <f t="shared" si="1"/>
        <v>0</v>
      </c>
    </row>
    <row r="90" spans="1:6">
      <c r="A90" s="110">
        <v>11606</v>
      </c>
      <c r="B90" s="54" t="s">
        <v>811</v>
      </c>
      <c r="C90" s="69">
        <f>_xlfn.XLOOKUP(A90,'NEW MODEL BY SES'!B:B,'NEW MODEL BY SES'!AC:AC,0,0)</f>
        <v>0</v>
      </c>
      <c r="D90" s="93">
        <f>_xlfn.XLOOKUP(A90,'NEW MODEL BY SES'!B:B,'NEW MODEL BY SES'!AD:AD,0,0)</f>
        <v>0</v>
      </c>
      <c r="F90" s="41" t="b">
        <f t="shared" si="1"/>
        <v>0</v>
      </c>
    </row>
    <row r="91" spans="1:6">
      <c r="A91" s="110">
        <v>11609</v>
      </c>
      <c r="B91" s="54" t="s">
        <v>710</v>
      </c>
      <c r="C91" s="69">
        <f>_xlfn.XLOOKUP(A91,'NEW MODEL BY SES'!B:B,'NEW MODEL BY SES'!AC:AC,0,0)</f>
        <v>0</v>
      </c>
      <c r="D91" s="93">
        <f>_xlfn.XLOOKUP(A91,'NEW MODEL BY SES'!B:B,'NEW MODEL BY SES'!AD:AD,0,0)</f>
        <v>0</v>
      </c>
      <c r="F91" s="41" t="b">
        <f t="shared" si="1"/>
        <v>0</v>
      </c>
    </row>
    <row r="92" spans="1:6">
      <c r="A92" s="110">
        <v>11611</v>
      </c>
      <c r="B92" s="54" t="s">
        <v>812</v>
      </c>
      <c r="C92" s="69">
        <f>_xlfn.XLOOKUP(A92,'NEW MODEL BY SES'!B:B,'NEW MODEL BY SES'!AC:AC,0,0)</f>
        <v>0</v>
      </c>
      <c r="D92" s="93">
        <f>_xlfn.XLOOKUP(A92,'NEW MODEL BY SES'!B:B,'NEW MODEL BY SES'!AD:AD,0,0)</f>
        <v>0</v>
      </c>
      <c r="F92" s="41" t="b">
        <f t="shared" si="1"/>
        <v>0</v>
      </c>
    </row>
    <row r="93" spans="1:6">
      <c r="A93" s="110">
        <v>11613</v>
      </c>
      <c r="B93" s="54" t="s">
        <v>737</v>
      </c>
      <c r="C93" s="69">
        <f>_xlfn.XLOOKUP(A93,'NEW MODEL BY SES'!B:B,'NEW MODEL BY SES'!AC:AC,0,0)</f>
        <v>0</v>
      </c>
      <c r="D93" s="93">
        <f>_xlfn.XLOOKUP(A93,'NEW MODEL BY SES'!B:B,'NEW MODEL BY SES'!AD:AD,0,0)</f>
        <v>0</v>
      </c>
      <c r="F93" s="41" t="b">
        <f t="shared" si="1"/>
        <v>0</v>
      </c>
    </row>
    <row r="94" spans="1:6">
      <c r="A94" s="110">
        <v>11616</v>
      </c>
      <c r="B94" s="54" t="s">
        <v>813</v>
      </c>
      <c r="C94" s="69">
        <f>_xlfn.XLOOKUP(A94,'NEW MODEL BY SES'!B:B,'NEW MODEL BY SES'!AC:AC,0,0)</f>
        <v>0</v>
      </c>
      <c r="D94" s="93">
        <f>_xlfn.XLOOKUP(A94,'NEW MODEL BY SES'!B:B,'NEW MODEL BY SES'!AD:AD,0,0)</f>
        <v>0</v>
      </c>
      <c r="F94" s="41" t="b">
        <f t="shared" si="1"/>
        <v>0</v>
      </c>
    </row>
    <row r="95" spans="1:6">
      <c r="A95" s="110">
        <v>11617</v>
      </c>
      <c r="B95" s="54" t="s">
        <v>814</v>
      </c>
      <c r="C95" s="69">
        <f>_xlfn.XLOOKUP(A95,'NEW MODEL BY SES'!B:B,'NEW MODEL BY SES'!AC:AC,0,0)</f>
        <v>0</v>
      </c>
      <c r="D95" s="93">
        <f>_xlfn.XLOOKUP(A95,'NEW MODEL BY SES'!B:B,'NEW MODEL BY SES'!AD:AD,0,0)</f>
        <v>0</v>
      </c>
      <c r="F95" s="41" t="b">
        <f t="shared" si="1"/>
        <v>0</v>
      </c>
    </row>
    <row r="96" spans="1:6">
      <c r="A96" s="110">
        <v>11618</v>
      </c>
      <c r="B96" s="54" t="s">
        <v>815</v>
      </c>
      <c r="C96" s="69">
        <f>_xlfn.XLOOKUP(A96,'NEW MODEL BY SES'!B:B,'NEW MODEL BY SES'!AC:AC,0,0)</f>
        <v>0</v>
      </c>
      <c r="D96" s="93">
        <f>_xlfn.XLOOKUP(A96,'NEW MODEL BY SES'!B:B,'NEW MODEL BY SES'!AD:AD,0,0)</f>
        <v>0</v>
      </c>
      <c r="F96" s="41" t="b">
        <f t="shared" si="1"/>
        <v>0</v>
      </c>
    </row>
    <row r="97" spans="1:6">
      <c r="A97" s="110">
        <v>11701</v>
      </c>
      <c r="B97" s="54" t="s">
        <v>540</v>
      </c>
      <c r="C97" s="69">
        <f>_xlfn.XLOOKUP(A97,'NEW MODEL BY SES'!B:B,'NEW MODEL BY SES'!AC:AC,0,0)</f>
        <v>0</v>
      </c>
      <c r="D97" s="93">
        <f>_xlfn.XLOOKUP(A97,'NEW MODEL BY SES'!B:B,'NEW MODEL BY SES'!AD:AD,0,0)</f>
        <v>0</v>
      </c>
      <c r="F97" s="41" t="b">
        <f t="shared" si="1"/>
        <v>0</v>
      </c>
    </row>
    <row r="98" spans="1:6">
      <c r="A98" s="110">
        <v>11705</v>
      </c>
      <c r="B98" s="54" t="s">
        <v>816</v>
      </c>
      <c r="C98" s="69">
        <f>_xlfn.XLOOKUP(A98,'NEW MODEL BY SES'!B:B,'NEW MODEL BY SES'!AC:AC,0,0)</f>
        <v>0</v>
      </c>
      <c r="D98" s="93">
        <f>_xlfn.XLOOKUP(A98,'NEW MODEL BY SES'!B:B,'NEW MODEL BY SES'!AD:AD,0,0)</f>
        <v>0</v>
      </c>
      <c r="F98" s="41" t="b">
        <f t="shared" si="1"/>
        <v>0</v>
      </c>
    </row>
    <row r="99" spans="1:6">
      <c r="A99" s="110">
        <v>11706</v>
      </c>
      <c r="B99" s="54" t="s">
        <v>558</v>
      </c>
      <c r="C99" s="69">
        <f>_xlfn.XLOOKUP(A99,'NEW MODEL BY SES'!B:B,'NEW MODEL BY SES'!AC:AC,0,0)</f>
        <v>0</v>
      </c>
      <c r="D99" s="93">
        <f>_xlfn.XLOOKUP(A99,'NEW MODEL BY SES'!B:B,'NEW MODEL BY SES'!AD:AD,0,0)</f>
        <v>0</v>
      </c>
      <c r="F99" s="41" t="b">
        <f t="shared" si="1"/>
        <v>0</v>
      </c>
    </row>
    <row r="100" spans="1:6">
      <c r="A100" s="110">
        <v>11708</v>
      </c>
      <c r="B100" s="54" t="s">
        <v>730</v>
      </c>
      <c r="C100" s="69">
        <f>_xlfn.XLOOKUP(A100,'NEW MODEL BY SES'!B:B,'NEW MODEL BY SES'!AC:AC,0,0)</f>
        <v>0</v>
      </c>
      <c r="D100" s="93">
        <f>_xlfn.XLOOKUP(A100,'NEW MODEL BY SES'!B:B,'NEW MODEL BY SES'!AD:AD,0,0)</f>
        <v>0</v>
      </c>
      <c r="F100" s="41" t="b">
        <f t="shared" si="1"/>
        <v>0</v>
      </c>
    </row>
    <row r="101" spans="1:6">
      <c r="A101" s="110">
        <v>11710</v>
      </c>
      <c r="B101" s="54" t="s">
        <v>722</v>
      </c>
      <c r="C101" s="69">
        <f>_xlfn.XLOOKUP(A101,'NEW MODEL BY SES'!B:B,'NEW MODEL BY SES'!AC:AC,0,0)</f>
        <v>0</v>
      </c>
      <c r="D101" s="93">
        <f>_xlfn.XLOOKUP(A101,'NEW MODEL BY SES'!B:B,'NEW MODEL BY SES'!AD:AD,0,0)</f>
        <v>0</v>
      </c>
      <c r="F101" s="41" t="b">
        <f t="shared" si="1"/>
        <v>0</v>
      </c>
    </row>
    <row r="102" spans="1:6">
      <c r="A102" s="110">
        <v>11802</v>
      </c>
      <c r="B102" s="54" t="s">
        <v>817</v>
      </c>
      <c r="C102" s="69">
        <f>_xlfn.XLOOKUP(A102,'NEW MODEL BY SES'!B:B,'NEW MODEL BY SES'!AC:AC,0,0)</f>
        <v>0</v>
      </c>
      <c r="D102" s="93">
        <f>_xlfn.XLOOKUP(A102,'NEW MODEL BY SES'!B:B,'NEW MODEL BY SES'!AD:AD,0,0)</f>
        <v>0</v>
      </c>
      <c r="F102" s="41" t="b">
        <f t="shared" si="1"/>
        <v>0</v>
      </c>
    </row>
    <row r="103" spans="1:6">
      <c r="A103" s="110">
        <v>11803</v>
      </c>
      <c r="B103" s="54" t="s">
        <v>818</v>
      </c>
      <c r="C103" s="69">
        <f>_xlfn.XLOOKUP(A103,'NEW MODEL BY SES'!B:B,'NEW MODEL BY SES'!AC:AC,0,0)</f>
        <v>0</v>
      </c>
      <c r="D103" s="93">
        <f>_xlfn.XLOOKUP(A103,'NEW MODEL BY SES'!B:B,'NEW MODEL BY SES'!AD:AD,0,0)</f>
        <v>0</v>
      </c>
      <c r="F103" s="41" t="b">
        <f t="shared" si="1"/>
        <v>0</v>
      </c>
    </row>
    <row r="104" spans="1:6">
      <c r="A104" s="110">
        <v>11807</v>
      </c>
      <c r="B104" s="54" t="s">
        <v>574</v>
      </c>
      <c r="C104" s="69">
        <f>_xlfn.XLOOKUP(A104,'NEW MODEL BY SES'!B:B,'NEW MODEL BY SES'!AC:AC,0,0)</f>
        <v>0</v>
      </c>
      <c r="D104" s="93">
        <f>_xlfn.XLOOKUP(A104,'NEW MODEL BY SES'!B:B,'NEW MODEL BY SES'!AD:AD,0,0)</f>
        <v>0</v>
      </c>
      <c r="F104" s="41" t="b">
        <f t="shared" si="1"/>
        <v>0</v>
      </c>
    </row>
    <row r="105" spans="1:6">
      <c r="A105" s="110">
        <v>11809</v>
      </c>
      <c r="B105" s="54" t="s">
        <v>819</v>
      </c>
      <c r="C105" s="69">
        <f>_xlfn.XLOOKUP(A105,'NEW MODEL BY SES'!B:B,'NEW MODEL BY SES'!AC:AC,0,0)</f>
        <v>0</v>
      </c>
      <c r="D105" s="93">
        <f>_xlfn.XLOOKUP(A105,'NEW MODEL BY SES'!B:B,'NEW MODEL BY SES'!AD:AD,0,0)</f>
        <v>0</v>
      </c>
      <c r="F105" s="41" t="b">
        <f t="shared" si="1"/>
        <v>0</v>
      </c>
    </row>
    <row r="106" spans="1:6">
      <c r="A106" s="110">
        <v>11811</v>
      </c>
      <c r="B106" s="54" t="s">
        <v>682</v>
      </c>
      <c r="C106" s="69">
        <f>_xlfn.XLOOKUP(A106,'NEW MODEL BY SES'!B:B,'NEW MODEL BY SES'!AC:AC,0,0)</f>
        <v>0</v>
      </c>
      <c r="D106" s="93">
        <f>_xlfn.XLOOKUP(A106,'NEW MODEL BY SES'!B:B,'NEW MODEL BY SES'!AD:AD,0,0)</f>
        <v>0</v>
      </c>
      <c r="F106" s="41" t="b">
        <f t="shared" si="1"/>
        <v>0</v>
      </c>
    </row>
    <row r="107" spans="1:6">
      <c r="A107" s="110">
        <v>11812</v>
      </c>
      <c r="B107" s="54" t="s">
        <v>820</v>
      </c>
      <c r="C107" s="69">
        <f>_xlfn.XLOOKUP(A107,'NEW MODEL BY SES'!B:B,'NEW MODEL BY SES'!AC:AC,0,0)</f>
        <v>0</v>
      </c>
      <c r="D107" s="93">
        <f>_xlfn.XLOOKUP(A107,'NEW MODEL BY SES'!B:B,'NEW MODEL BY SES'!AD:AD,0,0)</f>
        <v>0</v>
      </c>
      <c r="F107" s="41" t="b">
        <f t="shared" si="1"/>
        <v>0</v>
      </c>
    </row>
    <row r="108" spans="1:6">
      <c r="A108" s="110">
        <v>11814</v>
      </c>
      <c r="B108" s="54" t="s">
        <v>645</v>
      </c>
      <c r="C108" s="69">
        <f>_xlfn.XLOOKUP(A108,'NEW MODEL BY SES'!B:B,'NEW MODEL BY SES'!AC:AC,0,0)</f>
        <v>0</v>
      </c>
      <c r="D108" s="93">
        <f>_xlfn.XLOOKUP(A108,'NEW MODEL BY SES'!B:B,'NEW MODEL BY SES'!AD:AD,0,0)</f>
        <v>0</v>
      </c>
      <c r="F108" s="41" t="b">
        <f t="shared" si="1"/>
        <v>0</v>
      </c>
    </row>
    <row r="109" spans="1:6">
      <c r="A109" s="110">
        <v>11901</v>
      </c>
      <c r="B109" s="54" t="s">
        <v>821</v>
      </c>
      <c r="C109" s="69">
        <f>_xlfn.XLOOKUP(A109,'NEW MODEL BY SES'!B:B,'NEW MODEL BY SES'!AC:AC,0,0)</f>
        <v>0</v>
      </c>
      <c r="D109" s="93">
        <f>_xlfn.XLOOKUP(A109,'NEW MODEL BY SES'!B:B,'NEW MODEL BY SES'!AD:AD,0,0)</f>
        <v>0</v>
      </c>
      <c r="F109" s="41" t="b">
        <f t="shared" si="1"/>
        <v>0</v>
      </c>
    </row>
    <row r="110" spans="1:6">
      <c r="A110" s="110">
        <v>11902</v>
      </c>
      <c r="B110" s="54" t="s">
        <v>822</v>
      </c>
      <c r="C110" s="69">
        <f>_xlfn.XLOOKUP(A110,'NEW MODEL BY SES'!B:B,'NEW MODEL BY SES'!AC:AC,0,0)</f>
        <v>0</v>
      </c>
      <c r="D110" s="93">
        <f>_xlfn.XLOOKUP(A110,'NEW MODEL BY SES'!B:B,'NEW MODEL BY SES'!AD:AD,0,0)</f>
        <v>0</v>
      </c>
      <c r="F110" s="41" t="b">
        <f t="shared" si="1"/>
        <v>0</v>
      </c>
    </row>
    <row r="111" spans="1:6">
      <c r="A111" s="110">
        <v>11904</v>
      </c>
      <c r="B111" s="54" t="s">
        <v>568</v>
      </c>
      <c r="C111" s="69">
        <f>_xlfn.XLOOKUP(A111,'NEW MODEL BY SES'!B:B,'NEW MODEL BY SES'!AC:AC,0,0)</f>
        <v>0</v>
      </c>
      <c r="D111" s="93">
        <f>_xlfn.XLOOKUP(A111,'NEW MODEL BY SES'!B:B,'NEW MODEL BY SES'!AD:AD,0,0)</f>
        <v>0</v>
      </c>
      <c r="F111" s="41" t="b">
        <f t="shared" si="1"/>
        <v>0</v>
      </c>
    </row>
    <row r="112" spans="1:6">
      <c r="A112" s="110">
        <v>11906</v>
      </c>
      <c r="B112" s="54" t="s">
        <v>823</v>
      </c>
      <c r="C112" s="69">
        <f>_xlfn.XLOOKUP(A112,'NEW MODEL BY SES'!B:B,'NEW MODEL BY SES'!AC:AC,0,0)</f>
        <v>0</v>
      </c>
      <c r="D112" s="93">
        <f>_xlfn.XLOOKUP(A112,'NEW MODEL BY SES'!B:B,'NEW MODEL BY SES'!AD:AD,0,0)</f>
        <v>0</v>
      </c>
      <c r="F112" s="41" t="b">
        <f t="shared" si="1"/>
        <v>0</v>
      </c>
    </row>
    <row r="113" spans="1:6">
      <c r="A113" s="110">
        <v>11909</v>
      </c>
      <c r="B113" s="54" t="s">
        <v>824</v>
      </c>
      <c r="C113" s="69">
        <f>_xlfn.XLOOKUP(A113,'NEW MODEL BY SES'!B:B,'NEW MODEL BY SES'!AC:AC,0,0)</f>
        <v>0</v>
      </c>
      <c r="D113" s="93">
        <f>_xlfn.XLOOKUP(A113,'NEW MODEL BY SES'!B:B,'NEW MODEL BY SES'!AD:AD,0,0)</f>
        <v>0</v>
      </c>
      <c r="F113" s="41" t="b">
        <f t="shared" si="1"/>
        <v>0</v>
      </c>
    </row>
    <row r="114" spans="1:6">
      <c r="A114" s="110">
        <v>11911</v>
      </c>
      <c r="B114" s="54" t="s">
        <v>627</v>
      </c>
      <c r="C114" s="69">
        <f>_xlfn.XLOOKUP(A114,'NEW MODEL BY SES'!B:B,'NEW MODEL BY SES'!AC:AC,0,0)</f>
        <v>0</v>
      </c>
      <c r="D114" s="93">
        <f>_xlfn.XLOOKUP(A114,'NEW MODEL BY SES'!B:B,'NEW MODEL BY SES'!AD:AD,0,0)</f>
        <v>0</v>
      </c>
      <c r="F114" s="41" t="b">
        <f t="shared" si="1"/>
        <v>0</v>
      </c>
    </row>
    <row r="115" spans="1:6">
      <c r="A115" s="110">
        <v>11912</v>
      </c>
      <c r="B115" s="54" t="s">
        <v>825</v>
      </c>
      <c r="C115" s="69">
        <f>_xlfn.XLOOKUP(A115,'NEW MODEL BY SES'!B:B,'NEW MODEL BY SES'!AC:AC,0,0)</f>
        <v>0</v>
      </c>
      <c r="D115" s="93">
        <f>_xlfn.XLOOKUP(A115,'NEW MODEL BY SES'!B:B,'NEW MODEL BY SES'!AD:AD,0,0)</f>
        <v>0</v>
      </c>
      <c r="F115" s="41" t="b">
        <f t="shared" si="1"/>
        <v>0</v>
      </c>
    </row>
    <row r="116" spans="1:6">
      <c r="A116" s="110">
        <v>20205</v>
      </c>
      <c r="B116" s="54" t="s">
        <v>826</v>
      </c>
      <c r="C116" s="69">
        <f>_xlfn.XLOOKUP(A116,'NEW MODEL BY SES'!B:B,'NEW MODEL BY SES'!AC:AC,0,0)</f>
        <v>0</v>
      </c>
      <c r="D116" s="93">
        <f>_xlfn.XLOOKUP(A116,'NEW MODEL BY SES'!B:B,'NEW MODEL BY SES'!AD:AD,0,0)</f>
        <v>0</v>
      </c>
      <c r="F116" s="41" t="b">
        <f t="shared" si="1"/>
        <v>0</v>
      </c>
    </row>
    <row r="117" spans="1:6">
      <c r="A117" s="110">
        <v>20210</v>
      </c>
      <c r="B117" s="54" t="s">
        <v>827</v>
      </c>
      <c r="C117" s="69">
        <f>_xlfn.XLOOKUP(A117,'NEW MODEL BY SES'!B:B,'NEW MODEL BY SES'!AC:AC,0,0)</f>
        <v>0</v>
      </c>
      <c r="D117" s="93">
        <f>_xlfn.XLOOKUP(A117,'NEW MODEL BY SES'!B:B,'NEW MODEL BY SES'!AD:AD,0,0)</f>
        <v>0</v>
      </c>
      <c r="F117" s="41" t="b">
        <f t="shared" si="1"/>
        <v>0</v>
      </c>
    </row>
    <row r="118" spans="1:6">
      <c r="A118" s="110">
        <v>20212</v>
      </c>
      <c r="B118" s="54" t="s">
        <v>740</v>
      </c>
      <c r="C118" s="69">
        <f>_xlfn.XLOOKUP(A118,'NEW MODEL BY SES'!B:B,'NEW MODEL BY SES'!AC:AC,0,0)</f>
        <v>0</v>
      </c>
      <c r="D118" s="93">
        <f>_xlfn.XLOOKUP(A118,'NEW MODEL BY SES'!B:B,'NEW MODEL BY SES'!AD:AD,0,0)</f>
        <v>0</v>
      </c>
      <c r="F118" s="41" t="b">
        <f t="shared" si="1"/>
        <v>0</v>
      </c>
    </row>
    <row r="119" spans="1:6">
      <c r="A119" s="110">
        <v>20214</v>
      </c>
      <c r="B119" s="54" t="s">
        <v>643</v>
      </c>
      <c r="C119" s="69">
        <f>_xlfn.XLOOKUP(A119,'NEW MODEL BY SES'!B:B,'NEW MODEL BY SES'!AC:AC,0,0)</f>
        <v>0</v>
      </c>
      <c r="D119" s="93">
        <f>_xlfn.XLOOKUP(A119,'NEW MODEL BY SES'!B:B,'NEW MODEL BY SES'!AD:AD,0,0)</f>
        <v>0</v>
      </c>
      <c r="F119" s="41" t="b">
        <f t="shared" si="1"/>
        <v>0</v>
      </c>
    </row>
    <row r="120" spans="1:6">
      <c r="A120" s="110">
        <v>20215</v>
      </c>
      <c r="B120" s="54" t="s">
        <v>828</v>
      </c>
      <c r="C120" s="69">
        <f>_xlfn.XLOOKUP(A120,'NEW MODEL BY SES'!B:B,'NEW MODEL BY SES'!AC:AC,0,0)</f>
        <v>0</v>
      </c>
      <c r="D120" s="93">
        <f>_xlfn.XLOOKUP(A120,'NEW MODEL BY SES'!B:B,'NEW MODEL BY SES'!AD:AD,0,0)</f>
        <v>0</v>
      </c>
      <c r="F120" s="41" t="b">
        <f t="shared" si="1"/>
        <v>0</v>
      </c>
    </row>
    <row r="121" spans="1:6">
      <c r="A121" s="110">
        <v>20216</v>
      </c>
      <c r="B121" s="54" t="s">
        <v>543</v>
      </c>
      <c r="C121" s="69">
        <f>_xlfn.XLOOKUP(A121,'NEW MODEL BY SES'!B:B,'NEW MODEL BY SES'!AC:AC,0,0)</f>
        <v>0</v>
      </c>
      <c r="D121" s="93">
        <f>_xlfn.XLOOKUP(A121,'NEW MODEL BY SES'!B:B,'NEW MODEL BY SES'!AD:AD,0,0)</f>
        <v>0</v>
      </c>
      <c r="F121" s="41" t="b">
        <f t="shared" si="1"/>
        <v>0</v>
      </c>
    </row>
    <row r="122" spans="1:6">
      <c r="A122" s="110">
        <v>20401</v>
      </c>
      <c r="B122" s="54" t="s">
        <v>829</v>
      </c>
      <c r="C122" s="69">
        <f>_xlfn.XLOOKUP(A122,'NEW MODEL BY SES'!B:B,'NEW MODEL BY SES'!AC:AC,0,0)</f>
        <v>0</v>
      </c>
      <c r="D122" s="93">
        <f>_xlfn.XLOOKUP(A122,'NEW MODEL BY SES'!B:B,'NEW MODEL BY SES'!AD:AD,0,0)</f>
        <v>0</v>
      </c>
      <c r="F122" s="41" t="b">
        <f t="shared" si="1"/>
        <v>0</v>
      </c>
    </row>
    <row r="123" spans="1:6">
      <c r="A123" s="110">
        <v>20404</v>
      </c>
      <c r="B123" s="54" t="s">
        <v>591</v>
      </c>
      <c r="C123" s="69">
        <f>_xlfn.XLOOKUP(A123,'NEW MODEL BY SES'!B:B,'NEW MODEL BY SES'!AC:AC,0,0)</f>
        <v>0</v>
      </c>
      <c r="D123" s="93">
        <f>_xlfn.XLOOKUP(A123,'NEW MODEL BY SES'!B:B,'NEW MODEL BY SES'!AD:AD,0,0)</f>
        <v>0</v>
      </c>
      <c r="F123" s="41" t="b">
        <f t="shared" si="1"/>
        <v>0</v>
      </c>
    </row>
    <row r="124" spans="1:6">
      <c r="A124" s="110">
        <v>20406</v>
      </c>
      <c r="B124" s="54" t="s">
        <v>830</v>
      </c>
      <c r="C124" s="69">
        <f>_xlfn.XLOOKUP(A124,'NEW MODEL BY SES'!B:B,'NEW MODEL BY SES'!AC:AC,0,0)</f>
        <v>0</v>
      </c>
      <c r="D124" s="93">
        <f>_xlfn.XLOOKUP(A124,'NEW MODEL BY SES'!B:B,'NEW MODEL BY SES'!AD:AD,0,0)</f>
        <v>0</v>
      </c>
      <c r="F124" s="41" t="b">
        <f t="shared" si="1"/>
        <v>0</v>
      </c>
    </row>
    <row r="125" spans="1:6">
      <c r="A125" s="110">
        <v>20408</v>
      </c>
      <c r="B125" s="54" t="s">
        <v>681</v>
      </c>
      <c r="C125" s="69">
        <f>_xlfn.XLOOKUP(A125,'NEW MODEL BY SES'!B:B,'NEW MODEL BY SES'!AC:AC,0,0)</f>
        <v>0</v>
      </c>
      <c r="D125" s="93">
        <f>_xlfn.XLOOKUP(A125,'NEW MODEL BY SES'!B:B,'NEW MODEL BY SES'!AD:AD,0,0)</f>
        <v>0</v>
      </c>
      <c r="F125" s="41" t="b">
        <f t="shared" si="1"/>
        <v>0</v>
      </c>
    </row>
    <row r="126" spans="1:6">
      <c r="A126" s="110">
        <v>20416</v>
      </c>
      <c r="B126" s="54" t="s">
        <v>721</v>
      </c>
      <c r="C126" s="69">
        <f>_xlfn.XLOOKUP(A126,'NEW MODEL BY SES'!B:B,'NEW MODEL BY SES'!AC:AC,0,0)</f>
        <v>0</v>
      </c>
      <c r="D126" s="93">
        <f>_xlfn.XLOOKUP(A126,'NEW MODEL BY SES'!B:B,'NEW MODEL BY SES'!AD:AD,0,0)</f>
        <v>0</v>
      </c>
      <c r="F126" s="41" t="b">
        <f t="shared" si="1"/>
        <v>0</v>
      </c>
    </row>
    <row r="127" spans="1:6">
      <c r="A127" s="110">
        <v>20418</v>
      </c>
      <c r="B127" s="54" t="s">
        <v>831</v>
      </c>
      <c r="C127" s="69">
        <f>_xlfn.XLOOKUP(A127,'NEW MODEL BY SES'!B:B,'NEW MODEL BY SES'!AC:AC,0,0)</f>
        <v>0</v>
      </c>
      <c r="D127" s="93">
        <f>_xlfn.XLOOKUP(A127,'NEW MODEL BY SES'!B:B,'NEW MODEL BY SES'!AD:AD,0,0)</f>
        <v>0</v>
      </c>
      <c r="F127" s="41" t="b">
        <f t="shared" si="1"/>
        <v>0</v>
      </c>
    </row>
    <row r="128" spans="1:6">
      <c r="A128" s="110">
        <v>20421</v>
      </c>
      <c r="B128" s="54" t="s">
        <v>832</v>
      </c>
      <c r="C128" s="69">
        <f>_xlfn.XLOOKUP(A128,'NEW MODEL BY SES'!B:B,'NEW MODEL BY SES'!AC:AC,0,0)</f>
        <v>0</v>
      </c>
      <c r="D128" s="93">
        <f>_xlfn.XLOOKUP(A128,'NEW MODEL BY SES'!B:B,'NEW MODEL BY SES'!AD:AD,0,0)</f>
        <v>0</v>
      </c>
      <c r="F128" s="41" t="b">
        <f t="shared" si="1"/>
        <v>0</v>
      </c>
    </row>
    <row r="129" spans="1:6">
      <c r="A129" s="110">
        <v>20424</v>
      </c>
      <c r="B129" s="54" t="s">
        <v>632</v>
      </c>
      <c r="C129" s="69">
        <f>_xlfn.XLOOKUP(A129,'NEW MODEL BY SES'!B:B,'NEW MODEL BY SES'!AC:AC,0,0)</f>
        <v>0</v>
      </c>
      <c r="D129" s="93">
        <f>_xlfn.XLOOKUP(A129,'NEW MODEL BY SES'!B:B,'NEW MODEL BY SES'!AD:AD,0,0)</f>
        <v>0</v>
      </c>
      <c r="F129" s="41" t="b">
        <f t="shared" si="1"/>
        <v>0</v>
      </c>
    </row>
    <row r="130" spans="1:6">
      <c r="A130" s="110">
        <v>20429</v>
      </c>
      <c r="B130" s="54" t="s">
        <v>833</v>
      </c>
      <c r="C130" s="69">
        <f>_xlfn.XLOOKUP(A130,'NEW MODEL BY SES'!B:B,'NEW MODEL BY SES'!AC:AC,0,0)</f>
        <v>0</v>
      </c>
      <c r="D130" s="93">
        <f>_xlfn.XLOOKUP(A130,'NEW MODEL BY SES'!B:B,'NEW MODEL BY SES'!AD:AD,0,0)</f>
        <v>0</v>
      </c>
      <c r="F130" s="41" t="b">
        <f t="shared" si="1"/>
        <v>0</v>
      </c>
    </row>
    <row r="131" spans="1:6">
      <c r="A131" s="110">
        <v>20431</v>
      </c>
      <c r="B131" s="54" t="s">
        <v>834</v>
      </c>
      <c r="C131" s="69">
        <f>_xlfn.XLOOKUP(A131,'NEW MODEL BY SES'!B:B,'NEW MODEL BY SES'!AC:AC,0,0)</f>
        <v>0</v>
      </c>
      <c r="D131" s="93">
        <f>_xlfn.XLOOKUP(A131,'NEW MODEL BY SES'!B:B,'NEW MODEL BY SES'!AD:AD,0,0)</f>
        <v>0</v>
      </c>
      <c r="F131" s="41" t="b">
        <f t="shared" ref="F131:F194" si="2">IF(C131="I",300,IF(C131="II",200,IF(C131="III",100,IF(C131="IV",50))))</f>
        <v>0</v>
      </c>
    </row>
    <row r="132" spans="1:6">
      <c r="A132" s="110">
        <v>20433</v>
      </c>
      <c r="B132" s="54" t="s">
        <v>621</v>
      </c>
      <c r="C132" s="69">
        <f>_xlfn.XLOOKUP(A132,'NEW MODEL BY SES'!B:B,'NEW MODEL BY SES'!AC:AC,0,0)</f>
        <v>0</v>
      </c>
      <c r="D132" s="93">
        <f>_xlfn.XLOOKUP(A132,'NEW MODEL BY SES'!B:B,'NEW MODEL BY SES'!AD:AD,0,0)</f>
        <v>0</v>
      </c>
      <c r="F132" s="41" t="b">
        <f t="shared" si="2"/>
        <v>0</v>
      </c>
    </row>
    <row r="133" spans="1:6">
      <c r="A133" s="110">
        <v>20435</v>
      </c>
      <c r="B133" s="54" t="s">
        <v>835</v>
      </c>
      <c r="C133" s="69">
        <f>_xlfn.XLOOKUP(A133,'NEW MODEL BY SES'!B:B,'NEW MODEL BY SES'!AC:AC,0,0)</f>
        <v>0</v>
      </c>
      <c r="D133" s="93">
        <f>_xlfn.XLOOKUP(A133,'NEW MODEL BY SES'!B:B,'NEW MODEL BY SES'!AD:AD,0,0)</f>
        <v>0</v>
      </c>
      <c r="F133" s="41" t="b">
        <f t="shared" si="2"/>
        <v>0</v>
      </c>
    </row>
    <row r="134" spans="1:6">
      <c r="A134" s="110">
        <v>20503</v>
      </c>
      <c r="B134" s="54" t="s">
        <v>713</v>
      </c>
      <c r="C134" s="69">
        <f>_xlfn.XLOOKUP(A134,'NEW MODEL BY SES'!B:B,'NEW MODEL BY SES'!AC:AC,0,0)</f>
        <v>0</v>
      </c>
      <c r="D134" s="93">
        <f>_xlfn.XLOOKUP(A134,'NEW MODEL BY SES'!B:B,'NEW MODEL BY SES'!AD:AD,0,0)</f>
        <v>0</v>
      </c>
      <c r="F134" s="41" t="b">
        <f t="shared" si="2"/>
        <v>0</v>
      </c>
    </row>
    <row r="135" spans="1:6">
      <c r="A135" s="110">
        <v>20511</v>
      </c>
      <c r="B135" s="54" t="s">
        <v>718</v>
      </c>
      <c r="C135" s="69">
        <f>_xlfn.XLOOKUP(A135,'NEW MODEL BY SES'!B:B,'NEW MODEL BY SES'!AC:AC,0,0)</f>
        <v>0</v>
      </c>
      <c r="D135" s="93">
        <f>_xlfn.XLOOKUP(A135,'NEW MODEL BY SES'!B:B,'NEW MODEL BY SES'!AD:AD,0,0)</f>
        <v>0</v>
      </c>
      <c r="F135" s="41" t="b">
        <f t="shared" si="2"/>
        <v>0</v>
      </c>
    </row>
    <row r="136" spans="1:6">
      <c r="A136" s="110">
        <v>20513</v>
      </c>
      <c r="B136" s="54" t="s">
        <v>724</v>
      </c>
      <c r="C136" s="69">
        <f>_xlfn.XLOOKUP(A136,'NEW MODEL BY SES'!B:B,'NEW MODEL BY SES'!AC:AC,0,0)</f>
        <v>0</v>
      </c>
      <c r="D136" s="93">
        <f>_xlfn.XLOOKUP(A136,'NEW MODEL BY SES'!B:B,'NEW MODEL BY SES'!AD:AD,0,0)</f>
        <v>0</v>
      </c>
      <c r="F136" s="41" t="b">
        <f t="shared" si="2"/>
        <v>0</v>
      </c>
    </row>
    <row r="137" spans="1:6">
      <c r="A137" s="110">
        <v>20514</v>
      </c>
      <c r="B137" s="54" t="s">
        <v>735</v>
      </c>
      <c r="C137" s="69">
        <f>_xlfn.XLOOKUP(A137,'NEW MODEL BY SES'!B:B,'NEW MODEL BY SES'!AC:AC,0,0)</f>
        <v>0</v>
      </c>
      <c r="D137" s="93">
        <f>_xlfn.XLOOKUP(A137,'NEW MODEL BY SES'!B:B,'NEW MODEL BY SES'!AD:AD,0,0)</f>
        <v>0</v>
      </c>
      <c r="F137" s="41" t="b">
        <f t="shared" si="2"/>
        <v>0</v>
      </c>
    </row>
    <row r="138" spans="1:6">
      <c r="A138" s="110">
        <v>20517</v>
      </c>
      <c r="B138" s="54" t="s">
        <v>836</v>
      </c>
      <c r="C138" s="69">
        <f>_xlfn.XLOOKUP(A138,'NEW MODEL BY SES'!B:B,'NEW MODEL BY SES'!AC:AC,0,0)</f>
        <v>0</v>
      </c>
      <c r="D138" s="93">
        <f>_xlfn.XLOOKUP(A138,'NEW MODEL BY SES'!B:B,'NEW MODEL BY SES'!AD:AD,0,0)</f>
        <v>0</v>
      </c>
      <c r="F138" s="41" t="b">
        <f t="shared" si="2"/>
        <v>0</v>
      </c>
    </row>
    <row r="139" spans="1:6">
      <c r="A139" s="110">
        <v>20519</v>
      </c>
      <c r="B139" s="54" t="s">
        <v>837</v>
      </c>
      <c r="C139" s="69">
        <f>_xlfn.XLOOKUP(A139,'NEW MODEL BY SES'!B:B,'NEW MODEL BY SES'!AC:AC,0,0)</f>
        <v>0</v>
      </c>
      <c r="D139" s="93">
        <f>_xlfn.XLOOKUP(A139,'NEW MODEL BY SES'!B:B,'NEW MODEL BY SES'!AD:AD,0,0)</f>
        <v>0</v>
      </c>
      <c r="F139" s="41" t="b">
        <f t="shared" si="2"/>
        <v>0</v>
      </c>
    </row>
    <row r="140" spans="1:6">
      <c r="A140" s="110">
        <v>20520</v>
      </c>
      <c r="B140" s="54" t="s">
        <v>838</v>
      </c>
      <c r="C140" s="69">
        <f>_xlfn.XLOOKUP(A140,'NEW MODEL BY SES'!B:B,'NEW MODEL BY SES'!AC:AC,0,0)</f>
        <v>0</v>
      </c>
      <c r="D140" s="93">
        <f>_xlfn.XLOOKUP(A140,'NEW MODEL BY SES'!B:B,'NEW MODEL BY SES'!AD:AD,0,0)</f>
        <v>0</v>
      </c>
      <c r="F140" s="41" t="b">
        <f t="shared" si="2"/>
        <v>0</v>
      </c>
    </row>
    <row r="141" spans="1:6">
      <c r="A141" s="110">
        <v>20523</v>
      </c>
      <c r="B141" s="54" t="s">
        <v>839</v>
      </c>
      <c r="C141" s="69">
        <f>_xlfn.XLOOKUP(A141,'NEW MODEL BY SES'!B:B,'NEW MODEL BY SES'!AC:AC,0,0)</f>
        <v>0</v>
      </c>
      <c r="D141" s="93">
        <f>_xlfn.XLOOKUP(A141,'NEW MODEL BY SES'!B:B,'NEW MODEL BY SES'!AD:AD,0,0)</f>
        <v>0</v>
      </c>
      <c r="F141" s="41" t="b">
        <f t="shared" si="2"/>
        <v>0</v>
      </c>
    </row>
    <row r="142" spans="1:6">
      <c r="A142" s="110">
        <v>20526</v>
      </c>
      <c r="B142" s="54" t="s">
        <v>840</v>
      </c>
      <c r="C142" s="69">
        <f>_xlfn.XLOOKUP(A142,'NEW MODEL BY SES'!B:B,'NEW MODEL BY SES'!AC:AC,0,0)</f>
        <v>0</v>
      </c>
      <c r="D142" s="93">
        <f>_xlfn.XLOOKUP(A142,'NEW MODEL BY SES'!B:B,'NEW MODEL BY SES'!AD:AD,0,0)</f>
        <v>0</v>
      </c>
      <c r="F142" s="41" t="b">
        <f t="shared" si="2"/>
        <v>0</v>
      </c>
    </row>
    <row r="143" spans="1:6">
      <c r="A143" s="110">
        <v>20528</v>
      </c>
      <c r="B143" s="54" t="s">
        <v>592</v>
      </c>
      <c r="C143" s="69">
        <f>_xlfn.XLOOKUP(A143,'NEW MODEL BY SES'!B:B,'NEW MODEL BY SES'!AC:AC,0,0)</f>
        <v>0</v>
      </c>
      <c r="D143" s="93">
        <f>_xlfn.XLOOKUP(A143,'NEW MODEL BY SES'!B:B,'NEW MODEL BY SES'!AD:AD,0,0)</f>
        <v>0</v>
      </c>
      <c r="F143" s="41" t="b">
        <f t="shared" si="2"/>
        <v>0</v>
      </c>
    </row>
    <row r="144" spans="1:6">
      <c r="A144" s="110">
        <v>20536</v>
      </c>
      <c r="B144" s="54" t="s">
        <v>728</v>
      </c>
      <c r="C144" s="69">
        <f>_xlfn.XLOOKUP(A144,'NEW MODEL BY SES'!B:B,'NEW MODEL BY SES'!AC:AC,0,0)</f>
        <v>0</v>
      </c>
      <c r="D144" s="93">
        <f>_xlfn.XLOOKUP(A144,'NEW MODEL BY SES'!B:B,'NEW MODEL BY SES'!AD:AD,0,0)</f>
        <v>0</v>
      </c>
      <c r="F144" s="41" t="b">
        <f t="shared" si="2"/>
        <v>0</v>
      </c>
    </row>
    <row r="145" spans="1:6">
      <c r="A145" s="110">
        <v>20541</v>
      </c>
      <c r="B145" s="54" t="s">
        <v>841</v>
      </c>
      <c r="C145" s="69">
        <f>_xlfn.XLOOKUP(A145,'NEW MODEL BY SES'!B:B,'NEW MODEL BY SES'!AC:AC,0,0)</f>
        <v>0</v>
      </c>
      <c r="D145" s="93">
        <f>_xlfn.XLOOKUP(A145,'NEW MODEL BY SES'!B:B,'NEW MODEL BY SES'!AD:AD,0,0)</f>
        <v>0</v>
      </c>
      <c r="F145" s="41" t="b">
        <f t="shared" si="2"/>
        <v>0</v>
      </c>
    </row>
    <row r="146" spans="1:6">
      <c r="A146" s="110">
        <v>20902</v>
      </c>
      <c r="B146" s="54" t="s">
        <v>842</v>
      </c>
      <c r="C146" s="69">
        <f>_xlfn.XLOOKUP(A146,'NEW MODEL BY SES'!B:B,'NEW MODEL BY SES'!AC:AC,0,0)</f>
        <v>0</v>
      </c>
      <c r="D146" s="93">
        <f>_xlfn.XLOOKUP(A146,'NEW MODEL BY SES'!B:B,'NEW MODEL BY SES'!AD:AD,0,0)</f>
        <v>0</v>
      </c>
      <c r="F146" s="41" t="b">
        <f t="shared" si="2"/>
        <v>0</v>
      </c>
    </row>
    <row r="147" spans="1:6">
      <c r="A147" s="110">
        <v>20903</v>
      </c>
      <c r="B147" s="54" t="s">
        <v>843</v>
      </c>
      <c r="C147" s="69">
        <f>_xlfn.XLOOKUP(A147,'NEW MODEL BY SES'!B:B,'NEW MODEL BY SES'!AC:AC,0,0)</f>
        <v>0</v>
      </c>
      <c r="D147" s="93">
        <f>_xlfn.XLOOKUP(A147,'NEW MODEL BY SES'!B:B,'NEW MODEL BY SES'!AD:AD,0,0)</f>
        <v>0</v>
      </c>
      <c r="F147" s="41" t="b">
        <f t="shared" si="2"/>
        <v>0</v>
      </c>
    </row>
    <row r="148" spans="1:6">
      <c r="A148" s="110">
        <v>20905</v>
      </c>
      <c r="B148" s="54" t="s">
        <v>844</v>
      </c>
      <c r="C148" s="69">
        <f>_xlfn.XLOOKUP(A148,'NEW MODEL BY SES'!B:B,'NEW MODEL BY SES'!AC:AC,0,0)</f>
        <v>0</v>
      </c>
      <c r="D148" s="93">
        <f>_xlfn.XLOOKUP(A148,'NEW MODEL BY SES'!B:B,'NEW MODEL BY SES'!AD:AD,0,0)</f>
        <v>0</v>
      </c>
      <c r="F148" s="41" t="b">
        <f t="shared" si="2"/>
        <v>0</v>
      </c>
    </row>
    <row r="149" spans="1:6">
      <c r="A149" s="110">
        <v>20906</v>
      </c>
      <c r="B149" s="54" t="s">
        <v>845</v>
      </c>
      <c r="C149" s="69">
        <f>_xlfn.XLOOKUP(A149,'NEW MODEL BY SES'!B:B,'NEW MODEL BY SES'!AC:AC,0,0)</f>
        <v>0</v>
      </c>
      <c r="D149" s="93">
        <f>_xlfn.XLOOKUP(A149,'NEW MODEL BY SES'!B:B,'NEW MODEL BY SES'!AD:AD,0,0)</f>
        <v>0</v>
      </c>
      <c r="F149" s="41" t="b">
        <f t="shared" si="2"/>
        <v>0</v>
      </c>
    </row>
    <row r="150" spans="1:6">
      <c r="A150" s="110">
        <v>20907</v>
      </c>
      <c r="B150" s="54" t="s">
        <v>846</v>
      </c>
      <c r="C150" s="69">
        <f>_xlfn.XLOOKUP(A150,'NEW MODEL BY SES'!B:B,'NEW MODEL BY SES'!AC:AC,0,0)</f>
        <v>0</v>
      </c>
      <c r="D150" s="93">
        <f>_xlfn.XLOOKUP(A150,'NEW MODEL BY SES'!B:B,'NEW MODEL BY SES'!AD:AD,0,0)</f>
        <v>0</v>
      </c>
      <c r="F150" s="41" t="b">
        <f t="shared" si="2"/>
        <v>0</v>
      </c>
    </row>
    <row r="151" spans="1:6">
      <c r="A151" s="110">
        <v>20908</v>
      </c>
      <c r="B151" s="54" t="s">
        <v>847</v>
      </c>
      <c r="C151" s="69">
        <f>_xlfn.XLOOKUP(A151,'NEW MODEL BY SES'!B:B,'NEW MODEL BY SES'!AC:AC,0,0)</f>
        <v>0</v>
      </c>
      <c r="D151" s="93">
        <f>_xlfn.XLOOKUP(A151,'NEW MODEL BY SES'!B:B,'NEW MODEL BY SES'!AD:AD,0,0)</f>
        <v>0</v>
      </c>
      <c r="F151" s="41" t="b">
        <f t="shared" si="2"/>
        <v>0</v>
      </c>
    </row>
    <row r="152" spans="1:6">
      <c r="A152" s="110">
        <v>20909</v>
      </c>
      <c r="B152" s="54" t="s">
        <v>848</v>
      </c>
      <c r="C152" s="69">
        <f>_xlfn.XLOOKUP(A152,'NEW MODEL BY SES'!B:B,'NEW MODEL BY SES'!AC:AC,0,0)</f>
        <v>0</v>
      </c>
      <c r="D152" s="93">
        <f>_xlfn.XLOOKUP(A152,'NEW MODEL BY SES'!B:B,'NEW MODEL BY SES'!AD:AD,0,0)</f>
        <v>0</v>
      </c>
      <c r="F152" s="41" t="b">
        <f t="shared" si="2"/>
        <v>0</v>
      </c>
    </row>
    <row r="153" spans="1:6">
      <c r="A153" s="110">
        <v>20911</v>
      </c>
      <c r="B153" s="54" t="s">
        <v>849</v>
      </c>
      <c r="C153" s="69">
        <f>_xlfn.XLOOKUP(A153,'NEW MODEL BY SES'!B:B,'NEW MODEL BY SES'!AC:AC,0,0)</f>
        <v>0</v>
      </c>
      <c r="D153" s="93">
        <f>_xlfn.XLOOKUP(A153,'NEW MODEL BY SES'!B:B,'NEW MODEL BY SES'!AD:AD,0,0)</f>
        <v>0</v>
      </c>
      <c r="F153" s="41" t="b">
        <f t="shared" si="2"/>
        <v>0</v>
      </c>
    </row>
    <row r="154" spans="1:6">
      <c r="A154" s="110">
        <v>20912</v>
      </c>
      <c r="B154" s="54" t="s">
        <v>850</v>
      </c>
      <c r="C154" s="69">
        <f>_xlfn.XLOOKUP(A154,'NEW MODEL BY SES'!B:B,'NEW MODEL BY SES'!AC:AC,0,0)</f>
        <v>0</v>
      </c>
      <c r="D154" s="93">
        <f>_xlfn.XLOOKUP(A154,'NEW MODEL BY SES'!B:B,'NEW MODEL BY SES'!AD:AD,0,0)</f>
        <v>0</v>
      </c>
      <c r="F154" s="41" t="b">
        <f t="shared" si="2"/>
        <v>0</v>
      </c>
    </row>
    <row r="155" spans="1:6">
      <c r="A155" s="110">
        <v>20913</v>
      </c>
      <c r="B155" s="54" t="s">
        <v>851</v>
      </c>
      <c r="C155" s="69">
        <f>_xlfn.XLOOKUP(A155,'NEW MODEL BY SES'!B:B,'NEW MODEL BY SES'!AC:AC,0,0)</f>
        <v>0</v>
      </c>
      <c r="D155" s="93">
        <f>_xlfn.XLOOKUP(A155,'NEW MODEL BY SES'!B:B,'NEW MODEL BY SES'!AD:AD,0,0)</f>
        <v>0</v>
      </c>
      <c r="F155" s="41" t="b">
        <f t="shared" si="2"/>
        <v>0</v>
      </c>
    </row>
    <row r="156" spans="1:6">
      <c r="A156" s="110">
        <v>20915</v>
      </c>
      <c r="B156" s="54" t="s">
        <v>852</v>
      </c>
      <c r="C156" s="69">
        <f>_xlfn.XLOOKUP(A156,'NEW MODEL BY SES'!B:B,'NEW MODEL BY SES'!AC:AC,0,0)</f>
        <v>0</v>
      </c>
      <c r="D156" s="93">
        <f>_xlfn.XLOOKUP(A156,'NEW MODEL BY SES'!B:B,'NEW MODEL BY SES'!AD:AD,0,0)</f>
        <v>0</v>
      </c>
      <c r="F156" s="41" t="b">
        <f t="shared" si="2"/>
        <v>0</v>
      </c>
    </row>
    <row r="157" spans="1:6">
      <c r="A157" s="110">
        <v>20916</v>
      </c>
      <c r="B157" s="54" t="s">
        <v>853</v>
      </c>
      <c r="C157" s="69">
        <f>_xlfn.XLOOKUP(A157,'NEW MODEL BY SES'!B:B,'NEW MODEL BY SES'!AC:AC,0,0)</f>
        <v>0</v>
      </c>
      <c r="D157" s="93">
        <f>_xlfn.XLOOKUP(A157,'NEW MODEL BY SES'!B:B,'NEW MODEL BY SES'!AD:AD,0,0)</f>
        <v>0</v>
      </c>
      <c r="F157" s="41" t="b">
        <f t="shared" si="2"/>
        <v>0</v>
      </c>
    </row>
    <row r="158" spans="1:6">
      <c r="A158" s="110">
        <v>30104</v>
      </c>
      <c r="B158" s="54" t="s">
        <v>854</v>
      </c>
      <c r="C158" s="69">
        <f>_xlfn.XLOOKUP(A158,'NEW MODEL BY SES'!B:B,'NEW MODEL BY SES'!AC:AC,0,0)</f>
        <v>0</v>
      </c>
      <c r="D158" s="93">
        <f>_xlfn.XLOOKUP(A158,'NEW MODEL BY SES'!B:B,'NEW MODEL BY SES'!AD:AD,0,0)</f>
        <v>0</v>
      </c>
      <c r="F158" s="41" t="b">
        <f t="shared" si="2"/>
        <v>0</v>
      </c>
    </row>
    <row r="159" spans="1:6">
      <c r="A159" s="110">
        <v>30108</v>
      </c>
      <c r="B159" s="54" t="s">
        <v>855</v>
      </c>
      <c r="C159" s="69">
        <f>_xlfn.XLOOKUP(A159,'NEW MODEL BY SES'!B:B,'NEW MODEL BY SES'!AC:AC,0,0)</f>
        <v>0</v>
      </c>
      <c r="D159" s="93">
        <f>_xlfn.XLOOKUP(A159,'NEW MODEL BY SES'!B:B,'NEW MODEL BY SES'!AD:AD,0,0)</f>
        <v>0</v>
      </c>
      <c r="F159" s="41" t="b">
        <f t="shared" si="2"/>
        <v>0</v>
      </c>
    </row>
    <row r="160" spans="1:6">
      <c r="A160" s="110">
        <v>30109</v>
      </c>
      <c r="B160" s="54" t="s">
        <v>856</v>
      </c>
      <c r="C160" s="69">
        <f>_xlfn.XLOOKUP(A160,'NEW MODEL BY SES'!B:B,'NEW MODEL BY SES'!AC:AC,0,0)</f>
        <v>0</v>
      </c>
      <c r="D160" s="93">
        <f>_xlfn.XLOOKUP(A160,'NEW MODEL BY SES'!B:B,'NEW MODEL BY SES'!AD:AD,0,0)</f>
        <v>0</v>
      </c>
      <c r="F160" s="41" t="b">
        <f t="shared" si="2"/>
        <v>0</v>
      </c>
    </row>
    <row r="161" spans="1:6">
      <c r="A161" s="110">
        <v>30111</v>
      </c>
      <c r="B161" s="54" t="s">
        <v>857</v>
      </c>
      <c r="C161" s="69">
        <f>_xlfn.XLOOKUP(A161,'NEW MODEL BY SES'!B:B,'NEW MODEL BY SES'!AC:AC,0,0)</f>
        <v>0</v>
      </c>
      <c r="D161" s="93">
        <f>_xlfn.XLOOKUP(A161,'NEW MODEL BY SES'!B:B,'NEW MODEL BY SES'!AD:AD,0,0)</f>
        <v>0</v>
      </c>
      <c r="F161" s="41" t="b">
        <f t="shared" si="2"/>
        <v>0</v>
      </c>
    </row>
    <row r="162" spans="1:6">
      <c r="A162" s="110">
        <v>30112</v>
      </c>
      <c r="B162" s="54" t="s">
        <v>858</v>
      </c>
      <c r="C162" s="69">
        <f>_xlfn.XLOOKUP(A162,'NEW MODEL BY SES'!B:B,'NEW MODEL BY SES'!AC:AC,0,0)</f>
        <v>0</v>
      </c>
      <c r="D162" s="93">
        <f>_xlfn.XLOOKUP(A162,'NEW MODEL BY SES'!B:B,'NEW MODEL BY SES'!AD:AD,0,0)</f>
        <v>0</v>
      </c>
      <c r="F162" s="41" t="b">
        <f t="shared" si="2"/>
        <v>0</v>
      </c>
    </row>
    <row r="163" spans="1:6">
      <c r="A163" s="110">
        <v>30121</v>
      </c>
      <c r="B163" s="54" t="s">
        <v>620</v>
      </c>
      <c r="C163" s="69">
        <f>_xlfn.XLOOKUP(A163,'NEW MODEL BY SES'!B:B,'NEW MODEL BY SES'!AC:AC,0,0)</f>
        <v>0</v>
      </c>
      <c r="D163" s="93">
        <f>_xlfn.XLOOKUP(A163,'NEW MODEL BY SES'!B:B,'NEW MODEL BY SES'!AD:AD,0,0)</f>
        <v>0</v>
      </c>
      <c r="F163" s="41" t="b">
        <f t="shared" si="2"/>
        <v>0</v>
      </c>
    </row>
    <row r="164" spans="1:6">
      <c r="A164" s="110">
        <v>30127</v>
      </c>
      <c r="B164" s="54" t="s">
        <v>859</v>
      </c>
      <c r="C164" s="69">
        <f>_xlfn.XLOOKUP(A164,'NEW MODEL BY SES'!B:B,'NEW MODEL BY SES'!AC:AC,0,0)</f>
        <v>0</v>
      </c>
      <c r="D164" s="93">
        <f>_xlfn.XLOOKUP(A164,'NEW MODEL BY SES'!B:B,'NEW MODEL BY SES'!AD:AD,0,0)</f>
        <v>0</v>
      </c>
      <c r="F164" s="41" t="b">
        <f t="shared" si="2"/>
        <v>0</v>
      </c>
    </row>
    <row r="165" spans="1:6">
      <c r="A165" s="110">
        <v>30202</v>
      </c>
      <c r="B165" s="54" t="s">
        <v>860</v>
      </c>
      <c r="C165" s="69">
        <f>_xlfn.XLOOKUP(A165,'NEW MODEL BY SES'!B:B,'NEW MODEL BY SES'!AC:AC,0,0)</f>
        <v>0</v>
      </c>
      <c r="D165" s="93">
        <f>_xlfn.XLOOKUP(A165,'NEW MODEL BY SES'!B:B,'NEW MODEL BY SES'!AD:AD,0,0)</f>
        <v>0</v>
      </c>
      <c r="F165" s="41" t="b">
        <f t="shared" si="2"/>
        <v>0</v>
      </c>
    </row>
    <row r="166" spans="1:6">
      <c r="A166" s="110">
        <v>30203</v>
      </c>
      <c r="B166" s="54" t="s">
        <v>861</v>
      </c>
      <c r="C166" s="69">
        <f>_xlfn.XLOOKUP(A166,'NEW MODEL BY SES'!B:B,'NEW MODEL BY SES'!AC:AC,0,0)</f>
        <v>0</v>
      </c>
      <c r="D166" s="93">
        <f>_xlfn.XLOOKUP(A166,'NEW MODEL BY SES'!B:B,'NEW MODEL BY SES'!AD:AD,0,0)</f>
        <v>0</v>
      </c>
      <c r="F166" s="41" t="b">
        <f t="shared" si="2"/>
        <v>0</v>
      </c>
    </row>
    <row r="167" spans="1:6">
      <c r="A167" s="110">
        <v>30205</v>
      </c>
      <c r="B167" s="54" t="s">
        <v>862</v>
      </c>
      <c r="C167" s="69">
        <f>_xlfn.XLOOKUP(A167,'NEW MODEL BY SES'!B:B,'NEW MODEL BY SES'!AC:AC,0,0)</f>
        <v>0</v>
      </c>
      <c r="D167" s="93">
        <f>_xlfn.XLOOKUP(A167,'NEW MODEL BY SES'!B:B,'NEW MODEL BY SES'!AD:AD,0,0)</f>
        <v>0</v>
      </c>
      <c r="F167" s="41" t="b">
        <f t="shared" si="2"/>
        <v>0</v>
      </c>
    </row>
    <row r="168" spans="1:6">
      <c r="A168" s="110">
        <v>30207</v>
      </c>
      <c r="B168" s="54" t="s">
        <v>863</v>
      </c>
      <c r="C168" s="69">
        <f>_xlfn.XLOOKUP(A168,'NEW MODEL BY SES'!B:B,'NEW MODEL BY SES'!AC:AC,0,0)</f>
        <v>0</v>
      </c>
      <c r="D168" s="93">
        <f>_xlfn.XLOOKUP(A168,'NEW MODEL BY SES'!B:B,'NEW MODEL BY SES'!AD:AD,0,0)</f>
        <v>0</v>
      </c>
      <c r="F168" s="41" t="b">
        <f t="shared" si="2"/>
        <v>0</v>
      </c>
    </row>
    <row r="169" spans="1:6">
      <c r="A169" s="110">
        <v>30214</v>
      </c>
      <c r="B169" s="54" t="s">
        <v>864</v>
      </c>
      <c r="C169" s="69">
        <f>_xlfn.XLOOKUP(A169,'NEW MODEL BY SES'!B:B,'NEW MODEL BY SES'!AC:AC,0,0)</f>
        <v>0</v>
      </c>
      <c r="D169" s="93">
        <f>_xlfn.XLOOKUP(A169,'NEW MODEL BY SES'!B:B,'NEW MODEL BY SES'!AD:AD,0,0)</f>
        <v>0</v>
      </c>
      <c r="F169" s="41" t="b">
        <f t="shared" si="2"/>
        <v>0</v>
      </c>
    </row>
    <row r="170" spans="1:6">
      <c r="A170" s="110">
        <v>30216</v>
      </c>
      <c r="B170" s="54" t="s">
        <v>865</v>
      </c>
      <c r="C170" s="69">
        <f>_xlfn.XLOOKUP(A170,'NEW MODEL BY SES'!B:B,'NEW MODEL BY SES'!AC:AC,0,0)</f>
        <v>0</v>
      </c>
      <c r="D170" s="93">
        <f>_xlfn.XLOOKUP(A170,'NEW MODEL BY SES'!B:B,'NEW MODEL BY SES'!AD:AD,0,0)</f>
        <v>0</v>
      </c>
      <c r="F170" s="41" t="b">
        <f t="shared" si="2"/>
        <v>0</v>
      </c>
    </row>
    <row r="171" spans="1:6">
      <c r="A171" s="110">
        <v>30402</v>
      </c>
      <c r="B171" s="54" t="s">
        <v>866</v>
      </c>
      <c r="C171" s="69">
        <f>_xlfn.XLOOKUP(A171,'NEW MODEL BY SES'!B:B,'NEW MODEL BY SES'!AC:AC,0,0)</f>
        <v>0</v>
      </c>
      <c r="D171" s="93">
        <f>_xlfn.XLOOKUP(A171,'NEW MODEL BY SES'!B:B,'NEW MODEL BY SES'!AD:AD,0,0)</f>
        <v>0</v>
      </c>
      <c r="F171" s="41" t="b">
        <f t="shared" si="2"/>
        <v>0</v>
      </c>
    </row>
    <row r="172" spans="1:6">
      <c r="A172" s="110">
        <v>30405</v>
      </c>
      <c r="B172" s="54" t="s">
        <v>867</v>
      </c>
      <c r="C172" s="69">
        <f>_xlfn.XLOOKUP(A172,'NEW MODEL BY SES'!B:B,'NEW MODEL BY SES'!AC:AC,0,0)</f>
        <v>0</v>
      </c>
      <c r="D172" s="93">
        <f>_xlfn.XLOOKUP(A172,'NEW MODEL BY SES'!B:B,'NEW MODEL BY SES'!AD:AD,0,0)</f>
        <v>0</v>
      </c>
      <c r="F172" s="41" t="b">
        <f t="shared" si="2"/>
        <v>0</v>
      </c>
    </row>
    <row r="173" spans="1:6">
      <c r="A173" s="110">
        <v>30407</v>
      </c>
      <c r="B173" s="54" t="s">
        <v>868</v>
      </c>
      <c r="C173" s="69">
        <f>_xlfn.XLOOKUP(A173,'NEW MODEL BY SES'!B:B,'NEW MODEL BY SES'!AC:AC,0,0)</f>
        <v>0</v>
      </c>
      <c r="D173" s="93">
        <f>_xlfn.XLOOKUP(A173,'NEW MODEL BY SES'!B:B,'NEW MODEL BY SES'!AD:AD,0,0)</f>
        <v>0</v>
      </c>
      <c r="F173" s="41" t="b">
        <f t="shared" si="2"/>
        <v>0</v>
      </c>
    </row>
    <row r="174" spans="1:6">
      <c r="A174" s="110">
        <v>30412</v>
      </c>
      <c r="B174" s="54" t="s">
        <v>869</v>
      </c>
      <c r="C174" s="69">
        <f>_xlfn.XLOOKUP(A174,'NEW MODEL BY SES'!B:B,'NEW MODEL BY SES'!AC:AC,0,0)</f>
        <v>0</v>
      </c>
      <c r="D174" s="93">
        <f>_xlfn.XLOOKUP(A174,'NEW MODEL BY SES'!B:B,'NEW MODEL BY SES'!AD:AD,0,0)</f>
        <v>0</v>
      </c>
      <c r="F174" s="41" t="b">
        <f t="shared" si="2"/>
        <v>0</v>
      </c>
    </row>
    <row r="175" spans="1:6">
      <c r="A175" s="110">
        <v>30417</v>
      </c>
      <c r="B175" s="54" t="s">
        <v>870</v>
      </c>
      <c r="C175" s="69">
        <f>_xlfn.XLOOKUP(A175,'NEW MODEL BY SES'!B:B,'NEW MODEL BY SES'!AC:AC,0,0)</f>
        <v>0</v>
      </c>
      <c r="D175" s="93">
        <f>_xlfn.XLOOKUP(A175,'NEW MODEL BY SES'!B:B,'NEW MODEL BY SES'!AD:AD,0,0)</f>
        <v>0</v>
      </c>
      <c r="F175" s="41" t="b">
        <f t="shared" si="2"/>
        <v>0</v>
      </c>
    </row>
    <row r="176" spans="1:6">
      <c r="A176" s="110">
        <v>30418</v>
      </c>
      <c r="B176" s="54" t="s">
        <v>516</v>
      </c>
      <c r="C176" s="69">
        <f>_xlfn.XLOOKUP(A176,'NEW MODEL BY SES'!B:B,'NEW MODEL BY SES'!AC:AC,0,0)</f>
        <v>0</v>
      </c>
      <c r="D176" s="93">
        <f>_xlfn.XLOOKUP(A176,'NEW MODEL BY SES'!B:B,'NEW MODEL BY SES'!AD:AD,0,0)</f>
        <v>0</v>
      </c>
      <c r="F176" s="41" t="b">
        <f t="shared" si="2"/>
        <v>0</v>
      </c>
    </row>
    <row r="177" spans="1:6">
      <c r="A177" s="110">
        <v>30421</v>
      </c>
      <c r="B177" s="54" t="s">
        <v>650</v>
      </c>
      <c r="C177" s="69">
        <f>_xlfn.XLOOKUP(A177,'NEW MODEL BY SES'!B:B,'NEW MODEL BY SES'!AC:AC,0,0)</f>
        <v>0</v>
      </c>
      <c r="D177" s="93">
        <f>_xlfn.XLOOKUP(A177,'NEW MODEL BY SES'!B:B,'NEW MODEL BY SES'!AD:AD,0,0)</f>
        <v>0</v>
      </c>
      <c r="F177" s="41" t="b">
        <f t="shared" si="2"/>
        <v>0</v>
      </c>
    </row>
    <row r="178" spans="1:6">
      <c r="A178" s="110">
        <v>30602</v>
      </c>
      <c r="B178" s="54" t="s">
        <v>871</v>
      </c>
      <c r="C178" s="69">
        <f>_xlfn.XLOOKUP(A178,'NEW MODEL BY SES'!B:B,'NEW MODEL BY SES'!AC:AC,0,0)</f>
        <v>0</v>
      </c>
      <c r="D178" s="93">
        <f>_xlfn.XLOOKUP(A178,'NEW MODEL BY SES'!B:B,'NEW MODEL BY SES'!AD:AD,0,0)</f>
        <v>0</v>
      </c>
      <c r="F178" s="41" t="b">
        <f t="shared" si="2"/>
        <v>0</v>
      </c>
    </row>
    <row r="179" spans="1:6">
      <c r="A179" s="110">
        <v>30607</v>
      </c>
      <c r="B179" s="54" t="s">
        <v>626</v>
      </c>
      <c r="C179" s="69">
        <f>_xlfn.XLOOKUP(A179,'NEW MODEL BY SES'!B:B,'NEW MODEL BY SES'!AC:AC,0,0)</f>
        <v>0</v>
      </c>
      <c r="D179" s="93">
        <f>_xlfn.XLOOKUP(A179,'NEW MODEL BY SES'!B:B,'NEW MODEL BY SES'!AD:AD,0,0)</f>
        <v>0</v>
      </c>
      <c r="F179" s="41" t="b">
        <f t="shared" si="2"/>
        <v>0</v>
      </c>
    </row>
    <row r="180" spans="1:6">
      <c r="A180" s="110">
        <v>30608</v>
      </c>
      <c r="B180" s="54" t="s">
        <v>872</v>
      </c>
      <c r="C180" s="69">
        <f>_xlfn.XLOOKUP(A180,'NEW MODEL BY SES'!B:B,'NEW MODEL BY SES'!AC:AC,0,0)</f>
        <v>0</v>
      </c>
      <c r="D180" s="93">
        <f>_xlfn.XLOOKUP(A180,'NEW MODEL BY SES'!B:B,'NEW MODEL BY SES'!AD:AD,0,0)</f>
        <v>0</v>
      </c>
      <c r="F180" s="41" t="b">
        <f t="shared" si="2"/>
        <v>0</v>
      </c>
    </row>
    <row r="181" spans="1:6">
      <c r="A181" s="110">
        <v>30609</v>
      </c>
      <c r="B181" s="54" t="s">
        <v>873</v>
      </c>
      <c r="C181" s="69">
        <f>_xlfn.XLOOKUP(A181,'NEW MODEL BY SES'!B:B,'NEW MODEL BY SES'!AC:AC,0,0)</f>
        <v>0</v>
      </c>
      <c r="D181" s="93">
        <f>_xlfn.XLOOKUP(A181,'NEW MODEL BY SES'!B:B,'NEW MODEL BY SES'!AD:AD,0,0)</f>
        <v>0</v>
      </c>
      <c r="F181" s="41" t="b">
        <f t="shared" si="2"/>
        <v>0</v>
      </c>
    </row>
    <row r="182" spans="1:6">
      <c r="A182" s="110">
        <v>30612</v>
      </c>
      <c r="B182" s="54" t="s">
        <v>874</v>
      </c>
      <c r="C182" s="69">
        <f>_xlfn.XLOOKUP(A182,'NEW MODEL BY SES'!B:B,'NEW MODEL BY SES'!AC:AC,0,0)</f>
        <v>0</v>
      </c>
      <c r="D182" s="93">
        <f>_xlfn.XLOOKUP(A182,'NEW MODEL BY SES'!B:B,'NEW MODEL BY SES'!AD:AD,0,0)</f>
        <v>0</v>
      </c>
      <c r="F182" s="41" t="b">
        <f t="shared" si="2"/>
        <v>0</v>
      </c>
    </row>
    <row r="183" spans="1:6">
      <c r="A183" s="110">
        <v>30614</v>
      </c>
      <c r="B183" s="54" t="s">
        <v>875</v>
      </c>
      <c r="C183" s="69">
        <f>_xlfn.XLOOKUP(A183,'NEW MODEL BY SES'!B:B,'NEW MODEL BY SES'!AC:AC,0,0)</f>
        <v>0</v>
      </c>
      <c r="D183" s="93">
        <f>_xlfn.XLOOKUP(A183,'NEW MODEL BY SES'!B:B,'NEW MODEL BY SES'!AD:AD,0,0)</f>
        <v>0</v>
      </c>
      <c r="F183" s="41" t="b">
        <f t="shared" si="2"/>
        <v>0</v>
      </c>
    </row>
    <row r="184" spans="1:6">
      <c r="A184" s="110">
        <v>30615</v>
      </c>
      <c r="B184" s="54" t="s">
        <v>647</v>
      </c>
      <c r="C184" s="69">
        <f>_xlfn.XLOOKUP(A184,'NEW MODEL BY SES'!B:B,'NEW MODEL BY SES'!AC:AC,0,0)</f>
        <v>0</v>
      </c>
      <c r="D184" s="93">
        <f>_xlfn.XLOOKUP(A184,'NEW MODEL BY SES'!B:B,'NEW MODEL BY SES'!AD:AD,0,0)</f>
        <v>0</v>
      </c>
      <c r="F184" s="41" t="b">
        <f t="shared" si="2"/>
        <v>0</v>
      </c>
    </row>
    <row r="185" spans="1:6">
      <c r="A185" s="110">
        <v>30616</v>
      </c>
      <c r="B185" s="54" t="s">
        <v>606</v>
      </c>
      <c r="C185" s="69">
        <f>_xlfn.XLOOKUP(A185,'NEW MODEL BY SES'!B:B,'NEW MODEL BY SES'!AC:AC,0,0)</f>
        <v>0</v>
      </c>
      <c r="D185" s="93">
        <f>_xlfn.XLOOKUP(A185,'NEW MODEL BY SES'!B:B,'NEW MODEL BY SES'!AD:AD,0,0)</f>
        <v>0</v>
      </c>
      <c r="F185" s="41" t="b">
        <f t="shared" si="2"/>
        <v>0</v>
      </c>
    </row>
    <row r="186" spans="1:6">
      <c r="A186" s="110">
        <v>30618</v>
      </c>
      <c r="B186" s="54" t="s">
        <v>709</v>
      </c>
      <c r="C186" s="69">
        <f>_xlfn.XLOOKUP(A186,'NEW MODEL BY SES'!B:B,'NEW MODEL BY SES'!AC:AC,0,0)</f>
        <v>0</v>
      </c>
      <c r="D186" s="93">
        <f>_xlfn.XLOOKUP(A186,'NEW MODEL BY SES'!B:B,'NEW MODEL BY SES'!AD:AD,0,0)</f>
        <v>0</v>
      </c>
      <c r="F186" s="41" t="b">
        <f t="shared" si="2"/>
        <v>0</v>
      </c>
    </row>
    <row r="187" spans="1:6">
      <c r="A187" s="110">
        <v>30619</v>
      </c>
      <c r="B187" s="54" t="s">
        <v>729</v>
      </c>
      <c r="C187" s="69">
        <f>_xlfn.XLOOKUP(A187,'NEW MODEL BY SES'!B:B,'NEW MODEL BY SES'!AC:AC,0,0)</f>
        <v>0</v>
      </c>
      <c r="D187" s="93">
        <f>_xlfn.XLOOKUP(A187,'NEW MODEL BY SES'!B:B,'NEW MODEL BY SES'!AD:AD,0,0)</f>
        <v>0</v>
      </c>
      <c r="F187" s="41" t="b">
        <f t="shared" si="2"/>
        <v>0</v>
      </c>
    </row>
    <row r="188" spans="1:6">
      <c r="A188" s="110">
        <v>40102</v>
      </c>
      <c r="B188" s="54" t="s">
        <v>876</v>
      </c>
      <c r="C188" s="69">
        <f>_xlfn.XLOOKUP(A188,'NEW MODEL BY SES'!B:B,'NEW MODEL BY SES'!AC:AC,0,0)</f>
        <v>0</v>
      </c>
      <c r="D188" s="93">
        <f>_xlfn.XLOOKUP(A188,'NEW MODEL BY SES'!B:B,'NEW MODEL BY SES'!AD:AD,0,0)</f>
        <v>0</v>
      </c>
      <c r="F188" s="41" t="b">
        <f t="shared" si="2"/>
        <v>0</v>
      </c>
    </row>
    <row r="189" spans="1:6">
      <c r="A189" s="110">
        <v>40103</v>
      </c>
      <c r="B189" s="54" t="s">
        <v>716</v>
      </c>
      <c r="C189" s="69">
        <f>_xlfn.XLOOKUP(A189,'NEW MODEL BY SES'!B:B,'NEW MODEL BY SES'!AC:AC,0,0)</f>
        <v>0</v>
      </c>
      <c r="D189" s="93">
        <f>_xlfn.XLOOKUP(A189,'NEW MODEL BY SES'!B:B,'NEW MODEL BY SES'!AD:AD,0,0)</f>
        <v>0</v>
      </c>
      <c r="F189" s="41" t="b">
        <f t="shared" si="2"/>
        <v>0</v>
      </c>
    </row>
    <row r="190" spans="1:6">
      <c r="A190" s="110">
        <v>40104</v>
      </c>
      <c r="B190" s="54" t="s">
        <v>877</v>
      </c>
      <c r="C190" s="69">
        <f>_xlfn.XLOOKUP(A190,'NEW MODEL BY SES'!B:B,'NEW MODEL BY SES'!AC:AC,0,0)</f>
        <v>0</v>
      </c>
      <c r="D190" s="93">
        <f>_xlfn.XLOOKUP(A190,'NEW MODEL BY SES'!B:B,'NEW MODEL BY SES'!AD:AD,0,0)</f>
        <v>0</v>
      </c>
      <c r="F190" s="41" t="b">
        <f t="shared" si="2"/>
        <v>0</v>
      </c>
    </row>
    <row r="191" spans="1:6">
      <c r="A191" s="110">
        <v>40105</v>
      </c>
      <c r="B191" s="54" t="s">
        <v>878</v>
      </c>
      <c r="C191" s="69">
        <f>_xlfn.XLOOKUP(A191,'NEW MODEL BY SES'!B:B,'NEW MODEL BY SES'!AC:AC,0,0)</f>
        <v>0</v>
      </c>
      <c r="D191" s="93">
        <f>_xlfn.XLOOKUP(A191,'NEW MODEL BY SES'!B:B,'NEW MODEL BY SES'!AD:AD,0,0)</f>
        <v>0</v>
      </c>
      <c r="F191" s="41" t="b">
        <f t="shared" si="2"/>
        <v>0</v>
      </c>
    </row>
    <row r="192" spans="1:6">
      <c r="A192" s="110">
        <v>40106</v>
      </c>
      <c r="B192" s="54" t="s">
        <v>879</v>
      </c>
      <c r="C192" s="69">
        <f>_xlfn.XLOOKUP(A192,'NEW MODEL BY SES'!B:B,'NEW MODEL BY SES'!AC:AC,0,0)</f>
        <v>0</v>
      </c>
      <c r="D192" s="93">
        <f>_xlfn.XLOOKUP(A192,'NEW MODEL BY SES'!B:B,'NEW MODEL BY SES'!AD:AD,0,0)</f>
        <v>0</v>
      </c>
      <c r="F192" s="41" t="b">
        <f t="shared" si="2"/>
        <v>0</v>
      </c>
    </row>
    <row r="193" spans="1:6">
      <c r="A193" s="110">
        <v>40107</v>
      </c>
      <c r="B193" s="54" t="s">
        <v>698</v>
      </c>
      <c r="C193" s="69">
        <f>_xlfn.XLOOKUP(A193,'NEW MODEL BY SES'!B:B,'NEW MODEL BY SES'!AC:AC,0,0)</f>
        <v>0</v>
      </c>
      <c r="D193" s="93">
        <f>_xlfn.XLOOKUP(A193,'NEW MODEL BY SES'!B:B,'NEW MODEL BY SES'!AD:AD,0,0)</f>
        <v>0</v>
      </c>
      <c r="F193" s="41" t="b">
        <f t="shared" si="2"/>
        <v>0</v>
      </c>
    </row>
    <row r="194" spans="1:6">
      <c r="A194" s="110">
        <v>40108</v>
      </c>
      <c r="B194" s="54" t="s">
        <v>512</v>
      </c>
      <c r="C194" s="69">
        <f>_xlfn.XLOOKUP(A194,'NEW MODEL BY SES'!B:B,'NEW MODEL BY SES'!AC:AC,0,0)</f>
        <v>0</v>
      </c>
      <c r="D194" s="93">
        <f>_xlfn.XLOOKUP(A194,'NEW MODEL BY SES'!B:B,'NEW MODEL BY SES'!AD:AD,0,0)</f>
        <v>0</v>
      </c>
      <c r="F194" s="41" t="b">
        <f t="shared" si="2"/>
        <v>0</v>
      </c>
    </row>
    <row r="195" spans="1:6">
      <c r="A195" s="110">
        <v>40109</v>
      </c>
      <c r="B195" s="54" t="s">
        <v>521</v>
      </c>
      <c r="C195" s="69">
        <f>_xlfn.XLOOKUP(A195,'NEW MODEL BY SES'!B:B,'NEW MODEL BY SES'!AC:AC,0,0)</f>
        <v>0</v>
      </c>
      <c r="D195" s="93">
        <f>_xlfn.XLOOKUP(A195,'NEW MODEL BY SES'!B:B,'NEW MODEL BY SES'!AD:AD,0,0)</f>
        <v>0</v>
      </c>
      <c r="F195" s="41" t="b">
        <f t="shared" ref="F195:F240" si="3">IF(C195="I",300,IF(C195="II",200,IF(C195="III",100,IF(C195="IV",50))))</f>
        <v>0</v>
      </c>
    </row>
    <row r="196" spans="1:6">
      <c r="A196" s="110">
        <v>40111</v>
      </c>
      <c r="B196" s="54" t="s">
        <v>674</v>
      </c>
      <c r="C196" s="69">
        <f>_xlfn.XLOOKUP(A196,'NEW MODEL BY SES'!B:B,'NEW MODEL BY SES'!AC:AC,0,0)</f>
        <v>0</v>
      </c>
      <c r="D196" s="93">
        <f>_xlfn.XLOOKUP(A196,'NEW MODEL BY SES'!B:B,'NEW MODEL BY SES'!AD:AD,0,0)</f>
        <v>0</v>
      </c>
      <c r="F196" s="41" t="b">
        <f t="shared" si="3"/>
        <v>0</v>
      </c>
    </row>
    <row r="197" spans="1:6">
      <c r="A197" s="110">
        <v>40112</v>
      </c>
      <c r="B197" s="54" t="s">
        <v>641</v>
      </c>
      <c r="C197" s="69">
        <f>_xlfn.XLOOKUP(A197,'NEW MODEL BY SES'!B:B,'NEW MODEL BY SES'!AC:AC,0,0)</f>
        <v>0</v>
      </c>
      <c r="D197" s="93">
        <f>_xlfn.XLOOKUP(A197,'NEW MODEL BY SES'!B:B,'NEW MODEL BY SES'!AD:AD,0,0)</f>
        <v>0</v>
      </c>
      <c r="F197" s="41" t="b">
        <f t="shared" si="3"/>
        <v>0</v>
      </c>
    </row>
    <row r="198" spans="1:6">
      <c r="A198" s="110">
        <v>40113</v>
      </c>
      <c r="B198" s="54" t="s">
        <v>880</v>
      </c>
      <c r="C198" s="69">
        <f>_xlfn.XLOOKUP(A198,'NEW MODEL BY SES'!B:B,'NEW MODEL BY SES'!AC:AC,0,0)</f>
        <v>0</v>
      </c>
      <c r="D198" s="93">
        <f>_xlfn.XLOOKUP(A198,'NEW MODEL BY SES'!B:B,'NEW MODEL BY SES'!AD:AD,0,0)</f>
        <v>0</v>
      </c>
      <c r="F198" s="41" t="b">
        <f t="shared" si="3"/>
        <v>0</v>
      </c>
    </row>
    <row r="199" spans="1:6">
      <c r="A199" s="110">
        <v>40114</v>
      </c>
      <c r="B199" s="54" t="s">
        <v>638</v>
      </c>
      <c r="C199" s="69">
        <f>_xlfn.XLOOKUP(A199,'NEW MODEL BY SES'!B:B,'NEW MODEL BY SES'!AC:AC,0,0)</f>
        <v>0</v>
      </c>
      <c r="D199" s="93">
        <f>_xlfn.XLOOKUP(A199,'NEW MODEL BY SES'!B:B,'NEW MODEL BY SES'!AD:AD,0,0)</f>
        <v>0</v>
      </c>
      <c r="F199" s="41" t="b">
        <f t="shared" si="3"/>
        <v>0</v>
      </c>
    </row>
    <row r="200" spans="1:6">
      <c r="A200" s="110">
        <v>40115</v>
      </c>
      <c r="B200" s="54" t="s">
        <v>881</v>
      </c>
      <c r="C200" s="69">
        <f>_xlfn.XLOOKUP(A200,'NEW MODEL BY SES'!B:B,'NEW MODEL BY SES'!AC:AC,0,0)</f>
        <v>0</v>
      </c>
      <c r="D200" s="93">
        <f>_xlfn.XLOOKUP(A200,'NEW MODEL BY SES'!B:B,'NEW MODEL BY SES'!AD:AD,0,0)</f>
        <v>0</v>
      </c>
      <c r="F200" s="41" t="b">
        <f t="shared" si="3"/>
        <v>0</v>
      </c>
    </row>
    <row r="201" spans="1:6">
      <c r="A201" s="110">
        <v>40116</v>
      </c>
      <c r="B201" s="54" t="s">
        <v>882</v>
      </c>
      <c r="C201" s="69">
        <f>_xlfn.XLOOKUP(A201,'NEW MODEL BY SES'!B:B,'NEW MODEL BY SES'!AC:AC,0,0)</f>
        <v>0</v>
      </c>
      <c r="D201" s="93">
        <f>_xlfn.XLOOKUP(A201,'NEW MODEL BY SES'!B:B,'NEW MODEL BY SES'!AD:AD,0,0)</f>
        <v>0</v>
      </c>
      <c r="F201" s="41" t="b">
        <f t="shared" si="3"/>
        <v>0</v>
      </c>
    </row>
    <row r="202" spans="1:6">
      <c r="A202" s="110">
        <v>40117</v>
      </c>
      <c r="B202" s="54" t="s">
        <v>560</v>
      </c>
      <c r="C202" s="69">
        <f>_xlfn.XLOOKUP(A202,'NEW MODEL BY SES'!B:B,'NEW MODEL BY SES'!AC:AC,0,0)</f>
        <v>0</v>
      </c>
      <c r="D202" s="93">
        <f>_xlfn.XLOOKUP(A202,'NEW MODEL BY SES'!B:B,'NEW MODEL BY SES'!AD:AD,0,0)</f>
        <v>0</v>
      </c>
      <c r="F202" s="41" t="b">
        <f t="shared" si="3"/>
        <v>0</v>
      </c>
    </row>
    <row r="203" spans="1:6">
      <c r="A203" s="110">
        <v>40118</v>
      </c>
      <c r="B203" s="54" t="s">
        <v>545</v>
      </c>
      <c r="C203" s="69">
        <f>_xlfn.XLOOKUP(A203,'NEW MODEL BY SES'!B:B,'NEW MODEL BY SES'!AC:AC,0,0)</f>
        <v>0</v>
      </c>
      <c r="D203" s="93">
        <f>_xlfn.XLOOKUP(A203,'NEW MODEL BY SES'!B:B,'NEW MODEL BY SES'!AD:AD,0,0)</f>
        <v>0</v>
      </c>
      <c r="F203" s="41" t="b">
        <f t="shared" si="3"/>
        <v>0</v>
      </c>
    </row>
    <row r="204" spans="1:6">
      <c r="A204" s="110">
        <v>40119</v>
      </c>
      <c r="B204" s="54" t="s">
        <v>725</v>
      </c>
      <c r="C204" s="69">
        <f>_xlfn.XLOOKUP(A204,'NEW MODEL BY SES'!B:B,'NEW MODEL BY SES'!AC:AC,0,0)</f>
        <v>0</v>
      </c>
      <c r="D204" s="93">
        <f>_xlfn.XLOOKUP(A204,'NEW MODEL BY SES'!B:B,'NEW MODEL BY SES'!AD:AD,0,0)</f>
        <v>0</v>
      </c>
      <c r="F204" s="41" t="b">
        <f t="shared" si="3"/>
        <v>0</v>
      </c>
    </row>
    <row r="205" spans="1:6">
      <c r="A205" s="110">
        <v>40120</v>
      </c>
      <c r="B205" s="54" t="s">
        <v>883</v>
      </c>
      <c r="C205" s="69">
        <f>_xlfn.XLOOKUP(A205,'NEW MODEL BY SES'!B:B,'NEW MODEL BY SES'!AC:AC,0,0)</f>
        <v>0</v>
      </c>
      <c r="D205" s="93">
        <f>_xlfn.XLOOKUP(A205,'NEW MODEL BY SES'!B:B,'NEW MODEL BY SES'!AD:AD,0,0)</f>
        <v>0</v>
      </c>
      <c r="F205" s="41" t="b">
        <f t="shared" si="3"/>
        <v>0</v>
      </c>
    </row>
    <row r="206" spans="1:6">
      <c r="A206" s="110">
        <v>40121</v>
      </c>
      <c r="B206" s="54" t="s">
        <v>680</v>
      </c>
      <c r="C206" s="69">
        <f>_xlfn.XLOOKUP(A206,'NEW MODEL BY SES'!B:B,'NEW MODEL BY SES'!AC:AC,0,0)</f>
        <v>0</v>
      </c>
      <c r="D206" s="93">
        <f>_xlfn.XLOOKUP(A206,'NEW MODEL BY SES'!B:B,'NEW MODEL BY SES'!AD:AD,0,0)</f>
        <v>0</v>
      </c>
      <c r="F206" s="41" t="b">
        <f t="shared" si="3"/>
        <v>0</v>
      </c>
    </row>
    <row r="207" spans="1:6">
      <c r="A207" s="110">
        <v>40122</v>
      </c>
      <c r="B207" s="54" t="s">
        <v>884</v>
      </c>
      <c r="C207" s="69">
        <f>_xlfn.XLOOKUP(A207,'NEW MODEL BY SES'!B:B,'NEW MODEL BY SES'!AC:AC,0,0)</f>
        <v>0</v>
      </c>
      <c r="D207" s="93">
        <f>_xlfn.XLOOKUP(A207,'NEW MODEL BY SES'!B:B,'NEW MODEL BY SES'!AD:AD,0,0)</f>
        <v>0</v>
      </c>
      <c r="F207" s="41" t="b">
        <f t="shared" si="3"/>
        <v>0</v>
      </c>
    </row>
    <row r="208" spans="1:6">
      <c r="A208" s="110">
        <v>40123</v>
      </c>
      <c r="B208" s="54" t="s">
        <v>885</v>
      </c>
      <c r="C208" s="69">
        <f>_xlfn.XLOOKUP(A208,'NEW MODEL BY SES'!B:B,'NEW MODEL BY SES'!AC:AC,0,0)</f>
        <v>0</v>
      </c>
      <c r="D208" s="93">
        <f>_xlfn.XLOOKUP(A208,'NEW MODEL BY SES'!B:B,'NEW MODEL BY SES'!AD:AD,0,0)</f>
        <v>0</v>
      </c>
      <c r="F208" s="41" t="b">
        <f t="shared" si="3"/>
        <v>0</v>
      </c>
    </row>
    <row r="209" spans="1:6">
      <c r="A209" s="110">
        <v>40124</v>
      </c>
      <c r="B209" s="54" t="s">
        <v>886</v>
      </c>
      <c r="C209" s="69">
        <f>_xlfn.XLOOKUP(A209,'NEW MODEL BY SES'!B:B,'NEW MODEL BY SES'!AC:AC,0,0)</f>
        <v>0</v>
      </c>
      <c r="D209" s="93">
        <f>_xlfn.XLOOKUP(A209,'NEW MODEL BY SES'!B:B,'NEW MODEL BY SES'!AD:AD,0,0)</f>
        <v>0</v>
      </c>
      <c r="F209" s="41" t="b">
        <f t="shared" si="3"/>
        <v>0</v>
      </c>
    </row>
    <row r="210" spans="1:6">
      <c r="A210" s="110">
        <v>40125</v>
      </c>
      <c r="B210" s="54" t="s">
        <v>887</v>
      </c>
      <c r="C210" s="69">
        <f>_xlfn.XLOOKUP(A210,'NEW MODEL BY SES'!B:B,'NEW MODEL BY SES'!AC:AC,0,0)</f>
        <v>0</v>
      </c>
      <c r="D210" s="93">
        <f>_xlfn.XLOOKUP(A210,'NEW MODEL BY SES'!B:B,'NEW MODEL BY SES'!AD:AD,0,0)</f>
        <v>0</v>
      </c>
      <c r="F210" s="41" t="b">
        <f t="shared" si="3"/>
        <v>0</v>
      </c>
    </row>
    <row r="211" spans="1:6">
      <c r="A211" s="110">
        <v>40126</v>
      </c>
      <c r="B211" s="54" t="s">
        <v>888</v>
      </c>
      <c r="C211" s="69">
        <f>_xlfn.XLOOKUP(A211,'NEW MODEL BY SES'!B:B,'NEW MODEL BY SES'!AC:AC,0,0)</f>
        <v>0</v>
      </c>
      <c r="D211" s="93">
        <f>_xlfn.XLOOKUP(A211,'NEW MODEL BY SES'!B:B,'NEW MODEL BY SES'!AD:AD,0,0)</f>
        <v>0</v>
      </c>
      <c r="F211" s="41" t="b">
        <f t="shared" si="3"/>
        <v>0</v>
      </c>
    </row>
    <row r="212" spans="1:6">
      <c r="A212" s="110">
        <v>40127</v>
      </c>
      <c r="B212" s="54" t="s">
        <v>889</v>
      </c>
      <c r="C212" s="69">
        <f>_xlfn.XLOOKUP(A212,'NEW MODEL BY SES'!B:B,'NEW MODEL BY SES'!AC:AC,0,0)</f>
        <v>0</v>
      </c>
      <c r="D212" s="93">
        <f>_xlfn.XLOOKUP(A212,'NEW MODEL BY SES'!B:B,'NEW MODEL BY SES'!AD:AD,0,0)</f>
        <v>0</v>
      </c>
      <c r="F212" s="41" t="b">
        <f t="shared" si="3"/>
        <v>0</v>
      </c>
    </row>
    <row r="213" spans="1:6">
      <c r="A213" s="110">
        <v>40128</v>
      </c>
      <c r="B213" s="54" t="s">
        <v>890</v>
      </c>
      <c r="C213" s="69">
        <f>_xlfn.XLOOKUP(A213,'NEW MODEL BY SES'!B:B,'NEW MODEL BY SES'!AC:AC,0,0)</f>
        <v>0</v>
      </c>
      <c r="D213" s="93">
        <f>_xlfn.XLOOKUP(A213,'NEW MODEL BY SES'!B:B,'NEW MODEL BY SES'!AD:AD,0,0)</f>
        <v>0</v>
      </c>
      <c r="F213" s="41" t="b">
        <f t="shared" si="3"/>
        <v>0</v>
      </c>
    </row>
    <row r="214" spans="1:6">
      <c r="A214" s="110">
        <v>40129</v>
      </c>
      <c r="B214" s="54" t="s">
        <v>891</v>
      </c>
      <c r="C214" s="69">
        <f>_xlfn.XLOOKUP(A214,'NEW MODEL BY SES'!B:B,'NEW MODEL BY SES'!AC:AC,0,0)</f>
        <v>0</v>
      </c>
      <c r="D214" s="93">
        <f>_xlfn.XLOOKUP(A214,'NEW MODEL BY SES'!B:B,'NEW MODEL BY SES'!AD:AD,0,0)</f>
        <v>0</v>
      </c>
      <c r="F214" s="41" t="b">
        <f t="shared" si="3"/>
        <v>0</v>
      </c>
    </row>
    <row r="215" spans="1:6">
      <c r="A215" s="110">
        <v>40130</v>
      </c>
      <c r="B215" s="54" t="s">
        <v>892</v>
      </c>
      <c r="C215" s="69">
        <f>_xlfn.XLOOKUP(A215,'NEW MODEL BY SES'!B:B,'NEW MODEL BY SES'!AC:AC,0,0)</f>
        <v>0</v>
      </c>
      <c r="D215" s="93">
        <f>_xlfn.XLOOKUP(A215,'NEW MODEL BY SES'!B:B,'NEW MODEL BY SES'!AD:AD,0,0)</f>
        <v>0</v>
      </c>
      <c r="F215" s="41" t="b">
        <f t="shared" si="3"/>
        <v>0</v>
      </c>
    </row>
    <row r="216" spans="1:6">
      <c r="A216" s="110">
        <v>40131</v>
      </c>
      <c r="B216" s="54" t="s">
        <v>893</v>
      </c>
      <c r="C216" s="69">
        <f>_xlfn.XLOOKUP(A216,'NEW MODEL BY SES'!B:B,'NEW MODEL BY SES'!AC:AC,0,0)</f>
        <v>0</v>
      </c>
      <c r="D216" s="93">
        <f>_xlfn.XLOOKUP(A216,'NEW MODEL BY SES'!B:B,'NEW MODEL BY SES'!AD:AD,0,0)</f>
        <v>0</v>
      </c>
      <c r="F216" s="41" t="b">
        <f t="shared" si="3"/>
        <v>0</v>
      </c>
    </row>
    <row r="217" spans="1:6">
      <c r="A217" s="110">
        <v>40132</v>
      </c>
      <c r="B217" s="54" t="s">
        <v>894</v>
      </c>
      <c r="C217" s="69">
        <f>_xlfn.XLOOKUP(A217,'NEW MODEL BY SES'!B:B,'NEW MODEL BY SES'!AC:AC,0,0)</f>
        <v>0</v>
      </c>
      <c r="D217" s="93">
        <f>_xlfn.XLOOKUP(A217,'NEW MODEL BY SES'!B:B,'NEW MODEL BY SES'!AD:AD,0,0)</f>
        <v>0</v>
      </c>
      <c r="F217" s="41" t="b">
        <f t="shared" si="3"/>
        <v>0</v>
      </c>
    </row>
    <row r="218" spans="1:6">
      <c r="A218" s="110">
        <v>40133</v>
      </c>
      <c r="B218" s="54" t="s">
        <v>895</v>
      </c>
      <c r="C218" s="69">
        <f>_xlfn.XLOOKUP(A218,'NEW MODEL BY SES'!B:B,'NEW MODEL BY SES'!AC:AC,0,0)</f>
        <v>0</v>
      </c>
      <c r="D218" s="93">
        <f>_xlfn.XLOOKUP(A218,'NEW MODEL BY SES'!B:B,'NEW MODEL BY SES'!AD:AD,0,0)</f>
        <v>0</v>
      </c>
      <c r="F218" s="41" t="b">
        <f t="shared" si="3"/>
        <v>0</v>
      </c>
    </row>
    <row r="219" spans="1:6">
      <c r="A219" s="110">
        <v>40136</v>
      </c>
      <c r="B219" s="54" t="s">
        <v>896</v>
      </c>
      <c r="C219" s="69">
        <f>_xlfn.XLOOKUP(A219,'NEW MODEL BY SES'!B:B,'NEW MODEL BY SES'!AC:AC,0,0)</f>
        <v>0</v>
      </c>
      <c r="D219" s="93">
        <f>_xlfn.XLOOKUP(A219,'NEW MODEL BY SES'!B:B,'NEW MODEL BY SES'!AD:AD,0,0)</f>
        <v>0</v>
      </c>
      <c r="F219" s="41" t="b">
        <f t="shared" si="3"/>
        <v>0</v>
      </c>
    </row>
    <row r="220" spans="1:6">
      <c r="A220" s="110">
        <v>40137</v>
      </c>
      <c r="B220" s="54" t="s">
        <v>897</v>
      </c>
      <c r="C220" s="69">
        <f>_xlfn.XLOOKUP(A220,'NEW MODEL BY SES'!B:B,'NEW MODEL BY SES'!AC:AC,0,0)</f>
        <v>0</v>
      </c>
      <c r="D220" s="93">
        <f>_xlfn.XLOOKUP(A220,'NEW MODEL BY SES'!B:B,'NEW MODEL BY SES'!AD:AD,0,0)</f>
        <v>0</v>
      </c>
      <c r="F220" s="41" t="b">
        <f t="shared" si="3"/>
        <v>0</v>
      </c>
    </row>
    <row r="221" spans="1:6">
      <c r="A221" s="110">
        <v>40138</v>
      </c>
      <c r="B221" s="54" t="s">
        <v>898</v>
      </c>
      <c r="C221" s="69">
        <f>_xlfn.XLOOKUP(A221,'NEW MODEL BY SES'!B:B,'NEW MODEL BY SES'!AC:AC,0,0)</f>
        <v>0</v>
      </c>
      <c r="D221" s="93">
        <f>_xlfn.XLOOKUP(A221,'NEW MODEL BY SES'!B:B,'NEW MODEL BY SES'!AD:AD,0,0)</f>
        <v>0</v>
      </c>
      <c r="F221" s="41" t="b">
        <f t="shared" si="3"/>
        <v>0</v>
      </c>
    </row>
    <row r="222" spans="1:6">
      <c r="A222" s="110">
        <v>40139</v>
      </c>
      <c r="B222" s="54" t="s">
        <v>899</v>
      </c>
      <c r="C222" s="69">
        <f>_xlfn.XLOOKUP(A222,'NEW MODEL BY SES'!B:B,'NEW MODEL BY SES'!AC:AC,0,0)</f>
        <v>0</v>
      </c>
      <c r="D222" s="93">
        <f>_xlfn.XLOOKUP(A222,'NEW MODEL BY SES'!B:B,'NEW MODEL BY SES'!AD:AD,0,0)</f>
        <v>0</v>
      </c>
      <c r="F222" s="41" t="b">
        <f t="shared" si="3"/>
        <v>0</v>
      </c>
    </row>
    <row r="223" spans="1:6">
      <c r="A223" s="110">
        <v>40141</v>
      </c>
      <c r="B223" s="54" t="s">
        <v>900</v>
      </c>
      <c r="C223" s="69">
        <f>_xlfn.XLOOKUP(A223,'NEW MODEL BY SES'!B:B,'NEW MODEL BY SES'!AC:AC,0,0)</f>
        <v>0</v>
      </c>
      <c r="D223" s="93">
        <f>_xlfn.XLOOKUP(A223,'NEW MODEL BY SES'!B:B,'NEW MODEL BY SES'!AD:AD,0,0)</f>
        <v>0</v>
      </c>
      <c r="F223" s="41" t="b">
        <f t="shared" si="3"/>
        <v>0</v>
      </c>
    </row>
    <row r="224" spans="1:6">
      <c r="A224" s="110">
        <v>40142</v>
      </c>
      <c r="B224" s="54" t="s">
        <v>901</v>
      </c>
      <c r="C224" s="69">
        <f>_xlfn.XLOOKUP(A224,'NEW MODEL BY SES'!B:B,'NEW MODEL BY SES'!AC:AC,0,0)</f>
        <v>0</v>
      </c>
      <c r="D224" s="93">
        <f>_xlfn.XLOOKUP(A224,'NEW MODEL BY SES'!B:B,'NEW MODEL BY SES'!AD:AD,0,0)</f>
        <v>0</v>
      </c>
      <c r="F224" s="41" t="b">
        <f t="shared" si="3"/>
        <v>0</v>
      </c>
    </row>
    <row r="225" spans="1:6">
      <c r="A225" s="110">
        <v>40144</v>
      </c>
      <c r="B225" s="54" t="s">
        <v>561</v>
      </c>
      <c r="C225" s="69">
        <f>_xlfn.XLOOKUP(A225,'NEW MODEL BY SES'!B:B,'NEW MODEL BY SES'!AC:AC,0,0)</f>
        <v>0</v>
      </c>
      <c r="D225" s="93">
        <f>_xlfn.XLOOKUP(A225,'NEW MODEL BY SES'!B:B,'NEW MODEL BY SES'!AD:AD,0,0)</f>
        <v>0</v>
      </c>
      <c r="F225" s="41" t="b">
        <f t="shared" si="3"/>
        <v>0</v>
      </c>
    </row>
    <row r="226" spans="1:6">
      <c r="A226" s="110">
        <v>40145</v>
      </c>
      <c r="B226" s="54" t="s">
        <v>625</v>
      </c>
      <c r="C226" s="69">
        <f>_xlfn.XLOOKUP(A226,'NEW MODEL BY SES'!B:B,'NEW MODEL BY SES'!AC:AC,0,0)</f>
        <v>0</v>
      </c>
      <c r="D226" s="93">
        <f>_xlfn.XLOOKUP(A226,'NEW MODEL BY SES'!B:B,'NEW MODEL BY SES'!AD:AD,0,0)</f>
        <v>0</v>
      </c>
      <c r="F226" s="41" t="b">
        <f t="shared" si="3"/>
        <v>0</v>
      </c>
    </row>
    <row r="227" spans="1:6">
      <c r="A227" s="110">
        <v>40146</v>
      </c>
      <c r="B227" s="54" t="s">
        <v>902</v>
      </c>
      <c r="C227" s="69">
        <f>_xlfn.XLOOKUP(A227,'NEW MODEL BY SES'!B:B,'NEW MODEL BY SES'!AC:AC,0,0)</f>
        <v>0</v>
      </c>
      <c r="D227" s="93">
        <f>_xlfn.XLOOKUP(A227,'NEW MODEL BY SES'!B:B,'NEW MODEL BY SES'!AD:AD,0,0)</f>
        <v>0</v>
      </c>
      <c r="F227" s="41" t="b">
        <f t="shared" si="3"/>
        <v>0</v>
      </c>
    </row>
    <row r="228" spans="1:6">
      <c r="A228" s="110">
        <v>40147</v>
      </c>
      <c r="B228" s="54" t="s">
        <v>903</v>
      </c>
      <c r="C228" s="69">
        <f>_xlfn.XLOOKUP(A228,'NEW MODEL BY SES'!B:B,'NEW MODEL BY SES'!AC:AC,0,0)</f>
        <v>0</v>
      </c>
      <c r="D228" s="93">
        <f>_xlfn.XLOOKUP(A228,'NEW MODEL BY SES'!B:B,'NEW MODEL BY SES'!AD:AD,0,0)</f>
        <v>0</v>
      </c>
      <c r="F228" s="41" t="b">
        <f t="shared" si="3"/>
        <v>0</v>
      </c>
    </row>
    <row r="229" spans="1:6">
      <c r="A229" s="110">
        <v>40148</v>
      </c>
      <c r="B229" s="54" t="s">
        <v>904</v>
      </c>
      <c r="C229" s="69">
        <f>_xlfn.XLOOKUP(A229,'NEW MODEL BY SES'!B:B,'NEW MODEL BY SES'!AC:AC,0,0)</f>
        <v>0</v>
      </c>
      <c r="D229" s="93">
        <f>_xlfn.XLOOKUP(A229,'NEW MODEL BY SES'!B:B,'NEW MODEL BY SES'!AD:AD,0,0)</f>
        <v>0</v>
      </c>
      <c r="F229" s="41" t="b">
        <f t="shared" si="3"/>
        <v>0</v>
      </c>
    </row>
    <row r="230" spans="1:6">
      <c r="A230" s="110">
        <v>40149</v>
      </c>
      <c r="B230" s="54" t="s">
        <v>905</v>
      </c>
      <c r="C230" s="69">
        <f>_xlfn.XLOOKUP(A230,'NEW MODEL BY SES'!B:B,'NEW MODEL BY SES'!AC:AC,0,0)</f>
        <v>0</v>
      </c>
      <c r="D230" s="93">
        <f>_xlfn.XLOOKUP(A230,'NEW MODEL BY SES'!B:B,'NEW MODEL BY SES'!AD:AD,0,0)</f>
        <v>0</v>
      </c>
      <c r="F230" s="41" t="b">
        <f t="shared" si="3"/>
        <v>0</v>
      </c>
    </row>
    <row r="231" spans="1:6">
      <c r="A231" s="110">
        <v>40202</v>
      </c>
      <c r="B231" s="54" t="s">
        <v>524</v>
      </c>
      <c r="C231" s="69">
        <f>_xlfn.XLOOKUP(A231,'NEW MODEL BY SES'!B:B,'NEW MODEL BY SES'!AC:AC,0,0)</f>
        <v>0</v>
      </c>
      <c r="D231" s="93">
        <f>_xlfn.XLOOKUP(A231,'NEW MODEL BY SES'!B:B,'NEW MODEL BY SES'!AD:AD,0,0)</f>
        <v>0</v>
      </c>
      <c r="F231" s="41" t="b">
        <f t="shared" si="3"/>
        <v>0</v>
      </c>
    </row>
    <row r="232" spans="1:6">
      <c r="A232" s="110">
        <v>40203</v>
      </c>
      <c r="B232" s="54" t="s">
        <v>906</v>
      </c>
      <c r="C232" s="69">
        <f>_xlfn.XLOOKUP(A232,'NEW MODEL BY SES'!B:B,'NEW MODEL BY SES'!AC:AC,0,0)</f>
        <v>0</v>
      </c>
      <c r="D232" s="93">
        <f>_xlfn.XLOOKUP(A232,'NEW MODEL BY SES'!B:B,'NEW MODEL BY SES'!AD:AD,0,0)</f>
        <v>0</v>
      </c>
      <c r="F232" s="41" t="b">
        <f t="shared" si="3"/>
        <v>0</v>
      </c>
    </row>
    <row r="233" spans="1:6">
      <c r="A233" s="110">
        <v>40204</v>
      </c>
      <c r="B233" s="54" t="s">
        <v>907</v>
      </c>
      <c r="C233" s="69">
        <f>_xlfn.XLOOKUP(A233,'NEW MODEL BY SES'!B:B,'NEW MODEL BY SES'!AC:AC,0,0)</f>
        <v>0</v>
      </c>
      <c r="D233" s="93">
        <f>_xlfn.XLOOKUP(A233,'NEW MODEL BY SES'!B:B,'NEW MODEL BY SES'!AD:AD,0,0)</f>
        <v>0</v>
      </c>
      <c r="F233" s="41" t="b">
        <f t="shared" si="3"/>
        <v>0</v>
      </c>
    </row>
    <row r="234" spans="1:6">
      <c r="A234" s="110">
        <v>40206</v>
      </c>
      <c r="B234" s="54" t="s">
        <v>605</v>
      </c>
      <c r="C234" s="69">
        <f>_xlfn.XLOOKUP(A234,'NEW MODEL BY SES'!B:B,'NEW MODEL BY SES'!AC:AC,0,0)</f>
        <v>0</v>
      </c>
      <c r="D234" s="93">
        <f>_xlfn.XLOOKUP(A234,'NEW MODEL BY SES'!B:B,'NEW MODEL BY SES'!AD:AD,0,0)</f>
        <v>0</v>
      </c>
      <c r="F234" s="41" t="b">
        <f t="shared" si="3"/>
        <v>0</v>
      </c>
    </row>
    <row r="235" spans="1:6">
      <c r="A235" s="110">
        <v>40207</v>
      </c>
      <c r="B235" s="54" t="s">
        <v>656</v>
      </c>
      <c r="C235" s="69">
        <f>_xlfn.XLOOKUP(A235,'NEW MODEL BY SES'!B:B,'NEW MODEL BY SES'!AC:AC,0,0)</f>
        <v>0</v>
      </c>
      <c r="D235" s="93">
        <f>_xlfn.XLOOKUP(A235,'NEW MODEL BY SES'!B:B,'NEW MODEL BY SES'!AD:AD,0,0)</f>
        <v>0</v>
      </c>
      <c r="F235" s="41" t="b">
        <f t="shared" si="3"/>
        <v>0</v>
      </c>
    </row>
    <row r="236" spans="1:6">
      <c r="A236" s="110">
        <v>40208</v>
      </c>
      <c r="B236" s="54" t="s">
        <v>908</v>
      </c>
      <c r="C236" s="69">
        <f>_xlfn.XLOOKUP(A236,'NEW MODEL BY SES'!B:B,'NEW MODEL BY SES'!AC:AC,0,0)</f>
        <v>0</v>
      </c>
      <c r="D236" s="93">
        <f>_xlfn.XLOOKUP(A236,'NEW MODEL BY SES'!B:B,'NEW MODEL BY SES'!AD:AD,0,0)</f>
        <v>0</v>
      </c>
      <c r="F236" s="41" t="b">
        <f t="shared" si="3"/>
        <v>0</v>
      </c>
    </row>
    <row r="237" spans="1:6">
      <c r="A237" s="110">
        <v>40209</v>
      </c>
      <c r="B237" s="54" t="s">
        <v>700</v>
      </c>
      <c r="C237" s="69">
        <f>_xlfn.XLOOKUP(A237,'NEW MODEL BY SES'!B:B,'NEW MODEL BY SES'!AC:AC,0,0)</f>
        <v>0</v>
      </c>
      <c r="D237" s="93">
        <f>_xlfn.XLOOKUP(A237,'NEW MODEL BY SES'!B:B,'NEW MODEL BY SES'!AD:AD,0,0)</f>
        <v>0</v>
      </c>
      <c r="F237" s="41" t="b">
        <f t="shared" si="3"/>
        <v>0</v>
      </c>
    </row>
    <row r="238" spans="1:6">
      <c r="A238" s="110">
        <v>40211</v>
      </c>
      <c r="B238" s="54" t="s">
        <v>909</v>
      </c>
      <c r="C238" s="69">
        <f>_xlfn.XLOOKUP(A238,'NEW MODEL BY SES'!B:B,'NEW MODEL BY SES'!AC:AC,0,0)</f>
        <v>0</v>
      </c>
      <c r="D238" s="93">
        <f>_xlfn.XLOOKUP(A238,'NEW MODEL BY SES'!B:B,'NEW MODEL BY SES'!AD:AD,0,0)</f>
        <v>0</v>
      </c>
      <c r="F238" s="41" t="b">
        <f t="shared" si="3"/>
        <v>0</v>
      </c>
    </row>
    <row r="239" spans="1:6">
      <c r="A239" s="110">
        <v>40212</v>
      </c>
      <c r="B239" s="54" t="s">
        <v>910</v>
      </c>
      <c r="C239" s="69">
        <f>_xlfn.XLOOKUP(A239,'NEW MODEL BY SES'!B:B,'NEW MODEL BY SES'!AC:AC,0,0)</f>
        <v>0</v>
      </c>
      <c r="D239" s="93">
        <f>_xlfn.XLOOKUP(A239,'NEW MODEL BY SES'!B:B,'NEW MODEL BY SES'!AD:AD,0,0)</f>
        <v>0</v>
      </c>
      <c r="F239" s="41" t="b">
        <f t="shared" si="3"/>
        <v>0</v>
      </c>
    </row>
    <row r="240" spans="1:6">
      <c r="A240" s="110">
        <v>40213</v>
      </c>
      <c r="B240" s="54" t="s">
        <v>911</v>
      </c>
      <c r="C240" s="69">
        <f>_xlfn.XLOOKUP(A240,'NEW MODEL BY SES'!B:B,'NEW MODEL BY SES'!AC:AC,0,0)</f>
        <v>0</v>
      </c>
      <c r="D240" s="93">
        <f>_xlfn.XLOOKUP(A240,'NEW MODEL BY SES'!B:B,'NEW MODEL BY SES'!AD:AD,0,0)</f>
        <v>0</v>
      </c>
      <c r="F240" s="41" t="b">
        <f t="shared" si="3"/>
        <v>0</v>
      </c>
    </row>
  </sheetData>
  <conditionalFormatting sqref="D2:D240">
    <cfRule type="expression" dxfId="14" priority="7">
      <formula>$Y2=$X$20</formula>
    </cfRule>
    <cfRule type="expression" dxfId="13" priority="8">
      <formula>$Y2=$X$19</formula>
    </cfRule>
    <cfRule type="expression" dxfId="12" priority="9">
      <formula>$Y2=$X$18</formula>
    </cfRule>
    <cfRule type="expression" dxfId="11" priority="10">
      <formula>$Y2=$X$17</formula>
    </cfRule>
  </conditionalFormatting>
  <pageMargins left="0.7" right="0.7" top="0.75" bottom="0.75" header="0.3" footer="0.3"/>
  <pageSetup paperSize="9" orientation="portrait" copies="4"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C04E-D0B3-4B5B-A709-A8265AC705AC}">
  <sheetPr>
    <tabColor theme="4" tint="0.79998168889431442"/>
  </sheetPr>
  <dimension ref="A1:Z1115"/>
  <sheetViews>
    <sheetView workbookViewId="0">
      <pane xSplit="4" ySplit="7" topLeftCell="E8" activePane="bottomRight" state="frozen"/>
      <selection pane="bottomRight" activeCell="I24" sqref="I24"/>
      <selection pane="bottomLeft" activeCell="A8" sqref="A8"/>
      <selection pane="topRight" activeCell="E1" sqref="E1"/>
    </sheetView>
  </sheetViews>
  <sheetFormatPr defaultRowHeight="15"/>
  <cols>
    <col min="1" max="1" width="20.42578125" customWidth="1"/>
    <col min="2" max="2" width="11.28515625" style="13" customWidth="1"/>
    <col min="3" max="3" width="35" bestFit="1" customWidth="1"/>
    <col min="4" max="4" width="11.28515625" style="135" customWidth="1"/>
    <col min="5" max="5" width="7.42578125" style="110" customWidth="1"/>
    <col min="6" max="10" width="11" style="135" customWidth="1"/>
    <col min="11" max="11" width="9.7109375" style="135" customWidth="1"/>
    <col min="12" max="13" width="11" style="135" customWidth="1"/>
    <col min="14" max="14" width="11.7109375" style="135" customWidth="1"/>
    <col min="15" max="15" width="8" style="135" customWidth="1"/>
    <col min="16" max="16" width="11" style="135" customWidth="1"/>
    <col min="17" max="17" width="8.5703125" style="135" customWidth="1"/>
    <col min="18" max="18" width="11" style="135" customWidth="1"/>
    <col min="19" max="19" width="4.5703125" style="135" customWidth="1"/>
    <col min="20" max="23" width="11" style="135" customWidth="1"/>
  </cols>
  <sheetData>
    <row r="1" spans="1:26">
      <c r="F1" s="295" t="e">
        <f>'NEW MODEL BY SES'!#REF!</f>
        <v>#REF!</v>
      </c>
      <c r="G1" s="337" t="e">
        <f>'NEW MODEL BY SES'!#REF!</f>
        <v>#REF!</v>
      </c>
      <c r="H1" s="337"/>
      <c r="W1"/>
    </row>
    <row r="2" spans="1:26" ht="15.75">
      <c r="B2" s="33" t="s">
        <v>912</v>
      </c>
      <c r="C2" s="33"/>
      <c r="F2" s="144" t="e">
        <f>'NEW MODEL BY SES'!#REF!</f>
        <v>#REF!</v>
      </c>
      <c r="G2" s="117" t="e">
        <f>'NEW MODEL BY SES'!#REF!</f>
        <v>#REF!</v>
      </c>
      <c r="H2" s="118" t="e">
        <f>'NEW MODEL BY SES'!#REF!</f>
        <v>#REF!</v>
      </c>
      <c r="V2"/>
      <c r="W2"/>
    </row>
    <row r="3" spans="1:26" ht="15.75">
      <c r="F3" s="144" t="e">
        <f>'NEW MODEL BY SES'!#REF!</f>
        <v>#REF!</v>
      </c>
      <c r="G3" s="119" t="e">
        <f>'NEW MODEL BY SES'!#REF!</f>
        <v>#REF!</v>
      </c>
      <c r="H3" s="120" t="e">
        <f>'NEW MODEL BY SES'!#REF!</f>
        <v>#REF!</v>
      </c>
      <c r="V3"/>
      <c r="W3"/>
    </row>
    <row r="4" spans="1:26" ht="15.75">
      <c r="F4" s="144" t="e">
        <f>'NEW MODEL BY SES'!#REF!</f>
        <v>#REF!</v>
      </c>
      <c r="G4" s="119" t="e">
        <f>'NEW MODEL BY SES'!#REF!</f>
        <v>#REF!</v>
      </c>
      <c r="H4" s="120" t="e">
        <f>'NEW MODEL BY SES'!#REF!</f>
        <v>#REF!</v>
      </c>
      <c r="V4"/>
      <c r="W4"/>
    </row>
    <row r="5" spans="1:26" ht="15.75">
      <c r="A5" s="97" t="s">
        <v>750</v>
      </c>
      <c r="B5" s="13" t="s">
        <v>913</v>
      </c>
      <c r="F5" s="144" t="e">
        <f>'NEW MODEL BY SES'!#REF!</f>
        <v>#REF!</v>
      </c>
      <c r="G5" s="119" t="e">
        <f>'NEW MODEL BY SES'!#REF!</f>
        <v>#REF!</v>
      </c>
      <c r="H5" s="120" t="e">
        <f>'NEW MODEL BY SES'!#REF!</f>
        <v>#REF!</v>
      </c>
      <c r="V5"/>
      <c r="W5"/>
    </row>
    <row r="6" spans="1:26">
      <c r="E6"/>
      <c r="F6"/>
      <c r="G6"/>
      <c r="H6"/>
      <c r="I6"/>
      <c r="J6"/>
      <c r="K6"/>
      <c r="L6"/>
      <c r="M6"/>
      <c r="N6"/>
      <c r="O6"/>
      <c r="P6"/>
      <c r="Q6"/>
      <c r="R6"/>
      <c r="S6"/>
      <c r="T6"/>
      <c r="U6"/>
      <c r="V6"/>
      <c r="W6"/>
    </row>
    <row r="7" spans="1:26" ht="60">
      <c r="A7" s="97" t="s">
        <v>914</v>
      </c>
      <c r="B7" s="134" t="s">
        <v>64</v>
      </c>
      <c r="C7" s="97" t="s">
        <v>501</v>
      </c>
      <c r="D7" s="134" t="s">
        <v>915</v>
      </c>
      <c r="E7"/>
      <c r="F7" s="143" t="s">
        <v>53</v>
      </c>
      <c r="G7" s="143" t="s">
        <v>54</v>
      </c>
      <c r="H7" s="145" t="s">
        <v>916</v>
      </c>
      <c r="I7" s="145" t="s">
        <v>60</v>
      </c>
      <c r="J7" s="143" t="s">
        <v>917</v>
      </c>
      <c r="K7" s="143" t="s">
        <v>918</v>
      </c>
      <c r="L7" s="145" t="s">
        <v>919</v>
      </c>
      <c r="M7" s="145" t="s">
        <v>920</v>
      </c>
      <c r="N7" s="143" t="s">
        <v>921</v>
      </c>
      <c r="O7" s="143" t="s">
        <v>922</v>
      </c>
      <c r="P7" s="145" t="s">
        <v>923</v>
      </c>
      <c r="Q7" s="145" t="s">
        <v>924</v>
      </c>
      <c r="R7" s="143" t="s">
        <v>925</v>
      </c>
      <c r="S7" s="143" t="s">
        <v>926</v>
      </c>
      <c r="T7" s="143" t="s">
        <v>927</v>
      </c>
      <c r="U7" s="145" t="s">
        <v>928</v>
      </c>
      <c r="V7" s="145" t="s">
        <v>62</v>
      </c>
      <c r="W7" s="143" t="s">
        <v>929</v>
      </c>
      <c r="X7" s="143" t="s">
        <v>930</v>
      </c>
      <c r="Z7" s="143" t="s">
        <v>931</v>
      </c>
    </row>
    <row r="8" spans="1:26">
      <c r="A8" t="s">
        <v>932</v>
      </c>
      <c r="B8" s="57">
        <v>200</v>
      </c>
      <c r="C8" t="s">
        <v>933</v>
      </c>
      <c r="D8" t="s">
        <v>33</v>
      </c>
      <c r="E8"/>
      <c r="F8" s="140" t="s">
        <v>934</v>
      </c>
      <c r="G8" s="140" t="str">
        <f>IFERROR(VLOOKUP($C8,'NEW MODEL BY SES'!$C$19:$R$242,MATCH('SeS in Retail Sales Areas'!G$7,'NEW MODEL BY SES'!$C$17:$R$17,0),0),"")</f>
        <v/>
      </c>
      <c r="H8" s="142" t="str">
        <f>IFERROR(VLOOKUP($C8,'NEW MODEL BY SES'!$C$19:$R$242,MATCH('SeS in Retail Sales Areas'!H$7,'NEW MODEL BY SES'!$C$17:$R$17,0),0),"")</f>
        <v/>
      </c>
      <c r="I8" s="140" t="str">
        <f>IFERROR(VLOOKUP($C8,'NEW MODEL BY SES'!$C$19:$R$242,MATCH('SeS in Retail Sales Areas'!I$7,'NEW MODEL BY SES'!$C$17:$R$17,0),0),"")</f>
        <v/>
      </c>
      <c r="J8" s="142" t="str">
        <f>IFERROR(VLOOKUP($C8,'NEW MODEL BY SES'!$C$19:$R$242,MATCH('SeS in Retail Sales Areas'!J$7,'NEW MODEL BY SES'!$C$17:$R$17,0),0),"")</f>
        <v/>
      </c>
      <c r="K8" s="140" t="str">
        <f>IFERROR(VLOOKUP($C8,'NEW MODEL BY SES'!$C$19:$R$242,MATCH('SeS in Retail Sales Areas'!K$7,'NEW MODEL BY SES'!$C$17:$R$17,0),0),"")</f>
        <v/>
      </c>
      <c r="L8" s="142" t="str">
        <f>IFERROR(VLOOKUP($C8,'NEW MODEL BY SES'!$C$19:$R$242,MATCH('SeS in Retail Sales Areas'!L$7,'NEW MODEL BY SES'!$C$17:$R$17,0),0),"")</f>
        <v/>
      </c>
      <c r="M8" s="140" t="str">
        <f>IFERROR(VLOOKUP($C8,'NEW MODEL BY SES'!$C$19:$R$242,MATCH('SeS in Retail Sales Areas'!M$7,'NEW MODEL BY SES'!$C$17:$R$17,0),0),"")</f>
        <v/>
      </c>
      <c r="N8" s="142" t="str">
        <f>IFERROR(VLOOKUP($C8,'NEW MODEL BY SES'!$C$19:$R$242,MATCH('SeS in Retail Sales Areas'!N$7,'NEW MODEL BY SES'!$C$17:$R$17,0),0),"")</f>
        <v/>
      </c>
      <c r="O8" s="140" t="str">
        <f>IFERROR(VLOOKUP($C8,'NEW MODEL BY SES'!$C$19:$R$242,MATCH('SeS in Retail Sales Areas'!O$7,'NEW MODEL BY SES'!$C$17:$R$17,0),0),"")</f>
        <v/>
      </c>
      <c r="P8" s="142" t="str">
        <f>IFERROR(VLOOKUP($C8,'NEW MODEL BY SES'!$C$19:$R$242,MATCH('SeS in Retail Sales Areas'!P$7,'NEW MODEL BY SES'!$C$17:$R$17,0),0),"")</f>
        <v/>
      </c>
      <c r="Q8" s="140" t="str">
        <f>IFERROR(VLOOKUP($C8,'NEW MODEL BY SES'!$C$19:$R$242,MATCH('SeS in Retail Sales Areas'!Q$7,'NEW MODEL BY SES'!$C$17:$R$17,0),0),"")</f>
        <v/>
      </c>
      <c r="R8" s="142" t="str">
        <f>IFERROR(VLOOKUP($C8,'NEW MODEL BY SES'!$C$19:$R$242,MATCH('SeS in Retail Sales Areas'!R$7,'NEW MODEL BY SES'!$C$17:$R$17,0),0),"")</f>
        <v/>
      </c>
      <c r="S8" s="141" t="str">
        <f>IFERROR(VLOOKUP($C8,'NEW MODEL BY SES'!$C$19:$R$242,MATCH('SeS in Retail Sales Areas'!S$7,'NEW MODEL BY SES'!$C$17:$R$17,0),0),"")</f>
        <v/>
      </c>
      <c r="T8" s="140" t="str">
        <f>IFERROR(VLOOKUP($C8,'NEW MODEL BY SES'!$C$19:$R$242,MATCH('SeS in Retail Sales Areas'!T$7,'NEW MODEL BY SES'!$C$17:$R$17,0),0),"")</f>
        <v/>
      </c>
      <c r="U8" s="142" t="str">
        <f>IFERROR(VLOOKUP($C8,'NEW MODEL BY SES'!$C$19:$R$242,MATCH('SeS in Retail Sales Areas'!U$7,'NEW MODEL BY SES'!$C$17:$R$17,0),0),"")</f>
        <v/>
      </c>
      <c r="V8" s="140" t="str">
        <f>IFERROR(VLOOKUP($C8,'NEW MODEL BY SES'!$C$19:$R$242,MATCH('SeS in Retail Sales Areas'!V$7,'NEW MODEL BY SES'!$C$17:$R$17,0),0),"")</f>
        <v/>
      </c>
      <c r="W8" s="141" t="str">
        <f>IFERROR(VLOOKUP($C8,'NEW MODEL BY SES'!$C$19:$R$242,MATCH('SeS in Retail Sales Areas'!W$7,'NEW MODEL BY SES'!$C$17:$R$17,0),0),"")</f>
        <v/>
      </c>
      <c r="X8" s="140" t="str">
        <f>IFERROR(VLOOKUP($C8,'NEW MODEL BY SES'!$C$19:$R$242,MATCH('SeS in Retail Sales Areas'!X$7,'NEW MODEL BY SES'!$C$17:$R$17,0),0),"")</f>
        <v/>
      </c>
      <c r="Z8" s="57"/>
    </row>
    <row r="9" spans="1:26">
      <c r="A9" t="s">
        <v>932</v>
      </c>
      <c r="B9" s="57">
        <v>190</v>
      </c>
      <c r="C9" t="s">
        <v>935</v>
      </c>
      <c r="D9" t="s">
        <v>33</v>
      </c>
      <c r="E9"/>
      <c r="F9" s="140" t="str">
        <f>IFERROR(VLOOKUP($C9,'NEW MODEL BY SES'!$C$19:$R$242,MATCH('SeS in Retail Sales Areas'!F$7,'NEW MODEL BY SES'!$C$17:$R$17,0),0),"")</f>
        <v/>
      </c>
      <c r="G9" s="140" t="str">
        <f>IFERROR(VLOOKUP($C9,'NEW MODEL BY SES'!$C$19:$R$242,MATCH('SeS in Retail Sales Areas'!G$7,'NEW MODEL BY SES'!$C$17:$R$17,0),0),"")</f>
        <v/>
      </c>
      <c r="H9" s="142" t="str">
        <f>IFERROR(VLOOKUP($C9,'NEW MODEL BY SES'!$C$19:$R$242,MATCH('SeS in Retail Sales Areas'!H$7,'NEW MODEL BY SES'!$C$17:$R$17,0),0),"")</f>
        <v/>
      </c>
      <c r="I9" s="140" t="str">
        <f>IFERROR(VLOOKUP($C9,'NEW MODEL BY SES'!$C$19:$R$242,MATCH('SeS in Retail Sales Areas'!I$7,'NEW MODEL BY SES'!$C$17:$R$17,0),0),"")</f>
        <v/>
      </c>
      <c r="J9" s="142" t="str">
        <f>IFERROR(VLOOKUP($C9,'NEW MODEL BY SES'!$C$19:$R$242,MATCH('SeS in Retail Sales Areas'!J$7,'NEW MODEL BY SES'!$C$17:$R$17,0),0),"")</f>
        <v/>
      </c>
      <c r="K9" s="140" t="str">
        <f>IFERROR(VLOOKUP($C9,'NEW MODEL BY SES'!$C$19:$R$242,MATCH('SeS in Retail Sales Areas'!K$7,'NEW MODEL BY SES'!$C$17:$R$17,0),0),"")</f>
        <v/>
      </c>
      <c r="L9" s="142" t="str">
        <f>IFERROR(VLOOKUP($C9,'NEW MODEL BY SES'!$C$19:$R$242,MATCH('SeS in Retail Sales Areas'!L$7,'NEW MODEL BY SES'!$C$17:$R$17,0),0),"")</f>
        <v/>
      </c>
      <c r="M9" s="140" t="str">
        <f>IFERROR(VLOOKUP($C9,'NEW MODEL BY SES'!$C$19:$R$242,MATCH('SeS in Retail Sales Areas'!M$7,'NEW MODEL BY SES'!$C$17:$R$17,0),0),"")</f>
        <v/>
      </c>
      <c r="N9" s="142" t="str">
        <f>IFERROR(VLOOKUP($C9,'NEW MODEL BY SES'!$C$19:$R$242,MATCH('SeS in Retail Sales Areas'!N$7,'NEW MODEL BY SES'!$C$17:$R$17,0),0),"")</f>
        <v/>
      </c>
      <c r="O9" s="140" t="str">
        <f>IFERROR(VLOOKUP($C9,'NEW MODEL BY SES'!$C$19:$R$242,MATCH('SeS in Retail Sales Areas'!O$7,'NEW MODEL BY SES'!$C$17:$R$17,0),0),"")</f>
        <v/>
      </c>
      <c r="P9" s="142" t="str">
        <f>IFERROR(VLOOKUP($C9,'NEW MODEL BY SES'!$C$19:$R$242,MATCH('SeS in Retail Sales Areas'!P$7,'NEW MODEL BY SES'!$C$17:$R$17,0),0),"")</f>
        <v/>
      </c>
      <c r="Q9" s="140" t="str">
        <f>IFERROR(VLOOKUP($C9,'NEW MODEL BY SES'!$C$19:$R$242,MATCH('SeS in Retail Sales Areas'!Q$7,'NEW MODEL BY SES'!$C$17:$R$17,0),0),"")</f>
        <v/>
      </c>
      <c r="R9" s="142" t="str">
        <f>IFERROR(VLOOKUP($C9,'NEW MODEL BY SES'!$C$19:$R$242,MATCH('SeS in Retail Sales Areas'!R$7,'NEW MODEL BY SES'!$C$17:$R$17,0),0),"")</f>
        <v/>
      </c>
      <c r="S9" s="141" t="str">
        <f>IFERROR(VLOOKUP($C9,'NEW MODEL BY SES'!$C$19:$R$242,MATCH('SeS in Retail Sales Areas'!S$7,'NEW MODEL BY SES'!$C$17:$R$17,0),0),"")</f>
        <v/>
      </c>
      <c r="T9" s="140" t="str">
        <f>IFERROR(VLOOKUP($C9,'NEW MODEL BY SES'!$C$19:$R$242,MATCH('SeS in Retail Sales Areas'!T$7,'NEW MODEL BY SES'!$C$17:$R$17,0),0),"")</f>
        <v/>
      </c>
      <c r="U9" s="142" t="str">
        <f>IFERROR(VLOOKUP($C9,'NEW MODEL BY SES'!$C$19:$R$242,MATCH('SeS in Retail Sales Areas'!U$7,'NEW MODEL BY SES'!$C$17:$R$17,0),0),"")</f>
        <v/>
      </c>
      <c r="V9" s="140" t="str">
        <f>IFERROR(VLOOKUP($C9,'NEW MODEL BY SES'!$C$19:$R$242,MATCH('SeS in Retail Sales Areas'!V$7,'NEW MODEL BY SES'!$C$17:$R$17,0),0),"")</f>
        <v/>
      </c>
      <c r="W9" s="141" t="str">
        <f>IFERROR(VLOOKUP($C9,'NEW MODEL BY SES'!$C$19:$R$242,MATCH('SeS in Retail Sales Areas'!W$7,'NEW MODEL BY SES'!$C$17:$R$17,0),0),"")</f>
        <v/>
      </c>
      <c r="X9" s="140" t="str">
        <f>IFERROR(VLOOKUP($C9,'NEW MODEL BY SES'!$C$19:$R$242,MATCH('SeS in Retail Sales Areas'!X$7,'NEW MODEL BY SES'!$C$17:$R$17,0),0),"")</f>
        <v/>
      </c>
      <c r="Z9" s="57"/>
    </row>
    <row r="10" spans="1:26">
      <c r="A10" t="s">
        <v>932</v>
      </c>
      <c r="B10" s="57">
        <v>155</v>
      </c>
      <c r="C10" t="s">
        <v>936</v>
      </c>
      <c r="D10" t="s">
        <v>38</v>
      </c>
      <c r="E10"/>
      <c r="F10" s="140" t="str">
        <f>IFERROR(VLOOKUP($C10,'NEW MODEL BY SES'!$C$19:$R$242,MATCH('SeS in Retail Sales Areas'!F$7,'NEW MODEL BY SES'!$C$17:$R$17,0),0),"")</f>
        <v/>
      </c>
      <c r="G10" s="140" t="str">
        <f>IFERROR(VLOOKUP($C10,'NEW MODEL BY SES'!$C$19:$R$242,MATCH('SeS in Retail Sales Areas'!G$7,'NEW MODEL BY SES'!$C$17:$R$17,0),0),"")</f>
        <v/>
      </c>
      <c r="H10" s="142" t="str">
        <f>IFERROR(VLOOKUP($C10,'NEW MODEL BY SES'!$C$19:$R$242,MATCH('SeS in Retail Sales Areas'!H$7,'NEW MODEL BY SES'!$C$17:$R$17,0),0),"")</f>
        <v/>
      </c>
      <c r="I10" s="140" t="str">
        <f>IFERROR(VLOOKUP($C10,'NEW MODEL BY SES'!$C$19:$R$242,MATCH('SeS in Retail Sales Areas'!I$7,'NEW MODEL BY SES'!$C$17:$R$17,0),0),"")</f>
        <v/>
      </c>
      <c r="J10" s="142" t="str">
        <f>IFERROR(VLOOKUP($C10,'NEW MODEL BY SES'!$C$19:$R$242,MATCH('SeS in Retail Sales Areas'!J$7,'NEW MODEL BY SES'!$C$17:$R$17,0),0),"")</f>
        <v/>
      </c>
      <c r="K10" s="140" t="str">
        <f>IFERROR(VLOOKUP($C10,'NEW MODEL BY SES'!$C$19:$R$242,MATCH('SeS in Retail Sales Areas'!K$7,'NEW MODEL BY SES'!$C$17:$R$17,0),0),"")</f>
        <v/>
      </c>
      <c r="L10" s="142" t="str">
        <f>IFERROR(VLOOKUP($C10,'NEW MODEL BY SES'!$C$19:$R$242,MATCH('SeS in Retail Sales Areas'!L$7,'NEW MODEL BY SES'!$C$17:$R$17,0),0),"")</f>
        <v/>
      </c>
      <c r="M10" s="140" t="str">
        <f>IFERROR(VLOOKUP($C10,'NEW MODEL BY SES'!$C$19:$R$242,MATCH('SeS in Retail Sales Areas'!M$7,'NEW MODEL BY SES'!$C$17:$R$17,0),0),"")</f>
        <v/>
      </c>
      <c r="N10" s="142" t="str">
        <f>IFERROR(VLOOKUP($C10,'NEW MODEL BY SES'!$C$19:$R$242,MATCH('SeS in Retail Sales Areas'!N$7,'NEW MODEL BY SES'!$C$17:$R$17,0),0),"")</f>
        <v/>
      </c>
      <c r="O10" s="140" t="str">
        <f>IFERROR(VLOOKUP($C10,'NEW MODEL BY SES'!$C$19:$R$242,MATCH('SeS in Retail Sales Areas'!O$7,'NEW MODEL BY SES'!$C$17:$R$17,0),0),"")</f>
        <v/>
      </c>
      <c r="P10" s="142" t="str">
        <f>IFERROR(VLOOKUP($C10,'NEW MODEL BY SES'!$C$19:$R$242,MATCH('SeS in Retail Sales Areas'!P$7,'NEW MODEL BY SES'!$C$17:$R$17,0),0),"")</f>
        <v/>
      </c>
      <c r="Q10" s="140" t="str">
        <f>IFERROR(VLOOKUP($C10,'NEW MODEL BY SES'!$C$19:$R$242,MATCH('SeS in Retail Sales Areas'!Q$7,'NEW MODEL BY SES'!$C$17:$R$17,0),0),"")</f>
        <v/>
      </c>
      <c r="R10" s="142" t="str">
        <f>IFERROR(VLOOKUP($C10,'NEW MODEL BY SES'!$C$19:$R$242,MATCH('SeS in Retail Sales Areas'!R$7,'NEW MODEL BY SES'!$C$17:$R$17,0),0),"")</f>
        <v/>
      </c>
      <c r="S10" s="141" t="str">
        <f>IFERROR(VLOOKUP($C10,'NEW MODEL BY SES'!$C$19:$R$242,MATCH('SeS in Retail Sales Areas'!S$7,'NEW MODEL BY SES'!$C$17:$R$17,0),0),"")</f>
        <v/>
      </c>
      <c r="T10" s="140" t="str">
        <f>IFERROR(VLOOKUP($C10,'NEW MODEL BY SES'!$C$19:$R$242,MATCH('SeS in Retail Sales Areas'!T$7,'NEW MODEL BY SES'!$C$17:$R$17,0),0),"")</f>
        <v/>
      </c>
      <c r="U10" s="142" t="str">
        <f>IFERROR(VLOOKUP($C10,'NEW MODEL BY SES'!$C$19:$R$242,MATCH('SeS in Retail Sales Areas'!U$7,'NEW MODEL BY SES'!$C$17:$R$17,0),0),"")</f>
        <v/>
      </c>
      <c r="V10" s="140" t="str">
        <f>IFERROR(VLOOKUP($C10,'NEW MODEL BY SES'!$C$19:$R$242,MATCH('SeS in Retail Sales Areas'!V$7,'NEW MODEL BY SES'!$C$17:$R$17,0),0),"")</f>
        <v/>
      </c>
      <c r="W10" s="141" t="str">
        <f>IFERROR(VLOOKUP($C10,'NEW MODEL BY SES'!$C$19:$R$242,MATCH('SeS in Retail Sales Areas'!W$7,'NEW MODEL BY SES'!$C$17:$R$17,0),0),"")</f>
        <v/>
      </c>
      <c r="X10" s="140" t="str">
        <f>IFERROR(VLOOKUP($C10,'NEW MODEL BY SES'!$C$19:$R$242,MATCH('SeS in Retail Sales Areas'!X$7,'NEW MODEL BY SES'!$C$17:$R$17,0),0),"")</f>
        <v/>
      </c>
      <c r="Z10" s="57"/>
    </row>
    <row r="11" spans="1:26">
      <c r="A11" t="s">
        <v>932</v>
      </c>
      <c r="B11" s="57">
        <v>154</v>
      </c>
      <c r="C11" t="s">
        <v>937</v>
      </c>
      <c r="D11" t="s">
        <v>38</v>
      </c>
      <c r="E11"/>
      <c r="F11" s="140" t="str">
        <f>IFERROR(VLOOKUP($C11,'NEW MODEL BY SES'!$C$19:$R$242,MATCH('SeS in Retail Sales Areas'!F$7,'NEW MODEL BY SES'!$C$17:$R$17,0),0),"")</f>
        <v/>
      </c>
      <c r="G11" s="140" t="str">
        <f>IFERROR(VLOOKUP($C11,'NEW MODEL BY SES'!$C$19:$R$242,MATCH('SeS in Retail Sales Areas'!G$7,'NEW MODEL BY SES'!$C$17:$R$17,0),0),"")</f>
        <v/>
      </c>
      <c r="H11" s="142" t="str">
        <f>IFERROR(VLOOKUP($C11,'NEW MODEL BY SES'!$C$19:$R$242,MATCH('SeS in Retail Sales Areas'!H$7,'NEW MODEL BY SES'!$C$17:$R$17,0),0),"")</f>
        <v/>
      </c>
      <c r="I11" s="140" t="str">
        <f>IFERROR(VLOOKUP($C11,'NEW MODEL BY SES'!$C$19:$R$242,MATCH('SeS in Retail Sales Areas'!I$7,'NEW MODEL BY SES'!$C$17:$R$17,0),0),"")</f>
        <v/>
      </c>
      <c r="J11" s="142" t="str">
        <f>IFERROR(VLOOKUP($C11,'NEW MODEL BY SES'!$C$19:$R$242,MATCH('SeS in Retail Sales Areas'!J$7,'NEW MODEL BY SES'!$C$17:$R$17,0),0),"")</f>
        <v/>
      </c>
      <c r="K11" s="140" t="str">
        <f>IFERROR(VLOOKUP($C11,'NEW MODEL BY SES'!$C$19:$R$242,MATCH('SeS in Retail Sales Areas'!K$7,'NEW MODEL BY SES'!$C$17:$R$17,0),0),"")</f>
        <v/>
      </c>
      <c r="L11" s="142" t="str">
        <f>IFERROR(VLOOKUP($C11,'NEW MODEL BY SES'!$C$19:$R$242,MATCH('SeS in Retail Sales Areas'!L$7,'NEW MODEL BY SES'!$C$17:$R$17,0),0),"")</f>
        <v/>
      </c>
      <c r="M11" s="140" t="str">
        <f>IFERROR(VLOOKUP($C11,'NEW MODEL BY SES'!$C$19:$R$242,MATCH('SeS in Retail Sales Areas'!M$7,'NEW MODEL BY SES'!$C$17:$R$17,0),0),"")</f>
        <v/>
      </c>
      <c r="N11" s="142" t="str">
        <f>IFERROR(VLOOKUP($C11,'NEW MODEL BY SES'!$C$19:$R$242,MATCH('SeS in Retail Sales Areas'!N$7,'NEW MODEL BY SES'!$C$17:$R$17,0),0),"")</f>
        <v/>
      </c>
      <c r="O11" s="140" t="str">
        <f>IFERROR(VLOOKUP($C11,'NEW MODEL BY SES'!$C$19:$R$242,MATCH('SeS in Retail Sales Areas'!O$7,'NEW MODEL BY SES'!$C$17:$R$17,0),0),"")</f>
        <v/>
      </c>
      <c r="P11" s="142" t="str">
        <f>IFERROR(VLOOKUP($C11,'NEW MODEL BY SES'!$C$19:$R$242,MATCH('SeS in Retail Sales Areas'!P$7,'NEW MODEL BY SES'!$C$17:$R$17,0),0),"")</f>
        <v/>
      </c>
      <c r="Q11" s="140" t="str">
        <f>IFERROR(VLOOKUP($C11,'NEW MODEL BY SES'!$C$19:$R$242,MATCH('SeS in Retail Sales Areas'!Q$7,'NEW MODEL BY SES'!$C$17:$R$17,0),0),"")</f>
        <v/>
      </c>
      <c r="R11" s="142" t="str">
        <f>IFERROR(VLOOKUP($C11,'NEW MODEL BY SES'!$C$19:$R$242,MATCH('SeS in Retail Sales Areas'!R$7,'NEW MODEL BY SES'!$C$17:$R$17,0),0),"")</f>
        <v/>
      </c>
      <c r="S11" s="141" t="str">
        <f>IFERROR(VLOOKUP($C11,'NEW MODEL BY SES'!$C$19:$R$242,MATCH('SeS in Retail Sales Areas'!S$7,'NEW MODEL BY SES'!$C$17:$R$17,0),0),"")</f>
        <v/>
      </c>
      <c r="T11" s="140" t="str">
        <f>IFERROR(VLOOKUP($C11,'NEW MODEL BY SES'!$C$19:$R$242,MATCH('SeS in Retail Sales Areas'!T$7,'NEW MODEL BY SES'!$C$17:$R$17,0),0),"")</f>
        <v/>
      </c>
      <c r="U11" s="142" t="str">
        <f>IFERROR(VLOOKUP($C11,'NEW MODEL BY SES'!$C$19:$R$242,MATCH('SeS in Retail Sales Areas'!U$7,'NEW MODEL BY SES'!$C$17:$R$17,0),0),"")</f>
        <v/>
      </c>
      <c r="V11" s="140" t="str">
        <f>IFERROR(VLOOKUP($C11,'NEW MODEL BY SES'!$C$19:$R$242,MATCH('SeS in Retail Sales Areas'!V$7,'NEW MODEL BY SES'!$C$17:$R$17,0),0),"")</f>
        <v/>
      </c>
      <c r="W11" s="141" t="str">
        <f>IFERROR(VLOOKUP($C11,'NEW MODEL BY SES'!$C$19:$R$242,MATCH('SeS in Retail Sales Areas'!W$7,'NEW MODEL BY SES'!$C$17:$R$17,0),0),"")</f>
        <v/>
      </c>
      <c r="X11" s="140" t="str">
        <f>IFERROR(VLOOKUP($C11,'NEW MODEL BY SES'!$C$19:$R$242,MATCH('SeS in Retail Sales Areas'!X$7,'NEW MODEL BY SES'!$C$17:$R$17,0),0),"")</f>
        <v/>
      </c>
      <c r="Z11" s="57"/>
    </row>
    <row r="12" spans="1:26">
      <c r="A12" t="s">
        <v>932</v>
      </c>
      <c r="B12" s="57">
        <v>153</v>
      </c>
      <c r="C12" t="s">
        <v>938</v>
      </c>
      <c r="D12" t="s">
        <v>38</v>
      </c>
      <c r="E12"/>
      <c r="F12" s="140" t="str">
        <f>IFERROR(VLOOKUP($C12,'NEW MODEL BY SES'!$C$19:$R$242,MATCH('SeS in Retail Sales Areas'!F$7,'NEW MODEL BY SES'!$C$17:$R$17,0),0),"")</f>
        <v/>
      </c>
      <c r="G12" s="140" t="str">
        <f>IFERROR(VLOOKUP($C12,'NEW MODEL BY SES'!$C$19:$R$242,MATCH('SeS in Retail Sales Areas'!G$7,'NEW MODEL BY SES'!$C$17:$R$17,0),0),"")</f>
        <v/>
      </c>
      <c r="H12" s="142" t="str">
        <f>IFERROR(VLOOKUP($C12,'NEW MODEL BY SES'!$C$19:$R$242,MATCH('SeS in Retail Sales Areas'!H$7,'NEW MODEL BY SES'!$C$17:$R$17,0),0),"")</f>
        <v/>
      </c>
      <c r="I12" s="140" t="str">
        <f>IFERROR(VLOOKUP($C12,'NEW MODEL BY SES'!$C$19:$R$242,MATCH('SeS in Retail Sales Areas'!I$7,'NEW MODEL BY SES'!$C$17:$R$17,0),0),"")</f>
        <v/>
      </c>
      <c r="J12" s="142" t="str">
        <f>IFERROR(VLOOKUP($C12,'NEW MODEL BY SES'!$C$19:$R$242,MATCH('SeS in Retail Sales Areas'!J$7,'NEW MODEL BY SES'!$C$17:$R$17,0),0),"")</f>
        <v/>
      </c>
      <c r="K12" s="140" t="str">
        <f>IFERROR(VLOOKUP($C12,'NEW MODEL BY SES'!$C$19:$R$242,MATCH('SeS in Retail Sales Areas'!K$7,'NEW MODEL BY SES'!$C$17:$R$17,0),0),"")</f>
        <v/>
      </c>
      <c r="L12" s="142" t="str">
        <f>IFERROR(VLOOKUP($C12,'NEW MODEL BY SES'!$C$19:$R$242,MATCH('SeS in Retail Sales Areas'!L$7,'NEW MODEL BY SES'!$C$17:$R$17,0),0),"")</f>
        <v/>
      </c>
      <c r="M12" s="140" t="str">
        <f>IFERROR(VLOOKUP($C12,'NEW MODEL BY SES'!$C$19:$R$242,MATCH('SeS in Retail Sales Areas'!M$7,'NEW MODEL BY SES'!$C$17:$R$17,0),0),"")</f>
        <v/>
      </c>
      <c r="N12" s="142" t="str">
        <f>IFERROR(VLOOKUP($C12,'NEW MODEL BY SES'!$C$19:$R$242,MATCH('SeS in Retail Sales Areas'!N$7,'NEW MODEL BY SES'!$C$17:$R$17,0),0),"")</f>
        <v/>
      </c>
      <c r="O12" s="140" t="str">
        <f>IFERROR(VLOOKUP($C12,'NEW MODEL BY SES'!$C$19:$R$242,MATCH('SeS in Retail Sales Areas'!O$7,'NEW MODEL BY SES'!$C$17:$R$17,0),0),"")</f>
        <v/>
      </c>
      <c r="P12" s="142" t="str">
        <f>IFERROR(VLOOKUP($C12,'NEW MODEL BY SES'!$C$19:$R$242,MATCH('SeS in Retail Sales Areas'!P$7,'NEW MODEL BY SES'!$C$17:$R$17,0),0),"")</f>
        <v/>
      </c>
      <c r="Q12" s="140" t="str">
        <f>IFERROR(VLOOKUP($C12,'NEW MODEL BY SES'!$C$19:$R$242,MATCH('SeS in Retail Sales Areas'!Q$7,'NEW MODEL BY SES'!$C$17:$R$17,0),0),"")</f>
        <v/>
      </c>
      <c r="R12" s="142" t="str">
        <f>IFERROR(VLOOKUP($C12,'NEW MODEL BY SES'!$C$19:$R$242,MATCH('SeS in Retail Sales Areas'!R$7,'NEW MODEL BY SES'!$C$17:$R$17,0),0),"")</f>
        <v/>
      </c>
      <c r="S12" s="141" t="str">
        <f>IFERROR(VLOOKUP($C12,'NEW MODEL BY SES'!$C$19:$R$242,MATCH('SeS in Retail Sales Areas'!S$7,'NEW MODEL BY SES'!$C$17:$R$17,0),0),"")</f>
        <v/>
      </c>
      <c r="T12" s="140" t="str">
        <f>IFERROR(VLOOKUP($C12,'NEW MODEL BY SES'!$C$19:$R$242,MATCH('SeS in Retail Sales Areas'!T$7,'NEW MODEL BY SES'!$C$17:$R$17,0),0),"")</f>
        <v/>
      </c>
      <c r="U12" s="142" t="str">
        <f>IFERROR(VLOOKUP($C12,'NEW MODEL BY SES'!$C$19:$R$242,MATCH('SeS in Retail Sales Areas'!U$7,'NEW MODEL BY SES'!$C$17:$R$17,0),0),"")</f>
        <v/>
      </c>
      <c r="V12" s="140" t="str">
        <f>IFERROR(VLOOKUP($C12,'NEW MODEL BY SES'!$C$19:$R$242,MATCH('SeS in Retail Sales Areas'!V$7,'NEW MODEL BY SES'!$C$17:$R$17,0),0),"")</f>
        <v/>
      </c>
      <c r="W12" s="141" t="str">
        <f>IFERROR(VLOOKUP($C12,'NEW MODEL BY SES'!$C$19:$R$242,MATCH('SeS in Retail Sales Areas'!W$7,'NEW MODEL BY SES'!$C$17:$R$17,0),0),"")</f>
        <v/>
      </c>
      <c r="X12" s="140" t="str">
        <f>IFERROR(VLOOKUP($C12,'NEW MODEL BY SES'!$C$19:$R$242,MATCH('SeS in Retail Sales Areas'!X$7,'NEW MODEL BY SES'!$C$17:$R$17,0),0),"")</f>
        <v/>
      </c>
      <c r="Z12" s="57"/>
    </row>
    <row r="13" spans="1:26">
      <c r="A13" t="s">
        <v>932</v>
      </c>
      <c r="B13" s="57">
        <v>138</v>
      </c>
      <c r="C13" t="s">
        <v>939</v>
      </c>
      <c r="D13" t="s">
        <v>38</v>
      </c>
      <c r="E13"/>
      <c r="F13" s="140" t="str">
        <f>IFERROR(VLOOKUP($C13,'NEW MODEL BY SES'!$C$19:$R$242,MATCH('SeS in Retail Sales Areas'!F$7,'NEW MODEL BY SES'!$C$17:$R$17,0),0),"")</f>
        <v/>
      </c>
      <c r="G13" s="140" t="str">
        <f>IFERROR(VLOOKUP($C13,'NEW MODEL BY SES'!$C$19:$R$242,MATCH('SeS in Retail Sales Areas'!G$7,'NEW MODEL BY SES'!$C$17:$R$17,0),0),"")</f>
        <v/>
      </c>
      <c r="H13" s="142" t="str">
        <f>IFERROR(VLOOKUP($C13,'NEW MODEL BY SES'!$C$19:$R$242,MATCH('SeS in Retail Sales Areas'!H$7,'NEW MODEL BY SES'!$C$17:$R$17,0),0),"")</f>
        <v/>
      </c>
      <c r="I13" s="140" t="str">
        <f>IFERROR(VLOOKUP($C13,'NEW MODEL BY SES'!$C$19:$R$242,MATCH('SeS in Retail Sales Areas'!I$7,'NEW MODEL BY SES'!$C$17:$R$17,0),0),"")</f>
        <v/>
      </c>
      <c r="J13" s="142" t="str">
        <f>IFERROR(VLOOKUP($C13,'NEW MODEL BY SES'!$C$19:$R$242,MATCH('SeS in Retail Sales Areas'!J$7,'NEW MODEL BY SES'!$C$17:$R$17,0),0),"")</f>
        <v/>
      </c>
      <c r="K13" s="140" t="str">
        <f>IFERROR(VLOOKUP($C13,'NEW MODEL BY SES'!$C$19:$R$242,MATCH('SeS in Retail Sales Areas'!K$7,'NEW MODEL BY SES'!$C$17:$R$17,0),0),"")</f>
        <v/>
      </c>
      <c r="L13" s="142" t="str">
        <f>IFERROR(VLOOKUP($C13,'NEW MODEL BY SES'!$C$19:$R$242,MATCH('SeS in Retail Sales Areas'!L$7,'NEW MODEL BY SES'!$C$17:$R$17,0),0),"")</f>
        <v/>
      </c>
      <c r="M13" s="140" t="str">
        <f>IFERROR(VLOOKUP($C13,'NEW MODEL BY SES'!$C$19:$R$242,MATCH('SeS in Retail Sales Areas'!M$7,'NEW MODEL BY SES'!$C$17:$R$17,0),0),"")</f>
        <v/>
      </c>
      <c r="N13" s="142" t="str">
        <f>IFERROR(VLOOKUP($C13,'NEW MODEL BY SES'!$C$19:$R$242,MATCH('SeS in Retail Sales Areas'!N$7,'NEW MODEL BY SES'!$C$17:$R$17,0),0),"")</f>
        <v/>
      </c>
      <c r="O13" s="140" t="str">
        <f>IFERROR(VLOOKUP($C13,'NEW MODEL BY SES'!$C$19:$R$242,MATCH('SeS in Retail Sales Areas'!O$7,'NEW MODEL BY SES'!$C$17:$R$17,0),0),"")</f>
        <v/>
      </c>
      <c r="P13" s="142" t="str">
        <f>IFERROR(VLOOKUP($C13,'NEW MODEL BY SES'!$C$19:$R$242,MATCH('SeS in Retail Sales Areas'!P$7,'NEW MODEL BY SES'!$C$17:$R$17,0),0),"")</f>
        <v/>
      </c>
      <c r="Q13" s="140" t="str">
        <f>IFERROR(VLOOKUP($C13,'NEW MODEL BY SES'!$C$19:$R$242,MATCH('SeS in Retail Sales Areas'!Q$7,'NEW MODEL BY SES'!$C$17:$R$17,0),0),"")</f>
        <v/>
      </c>
      <c r="R13" s="142" t="str">
        <f>IFERROR(VLOOKUP($C13,'NEW MODEL BY SES'!$C$19:$R$242,MATCH('SeS in Retail Sales Areas'!R$7,'NEW MODEL BY SES'!$C$17:$R$17,0),0),"")</f>
        <v/>
      </c>
      <c r="S13" s="141" t="str">
        <f>IFERROR(VLOOKUP($C13,'NEW MODEL BY SES'!$C$19:$R$242,MATCH('SeS in Retail Sales Areas'!S$7,'NEW MODEL BY SES'!$C$17:$R$17,0),0),"")</f>
        <v/>
      </c>
      <c r="T13" s="140" t="str">
        <f>IFERROR(VLOOKUP($C13,'NEW MODEL BY SES'!$C$19:$R$242,MATCH('SeS in Retail Sales Areas'!T$7,'NEW MODEL BY SES'!$C$17:$R$17,0),0),"")</f>
        <v/>
      </c>
      <c r="U13" s="142" t="str">
        <f>IFERROR(VLOOKUP($C13,'NEW MODEL BY SES'!$C$19:$R$242,MATCH('SeS in Retail Sales Areas'!U$7,'NEW MODEL BY SES'!$C$17:$R$17,0),0),"")</f>
        <v/>
      </c>
      <c r="V13" s="140" t="str">
        <f>IFERROR(VLOOKUP($C13,'NEW MODEL BY SES'!$C$19:$R$242,MATCH('SeS in Retail Sales Areas'!V$7,'NEW MODEL BY SES'!$C$17:$R$17,0),0),"")</f>
        <v/>
      </c>
      <c r="W13" s="141" t="str">
        <f>IFERROR(VLOOKUP($C13,'NEW MODEL BY SES'!$C$19:$R$242,MATCH('SeS in Retail Sales Areas'!W$7,'NEW MODEL BY SES'!$C$17:$R$17,0),0),"")</f>
        <v/>
      </c>
      <c r="X13" s="140" t="str">
        <f>IFERROR(VLOOKUP($C13,'NEW MODEL BY SES'!$C$19:$R$242,MATCH('SeS in Retail Sales Areas'!X$7,'NEW MODEL BY SES'!$C$17:$R$17,0),0),"")</f>
        <v/>
      </c>
      <c r="Z13" s="57"/>
    </row>
    <row r="14" spans="1:26">
      <c r="A14" t="s">
        <v>932</v>
      </c>
      <c r="B14" s="57">
        <v>137</v>
      </c>
      <c r="C14" t="s">
        <v>940</v>
      </c>
      <c r="D14" t="s">
        <v>38</v>
      </c>
      <c r="E14"/>
      <c r="F14" s="140" t="str">
        <f>IFERROR(VLOOKUP($C14,'NEW MODEL BY SES'!$C$19:$R$242,MATCH('SeS in Retail Sales Areas'!F$7,'NEW MODEL BY SES'!$C$17:$R$17,0),0),"")</f>
        <v/>
      </c>
      <c r="G14" s="140" t="str">
        <f>IFERROR(VLOOKUP($C14,'NEW MODEL BY SES'!$C$19:$R$242,MATCH('SeS in Retail Sales Areas'!G$7,'NEW MODEL BY SES'!$C$17:$R$17,0),0),"")</f>
        <v/>
      </c>
      <c r="H14" s="142" t="str">
        <f>IFERROR(VLOOKUP($C14,'NEW MODEL BY SES'!$C$19:$R$242,MATCH('SeS in Retail Sales Areas'!H$7,'NEW MODEL BY SES'!$C$17:$R$17,0),0),"")</f>
        <v/>
      </c>
      <c r="I14" s="140" t="str">
        <f>IFERROR(VLOOKUP($C14,'NEW MODEL BY SES'!$C$19:$R$242,MATCH('SeS in Retail Sales Areas'!I$7,'NEW MODEL BY SES'!$C$17:$R$17,0),0),"")</f>
        <v/>
      </c>
      <c r="J14" s="142" t="str">
        <f>IFERROR(VLOOKUP($C14,'NEW MODEL BY SES'!$C$19:$R$242,MATCH('SeS in Retail Sales Areas'!J$7,'NEW MODEL BY SES'!$C$17:$R$17,0),0),"")</f>
        <v/>
      </c>
      <c r="K14" s="140" t="str">
        <f>IFERROR(VLOOKUP($C14,'NEW MODEL BY SES'!$C$19:$R$242,MATCH('SeS in Retail Sales Areas'!K$7,'NEW MODEL BY SES'!$C$17:$R$17,0),0),"")</f>
        <v/>
      </c>
      <c r="L14" s="142" t="str">
        <f>IFERROR(VLOOKUP($C14,'NEW MODEL BY SES'!$C$19:$R$242,MATCH('SeS in Retail Sales Areas'!L$7,'NEW MODEL BY SES'!$C$17:$R$17,0),0),"")</f>
        <v/>
      </c>
      <c r="M14" s="140" t="str">
        <f>IFERROR(VLOOKUP($C14,'NEW MODEL BY SES'!$C$19:$R$242,MATCH('SeS in Retail Sales Areas'!M$7,'NEW MODEL BY SES'!$C$17:$R$17,0),0),"")</f>
        <v/>
      </c>
      <c r="N14" s="142" t="str">
        <f>IFERROR(VLOOKUP($C14,'NEW MODEL BY SES'!$C$19:$R$242,MATCH('SeS in Retail Sales Areas'!N$7,'NEW MODEL BY SES'!$C$17:$R$17,0),0),"")</f>
        <v/>
      </c>
      <c r="O14" s="140" t="str">
        <f>IFERROR(VLOOKUP($C14,'NEW MODEL BY SES'!$C$19:$R$242,MATCH('SeS in Retail Sales Areas'!O$7,'NEW MODEL BY SES'!$C$17:$R$17,0),0),"")</f>
        <v/>
      </c>
      <c r="P14" s="142" t="str">
        <f>IFERROR(VLOOKUP($C14,'NEW MODEL BY SES'!$C$19:$R$242,MATCH('SeS in Retail Sales Areas'!P$7,'NEW MODEL BY SES'!$C$17:$R$17,0),0),"")</f>
        <v/>
      </c>
      <c r="Q14" s="140" t="str">
        <f>IFERROR(VLOOKUP($C14,'NEW MODEL BY SES'!$C$19:$R$242,MATCH('SeS in Retail Sales Areas'!Q$7,'NEW MODEL BY SES'!$C$17:$R$17,0),0),"")</f>
        <v/>
      </c>
      <c r="R14" s="142" t="str">
        <f>IFERROR(VLOOKUP($C14,'NEW MODEL BY SES'!$C$19:$R$242,MATCH('SeS in Retail Sales Areas'!R$7,'NEW MODEL BY SES'!$C$17:$R$17,0),0),"")</f>
        <v/>
      </c>
      <c r="S14" s="141" t="str">
        <f>IFERROR(VLOOKUP($C14,'NEW MODEL BY SES'!$C$19:$R$242,MATCH('SeS in Retail Sales Areas'!S$7,'NEW MODEL BY SES'!$C$17:$R$17,0),0),"")</f>
        <v/>
      </c>
      <c r="T14" s="140" t="str">
        <f>IFERROR(VLOOKUP($C14,'NEW MODEL BY SES'!$C$19:$R$242,MATCH('SeS in Retail Sales Areas'!T$7,'NEW MODEL BY SES'!$C$17:$R$17,0),0),"")</f>
        <v/>
      </c>
      <c r="U14" s="142" t="str">
        <f>IFERROR(VLOOKUP($C14,'NEW MODEL BY SES'!$C$19:$R$242,MATCH('SeS in Retail Sales Areas'!U$7,'NEW MODEL BY SES'!$C$17:$R$17,0),0),"")</f>
        <v/>
      </c>
      <c r="V14" s="140" t="str">
        <f>IFERROR(VLOOKUP($C14,'NEW MODEL BY SES'!$C$19:$R$242,MATCH('SeS in Retail Sales Areas'!V$7,'NEW MODEL BY SES'!$C$17:$R$17,0),0),"")</f>
        <v/>
      </c>
      <c r="W14" s="141" t="str">
        <f>IFERROR(VLOOKUP($C14,'NEW MODEL BY SES'!$C$19:$R$242,MATCH('SeS in Retail Sales Areas'!W$7,'NEW MODEL BY SES'!$C$17:$R$17,0),0),"")</f>
        <v/>
      </c>
      <c r="X14" s="140" t="str">
        <f>IFERROR(VLOOKUP($C14,'NEW MODEL BY SES'!$C$19:$R$242,MATCH('SeS in Retail Sales Areas'!X$7,'NEW MODEL BY SES'!$C$17:$R$17,0),0),"")</f>
        <v/>
      </c>
      <c r="Z14" s="57"/>
    </row>
    <row r="15" spans="1:26">
      <c r="A15" t="s">
        <v>932</v>
      </c>
      <c r="B15" s="57">
        <v>133</v>
      </c>
      <c r="C15" t="s">
        <v>941</v>
      </c>
      <c r="D15" t="s">
        <v>38</v>
      </c>
      <c r="E15"/>
      <c r="F15" s="140" t="str">
        <f>IFERROR(VLOOKUP($C15,'NEW MODEL BY SES'!$C$19:$R$242,MATCH('SeS in Retail Sales Areas'!F$7,'NEW MODEL BY SES'!$C$17:$R$17,0),0),"")</f>
        <v/>
      </c>
      <c r="G15" s="140" t="str">
        <f>IFERROR(VLOOKUP($C15,'NEW MODEL BY SES'!$C$19:$R$242,MATCH('SeS in Retail Sales Areas'!G$7,'NEW MODEL BY SES'!$C$17:$R$17,0),0),"")</f>
        <v/>
      </c>
      <c r="H15" s="142" t="str">
        <f>IFERROR(VLOOKUP($C15,'NEW MODEL BY SES'!$C$19:$R$242,MATCH('SeS in Retail Sales Areas'!H$7,'NEW MODEL BY SES'!$C$17:$R$17,0),0),"")</f>
        <v/>
      </c>
      <c r="I15" s="140" t="str">
        <f>IFERROR(VLOOKUP($C15,'NEW MODEL BY SES'!$C$19:$R$242,MATCH('SeS in Retail Sales Areas'!I$7,'NEW MODEL BY SES'!$C$17:$R$17,0),0),"")</f>
        <v/>
      </c>
      <c r="J15" s="142" t="str">
        <f>IFERROR(VLOOKUP($C15,'NEW MODEL BY SES'!$C$19:$R$242,MATCH('SeS in Retail Sales Areas'!J$7,'NEW MODEL BY SES'!$C$17:$R$17,0),0),"")</f>
        <v/>
      </c>
      <c r="K15" s="140" t="str">
        <f>IFERROR(VLOOKUP($C15,'NEW MODEL BY SES'!$C$19:$R$242,MATCH('SeS in Retail Sales Areas'!K$7,'NEW MODEL BY SES'!$C$17:$R$17,0),0),"")</f>
        <v/>
      </c>
      <c r="L15" s="142" t="str">
        <f>IFERROR(VLOOKUP($C15,'NEW MODEL BY SES'!$C$19:$R$242,MATCH('SeS in Retail Sales Areas'!L$7,'NEW MODEL BY SES'!$C$17:$R$17,0),0),"")</f>
        <v/>
      </c>
      <c r="M15" s="140" t="str">
        <f>IFERROR(VLOOKUP($C15,'NEW MODEL BY SES'!$C$19:$R$242,MATCH('SeS in Retail Sales Areas'!M$7,'NEW MODEL BY SES'!$C$17:$R$17,0),0),"")</f>
        <v/>
      </c>
      <c r="N15" s="142" t="str">
        <f>IFERROR(VLOOKUP($C15,'NEW MODEL BY SES'!$C$19:$R$242,MATCH('SeS in Retail Sales Areas'!N$7,'NEW MODEL BY SES'!$C$17:$R$17,0),0),"")</f>
        <v/>
      </c>
      <c r="O15" s="140" t="str">
        <f>IFERROR(VLOOKUP($C15,'NEW MODEL BY SES'!$C$19:$R$242,MATCH('SeS in Retail Sales Areas'!O$7,'NEW MODEL BY SES'!$C$17:$R$17,0),0),"")</f>
        <v/>
      </c>
      <c r="P15" s="142" t="str">
        <f>IFERROR(VLOOKUP($C15,'NEW MODEL BY SES'!$C$19:$R$242,MATCH('SeS in Retail Sales Areas'!P$7,'NEW MODEL BY SES'!$C$17:$R$17,0),0),"")</f>
        <v/>
      </c>
      <c r="Q15" s="140" t="str">
        <f>IFERROR(VLOOKUP($C15,'NEW MODEL BY SES'!$C$19:$R$242,MATCH('SeS in Retail Sales Areas'!Q$7,'NEW MODEL BY SES'!$C$17:$R$17,0),0),"")</f>
        <v/>
      </c>
      <c r="R15" s="142" t="str">
        <f>IFERROR(VLOOKUP($C15,'NEW MODEL BY SES'!$C$19:$R$242,MATCH('SeS in Retail Sales Areas'!R$7,'NEW MODEL BY SES'!$C$17:$R$17,0),0),"")</f>
        <v/>
      </c>
      <c r="S15" s="141" t="str">
        <f>IFERROR(VLOOKUP($C15,'NEW MODEL BY SES'!$C$19:$R$242,MATCH('SeS in Retail Sales Areas'!S$7,'NEW MODEL BY SES'!$C$17:$R$17,0),0),"")</f>
        <v/>
      </c>
      <c r="T15" s="140" t="str">
        <f>IFERROR(VLOOKUP($C15,'NEW MODEL BY SES'!$C$19:$R$242,MATCH('SeS in Retail Sales Areas'!T$7,'NEW MODEL BY SES'!$C$17:$R$17,0),0),"")</f>
        <v/>
      </c>
      <c r="U15" s="142" t="str">
        <f>IFERROR(VLOOKUP($C15,'NEW MODEL BY SES'!$C$19:$R$242,MATCH('SeS in Retail Sales Areas'!U$7,'NEW MODEL BY SES'!$C$17:$R$17,0),0),"")</f>
        <v/>
      </c>
      <c r="V15" s="140" t="str">
        <f>IFERROR(VLOOKUP($C15,'NEW MODEL BY SES'!$C$19:$R$242,MATCH('SeS in Retail Sales Areas'!V$7,'NEW MODEL BY SES'!$C$17:$R$17,0),0),"")</f>
        <v/>
      </c>
      <c r="W15" s="141" t="str">
        <f>IFERROR(VLOOKUP($C15,'NEW MODEL BY SES'!$C$19:$R$242,MATCH('SeS in Retail Sales Areas'!W$7,'NEW MODEL BY SES'!$C$17:$R$17,0),0),"")</f>
        <v/>
      </c>
      <c r="X15" s="140" t="str">
        <f>IFERROR(VLOOKUP($C15,'NEW MODEL BY SES'!$C$19:$R$242,MATCH('SeS in Retail Sales Areas'!X$7,'NEW MODEL BY SES'!$C$17:$R$17,0),0),"")</f>
        <v/>
      </c>
      <c r="Z15" s="57"/>
    </row>
    <row r="16" spans="1:26">
      <c r="A16" t="s">
        <v>932</v>
      </c>
      <c r="B16" s="57">
        <v>128</v>
      </c>
      <c r="C16" t="s">
        <v>942</v>
      </c>
      <c r="D16" t="s">
        <v>38</v>
      </c>
      <c r="E16"/>
      <c r="F16" s="140" t="str">
        <f>IFERROR(VLOOKUP($C16,'NEW MODEL BY SES'!$C$19:$R$242,MATCH('SeS in Retail Sales Areas'!F$7,'NEW MODEL BY SES'!$C$17:$R$17,0),0),"")</f>
        <v/>
      </c>
      <c r="G16" s="140" t="str">
        <f>IFERROR(VLOOKUP($C16,'NEW MODEL BY SES'!$C$19:$R$242,MATCH('SeS in Retail Sales Areas'!G$7,'NEW MODEL BY SES'!$C$17:$R$17,0),0),"")</f>
        <v/>
      </c>
      <c r="H16" s="142" t="str">
        <f>IFERROR(VLOOKUP($C16,'NEW MODEL BY SES'!$C$19:$R$242,MATCH('SeS in Retail Sales Areas'!H$7,'NEW MODEL BY SES'!$C$17:$R$17,0),0),"")</f>
        <v/>
      </c>
      <c r="I16" s="140" t="str">
        <f>IFERROR(VLOOKUP($C16,'NEW MODEL BY SES'!$C$19:$R$242,MATCH('SeS in Retail Sales Areas'!I$7,'NEW MODEL BY SES'!$C$17:$R$17,0),0),"")</f>
        <v/>
      </c>
      <c r="J16" s="142" t="str">
        <f>IFERROR(VLOOKUP($C16,'NEW MODEL BY SES'!$C$19:$R$242,MATCH('SeS in Retail Sales Areas'!J$7,'NEW MODEL BY SES'!$C$17:$R$17,0),0),"")</f>
        <v/>
      </c>
      <c r="K16" s="140" t="str">
        <f>IFERROR(VLOOKUP($C16,'NEW MODEL BY SES'!$C$19:$R$242,MATCH('SeS in Retail Sales Areas'!K$7,'NEW MODEL BY SES'!$C$17:$R$17,0),0),"")</f>
        <v/>
      </c>
      <c r="L16" s="142" t="str">
        <f>IFERROR(VLOOKUP($C16,'NEW MODEL BY SES'!$C$19:$R$242,MATCH('SeS in Retail Sales Areas'!L$7,'NEW MODEL BY SES'!$C$17:$R$17,0),0),"")</f>
        <v/>
      </c>
      <c r="M16" s="140" t="str">
        <f>IFERROR(VLOOKUP($C16,'NEW MODEL BY SES'!$C$19:$R$242,MATCH('SeS in Retail Sales Areas'!M$7,'NEW MODEL BY SES'!$C$17:$R$17,0),0),"")</f>
        <v/>
      </c>
      <c r="N16" s="142" t="str">
        <f>IFERROR(VLOOKUP($C16,'NEW MODEL BY SES'!$C$19:$R$242,MATCH('SeS in Retail Sales Areas'!N$7,'NEW MODEL BY SES'!$C$17:$R$17,0),0),"")</f>
        <v/>
      </c>
      <c r="O16" s="140" t="str">
        <f>IFERROR(VLOOKUP($C16,'NEW MODEL BY SES'!$C$19:$R$242,MATCH('SeS in Retail Sales Areas'!O$7,'NEW MODEL BY SES'!$C$17:$R$17,0),0),"")</f>
        <v/>
      </c>
      <c r="P16" s="142" t="str">
        <f>IFERROR(VLOOKUP($C16,'NEW MODEL BY SES'!$C$19:$R$242,MATCH('SeS in Retail Sales Areas'!P$7,'NEW MODEL BY SES'!$C$17:$R$17,0),0),"")</f>
        <v/>
      </c>
      <c r="Q16" s="140" t="str">
        <f>IFERROR(VLOOKUP($C16,'NEW MODEL BY SES'!$C$19:$R$242,MATCH('SeS in Retail Sales Areas'!Q$7,'NEW MODEL BY SES'!$C$17:$R$17,0),0),"")</f>
        <v/>
      </c>
      <c r="R16" s="142" t="str">
        <f>IFERROR(VLOOKUP($C16,'NEW MODEL BY SES'!$C$19:$R$242,MATCH('SeS in Retail Sales Areas'!R$7,'NEW MODEL BY SES'!$C$17:$R$17,0),0),"")</f>
        <v/>
      </c>
      <c r="S16" s="141" t="str">
        <f>IFERROR(VLOOKUP($C16,'NEW MODEL BY SES'!$C$19:$R$242,MATCH('SeS in Retail Sales Areas'!S$7,'NEW MODEL BY SES'!$C$17:$R$17,0),0),"")</f>
        <v/>
      </c>
      <c r="T16" s="140" t="str">
        <f>IFERROR(VLOOKUP($C16,'NEW MODEL BY SES'!$C$19:$R$242,MATCH('SeS in Retail Sales Areas'!T$7,'NEW MODEL BY SES'!$C$17:$R$17,0),0),"")</f>
        <v/>
      </c>
      <c r="U16" s="142" t="str">
        <f>IFERROR(VLOOKUP($C16,'NEW MODEL BY SES'!$C$19:$R$242,MATCH('SeS in Retail Sales Areas'!U$7,'NEW MODEL BY SES'!$C$17:$R$17,0),0),"")</f>
        <v/>
      </c>
      <c r="V16" s="140" t="str">
        <f>IFERROR(VLOOKUP($C16,'NEW MODEL BY SES'!$C$19:$R$242,MATCH('SeS in Retail Sales Areas'!V$7,'NEW MODEL BY SES'!$C$17:$R$17,0),0),"")</f>
        <v/>
      </c>
      <c r="W16" s="141" t="str">
        <f>IFERROR(VLOOKUP($C16,'NEW MODEL BY SES'!$C$19:$R$242,MATCH('SeS in Retail Sales Areas'!W$7,'NEW MODEL BY SES'!$C$17:$R$17,0),0),"")</f>
        <v/>
      </c>
      <c r="X16" s="140" t="str">
        <f>IFERROR(VLOOKUP($C16,'NEW MODEL BY SES'!$C$19:$R$242,MATCH('SeS in Retail Sales Areas'!X$7,'NEW MODEL BY SES'!$C$17:$R$17,0),0),"")</f>
        <v/>
      </c>
      <c r="Z16" s="57"/>
    </row>
    <row r="17" spans="1:26">
      <c r="A17" t="s">
        <v>932</v>
      </c>
      <c r="B17" s="57">
        <v>123</v>
      </c>
      <c r="C17" t="s">
        <v>943</v>
      </c>
      <c r="D17" t="s">
        <v>40</v>
      </c>
      <c r="E17"/>
      <c r="F17" s="140" t="str">
        <f>IFERROR(VLOOKUP($C17,'NEW MODEL BY SES'!$C$19:$R$242,MATCH('SeS in Retail Sales Areas'!F$7,'NEW MODEL BY SES'!$C$17:$R$17,0),0),"")</f>
        <v/>
      </c>
      <c r="G17" s="140" t="str">
        <f>IFERROR(VLOOKUP($C17,'NEW MODEL BY SES'!$C$19:$R$242,MATCH('SeS in Retail Sales Areas'!G$7,'NEW MODEL BY SES'!$C$17:$R$17,0),0),"")</f>
        <v/>
      </c>
      <c r="H17" s="142" t="str">
        <f>IFERROR(VLOOKUP($C17,'NEW MODEL BY SES'!$C$19:$R$242,MATCH('SeS in Retail Sales Areas'!H$7,'NEW MODEL BY SES'!$C$17:$R$17,0),0),"")</f>
        <v/>
      </c>
      <c r="I17" s="140" t="str">
        <f>IFERROR(VLOOKUP($C17,'NEW MODEL BY SES'!$C$19:$R$242,MATCH('SeS in Retail Sales Areas'!I$7,'NEW MODEL BY SES'!$C$17:$R$17,0),0),"")</f>
        <v/>
      </c>
      <c r="J17" s="142" t="str">
        <f>IFERROR(VLOOKUP($C17,'NEW MODEL BY SES'!$C$19:$R$242,MATCH('SeS in Retail Sales Areas'!J$7,'NEW MODEL BY SES'!$C$17:$R$17,0),0),"")</f>
        <v/>
      </c>
      <c r="K17" s="140" t="str">
        <f>IFERROR(VLOOKUP($C17,'NEW MODEL BY SES'!$C$19:$R$242,MATCH('SeS in Retail Sales Areas'!K$7,'NEW MODEL BY SES'!$C$17:$R$17,0),0),"")</f>
        <v/>
      </c>
      <c r="L17" s="142" t="str">
        <f>IFERROR(VLOOKUP($C17,'NEW MODEL BY SES'!$C$19:$R$242,MATCH('SeS in Retail Sales Areas'!L$7,'NEW MODEL BY SES'!$C$17:$R$17,0),0),"")</f>
        <v/>
      </c>
      <c r="M17" s="140" t="str">
        <f>IFERROR(VLOOKUP($C17,'NEW MODEL BY SES'!$C$19:$R$242,MATCH('SeS in Retail Sales Areas'!M$7,'NEW MODEL BY SES'!$C$17:$R$17,0),0),"")</f>
        <v/>
      </c>
      <c r="N17" s="142" t="str">
        <f>IFERROR(VLOOKUP($C17,'NEW MODEL BY SES'!$C$19:$R$242,MATCH('SeS in Retail Sales Areas'!N$7,'NEW MODEL BY SES'!$C$17:$R$17,0),0),"")</f>
        <v/>
      </c>
      <c r="O17" s="140" t="str">
        <f>IFERROR(VLOOKUP($C17,'NEW MODEL BY SES'!$C$19:$R$242,MATCH('SeS in Retail Sales Areas'!O$7,'NEW MODEL BY SES'!$C$17:$R$17,0),0),"")</f>
        <v/>
      </c>
      <c r="P17" s="142" t="str">
        <f>IFERROR(VLOOKUP($C17,'NEW MODEL BY SES'!$C$19:$R$242,MATCH('SeS in Retail Sales Areas'!P$7,'NEW MODEL BY SES'!$C$17:$R$17,0),0),"")</f>
        <v/>
      </c>
      <c r="Q17" s="140" t="str">
        <f>IFERROR(VLOOKUP($C17,'NEW MODEL BY SES'!$C$19:$R$242,MATCH('SeS in Retail Sales Areas'!Q$7,'NEW MODEL BY SES'!$C$17:$R$17,0),0),"")</f>
        <v/>
      </c>
      <c r="R17" s="142" t="str">
        <f>IFERROR(VLOOKUP($C17,'NEW MODEL BY SES'!$C$19:$R$242,MATCH('SeS in Retail Sales Areas'!R$7,'NEW MODEL BY SES'!$C$17:$R$17,0),0),"")</f>
        <v/>
      </c>
      <c r="S17" s="141" t="str">
        <f>IFERROR(VLOOKUP($C17,'NEW MODEL BY SES'!$C$19:$R$242,MATCH('SeS in Retail Sales Areas'!S$7,'NEW MODEL BY SES'!$C$17:$R$17,0),0),"")</f>
        <v/>
      </c>
      <c r="T17" s="140" t="str">
        <f>IFERROR(VLOOKUP($C17,'NEW MODEL BY SES'!$C$19:$R$242,MATCH('SeS in Retail Sales Areas'!T$7,'NEW MODEL BY SES'!$C$17:$R$17,0),0),"")</f>
        <v/>
      </c>
      <c r="U17" s="142" t="str">
        <f>IFERROR(VLOOKUP($C17,'NEW MODEL BY SES'!$C$19:$R$242,MATCH('SeS in Retail Sales Areas'!U$7,'NEW MODEL BY SES'!$C$17:$R$17,0),0),"")</f>
        <v/>
      </c>
      <c r="V17" s="140" t="str">
        <f>IFERROR(VLOOKUP($C17,'NEW MODEL BY SES'!$C$19:$R$242,MATCH('SeS in Retail Sales Areas'!V$7,'NEW MODEL BY SES'!$C$17:$R$17,0),0),"")</f>
        <v/>
      </c>
      <c r="W17" s="141" t="str">
        <f>IFERROR(VLOOKUP($C17,'NEW MODEL BY SES'!$C$19:$R$242,MATCH('SeS in Retail Sales Areas'!W$7,'NEW MODEL BY SES'!$C$17:$R$17,0),0),"")</f>
        <v/>
      </c>
      <c r="X17" s="140" t="str">
        <f>IFERROR(VLOOKUP($C17,'NEW MODEL BY SES'!$C$19:$R$242,MATCH('SeS in Retail Sales Areas'!X$7,'NEW MODEL BY SES'!$C$17:$R$17,0),0),"")</f>
        <v/>
      </c>
      <c r="Z17" s="57"/>
    </row>
    <row r="18" spans="1:26">
      <c r="A18" t="s">
        <v>932</v>
      </c>
      <c r="B18" s="57">
        <v>118</v>
      </c>
      <c r="C18" t="s">
        <v>944</v>
      </c>
      <c r="D18" t="s">
        <v>40</v>
      </c>
      <c r="E18"/>
      <c r="F18" s="140" t="str">
        <f>IFERROR(VLOOKUP($C18,'NEW MODEL BY SES'!$C$19:$R$242,MATCH('SeS in Retail Sales Areas'!F$7,'NEW MODEL BY SES'!$C$17:$R$17,0),0),"")</f>
        <v/>
      </c>
      <c r="G18" s="140" t="str">
        <f>IFERROR(VLOOKUP($C18,'NEW MODEL BY SES'!$C$19:$R$242,MATCH('SeS in Retail Sales Areas'!G$7,'NEW MODEL BY SES'!$C$17:$R$17,0),0),"")</f>
        <v/>
      </c>
      <c r="H18" s="142" t="str">
        <f>IFERROR(VLOOKUP($C18,'NEW MODEL BY SES'!$C$19:$R$242,MATCH('SeS in Retail Sales Areas'!H$7,'NEW MODEL BY SES'!$C$17:$R$17,0),0),"")</f>
        <v/>
      </c>
      <c r="I18" s="140" t="str">
        <f>IFERROR(VLOOKUP($C18,'NEW MODEL BY SES'!$C$19:$R$242,MATCH('SeS in Retail Sales Areas'!I$7,'NEW MODEL BY SES'!$C$17:$R$17,0),0),"")</f>
        <v/>
      </c>
      <c r="J18" s="142" t="str">
        <f>IFERROR(VLOOKUP($C18,'NEW MODEL BY SES'!$C$19:$R$242,MATCH('SeS in Retail Sales Areas'!J$7,'NEW MODEL BY SES'!$C$17:$R$17,0),0),"")</f>
        <v/>
      </c>
      <c r="K18" s="140" t="str">
        <f>IFERROR(VLOOKUP($C18,'NEW MODEL BY SES'!$C$19:$R$242,MATCH('SeS in Retail Sales Areas'!K$7,'NEW MODEL BY SES'!$C$17:$R$17,0),0),"")</f>
        <v/>
      </c>
      <c r="L18" s="142" t="str">
        <f>IFERROR(VLOOKUP($C18,'NEW MODEL BY SES'!$C$19:$R$242,MATCH('SeS in Retail Sales Areas'!L$7,'NEW MODEL BY SES'!$C$17:$R$17,0),0),"")</f>
        <v/>
      </c>
      <c r="M18" s="140" t="str">
        <f>IFERROR(VLOOKUP($C18,'NEW MODEL BY SES'!$C$19:$R$242,MATCH('SeS in Retail Sales Areas'!M$7,'NEW MODEL BY SES'!$C$17:$R$17,0),0),"")</f>
        <v/>
      </c>
      <c r="N18" s="142" t="str">
        <f>IFERROR(VLOOKUP($C18,'NEW MODEL BY SES'!$C$19:$R$242,MATCH('SeS in Retail Sales Areas'!N$7,'NEW MODEL BY SES'!$C$17:$R$17,0),0),"")</f>
        <v/>
      </c>
      <c r="O18" s="140" t="str">
        <f>IFERROR(VLOOKUP($C18,'NEW MODEL BY SES'!$C$19:$R$242,MATCH('SeS in Retail Sales Areas'!O$7,'NEW MODEL BY SES'!$C$17:$R$17,0),0),"")</f>
        <v/>
      </c>
      <c r="P18" s="142" t="str">
        <f>IFERROR(VLOOKUP($C18,'NEW MODEL BY SES'!$C$19:$R$242,MATCH('SeS in Retail Sales Areas'!P$7,'NEW MODEL BY SES'!$C$17:$R$17,0),0),"")</f>
        <v/>
      </c>
      <c r="Q18" s="140" t="str">
        <f>IFERROR(VLOOKUP($C18,'NEW MODEL BY SES'!$C$19:$R$242,MATCH('SeS in Retail Sales Areas'!Q$7,'NEW MODEL BY SES'!$C$17:$R$17,0),0),"")</f>
        <v/>
      </c>
      <c r="R18" s="142" t="str">
        <f>IFERROR(VLOOKUP($C18,'NEW MODEL BY SES'!$C$19:$R$242,MATCH('SeS in Retail Sales Areas'!R$7,'NEW MODEL BY SES'!$C$17:$R$17,0),0),"")</f>
        <v/>
      </c>
      <c r="S18" s="141" t="str">
        <f>IFERROR(VLOOKUP($C18,'NEW MODEL BY SES'!$C$19:$R$242,MATCH('SeS in Retail Sales Areas'!S$7,'NEW MODEL BY SES'!$C$17:$R$17,0),0),"")</f>
        <v/>
      </c>
      <c r="T18" s="140" t="str">
        <f>IFERROR(VLOOKUP($C18,'NEW MODEL BY SES'!$C$19:$R$242,MATCH('SeS in Retail Sales Areas'!T$7,'NEW MODEL BY SES'!$C$17:$R$17,0),0),"")</f>
        <v/>
      </c>
      <c r="U18" s="142" t="str">
        <f>IFERROR(VLOOKUP($C18,'NEW MODEL BY SES'!$C$19:$R$242,MATCH('SeS in Retail Sales Areas'!U$7,'NEW MODEL BY SES'!$C$17:$R$17,0),0),"")</f>
        <v/>
      </c>
      <c r="V18" s="140" t="str">
        <f>IFERROR(VLOOKUP($C18,'NEW MODEL BY SES'!$C$19:$R$242,MATCH('SeS in Retail Sales Areas'!V$7,'NEW MODEL BY SES'!$C$17:$R$17,0),0),"")</f>
        <v/>
      </c>
      <c r="W18" s="141" t="str">
        <f>IFERROR(VLOOKUP($C18,'NEW MODEL BY SES'!$C$19:$R$242,MATCH('SeS in Retail Sales Areas'!W$7,'NEW MODEL BY SES'!$C$17:$R$17,0),0),"")</f>
        <v/>
      </c>
      <c r="X18" s="140" t="str">
        <f>IFERROR(VLOOKUP($C18,'NEW MODEL BY SES'!$C$19:$R$242,MATCH('SeS in Retail Sales Areas'!X$7,'NEW MODEL BY SES'!$C$17:$R$17,0),0),"")</f>
        <v/>
      </c>
      <c r="Z18" s="57"/>
    </row>
    <row r="19" spans="1:26">
      <c r="A19" t="s">
        <v>932</v>
      </c>
      <c r="B19" s="57">
        <v>113</v>
      </c>
      <c r="C19" t="s">
        <v>945</v>
      </c>
      <c r="D19" t="s">
        <v>40</v>
      </c>
      <c r="E19"/>
      <c r="F19" s="140" t="str">
        <f>IFERROR(VLOOKUP($C19,'NEW MODEL BY SES'!$C$19:$R$242,MATCH('SeS in Retail Sales Areas'!F$7,'NEW MODEL BY SES'!$C$17:$R$17,0),0),"")</f>
        <v/>
      </c>
      <c r="G19" s="140" t="str">
        <f>IFERROR(VLOOKUP($C19,'NEW MODEL BY SES'!$C$19:$R$242,MATCH('SeS in Retail Sales Areas'!G$7,'NEW MODEL BY SES'!$C$17:$R$17,0),0),"")</f>
        <v/>
      </c>
      <c r="H19" s="142" t="str">
        <f>IFERROR(VLOOKUP($C19,'NEW MODEL BY SES'!$C$19:$R$242,MATCH('SeS in Retail Sales Areas'!H$7,'NEW MODEL BY SES'!$C$17:$R$17,0),0),"")</f>
        <v/>
      </c>
      <c r="I19" s="140" t="str">
        <f>IFERROR(VLOOKUP($C19,'NEW MODEL BY SES'!$C$19:$R$242,MATCH('SeS in Retail Sales Areas'!I$7,'NEW MODEL BY SES'!$C$17:$R$17,0),0),"")</f>
        <v/>
      </c>
      <c r="J19" s="142" t="str">
        <f>IFERROR(VLOOKUP($C19,'NEW MODEL BY SES'!$C$19:$R$242,MATCH('SeS in Retail Sales Areas'!J$7,'NEW MODEL BY SES'!$C$17:$R$17,0),0),"")</f>
        <v/>
      </c>
      <c r="K19" s="140" t="str">
        <f>IFERROR(VLOOKUP($C19,'NEW MODEL BY SES'!$C$19:$R$242,MATCH('SeS in Retail Sales Areas'!K$7,'NEW MODEL BY SES'!$C$17:$R$17,0),0),"")</f>
        <v/>
      </c>
      <c r="L19" s="142" t="str">
        <f>IFERROR(VLOOKUP($C19,'NEW MODEL BY SES'!$C$19:$R$242,MATCH('SeS in Retail Sales Areas'!L$7,'NEW MODEL BY SES'!$C$17:$R$17,0),0),"")</f>
        <v/>
      </c>
      <c r="M19" s="140" t="str">
        <f>IFERROR(VLOOKUP($C19,'NEW MODEL BY SES'!$C$19:$R$242,MATCH('SeS in Retail Sales Areas'!M$7,'NEW MODEL BY SES'!$C$17:$R$17,0),0),"")</f>
        <v/>
      </c>
      <c r="N19" s="142" t="str">
        <f>IFERROR(VLOOKUP($C19,'NEW MODEL BY SES'!$C$19:$R$242,MATCH('SeS in Retail Sales Areas'!N$7,'NEW MODEL BY SES'!$C$17:$R$17,0),0),"")</f>
        <v/>
      </c>
      <c r="O19" s="140" t="str">
        <f>IFERROR(VLOOKUP($C19,'NEW MODEL BY SES'!$C$19:$R$242,MATCH('SeS in Retail Sales Areas'!O$7,'NEW MODEL BY SES'!$C$17:$R$17,0),0),"")</f>
        <v/>
      </c>
      <c r="P19" s="142" t="str">
        <f>IFERROR(VLOOKUP($C19,'NEW MODEL BY SES'!$C$19:$R$242,MATCH('SeS in Retail Sales Areas'!P$7,'NEW MODEL BY SES'!$C$17:$R$17,0),0),"")</f>
        <v/>
      </c>
      <c r="Q19" s="140" t="str">
        <f>IFERROR(VLOOKUP($C19,'NEW MODEL BY SES'!$C$19:$R$242,MATCH('SeS in Retail Sales Areas'!Q$7,'NEW MODEL BY SES'!$C$17:$R$17,0),0),"")</f>
        <v/>
      </c>
      <c r="R19" s="142" t="str">
        <f>IFERROR(VLOOKUP($C19,'NEW MODEL BY SES'!$C$19:$R$242,MATCH('SeS in Retail Sales Areas'!R$7,'NEW MODEL BY SES'!$C$17:$R$17,0),0),"")</f>
        <v/>
      </c>
      <c r="S19" s="141" t="str">
        <f>IFERROR(VLOOKUP($C19,'NEW MODEL BY SES'!$C$19:$R$242,MATCH('SeS in Retail Sales Areas'!S$7,'NEW MODEL BY SES'!$C$17:$R$17,0),0),"")</f>
        <v/>
      </c>
      <c r="T19" s="140" t="str">
        <f>IFERROR(VLOOKUP($C19,'NEW MODEL BY SES'!$C$19:$R$242,MATCH('SeS in Retail Sales Areas'!T$7,'NEW MODEL BY SES'!$C$17:$R$17,0),0),"")</f>
        <v/>
      </c>
      <c r="U19" s="142" t="str">
        <f>IFERROR(VLOOKUP($C19,'NEW MODEL BY SES'!$C$19:$R$242,MATCH('SeS in Retail Sales Areas'!U$7,'NEW MODEL BY SES'!$C$17:$R$17,0),0),"")</f>
        <v/>
      </c>
      <c r="V19" s="140" t="str">
        <f>IFERROR(VLOOKUP($C19,'NEW MODEL BY SES'!$C$19:$R$242,MATCH('SeS in Retail Sales Areas'!V$7,'NEW MODEL BY SES'!$C$17:$R$17,0),0),"")</f>
        <v/>
      </c>
      <c r="W19" s="141" t="str">
        <f>IFERROR(VLOOKUP($C19,'NEW MODEL BY SES'!$C$19:$R$242,MATCH('SeS in Retail Sales Areas'!W$7,'NEW MODEL BY SES'!$C$17:$R$17,0),0),"")</f>
        <v/>
      </c>
      <c r="X19" s="140" t="str">
        <f>IFERROR(VLOOKUP($C19,'NEW MODEL BY SES'!$C$19:$R$242,MATCH('SeS in Retail Sales Areas'!X$7,'NEW MODEL BY SES'!$C$17:$R$17,0),0),"")</f>
        <v/>
      </c>
      <c r="Z19" s="57"/>
    </row>
    <row r="20" spans="1:26">
      <c r="A20" t="s">
        <v>932</v>
      </c>
      <c r="B20" s="57">
        <v>108</v>
      </c>
      <c r="C20" t="s">
        <v>946</v>
      </c>
      <c r="D20" t="s">
        <v>40</v>
      </c>
      <c r="E20"/>
      <c r="F20" s="140" t="str">
        <f>IFERROR(VLOOKUP($C20,'NEW MODEL BY SES'!$C$19:$R$242,MATCH('SeS in Retail Sales Areas'!F$7,'NEW MODEL BY SES'!$C$17:$R$17,0),0),"")</f>
        <v/>
      </c>
      <c r="G20" s="140" t="str">
        <f>IFERROR(VLOOKUP($C20,'NEW MODEL BY SES'!$C$19:$R$242,MATCH('SeS in Retail Sales Areas'!G$7,'NEW MODEL BY SES'!$C$17:$R$17,0),0),"")</f>
        <v/>
      </c>
      <c r="H20" s="142" t="str">
        <f>IFERROR(VLOOKUP($C20,'NEW MODEL BY SES'!$C$19:$R$242,MATCH('SeS in Retail Sales Areas'!H$7,'NEW MODEL BY SES'!$C$17:$R$17,0),0),"")</f>
        <v/>
      </c>
      <c r="I20" s="140" t="str">
        <f>IFERROR(VLOOKUP($C20,'NEW MODEL BY SES'!$C$19:$R$242,MATCH('SeS in Retail Sales Areas'!I$7,'NEW MODEL BY SES'!$C$17:$R$17,0),0),"")</f>
        <v/>
      </c>
      <c r="J20" s="142" t="str">
        <f>IFERROR(VLOOKUP($C20,'NEW MODEL BY SES'!$C$19:$R$242,MATCH('SeS in Retail Sales Areas'!J$7,'NEW MODEL BY SES'!$C$17:$R$17,0),0),"")</f>
        <v/>
      </c>
      <c r="K20" s="140" t="str">
        <f>IFERROR(VLOOKUP($C20,'NEW MODEL BY SES'!$C$19:$R$242,MATCH('SeS in Retail Sales Areas'!K$7,'NEW MODEL BY SES'!$C$17:$R$17,0),0),"")</f>
        <v/>
      </c>
      <c r="L20" s="142" t="str">
        <f>IFERROR(VLOOKUP($C20,'NEW MODEL BY SES'!$C$19:$R$242,MATCH('SeS in Retail Sales Areas'!L$7,'NEW MODEL BY SES'!$C$17:$R$17,0),0),"")</f>
        <v/>
      </c>
      <c r="M20" s="140" t="str">
        <f>IFERROR(VLOOKUP($C20,'NEW MODEL BY SES'!$C$19:$R$242,MATCH('SeS in Retail Sales Areas'!M$7,'NEW MODEL BY SES'!$C$17:$R$17,0),0),"")</f>
        <v/>
      </c>
      <c r="N20" s="142" t="str">
        <f>IFERROR(VLOOKUP($C20,'NEW MODEL BY SES'!$C$19:$R$242,MATCH('SeS in Retail Sales Areas'!N$7,'NEW MODEL BY SES'!$C$17:$R$17,0),0),"")</f>
        <v/>
      </c>
      <c r="O20" s="140" t="str">
        <f>IFERROR(VLOOKUP($C20,'NEW MODEL BY SES'!$C$19:$R$242,MATCH('SeS in Retail Sales Areas'!O$7,'NEW MODEL BY SES'!$C$17:$R$17,0),0),"")</f>
        <v/>
      </c>
      <c r="P20" s="142" t="str">
        <f>IFERROR(VLOOKUP($C20,'NEW MODEL BY SES'!$C$19:$R$242,MATCH('SeS in Retail Sales Areas'!P$7,'NEW MODEL BY SES'!$C$17:$R$17,0),0),"")</f>
        <v/>
      </c>
      <c r="Q20" s="140" t="str">
        <f>IFERROR(VLOOKUP($C20,'NEW MODEL BY SES'!$C$19:$R$242,MATCH('SeS in Retail Sales Areas'!Q$7,'NEW MODEL BY SES'!$C$17:$R$17,0),0),"")</f>
        <v/>
      </c>
      <c r="R20" s="142" t="str">
        <f>IFERROR(VLOOKUP($C20,'NEW MODEL BY SES'!$C$19:$R$242,MATCH('SeS in Retail Sales Areas'!R$7,'NEW MODEL BY SES'!$C$17:$R$17,0),0),"")</f>
        <v/>
      </c>
      <c r="S20" s="141" t="str">
        <f>IFERROR(VLOOKUP($C20,'NEW MODEL BY SES'!$C$19:$R$242,MATCH('SeS in Retail Sales Areas'!S$7,'NEW MODEL BY SES'!$C$17:$R$17,0),0),"")</f>
        <v/>
      </c>
      <c r="T20" s="140" t="str">
        <f>IFERROR(VLOOKUP($C20,'NEW MODEL BY SES'!$C$19:$R$242,MATCH('SeS in Retail Sales Areas'!T$7,'NEW MODEL BY SES'!$C$17:$R$17,0),0),"")</f>
        <v/>
      </c>
      <c r="U20" s="142" t="str">
        <f>IFERROR(VLOOKUP($C20,'NEW MODEL BY SES'!$C$19:$R$242,MATCH('SeS in Retail Sales Areas'!U$7,'NEW MODEL BY SES'!$C$17:$R$17,0),0),"")</f>
        <v/>
      </c>
      <c r="V20" s="140" t="str">
        <f>IFERROR(VLOOKUP($C20,'NEW MODEL BY SES'!$C$19:$R$242,MATCH('SeS in Retail Sales Areas'!V$7,'NEW MODEL BY SES'!$C$17:$R$17,0),0),"")</f>
        <v/>
      </c>
      <c r="W20" s="141" t="str">
        <f>IFERROR(VLOOKUP($C20,'NEW MODEL BY SES'!$C$19:$R$242,MATCH('SeS in Retail Sales Areas'!W$7,'NEW MODEL BY SES'!$C$17:$R$17,0),0),"")</f>
        <v/>
      </c>
      <c r="X20" s="140" t="str">
        <f>IFERROR(VLOOKUP($C20,'NEW MODEL BY SES'!$C$19:$R$242,MATCH('SeS in Retail Sales Areas'!X$7,'NEW MODEL BY SES'!$C$17:$R$17,0),0),"")</f>
        <v/>
      </c>
      <c r="Z20" s="57"/>
    </row>
    <row r="21" spans="1:26">
      <c r="A21" t="s">
        <v>932</v>
      </c>
      <c r="B21" s="57">
        <v>107</v>
      </c>
      <c r="C21" t="s">
        <v>947</v>
      </c>
      <c r="D21" t="s">
        <v>40</v>
      </c>
      <c r="E21"/>
      <c r="F21" s="140" t="str">
        <f>IFERROR(VLOOKUP($C21,'NEW MODEL BY SES'!$C$19:$R$242,MATCH('SeS in Retail Sales Areas'!F$7,'NEW MODEL BY SES'!$C$17:$R$17,0),0),"")</f>
        <v/>
      </c>
      <c r="G21" s="140" t="str">
        <f>IFERROR(VLOOKUP($C21,'NEW MODEL BY SES'!$C$19:$R$242,MATCH('SeS in Retail Sales Areas'!G$7,'NEW MODEL BY SES'!$C$17:$R$17,0),0),"")</f>
        <v/>
      </c>
      <c r="H21" s="142" t="str">
        <f>IFERROR(VLOOKUP($C21,'NEW MODEL BY SES'!$C$19:$R$242,MATCH('SeS in Retail Sales Areas'!H$7,'NEW MODEL BY SES'!$C$17:$R$17,0),0),"")</f>
        <v/>
      </c>
      <c r="I21" s="140" t="str">
        <f>IFERROR(VLOOKUP($C21,'NEW MODEL BY SES'!$C$19:$R$242,MATCH('SeS in Retail Sales Areas'!I$7,'NEW MODEL BY SES'!$C$17:$R$17,0),0),"")</f>
        <v/>
      </c>
      <c r="J21" s="142" t="str">
        <f>IFERROR(VLOOKUP($C21,'NEW MODEL BY SES'!$C$19:$R$242,MATCH('SeS in Retail Sales Areas'!J$7,'NEW MODEL BY SES'!$C$17:$R$17,0),0),"")</f>
        <v/>
      </c>
      <c r="K21" s="140" t="str">
        <f>IFERROR(VLOOKUP($C21,'NEW MODEL BY SES'!$C$19:$R$242,MATCH('SeS in Retail Sales Areas'!K$7,'NEW MODEL BY SES'!$C$17:$R$17,0),0),"")</f>
        <v/>
      </c>
      <c r="L21" s="142" t="str">
        <f>IFERROR(VLOOKUP($C21,'NEW MODEL BY SES'!$C$19:$R$242,MATCH('SeS in Retail Sales Areas'!L$7,'NEW MODEL BY SES'!$C$17:$R$17,0),0),"")</f>
        <v/>
      </c>
      <c r="M21" s="140" t="str">
        <f>IFERROR(VLOOKUP($C21,'NEW MODEL BY SES'!$C$19:$R$242,MATCH('SeS in Retail Sales Areas'!M$7,'NEW MODEL BY SES'!$C$17:$R$17,0),0),"")</f>
        <v/>
      </c>
      <c r="N21" s="142" t="str">
        <f>IFERROR(VLOOKUP($C21,'NEW MODEL BY SES'!$C$19:$R$242,MATCH('SeS in Retail Sales Areas'!N$7,'NEW MODEL BY SES'!$C$17:$R$17,0),0),"")</f>
        <v/>
      </c>
      <c r="O21" s="140" t="str">
        <f>IFERROR(VLOOKUP($C21,'NEW MODEL BY SES'!$C$19:$R$242,MATCH('SeS in Retail Sales Areas'!O$7,'NEW MODEL BY SES'!$C$17:$R$17,0),0),"")</f>
        <v/>
      </c>
      <c r="P21" s="142" t="str">
        <f>IFERROR(VLOOKUP($C21,'NEW MODEL BY SES'!$C$19:$R$242,MATCH('SeS in Retail Sales Areas'!P$7,'NEW MODEL BY SES'!$C$17:$R$17,0),0),"")</f>
        <v/>
      </c>
      <c r="Q21" s="140" t="str">
        <f>IFERROR(VLOOKUP($C21,'NEW MODEL BY SES'!$C$19:$R$242,MATCH('SeS in Retail Sales Areas'!Q$7,'NEW MODEL BY SES'!$C$17:$R$17,0),0),"")</f>
        <v/>
      </c>
      <c r="R21" s="142" t="str">
        <f>IFERROR(VLOOKUP($C21,'NEW MODEL BY SES'!$C$19:$R$242,MATCH('SeS in Retail Sales Areas'!R$7,'NEW MODEL BY SES'!$C$17:$R$17,0),0),"")</f>
        <v/>
      </c>
      <c r="S21" s="141" t="str">
        <f>IFERROR(VLOOKUP($C21,'NEW MODEL BY SES'!$C$19:$R$242,MATCH('SeS in Retail Sales Areas'!S$7,'NEW MODEL BY SES'!$C$17:$R$17,0),0),"")</f>
        <v/>
      </c>
      <c r="T21" s="140" t="str">
        <f>IFERROR(VLOOKUP($C21,'NEW MODEL BY SES'!$C$19:$R$242,MATCH('SeS in Retail Sales Areas'!T$7,'NEW MODEL BY SES'!$C$17:$R$17,0),0),"")</f>
        <v/>
      </c>
      <c r="U21" s="142" t="str">
        <f>IFERROR(VLOOKUP($C21,'NEW MODEL BY SES'!$C$19:$R$242,MATCH('SeS in Retail Sales Areas'!U$7,'NEW MODEL BY SES'!$C$17:$R$17,0),0),"")</f>
        <v/>
      </c>
      <c r="V21" s="140" t="str">
        <f>IFERROR(VLOOKUP($C21,'NEW MODEL BY SES'!$C$19:$R$242,MATCH('SeS in Retail Sales Areas'!V$7,'NEW MODEL BY SES'!$C$17:$R$17,0),0),"")</f>
        <v/>
      </c>
      <c r="W21" s="141" t="str">
        <f>IFERROR(VLOOKUP($C21,'NEW MODEL BY SES'!$C$19:$R$242,MATCH('SeS in Retail Sales Areas'!W$7,'NEW MODEL BY SES'!$C$17:$R$17,0),0),"")</f>
        <v/>
      </c>
      <c r="X21" s="140" t="str">
        <f>IFERROR(VLOOKUP($C21,'NEW MODEL BY SES'!$C$19:$R$242,MATCH('SeS in Retail Sales Areas'!X$7,'NEW MODEL BY SES'!$C$17:$R$17,0),0),"")</f>
        <v/>
      </c>
      <c r="Z21" s="57"/>
    </row>
    <row r="22" spans="1:26">
      <c r="A22" t="s">
        <v>932</v>
      </c>
      <c r="B22" s="57">
        <v>107</v>
      </c>
      <c r="C22" t="s">
        <v>948</v>
      </c>
      <c r="D22" t="s">
        <v>40</v>
      </c>
      <c r="E22"/>
      <c r="F22" s="140" t="str">
        <f>IFERROR(VLOOKUP($C22,'NEW MODEL BY SES'!$C$19:$R$242,MATCH('SeS in Retail Sales Areas'!F$7,'NEW MODEL BY SES'!$C$17:$R$17,0),0),"")</f>
        <v/>
      </c>
      <c r="G22" s="140" t="str">
        <f>IFERROR(VLOOKUP($C22,'NEW MODEL BY SES'!$C$19:$R$242,MATCH('SeS in Retail Sales Areas'!G$7,'NEW MODEL BY SES'!$C$17:$R$17,0),0),"")</f>
        <v/>
      </c>
      <c r="H22" s="142" t="str">
        <f>IFERROR(VLOOKUP($C22,'NEW MODEL BY SES'!$C$19:$R$242,MATCH('SeS in Retail Sales Areas'!H$7,'NEW MODEL BY SES'!$C$17:$R$17,0),0),"")</f>
        <v/>
      </c>
      <c r="I22" s="140" t="str">
        <f>IFERROR(VLOOKUP($C22,'NEW MODEL BY SES'!$C$19:$R$242,MATCH('SeS in Retail Sales Areas'!I$7,'NEW MODEL BY SES'!$C$17:$R$17,0),0),"")</f>
        <v/>
      </c>
      <c r="J22" s="142" t="str">
        <f>IFERROR(VLOOKUP($C22,'NEW MODEL BY SES'!$C$19:$R$242,MATCH('SeS in Retail Sales Areas'!J$7,'NEW MODEL BY SES'!$C$17:$R$17,0),0),"")</f>
        <v/>
      </c>
      <c r="K22" s="140" t="str">
        <f>IFERROR(VLOOKUP($C22,'NEW MODEL BY SES'!$C$19:$R$242,MATCH('SeS in Retail Sales Areas'!K$7,'NEW MODEL BY SES'!$C$17:$R$17,0),0),"")</f>
        <v/>
      </c>
      <c r="L22" s="142" t="str">
        <f>IFERROR(VLOOKUP($C22,'NEW MODEL BY SES'!$C$19:$R$242,MATCH('SeS in Retail Sales Areas'!L$7,'NEW MODEL BY SES'!$C$17:$R$17,0),0),"")</f>
        <v/>
      </c>
      <c r="M22" s="140" t="str">
        <f>IFERROR(VLOOKUP($C22,'NEW MODEL BY SES'!$C$19:$R$242,MATCH('SeS in Retail Sales Areas'!M$7,'NEW MODEL BY SES'!$C$17:$R$17,0),0),"")</f>
        <v/>
      </c>
      <c r="N22" s="142" t="str">
        <f>IFERROR(VLOOKUP($C22,'NEW MODEL BY SES'!$C$19:$R$242,MATCH('SeS in Retail Sales Areas'!N$7,'NEW MODEL BY SES'!$C$17:$R$17,0),0),"")</f>
        <v/>
      </c>
      <c r="O22" s="140" t="str">
        <f>IFERROR(VLOOKUP($C22,'NEW MODEL BY SES'!$C$19:$R$242,MATCH('SeS in Retail Sales Areas'!O$7,'NEW MODEL BY SES'!$C$17:$R$17,0),0),"")</f>
        <v/>
      </c>
      <c r="P22" s="142" t="str">
        <f>IFERROR(VLOOKUP($C22,'NEW MODEL BY SES'!$C$19:$R$242,MATCH('SeS in Retail Sales Areas'!P$7,'NEW MODEL BY SES'!$C$17:$R$17,0),0),"")</f>
        <v/>
      </c>
      <c r="Q22" s="140" t="str">
        <f>IFERROR(VLOOKUP($C22,'NEW MODEL BY SES'!$C$19:$R$242,MATCH('SeS in Retail Sales Areas'!Q$7,'NEW MODEL BY SES'!$C$17:$R$17,0),0),"")</f>
        <v/>
      </c>
      <c r="R22" s="142" t="str">
        <f>IFERROR(VLOOKUP($C22,'NEW MODEL BY SES'!$C$19:$R$242,MATCH('SeS in Retail Sales Areas'!R$7,'NEW MODEL BY SES'!$C$17:$R$17,0),0),"")</f>
        <v/>
      </c>
      <c r="S22" s="141" t="str">
        <f>IFERROR(VLOOKUP($C22,'NEW MODEL BY SES'!$C$19:$R$242,MATCH('SeS in Retail Sales Areas'!S$7,'NEW MODEL BY SES'!$C$17:$R$17,0),0),"")</f>
        <v/>
      </c>
      <c r="T22" s="140" t="str">
        <f>IFERROR(VLOOKUP($C22,'NEW MODEL BY SES'!$C$19:$R$242,MATCH('SeS in Retail Sales Areas'!T$7,'NEW MODEL BY SES'!$C$17:$R$17,0),0),"")</f>
        <v/>
      </c>
      <c r="U22" s="142" t="str">
        <f>IFERROR(VLOOKUP($C22,'NEW MODEL BY SES'!$C$19:$R$242,MATCH('SeS in Retail Sales Areas'!U$7,'NEW MODEL BY SES'!$C$17:$R$17,0),0),"")</f>
        <v/>
      </c>
      <c r="V22" s="140" t="str">
        <f>IFERROR(VLOOKUP($C22,'NEW MODEL BY SES'!$C$19:$R$242,MATCH('SeS in Retail Sales Areas'!V$7,'NEW MODEL BY SES'!$C$17:$R$17,0),0),"")</f>
        <v/>
      </c>
      <c r="W22" s="141" t="str">
        <f>IFERROR(VLOOKUP($C22,'NEW MODEL BY SES'!$C$19:$R$242,MATCH('SeS in Retail Sales Areas'!W$7,'NEW MODEL BY SES'!$C$17:$R$17,0),0),"")</f>
        <v/>
      </c>
      <c r="X22" s="140" t="str">
        <f>IFERROR(VLOOKUP($C22,'NEW MODEL BY SES'!$C$19:$R$242,MATCH('SeS in Retail Sales Areas'!X$7,'NEW MODEL BY SES'!$C$17:$R$17,0),0),"")</f>
        <v/>
      </c>
      <c r="Z22" s="57"/>
    </row>
    <row r="23" spans="1:26">
      <c r="A23" t="s">
        <v>932</v>
      </c>
      <c r="B23" s="57">
        <v>97</v>
      </c>
      <c r="C23" t="s">
        <v>949</v>
      </c>
      <c r="D23" t="s">
        <v>40</v>
      </c>
      <c r="E23"/>
      <c r="F23" s="140" t="str">
        <f>IFERROR(VLOOKUP($C23,'NEW MODEL BY SES'!$C$19:$R$242,MATCH('SeS in Retail Sales Areas'!F$7,'NEW MODEL BY SES'!$C$17:$R$17,0),0),"")</f>
        <v/>
      </c>
      <c r="G23" s="140" t="str">
        <f>IFERROR(VLOOKUP($C23,'NEW MODEL BY SES'!$C$19:$R$242,MATCH('SeS in Retail Sales Areas'!G$7,'NEW MODEL BY SES'!$C$17:$R$17,0),0),"")</f>
        <v/>
      </c>
      <c r="H23" s="142" t="str">
        <f>IFERROR(VLOOKUP($C23,'NEW MODEL BY SES'!$C$19:$R$242,MATCH('SeS in Retail Sales Areas'!H$7,'NEW MODEL BY SES'!$C$17:$R$17,0),0),"")</f>
        <v/>
      </c>
      <c r="I23" s="140" t="str">
        <f>IFERROR(VLOOKUP($C23,'NEW MODEL BY SES'!$C$19:$R$242,MATCH('SeS in Retail Sales Areas'!I$7,'NEW MODEL BY SES'!$C$17:$R$17,0),0),"")</f>
        <v/>
      </c>
      <c r="J23" s="142" t="str">
        <f>IFERROR(VLOOKUP($C23,'NEW MODEL BY SES'!$C$19:$R$242,MATCH('SeS in Retail Sales Areas'!J$7,'NEW MODEL BY SES'!$C$17:$R$17,0),0),"")</f>
        <v/>
      </c>
      <c r="K23" s="140" t="str">
        <f>IFERROR(VLOOKUP($C23,'NEW MODEL BY SES'!$C$19:$R$242,MATCH('SeS in Retail Sales Areas'!K$7,'NEW MODEL BY SES'!$C$17:$R$17,0),0),"")</f>
        <v/>
      </c>
      <c r="L23" s="142" t="str">
        <f>IFERROR(VLOOKUP($C23,'NEW MODEL BY SES'!$C$19:$R$242,MATCH('SeS in Retail Sales Areas'!L$7,'NEW MODEL BY SES'!$C$17:$R$17,0),0),"")</f>
        <v/>
      </c>
      <c r="M23" s="140" t="str">
        <f>IFERROR(VLOOKUP($C23,'NEW MODEL BY SES'!$C$19:$R$242,MATCH('SeS in Retail Sales Areas'!M$7,'NEW MODEL BY SES'!$C$17:$R$17,0),0),"")</f>
        <v/>
      </c>
      <c r="N23" s="142" t="str">
        <f>IFERROR(VLOOKUP($C23,'NEW MODEL BY SES'!$C$19:$R$242,MATCH('SeS in Retail Sales Areas'!N$7,'NEW MODEL BY SES'!$C$17:$R$17,0),0),"")</f>
        <v/>
      </c>
      <c r="O23" s="140" t="str">
        <f>IFERROR(VLOOKUP($C23,'NEW MODEL BY SES'!$C$19:$R$242,MATCH('SeS in Retail Sales Areas'!O$7,'NEW MODEL BY SES'!$C$17:$R$17,0),0),"")</f>
        <v/>
      </c>
      <c r="P23" s="142" t="str">
        <f>IFERROR(VLOOKUP($C23,'NEW MODEL BY SES'!$C$19:$R$242,MATCH('SeS in Retail Sales Areas'!P$7,'NEW MODEL BY SES'!$C$17:$R$17,0),0),"")</f>
        <v/>
      </c>
      <c r="Q23" s="140" t="str">
        <f>IFERROR(VLOOKUP($C23,'NEW MODEL BY SES'!$C$19:$R$242,MATCH('SeS in Retail Sales Areas'!Q$7,'NEW MODEL BY SES'!$C$17:$R$17,0),0),"")</f>
        <v/>
      </c>
      <c r="R23" s="142" t="str">
        <f>IFERROR(VLOOKUP($C23,'NEW MODEL BY SES'!$C$19:$R$242,MATCH('SeS in Retail Sales Areas'!R$7,'NEW MODEL BY SES'!$C$17:$R$17,0),0),"")</f>
        <v/>
      </c>
      <c r="S23" s="141" t="str">
        <f>IFERROR(VLOOKUP($C23,'NEW MODEL BY SES'!$C$19:$R$242,MATCH('SeS in Retail Sales Areas'!S$7,'NEW MODEL BY SES'!$C$17:$R$17,0),0),"")</f>
        <v/>
      </c>
      <c r="T23" s="140" t="str">
        <f>IFERROR(VLOOKUP($C23,'NEW MODEL BY SES'!$C$19:$R$242,MATCH('SeS in Retail Sales Areas'!T$7,'NEW MODEL BY SES'!$C$17:$R$17,0),0),"")</f>
        <v/>
      </c>
      <c r="U23" s="142" t="str">
        <f>IFERROR(VLOOKUP($C23,'NEW MODEL BY SES'!$C$19:$R$242,MATCH('SeS in Retail Sales Areas'!U$7,'NEW MODEL BY SES'!$C$17:$R$17,0),0),"")</f>
        <v/>
      </c>
      <c r="V23" s="140" t="str">
        <f>IFERROR(VLOOKUP($C23,'NEW MODEL BY SES'!$C$19:$R$242,MATCH('SeS in Retail Sales Areas'!V$7,'NEW MODEL BY SES'!$C$17:$R$17,0),0),"")</f>
        <v/>
      </c>
      <c r="W23" s="141" t="str">
        <f>IFERROR(VLOOKUP($C23,'NEW MODEL BY SES'!$C$19:$R$242,MATCH('SeS in Retail Sales Areas'!W$7,'NEW MODEL BY SES'!$C$17:$R$17,0),0),"")</f>
        <v/>
      </c>
      <c r="X23" s="140" t="str">
        <f>IFERROR(VLOOKUP($C23,'NEW MODEL BY SES'!$C$19:$R$242,MATCH('SeS in Retail Sales Areas'!X$7,'NEW MODEL BY SES'!$C$17:$R$17,0),0),"")</f>
        <v/>
      </c>
      <c r="Z23" s="57"/>
    </row>
    <row r="24" spans="1:26">
      <c r="A24" t="s">
        <v>932</v>
      </c>
      <c r="B24" s="57">
        <v>93</v>
      </c>
      <c r="C24" t="s">
        <v>950</v>
      </c>
      <c r="D24" t="s">
        <v>40</v>
      </c>
      <c r="E24"/>
      <c r="F24" s="140" t="str">
        <f>IFERROR(VLOOKUP($C24,'NEW MODEL BY SES'!$C$19:$R$242,MATCH('SeS in Retail Sales Areas'!F$7,'NEW MODEL BY SES'!$C$17:$R$17,0),0),"")</f>
        <v/>
      </c>
      <c r="G24" s="140" t="str">
        <f>IFERROR(VLOOKUP($C24,'NEW MODEL BY SES'!$C$19:$R$242,MATCH('SeS in Retail Sales Areas'!G$7,'NEW MODEL BY SES'!$C$17:$R$17,0),0),"")</f>
        <v/>
      </c>
      <c r="H24" s="142" t="str">
        <f>IFERROR(VLOOKUP($C24,'NEW MODEL BY SES'!$C$19:$R$242,MATCH('SeS in Retail Sales Areas'!H$7,'NEW MODEL BY SES'!$C$17:$R$17,0),0),"")</f>
        <v/>
      </c>
      <c r="I24" s="140" t="str">
        <f>IFERROR(VLOOKUP($C24,'NEW MODEL BY SES'!$C$19:$R$242,MATCH('SeS in Retail Sales Areas'!I$7,'NEW MODEL BY SES'!$C$17:$R$17,0),0),"")</f>
        <v/>
      </c>
      <c r="J24" s="142" t="str">
        <f>IFERROR(VLOOKUP($C24,'NEW MODEL BY SES'!$C$19:$R$242,MATCH('SeS in Retail Sales Areas'!J$7,'NEW MODEL BY SES'!$C$17:$R$17,0),0),"")</f>
        <v/>
      </c>
      <c r="K24" s="140" t="str">
        <f>IFERROR(VLOOKUP($C24,'NEW MODEL BY SES'!$C$19:$R$242,MATCH('SeS in Retail Sales Areas'!K$7,'NEW MODEL BY SES'!$C$17:$R$17,0),0),"")</f>
        <v/>
      </c>
      <c r="L24" s="142" t="str">
        <f>IFERROR(VLOOKUP($C24,'NEW MODEL BY SES'!$C$19:$R$242,MATCH('SeS in Retail Sales Areas'!L$7,'NEW MODEL BY SES'!$C$17:$R$17,0),0),"")</f>
        <v/>
      </c>
      <c r="M24" s="140" t="str">
        <f>IFERROR(VLOOKUP($C24,'NEW MODEL BY SES'!$C$19:$R$242,MATCH('SeS in Retail Sales Areas'!M$7,'NEW MODEL BY SES'!$C$17:$R$17,0),0),"")</f>
        <v/>
      </c>
      <c r="N24" s="142" t="str">
        <f>IFERROR(VLOOKUP($C24,'NEW MODEL BY SES'!$C$19:$R$242,MATCH('SeS in Retail Sales Areas'!N$7,'NEW MODEL BY SES'!$C$17:$R$17,0),0),"")</f>
        <v/>
      </c>
      <c r="O24" s="140" t="str">
        <f>IFERROR(VLOOKUP($C24,'NEW MODEL BY SES'!$C$19:$R$242,MATCH('SeS in Retail Sales Areas'!O$7,'NEW MODEL BY SES'!$C$17:$R$17,0),0),"")</f>
        <v/>
      </c>
      <c r="P24" s="142" t="str">
        <f>IFERROR(VLOOKUP($C24,'NEW MODEL BY SES'!$C$19:$R$242,MATCH('SeS in Retail Sales Areas'!P$7,'NEW MODEL BY SES'!$C$17:$R$17,0),0),"")</f>
        <v/>
      </c>
      <c r="Q24" s="140" t="str">
        <f>IFERROR(VLOOKUP($C24,'NEW MODEL BY SES'!$C$19:$R$242,MATCH('SeS in Retail Sales Areas'!Q$7,'NEW MODEL BY SES'!$C$17:$R$17,0),0),"")</f>
        <v/>
      </c>
      <c r="R24" s="142" t="str">
        <f>IFERROR(VLOOKUP($C24,'NEW MODEL BY SES'!$C$19:$R$242,MATCH('SeS in Retail Sales Areas'!R$7,'NEW MODEL BY SES'!$C$17:$R$17,0),0),"")</f>
        <v/>
      </c>
      <c r="S24" s="141" t="str">
        <f>IFERROR(VLOOKUP($C24,'NEW MODEL BY SES'!$C$19:$R$242,MATCH('SeS in Retail Sales Areas'!S$7,'NEW MODEL BY SES'!$C$17:$R$17,0),0),"")</f>
        <v/>
      </c>
      <c r="T24" s="140" t="str">
        <f>IFERROR(VLOOKUP($C24,'NEW MODEL BY SES'!$C$19:$R$242,MATCH('SeS in Retail Sales Areas'!T$7,'NEW MODEL BY SES'!$C$17:$R$17,0),0),"")</f>
        <v/>
      </c>
      <c r="U24" s="142" t="str">
        <f>IFERROR(VLOOKUP($C24,'NEW MODEL BY SES'!$C$19:$R$242,MATCH('SeS in Retail Sales Areas'!U$7,'NEW MODEL BY SES'!$C$17:$R$17,0),0),"")</f>
        <v/>
      </c>
      <c r="V24" s="140" t="str">
        <f>IFERROR(VLOOKUP($C24,'NEW MODEL BY SES'!$C$19:$R$242,MATCH('SeS in Retail Sales Areas'!V$7,'NEW MODEL BY SES'!$C$17:$R$17,0),0),"")</f>
        <v/>
      </c>
      <c r="W24" s="141" t="str">
        <f>IFERROR(VLOOKUP($C24,'NEW MODEL BY SES'!$C$19:$R$242,MATCH('SeS in Retail Sales Areas'!W$7,'NEW MODEL BY SES'!$C$17:$R$17,0),0),"")</f>
        <v/>
      </c>
      <c r="X24" s="140" t="str">
        <f>IFERROR(VLOOKUP($C24,'NEW MODEL BY SES'!$C$19:$R$242,MATCH('SeS in Retail Sales Areas'!X$7,'NEW MODEL BY SES'!$C$17:$R$17,0),0),"")</f>
        <v/>
      </c>
      <c r="Z24" s="57"/>
    </row>
    <row r="25" spans="1:26">
      <c r="A25" t="s">
        <v>932</v>
      </c>
      <c r="B25" s="57">
        <v>72</v>
      </c>
      <c r="C25" t="s">
        <v>951</v>
      </c>
      <c r="D25" t="s">
        <v>44</v>
      </c>
      <c r="E25"/>
      <c r="F25" s="140" t="str">
        <f>IFERROR(VLOOKUP($C25,'NEW MODEL BY SES'!$C$19:$R$242,MATCH('SeS in Retail Sales Areas'!F$7,'NEW MODEL BY SES'!$C$17:$R$17,0),0),"")</f>
        <v/>
      </c>
      <c r="G25" s="140" t="str">
        <f>IFERROR(VLOOKUP($C25,'NEW MODEL BY SES'!$C$19:$R$242,MATCH('SeS in Retail Sales Areas'!G$7,'NEW MODEL BY SES'!$C$17:$R$17,0),0),"")</f>
        <v/>
      </c>
      <c r="H25" s="142" t="str">
        <f>IFERROR(VLOOKUP($C25,'NEW MODEL BY SES'!$C$19:$R$242,MATCH('SeS in Retail Sales Areas'!H$7,'NEW MODEL BY SES'!$C$17:$R$17,0),0),"")</f>
        <v/>
      </c>
      <c r="I25" s="140" t="str">
        <f>IFERROR(VLOOKUP($C25,'NEW MODEL BY SES'!$C$19:$R$242,MATCH('SeS in Retail Sales Areas'!I$7,'NEW MODEL BY SES'!$C$17:$R$17,0),0),"")</f>
        <v/>
      </c>
      <c r="J25" s="142" t="str">
        <f>IFERROR(VLOOKUP($C25,'NEW MODEL BY SES'!$C$19:$R$242,MATCH('SeS in Retail Sales Areas'!J$7,'NEW MODEL BY SES'!$C$17:$R$17,0),0),"")</f>
        <v/>
      </c>
      <c r="K25" s="140" t="str">
        <f>IFERROR(VLOOKUP($C25,'NEW MODEL BY SES'!$C$19:$R$242,MATCH('SeS in Retail Sales Areas'!K$7,'NEW MODEL BY SES'!$C$17:$R$17,0),0),"")</f>
        <v/>
      </c>
      <c r="L25" s="142" t="str">
        <f>IFERROR(VLOOKUP($C25,'NEW MODEL BY SES'!$C$19:$R$242,MATCH('SeS in Retail Sales Areas'!L$7,'NEW MODEL BY SES'!$C$17:$R$17,0),0),"")</f>
        <v/>
      </c>
      <c r="M25" s="140" t="str">
        <f>IFERROR(VLOOKUP($C25,'NEW MODEL BY SES'!$C$19:$R$242,MATCH('SeS in Retail Sales Areas'!M$7,'NEW MODEL BY SES'!$C$17:$R$17,0),0),"")</f>
        <v/>
      </c>
      <c r="N25" s="142" t="str">
        <f>IFERROR(VLOOKUP($C25,'NEW MODEL BY SES'!$C$19:$R$242,MATCH('SeS in Retail Sales Areas'!N$7,'NEW MODEL BY SES'!$C$17:$R$17,0),0),"")</f>
        <v/>
      </c>
      <c r="O25" s="140" t="str">
        <f>IFERROR(VLOOKUP($C25,'NEW MODEL BY SES'!$C$19:$R$242,MATCH('SeS in Retail Sales Areas'!O$7,'NEW MODEL BY SES'!$C$17:$R$17,0),0),"")</f>
        <v/>
      </c>
      <c r="P25" s="142" t="str">
        <f>IFERROR(VLOOKUP($C25,'NEW MODEL BY SES'!$C$19:$R$242,MATCH('SeS in Retail Sales Areas'!P$7,'NEW MODEL BY SES'!$C$17:$R$17,0),0),"")</f>
        <v/>
      </c>
      <c r="Q25" s="140" t="str">
        <f>IFERROR(VLOOKUP($C25,'NEW MODEL BY SES'!$C$19:$R$242,MATCH('SeS in Retail Sales Areas'!Q$7,'NEW MODEL BY SES'!$C$17:$R$17,0),0),"")</f>
        <v/>
      </c>
      <c r="R25" s="142" t="str">
        <f>IFERROR(VLOOKUP($C25,'NEW MODEL BY SES'!$C$19:$R$242,MATCH('SeS in Retail Sales Areas'!R$7,'NEW MODEL BY SES'!$C$17:$R$17,0),0),"")</f>
        <v/>
      </c>
      <c r="S25" s="141" t="str">
        <f>IFERROR(VLOOKUP($C25,'NEW MODEL BY SES'!$C$19:$R$242,MATCH('SeS in Retail Sales Areas'!S$7,'NEW MODEL BY SES'!$C$17:$R$17,0),0),"")</f>
        <v/>
      </c>
      <c r="T25" s="140" t="str">
        <f>IFERROR(VLOOKUP($C25,'NEW MODEL BY SES'!$C$19:$R$242,MATCH('SeS in Retail Sales Areas'!T$7,'NEW MODEL BY SES'!$C$17:$R$17,0),0),"")</f>
        <v/>
      </c>
      <c r="U25" s="142" t="str">
        <f>IFERROR(VLOOKUP($C25,'NEW MODEL BY SES'!$C$19:$R$242,MATCH('SeS in Retail Sales Areas'!U$7,'NEW MODEL BY SES'!$C$17:$R$17,0),0),"")</f>
        <v/>
      </c>
      <c r="V25" s="140" t="str">
        <f>IFERROR(VLOOKUP($C25,'NEW MODEL BY SES'!$C$19:$R$242,MATCH('SeS in Retail Sales Areas'!V$7,'NEW MODEL BY SES'!$C$17:$R$17,0),0),"")</f>
        <v/>
      </c>
      <c r="W25" s="141" t="str">
        <f>IFERROR(VLOOKUP($C25,'NEW MODEL BY SES'!$C$19:$R$242,MATCH('SeS in Retail Sales Areas'!W$7,'NEW MODEL BY SES'!$C$17:$R$17,0),0),"")</f>
        <v/>
      </c>
      <c r="X25" s="140" t="str">
        <f>IFERROR(VLOOKUP($C25,'NEW MODEL BY SES'!$C$19:$R$242,MATCH('SeS in Retail Sales Areas'!X$7,'NEW MODEL BY SES'!$C$17:$R$17,0),0),"")</f>
        <v/>
      </c>
      <c r="Z25" s="57"/>
    </row>
    <row r="26" spans="1:26">
      <c r="A26" t="s">
        <v>932</v>
      </c>
      <c r="B26" s="57">
        <v>72</v>
      </c>
      <c r="C26" t="s">
        <v>952</v>
      </c>
      <c r="D26" t="s">
        <v>44</v>
      </c>
      <c r="E26"/>
      <c r="F26" s="140" t="str">
        <f>IFERROR(VLOOKUP($C26,'NEW MODEL BY SES'!$C$19:$R$242,MATCH('SeS in Retail Sales Areas'!F$7,'NEW MODEL BY SES'!$C$17:$R$17,0),0),"")</f>
        <v/>
      </c>
      <c r="G26" s="140" t="str">
        <f>IFERROR(VLOOKUP($C26,'NEW MODEL BY SES'!$C$19:$R$242,MATCH('SeS in Retail Sales Areas'!G$7,'NEW MODEL BY SES'!$C$17:$R$17,0),0),"")</f>
        <v/>
      </c>
      <c r="H26" s="142" t="str">
        <f>IFERROR(VLOOKUP($C26,'NEW MODEL BY SES'!$C$19:$R$242,MATCH('SeS in Retail Sales Areas'!H$7,'NEW MODEL BY SES'!$C$17:$R$17,0),0),"")</f>
        <v/>
      </c>
      <c r="I26" s="140" t="str">
        <f>IFERROR(VLOOKUP($C26,'NEW MODEL BY SES'!$C$19:$R$242,MATCH('SeS in Retail Sales Areas'!I$7,'NEW MODEL BY SES'!$C$17:$R$17,0),0),"")</f>
        <v/>
      </c>
      <c r="J26" s="142" t="str">
        <f>IFERROR(VLOOKUP($C26,'NEW MODEL BY SES'!$C$19:$R$242,MATCH('SeS in Retail Sales Areas'!J$7,'NEW MODEL BY SES'!$C$17:$R$17,0),0),"")</f>
        <v/>
      </c>
      <c r="K26" s="140" t="str">
        <f>IFERROR(VLOOKUP($C26,'NEW MODEL BY SES'!$C$19:$R$242,MATCH('SeS in Retail Sales Areas'!K$7,'NEW MODEL BY SES'!$C$17:$R$17,0),0),"")</f>
        <v/>
      </c>
      <c r="L26" s="142" t="str">
        <f>IFERROR(VLOOKUP($C26,'NEW MODEL BY SES'!$C$19:$R$242,MATCH('SeS in Retail Sales Areas'!L$7,'NEW MODEL BY SES'!$C$17:$R$17,0),0),"")</f>
        <v/>
      </c>
      <c r="M26" s="140" t="str">
        <f>IFERROR(VLOOKUP($C26,'NEW MODEL BY SES'!$C$19:$R$242,MATCH('SeS in Retail Sales Areas'!M$7,'NEW MODEL BY SES'!$C$17:$R$17,0),0),"")</f>
        <v/>
      </c>
      <c r="N26" s="142" t="str">
        <f>IFERROR(VLOOKUP($C26,'NEW MODEL BY SES'!$C$19:$R$242,MATCH('SeS in Retail Sales Areas'!N$7,'NEW MODEL BY SES'!$C$17:$R$17,0),0),"")</f>
        <v/>
      </c>
      <c r="O26" s="140" t="str">
        <f>IFERROR(VLOOKUP($C26,'NEW MODEL BY SES'!$C$19:$R$242,MATCH('SeS in Retail Sales Areas'!O$7,'NEW MODEL BY SES'!$C$17:$R$17,0),0),"")</f>
        <v/>
      </c>
      <c r="P26" s="142" t="str">
        <f>IFERROR(VLOOKUP($C26,'NEW MODEL BY SES'!$C$19:$R$242,MATCH('SeS in Retail Sales Areas'!P$7,'NEW MODEL BY SES'!$C$17:$R$17,0),0),"")</f>
        <v/>
      </c>
      <c r="Q26" s="140" t="str">
        <f>IFERROR(VLOOKUP($C26,'NEW MODEL BY SES'!$C$19:$R$242,MATCH('SeS in Retail Sales Areas'!Q$7,'NEW MODEL BY SES'!$C$17:$R$17,0),0),"")</f>
        <v/>
      </c>
      <c r="R26" s="142" t="str">
        <f>IFERROR(VLOOKUP($C26,'NEW MODEL BY SES'!$C$19:$R$242,MATCH('SeS in Retail Sales Areas'!R$7,'NEW MODEL BY SES'!$C$17:$R$17,0),0),"")</f>
        <v/>
      </c>
      <c r="S26" s="141" t="str">
        <f>IFERROR(VLOOKUP($C26,'NEW MODEL BY SES'!$C$19:$R$242,MATCH('SeS in Retail Sales Areas'!S$7,'NEW MODEL BY SES'!$C$17:$R$17,0),0),"")</f>
        <v/>
      </c>
      <c r="T26" s="140" t="str">
        <f>IFERROR(VLOOKUP($C26,'NEW MODEL BY SES'!$C$19:$R$242,MATCH('SeS in Retail Sales Areas'!T$7,'NEW MODEL BY SES'!$C$17:$R$17,0),0),"")</f>
        <v/>
      </c>
      <c r="U26" s="142" t="str">
        <f>IFERROR(VLOOKUP($C26,'NEW MODEL BY SES'!$C$19:$R$242,MATCH('SeS in Retail Sales Areas'!U$7,'NEW MODEL BY SES'!$C$17:$R$17,0),0),"")</f>
        <v/>
      </c>
      <c r="V26" s="140" t="str">
        <f>IFERROR(VLOOKUP($C26,'NEW MODEL BY SES'!$C$19:$R$242,MATCH('SeS in Retail Sales Areas'!V$7,'NEW MODEL BY SES'!$C$17:$R$17,0),0),"")</f>
        <v/>
      </c>
      <c r="W26" s="141" t="str">
        <f>IFERROR(VLOOKUP($C26,'NEW MODEL BY SES'!$C$19:$R$242,MATCH('SeS in Retail Sales Areas'!W$7,'NEW MODEL BY SES'!$C$17:$R$17,0),0),"")</f>
        <v/>
      </c>
      <c r="X26" s="140" t="str">
        <f>IFERROR(VLOOKUP($C26,'NEW MODEL BY SES'!$C$19:$R$242,MATCH('SeS in Retail Sales Areas'!X$7,'NEW MODEL BY SES'!$C$17:$R$17,0),0),"")</f>
        <v/>
      </c>
      <c r="Z26" s="57"/>
    </row>
    <row r="27" spans="1:26">
      <c r="A27" t="s">
        <v>932</v>
      </c>
      <c r="B27" s="57">
        <v>70</v>
      </c>
      <c r="C27" t="s">
        <v>953</v>
      </c>
      <c r="D27" t="s">
        <v>44</v>
      </c>
      <c r="E27"/>
      <c r="F27" s="140" t="str">
        <f>IFERROR(VLOOKUP($C27,'NEW MODEL BY SES'!$C$19:$R$242,MATCH('SeS in Retail Sales Areas'!F$7,'NEW MODEL BY SES'!$C$17:$R$17,0),0),"")</f>
        <v/>
      </c>
      <c r="G27" s="140" t="str">
        <f>IFERROR(VLOOKUP($C27,'NEW MODEL BY SES'!$C$19:$R$242,MATCH('SeS in Retail Sales Areas'!G$7,'NEW MODEL BY SES'!$C$17:$R$17,0),0),"")</f>
        <v/>
      </c>
      <c r="H27" s="142" t="str">
        <f>IFERROR(VLOOKUP($C27,'NEW MODEL BY SES'!$C$19:$R$242,MATCH('SeS in Retail Sales Areas'!H$7,'NEW MODEL BY SES'!$C$17:$R$17,0),0),"")</f>
        <v/>
      </c>
      <c r="I27" s="140" t="str">
        <f>IFERROR(VLOOKUP($C27,'NEW MODEL BY SES'!$C$19:$R$242,MATCH('SeS in Retail Sales Areas'!I$7,'NEW MODEL BY SES'!$C$17:$R$17,0),0),"")</f>
        <v/>
      </c>
      <c r="J27" s="142" t="str">
        <f>IFERROR(VLOOKUP($C27,'NEW MODEL BY SES'!$C$19:$R$242,MATCH('SeS in Retail Sales Areas'!J$7,'NEW MODEL BY SES'!$C$17:$R$17,0),0),"")</f>
        <v/>
      </c>
      <c r="K27" s="140" t="str">
        <f>IFERROR(VLOOKUP($C27,'NEW MODEL BY SES'!$C$19:$R$242,MATCH('SeS in Retail Sales Areas'!K$7,'NEW MODEL BY SES'!$C$17:$R$17,0),0),"")</f>
        <v/>
      </c>
      <c r="L27" s="142" t="str">
        <f>IFERROR(VLOOKUP($C27,'NEW MODEL BY SES'!$C$19:$R$242,MATCH('SeS in Retail Sales Areas'!L$7,'NEW MODEL BY SES'!$C$17:$R$17,0),0),"")</f>
        <v/>
      </c>
      <c r="M27" s="140" t="str">
        <f>IFERROR(VLOOKUP($C27,'NEW MODEL BY SES'!$C$19:$R$242,MATCH('SeS in Retail Sales Areas'!M$7,'NEW MODEL BY SES'!$C$17:$R$17,0),0),"")</f>
        <v/>
      </c>
      <c r="N27" s="142" t="str">
        <f>IFERROR(VLOOKUP($C27,'NEW MODEL BY SES'!$C$19:$R$242,MATCH('SeS in Retail Sales Areas'!N$7,'NEW MODEL BY SES'!$C$17:$R$17,0),0),"")</f>
        <v/>
      </c>
      <c r="O27" s="140" t="str">
        <f>IFERROR(VLOOKUP($C27,'NEW MODEL BY SES'!$C$19:$R$242,MATCH('SeS in Retail Sales Areas'!O$7,'NEW MODEL BY SES'!$C$17:$R$17,0),0),"")</f>
        <v/>
      </c>
      <c r="P27" s="142" t="str">
        <f>IFERROR(VLOOKUP($C27,'NEW MODEL BY SES'!$C$19:$R$242,MATCH('SeS in Retail Sales Areas'!P$7,'NEW MODEL BY SES'!$C$17:$R$17,0),0),"")</f>
        <v/>
      </c>
      <c r="Q27" s="140" t="str">
        <f>IFERROR(VLOOKUP($C27,'NEW MODEL BY SES'!$C$19:$R$242,MATCH('SeS in Retail Sales Areas'!Q$7,'NEW MODEL BY SES'!$C$17:$R$17,0),0),"")</f>
        <v/>
      </c>
      <c r="R27" s="142" t="str">
        <f>IFERROR(VLOOKUP($C27,'NEW MODEL BY SES'!$C$19:$R$242,MATCH('SeS in Retail Sales Areas'!R$7,'NEW MODEL BY SES'!$C$17:$R$17,0),0),"")</f>
        <v/>
      </c>
      <c r="S27" s="141" t="str">
        <f>IFERROR(VLOOKUP($C27,'NEW MODEL BY SES'!$C$19:$R$242,MATCH('SeS in Retail Sales Areas'!S$7,'NEW MODEL BY SES'!$C$17:$R$17,0),0),"")</f>
        <v/>
      </c>
      <c r="T27" s="140" t="str">
        <f>IFERROR(VLOOKUP($C27,'NEW MODEL BY SES'!$C$19:$R$242,MATCH('SeS in Retail Sales Areas'!T$7,'NEW MODEL BY SES'!$C$17:$R$17,0),0),"")</f>
        <v/>
      </c>
      <c r="U27" s="142" t="str">
        <f>IFERROR(VLOOKUP($C27,'NEW MODEL BY SES'!$C$19:$R$242,MATCH('SeS in Retail Sales Areas'!U$7,'NEW MODEL BY SES'!$C$17:$R$17,0),0),"")</f>
        <v/>
      </c>
      <c r="V27" s="140" t="str">
        <f>IFERROR(VLOOKUP($C27,'NEW MODEL BY SES'!$C$19:$R$242,MATCH('SeS in Retail Sales Areas'!V$7,'NEW MODEL BY SES'!$C$17:$R$17,0),0),"")</f>
        <v/>
      </c>
      <c r="W27" s="141" t="str">
        <f>IFERROR(VLOOKUP($C27,'NEW MODEL BY SES'!$C$19:$R$242,MATCH('SeS in Retail Sales Areas'!W$7,'NEW MODEL BY SES'!$C$17:$R$17,0),0),"")</f>
        <v/>
      </c>
      <c r="X27" s="140" t="str">
        <f>IFERROR(VLOOKUP($C27,'NEW MODEL BY SES'!$C$19:$R$242,MATCH('SeS in Retail Sales Areas'!X$7,'NEW MODEL BY SES'!$C$17:$R$17,0),0),"")</f>
        <v/>
      </c>
      <c r="Z27" s="57"/>
    </row>
    <row r="28" spans="1:26">
      <c r="A28" t="s">
        <v>932</v>
      </c>
      <c r="B28" s="57">
        <v>57</v>
      </c>
      <c r="C28" t="s">
        <v>954</v>
      </c>
      <c r="D28" t="s">
        <v>44</v>
      </c>
      <c r="E28"/>
      <c r="F28" s="140" t="str">
        <f>IFERROR(VLOOKUP($C28,'NEW MODEL BY SES'!$C$19:$R$242,MATCH('SeS in Retail Sales Areas'!F$7,'NEW MODEL BY SES'!$C$17:$R$17,0),0),"")</f>
        <v/>
      </c>
      <c r="G28" s="140" t="str">
        <f>IFERROR(VLOOKUP($C28,'NEW MODEL BY SES'!$C$19:$R$242,MATCH('SeS in Retail Sales Areas'!G$7,'NEW MODEL BY SES'!$C$17:$R$17,0),0),"")</f>
        <v/>
      </c>
      <c r="H28" s="142" t="str">
        <f>IFERROR(VLOOKUP($C28,'NEW MODEL BY SES'!$C$19:$R$242,MATCH('SeS in Retail Sales Areas'!H$7,'NEW MODEL BY SES'!$C$17:$R$17,0),0),"")</f>
        <v/>
      </c>
      <c r="I28" s="140" t="str">
        <f>IFERROR(VLOOKUP($C28,'NEW MODEL BY SES'!$C$19:$R$242,MATCH('SeS in Retail Sales Areas'!I$7,'NEW MODEL BY SES'!$C$17:$R$17,0),0),"")</f>
        <v/>
      </c>
      <c r="J28" s="142" t="str">
        <f>IFERROR(VLOOKUP($C28,'NEW MODEL BY SES'!$C$19:$R$242,MATCH('SeS in Retail Sales Areas'!J$7,'NEW MODEL BY SES'!$C$17:$R$17,0),0),"")</f>
        <v/>
      </c>
      <c r="K28" s="140" t="str">
        <f>IFERROR(VLOOKUP($C28,'NEW MODEL BY SES'!$C$19:$R$242,MATCH('SeS in Retail Sales Areas'!K$7,'NEW MODEL BY SES'!$C$17:$R$17,0),0),"")</f>
        <v/>
      </c>
      <c r="L28" s="142" t="str">
        <f>IFERROR(VLOOKUP($C28,'NEW MODEL BY SES'!$C$19:$R$242,MATCH('SeS in Retail Sales Areas'!L$7,'NEW MODEL BY SES'!$C$17:$R$17,0),0),"")</f>
        <v/>
      </c>
      <c r="M28" s="140" t="str">
        <f>IFERROR(VLOOKUP($C28,'NEW MODEL BY SES'!$C$19:$R$242,MATCH('SeS in Retail Sales Areas'!M$7,'NEW MODEL BY SES'!$C$17:$R$17,0),0),"")</f>
        <v/>
      </c>
      <c r="N28" s="142" t="str">
        <f>IFERROR(VLOOKUP($C28,'NEW MODEL BY SES'!$C$19:$R$242,MATCH('SeS in Retail Sales Areas'!N$7,'NEW MODEL BY SES'!$C$17:$R$17,0),0),"")</f>
        <v/>
      </c>
      <c r="O28" s="140" t="str">
        <f>IFERROR(VLOOKUP($C28,'NEW MODEL BY SES'!$C$19:$R$242,MATCH('SeS in Retail Sales Areas'!O$7,'NEW MODEL BY SES'!$C$17:$R$17,0),0),"")</f>
        <v/>
      </c>
      <c r="P28" s="142" t="str">
        <f>IFERROR(VLOOKUP($C28,'NEW MODEL BY SES'!$C$19:$R$242,MATCH('SeS in Retail Sales Areas'!P$7,'NEW MODEL BY SES'!$C$17:$R$17,0),0),"")</f>
        <v/>
      </c>
      <c r="Q28" s="140" t="str">
        <f>IFERROR(VLOOKUP($C28,'NEW MODEL BY SES'!$C$19:$R$242,MATCH('SeS in Retail Sales Areas'!Q$7,'NEW MODEL BY SES'!$C$17:$R$17,0),0),"")</f>
        <v/>
      </c>
      <c r="R28" s="142" t="str">
        <f>IFERROR(VLOOKUP($C28,'NEW MODEL BY SES'!$C$19:$R$242,MATCH('SeS in Retail Sales Areas'!R$7,'NEW MODEL BY SES'!$C$17:$R$17,0),0),"")</f>
        <v/>
      </c>
      <c r="S28" s="141" t="str">
        <f>IFERROR(VLOOKUP($C28,'NEW MODEL BY SES'!$C$19:$R$242,MATCH('SeS in Retail Sales Areas'!S$7,'NEW MODEL BY SES'!$C$17:$R$17,0),0),"")</f>
        <v/>
      </c>
      <c r="T28" s="140" t="str">
        <f>IFERROR(VLOOKUP($C28,'NEW MODEL BY SES'!$C$19:$R$242,MATCH('SeS in Retail Sales Areas'!T$7,'NEW MODEL BY SES'!$C$17:$R$17,0),0),"")</f>
        <v/>
      </c>
      <c r="U28" s="142" t="str">
        <f>IFERROR(VLOOKUP($C28,'NEW MODEL BY SES'!$C$19:$R$242,MATCH('SeS in Retail Sales Areas'!U$7,'NEW MODEL BY SES'!$C$17:$R$17,0),0),"")</f>
        <v/>
      </c>
      <c r="V28" s="140" t="str">
        <f>IFERROR(VLOOKUP($C28,'NEW MODEL BY SES'!$C$19:$R$242,MATCH('SeS in Retail Sales Areas'!V$7,'NEW MODEL BY SES'!$C$17:$R$17,0),0),"")</f>
        <v/>
      </c>
      <c r="W28" s="141" t="str">
        <f>IFERROR(VLOOKUP($C28,'NEW MODEL BY SES'!$C$19:$R$242,MATCH('SeS in Retail Sales Areas'!W$7,'NEW MODEL BY SES'!$C$17:$R$17,0),0),"")</f>
        <v/>
      </c>
      <c r="X28" s="140" t="str">
        <f>IFERROR(VLOOKUP($C28,'NEW MODEL BY SES'!$C$19:$R$242,MATCH('SeS in Retail Sales Areas'!X$7,'NEW MODEL BY SES'!$C$17:$R$17,0),0),"")</f>
        <v/>
      </c>
      <c r="Z28" s="57"/>
    </row>
    <row r="29" spans="1:26">
      <c r="A29" t="s">
        <v>932</v>
      </c>
      <c r="B29" s="57">
        <v>52</v>
      </c>
      <c r="C29" t="s">
        <v>955</v>
      </c>
      <c r="D29" t="s">
        <v>44</v>
      </c>
      <c r="E29"/>
      <c r="F29" s="140" t="str">
        <f>IFERROR(VLOOKUP($C29,'NEW MODEL BY SES'!$C$19:$R$242,MATCH('SeS in Retail Sales Areas'!F$7,'NEW MODEL BY SES'!$C$17:$R$17,0),0),"")</f>
        <v/>
      </c>
      <c r="G29" s="140" t="str">
        <f>IFERROR(VLOOKUP($C29,'NEW MODEL BY SES'!$C$19:$R$242,MATCH('SeS in Retail Sales Areas'!G$7,'NEW MODEL BY SES'!$C$17:$R$17,0),0),"")</f>
        <v/>
      </c>
      <c r="H29" s="142" t="str">
        <f>IFERROR(VLOOKUP($C29,'NEW MODEL BY SES'!$C$19:$R$242,MATCH('SeS in Retail Sales Areas'!H$7,'NEW MODEL BY SES'!$C$17:$R$17,0),0),"")</f>
        <v/>
      </c>
      <c r="I29" s="140" t="str">
        <f>IFERROR(VLOOKUP($C29,'NEW MODEL BY SES'!$C$19:$R$242,MATCH('SeS in Retail Sales Areas'!I$7,'NEW MODEL BY SES'!$C$17:$R$17,0),0),"")</f>
        <v/>
      </c>
      <c r="J29" s="142" t="str">
        <f>IFERROR(VLOOKUP($C29,'NEW MODEL BY SES'!$C$19:$R$242,MATCH('SeS in Retail Sales Areas'!J$7,'NEW MODEL BY SES'!$C$17:$R$17,0),0),"")</f>
        <v/>
      </c>
      <c r="K29" s="140" t="str">
        <f>IFERROR(VLOOKUP($C29,'NEW MODEL BY SES'!$C$19:$R$242,MATCH('SeS in Retail Sales Areas'!K$7,'NEW MODEL BY SES'!$C$17:$R$17,0),0),"")</f>
        <v/>
      </c>
      <c r="L29" s="142" t="str">
        <f>IFERROR(VLOOKUP($C29,'NEW MODEL BY SES'!$C$19:$R$242,MATCH('SeS in Retail Sales Areas'!L$7,'NEW MODEL BY SES'!$C$17:$R$17,0),0),"")</f>
        <v/>
      </c>
      <c r="M29" s="140" t="str">
        <f>IFERROR(VLOOKUP($C29,'NEW MODEL BY SES'!$C$19:$R$242,MATCH('SeS in Retail Sales Areas'!M$7,'NEW MODEL BY SES'!$C$17:$R$17,0),0),"")</f>
        <v/>
      </c>
      <c r="N29" s="142" t="str">
        <f>IFERROR(VLOOKUP($C29,'NEW MODEL BY SES'!$C$19:$R$242,MATCH('SeS in Retail Sales Areas'!N$7,'NEW MODEL BY SES'!$C$17:$R$17,0),0),"")</f>
        <v/>
      </c>
      <c r="O29" s="140" t="str">
        <f>IFERROR(VLOOKUP($C29,'NEW MODEL BY SES'!$C$19:$R$242,MATCH('SeS in Retail Sales Areas'!O$7,'NEW MODEL BY SES'!$C$17:$R$17,0),0),"")</f>
        <v/>
      </c>
      <c r="P29" s="142" t="str">
        <f>IFERROR(VLOOKUP($C29,'NEW MODEL BY SES'!$C$19:$R$242,MATCH('SeS in Retail Sales Areas'!P$7,'NEW MODEL BY SES'!$C$17:$R$17,0),0),"")</f>
        <v/>
      </c>
      <c r="Q29" s="140" t="str">
        <f>IFERROR(VLOOKUP($C29,'NEW MODEL BY SES'!$C$19:$R$242,MATCH('SeS in Retail Sales Areas'!Q$7,'NEW MODEL BY SES'!$C$17:$R$17,0),0),"")</f>
        <v/>
      </c>
      <c r="R29" s="142" t="str">
        <f>IFERROR(VLOOKUP($C29,'NEW MODEL BY SES'!$C$19:$R$242,MATCH('SeS in Retail Sales Areas'!R$7,'NEW MODEL BY SES'!$C$17:$R$17,0),0),"")</f>
        <v/>
      </c>
      <c r="S29" s="141" t="str">
        <f>IFERROR(VLOOKUP($C29,'NEW MODEL BY SES'!$C$19:$R$242,MATCH('SeS in Retail Sales Areas'!S$7,'NEW MODEL BY SES'!$C$17:$R$17,0),0),"")</f>
        <v/>
      </c>
      <c r="T29" s="140" t="str">
        <f>IFERROR(VLOOKUP($C29,'NEW MODEL BY SES'!$C$19:$R$242,MATCH('SeS in Retail Sales Areas'!T$7,'NEW MODEL BY SES'!$C$17:$R$17,0),0),"")</f>
        <v/>
      </c>
      <c r="U29" s="142" t="str">
        <f>IFERROR(VLOOKUP($C29,'NEW MODEL BY SES'!$C$19:$R$242,MATCH('SeS in Retail Sales Areas'!U$7,'NEW MODEL BY SES'!$C$17:$R$17,0),0),"")</f>
        <v/>
      </c>
      <c r="V29" s="140" t="str">
        <f>IFERROR(VLOOKUP($C29,'NEW MODEL BY SES'!$C$19:$R$242,MATCH('SeS in Retail Sales Areas'!V$7,'NEW MODEL BY SES'!$C$17:$R$17,0),0),"")</f>
        <v/>
      </c>
      <c r="W29" s="141" t="str">
        <f>IFERROR(VLOOKUP($C29,'NEW MODEL BY SES'!$C$19:$R$242,MATCH('SeS in Retail Sales Areas'!W$7,'NEW MODEL BY SES'!$C$17:$R$17,0),0),"")</f>
        <v/>
      </c>
      <c r="X29" s="140" t="str">
        <f>IFERROR(VLOOKUP($C29,'NEW MODEL BY SES'!$C$19:$R$242,MATCH('SeS in Retail Sales Areas'!X$7,'NEW MODEL BY SES'!$C$17:$R$17,0),0),"")</f>
        <v/>
      </c>
      <c r="Z29" s="57"/>
    </row>
    <row r="30" spans="1:26">
      <c r="A30" t="s">
        <v>932</v>
      </c>
      <c r="B30" s="57">
        <v>47</v>
      </c>
      <c r="C30" t="s">
        <v>956</v>
      </c>
      <c r="D30" t="s">
        <v>44</v>
      </c>
      <c r="E30"/>
      <c r="F30" s="140" t="str">
        <f>IFERROR(VLOOKUP($C30,'NEW MODEL BY SES'!$C$19:$R$242,MATCH('SeS in Retail Sales Areas'!F$7,'NEW MODEL BY SES'!$C$17:$R$17,0),0),"")</f>
        <v/>
      </c>
      <c r="G30" s="140" t="str">
        <f>IFERROR(VLOOKUP($C30,'NEW MODEL BY SES'!$C$19:$R$242,MATCH('SeS in Retail Sales Areas'!G$7,'NEW MODEL BY SES'!$C$17:$R$17,0),0),"")</f>
        <v/>
      </c>
      <c r="H30" s="142" t="str">
        <f>IFERROR(VLOOKUP($C30,'NEW MODEL BY SES'!$C$19:$R$242,MATCH('SeS in Retail Sales Areas'!H$7,'NEW MODEL BY SES'!$C$17:$R$17,0),0),"")</f>
        <v/>
      </c>
      <c r="I30" s="140" t="str">
        <f>IFERROR(VLOOKUP($C30,'NEW MODEL BY SES'!$C$19:$R$242,MATCH('SeS in Retail Sales Areas'!I$7,'NEW MODEL BY SES'!$C$17:$R$17,0),0),"")</f>
        <v/>
      </c>
      <c r="J30" s="142" t="str">
        <f>IFERROR(VLOOKUP($C30,'NEW MODEL BY SES'!$C$19:$R$242,MATCH('SeS in Retail Sales Areas'!J$7,'NEW MODEL BY SES'!$C$17:$R$17,0),0),"")</f>
        <v/>
      </c>
      <c r="K30" s="140" t="str">
        <f>IFERROR(VLOOKUP($C30,'NEW MODEL BY SES'!$C$19:$R$242,MATCH('SeS in Retail Sales Areas'!K$7,'NEW MODEL BY SES'!$C$17:$R$17,0),0),"")</f>
        <v/>
      </c>
      <c r="L30" s="142" t="str">
        <f>IFERROR(VLOOKUP($C30,'NEW MODEL BY SES'!$C$19:$R$242,MATCH('SeS in Retail Sales Areas'!L$7,'NEW MODEL BY SES'!$C$17:$R$17,0),0),"")</f>
        <v/>
      </c>
      <c r="M30" s="140" t="str">
        <f>IFERROR(VLOOKUP($C30,'NEW MODEL BY SES'!$C$19:$R$242,MATCH('SeS in Retail Sales Areas'!M$7,'NEW MODEL BY SES'!$C$17:$R$17,0),0),"")</f>
        <v/>
      </c>
      <c r="N30" s="142" t="str">
        <f>IFERROR(VLOOKUP($C30,'NEW MODEL BY SES'!$C$19:$R$242,MATCH('SeS in Retail Sales Areas'!N$7,'NEW MODEL BY SES'!$C$17:$R$17,0),0),"")</f>
        <v/>
      </c>
      <c r="O30" s="140" t="str">
        <f>IFERROR(VLOOKUP($C30,'NEW MODEL BY SES'!$C$19:$R$242,MATCH('SeS in Retail Sales Areas'!O$7,'NEW MODEL BY SES'!$C$17:$R$17,0),0),"")</f>
        <v/>
      </c>
      <c r="P30" s="142" t="str">
        <f>IFERROR(VLOOKUP($C30,'NEW MODEL BY SES'!$C$19:$R$242,MATCH('SeS in Retail Sales Areas'!P$7,'NEW MODEL BY SES'!$C$17:$R$17,0),0),"")</f>
        <v/>
      </c>
      <c r="Q30" s="140" t="str">
        <f>IFERROR(VLOOKUP($C30,'NEW MODEL BY SES'!$C$19:$R$242,MATCH('SeS in Retail Sales Areas'!Q$7,'NEW MODEL BY SES'!$C$17:$R$17,0),0),"")</f>
        <v/>
      </c>
      <c r="R30" s="142" t="str">
        <f>IFERROR(VLOOKUP($C30,'NEW MODEL BY SES'!$C$19:$R$242,MATCH('SeS in Retail Sales Areas'!R$7,'NEW MODEL BY SES'!$C$17:$R$17,0),0),"")</f>
        <v/>
      </c>
      <c r="S30" s="141" t="str">
        <f>IFERROR(VLOOKUP($C30,'NEW MODEL BY SES'!$C$19:$R$242,MATCH('SeS in Retail Sales Areas'!S$7,'NEW MODEL BY SES'!$C$17:$R$17,0),0),"")</f>
        <v/>
      </c>
      <c r="T30" s="140" t="str">
        <f>IFERROR(VLOOKUP($C30,'NEW MODEL BY SES'!$C$19:$R$242,MATCH('SeS in Retail Sales Areas'!T$7,'NEW MODEL BY SES'!$C$17:$R$17,0),0),"")</f>
        <v/>
      </c>
      <c r="U30" s="142" t="str">
        <f>IFERROR(VLOOKUP($C30,'NEW MODEL BY SES'!$C$19:$R$242,MATCH('SeS in Retail Sales Areas'!U$7,'NEW MODEL BY SES'!$C$17:$R$17,0),0),"")</f>
        <v/>
      </c>
      <c r="V30" s="140" t="str">
        <f>IFERROR(VLOOKUP($C30,'NEW MODEL BY SES'!$C$19:$R$242,MATCH('SeS in Retail Sales Areas'!V$7,'NEW MODEL BY SES'!$C$17:$R$17,0),0),"")</f>
        <v/>
      </c>
      <c r="W30" s="141" t="str">
        <f>IFERROR(VLOOKUP($C30,'NEW MODEL BY SES'!$C$19:$R$242,MATCH('SeS in Retail Sales Areas'!W$7,'NEW MODEL BY SES'!$C$17:$R$17,0),0),"")</f>
        <v/>
      </c>
      <c r="X30" s="140" t="str">
        <f>IFERROR(VLOOKUP($C30,'NEW MODEL BY SES'!$C$19:$R$242,MATCH('SeS in Retail Sales Areas'!X$7,'NEW MODEL BY SES'!$C$17:$R$17,0),0),"")</f>
        <v/>
      </c>
      <c r="Z30" s="57"/>
    </row>
    <row r="31" spans="1:26">
      <c r="A31" t="s">
        <v>932</v>
      </c>
      <c r="B31" s="57">
        <v>5</v>
      </c>
      <c r="C31" t="s">
        <v>957</v>
      </c>
      <c r="D31" t="s">
        <v>44</v>
      </c>
      <c r="E31"/>
      <c r="F31" s="140" t="str">
        <f>IFERROR(VLOOKUP($C31,'NEW MODEL BY SES'!$C$19:$R$242,MATCH('SeS in Retail Sales Areas'!F$7,'NEW MODEL BY SES'!$C$17:$R$17,0),0),"")</f>
        <v/>
      </c>
      <c r="G31" s="140" t="str">
        <f>IFERROR(VLOOKUP($C31,'NEW MODEL BY SES'!$C$19:$R$242,MATCH('SeS in Retail Sales Areas'!G$7,'NEW MODEL BY SES'!$C$17:$R$17,0),0),"")</f>
        <v/>
      </c>
      <c r="H31" s="142" t="str">
        <f>IFERROR(VLOOKUP($C31,'NEW MODEL BY SES'!$C$19:$R$242,MATCH('SeS in Retail Sales Areas'!H$7,'NEW MODEL BY SES'!$C$17:$R$17,0),0),"")</f>
        <v/>
      </c>
      <c r="I31" s="140" t="str">
        <f>IFERROR(VLOOKUP($C31,'NEW MODEL BY SES'!$C$19:$R$242,MATCH('SeS in Retail Sales Areas'!I$7,'NEW MODEL BY SES'!$C$17:$R$17,0),0),"")</f>
        <v/>
      </c>
      <c r="J31" s="142" t="str">
        <f>IFERROR(VLOOKUP($C31,'NEW MODEL BY SES'!$C$19:$R$242,MATCH('SeS in Retail Sales Areas'!J$7,'NEW MODEL BY SES'!$C$17:$R$17,0),0),"")</f>
        <v/>
      </c>
      <c r="K31" s="140" t="str">
        <f>IFERROR(VLOOKUP($C31,'NEW MODEL BY SES'!$C$19:$R$242,MATCH('SeS in Retail Sales Areas'!K$7,'NEW MODEL BY SES'!$C$17:$R$17,0),0),"")</f>
        <v/>
      </c>
      <c r="L31" s="142" t="str">
        <f>IFERROR(VLOOKUP($C31,'NEW MODEL BY SES'!$C$19:$R$242,MATCH('SeS in Retail Sales Areas'!L$7,'NEW MODEL BY SES'!$C$17:$R$17,0),0),"")</f>
        <v/>
      </c>
      <c r="M31" s="140" t="str">
        <f>IFERROR(VLOOKUP($C31,'NEW MODEL BY SES'!$C$19:$R$242,MATCH('SeS in Retail Sales Areas'!M$7,'NEW MODEL BY SES'!$C$17:$R$17,0),0),"")</f>
        <v/>
      </c>
      <c r="N31" s="142" t="str">
        <f>IFERROR(VLOOKUP($C31,'NEW MODEL BY SES'!$C$19:$R$242,MATCH('SeS in Retail Sales Areas'!N$7,'NEW MODEL BY SES'!$C$17:$R$17,0),0),"")</f>
        <v/>
      </c>
      <c r="O31" s="140" t="str">
        <f>IFERROR(VLOOKUP($C31,'NEW MODEL BY SES'!$C$19:$R$242,MATCH('SeS in Retail Sales Areas'!O$7,'NEW MODEL BY SES'!$C$17:$R$17,0),0),"")</f>
        <v/>
      </c>
      <c r="P31" s="142" t="str">
        <f>IFERROR(VLOOKUP($C31,'NEW MODEL BY SES'!$C$19:$R$242,MATCH('SeS in Retail Sales Areas'!P$7,'NEW MODEL BY SES'!$C$17:$R$17,0),0),"")</f>
        <v/>
      </c>
      <c r="Q31" s="140" t="str">
        <f>IFERROR(VLOOKUP($C31,'NEW MODEL BY SES'!$C$19:$R$242,MATCH('SeS in Retail Sales Areas'!Q$7,'NEW MODEL BY SES'!$C$17:$R$17,0),0),"")</f>
        <v/>
      </c>
      <c r="R31" s="142" t="str">
        <f>IFERROR(VLOOKUP($C31,'NEW MODEL BY SES'!$C$19:$R$242,MATCH('SeS in Retail Sales Areas'!R$7,'NEW MODEL BY SES'!$C$17:$R$17,0),0),"")</f>
        <v/>
      </c>
      <c r="S31" s="141" t="str">
        <f>IFERROR(VLOOKUP($C31,'NEW MODEL BY SES'!$C$19:$R$242,MATCH('SeS in Retail Sales Areas'!S$7,'NEW MODEL BY SES'!$C$17:$R$17,0),0),"")</f>
        <v/>
      </c>
      <c r="T31" s="140" t="str">
        <f>IFERROR(VLOOKUP($C31,'NEW MODEL BY SES'!$C$19:$R$242,MATCH('SeS in Retail Sales Areas'!T$7,'NEW MODEL BY SES'!$C$17:$R$17,0),0),"")</f>
        <v/>
      </c>
      <c r="U31" s="142" t="str">
        <f>IFERROR(VLOOKUP($C31,'NEW MODEL BY SES'!$C$19:$R$242,MATCH('SeS in Retail Sales Areas'!U$7,'NEW MODEL BY SES'!$C$17:$R$17,0),0),"")</f>
        <v/>
      </c>
      <c r="V31" s="140" t="str">
        <f>IFERROR(VLOOKUP($C31,'NEW MODEL BY SES'!$C$19:$R$242,MATCH('SeS in Retail Sales Areas'!V$7,'NEW MODEL BY SES'!$C$17:$R$17,0),0),"")</f>
        <v/>
      </c>
      <c r="W31" s="141" t="str">
        <f>IFERROR(VLOOKUP($C31,'NEW MODEL BY SES'!$C$19:$R$242,MATCH('SeS in Retail Sales Areas'!W$7,'NEW MODEL BY SES'!$C$17:$R$17,0),0),"")</f>
        <v/>
      </c>
      <c r="X31" s="140" t="str">
        <f>IFERROR(VLOOKUP($C31,'NEW MODEL BY SES'!$C$19:$R$242,MATCH('SeS in Retail Sales Areas'!X$7,'NEW MODEL BY SES'!$C$17:$R$17,0),0),"")</f>
        <v/>
      </c>
      <c r="Z31" s="57"/>
    </row>
    <row r="32" spans="1:26">
      <c r="A32" t="s">
        <v>958</v>
      </c>
      <c r="B32" s="57">
        <v>170</v>
      </c>
      <c r="C32" t="s">
        <v>959</v>
      </c>
      <c r="D32" t="s">
        <v>33</v>
      </c>
      <c r="E32"/>
      <c r="F32" s="140" t="str">
        <f>IFERROR(VLOOKUP($C32,'NEW MODEL BY SES'!$C$19:$R$242,MATCH('SeS in Retail Sales Areas'!F$7,'NEW MODEL BY SES'!$C$17:$R$17,0),0),"")</f>
        <v/>
      </c>
      <c r="G32" s="140" t="str">
        <f>IFERROR(VLOOKUP($C32,'NEW MODEL BY SES'!$C$19:$R$242,MATCH('SeS in Retail Sales Areas'!G$7,'NEW MODEL BY SES'!$C$17:$R$17,0),0),"")</f>
        <v/>
      </c>
      <c r="H32" s="142" t="str">
        <f>IFERROR(VLOOKUP($C32,'NEW MODEL BY SES'!$C$19:$R$242,MATCH('SeS in Retail Sales Areas'!H$7,'NEW MODEL BY SES'!$C$17:$R$17,0),0),"")</f>
        <v/>
      </c>
      <c r="I32" s="140" t="str">
        <f>IFERROR(VLOOKUP($C32,'NEW MODEL BY SES'!$C$19:$R$242,MATCH('SeS in Retail Sales Areas'!I$7,'NEW MODEL BY SES'!$C$17:$R$17,0),0),"")</f>
        <v/>
      </c>
      <c r="J32" s="142" t="str">
        <f>IFERROR(VLOOKUP($C32,'NEW MODEL BY SES'!$C$19:$R$242,MATCH('SeS in Retail Sales Areas'!J$7,'NEW MODEL BY SES'!$C$17:$R$17,0),0),"")</f>
        <v/>
      </c>
      <c r="K32" s="140" t="str">
        <f>IFERROR(VLOOKUP($C32,'NEW MODEL BY SES'!$C$19:$R$242,MATCH('SeS in Retail Sales Areas'!K$7,'NEW MODEL BY SES'!$C$17:$R$17,0),0),"")</f>
        <v/>
      </c>
      <c r="L32" s="142" t="str">
        <f>IFERROR(VLOOKUP($C32,'NEW MODEL BY SES'!$C$19:$R$242,MATCH('SeS in Retail Sales Areas'!L$7,'NEW MODEL BY SES'!$C$17:$R$17,0),0),"")</f>
        <v/>
      </c>
      <c r="M32" s="140" t="str">
        <f>IFERROR(VLOOKUP($C32,'NEW MODEL BY SES'!$C$19:$R$242,MATCH('SeS in Retail Sales Areas'!M$7,'NEW MODEL BY SES'!$C$17:$R$17,0),0),"")</f>
        <v/>
      </c>
      <c r="N32" s="142" t="str">
        <f>IFERROR(VLOOKUP($C32,'NEW MODEL BY SES'!$C$19:$R$242,MATCH('SeS in Retail Sales Areas'!N$7,'NEW MODEL BY SES'!$C$17:$R$17,0),0),"")</f>
        <v/>
      </c>
      <c r="O32" s="140" t="str">
        <f>IFERROR(VLOOKUP($C32,'NEW MODEL BY SES'!$C$19:$R$242,MATCH('SeS in Retail Sales Areas'!O$7,'NEW MODEL BY SES'!$C$17:$R$17,0),0),"")</f>
        <v/>
      </c>
      <c r="P32" s="142" t="str">
        <f>IFERROR(VLOOKUP($C32,'NEW MODEL BY SES'!$C$19:$R$242,MATCH('SeS in Retail Sales Areas'!P$7,'NEW MODEL BY SES'!$C$17:$R$17,0),0),"")</f>
        <v/>
      </c>
      <c r="Q32" s="140" t="str">
        <f>IFERROR(VLOOKUP($C32,'NEW MODEL BY SES'!$C$19:$R$242,MATCH('SeS in Retail Sales Areas'!Q$7,'NEW MODEL BY SES'!$C$17:$R$17,0),0),"")</f>
        <v/>
      </c>
      <c r="R32" s="142" t="str">
        <f>IFERROR(VLOOKUP($C32,'NEW MODEL BY SES'!$C$19:$R$242,MATCH('SeS in Retail Sales Areas'!R$7,'NEW MODEL BY SES'!$C$17:$R$17,0),0),"")</f>
        <v/>
      </c>
      <c r="S32" s="141" t="str">
        <f>IFERROR(VLOOKUP($C32,'NEW MODEL BY SES'!$C$19:$R$242,MATCH('SeS in Retail Sales Areas'!S$7,'NEW MODEL BY SES'!$C$17:$R$17,0),0),"")</f>
        <v/>
      </c>
      <c r="T32" s="140" t="str">
        <f>IFERROR(VLOOKUP($C32,'NEW MODEL BY SES'!$C$19:$R$242,MATCH('SeS in Retail Sales Areas'!T$7,'NEW MODEL BY SES'!$C$17:$R$17,0),0),"")</f>
        <v/>
      </c>
      <c r="U32" s="142" t="str">
        <f>IFERROR(VLOOKUP($C32,'NEW MODEL BY SES'!$C$19:$R$242,MATCH('SeS in Retail Sales Areas'!U$7,'NEW MODEL BY SES'!$C$17:$R$17,0),0),"")</f>
        <v/>
      </c>
      <c r="V32" s="140" t="str">
        <f>IFERROR(VLOOKUP($C32,'NEW MODEL BY SES'!$C$19:$R$242,MATCH('SeS in Retail Sales Areas'!V$7,'NEW MODEL BY SES'!$C$17:$R$17,0),0),"")</f>
        <v/>
      </c>
      <c r="W32" s="141" t="str">
        <f>IFERROR(VLOOKUP($C32,'NEW MODEL BY SES'!$C$19:$R$242,MATCH('SeS in Retail Sales Areas'!W$7,'NEW MODEL BY SES'!$C$17:$R$17,0),0),"")</f>
        <v/>
      </c>
      <c r="X32" s="140" t="str">
        <f>IFERROR(VLOOKUP($C32,'NEW MODEL BY SES'!$C$19:$R$242,MATCH('SeS in Retail Sales Areas'!X$7,'NEW MODEL BY SES'!$C$17:$R$17,0),0),"")</f>
        <v/>
      </c>
      <c r="Z32" s="57"/>
    </row>
    <row r="33" spans="1:26">
      <c r="A33" t="s">
        <v>958</v>
      </c>
      <c r="B33" s="57">
        <v>169</v>
      </c>
      <c r="C33" t="s">
        <v>960</v>
      </c>
      <c r="D33" t="s">
        <v>33</v>
      </c>
      <c r="E33"/>
      <c r="F33" s="140" t="str">
        <f>IFERROR(VLOOKUP($C33,'NEW MODEL BY SES'!$C$19:$R$242,MATCH('SeS in Retail Sales Areas'!F$7,'NEW MODEL BY SES'!$C$17:$R$17,0),0),"")</f>
        <v/>
      </c>
      <c r="G33" s="140" t="str">
        <f>IFERROR(VLOOKUP($C33,'NEW MODEL BY SES'!$C$19:$R$242,MATCH('SeS in Retail Sales Areas'!G$7,'NEW MODEL BY SES'!$C$17:$R$17,0),0),"")</f>
        <v/>
      </c>
      <c r="H33" s="142" t="str">
        <f>IFERROR(VLOOKUP($C33,'NEW MODEL BY SES'!$C$19:$R$242,MATCH('SeS in Retail Sales Areas'!H$7,'NEW MODEL BY SES'!$C$17:$R$17,0),0),"")</f>
        <v/>
      </c>
      <c r="I33" s="140" t="str">
        <f>IFERROR(VLOOKUP($C33,'NEW MODEL BY SES'!$C$19:$R$242,MATCH('SeS in Retail Sales Areas'!I$7,'NEW MODEL BY SES'!$C$17:$R$17,0),0),"")</f>
        <v/>
      </c>
      <c r="J33" s="142" t="str">
        <f>IFERROR(VLOOKUP($C33,'NEW MODEL BY SES'!$C$19:$R$242,MATCH('SeS in Retail Sales Areas'!J$7,'NEW MODEL BY SES'!$C$17:$R$17,0),0),"")</f>
        <v/>
      </c>
      <c r="K33" s="140" t="str">
        <f>IFERROR(VLOOKUP($C33,'NEW MODEL BY SES'!$C$19:$R$242,MATCH('SeS in Retail Sales Areas'!K$7,'NEW MODEL BY SES'!$C$17:$R$17,0),0),"")</f>
        <v/>
      </c>
      <c r="L33" s="142" t="str">
        <f>IFERROR(VLOOKUP($C33,'NEW MODEL BY SES'!$C$19:$R$242,MATCH('SeS in Retail Sales Areas'!L$7,'NEW MODEL BY SES'!$C$17:$R$17,0),0),"")</f>
        <v/>
      </c>
      <c r="M33" s="140" t="str">
        <f>IFERROR(VLOOKUP($C33,'NEW MODEL BY SES'!$C$19:$R$242,MATCH('SeS in Retail Sales Areas'!M$7,'NEW MODEL BY SES'!$C$17:$R$17,0),0),"")</f>
        <v/>
      </c>
      <c r="N33" s="142" t="str">
        <f>IFERROR(VLOOKUP($C33,'NEW MODEL BY SES'!$C$19:$R$242,MATCH('SeS in Retail Sales Areas'!N$7,'NEW MODEL BY SES'!$C$17:$R$17,0),0),"")</f>
        <v/>
      </c>
      <c r="O33" s="140" t="str">
        <f>IFERROR(VLOOKUP($C33,'NEW MODEL BY SES'!$C$19:$R$242,MATCH('SeS in Retail Sales Areas'!O$7,'NEW MODEL BY SES'!$C$17:$R$17,0),0),"")</f>
        <v/>
      </c>
      <c r="P33" s="142" t="str">
        <f>IFERROR(VLOOKUP($C33,'NEW MODEL BY SES'!$C$19:$R$242,MATCH('SeS in Retail Sales Areas'!P$7,'NEW MODEL BY SES'!$C$17:$R$17,0),0),"")</f>
        <v/>
      </c>
      <c r="Q33" s="140" t="str">
        <f>IFERROR(VLOOKUP($C33,'NEW MODEL BY SES'!$C$19:$R$242,MATCH('SeS in Retail Sales Areas'!Q$7,'NEW MODEL BY SES'!$C$17:$R$17,0),0),"")</f>
        <v/>
      </c>
      <c r="R33" s="142" t="str">
        <f>IFERROR(VLOOKUP($C33,'NEW MODEL BY SES'!$C$19:$R$242,MATCH('SeS in Retail Sales Areas'!R$7,'NEW MODEL BY SES'!$C$17:$R$17,0),0),"")</f>
        <v/>
      </c>
      <c r="S33" s="141" t="str">
        <f>IFERROR(VLOOKUP($C33,'NEW MODEL BY SES'!$C$19:$R$242,MATCH('SeS in Retail Sales Areas'!S$7,'NEW MODEL BY SES'!$C$17:$R$17,0),0),"")</f>
        <v/>
      </c>
      <c r="T33" s="140" t="str">
        <f>IFERROR(VLOOKUP($C33,'NEW MODEL BY SES'!$C$19:$R$242,MATCH('SeS in Retail Sales Areas'!T$7,'NEW MODEL BY SES'!$C$17:$R$17,0),0),"")</f>
        <v/>
      </c>
      <c r="U33" s="142" t="str">
        <f>IFERROR(VLOOKUP($C33,'NEW MODEL BY SES'!$C$19:$R$242,MATCH('SeS in Retail Sales Areas'!U$7,'NEW MODEL BY SES'!$C$17:$R$17,0),0),"")</f>
        <v/>
      </c>
      <c r="V33" s="140" t="str">
        <f>IFERROR(VLOOKUP($C33,'NEW MODEL BY SES'!$C$19:$R$242,MATCH('SeS in Retail Sales Areas'!V$7,'NEW MODEL BY SES'!$C$17:$R$17,0),0),"")</f>
        <v/>
      </c>
      <c r="W33" s="141" t="str">
        <f>IFERROR(VLOOKUP($C33,'NEW MODEL BY SES'!$C$19:$R$242,MATCH('SeS in Retail Sales Areas'!W$7,'NEW MODEL BY SES'!$C$17:$R$17,0),0),"")</f>
        <v/>
      </c>
      <c r="X33" s="140" t="str">
        <f>IFERROR(VLOOKUP($C33,'NEW MODEL BY SES'!$C$19:$R$242,MATCH('SeS in Retail Sales Areas'!X$7,'NEW MODEL BY SES'!$C$17:$R$17,0),0),"")</f>
        <v/>
      </c>
      <c r="Z33" s="57"/>
    </row>
    <row r="34" spans="1:26">
      <c r="A34" t="s">
        <v>958</v>
      </c>
      <c r="B34" s="57">
        <v>165</v>
      </c>
      <c r="C34" t="s">
        <v>961</v>
      </c>
      <c r="D34" t="s">
        <v>33</v>
      </c>
      <c r="E34"/>
      <c r="F34" s="140" t="str">
        <f>IFERROR(VLOOKUP($C34,'NEW MODEL BY SES'!$C$19:$R$242,MATCH('SeS in Retail Sales Areas'!F$7,'NEW MODEL BY SES'!$C$17:$R$17,0),0),"")</f>
        <v/>
      </c>
      <c r="G34" s="140" t="str">
        <f>IFERROR(VLOOKUP($C34,'NEW MODEL BY SES'!$C$19:$R$242,MATCH('SeS in Retail Sales Areas'!G$7,'NEW MODEL BY SES'!$C$17:$R$17,0),0),"")</f>
        <v/>
      </c>
      <c r="H34" s="142" t="str">
        <f>IFERROR(VLOOKUP($C34,'NEW MODEL BY SES'!$C$19:$R$242,MATCH('SeS in Retail Sales Areas'!H$7,'NEW MODEL BY SES'!$C$17:$R$17,0),0),"")</f>
        <v/>
      </c>
      <c r="I34" s="140" t="str">
        <f>IFERROR(VLOOKUP($C34,'NEW MODEL BY SES'!$C$19:$R$242,MATCH('SeS in Retail Sales Areas'!I$7,'NEW MODEL BY SES'!$C$17:$R$17,0),0),"")</f>
        <v/>
      </c>
      <c r="J34" s="142" t="str">
        <f>IFERROR(VLOOKUP($C34,'NEW MODEL BY SES'!$C$19:$R$242,MATCH('SeS in Retail Sales Areas'!J$7,'NEW MODEL BY SES'!$C$17:$R$17,0),0),"")</f>
        <v/>
      </c>
      <c r="K34" s="140" t="str">
        <f>IFERROR(VLOOKUP($C34,'NEW MODEL BY SES'!$C$19:$R$242,MATCH('SeS in Retail Sales Areas'!K$7,'NEW MODEL BY SES'!$C$17:$R$17,0),0),"")</f>
        <v/>
      </c>
      <c r="L34" s="142" t="str">
        <f>IFERROR(VLOOKUP($C34,'NEW MODEL BY SES'!$C$19:$R$242,MATCH('SeS in Retail Sales Areas'!L$7,'NEW MODEL BY SES'!$C$17:$R$17,0),0),"")</f>
        <v/>
      </c>
      <c r="M34" s="140" t="str">
        <f>IFERROR(VLOOKUP($C34,'NEW MODEL BY SES'!$C$19:$R$242,MATCH('SeS in Retail Sales Areas'!M$7,'NEW MODEL BY SES'!$C$17:$R$17,0),0),"")</f>
        <v/>
      </c>
      <c r="N34" s="142" t="str">
        <f>IFERROR(VLOOKUP($C34,'NEW MODEL BY SES'!$C$19:$R$242,MATCH('SeS in Retail Sales Areas'!N$7,'NEW MODEL BY SES'!$C$17:$R$17,0),0),"")</f>
        <v/>
      </c>
      <c r="O34" s="140" t="str">
        <f>IFERROR(VLOOKUP($C34,'NEW MODEL BY SES'!$C$19:$R$242,MATCH('SeS in Retail Sales Areas'!O$7,'NEW MODEL BY SES'!$C$17:$R$17,0),0),"")</f>
        <v/>
      </c>
      <c r="P34" s="142" t="str">
        <f>IFERROR(VLOOKUP($C34,'NEW MODEL BY SES'!$C$19:$R$242,MATCH('SeS in Retail Sales Areas'!P$7,'NEW MODEL BY SES'!$C$17:$R$17,0),0),"")</f>
        <v/>
      </c>
      <c r="Q34" s="140" t="str">
        <f>IFERROR(VLOOKUP($C34,'NEW MODEL BY SES'!$C$19:$R$242,MATCH('SeS in Retail Sales Areas'!Q$7,'NEW MODEL BY SES'!$C$17:$R$17,0),0),"")</f>
        <v/>
      </c>
      <c r="R34" s="142" t="str">
        <f>IFERROR(VLOOKUP($C34,'NEW MODEL BY SES'!$C$19:$R$242,MATCH('SeS in Retail Sales Areas'!R$7,'NEW MODEL BY SES'!$C$17:$R$17,0),0),"")</f>
        <v/>
      </c>
      <c r="S34" s="141" t="str">
        <f>IFERROR(VLOOKUP($C34,'NEW MODEL BY SES'!$C$19:$R$242,MATCH('SeS in Retail Sales Areas'!S$7,'NEW MODEL BY SES'!$C$17:$R$17,0),0),"")</f>
        <v/>
      </c>
      <c r="T34" s="140" t="str">
        <f>IFERROR(VLOOKUP($C34,'NEW MODEL BY SES'!$C$19:$R$242,MATCH('SeS in Retail Sales Areas'!T$7,'NEW MODEL BY SES'!$C$17:$R$17,0),0),"")</f>
        <v/>
      </c>
      <c r="U34" s="142" t="str">
        <f>IFERROR(VLOOKUP($C34,'NEW MODEL BY SES'!$C$19:$R$242,MATCH('SeS in Retail Sales Areas'!U$7,'NEW MODEL BY SES'!$C$17:$R$17,0),0),"")</f>
        <v/>
      </c>
      <c r="V34" s="140" t="str">
        <f>IFERROR(VLOOKUP($C34,'NEW MODEL BY SES'!$C$19:$R$242,MATCH('SeS in Retail Sales Areas'!V$7,'NEW MODEL BY SES'!$C$17:$R$17,0),0),"")</f>
        <v/>
      </c>
      <c r="W34" s="141" t="str">
        <f>IFERROR(VLOOKUP($C34,'NEW MODEL BY SES'!$C$19:$R$242,MATCH('SeS in Retail Sales Areas'!W$7,'NEW MODEL BY SES'!$C$17:$R$17,0),0),"")</f>
        <v/>
      </c>
      <c r="X34" s="140" t="str">
        <f>IFERROR(VLOOKUP($C34,'NEW MODEL BY SES'!$C$19:$R$242,MATCH('SeS in Retail Sales Areas'!X$7,'NEW MODEL BY SES'!$C$17:$R$17,0),0),"")</f>
        <v/>
      </c>
      <c r="Z34" s="57"/>
    </row>
    <row r="35" spans="1:26">
      <c r="A35" t="s">
        <v>958</v>
      </c>
      <c r="B35" s="57">
        <v>164</v>
      </c>
      <c r="C35" t="s">
        <v>962</v>
      </c>
      <c r="D35" t="s">
        <v>38</v>
      </c>
      <c r="E35"/>
      <c r="F35" s="140" t="str">
        <f>IFERROR(VLOOKUP($C35,'NEW MODEL BY SES'!$C$19:$R$242,MATCH('SeS in Retail Sales Areas'!F$7,'NEW MODEL BY SES'!$C$17:$R$17,0),0),"")</f>
        <v/>
      </c>
      <c r="G35" s="140" t="str">
        <f>IFERROR(VLOOKUP($C35,'NEW MODEL BY SES'!$C$19:$R$242,MATCH('SeS in Retail Sales Areas'!G$7,'NEW MODEL BY SES'!$C$17:$R$17,0),0),"")</f>
        <v/>
      </c>
      <c r="H35" s="142" t="str">
        <f>IFERROR(VLOOKUP($C35,'NEW MODEL BY SES'!$C$19:$R$242,MATCH('SeS in Retail Sales Areas'!H$7,'NEW MODEL BY SES'!$C$17:$R$17,0),0),"")</f>
        <v/>
      </c>
      <c r="I35" s="140" t="str">
        <f>IFERROR(VLOOKUP($C35,'NEW MODEL BY SES'!$C$19:$R$242,MATCH('SeS in Retail Sales Areas'!I$7,'NEW MODEL BY SES'!$C$17:$R$17,0),0),"")</f>
        <v/>
      </c>
      <c r="J35" s="142" t="str">
        <f>IFERROR(VLOOKUP($C35,'NEW MODEL BY SES'!$C$19:$R$242,MATCH('SeS in Retail Sales Areas'!J$7,'NEW MODEL BY SES'!$C$17:$R$17,0),0),"")</f>
        <v/>
      </c>
      <c r="K35" s="140" t="str">
        <f>IFERROR(VLOOKUP($C35,'NEW MODEL BY SES'!$C$19:$R$242,MATCH('SeS in Retail Sales Areas'!K$7,'NEW MODEL BY SES'!$C$17:$R$17,0),0),"")</f>
        <v/>
      </c>
      <c r="L35" s="142" t="str">
        <f>IFERROR(VLOOKUP($C35,'NEW MODEL BY SES'!$C$19:$R$242,MATCH('SeS in Retail Sales Areas'!L$7,'NEW MODEL BY SES'!$C$17:$R$17,0),0),"")</f>
        <v/>
      </c>
      <c r="M35" s="140" t="str">
        <f>IFERROR(VLOOKUP($C35,'NEW MODEL BY SES'!$C$19:$R$242,MATCH('SeS in Retail Sales Areas'!M$7,'NEW MODEL BY SES'!$C$17:$R$17,0),0),"")</f>
        <v/>
      </c>
      <c r="N35" s="142" t="str">
        <f>IFERROR(VLOOKUP($C35,'NEW MODEL BY SES'!$C$19:$R$242,MATCH('SeS in Retail Sales Areas'!N$7,'NEW MODEL BY SES'!$C$17:$R$17,0),0),"")</f>
        <v/>
      </c>
      <c r="O35" s="140" t="str">
        <f>IFERROR(VLOOKUP($C35,'NEW MODEL BY SES'!$C$19:$R$242,MATCH('SeS in Retail Sales Areas'!O$7,'NEW MODEL BY SES'!$C$17:$R$17,0),0),"")</f>
        <v/>
      </c>
      <c r="P35" s="142" t="str">
        <f>IFERROR(VLOOKUP($C35,'NEW MODEL BY SES'!$C$19:$R$242,MATCH('SeS in Retail Sales Areas'!P$7,'NEW MODEL BY SES'!$C$17:$R$17,0),0),"")</f>
        <v/>
      </c>
      <c r="Q35" s="140" t="str">
        <f>IFERROR(VLOOKUP($C35,'NEW MODEL BY SES'!$C$19:$R$242,MATCH('SeS in Retail Sales Areas'!Q$7,'NEW MODEL BY SES'!$C$17:$R$17,0),0),"")</f>
        <v/>
      </c>
      <c r="R35" s="142" t="str">
        <f>IFERROR(VLOOKUP($C35,'NEW MODEL BY SES'!$C$19:$R$242,MATCH('SeS in Retail Sales Areas'!R$7,'NEW MODEL BY SES'!$C$17:$R$17,0),0),"")</f>
        <v/>
      </c>
      <c r="S35" s="141" t="str">
        <f>IFERROR(VLOOKUP($C35,'NEW MODEL BY SES'!$C$19:$R$242,MATCH('SeS in Retail Sales Areas'!S$7,'NEW MODEL BY SES'!$C$17:$R$17,0),0),"")</f>
        <v/>
      </c>
      <c r="T35" s="140" t="str">
        <f>IFERROR(VLOOKUP($C35,'NEW MODEL BY SES'!$C$19:$R$242,MATCH('SeS in Retail Sales Areas'!T$7,'NEW MODEL BY SES'!$C$17:$R$17,0),0),"")</f>
        <v/>
      </c>
      <c r="U35" s="142" t="str">
        <f>IFERROR(VLOOKUP($C35,'NEW MODEL BY SES'!$C$19:$R$242,MATCH('SeS in Retail Sales Areas'!U$7,'NEW MODEL BY SES'!$C$17:$R$17,0),0),"")</f>
        <v/>
      </c>
      <c r="V35" s="140" t="str">
        <f>IFERROR(VLOOKUP($C35,'NEW MODEL BY SES'!$C$19:$R$242,MATCH('SeS in Retail Sales Areas'!V$7,'NEW MODEL BY SES'!$C$17:$R$17,0),0),"")</f>
        <v/>
      </c>
      <c r="W35" s="141" t="str">
        <f>IFERROR(VLOOKUP($C35,'NEW MODEL BY SES'!$C$19:$R$242,MATCH('SeS in Retail Sales Areas'!W$7,'NEW MODEL BY SES'!$C$17:$R$17,0),0),"")</f>
        <v/>
      </c>
      <c r="X35" s="140" t="str">
        <f>IFERROR(VLOOKUP($C35,'NEW MODEL BY SES'!$C$19:$R$242,MATCH('SeS in Retail Sales Areas'!X$7,'NEW MODEL BY SES'!$C$17:$R$17,0),0),"")</f>
        <v/>
      </c>
      <c r="Z35" s="57"/>
    </row>
    <row r="36" spans="1:26">
      <c r="A36" t="s">
        <v>958</v>
      </c>
      <c r="B36" s="57">
        <v>164</v>
      </c>
      <c r="C36" t="s">
        <v>963</v>
      </c>
      <c r="D36" t="s">
        <v>38</v>
      </c>
      <c r="E36"/>
      <c r="F36" s="140" t="str">
        <f>IFERROR(VLOOKUP($C36,'NEW MODEL BY SES'!$C$19:$R$242,MATCH('SeS in Retail Sales Areas'!F$7,'NEW MODEL BY SES'!$C$17:$R$17,0),0),"")</f>
        <v/>
      </c>
      <c r="G36" s="140" t="str">
        <f>IFERROR(VLOOKUP($C36,'NEW MODEL BY SES'!$C$19:$R$242,MATCH('SeS in Retail Sales Areas'!G$7,'NEW MODEL BY SES'!$C$17:$R$17,0),0),"")</f>
        <v/>
      </c>
      <c r="H36" s="142" t="str">
        <f>IFERROR(VLOOKUP($C36,'NEW MODEL BY SES'!$C$19:$R$242,MATCH('SeS in Retail Sales Areas'!H$7,'NEW MODEL BY SES'!$C$17:$R$17,0),0),"")</f>
        <v/>
      </c>
      <c r="I36" s="140" t="str">
        <f>IFERROR(VLOOKUP($C36,'NEW MODEL BY SES'!$C$19:$R$242,MATCH('SeS in Retail Sales Areas'!I$7,'NEW MODEL BY SES'!$C$17:$R$17,0),0),"")</f>
        <v/>
      </c>
      <c r="J36" s="142" t="str">
        <f>IFERROR(VLOOKUP($C36,'NEW MODEL BY SES'!$C$19:$R$242,MATCH('SeS in Retail Sales Areas'!J$7,'NEW MODEL BY SES'!$C$17:$R$17,0),0),"")</f>
        <v/>
      </c>
      <c r="K36" s="140" t="str">
        <f>IFERROR(VLOOKUP($C36,'NEW MODEL BY SES'!$C$19:$R$242,MATCH('SeS in Retail Sales Areas'!K$7,'NEW MODEL BY SES'!$C$17:$R$17,0),0),"")</f>
        <v/>
      </c>
      <c r="L36" s="142" t="str">
        <f>IFERROR(VLOOKUP($C36,'NEW MODEL BY SES'!$C$19:$R$242,MATCH('SeS in Retail Sales Areas'!L$7,'NEW MODEL BY SES'!$C$17:$R$17,0),0),"")</f>
        <v/>
      </c>
      <c r="M36" s="140" t="str">
        <f>IFERROR(VLOOKUP($C36,'NEW MODEL BY SES'!$C$19:$R$242,MATCH('SeS in Retail Sales Areas'!M$7,'NEW MODEL BY SES'!$C$17:$R$17,0),0),"")</f>
        <v/>
      </c>
      <c r="N36" s="142" t="str">
        <f>IFERROR(VLOOKUP($C36,'NEW MODEL BY SES'!$C$19:$R$242,MATCH('SeS in Retail Sales Areas'!N$7,'NEW MODEL BY SES'!$C$17:$R$17,0),0),"")</f>
        <v/>
      </c>
      <c r="O36" s="140" t="str">
        <f>IFERROR(VLOOKUP($C36,'NEW MODEL BY SES'!$C$19:$R$242,MATCH('SeS in Retail Sales Areas'!O$7,'NEW MODEL BY SES'!$C$17:$R$17,0),0),"")</f>
        <v/>
      </c>
      <c r="P36" s="142" t="str">
        <f>IFERROR(VLOOKUP($C36,'NEW MODEL BY SES'!$C$19:$R$242,MATCH('SeS in Retail Sales Areas'!P$7,'NEW MODEL BY SES'!$C$17:$R$17,0),0),"")</f>
        <v/>
      </c>
      <c r="Q36" s="140" t="str">
        <f>IFERROR(VLOOKUP($C36,'NEW MODEL BY SES'!$C$19:$R$242,MATCH('SeS in Retail Sales Areas'!Q$7,'NEW MODEL BY SES'!$C$17:$R$17,0),0),"")</f>
        <v/>
      </c>
      <c r="R36" s="142" t="str">
        <f>IFERROR(VLOOKUP($C36,'NEW MODEL BY SES'!$C$19:$R$242,MATCH('SeS in Retail Sales Areas'!R$7,'NEW MODEL BY SES'!$C$17:$R$17,0),0),"")</f>
        <v/>
      </c>
      <c r="S36" s="141" t="str">
        <f>IFERROR(VLOOKUP($C36,'NEW MODEL BY SES'!$C$19:$R$242,MATCH('SeS in Retail Sales Areas'!S$7,'NEW MODEL BY SES'!$C$17:$R$17,0),0),"")</f>
        <v/>
      </c>
      <c r="T36" s="140" t="str">
        <f>IFERROR(VLOOKUP($C36,'NEW MODEL BY SES'!$C$19:$R$242,MATCH('SeS in Retail Sales Areas'!T$7,'NEW MODEL BY SES'!$C$17:$R$17,0),0),"")</f>
        <v/>
      </c>
      <c r="U36" s="142" t="str">
        <f>IFERROR(VLOOKUP($C36,'NEW MODEL BY SES'!$C$19:$R$242,MATCH('SeS in Retail Sales Areas'!U$7,'NEW MODEL BY SES'!$C$17:$R$17,0),0),"")</f>
        <v/>
      </c>
      <c r="V36" s="140" t="str">
        <f>IFERROR(VLOOKUP($C36,'NEW MODEL BY SES'!$C$19:$R$242,MATCH('SeS in Retail Sales Areas'!V$7,'NEW MODEL BY SES'!$C$17:$R$17,0),0),"")</f>
        <v/>
      </c>
      <c r="W36" s="141" t="str">
        <f>IFERROR(VLOOKUP($C36,'NEW MODEL BY SES'!$C$19:$R$242,MATCH('SeS in Retail Sales Areas'!W$7,'NEW MODEL BY SES'!$C$17:$R$17,0),0),"")</f>
        <v/>
      </c>
      <c r="X36" s="140" t="str">
        <f>IFERROR(VLOOKUP($C36,'NEW MODEL BY SES'!$C$19:$R$242,MATCH('SeS in Retail Sales Areas'!X$7,'NEW MODEL BY SES'!$C$17:$R$17,0),0),"")</f>
        <v/>
      </c>
      <c r="Z36" s="57"/>
    </row>
    <row r="37" spans="1:26">
      <c r="A37" t="s">
        <v>958</v>
      </c>
      <c r="B37" s="57">
        <v>164</v>
      </c>
      <c r="C37" t="s">
        <v>964</v>
      </c>
      <c r="D37" t="s">
        <v>38</v>
      </c>
      <c r="E37"/>
      <c r="F37" s="140" t="str">
        <f>IFERROR(VLOOKUP($C37,'NEW MODEL BY SES'!$C$19:$R$242,MATCH('SeS in Retail Sales Areas'!F$7,'NEW MODEL BY SES'!$C$17:$R$17,0),0),"")</f>
        <v/>
      </c>
      <c r="G37" s="140" t="str">
        <f>IFERROR(VLOOKUP($C37,'NEW MODEL BY SES'!$C$19:$R$242,MATCH('SeS in Retail Sales Areas'!G$7,'NEW MODEL BY SES'!$C$17:$R$17,0),0),"")</f>
        <v/>
      </c>
      <c r="H37" s="142" t="str">
        <f>IFERROR(VLOOKUP($C37,'NEW MODEL BY SES'!$C$19:$R$242,MATCH('SeS in Retail Sales Areas'!H$7,'NEW MODEL BY SES'!$C$17:$R$17,0),0),"")</f>
        <v/>
      </c>
      <c r="I37" s="140" t="str">
        <f>IFERROR(VLOOKUP($C37,'NEW MODEL BY SES'!$C$19:$R$242,MATCH('SeS in Retail Sales Areas'!I$7,'NEW MODEL BY SES'!$C$17:$R$17,0),0),"")</f>
        <v/>
      </c>
      <c r="J37" s="142" t="str">
        <f>IFERROR(VLOOKUP($C37,'NEW MODEL BY SES'!$C$19:$R$242,MATCH('SeS in Retail Sales Areas'!J$7,'NEW MODEL BY SES'!$C$17:$R$17,0),0),"")</f>
        <v/>
      </c>
      <c r="K37" s="140" t="str">
        <f>IFERROR(VLOOKUP($C37,'NEW MODEL BY SES'!$C$19:$R$242,MATCH('SeS in Retail Sales Areas'!K$7,'NEW MODEL BY SES'!$C$17:$R$17,0),0),"")</f>
        <v/>
      </c>
      <c r="L37" s="142" t="str">
        <f>IFERROR(VLOOKUP($C37,'NEW MODEL BY SES'!$C$19:$R$242,MATCH('SeS in Retail Sales Areas'!L$7,'NEW MODEL BY SES'!$C$17:$R$17,0),0),"")</f>
        <v/>
      </c>
      <c r="M37" s="140" t="str">
        <f>IFERROR(VLOOKUP($C37,'NEW MODEL BY SES'!$C$19:$R$242,MATCH('SeS in Retail Sales Areas'!M$7,'NEW MODEL BY SES'!$C$17:$R$17,0),0),"")</f>
        <v/>
      </c>
      <c r="N37" s="142" t="str">
        <f>IFERROR(VLOOKUP($C37,'NEW MODEL BY SES'!$C$19:$R$242,MATCH('SeS in Retail Sales Areas'!N$7,'NEW MODEL BY SES'!$C$17:$R$17,0),0),"")</f>
        <v/>
      </c>
      <c r="O37" s="140" t="str">
        <f>IFERROR(VLOOKUP($C37,'NEW MODEL BY SES'!$C$19:$R$242,MATCH('SeS in Retail Sales Areas'!O$7,'NEW MODEL BY SES'!$C$17:$R$17,0),0),"")</f>
        <v/>
      </c>
      <c r="P37" s="142" t="str">
        <f>IFERROR(VLOOKUP($C37,'NEW MODEL BY SES'!$C$19:$R$242,MATCH('SeS in Retail Sales Areas'!P$7,'NEW MODEL BY SES'!$C$17:$R$17,0),0),"")</f>
        <v/>
      </c>
      <c r="Q37" s="140" t="str">
        <f>IFERROR(VLOOKUP($C37,'NEW MODEL BY SES'!$C$19:$R$242,MATCH('SeS in Retail Sales Areas'!Q$7,'NEW MODEL BY SES'!$C$17:$R$17,0),0),"")</f>
        <v/>
      </c>
      <c r="R37" s="142" t="str">
        <f>IFERROR(VLOOKUP($C37,'NEW MODEL BY SES'!$C$19:$R$242,MATCH('SeS in Retail Sales Areas'!R$7,'NEW MODEL BY SES'!$C$17:$R$17,0),0),"")</f>
        <v/>
      </c>
      <c r="S37" s="141" t="str">
        <f>IFERROR(VLOOKUP($C37,'NEW MODEL BY SES'!$C$19:$R$242,MATCH('SeS in Retail Sales Areas'!S$7,'NEW MODEL BY SES'!$C$17:$R$17,0),0),"")</f>
        <v/>
      </c>
      <c r="T37" s="140" t="str">
        <f>IFERROR(VLOOKUP($C37,'NEW MODEL BY SES'!$C$19:$R$242,MATCH('SeS in Retail Sales Areas'!T$7,'NEW MODEL BY SES'!$C$17:$R$17,0),0),"")</f>
        <v/>
      </c>
      <c r="U37" s="142" t="str">
        <f>IFERROR(VLOOKUP($C37,'NEW MODEL BY SES'!$C$19:$R$242,MATCH('SeS in Retail Sales Areas'!U$7,'NEW MODEL BY SES'!$C$17:$R$17,0),0),"")</f>
        <v/>
      </c>
      <c r="V37" s="140" t="str">
        <f>IFERROR(VLOOKUP($C37,'NEW MODEL BY SES'!$C$19:$R$242,MATCH('SeS in Retail Sales Areas'!V$7,'NEW MODEL BY SES'!$C$17:$R$17,0),0),"")</f>
        <v/>
      </c>
      <c r="W37" s="141" t="str">
        <f>IFERROR(VLOOKUP($C37,'NEW MODEL BY SES'!$C$19:$R$242,MATCH('SeS in Retail Sales Areas'!W$7,'NEW MODEL BY SES'!$C$17:$R$17,0),0),"")</f>
        <v/>
      </c>
      <c r="X37" s="140" t="str">
        <f>IFERROR(VLOOKUP($C37,'NEW MODEL BY SES'!$C$19:$R$242,MATCH('SeS in Retail Sales Areas'!X$7,'NEW MODEL BY SES'!$C$17:$R$17,0),0),"")</f>
        <v/>
      </c>
      <c r="Z37" s="57"/>
    </row>
    <row r="38" spans="1:26">
      <c r="A38" t="s">
        <v>958</v>
      </c>
      <c r="B38" s="57">
        <v>160</v>
      </c>
      <c r="C38" t="s">
        <v>965</v>
      </c>
      <c r="D38" t="s">
        <v>38</v>
      </c>
      <c r="E38"/>
      <c r="F38" s="140" t="str">
        <f>IFERROR(VLOOKUP($C38,'NEW MODEL BY SES'!$C$19:$R$242,MATCH('SeS in Retail Sales Areas'!F$7,'NEW MODEL BY SES'!$C$17:$R$17,0),0),"")</f>
        <v/>
      </c>
      <c r="G38" s="140" t="str">
        <f>IFERROR(VLOOKUP($C38,'NEW MODEL BY SES'!$C$19:$R$242,MATCH('SeS in Retail Sales Areas'!G$7,'NEW MODEL BY SES'!$C$17:$R$17,0),0),"")</f>
        <v/>
      </c>
      <c r="H38" s="142" t="str">
        <f>IFERROR(VLOOKUP($C38,'NEW MODEL BY SES'!$C$19:$R$242,MATCH('SeS in Retail Sales Areas'!H$7,'NEW MODEL BY SES'!$C$17:$R$17,0),0),"")</f>
        <v/>
      </c>
      <c r="I38" s="140" t="str">
        <f>IFERROR(VLOOKUP($C38,'NEW MODEL BY SES'!$C$19:$R$242,MATCH('SeS in Retail Sales Areas'!I$7,'NEW MODEL BY SES'!$C$17:$R$17,0),0),"")</f>
        <v/>
      </c>
      <c r="J38" s="142" t="str">
        <f>IFERROR(VLOOKUP($C38,'NEW MODEL BY SES'!$C$19:$R$242,MATCH('SeS in Retail Sales Areas'!J$7,'NEW MODEL BY SES'!$C$17:$R$17,0),0),"")</f>
        <v/>
      </c>
      <c r="K38" s="140" t="str">
        <f>IFERROR(VLOOKUP($C38,'NEW MODEL BY SES'!$C$19:$R$242,MATCH('SeS in Retail Sales Areas'!K$7,'NEW MODEL BY SES'!$C$17:$R$17,0),0),"")</f>
        <v/>
      </c>
      <c r="L38" s="142" t="str">
        <f>IFERROR(VLOOKUP($C38,'NEW MODEL BY SES'!$C$19:$R$242,MATCH('SeS in Retail Sales Areas'!L$7,'NEW MODEL BY SES'!$C$17:$R$17,0),0),"")</f>
        <v/>
      </c>
      <c r="M38" s="140" t="str">
        <f>IFERROR(VLOOKUP($C38,'NEW MODEL BY SES'!$C$19:$R$242,MATCH('SeS in Retail Sales Areas'!M$7,'NEW MODEL BY SES'!$C$17:$R$17,0),0),"")</f>
        <v/>
      </c>
      <c r="N38" s="142" t="str">
        <f>IFERROR(VLOOKUP($C38,'NEW MODEL BY SES'!$C$19:$R$242,MATCH('SeS in Retail Sales Areas'!N$7,'NEW MODEL BY SES'!$C$17:$R$17,0),0),"")</f>
        <v/>
      </c>
      <c r="O38" s="140" t="str">
        <f>IFERROR(VLOOKUP($C38,'NEW MODEL BY SES'!$C$19:$R$242,MATCH('SeS in Retail Sales Areas'!O$7,'NEW MODEL BY SES'!$C$17:$R$17,0),0),"")</f>
        <v/>
      </c>
      <c r="P38" s="142" t="str">
        <f>IFERROR(VLOOKUP($C38,'NEW MODEL BY SES'!$C$19:$R$242,MATCH('SeS in Retail Sales Areas'!P$7,'NEW MODEL BY SES'!$C$17:$R$17,0),0),"")</f>
        <v/>
      </c>
      <c r="Q38" s="140" t="str">
        <f>IFERROR(VLOOKUP($C38,'NEW MODEL BY SES'!$C$19:$R$242,MATCH('SeS in Retail Sales Areas'!Q$7,'NEW MODEL BY SES'!$C$17:$R$17,0),0),"")</f>
        <v/>
      </c>
      <c r="R38" s="142" t="str">
        <f>IFERROR(VLOOKUP($C38,'NEW MODEL BY SES'!$C$19:$R$242,MATCH('SeS in Retail Sales Areas'!R$7,'NEW MODEL BY SES'!$C$17:$R$17,0),0),"")</f>
        <v/>
      </c>
      <c r="S38" s="141" t="str">
        <f>IFERROR(VLOOKUP($C38,'NEW MODEL BY SES'!$C$19:$R$242,MATCH('SeS in Retail Sales Areas'!S$7,'NEW MODEL BY SES'!$C$17:$R$17,0),0),"")</f>
        <v/>
      </c>
      <c r="T38" s="140" t="str">
        <f>IFERROR(VLOOKUP($C38,'NEW MODEL BY SES'!$C$19:$R$242,MATCH('SeS in Retail Sales Areas'!T$7,'NEW MODEL BY SES'!$C$17:$R$17,0),0),"")</f>
        <v/>
      </c>
      <c r="U38" s="142" t="str">
        <f>IFERROR(VLOOKUP($C38,'NEW MODEL BY SES'!$C$19:$R$242,MATCH('SeS in Retail Sales Areas'!U$7,'NEW MODEL BY SES'!$C$17:$R$17,0),0),"")</f>
        <v/>
      </c>
      <c r="V38" s="140" t="str">
        <f>IFERROR(VLOOKUP($C38,'NEW MODEL BY SES'!$C$19:$R$242,MATCH('SeS in Retail Sales Areas'!V$7,'NEW MODEL BY SES'!$C$17:$R$17,0),0),"")</f>
        <v/>
      </c>
      <c r="W38" s="141" t="str">
        <f>IFERROR(VLOOKUP($C38,'NEW MODEL BY SES'!$C$19:$R$242,MATCH('SeS in Retail Sales Areas'!W$7,'NEW MODEL BY SES'!$C$17:$R$17,0),0),"")</f>
        <v/>
      </c>
      <c r="X38" s="140" t="str">
        <f>IFERROR(VLOOKUP($C38,'NEW MODEL BY SES'!$C$19:$R$242,MATCH('SeS in Retail Sales Areas'!X$7,'NEW MODEL BY SES'!$C$17:$R$17,0),0),"")</f>
        <v/>
      </c>
      <c r="Z38" s="57"/>
    </row>
    <row r="39" spans="1:26">
      <c r="A39" t="s">
        <v>958</v>
      </c>
      <c r="B39" s="57">
        <v>139</v>
      </c>
      <c r="C39" t="s">
        <v>966</v>
      </c>
      <c r="D39" t="s">
        <v>38</v>
      </c>
      <c r="E39"/>
      <c r="F39" s="140" t="str">
        <f>IFERROR(VLOOKUP($C39,'NEW MODEL BY SES'!$C$19:$R$242,MATCH('SeS in Retail Sales Areas'!F$7,'NEW MODEL BY SES'!$C$17:$R$17,0),0),"")</f>
        <v/>
      </c>
      <c r="G39" s="140" t="str">
        <f>IFERROR(VLOOKUP($C39,'NEW MODEL BY SES'!$C$19:$R$242,MATCH('SeS in Retail Sales Areas'!G$7,'NEW MODEL BY SES'!$C$17:$R$17,0),0),"")</f>
        <v/>
      </c>
      <c r="H39" s="142" t="str">
        <f>IFERROR(VLOOKUP($C39,'NEW MODEL BY SES'!$C$19:$R$242,MATCH('SeS in Retail Sales Areas'!H$7,'NEW MODEL BY SES'!$C$17:$R$17,0),0),"")</f>
        <v/>
      </c>
      <c r="I39" s="140" t="str">
        <f>IFERROR(VLOOKUP($C39,'NEW MODEL BY SES'!$C$19:$R$242,MATCH('SeS in Retail Sales Areas'!I$7,'NEW MODEL BY SES'!$C$17:$R$17,0),0),"")</f>
        <v/>
      </c>
      <c r="J39" s="142" t="str">
        <f>IFERROR(VLOOKUP($C39,'NEW MODEL BY SES'!$C$19:$R$242,MATCH('SeS in Retail Sales Areas'!J$7,'NEW MODEL BY SES'!$C$17:$R$17,0),0),"")</f>
        <v/>
      </c>
      <c r="K39" s="140" t="str">
        <f>IFERROR(VLOOKUP($C39,'NEW MODEL BY SES'!$C$19:$R$242,MATCH('SeS in Retail Sales Areas'!K$7,'NEW MODEL BY SES'!$C$17:$R$17,0),0),"")</f>
        <v/>
      </c>
      <c r="L39" s="142" t="str">
        <f>IFERROR(VLOOKUP($C39,'NEW MODEL BY SES'!$C$19:$R$242,MATCH('SeS in Retail Sales Areas'!L$7,'NEW MODEL BY SES'!$C$17:$R$17,0),0),"")</f>
        <v/>
      </c>
      <c r="M39" s="140" t="str">
        <f>IFERROR(VLOOKUP($C39,'NEW MODEL BY SES'!$C$19:$R$242,MATCH('SeS in Retail Sales Areas'!M$7,'NEW MODEL BY SES'!$C$17:$R$17,0),0),"")</f>
        <v/>
      </c>
      <c r="N39" s="142" t="str">
        <f>IFERROR(VLOOKUP($C39,'NEW MODEL BY SES'!$C$19:$R$242,MATCH('SeS in Retail Sales Areas'!N$7,'NEW MODEL BY SES'!$C$17:$R$17,0),0),"")</f>
        <v/>
      </c>
      <c r="O39" s="140" t="str">
        <f>IFERROR(VLOOKUP($C39,'NEW MODEL BY SES'!$C$19:$R$242,MATCH('SeS in Retail Sales Areas'!O$7,'NEW MODEL BY SES'!$C$17:$R$17,0),0),"")</f>
        <v/>
      </c>
      <c r="P39" s="142" t="str">
        <f>IFERROR(VLOOKUP($C39,'NEW MODEL BY SES'!$C$19:$R$242,MATCH('SeS in Retail Sales Areas'!P$7,'NEW MODEL BY SES'!$C$17:$R$17,0),0),"")</f>
        <v/>
      </c>
      <c r="Q39" s="140" t="str">
        <f>IFERROR(VLOOKUP($C39,'NEW MODEL BY SES'!$C$19:$R$242,MATCH('SeS in Retail Sales Areas'!Q$7,'NEW MODEL BY SES'!$C$17:$R$17,0),0),"")</f>
        <v/>
      </c>
      <c r="R39" s="142" t="str">
        <f>IFERROR(VLOOKUP($C39,'NEW MODEL BY SES'!$C$19:$R$242,MATCH('SeS in Retail Sales Areas'!R$7,'NEW MODEL BY SES'!$C$17:$R$17,0),0),"")</f>
        <v/>
      </c>
      <c r="S39" s="141" t="str">
        <f>IFERROR(VLOOKUP($C39,'NEW MODEL BY SES'!$C$19:$R$242,MATCH('SeS in Retail Sales Areas'!S$7,'NEW MODEL BY SES'!$C$17:$R$17,0),0),"")</f>
        <v/>
      </c>
      <c r="T39" s="140" t="str">
        <f>IFERROR(VLOOKUP($C39,'NEW MODEL BY SES'!$C$19:$R$242,MATCH('SeS in Retail Sales Areas'!T$7,'NEW MODEL BY SES'!$C$17:$R$17,0),0),"")</f>
        <v/>
      </c>
      <c r="U39" s="142" t="str">
        <f>IFERROR(VLOOKUP($C39,'NEW MODEL BY SES'!$C$19:$R$242,MATCH('SeS in Retail Sales Areas'!U$7,'NEW MODEL BY SES'!$C$17:$R$17,0),0),"")</f>
        <v/>
      </c>
      <c r="V39" s="140" t="str">
        <f>IFERROR(VLOOKUP($C39,'NEW MODEL BY SES'!$C$19:$R$242,MATCH('SeS in Retail Sales Areas'!V$7,'NEW MODEL BY SES'!$C$17:$R$17,0),0),"")</f>
        <v/>
      </c>
      <c r="W39" s="141" t="str">
        <f>IFERROR(VLOOKUP($C39,'NEW MODEL BY SES'!$C$19:$R$242,MATCH('SeS in Retail Sales Areas'!W$7,'NEW MODEL BY SES'!$C$17:$R$17,0),0),"")</f>
        <v/>
      </c>
      <c r="X39" s="140" t="str">
        <f>IFERROR(VLOOKUP($C39,'NEW MODEL BY SES'!$C$19:$R$242,MATCH('SeS in Retail Sales Areas'!X$7,'NEW MODEL BY SES'!$C$17:$R$17,0),0),"")</f>
        <v/>
      </c>
      <c r="Z39" s="57"/>
    </row>
    <row r="40" spans="1:26">
      <c r="A40" t="s">
        <v>958</v>
      </c>
      <c r="B40" s="57">
        <v>128</v>
      </c>
      <c r="C40" t="s">
        <v>967</v>
      </c>
      <c r="D40" t="s">
        <v>38</v>
      </c>
      <c r="E40"/>
      <c r="F40" s="140" t="str">
        <f>IFERROR(VLOOKUP($C40,'NEW MODEL BY SES'!$C$19:$R$242,MATCH('SeS in Retail Sales Areas'!F$7,'NEW MODEL BY SES'!$C$17:$R$17,0),0),"")</f>
        <v/>
      </c>
      <c r="G40" s="140" t="str">
        <f>IFERROR(VLOOKUP($C40,'NEW MODEL BY SES'!$C$19:$R$242,MATCH('SeS in Retail Sales Areas'!G$7,'NEW MODEL BY SES'!$C$17:$R$17,0),0),"")</f>
        <v/>
      </c>
      <c r="H40" s="142" t="str">
        <f>IFERROR(VLOOKUP($C40,'NEW MODEL BY SES'!$C$19:$R$242,MATCH('SeS in Retail Sales Areas'!H$7,'NEW MODEL BY SES'!$C$17:$R$17,0),0),"")</f>
        <v/>
      </c>
      <c r="I40" s="140" t="str">
        <f>IFERROR(VLOOKUP($C40,'NEW MODEL BY SES'!$C$19:$R$242,MATCH('SeS in Retail Sales Areas'!I$7,'NEW MODEL BY SES'!$C$17:$R$17,0),0),"")</f>
        <v/>
      </c>
      <c r="J40" s="142" t="str">
        <f>IFERROR(VLOOKUP($C40,'NEW MODEL BY SES'!$C$19:$R$242,MATCH('SeS in Retail Sales Areas'!J$7,'NEW MODEL BY SES'!$C$17:$R$17,0),0),"")</f>
        <v/>
      </c>
      <c r="K40" s="140" t="str">
        <f>IFERROR(VLOOKUP($C40,'NEW MODEL BY SES'!$C$19:$R$242,MATCH('SeS in Retail Sales Areas'!K$7,'NEW MODEL BY SES'!$C$17:$R$17,0),0),"")</f>
        <v/>
      </c>
      <c r="L40" s="142" t="str">
        <f>IFERROR(VLOOKUP($C40,'NEW MODEL BY SES'!$C$19:$R$242,MATCH('SeS in Retail Sales Areas'!L$7,'NEW MODEL BY SES'!$C$17:$R$17,0),0),"")</f>
        <v/>
      </c>
      <c r="M40" s="140" t="str">
        <f>IFERROR(VLOOKUP($C40,'NEW MODEL BY SES'!$C$19:$R$242,MATCH('SeS in Retail Sales Areas'!M$7,'NEW MODEL BY SES'!$C$17:$R$17,0),0),"")</f>
        <v/>
      </c>
      <c r="N40" s="142" t="str">
        <f>IFERROR(VLOOKUP($C40,'NEW MODEL BY SES'!$C$19:$R$242,MATCH('SeS in Retail Sales Areas'!N$7,'NEW MODEL BY SES'!$C$17:$R$17,0),0),"")</f>
        <v/>
      </c>
      <c r="O40" s="140" t="str">
        <f>IFERROR(VLOOKUP($C40,'NEW MODEL BY SES'!$C$19:$R$242,MATCH('SeS in Retail Sales Areas'!O$7,'NEW MODEL BY SES'!$C$17:$R$17,0),0),"")</f>
        <v/>
      </c>
      <c r="P40" s="142" t="str">
        <f>IFERROR(VLOOKUP($C40,'NEW MODEL BY SES'!$C$19:$R$242,MATCH('SeS in Retail Sales Areas'!P$7,'NEW MODEL BY SES'!$C$17:$R$17,0),0),"")</f>
        <v/>
      </c>
      <c r="Q40" s="140" t="str">
        <f>IFERROR(VLOOKUP($C40,'NEW MODEL BY SES'!$C$19:$R$242,MATCH('SeS in Retail Sales Areas'!Q$7,'NEW MODEL BY SES'!$C$17:$R$17,0),0),"")</f>
        <v/>
      </c>
      <c r="R40" s="142" t="str">
        <f>IFERROR(VLOOKUP($C40,'NEW MODEL BY SES'!$C$19:$R$242,MATCH('SeS in Retail Sales Areas'!R$7,'NEW MODEL BY SES'!$C$17:$R$17,0),0),"")</f>
        <v/>
      </c>
      <c r="S40" s="141" t="str">
        <f>IFERROR(VLOOKUP($C40,'NEW MODEL BY SES'!$C$19:$R$242,MATCH('SeS in Retail Sales Areas'!S$7,'NEW MODEL BY SES'!$C$17:$R$17,0),0),"")</f>
        <v/>
      </c>
      <c r="T40" s="140" t="str">
        <f>IFERROR(VLOOKUP($C40,'NEW MODEL BY SES'!$C$19:$R$242,MATCH('SeS in Retail Sales Areas'!T$7,'NEW MODEL BY SES'!$C$17:$R$17,0),0),"")</f>
        <v/>
      </c>
      <c r="U40" s="142" t="str">
        <f>IFERROR(VLOOKUP($C40,'NEW MODEL BY SES'!$C$19:$R$242,MATCH('SeS in Retail Sales Areas'!U$7,'NEW MODEL BY SES'!$C$17:$R$17,0),0),"")</f>
        <v/>
      </c>
      <c r="V40" s="140" t="str">
        <f>IFERROR(VLOOKUP($C40,'NEW MODEL BY SES'!$C$19:$R$242,MATCH('SeS in Retail Sales Areas'!V$7,'NEW MODEL BY SES'!$C$17:$R$17,0),0),"")</f>
        <v/>
      </c>
      <c r="W40" s="141" t="str">
        <f>IFERROR(VLOOKUP($C40,'NEW MODEL BY SES'!$C$19:$R$242,MATCH('SeS in Retail Sales Areas'!W$7,'NEW MODEL BY SES'!$C$17:$R$17,0),0),"")</f>
        <v/>
      </c>
      <c r="X40" s="140" t="str">
        <f>IFERROR(VLOOKUP($C40,'NEW MODEL BY SES'!$C$19:$R$242,MATCH('SeS in Retail Sales Areas'!X$7,'NEW MODEL BY SES'!$C$17:$R$17,0),0),"")</f>
        <v/>
      </c>
      <c r="Z40" s="57"/>
    </row>
    <row r="41" spans="1:26">
      <c r="A41" t="s">
        <v>958</v>
      </c>
      <c r="B41" s="57">
        <v>124</v>
      </c>
      <c r="C41" t="s">
        <v>968</v>
      </c>
      <c r="D41" t="s">
        <v>38</v>
      </c>
      <c r="E41"/>
      <c r="F41" s="140" t="str">
        <f>IFERROR(VLOOKUP($C41,'NEW MODEL BY SES'!$C$19:$R$242,MATCH('SeS in Retail Sales Areas'!F$7,'NEW MODEL BY SES'!$C$17:$R$17,0),0),"")</f>
        <v/>
      </c>
      <c r="G41" s="140" t="str">
        <f>IFERROR(VLOOKUP($C41,'NEW MODEL BY SES'!$C$19:$R$242,MATCH('SeS in Retail Sales Areas'!G$7,'NEW MODEL BY SES'!$C$17:$R$17,0),0),"")</f>
        <v/>
      </c>
      <c r="H41" s="142" t="str">
        <f>IFERROR(VLOOKUP($C41,'NEW MODEL BY SES'!$C$19:$R$242,MATCH('SeS in Retail Sales Areas'!H$7,'NEW MODEL BY SES'!$C$17:$R$17,0),0),"")</f>
        <v/>
      </c>
      <c r="I41" s="140" t="str">
        <f>IFERROR(VLOOKUP($C41,'NEW MODEL BY SES'!$C$19:$R$242,MATCH('SeS in Retail Sales Areas'!I$7,'NEW MODEL BY SES'!$C$17:$R$17,0),0),"")</f>
        <v/>
      </c>
      <c r="J41" s="142" t="str">
        <f>IFERROR(VLOOKUP($C41,'NEW MODEL BY SES'!$C$19:$R$242,MATCH('SeS in Retail Sales Areas'!J$7,'NEW MODEL BY SES'!$C$17:$R$17,0),0),"")</f>
        <v/>
      </c>
      <c r="K41" s="140" t="str">
        <f>IFERROR(VLOOKUP($C41,'NEW MODEL BY SES'!$C$19:$R$242,MATCH('SeS in Retail Sales Areas'!K$7,'NEW MODEL BY SES'!$C$17:$R$17,0),0),"")</f>
        <v/>
      </c>
      <c r="L41" s="142" t="str">
        <f>IFERROR(VLOOKUP($C41,'NEW MODEL BY SES'!$C$19:$R$242,MATCH('SeS in Retail Sales Areas'!L$7,'NEW MODEL BY SES'!$C$17:$R$17,0),0),"")</f>
        <v/>
      </c>
      <c r="M41" s="140" t="str">
        <f>IFERROR(VLOOKUP($C41,'NEW MODEL BY SES'!$C$19:$R$242,MATCH('SeS in Retail Sales Areas'!M$7,'NEW MODEL BY SES'!$C$17:$R$17,0),0),"")</f>
        <v/>
      </c>
      <c r="N41" s="142" t="str">
        <f>IFERROR(VLOOKUP($C41,'NEW MODEL BY SES'!$C$19:$R$242,MATCH('SeS in Retail Sales Areas'!N$7,'NEW MODEL BY SES'!$C$17:$R$17,0),0),"")</f>
        <v/>
      </c>
      <c r="O41" s="140" t="str">
        <f>IFERROR(VLOOKUP($C41,'NEW MODEL BY SES'!$C$19:$R$242,MATCH('SeS in Retail Sales Areas'!O$7,'NEW MODEL BY SES'!$C$17:$R$17,0),0),"")</f>
        <v/>
      </c>
      <c r="P41" s="142" t="str">
        <f>IFERROR(VLOOKUP($C41,'NEW MODEL BY SES'!$C$19:$R$242,MATCH('SeS in Retail Sales Areas'!P$7,'NEW MODEL BY SES'!$C$17:$R$17,0),0),"")</f>
        <v/>
      </c>
      <c r="Q41" s="140" t="str">
        <f>IFERROR(VLOOKUP($C41,'NEW MODEL BY SES'!$C$19:$R$242,MATCH('SeS in Retail Sales Areas'!Q$7,'NEW MODEL BY SES'!$C$17:$R$17,0),0),"")</f>
        <v/>
      </c>
      <c r="R41" s="142" t="str">
        <f>IFERROR(VLOOKUP($C41,'NEW MODEL BY SES'!$C$19:$R$242,MATCH('SeS in Retail Sales Areas'!R$7,'NEW MODEL BY SES'!$C$17:$R$17,0),0),"")</f>
        <v/>
      </c>
      <c r="S41" s="141" t="str">
        <f>IFERROR(VLOOKUP($C41,'NEW MODEL BY SES'!$C$19:$R$242,MATCH('SeS in Retail Sales Areas'!S$7,'NEW MODEL BY SES'!$C$17:$R$17,0),0),"")</f>
        <v/>
      </c>
      <c r="T41" s="140" t="str">
        <f>IFERROR(VLOOKUP($C41,'NEW MODEL BY SES'!$C$19:$R$242,MATCH('SeS in Retail Sales Areas'!T$7,'NEW MODEL BY SES'!$C$17:$R$17,0),0),"")</f>
        <v/>
      </c>
      <c r="U41" s="142" t="str">
        <f>IFERROR(VLOOKUP($C41,'NEW MODEL BY SES'!$C$19:$R$242,MATCH('SeS in Retail Sales Areas'!U$7,'NEW MODEL BY SES'!$C$17:$R$17,0),0),"")</f>
        <v/>
      </c>
      <c r="V41" s="140" t="str">
        <f>IFERROR(VLOOKUP($C41,'NEW MODEL BY SES'!$C$19:$R$242,MATCH('SeS in Retail Sales Areas'!V$7,'NEW MODEL BY SES'!$C$17:$R$17,0),0),"")</f>
        <v/>
      </c>
      <c r="W41" s="141" t="str">
        <f>IFERROR(VLOOKUP($C41,'NEW MODEL BY SES'!$C$19:$R$242,MATCH('SeS in Retail Sales Areas'!W$7,'NEW MODEL BY SES'!$C$17:$R$17,0),0),"")</f>
        <v/>
      </c>
      <c r="X41" s="140" t="str">
        <f>IFERROR(VLOOKUP($C41,'NEW MODEL BY SES'!$C$19:$R$242,MATCH('SeS in Retail Sales Areas'!X$7,'NEW MODEL BY SES'!$C$17:$R$17,0),0),"")</f>
        <v/>
      </c>
      <c r="Z41" s="57"/>
    </row>
    <row r="42" spans="1:26">
      <c r="A42" t="s">
        <v>958</v>
      </c>
      <c r="B42" s="57">
        <v>123</v>
      </c>
      <c r="C42" t="s">
        <v>969</v>
      </c>
      <c r="D42" t="s">
        <v>40</v>
      </c>
      <c r="E42"/>
      <c r="F42" s="140" t="str">
        <f>IFERROR(VLOOKUP($C42,'NEW MODEL BY SES'!$C$19:$R$242,MATCH('SeS in Retail Sales Areas'!F$7,'NEW MODEL BY SES'!$C$17:$R$17,0),0),"")</f>
        <v/>
      </c>
      <c r="G42" s="140" t="str">
        <f>IFERROR(VLOOKUP($C42,'NEW MODEL BY SES'!$C$19:$R$242,MATCH('SeS in Retail Sales Areas'!G$7,'NEW MODEL BY SES'!$C$17:$R$17,0),0),"")</f>
        <v/>
      </c>
      <c r="H42" s="142" t="str">
        <f>IFERROR(VLOOKUP($C42,'NEW MODEL BY SES'!$C$19:$R$242,MATCH('SeS in Retail Sales Areas'!H$7,'NEW MODEL BY SES'!$C$17:$R$17,0),0),"")</f>
        <v/>
      </c>
      <c r="I42" s="140" t="str">
        <f>IFERROR(VLOOKUP($C42,'NEW MODEL BY SES'!$C$19:$R$242,MATCH('SeS in Retail Sales Areas'!I$7,'NEW MODEL BY SES'!$C$17:$R$17,0),0),"")</f>
        <v/>
      </c>
      <c r="J42" s="142" t="str">
        <f>IFERROR(VLOOKUP($C42,'NEW MODEL BY SES'!$C$19:$R$242,MATCH('SeS in Retail Sales Areas'!J$7,'NEW MODEL BY SES'!$C$17:$R$17,0),0),"")</f>
        <v/>
      </c>
      <c r="K42" s="140" t="str">
        <f>IFERROR(VLOOKUP($C42,'NEW MODEL BY SES'!$C$19:$R$242,MATCH('SeS in Retail Sales Areas'!K$7,'NEW MODEL BY SES'!$C$17:$R$17,0),0),"")</f>
        <v/>
      </c>
      <c r="L42" s="142" t="str">
        <f>IFERROR(VLOOKUP($C42,'NEW MODEL BY SES'!$C$19:$R$242,MATCH('SeS in Retail Sales Areas'!L$7,'NEW MODEL BY SES'!$C$17:$R$17,0),0),"")</f>
        <v/>
      </c>
      <c r="M42" s="140" t="str">
        <f>IFERROR(VLOOKUP($C42,'NEW MODEL BY SES'!$C$19:$R$242,MATCH('SeS in Retail Sales Areas'!M$7,'NEW MODEL BY SES'!$C$17:$R$17,0),0),"")</f>
        <v/>
      </c>
      <c r="N42" s="142" t="str">
        <f>IFERROR(VLOOKUP($C42,'NEW MODEL BY SES'!$C$19:$R$242,MATCH('SeS in Retail Sales Areas'!N$7,'NEW MODEL BY SES'!$C$17:$R$17,0),0),"")</f>
        <v/>
      </c>
      <c r="O42" s="140" t="str">
        <f>IFERROR(VLOOKUP($C42,'NEW MODEL BY SES'!$C$19:$R$242,MATCH('SeS in Retail Sales Areas'!O$7,'NEW MODEL BY SES'!$C$17:$R$17,0),0),"")</f>
        <v/>
      </c>
      <c r="P42" s="142" t="str">
        <f>IFERROR(VLOOKUP($C42,'NEW MODEL BY SES'!$C$19:$R$242,MATCH('SeS in Retail Sales Areas'!P$7,'NEW MODEL BY SES'!$C$17:$R$17,0),0),"")</f>
        <v/>
      </c>
      <c r="Q42" s="140" t="str">
        <f>IFERROR(VLOOKUP($C42,'NEW MODEL BY SES'!$C$19:$R$242,MATCH('SeS in Retail Sales Areas'!Q$7,'NEW MODEL BY SES'!$C$17:$R$17,0),0),"")</f>
        <v/>
      </c>
      <c r="R42" s="142" t="str">
        <f>IFERROR(VLOOKUP($C42,'NEW MODEL BY SES'!$C$19:$R$242,MATCH('SeS in Retail Sales Areas'!R$7,'NEW MODEL BY SES'!$C$17:$R$17,0),0),"")</f>
        <v/>
      </c>
      <c r="S42" s="141" t="str">
        <f>IFERROR(VLOOKUP($C42,'NEW MODEL BY SES'!$C$19:$R$242,MATCH('SeS in Retail Sales Areas'!S$7,'NEW MODEL BY SES'!$C$17:$R$17,0),0),"")</f>
        <v/>
      </c>
      <c r="T42" s="140" t="str">
        <f>IFERROR(VLOOKUP($C42,'NEW MODEL BY SES'!$C$19:$R$242,MATCH('SeS in Retail Sales Areas'!T$7,'NEW MODEL BY SES'!$C$17:$R$17,0),0),"")</f>
        <v/>
      </c>
      <c r="U42" s="142" t="str">
        <f>IFERROR(VLOOKUP($C42,'NEW MODEL BY SES'!$C$19:$R$242,MATCH('SeS in Retail Sales Areas'!U$7,'NEW MODEL BY SES'!$C$17:$R$17,0),0),"")</f>
        <v/>
      </c>
      <c r="V42" s="140" t="str">
        <f>IFERROR(VLOOKUP($C42,'NEW MODEL BY SES'!$C$19:$R$242,MATCH('SeS in Retail Sales Areas'!V$7,'NEW MODEL BY SES'!$C$17:$R$17,0),0),"")</f>
        <v/>
      </c>
      <c r="W42" s="141" t="str">
        <f>IFERROR(VLOOKUP($C42,'NEW MODEL BY SES'!$C$19:$R$242,MATCH('SeS in Retail Sales Areas'!W$7,'NEW MODEL BY SES'!$C$17:$R$17,0),0),"")</f>
        <v/>
      </c>
      <c r="X42" s="140" t="str">
        <f>IFERROR(VLOOKUP($C42,'NEW MODEL BY SES'!$C$19:$R$242,MATCH('SeS in Retail Sales Areas'!X$7,'NEW MODEL BY SES'!$C$17:$R$17,0),0),"")</f>
        <v/>
      </c>
      <c r="Z42" s="57"/>
    </row>
    <row r="43" spans="1:26">
      <c r="A43" t="s">
        <v>958</v>
      </c>
      <c r="B43" s="57">
        <v>114</v>
      </c>
      <c r="C43" t="s">
        <v>970</v>
      </c>
      <c r="D43" t="s">
        <v>40</v>
      </c>
      <c r="E43"/>
      <c r="F43" s="140" t="str">
        <f>IFERROR(VLOOKUP($C43,'NEW MODEL BY SES'!$C$19:$R$242,MATCH('SeS in Retail Sales Areas'!F$7,'NEW MODEL BY SES'!$C$17:$R$17,0),0),"")</f>
        <v/>
      </c>
      <c r="G43" s="140" t="str">
        <f>IFERROR(VLOOKUP($C43,'NEW MODEL BY SES'!$C$19:$R$242,MATCH('SeS in Retail Sales Areas'!G$7,'NEW MODEL BY SES'!$C$17:$R$17,0),0),"")</f>
        <v/>
      </c>
      <c r="H43" s="142" t="str">
        <f>IFERROR(VLOOKUP($C43,'NEW MODEL BY SES'!$C$19:$R$242,MATCH('SeS in Retail Sales Areas'!H$7,'NEW MODEL BY SES'!$C$17:$R$17,0),0),"")</f>
        <v/>
      </c>
      <c r="I43" s="140" t="str">
        <f>IFERROR(VLOOKUP($C43,'NEW MODEL BY SES'!$C$19:$R$242,MATCH('SeS in Retail Sales Areas'!I$7,'NEW MODEL BY SES'!$C$17:$R$17,0),0),"")</f>
        <v/>
      </c>
      <c r="J43" s="142" t="str">
        <f>IFERROR(VLOOKUP($C43,'NEW MODEL BY SES'!$C$19:$R$242,MATCH('SeS in Retail Sales Areas'!J$7,'NEW MODEL BY SES'!$C$17:$R$17,0),0),"")</f>
        <v/>
      </c>
      <c r="K43" s="140" t="str">
        <f>IFERROR(VLOOKUP($C43,'NEW MODEL BY SES'!$C$19:$R$242,MATCH('SeS in Retail Sales Areas'!K$7,'NEW MODEL BY SES'!$C$17:$R$17,0),0),"")</f>
        <v/>
      </c>
      <c r="L43" s="142" t="str">
        <f>IFERROR(VLOOKUP($C43,'NEW MODEL BY SES'!$C$19:$R$242,MATCH('SeS in Retail Sales Areas'!L$7,'NEW MODEL BY SES'!$C$17:$R$17,0),0),"")</f>
        <v/>
      </c>
      <c r="M43" s="140" t="str">
        <f>IFERROR(VLOOKUP($C43,'NEW MODEL BY SES'!$C$19:$R$242,MATCH('SeS in Retail Sales Areas'!M$7,'NEW MODEL BY SES'!$C$17:$R$17,0),0),"")</f>
        <v/>
      </c>
      <c r="N43" s="142" t="str">
        <f>IFERROR(VLOOKUP($C43,'NEW MODEL BY SES'!$C$19:$R$242,MATCH('SeS in Retail Sales Areas'!N$7,'NEW MODEL BY SES'!$C$17:$R$17,0),0),"")</f>
        <v/>
      </c>
      <c r="O43" s="140" t="str">
        <f>IFERROR(VLOOKUP($C43,'NEW MODEL BY SES'!$C$19:$R$242,MATCH('SeS in Retail Sales Areas'!O$7,'NEW MODEL BY SES'!$C$17:$R$17,0),0),"")</f>
        <v/>
      </c>
      <c r="P43" s="142" t="str">
        <f>IFERROR(VLOOKUP($C43,'NEW MODEL BY SES'!$C$19:$R$242,MATCH('SeS in Retail Sales Areas'!P$7,'NEW MODEL BY SES'!$C$17:$R$17,0),0),"")</f>
        <v/>
      </c>
      <c r="Q43" s="140" t="str">
        <f>IFERROR(VLOOKUP($C43,'NEW MODEL BY SES'!$C$19:$R$242,MATCH('SeS in Retail Sales Areas'!Q$7,'NEW MODEL BY SES'!$C$17:$R$17,0),0),"")</f>
        <v/>
      </c>
      <c r="R43" s="142" t="str">
        <f>IFERROR(VLOOKUP($C43,'NEW MODEL BY SES'!$C$19:$R$242,MATCH('SeS in Retail Sales Areas'!R$7,'NEW MODEL BY SES'!$C$17:$R$17,0),0),"")</f>
        <v/>
      </c>
      <c r="S43" s="141" t="str">
        <f>IFERROR(VLOOKUP($C43,'NEW MODEL BY SES'!$C$19:$R$242,MATCH('SeS in Retail Sales Areas'!S$7,'NEW MODEL BY SES'!$C$17:$R$17,0),0),"")</f>
        <v/>
      </c>
      <c r="T43" s="140" t="str">
        <f>IFERROR(VLOOKUP($C43,'NEW MODEL BY SES'!$C$19:$R$242,MATCH('SeS in Retail Sales Areas'!T$7,'NEW MODEL BY SES'!$C$17:$R$17,0),0),"")</f>
        <v/>
      </c>
      <c r="U43" s="142" t="str">
        <f>IFERROR(VLOOKUP($C43,'NEW MODEL BY SES'!$C$19:$R$242,MATCH('SeS in Retail Sales Areas'!U$7,'NEW MODEL BY SES'!$C$17:$R$17,0),0),"")</f>
        <v/>
      </c>
      <c r="V43" s="140" t="str">
        <f>IFERROR(VLOOKUP($C43,'NEW MODEL BY SES'!$C$19:$R$242,MATCH('SeS in Retail Sales Areas'!V$7,'NEW MODEL BY SES'!$C$17:$R$17,0),0),"")</f>
        <v/>
      </c>
      <c r="W43" s="141" t="str">
        <f>IFERROR(VLOOKUP($C43,'NEW MODEL BY SES'!$C$19:$R$242,MATCH('SeS in Retail Sales Areas'!W$7,'NEW MODEL BY SES'!$C$17:$R$17,0),0),"")</f>
        <v/>
      </c>
      <c r="X43" s="140" t="str">
        <f>IFERROR(VLOOKUP($C43,'NEW MODEL BY SES'!$C$19:$R$242,MATCH('SeS in Retail Sales Areas'!X$7,'NEW MODEL BY SES'!$C$17:$R$17,0),0),"")</f>
        <v/>
      </c>
      <c r="Z43" s="57"/>
    </row>
    <row r="44" spans="1:26">
      <c r="A44" t="s">
        <v>958</v>
      </c>
      <c r="B44" s="57">
        <v>113</v>
      </c>
      <c r="C44" t="s">
        <v>971</v>
      </c>
      <c r="D44" t="s">
        <v>40</v>
      </c>
      <c r="E44"/>
      <c r="F44" s="140" t="str">
        <f>IFERROR(VLOOKUP($C44,'NEW MODEL BY SES'!$C$19:$R$242,MATCH('SeS in Retail Sales Areas'!F$7,'NEW MODEL BY SES'!$C$17:$R$17,0),0),"")</f>
        <v/>
      </c>
      <c r="G44" s="140" t="str">
        <f>IFERROR(VLOOKUP($C44,'NEW MODEL BY SES'!$C$19:$R$242,MATCH('SeS in Retail Sales Areas'!G$7,'NEW MODEL BY SES'!$C$17:$R$17,0),0),"")</f>
        <v/>
      </c>
      <c r="H44" s="142" t="str">
        <f>IFERROR(VLOOKUP($C44,'NEW MODEL BY SES'!$C$19:$R$242,MATCH('SeS in Retail Sales Areas'!H$7,'NEW MODEL BY SES'!$C$17:$R$17,0),0),"")</f>
        <v/>
      </c>
      <c r="I44" s="140" t="str">
        <f>IFERROR(VLOOKUP($C44,'NEW MODEL BY SES'!$C$19:$R$242,MATCH('SeS in Retail Sales Areas'!I$7,'NEW MODEL BY SES'!$C$17:$R$17,0),0),"")</f>
        <v/>
      </c>
      <c r="J44" s="142" t="str">
        <f>IFERROR(VLOOKUP($C44,'NEW MODEL BY SES'!$C$19:$R$242,MATCH('SeS in Retail Sales Areas'!J$7,'NEW MODEL BY SES'!$C$17:$R$17,0),0),"")</f>
        <v/>
      </c>
      <c r="K44" s="140" t="str">
        <f>IFERROR(VLOOKUP($C44,'NEW MODEL BY SES'!$C$19:$R$242,MATCH('SeS in Retail Sales Areas'!K$7,'NEW MODEL BY SES'!$C$17:$R$17,0),0),"")</f>
        <v/>
      </c>
      <c r="L44" s="142" t="str">
        <f>IFERROR(VLOOKUP($C44,'NEW MODEL BY SES'!$C$19:$R$242,MATCH('SeS in Retail Sales Areas'!L$7,'NEW MODEL BY SES'!$C$17:$R$17,0),0),"")</f>
        <v/>
      </c>
      <c r="M44" s="140" t="str">
        <f>IFERROR(VLOOKUP($C44,'NEW MODEL BY SES'!$C$19:$R$242,MATCH('SeS in Retail Sales Areas'!M$7,'NEW MODEL BY SES'!$C$17:$R$17,0),0),"")</f>
        <v/>
      </c>
      <c r="N44" s="142" t="str">
        <f>IFERROR(VLOOKUP($C44,'NEW MODEL BY SES'!$C$19:$R$242,MATCH('SeS in Retail Sales Areas'!N$7,'NEW MODEL BY SES'!$C$17:$R$17,0),0),"")</f>
        <v/>
      </c>
      <c r="O44" s="140" t="str">
        <f>IFERROR(VLOOKUP($C44,'NEW MODEL BY SES'!$C$19:$R$242,MATCH('SeS in Retail Sales Areas'!O$7,'NEW MODEL BY SES'!$C$17:$R$17,0),0),"")</f>
        <v/>
      </c>
      <c r="P44" s="142" t="str">
        <f>IFERROR(VLOOKUP($C44,'NEW MODEL BY SES'!$C$19:$R$242,MATCH('SeS in Retail Sales Areas'!P$7,'NEW MODEL BY SES'!$C$17:$R$17,0),0),"")</f>
        <v/>
      </c>
      <c r="Q44" s="140" t="str">
        <f>IFERROR(VLOOKUP($C44,'NEW MODEL BY SES'!$C$19:$R$242,MATCH('SeS in Retail Sales Areas'!Q$7,'NEW MODEL BY SES'!$C$17:$R$17,0),0),"")</f>
        <v/>
      </c>
      <c r="R44" s="142" t="str">
        <f>IFERROR(VLOOKUP($C44,'NEW MODEL BY SES'!$C$19:$R$242,MATCH('SeS in Retail Sales Areas'!R$7,'NEW MODEL BY SES'!$C$17:$R$17,0),0),"")</f>
        <v/>
      </c>
      <c r="S44" s="141" t="str">
        <f>IFERROR(VLOOKUP($C44,'NEW MODEL BY SES'!$C$19:$R$242,MATCH('SeS in Retail Sales Areas'!S$7,'NEW MODEL BY SES'!$C$17:$R$17,0),0),"")</f>
        <v/>
      </c>
      <c r="T44" s="140" t="str">
        <f>IFERROR(VLOOKUP($C44,'NEW MODEL BY SES'!$C$19:$R$242,MATCH('SeS in Retail Sales Areas'!T$7,'NEW MODEL BY SES'!$C$17:$R$17,0),0),"")</f>
        <v/>
      </c>
      <c r="U44" s="142" t="str">
        <f>IFERROR(VLOOKUP($C44,'NEW MODEL BY SES'!$C$19:$R$242,MATCH('SeS in Retail Sales Areas'!U$7,'NEW MODEL BY SES'!$C$17:$R$17,0),0),"")</f>
        <v/>
      </c>
      <c r="V44" s="140" t="str">
        <f>IFERROR(VLOOKUP($C44,'NEW MODEL BY SES'!$C$19:$R$242,MATCH('SeS in Retail Sales Areas'!V$7,'NEW MODEL BY SES'!$C$17:$R$17,0),0),"")</f>
        <v/>
      </c>
      <c r="W44" s="141" t="str">
        <f>IFERROR(VLOOKUP($C44,'NEW MODEL BY SES'!$C$19:$R$242,MATCH('SeS in Retail Sales Areas'!W$7,'NEW MODEL BY SES'!$C$17:$R$17,0),0),"")</f>
        <v/>
      </c>
      <c r="X44" s="140" t="str">
        <f>IFERROR(VLOOKUP($C44,'NEW MODEL BY SES'!$C$19:$R$242,MATCH('SeS in Retail Sales Areas'!X$7,'NEW MODEL BY SES'!$C$17:$R$17,0),0),"")</f>
        <v/>
      </c>
      <c r="Z44" s="57"/>
    </row>
    <row r="45" spans="1:26">
      <c r="A45" t="s">
        <v>958</v>
      </c>
      <c r="B45" s="57">
        <v>113</v>
      </c>
      <c r="C45" t="s">
        <v>972</v>
      </c>
      <c r="D45" t="s">
        <v>40</v>
      </c>
      <c r="E45"/>
      <c r="F45" s="140" t="str">
        <f>IFERROR(VLOOKUP($C45,'NEW MODEL BY SES'!$C$19:$R$242,MATCH('SeS in Retail Sales Areas'!F$7,'NEW MODEL BY SES'!$C$17:$R$17,0),0),"")</f>
        <v/>
      </c>
      <c r="G45" s="140" t="str">
        <f>IFERROR(VLOOKUP($C45,'NEW MODEL BY SES'!$C$19:$R$242,MATCH('SeS in Retail Sales Areas'!G$7,'NEW MODEL BY SES'!$C$17:$R$17,0),0),"")</f>
        <v/>
      </c>
      <c r="H45" s="142" t="str">
        <f>IFERROR(VLOOKUP($C45,'NEW MODEL BY SES'!$C$19:$R$242,MATCH('SeS in Retail Sales Areas'!H$7,'NEW MODEL BY SES'!$C$17:$R$17,0),0),"")</f>
        <v/>
      </c>
      <c r="I45" s="140" t="str">
        <f>IFERROR(VLOOKUP($C45,'NEW MODEL BY SES'!$C$19:$R$242,MATCH('SeS in Retail Sales Areas'!I$7,'NEW MODEL BY SES'!$C$17:$R$17,0),0),"")</f>
        <v/>
      </c>
      <c r="J45" s="142" t="str">
        <f>IFERROR(VLOOKUP($C45,'NEW MODEL BY SES'!$C$19:$R$242,MATCH('SeS in Retail Sales Areas'!J$7,'NEW MODEL BY SES'!$C$17:$R$17,0),0),"")</f>
        <v/>
      </c>
      <c r="K45" s="140" t="str">
        <f>IFERROR(VLOOKUP($C45,'NEW MODEL BY SES'!$C$19:$R$242,MATCH('SeS in Retail Sales Areas'!K$7,'NEW MODEL BY SES'!$C$17:$R$17,0),0),"")</f>
        <v/>
      </c>
      <c r="L45" s="142" t="str">
        <f>IFERROR(VLOOKUP($C45,'NEW MODEL BY SES'!$C$19:$R$242,MATCH('SeS in Retail Sales Areas'!L$7,'NEW MODEL BY SES'!$C$17:$R$17,0),0),"")</f>
        <v/>
      </c>
      <c r="M45" s="140" t="str">
        <f>IFERROR(VLOOKUP($C45,'NEW MODEL BY SES'!$C$19:$R$242,MATCH('SeS in Retail Sales Areas'!M$7,'NEW MODEL BY SES'!$C$17:$R$17,0),0),"")</f>
        <v/>
      </c>
      <c r="N45" s="142" t="str">
        <f>IFERROR(VLOOKUP($C45,'NEW MODEL BY SES'!$C$19:$R$242,MATCH('SeS in Retail Sales Areas'!N$7,'NEW MODEL BY SES'!$C$17:$R$17,0),0),"")</f>
        <v/>
      </c>
      <c r="O45" s="140" t="str">
        <f>IFERROR(VLOOKUP($C45,'NEW MODEL BY SES'!$C$19:$R$242,MATCH('SeS in Retail Sales Areas'!O$7,'NEW MODEL BY SES'!$C$17:$R$17,0),0),"")</f>
        <v/>
      </c>
      <c r="P45" s="142" t="str">
        <f>IFERROR(VLOOKUP($C45,'NEW MODEL BY SES'!$C$19:$R$242,MATCH('SeS in Retail Sales Areas'!P$7,'NEW MODEL BY SES'!$C$17:$R$17,0),0),"")</f>
        <v/>
      </c>
      <c r="Q45" s="140" t="str">
        <f>IFERROR(VLOOKUP($C45,'NEW MODEL BY SES'!$C$19:$R$242,MATCH('SeS in Retail Sales Areas'!Q$7,'NEW MODEL BY SES'!$C$17:$R$17,0),0),"")</f>
        <v/>
      </c>
      <c r="R45" s="142" t="str">
        <f>IFERROR(VLOOKUP($C45,'NEW MODEL BY SES'!$C$19:$R$242,MATCH('SeS in Retail Sales Areas'!R$7,'NEW MODEL BY SES'!$C$17:$R$17,0),0),"")</f>
        <v/>
      </c>
      <c r="S45" s="141" t="str">
        <f>IFERROR(VLOOKUP($C45,'NEW MODEL BY SES'!$C$19:$R$242,MATCH('SeS in Retail Sales Areas'!S$7,'NEW MODEL BY SES'!$C$17:$R$17,0),0),"")</f>
        <v/>
      </c>
      <c r="T45" s="140" t="str">
        <f>IFERROR(VLOOKUP($C45,'NEW MODEL BY SES'!$C$19:$R$242,MATCH('SeS in Retail Sales Areas'!T$7,'NEW MODEL BY SES'!$C$17:$R$17,0),0),"")</f>
        <v/>
      </c>
      <c r="U45" s="142" t="str">
        <f>IFERROR(VLOOKUP($C45,'NEW MODEL BY SES'!$C$19:$R$242,MATCH('SeS in Retail Sales Areas'!U$7,'NEW MODEL BY SES'!$C$17:$R$17,0),0),"")</f>
        <v/>
      </c>
      <c r="V45" s="140" t="str">
        <f>IFERROR(VLOOKUP($C45,'NEW MODEL BY SES'!$C$19:$R$242,MATCH('SeS in Retail Sales Areas'!V$7,'NEW MODEL BY SES'!$C$17:$R$17,0),0),"")</f>
        <v/>
      </c>
      <c r="W45" s="141" t="str">
        <f>IFERROR(VLOOKUP($C45,'NEW MODEL BY SES'!$C$19:$R$242,MATCH('SeS in Retail Sales Areas'!W$7,'NEW MODEL BY SES'!$C$17:$R$17,0),0),"")</f>
        <v/>
      </c>
      <c r="X45" s="140" t="str">
        <f>IFERROR(VLOOKUP($C45,'NEW MODEL BY SES'!$C$19:$R$242,MATCH('SeS in Retail Sales Areas'!X$7,'NEW MODEL BY SES'!$C$17:$R$17,0),0),"")</f>
        <v/>
      </c>
      <c r="Z45" s="57"/>
    </row>
    <row r="46" spans="1:26">
      <c r="A46" t="s">
        <v>958</v>
      </c>
      <c r="B46" s="57">
        <v>108</v>
      </c>
      <c r="C46" t="s">
        <v>973</v>
      </c>
      <c r="D46" t="s">
        <v>40</v>
      </c>
      <c r="E46"/>
      <c r="F46" s="140" t="str">
        <f>IFERROR(VLOOKUP($C46,'NEW MODEL BY SES'!$C$19:$R$242,MATCH('SeS in Retail Sales Areas'!F$7,'NEW MODEL BY SES'!$C$17:$R$17,0),0),"")</f>
        <v/>
      </c>
      <c r="G46" s="140" t="str">
        <f>IFERROR(VLOOKUP($C46,'NEW MODEL BY SES'!$C$19:$R$242,MATCH('SeS in Retail Sales Areas'!G$7,'NEW MODEL BY SES'!$C$17:$R$17,0),0),"")</f>
        <v/>
      </c>
      <c r="H46" s="142" t="str">
        <f>IFERROR(VLOOKUP($C46,'NEW MODEL BY SES'!$C$19:$R$242,MATCH('SeS in Retail Sales Areas'!H$7,'NEW MODEL BY SES'!$C$17:$R$17,0),0),"")</f>
        <v/>
      </c>
      <c r="I46" s="140" t="str">
        <f>IFERROR(VLOOKUP($C46,'NEW MODEL BY SES'!$C$19:$R$242,MATCH('SeS in Retail Sales Areas'!I$7,'NEW MODEL BY SES'!$C$17:$R$17,0),0),"")</f>
        <v/>
      </c>
      <c r="J46" s="142" t="str">
        <f>IFERROR(VLOOKUP($C46,'NEW MODEL BY SES'!$C$19:$R$242,MATCH('SeS in Retail Sales Areas'!J$7,'NEW MODEL BY SES'!$C$17:$R$17,0),0),"")</f>
        <v/>
      </c>
      <c r="K46" s="140" t="str">
        <f>IFERROR(VLOOKUP($C46,'NEW MODEL BY SES'!$C$19:$R$242,MATCH('SeS in Retail Sales Areas'!K$7,'NEW MODEL BY SES'!$C$17:$R$17,0),0),"")</f>
        <v/>
      </c>
      <c r="L46" s="142" t="str">
        <f>IFERROR(VLOOKUP($C46,'NEW MODEL BY SES'!$C$19:$R$242,MATCH('SeS in Retail Sales Areas'!L$7,'NEW MODEL BY SES'!$C$17:$R$17,0),0),"")</f>
        <v/>
      </c>
      <c r="M46" s="140" t="str">
        <f>IFERROR(VLOOKUP($C46,'NEW MODEL BY SES'!$C$19:$R$242,MATCH('SeS in Retail Sales Areas'!M$7,'NEW MODEL BY SES'!$C$17:$R$17,0),0),"")</f>
        <v/>
      </c>
      <c r="N46" s="142" t="str">
        <f>IFERROR(VLOOKUP($C46,'NEW MODEL BY SES'!$C$19:$R$242,MATCH('SeS in Retail Sales Areas'!N$7,'NEW MODEL BY SES'!$C$17:$R$17,0),0),"")</f>
        <v/>
      </c>
      <c r="O46" s="140" t="str">
        <f>IFERROR(VLOOKUP($C46,'NEW MODEL BY SES'!$C$19:$R$242,MATCH('SeS in Retail Sales Areas'!O$7,'NEW MODEL BY SES'!$C$17:$R$17,0),0),"")</f>
        <v/>
      </c>
      <c r="P46" s="142" t="str">
        <f>IFERROR(VLOOKUP($C46,'NEW MODEL BY SES'!$C$19:$R$242,MATCH('SeS in Retail Sales Areas'!P$7,'NEW MODEL BY SES'!$C$17:$R$17,0),0),"")</f>
        <v/>
      </c>
      <c r="Q46" s="140" t="str">
        <f>IFERROR(VLOOKUP($C46,'NEW MODEL BY SES'!$C$19:$R$242,MATCH('SeS in Retail Sales Areas'!Q$7,'NEW MODEL BY SES'!$C$17:$R$17,0),0),"")</f>
        <v/>
      </c>
      <c r="R46" s="142" t="str">
        <f>IFERROR(VLOOKUP($C46,'NEW MODEL BY SES'!$C$19:$R$242,MATCH('SeS in Retail Sales Areas'!R$7,'NEW MODEL BY SES'!$C$17:$R$17,0),0),"")</f>
        <v/>
      </c>
      <c r="S46" s="141" t="str">
        <f>IFERROR(VLOOKUP($C46,'NEW MODEL BY SES'!$C$19:$R$242,MATCH('SeS in Retail Sales Areas'!S$7,'NEW MODEL BY SES'!$C$17:$R$17,0),0),"")</f>
        <v/>
      </c>
      <c r="T46" s="140" t="str">
        <f>IFERROR(VLOOKUP($C46,'NEW MODEL BY SES'!$C$19:$R$242,MATCH('SeS in Retail Sales Areas'!T$7,'NEW MODEL BY SES'!$C$17:$R$17,0),0),"")</f>
        <v/>
      </c>
      <c r="U46" s="142" t="str">
        <f>IFERROR(VLOOKUP($C46,'NEW MODEL BY SES'!$C$19:$R$242,MATCH('SeS in Retail Sales Areas'!U$7,'NEW MODEL BY SES'!$C$17:$R$17,0),0),"")</f>
        <v/>
      </c>
      <c r="V46" s="140" t="str">
        <f>IFERROR(VLOOKUP($C46,'NEW MODEL BY SES'!$C$19:$R$242,MATCH('SeS in Retail Sales Areas'!V$7,'NEW MODEL BY SES'!$C$17:$R$17,0),0),"")</f>
        <v/>
      </c>
      <c r="W46" s="141" t="str">
        <f>IFERROR(VLOOKUP($C46,'NEW MODEL BY SES'!$C$19:$R$242,MATCH('SeS in Retail Sales Areas'!W$7,'NEW MODEL BY SES'!$C$17:$R$17,0),0),"")</f>
        <v/>
      </c>
      <c r="X46" s="140" t="str">
        <f>IFERROR(VLOOKUP($C46,'NEW MODEL BY SES'!$C$19:$R$242,MATCH('SeS in Retail Sales Areas'!X$7,'NEW MODEL BY SES'!$C$17:$R$17,0),0),"")</f>
        <v/>
      </c>
      <c r="Z46" s="57"/>
    </row>
    <row r="47" spans="1:26">
      <c r="A47" t="s">
        <v>958</v>
      </c>
      <c r="B47" s="57">
        <v>107</v>
      </c>
      <c r="C47" t="s">
        <v>974</v>
      </c>
      <c r="D47" t="s">
        <v>40</v>
      </c>
      <c r="E47"/>
      <c r="F47" s="140" t="str">
        <f>IFERROR(VLOOKUP($C47,'NEW MODEL BY SES'!$C$19:$R$242,MATCH('SeS in Retail Sales Areas'!F$7,'NEW MODEL BY SES'!$C$17:$R$17,0),0),"")</f>
        <v/>
      </c>
      <c r="G47" s="140" t="str">
        <f>IFERROR(VLOOKUP($C47,'NEW MODEL BY SES'!$C$19:$R$242,MATCH('SeS in Retail Sales Areas'!G$7,'NEW MODEL BY SES'!$C$17:$R$17,0),0),"")</f>
        <v/>
      </c>
      <c r="H47" s="142" t="str">
        <f>IFERROR(VLOOKUP($C47,'NEW MODEL BY SES'!$C$19:$R$242,MATCH('SeS in Retail Sales Areas'!H$7,'NEW MODEL BY SES'!$C$17:$R$17,0),0),"")</f>
        <v/>
      </c>
      <c r="I47" s="140" t="str">
        <f>IFERROR(VLOOKUP($C47,'NEW MODEL BY SES'!$C$19:$R$242,MATCH('SeS in Retail Sales Areas'!I$7,'NEW MODEL BY SES'!$C$17:$R$17,0),0),"")</f>
        <v/>
      </c>
      <c r="J47" s="142" t="str">
        <f>IFERROR(VLOOKUP($C47,'NEW MODEL BY SES'!$C$19:$R$242,MATCH('SeS in Retail Sales Areas'!J$7,'NEW MODEL BY SES'!$C$17:$R$17,0),0),"")</f>
        <v/>
      </c>
      <c r="K47" s="140" t="str">
        <f>IFERROR(VLOOKUP($C47,'NEW MODEL BY SES'!$C$19:$R$242,MATCH('SeS in Retail Sales Areas'!K$7,'NEW MODEL BY SES'!$C$17:$R$17,0),0),"")</f>
        <v/>
      </c>
      <c r="L47" s="142" t="str">
        <f>IFERROR(VLOOKUP($C47,'NEW MODEL BY SES'!$C$19:$R$242,MATCH('SeS in Retail Sales Areas'!L$7,'NEW MODEL BY SES'!$C$17:$R$17,0),0),"")</f>
        <v/>
      </c>
      <c r="M47" s="140" t="str">
        <f>IFERROR(VLOOKUP($C47,'NEW MODEL BY SES'!$C$19:$R$242,MATCH('SeS in Retail Sales Areas'!M$7,'NEW MODEL BY SES'!$C$17:$R$17,0),0),"")</f>
        <v/>
      </c>
      <c r="N47" s="142" t="str">
        <f>IFERROR(VLOOKUP($C47,'NEW MODEL BY SES'!$C$19:$R$242,MATCH('SeS in Retail Sales Areas'!N$7,'NEW MODEL BY SES'!$C$17:$R$17,0),0),"")</f>
        <v/>
      </c>
      <c r="O47" s="140" t="str">
        <f>IFERROR(VLOOKUP($C47,'NEW MODEL BY SES'!$C$19:$R$242,MATCH('SeS in Retail Sales Areas'!O$7,'NEW MODEL BY SES'!$C$17:$R$17,0),0),"")</f>
        <v/>
      </c>
      <c r="P47" s="142" t="str">
        <f>IFERROR(VLOOKUP($C47,'NEW MODEL BY SES'!$C$19:$R$242,MATCH('SeS in Retail Sales Areas'!P$7,'NEW MODEL BY SES'!$C$17:$R$17,0),0),"")</f>
        <v/>
      </c>
      <c r="Q47" s="140" t="str">
        <f>IFERROR(VLOOKUP($C47,'NEW MODEL BY SES'!$C$19:$R$242,MATCH('SeS in Retail Sales Areas'!Q$7,'NEW MODEL BY SES'!$C$17:$R$17,0),0),"")</f>
        <v/>
      </c>
      <c r="R47" s="142" t="str">
        <f>IFERROR(VLOOKUP($C47,'NEW MODEL BY SES'!$C$19:$R$242,MATCH('SeS in Retail Sales Areas'!R$7,'NEW MODEL BY SES'!$C$17:$R$17,0),0),"")</f>
        <v/>
      </c>
      <c r="S47" s="141" t="str">
        <f>IFERROR(VLOOKUP($C47,'NEW MODEL BY SES'!$C$19:$R$242,MATCH('SeS in Retail Sales Areas'!S$7,'NEW MODEL BY SES'!$C$17:$R$17,0),0),"")</f>
        <v/>
      </c>
      <c r="T47" s="140" t="str">
        <f>IFERROR(VLOOKUP($C47,'NEW MODEL BY SES'!$C$19:$R$242,MATCH('SeS in Retail Sales Areas'!T$7,'NEW MODEL BY SES'!$C$17:$R$17,0),0),"")</f>
        <v/>
      </c>
      <c r="U47" s="142" t="str">
        <f>IFERROR(VLOOKUP($C47,'NEW MODEL BY SES'!$C$19:$R$242,MATCH('SeS in Retail Sales Areas'!U$7,'NEW MODEL BY SES'!$C$17:$R$17,0),0),"")</f>
        <v/>
      </c>
      <c r="V47" s="140" t="str">
        <f>IFERROR(VLOOKUP($C47,'NEW MODEL BY SES'!$C$19:$R$242,MATCH('SeS in Retail Sales Areas'!V$7,'NEW MODEL BY SES'!$C$17:$R$17,0),0),"")</f>
        <v/>
      </c>
      <c r="W47" s="141" t="str">
        <f>IFERROR(VLOOKUP($C47,'NEW MODEL BY SES'!$C$19:$R$242,MATCH('SeS in Retail Sales Areas'!W$7,'NEW MODEL BY SES'!$C$17:$R$17,0),0),"")</f>
        <v/>
      </c>
      <c r="X47" s="140" t="str">
        <f>IFERROR(VLOOKUP($C47,'NEW MODEL BY SES'!$C$19:$R$242,MATCH('SeS in Retail Sales Areas'!X$7,'NEW MODEL BY SES'!$C$17:$R$17,0),0),"")</f>
        <v/>
      </c>
      <c r="Z47" s="57"/>
    </row>
    <row r="48" spans="1:26">
      <c r="A48" t="s">
        <v>958</v>
      </c>
      <c r="B48" s="57">
        <v>103</v>
      </c>
      <c r="C48" t="s">
        <v>975</v>
      </c>
      <c r="D48" t="s">
        <v>40</v>
      </c>
      <c r="E48"/>
      <c r="F48" s="140" t="str">
        <f>IFERROR(VLOOKUP($C48,'NEW MODEL BY SES'!$C$19:$R$242,MATCH('SeS in Retail Sales Areas'!F$7,'NEW MODEL BY SES'!$C$17:$R$17,0),0),"")</f>
        <v/>
      </c>
      <c r="G48" s="140" t="str">
        <f>IFERROR(VLOOKUP($C48,'NEW MODEL BY SES'!$C$19:$R$242,MATCH('SeS in Retail Sales Areas'!G$7,'NEW MODEL BY SES'!$C$17:$R$17,0),0),"")</f>
        <v/>
      </c>
      <c r="H48" s="142" t="str">
        <f>IFERROR(VLOOKUP($C48,'NEW MODEL BY SES'!$C$19:$R$242,MATCH('SeS in Retail Sales Areas'!H$7,'NEW MODEL BY SES'!$C$17:$R$17,0),0),"")</f>
        <v/>
      </c>
      <c r="I48" s="140" t="str">
        <f>IFERROR(VLOOKUP($C48,'NEW MODEL BY SES'!$C$19:$R$242,MATCH('SeS in Retail Sales Areas'!I$7,'NEW MODEL BY SES'!$C$17:$R$17,0),0),"")</f>
        <v/>
      </c>
      <c r="J48" s="142" t="str">
        <f>IFERROR(VLOOKUP($C48,'NEW MODEL BY SES'!$C$19:$R$242,MATCH('SeS in Retail Sales Areas'!J$7,'NEW MODEL BY SES'!$C$17:$R$17,0),0),"")</f>
        <v/>
      </c>
      <c r="K48" s="140" t="str">
        <f>IFERROR(VLOOKUP($C48,'NEW MODEL BY SES'!$C$19:$R$242,MATCH('SeS in Retail Sales Areas'!K$7,'NEW MODEL BY SES'!$C$17:$R$17,0),0),"")</f>
        <v/>
      </c>
      <c r="L48" s="142" t="str">
        <f>IFERROR(VLOOKUP($C48,'NEW MODEL BY SES'!$C$19:$R$242,MATCH('SeS in Retail Sales Areas'!L$7,'NEW MODEL BY SES'!$C$17:$R$17,0),0),"")</f>
        <v/>
      </c>
      <c r="M48" s="140" t="str">
        <f>IFERROR(VLOOKUP($C48,'NEW MODEL BY SES'!$C$19:$R$242,MATCH('SeS in Retail Sales Areas'!M$7,'NEW MODEL BY SES'!$C$17:$R$17,0),0),"")</f>
        <v/>
      </c>
      <c r="N48" s="142" t="str">
        <f>IFERROR(VLOOKUP($C48,'NEW MODEL BY SES'!$C$19:$R$242,MATCH('SeS in Retail Sales Areas'!N$7,'NEW MODEL BY SES'!$C$17:$R$17,0),0),"")</f>
        <v/>
      </c>
      <c r="O48" s="140" t="str">
        <f>IFERROR(VLOOKUP($C48,'NEW MODEL BY SES'!$C$19:$R$242,MATCH('SeS in Retail Sales Areas'!O$7,'NEW MODEL BY SES'!$C$17:$R$17,0),0),"")</f>
        <v/>
      </c>
      <c r="P48" s="142" t="str">
        <f>IFERROR(VLOOKUP($C48,'NEW MODEL BY SES'!$C$19:$R$242,MATCH('SeS in Retail Sales Areas'!P$7,'NEW MODEL BY SES'!$C$17:$R$17,0),0),"")</f>
        <v/>
      </c>
      <c r="Q48" s="140" t="str">
        <f>IFERROR(VLOOKUP($C48,'NEW MODEL BY SES'!$C$19:$R$242,MATCH('SeS in Retail Sales Areas'!Q$7,'NEW MODEL BY SES'!$C$17:$R$17,0),0),"")</f>
        <v/>
      </c>
      <c r="R48" s="142" t="str">
        <f>IFERROR(VLOOKUP($C48,'NEW MODEL BY SES'!$C$19:$R$242,MATCH('SeS in Retail Sales Areas'!R$7,'NEW MODEL BY SES'!$C$17:$R$17,0),0),"")</f>
        <v/>
      </c>
      <c r="S48" s="141" t="str">
        <f>IFERROR(VLOOKUP($C48,'NEW MODEL BY SES'!$C$19:$R$242,MATCH('SeS in Retail Sales Areas'!S$7,'NEW MODEL BY SES'!$C$17:$R$17,0),0),"")</f>
        <v/>
      </c>
      <c r="T48" s="140" t="str">
        <f>IFERROR(VLOOKUP($C48,'NEW MODEL BY SES'!$C$19:$R$242,MATCH('SeS in Retail Sales Areas'!T$7,'NEW MODEL BY SES'!$C$17:$R$17,0),0),"")</f>
        <v/>
      </c>
      <c r="U48" s="142" t="str">
        <f>IFERROR(VLOOKUP($C48,'NEW MODEL BY SES'!$C$19:$R$242,MATCH('SeS in Retail Sales Areas'!U$7,'NEW MODEL BY SES'!$C$17:$R$17,0),0),"")</f>
        <v/>
      </c>
      <c r="V48" s="140" t="str">
        <f>IFERROR(VLOOKUP($C48,'NEW MODEL BY SES'!$C$19:$R$242,MATCH('SeS in Retail Sales Areas'!V$7,'NEW MODEL BY SES'!$C$17:$R$17,0),0),"")</f>
        <v/>
      </c>
      <c r="W48" s="141" t="str">
        <f>IFERROR(VLOOKUP($C48,'NEW MODEL BY SES'!$C$19:$R$242,MATCH('SeS in Retail Sales Areas'!W$7,'NEW MODEL BY SES'!$C$17:$R$17,0),0),"")</f>
        <v/>
      </c>
      <c r="X48" s="140" t="str">
        <f>IFERROR(VLOOKUP($C48,'NEW MODEL BY SES'!$C$19:$R$242,MATCH('SeS in Retail Sales Areas'!X$7,'NEW MODEL BY SES'!$C$17:$R$17,0),0),"")</f>
        <v/>
      </c>
      <c r="Z48" s="57"/>
    </row>
    <row r="49" spans="1:26">
      <c r="A49" t="s">
        <v>958</v>
      </c>
      <c r="B49" s="57">
        <v>102</v>
      </c>
      <c r="C49" t="s">
        <v>976</v>
      </c>
      <c r="D49" t="s">
        <v>40</v>
      </c>
      <c r="E49"/>
      <c r="F49" s="140" t="str">
        <f>IFERROR(VLOOKUP($C49,'NEW MODEL BY SES'!$C$19:$R$242,MATCH('SeS in Retail Sales Areas'!F$7,'NEW MODEL BY SES'!$C$17:$R$17,0),0),"")</f>
        <v/>
      </c>
      <c r="G49" s="140" t="str">
        <f>IFERROR(VLOOKUP($C49,'NEW MODEL BY SES'!$C$19:$R$242,MATCH('SeS in Retail Sales Areas'!G$7,'NEW MODEL BY SES'!$C$17:$R$17,0),0),"")</f>
        <v/>
      </c>
      <c r="H49" s="142" t="str">
        <f>IFERROR(VLOOKUP($C49,'NEW MODEL BY SES'!$C$19:$R$242,MATCH('SeS in Retail Sales Areas'!H$7,'NEW MODEL BY SES'!$C$17:$R$17,0),0),"")</f>
        <v/>
      </c>
      <c r="I49" s="140" t="str">
        <f>IFERROR(VLOOKUP($C49,'NEW MODEL BY SES'!$C$19:$R$242,MATCH('SeS in Retail Sales Areas'!I$7,'NEW MODEL BY SES'!$C$17:$R$17,0),0),"")</f>
        <v/>
      </c>
      <c r="J49" s="142" t="str">
        <f>IFERROR(VLOOKUP($C49,'NEW MODEL BY SES'!$C$19:$R$242,MATCH('SeS in Retail Sales Areas'!J$7,'NEW MODEL BY SES'!$C$17:$R$17,0),0),"")</f>
        <v/>
      </c>
      <c r="K49" s="140" t="str">
        <f>IFERROR(VLOOKUP($C49,'NEW MODEL BY SES'!$C$19:$R$242,MATCH('SeS in Retail Sales Areas'!K$7,'NEW MODEL BY SES'!$C$17:$R$17,0),0),"")</f>
        <v/>
      </c>
      <c r="L49" s="142" t="str">
        <f>IFERROR(VLOOKUP($C49,'NEW MODEL BY SES'!$C$19:$R$242,MATCH('SeS in Retail Sales Areas'!L$7,'NEW MODEL BY SES'!$C$17:$R$17,0),0),"")</f>
        <v/>
      </c>
      <c r="M49" s="140" t="str">
        <f>IFERROR(VLOOKUP($C49,'NEW MODEL BY SES'!$C$19:$R$242,MATCH('SeS in Retail Sales Areas'!M$7,'NEW MODEL BY SES'!$C$17:$R$17,0),0),"")</f>
        <v/>
      </c>
      <c r="N49" s="142" t="str">
        <f>IFERROR(VLOOKUP($C49,'NEW MODEL BY SES'!$C$19:$R$242,MATCH('SeS in Retail Sales Areas'!N$7,'NEW MODEL BY SES'!$C$17:$R$17,0),0),"")</f>
        <v/>
      </c>
      <c r="O49" s="140" t="str">
        <f>IFERROR(VLOOKUP($C49,'NEW MODEL BY SES'!$C$19:$R$242,MATCH('SeS in Retail Sales Areas'!O$7,'NEW MODEL BY SES'!$C$17:$R$17,0),0),"")</f>
        <v/>
      </c>
      <c r="P49" s="142" t="str">
        <f>IFERROR(VLOOKUP($C49,'NEW MODEL BY SES'!$C$19:$R$242,MATCH('SeS in Retail Sales Areas'!P$7,'NEW MODEL BY SES'!$C$17:$R$17,0),0),"")</f>
        <v/>
      </c>
      <c r="Q49" s="140" t="str">
        <f>IFERROR(VLOOKUP($C49,'NEW MODEL BY SES'!$C$19:$R$242,MATCH('SeS in Retail Sales Areas'!Q$7,'NEW MODEL BY SES'!$C$17:$R$17,0),0),"")</f>
        <v/>
      </c>
      <c r="R49" s="142" t="str">
        <f>IFERROR(VLOOKUP($C49,'NEW MODEL BY SES'!$C$19:$R$242,MATCH('SeS in Retail Sales Areas'!R$7,'NEW MODEL BY SES'!$C$17:$R$17,0),0),"")</f>
        <v/>
      </c>
      <c r="S49" s="141" t="str">
        <f>IFERROR(VLOOKUP($C49,'NEW MODEL BY SES'!$C$19:$R$242,MATCH('SeS in Retail Sales Areas'!S$7,'NEW MODEL BY SES'!$C$17:$R$17,0),0),"")</f>
        <v/>
      </c>
      <c r="T49" s="140" t="str">
        <f>IFERROR(VLOOKUP($C49,'NEW MODEL BY SES'!$C$19:$R$242,MATCH('SeS in Retail Sales Areas'!T$7,'NEW MODEL BY SES'!$C$17:$R$17,0),0),"")</f>
        <v/>
      </c>
      <c r="U49" s="142" t="str">
        <f>IFERROR(VLOOKUP($C49,'NEW MODEL BY SES'!$C$19:$R$242,MATCH('SeS in Retail Sales Areas'!U$7,'NEW MODEL BY SES'!$C$17:$R$17,0),0),"")</f>
        <v/>
      </c>
      <c r="V49" s="140" t="str">
        <f>IFERROR(VLOOKUP($C49,'NEW MODEL BY SES'!$C$19:$R$242,MATCH('SeS in Retail Sales Areas'!V$7,'NEW MODEL BY SES'!$C$17:$R$17,0),0),"")</f>
        <v/>
      </c>
      <c r="W49" s="141" t="str">
        <f>IFERROR(VLOOKUP($C49,'NEW MODEL BY SES'!$C$19:$R$242,MATCH('SeS in Retail Sales Areas'!W$7,'NEW MODEL BY SES'!$C$17:$R$17,0),0),"")</f>
        <v/>
      </c>
      <c r="X49" s="140" t="str">
        <f>IFERROR(VLOOKUP($C49,'NEW MODEL BY SES'!$C$19:$R$242,MATCH('SeS in Retail Sales Areas'!X$7,'NEW MODEL BY SES'!$C$17:$R$17,0),0),"")</f>
        <v/>
      </c>
      <c r="Z49" s="57"/>
    </row>
    <row r="50" spans="1:26">
      <c r="A50" t="s">
        <v>958</v>
      </c>
      <c r="B50" s="57">
        <v>98</v>
      </c>
      <c r="C50" t="s">
        <v>977</v>
      </c>
      <c r="D50" t="s">
        <v>40</v>
      </c>
      <c r="E50"/>
      <c r="F50" s="140" t="str">
        <f>IFERROR(VLOOKUP($C50,'NEW MODEL BY SES'!$C$19:$R$242,MATCH('SeS in Retail Sales Areas'!F$7,'NEW MODEL BY SES'!$C$17:$R$17,0),0),"")</f>
        <v/>
      </c>
      <c r="G50" s="140" t="str">
        <f>IFERROR(VLOOKUP($C50,'NEW MODEL BY SES'!$C$19:$R$242,MATCH('SeS in Retail Sales Areas'!G$7,'NEW MODEL BY SES'!$C$17:$R$17,0),0),"")</f>
        <v/>
      </c>
      <c r="H50" s="142" t="str">
        <f>IFERROR(VLOOKUP($C50,'NEW MODEL BY SES'!$C$19:$R$242,MATCH('SeS in Retail Sales Areas'!H$7,'NEW MODEL BY SES'!$C$17:$R$17,0),0),"")</f>
        <v/>
      </c>
      <c r="I50" s="140" t="str">
        <f>IFERROR(VLOOKUP($C50,'NEW MODEL BY SES'!$C$19:$R$242,MATCH('SeS in Retail Sales Areas'!I$7,'NEW MODEL BY SES'!$C$17:$R$17,0),0),"")</f>
        <v/>
      </c>
      <c r="J50" s="142" t="str">
        <f>IFERROR(VLOOKUP($C50,'NEW MODEL BY SES'!$C$19:$R$242,MATCH('SeS in Retail Sales Areas'!J$7,'NEW MODEL BY SES'!$C$17:$R$17,0),0),"")</f>
        <v/>
      </c>
      <c r="K50" s="140" t="str">
        <f>IFERROR(VLOOKUP($C50,'NEW MODEL BY SES'!$C$19:$R$242,MATCH('SeS in Retail Sales Areas'!K$7,'NEW MODEL BY SES'!$C$17:$R$17,0),0),"")</f>
        <v/>
      </c>
      <c r="L50" s="142" t="str">
        <f>IFERROR(VLOOKUP($C50,'NEW MODEL BY SES'!$C$19:$R$242,MATCH('SeS in Retail Sales Areas'!L$7,'NEW MODEL BY SES'!$C$17:$R$17,0),0),"")</f>
        <v/>
      </c>
      <c r="M50" s="140" t="str">
        <f>IFERROR(VLOOKUP($C50,'NEW MODEL BY SES'!$C$19:$R$242,MATCH('SeS in Retail Sales Areas'!M$7,'NEW MODEL BY SES'!$C$17:$R$17,0),0),"")</f>
        <v/>
      </c>
      <c r="N50" s="142" t="str">
        <f>IFERROR(VLOOKUP($C50,'NEW MODEL BY SES'!$C$19:$R$242,MATCH('SeS in Retail Sales Areas'!N$7,'NEW MODEL BY SES'!$C$17:$R$17,0),0),"")</f>
        <v/>
      </c>
      <c r="O50" s="140" t="str">
        <f>IFERROR(VLOOKUP($C50,'NEW MODEL BY SES'!$C$19:$R$242,MATCH('SeS in Retail Sales Areas'!O$7,'NEW MODEL BY SES'!$C$17:$R$17,0),0),"")</f>
        <v/>
      </c>
      <c r="P50" s="142" t="str">
        <f>IFERROR(VLOOKUP($C50,'NEW MODEL BY SES'!$C$19:$R$242,MATCH('SeS in Retail Sales Areas'!P$7,'NEW MODEL BY SES'!$C$17:$R$17,0),0),"")</f>
        <v/>
      </c>
      <c r="Q50" s="140" t="str">
        <f>IFERROR(VLOOKUP($C50,'NEW MODEL BY SES'!$C$19:$R$242,MATCH('SeS in Retail Sales Areas'!Q$7,'NEW MODEL BY SES'!$C$17:$R$17,0),0),"")</f>
        <v/>
      </c>
      <c r="R50" s="142" t="str">
        <f>IFERROR(VLOOKUP($C50,'NEW MODEL BY SES'!$C$19:$R$242,MATCH('SeS in Retail Sales Areas'!R$7,'NEW MODEL BY SES'!$C$17:$R$17,0),0),"")</f>
        <v/>
      </c>
      <c r="S50" s="141" t="str">
        <f>IFERROR(VLOOKUP($C50,'NEW MODEL BY SES'!$C$19:$R$242,MATCH('SeS in Retail Sales Areas'!S$7,'NEW MODEL BY SES'!$C$17:$R$17,0),0),"")</f>
        <v/>
      </c>
      <c r="T50" s="140" t="str">
        <f>IFERROR(VLOOKUP($C50,'NEW MODEL BY SES'!$C$19:$R$242,MATCH('SeS in Retail Sales Areas'!T$7,'NEW MODEL BY SES'!$C$17:$R$17,0),0),"")</f>
        <v/>
      </c>
      <c r="U50" s="142" t="str">
        <f>IFERROR(VLOOKUP($C50,'NEW MODEL BY SES'!$C$19:$R$242,MATCH('SeS in Retail Sales Areas'!U$7,'NEW MODEL BY SES'!$C$17:$R$17,0),0),"")</f>
        <v/>
      </c>
      <c r="V50" s="140" t="str">
        <f>IFERROR(VLOOKUP($C50,'NEW MODEL BY SES'!$C$19:$R$242,MATCH('SeS in Retail Sales Areas'!V$7,'NEW MODEL BY SES'!$C$17:$R$17,0),0),"")</f>
        <v/>
      </c>
      <c r="W50" s="141" t="str">
        <f>IFERROR(VLOOKUP($C50,'NEW MODEL BY SES'!$C$19:$R$242,MATCH('SeS in Retail Sales Areas'!W$7,'NEW MODEL BY SES'!$C$17:$R$17,0),0),"")</f>
        <v/>
      </c>
      <c r="X50" s="140" t="str">
        <f>IFERROR(VLOOKUP($C50,'NEW MODEL BY SES'!$C$19:$R$242,MATCH('SeS in Retail Sales Areas'!X$7,'NEW MODEL BY SES'!$C$17:$R$17,0),0),"")</f>
        <v/>
      </c>
      <c r="Z50" s="57"/>
    </row>
    <row r="51" spans="1:26">
      <c r="A51" t="s">
        <v>958</v>
      </c>
      <c r="B51" s="57">
        <v>83</v>
      </c>
      <c r="C51" t="s">
        <v>978</v>
      </c>
      <c r="D51" t="s">
        <v>40</v>
      </c>
      <c r="E51"/>
      <c r="F51" s="140" t="str">
        <f>IFERROR(VLOOKUP($C51,'NEW MODEL BY SES'!$C$19:$R$242,MATCH('SeS in Retail Sales Areas'!F$7,'NEW MODEL BY SES'!$C$17:$R$17,0),0),"")</f>
        <v/>
      </c>
      <c r="G51" s="140" t="str">
        <f>IFERROR(VLOOKUP($C51,'NEW MODEL BY SES'!$C$19:$R$242,MATCH('SeS in Retail Sales Areas'!G$7,'NEW MODEL BY SES'!$C$17:$R$17,0),0),"")</f>
        <v/>
      </c>
      <c r="H51" s="142" t="str">
        <f>IFERROR(VLOOKUP($C51,'NEW MODEL BY SES'!$C$19:$R$242,MATCH('SeS in Retail Sales Areas'!H$7,'NEW MODEL BY SES'!$C$17:$R$17,0),0),"")</f>
        <v/>
      </c>
      <c r="I51" s="140" t="str">
        <f>IFERROR(VLOOKUP($C51,'NEW MODEL BY SES'!$C$19:$R$242,MATCH('SeS in Retail Sales Areas'!I$7,'NEW MODEL BY SES'!$C$17:$R$17,0),0),"")</f>
        <v/>
      </c>
      <c r="J51" s="142" t="str">
        <f>IFERROR(VLOOKUP($C51,'NEW MODEL BY SES'!$C$19:$R$242,MATCH('SeS in Retail Sales Areas'!J$7,'NEW MODEL BY SES'!$C$17:$R$17,0),0),"")</f>
        <v/>
      </c>
      <c r="K51" s="140" t="str">
        <f>IFERROR(VLOOKUP($C51,'NEW MODEL BY SES'!$C$19:$R$242,MATCH('SeS in Retail Sales Areas'!K$7,'NEW MODEL BY SES'!$C$17:$R$17,0),0),"")</f>
        <v/>
      </c>
      <c r="L51" s="142" t="str">
        <f>IFERROR(VLOOKUP($C51,'NEW MODEL BY SES'!$C$19:$R$242,MATCH('SeS in Retail Sales Areas'!L$7,'NEW MODEL BY SES'!$C$17:$R$17,0),0),"")</f>
        <v/>
      </c>
      <c r="M51" s="140" t="str">
        <f>IFERROR(VLOOKUP($C51,'NEW MODEL BY SES'!$C$19:$R$242,MATCH('SeS in Retail Sales Areas'!M$7,'NEW MODEL BY SES'!$C$17:$R$17,0),0),"")</f>
        <v/>
      </c>
      <c r="N51" s="142" t="str">
        <f>IFERROR(VLOOKUP($C51,'NEW MODEL BY SES'!$C$19:$R$242,MATCH('SeS in Retail Sales Areas'!N$7,'NEW MODEL BY SES'!$C$17:$R$17,0),0),"")</f>
        <v/>
      </c>
      <c r="O51" s="140" t="str">
        <f>IFERROR(VLOOKUP($C51,'NEW MODEL BY SES'!$C$19:$R$242,MATCH('SeS in Retail Sales Areas'!O$7,'NEW MODEL BY SES'!$C$17:$R$17,0),0),"")</f>
        <v/>
      </c>
      <c r="P51" s="142" t="str">
        <f>IFERROR(VLOOKUP($C51,'NEW MODEL BY SES'!$C$19:$R$242,MATCH('SeS in Retail Sales Areas'!P$7,'NEW MODEL BY SES'!$C$17:$R$17,0),0),"")</f>
        <v/>
      </c>
      <c r="Q51" s="140" t="str">
        <f>IFERROR(VLOOKUP($C51,'NEW MODEL BY SES'!$C$19:$R$242,MATCH('SeS in Retail Sales Areas'!Q$7,'NEW MODEL BY SES'!$C$17:$R$17,0),0),"")</f>
        <v/>
      </c>
      <c r="R51" s="142" t="str">
        <f>IFERROR(VLOOKUP($C51,'NEW MODEL BY SES'!$C$19:$R$242,MATCH('SeS in Retail Sales Areas'!R$7,'NEW MODEL BY SES'!$C$17:$R$17,0),0),"")</f>
        <v/>
      </c>
      <c r="S51" s="141" t="str">
        <f>IFERROR(VLOOKUP($C51,'NEW MODEL BY SES'!$C$19:$R$242,MATCH('SeS in Retail Sales Areas'!S$7,'NEW MODEL BY SES'!$C$17:$R$17,0),0),"")</f>
        <v/>
      </c>
      <c r="T51" s="140" t="str">
        <f>IFERROR(VLOOKUP($C51,'NEW MODEL BY SES'!$C$19:$R$242,MATCH('SeS in Retail Sales Areas'!T$7,'NEW MODEL BY SES'!$C$17:$R$17,0),0),"")</f>
        <v/>
      </c>
      <c r="U51" s="142" t="str">
        <f>IFERROR(VLOOKUP($C51,'NEW MODEL BY SES'!$C$19:$R$242,MATCH('SeS in Retail Sales Areas'!U$7,'NEW MODEL BY SES'!$C$17:$R$17,0),0),"")</f>
        <v/>
      </c>
      <c r="V51" s="140" t="str">
        <f>IFERROR(VLOOKUP($C51,'NEW MODEL BY SES'!$C$19:$R$242,MATCH('SeS in Retail Sales Areas'!V$7,'NEW MODEL BY SES'!$C$17:$R$17,0),0),"")</f>
        <v/>
      </c>
      <c r="W51" s="141" t="str">
        <f>IFERROR(VLOOKUP($C51,'NEW MODEL BY SES'!$C$19:$R$242,MATCH('SeS in Retail Sales Areas'!W$7,'NEW MODEL BY SES'!$C$17:$R$17,0),0),"")</f>
        <v/>
      </c>
      <c r="X51" s="140" t="str">
        <f>IFERROR(VLOOKUP($C51,'NEW MODEL BY SES'!$C$19:$R$242,MATCH('SeS in Retail Sales Areas'!X$7,'NEW MODEL BY SES'!$C$17:$R$17,0),0),"")</f>
        <v/>
      </c>
      <c r="Z51" s="57"/>
    </row>
    <row r="52" spans="1:26">
      <c r="A52" t="s">
        <v>958</v>
      </c>
      <c r="B52" s="57">
        <v>79</v>
      </c>
      <c r="C52" t="s">
        <v>979</v>
      </c>
      <c r="D52" t="s">
        <v>40</v>
      </c>
      <c r="E52"/>
      <c r="F52" s="140" t="str">
        <f>IFERROR(VLOOKUP($C52,'NEW MODEL BY SES'!$C$19:$R$242,MATCH('SeS in Retail Sales Areas'!F$7,'NEW MODEL BY SES'!$C$17:$R$17,0),0),"")</f>
        <v/>
      </c>
      <c r="G52" s="140" t="str">
        <f>IFERROR(VLOOKUP($C52,'NEW MODEL BY SES'!$C$19:$R$242,MATCH('SeS in Retail Sales Areas'!G$7,'NEW MODEL BY SES'!$C$17:$R$17,0),0),"")</f>
        <v/>
      </c>
      <c r="H52" s="142" t="str">
        <f>IFERROR(VLOOKUP($C52,'NEW MODEL BY SES'!$C$19:$R$242,MATCH('SeS in Retail Sales Areas'!H$7,'NEW MODEL BY SES'!$C$17:$R$17,0),0),"")</f>
        <v/>
      </c>
      <c r="I52" s="140" t="str">
        <f>IFERROR(VLOOKUP($C52,'NEW MODEL BY SES'!$C$19:$R$242,MATCH('SeS in Retail Sales Areas'!I$7,'NEW MODEL BY SES'!$C$17:$R$17,0),0),"")</f>
        <v/>
      </c>
      <c r="J52" s="142" t="str">
        <f>IFERROR(VLOOKUP($C52,'NEW MODEL BY SES'!$C$19:$R$242,MATCH('SeS in Retail Sales Areas'!J$7,'NEW MODEL BY SES'!$C$17:$R$17,0),0),"")</f>
        <v/>
      </c>
      <c r="K52" s="140" t="str">
        <f>IFERROR(VLOOKUP($C52,'NEW MODEL BY SES'!$C$19:$R$242,MATCH('SeS in Retail Sales Areas'!K$7,'NEW MODEL BY SES'!$C$17:$R$17,0),0),"")</f>
        <v/>
      </c>
      <c r="L52" s="142" t="str">
        <f>IFERROR(VLOOKUP($C52,'NEW MODEL BY SES'!$C$19:$R$242,MATCH('SeS in Retail Sales Areas'!L$7,'NEW MODEL BY SES'!$C$17:$R$17,0),0),"")</f>
        <v/>
      </c>
      <c r="M52" s="140" t="str">
        <f>IFERROR(VLOOKUP($C52,'NEW MODEL BY SES'!$C$19:$R$242,MATCH('SeS in Retail Sales Areas'!M$7,'NEW MODEL BY SES'!$C$17:$R$17,0),0),"")</f>
        <v/>
      </c>
      <c r="N52" s="142" t="str">
        <f>IFERROR(VLOOKUP($C52,'NEW MODEL BY SES'!$C$19:$R$242,MATCH('SeS in Retail Sales Areas'!N$7,'NEW MODEL BY SES'!$C$17:$R$17,0),0),"")</f>
        <v/>
      </c>
      <c r="O52" s="140" t="str">
        <f>IFERROR(VLOOKUP($C52,'NEW MODEL BY SES'!$C$19:$R$242,MATCH('SeS in Retail Sales Areas'!O$7,'NEW MODEL BY SES'!$C$17:$R$17,0),0),"")</f>
        <v/>
      </c>
      <c r="P52" s="142" t="str">
        <f>IFERROR(VLOOKUP($C52,'NEW MODEL BY SES'!$C$19:$R$242,MATCH('SeS in Retail Sales Areas'!P$7,'NEW MODEL BY SES'!$C$17:$R$17,0),0),"")</f>
        <v/>
      </c>
      <c r="Q52" s="140" t="str">
        <f>IFERROR(VLOOKUP($C52,'NEW MODEL BY SES'!$C$19:$R$242,MATCH('SeS in Retail Sales Areas'!Q$7,'NEW MODEL BY SES'!$C$17:$R$17,0),0),"")</f>
        <v/>
      </c>
      <c r="R52" s="142" t="str">
        <f>IFERROR(VLOOKUP($C52,'NEW MODEL BY SES'!$C$19:$R$242,MATCH('SeS in Retail Sales Areas'!R$7,'NEW MODEL BY SES'!$C$17:$R$17,0),0),"")</f>
        <v/>
      </c>
      <c r="S52" s="141" t="str">
        <f>IFERROR(VLOOKUP($C52,'NEW MODEL BY SES'!$C$19:$R$242,MATCH('SeS in Retail Sales Areas'!S$7,'NEW MODEL BY SES'!$C$17:$R$17,0),0),"")</f>
        <v/>
      </c>
      <c r="T52" s="140" t="str">
        <f>IFERROR(VLOOKUP($C52,'NEW MODEL BY SES'!$C$19:$R$242,MATCH('SeS in Retail Sales Areas'!T$7,'NEW MODEL BY SES'!$C$17:$R$17,0),0),"")</f>
        <v/>
      </c>
      <c r="U52" s="142" t="str">
        <f>IFERROR(VLOOKUP($C52,'NEW MODEL BY SES'!$C$19:$R$242,MATCH('SeS in Retail Sales Areas'!U$7,'NEW MODEL BY SES'!$C$17:$R$17,0),0),"")</f>
        <v/>
      </c>
      <c r="V52" s="140" t="str">
        <f>IFERROR(VLOOKUP($C52,'NEW MODEL BY SES'!$C$19:$R$242,MATCH('SeS in Retail Sales Areas'!V$7,'NEW MODEL BY SES'!$C$17:$R$17,0),0),"")</f>
        <v/>
      </c>
      <c r="W52" s="141" t="str">
        <f>IFERROR(VLOOKUP($C52,'NEW MODEL BY SES'!$C$19:$R$242,MATCH('SeS in Retail Sales Areas'!W$7,'NEW MODEL BY SES'!$C$17:$R$17,0),0),"")</f>
        <v/>
      </c>
      <c r="X52" s="140" t="str">
        <f>IFERROR(VLOOKUP($C52,'NEW MODEL BY SES'!$C$19:$R$242,MATCH('SeS in Retail Sales Areas'!X$7,'NEW MODEL BY SES'!$C$17:$R$17,0),0),"")</f>
        <v/>
      </c>
      <c r="Z52" s="57"/>
    </row>
    <row r="53" spans="1:26">
      <c r="A53" t="s">
        <v>958</v>
      </c>
      <c r="B53" s="57">
        <v>62</v>
      </c>
      <c r="C53" t="s">
        <v>980</v>
      </c>
      <c r="D53" t="s">
        <v>44</v>
      </c>
      <c r="E53"/>
      <c r="F53" s="140" t="str">
        <f>IFERROR(VLOOKUP($C53,'NEW MODEL BY SES'!$C$19:$R$242,MATCH('SeS in Retail Sales Areas'!F$7,'NEW MODEL BY SES'!$C$17:$R$17,0),0),"")</f>
        <v/>
      </c>
      <c r="G53" s="140" t="str">
        <f>IFERROR(VLOOKUP($C53,'NEW MODEL BY SES'!$C$19:$R$242,MATCH('SeS in Retail Sales Areas'!G$7,'NEW MODEL BY SES'!$C$17:$R$17,0),0),"")</f>
        <v/>
      </c>
      <c r="H53" s="142" t="str">
        <f>IFERROR(VLOOKUP($C53,'NEW MODEL BY SES'!$C$19:$R$242,MATCH('SeS in Retail Sales Areas'!H$7,'NEW MODEL BY SES'!$C$17:$R$17,0),0),"")</f>
        <v/>
      </c>
      <c r="I53" s="140" t="str">
        <f>IFERROR(VLOOKUP($C53,'NEW MODEL BY SES'!$C$19:$R$242,MATCH('SeS in Retail Sales Areas'!I$7,'NEW MODEL BY SES'!$C$17:$R$17,0),0),"")</f>
        <v/>
      </c>
      <c r="J53" s="142" t="str">
        <f>IFERROR(VLOOKUP($C53,'NEW MODEL BY SES'!$C$19:$R$242,MATCH('SeS in Retail Sales Areas'!J$7,'NEW MODEL BY SES'!$C$17:$R$17,0),0),"")</f>
        <v/>
      </c>
      <c r="K53" s="140" t="str">
        <f>IFERROR(VLOOKUP($C53,'NEW MODEL BY SES'!$C$19:$R$242,MATCH('SeS in Retail Sales Areas'!K$7,'NEW MODEL BY SES'!$C$17:$R$17,0),0),"")</f>
        <v/>
      </c>
      <c r="L53" s="142" t="str">
        <f>IFERROR(VLOOKUP($C53,'NEW MODEL BY SES'!$C$19:$R$242,MATCH('SeS in Retail Sales Areas'!L$7,'NEW MODEL BY SES'!$C$17:$R$17,0),0),"")</f>
        <v/>
      </c>
      <c r="M53" s="140" t="str">
        <f>IFERROR(VLOOKUP($C53,'NEW MODEL BY SES'!$C$19:$R$242,MATCH('SeS in Retail Sales Areas'!M$7,'NEW MODEL BY SES'!$C$17:$R$17,0),0),"")</f>
        <v/>
      </c>
      <c r="N53" s="142" t="str">
        <f>IFERROR(VLOOKUP($C53,'NEW MODEL BY SES'!$C$19:$R$242,MATCH('SeS in Retail Sales Areas'!N$7,'NEW MODEL BY SES'!$C$17:$R$17,0),0),"")</f>
        <v/>
      </c>
      <c r="O53" s="140" t="str">
        <f>IFERROR(VLOOKUP($C53,'NEW MODEL BY SES'!$C$19:$R$242,MATCH('SeS in Retail Sales Areas'!O$7,'NEW MODEL BY SES'!$C$17:$R$17,0),0),"")</f>
        <v/>
      </c>
      <c r="P53" s="142" t="str">
        <f>IFERROR(VLOOKUP($C53,'NEW MODEL BY SES'!$C$19:$R$242,MATCH('SeS in Retail Sales Areas'!P$7,'NEW MODEL BY SES'!$C$17:$R$17,0),0),"")</f>
        <v/>
      </c>
      <c r="Q53" s="140" t="str">
        <f>IFERROR(VLOOKUP($C53,'NEW MODEL BY SES'!$C$19:$R$242,MATCH('SeS in Retail Sales Areas'!Q$7,'NEW MODEL BY SES'!$C$17:$R$17,0),0),"")</f>
        <v/>
      </c>
      <c r="R53" s="142" t="str">
        <f>IFERROR(VLOOKUP($C53,'NEW MODEL BY SES'!$C$19:$R$242,MATCH('SeS in Retail Sales Areas'!R$7,'NEW MODEL BY SES'!$C$17:$R$17,0),0),"")</f>
        <v/>
      </c>
      <c r="S53" s="141" t="str">
        <f>IFERROR(VLOOKUP($C53,'NEW MODEL BY SES'!$C$19:$R$242,MATCH('SeS in Retail Sales Areas'!S$7,'NEW MODEL BY SES'!$C$17:$R$17,0),0),"")</f>
        <v/>
      </c>
      <c r="T53" s="140" t="str">
        <f>IFERROR(VLOOKUP($C53,'NEW MODEL BY SES'!$C$19:$R$242,MATCH('SeS in Retail Sales Areas'!T$7,'NEW MODEL BY SES'!$C$17:$R$17,0),0),"")</f>
        <v/>
      </c>
      <c r="U53" s="142" t="str">
        <f>IFERROR(VLOOKUP($C53,'NEW MODEL BY SES'!$C$19:$R$242,MATCH('SeS in Retail Sales Areas'!U$7,'NEW MODEL BY SES'!$C$17:$R$17,0),0),"")</f>
        <v/>
      </c>
      <c r="V53" s="140" t="str">
        <f>IFERROR(VLOOKUP($C53,'NEW MODEL BY SES'!$C$19:$R$242,MATCH('SeS in Retail Sales Areas'!V$7,'NEW MODEL BY SES'!$C$17:$R$17,0),0),"")</f>
        <v/>
      </c>
      <c r="W53" s="141" t="str">
        <f>IFERROR(VLOOKUP($C53,'NEW MODEL BY SES'!$C$19:$R$242,MATCH('SeS in Retail Sales Areas'!W$7,'NEW MODEL BY SES'!$C$17:$R$17,0),0),"")</f>
        <v/>
      </c>
      <c r="X53" s="140" t="str">
        <f>IFERROR(VLOOKUP($C53,'NEW MODEL BY SES'!$C$19:$R$242,MATCH('SeS in Retail Sales Areas'!X$7,'NEW MODEL BY SES'!$C$17:$R$17,0),0),"")</f>
        <v/>
      </c>
      <c r="Z53" s="57"/>
    </row>
    <row r="54" spans="1:26">
      <c r="A54" t="s">
        <v>958</v>
      </c>
      <c r="B54" s="57">
        <v>62</v>
      </c>
      <c r="C54" t="s">
        <v>981</v>
      </c>
      <c r="D54" t="s">
        <v>44</v>
      </c>
      <c r="E54"/>
      <c r="F54" s="140" t="str">
        <f>IFERROR(VLOOKUP($C54,'NEW MODEL BY SES'!$C$19:$R$242,MATCH('SeS in Retail Sales Areas'!F$7,'NEW MODEL BY SES'!$C$17:$R$17,0),0),"")</f>
        <v/>
      </c>
      <c r="G54" s="140" t="str">
        <f>IFERROR(VLOOKUP($C54,'NEW MODEL BY SES'!$C$19:$R$242,MATCH('SeS in Retail Sales Areas'!G$7,'NEW MODEL BY SES'!$C$17:$R$17,0),0),"")</f>
        <v/>
      </c>
      <c r="H54" s="142" t="str">
        <f>IFERROR(VLOOKUP($C54,'NEW MODEL BY SES'!$C$19:$R$242,MATCH('SeS in Retail Sales Areas'!H$7,'NEW MODEL BY SES'!$C$17:$R$17,0),0),"")</f>
        <v/>
      </c>
      <c r="I54" s="140" t="str">
        <f>IFERROR(VLOOKUP($C54,'NEW MODEL BY SES'!$C$19:$R$242,MATCH('SeS in Retail Sales Areas'!I$7,'NEW MODEL BY SES'!$C$17:$R$17,0),0),"")</f>
        <v/>
      </c>
      <c r="J54" s="142" t="str">
        <f>IFERROR(VLOOKUP($C54,'NEW MODEL BY SES'!$C$19:$R$242,MATCH('SeS in Retail Sales Areas'!J$7,'NEW MODEL BY SES'!$C$17:$R$17,0),0),"")</f>
        <v/>
      </c>
      <c r="K54" s="140" t="str">
        <f>IFERROR(VLOOKUP($C54,'NEW MODEL BY SES'!$C$19:$R$242,MATCH('SeS in Retail Sales Areas'!K$7,'NEW MODEL BY SES'!$C$17:$R$17,0),0),"")</f>
        <v/>
      </c>
      <c r="L54" s="142" t="str">
        <f>IFERROR(VLOOKUP($C54,'NEW MODEL BY SES'!$C$19:$R$242,MATCH('SeS in Retail Sales Areas'!L$7,'NEW MODEL BY SES'!$C$17:$R$17,0),0),"")</f>
        <v/>
      </c>
      <c r="M54" s="140" t="str">
        <f>IFERROR(VLOOKUP($C54,'NEW MODEL BY SES'!$C$19:$R$242,MATCH('SeS in Retail Sales Areas'!M$7,'NEW MODEL BY SES'!$C$17:$R$17,0),0),"")</f>
        <v/>
      </c>
      <c r="N54" s="142" t="str">
        <f>IFERROR(VLOOKUP($C54,'NEW MODEL BY SES'!$C$19:$R$242,MATCH('SeS in Retail Sales Areas'!N$7,'NEW MODEL BY SES'!$C$17:$R$17,0),0),"")</f>
        <v/>
      </c>
      <c r="O54" s="140" t="str">
        <f>IFERROR(VLOOKUP($C54,'NEW MODEL BY SES'!$C$19:$R$242,MATCH('SeS in Retail Sales Areas'!O$7,'NEW MODEL BY SES'!$C$17:$R$17,0),0),"")</f>
        <v/>
      </c>
      <c r="P54" s="142" t="str">
        <f>IFERROR(VLOOKUP($C54,'NEW MODEL BY SES'!$C$19:$R$242,MATCH('SeS in Retail Sales Areas'!P$7,'NEW MODEL BY SES'!$C$17:$R$17,0),0),"")</f>
        <v/>
      </c>
      <c r="Q54" s="140" t="str">
        <f>IFERROR(VLOOKUP($C54,'NEW MODEL BY SES'!$C$19:$R$242,MATCH('SeS in Retail Sales Areas'!Q$7,'NEW MODEL BY SES'!$C$17:$R$17,0),0),"")</f>
        <v/>
      </c>
      <c r="R54" s="142" t="str">
        <f>IFERROR(VLOOKUP($C54,'NEW MODEL BY SES'!$C$19:$R$242,MATCH('SeS in Retail Sales Areas'!R$7,'NEW MODEL BY SES'!$C$17:$R$17,0),0),"")</f>
        <v/>
      </c>
      <c r="S54" s="141" t="str">
        <f>IFERROR(VLOOKUP($C54,'NEW MODEL BY SES'!$C$19:$R$242,MATCH('SeS in Retail Sales Areas'!S$7,'NEW MODEL BY SES'!$C$17:$R$17,0),0),"")</f>
        <v/>
      </c>
      <c r="T54" s="140" t="str">
        <f>IFERROR(VLOOKUP($C54,'NEW MODEL BY SES'!$C$19:$R$242,MATCH('SeS in Retail Sales Areas'!T$7,'NEW MODEL BY SES'!$C$17:$R$17,0),0),"")</f>
        <v/>
      </c>
      <c r="U54" s="142" t="str">
        <f>IFERROR(VLOOKUP($C54,'NEW MODEL BY SES'!$C$19:$R$242,MATCH('SeS in Retail Sales Areas'!U$7,'NEW MODEL BY SES'!$C$17:$R$17,0),0),"")</f>
        <v/>
      </c>
      <c r="V54" s="140" t="str">
        <f>IFERROR(VLOOKUP($C54,'NEW MODEL BY SES'!$C$19:$R$242,MATCH('SeS in Retail Sales Areas'!V$7,'NEW MODEL BY SES'!$C$17:$R$17,0),0),"")</f>
        <v/>
      </c>
      <c r="W54" s="141" t="str">
        <f>IFERROR(VLOOKUP($C54,'NEW MODEL BY SES'!$C$19:$R$242,MATCH('SeS in Retail Sales Areas'!W$7,'NEW MODEL BY SES'!$C$17:$R$17,0),0),"")</f>
        <v/>
      </c>
      <c r="X54" s="140" t="str">
        <f>IFERROR(VLOOKUP($C54,'NEW MODEL BY SES'!$C$19:$R$242,MATCH('SeS in Retail Sales Areas'!X$7,'NEW MODEL BY SES'!$C$17:$R$17,0),0),"")</f>
        <v/>
      </c>
      <c r="Z54" s="57"/>
    </row>
    <row r="55" spans="1:26">
      <c r="A55" t="s">
        <v>958</v>
      </c>
      <c r="B55" s="57">
        <v>62</v>
      </c>
      <c r="C55" t="s">
        <v>982</v>
      </c>
      <c r="D55" t="s">
        <v>44</v>
      </c>
      <c r="E55"/>
      <c r="F55" s="140" t="str">
        <f>IFERROR(VLOOKUP($C55,'NEW MODEL BY SES'!$C$19:$R$242,MATCH('SeS in Retail Sales Areas'!F$7,'NEW MODEL BY SES'!$C$17:$R$17,0),0),"")</f>
        <v/>
      </c>
      <c r="G55" s="140" t="str">
        <f>IFERROR(VLOOKUP($C55,'NEW MODEL BY SES'!$C$19:$R$242,MATCH('SeS in Retail Sales Areas'!G$7,'NEW MODEL BY SES'!$C$17:$R$17,0),0),"")</f>
        <v/>
      </c>
      <c r="H55" s="142" t="str">
        <f>IFERROR(VLOOKUP($C55,'NEW MODEL BY SES'!$C$19:$R$242,MATCH('SeS in Retail Sales Areas'!H$7,'NEW MODEL BY SES'!$C$17:$R$17,0),0),"")</f>
        <v/>
      </c>
      <c r="I55" s="140" t="str">
        <f>IFERROR(VLOOKUP($C55,'NEW MODEL BY SES'!$C$19:$R$242,MATCH('SeS in Retail Sales Areas'!I$7,'NEW MODEL BY SES'!$C$17:$R$17,0),0),"")</f>
        <v/>
      </c>
      <c r="J55" s="142" t="str">
        <f>IFERROR(VLOOKUP($C55,'NEW MODEL BY SES'!$C$19:$R$242,MATCH('SeS in Retail Sales Areas'!J$7,'NEW MODEL BY SES'!$C$17:$R$17,0),0),"")</f>
        <v/>
      </c>
      <c r="K55" s="140" t="str">
        <f>IFERROR(VLOOKUP($C55,'NEW MODEL BY SES'!$C$19:$R$242,MATCH('SeS in Retail Sales Areas'!K$7,'NEW MODEL BY SES'!$C$17:$R$17,0),0),"")</f>
        <v/>
      </c>
      <c r="L55" s="142" t="str">
        <f>IFERROR(VLOOKUP($C55,'NEW MODEL BY SES'!$C$19:$R$242,MATCH('SeS in Retail Sales Areas'!L$7,'NEW MODEL BY SES'!$C$17:$R$17,0),0),"")</f>
        <v/>
      </c>
      <c r="M55" s="140" t="str">
        <f>IFERROR(VLOOKUP($C55,'NEW MODEL BY SES'!$C$19:$R$242,MATCH('SeS in Retail Sales Areas'!M$7,'NEW MODEL BY SES'!$C$17:$R$17,0),0),"")</f>
        <v/>
      </c>
      <c r="N55" s="142" t="str">
        <f>IFERROR(VLOOKUP($C55,'NEW MODEL BY SES'!$C$19:$R$242,MATCH('SeS in Retail Sales Areas'!N$7,'NEW MODEL BY SES'!$C$17:$R$17,0),0),"")</f>
        <v/>
      </c>
      <c r="O55" s="140" t="str">
        <f>IFERROR(VLOOKUP($C55,'NEW MODEL BY SES'!$C$19:$R$242,MATCH('SeS in Retail Sales Areas'!O$7,'NEW MODEL BY SES'!$C$17:$R$17,0),0),"")</f>
        <v/>
      </c>
      <c r="P55" s="142" t="str">
        <f>IFERROR(VLOOKUP($C55,'NEW MODEL BY SES'!$C$19:$R$242,MATCH('SeS in Retail Sales Areas'!P$7,'NEW MODEL BY SES'!$C$17:$R$17,0),0),"")</f>
        <v/>
      </c>
      <c r="Q55" s="140" t="str">
        <f>IFERROR(VLOOKUP($C55,'NEW MODEL BY SES'!$C$19:$R$242,MATCH('SeS in Retail Sales Areas'!Q$7,'NEW MODEL BY SES'!$C$17:$R$17,0),0),"")</f>
        <v/>
      </c>
      <c r="R55" s="142" t="str">
        <f>IFERROR(VLOOKUP($C55,'NEW MODEL BY SES'!$C$19:$R$242,MATCH('SeS in Retail Sales Areas'!R$7,'NEW MODEL BY SES'!$C$17:$R$17,0),0),"")</f>
        <v/>
      </c>
      <c r="S55" s="141" t="str">
        <f>IFERROR(VLOOKUP($C55,'NEW MODEL BY SES'!$C$19:$R$242,MATCH('SeS in Retail Sales Areas'!S$7,'NEW MODEL BY SES'!$C$17:$R$17,0),0),"")</f>
        <v/>
      </c>
      <c r="T55" s="140" t="str">
        <f>IFERROR(VLOOKUP($C55,'NEW MODEL BY SES'!$C$19:$R$242,MATCH('SeS in Retail Sales Areas'!T$7,'NEW MODEL BY SES'!$C$17:$R$17,0),0),"")</f>
        <v/>
      </c>
      <c r="U55" s="142" t="str">
        <f>IFERROR(VLOOKUP($C55,'NEW MODEL BY SES'!$C$19:$R$242,MATCH('SeS in Retail Sales Areas'!U$7,'NEW MODEL BY SES'!$C$17:$R$17,0),0),"")</f>
        <v/>
      </c>
      <c r="V55" s="140" t="str">
        <f>IFERROR(VLOOKUP($C55,'NEW MODEL BY SES'!$C$19:$R$242,MATCH('SeS in Retail Sales Areas'!V$7,'NEW MODEL BY SES'!$C$17:$R$17,0),0),"")</f>
        <v/>
      </c>
      <c r="W55" s="141" t="str">
        <f>IFERROR(VLOOKUP($C55,'NEW MODEL BY SES'!$C$19:$R$242,MATCH('SeS in Retail Sales Areas'!W$7,'NEW MODEL BY SES'!$C$17:$R$17,0),0),"")</f>
        <v/>
      </c>
      <c r="X55" s="140" t="str">
        <f>IFERROR(VLOOKUP($C55,'NEW MODEL BY SES'!$C$19:$R$242,MATCH('SeS in Retail Sales Areas'!X$7,'NEW MODEL BY SES'!$C$17:$R$17,0),0),"")</f>
        <v/>
      </c>
      <c r="Z55" s="57"/>
    </row>
    <row r="56" spans="1:26">
      <c r="A56" t="s">
        <v>958</v>
      </c>
      <c r="B56" s="57">
        <v>62</v>
      </c>
      <c r="C56" t="s">
        <v>983</v>
      </c>
      <c r="D56" t="s">
        <v>44</v>
      </c>
      <c r="E56"/>
      <c r="F56" s="140" t="str">
        <f>IFERROR(VLOOKUP($C56,'NEW MODEL BY SES'!$C$19:$R$242,MATCH('SeS in Retail Sales Areas'!F$7,'NEW MODEL BY SES'!$C$17:$R$17,0),0),"")</f>
        <v/>
      </c>
      <c r="G56" s="140" t="str">
        <f>IFERROR(VLOOKUP($C56,'NEW MODEL BY SES'!$C$19:$R$242,MATCH('SeS in Retail Sales Areas'!G$7,'NEW MODEL BY SES'!$C$17:$R$17,0),0),"")</f>
        <v/>
      </c>
      <c r="H56" s="142" t="str">
        <f>IFERROR(VLOOKUP($C56,'NEW MODEL BY SES'!$C$19:$R$242,MATCH('SeS in Retail Sales Areas'!H$7,'NEW MODEL BY SES'!$C$17:$R$17,0),0),"")</f>
        <v/>
      </c>
      <c r="I56" s="140" t="str">
        <f>IFERROR(VLOOKUP($C56,'NEW MODEL BY SES'!$C$19:$R$242,MATCH('SeS in Retail Sales Areas'!I$7,'NEW MODEL BY SES'!$C$17:$R$17,0),0),"")</f>
        <v/>
      </c>
      <c r="J56" s="142" t="str">
        <f>IFERROR(VLOOKUP($C56,'NEW MODEL BY SES'!$C$19:$R$242,MATCH('SeS in Retail Sales Areas'!J$7,'NEW MODEL BY SES'!$C$17:$R$17,0),0),"")</f>
        <v/>
      </c>
      <c r="K56" s="140" t="str">
        <f>IFERROR(VLOOKUP($C56,'NEW MODEL BY SES'!$C$19:$R$242,MATCH('SeS in Retail Sales Areas'!K$7,'NEW MODEL BY SES'!$C$17:$R$17,0),0),"")</f>
        <v/>
      </c>
      <c r="L56" s="142" t="str">
        <f>IFERROR(VLOOKUP($C56,'NEW MODEL BY SES'!$C$19:$R$242,MATCH('SeS in Retail Sales Areas'!L$7,'NEW MODEL BY SES'!$C$17:$R$17,0),0),"")</f>
        <v/>
      </c>
      <c r="M56" s="140" t="str">
        <f>IFERROR(VLOOKUP($C56,'NEW MODEL BY SES'!$C$19:$R$242,MATCH('SeS in Retail Sales Areas'!M$7,'NEW MODEL BY SES'!$C$17:$R$17,0),0),"")</f>
        <v/>
      </c>
      <c r="N56" s="142" t="str">
        <f>IFERROR(VLOOKUP($C56,'NEW MODEL BY SES'!$C$19:$R$242,MATCH('SeS in Retail Sales Areas'!N$7,'NEW MODEL BY SES'!$C$17:$R$17,0),0),"")</f>
        <v/>
      </c>
      <c r="O56" s="140" t="str">
        <f>IFERROR(VLOOKUP($C56,'NEW MODEL BY SES'!$C$19:$R$242,MATCH('SeS in Retail Sales Areas'!O$7,'NEW MODEL BY SES'!$C$17:$R$17,0),0),"")</f>
        <v/>
      </c>
      <c r="P56" s="142" t="str">
        <f>IFERROR(VLOOKUP($C56,'NEW MODEL BY SES'!$C$19:$R$242,MATCH('SeS in Retail Sales Areas'!P$7,'NEW MODEL BY SES'!$C$17:$R$17,0),0),"")</f>
        <v/>
      </c>
      <c r="Q56" s="140" t="str">
        <f>IFERROR(VLOOKUP($C56,'NEW MODEL BY SES'!$C$19:$R$242,MATCH('SeS in Retail Sales Areas'!Q$7,'NEW MODEL BY SES'!$C$17:$R$17,0),0),"")</f>
        <v/>
      </c>
      <c r="R56" s="142" t="str">
        <f>IFERROR(VLOOKUP($C56,'NEW MODEL BY SES'!$C$19:$R$242,MATCH('SeS in Retail Sales Areas'!R$7,'NEW MODEL BY SES'!$C$17:$R$17,0),0),"")</f>
        <v/>
      </c>
      <c r="S56" s="141" t="str">
        <f>IFERROR(VLOOKUP($C56,'NEW MODEL BY SES'!$C$19:$R$242,MATCH('SeS in Retail Sales Areas'!S$7,'NEW MODEL BY SES'!$C$17:$R$17,0),0),"")</f>
        <v/>
      </c>
      <c r="T56" s="140" t="str">
        <f>IFERROR(VLOOKUP($C56,'NEW MODEL BY SES'!$C$19:$R$242,MATCH('SeS in Retail Sales Areas'!T$7,'NEW MODEL BY SES'!$C$17:$R$17,0),0),"")</f>
        <v/>
      </c>
      <c r="U56" s="142" t="str">
        <f>IFERROR(VLOOKUP($C56,'NEW MODEL BY SES'!$C$19:$R$242,MATCH('SeS in Retail Sales Areas'!U$7,'NEW MODEL BY SES'!$C$17:$R$17,0),0),"")</f>
        <v/>
      </c>
      <c r="V56" s="140" t="str">
        <f>IFERROR(VLOOKUP($C56,'NEW MODEL BY SES'!$C$19:$R$242,MATCH('SeS in Retail Sales Areas'!V$7,'NEW MODEL BY SES'!$C$17:$R$17,0),0),"")</f>
        <v/>
      </c>
      <c r="W56" s="141" t="str">
        <f>IFERROR(VLOOKUP($C56,'NEW MODEL BY SES'!$C$19:$R$242,MATCH('SeS in Retail Sales Areas'!W$7,'NEW MODEL BY SES'!$C$17:$R$17,0),0),"")</f>
        <v/>
      </c>
      <c r="X56" s="140" t="str">
        <f>IFERROR(VLOOKUP($C56,'NEW MODEL BY SES'!$C$19:$R$242,MATCH('SeS in Retail Sales Areas'!X$7,'NEW MODEL BY SES'!$C$17:$R$17,0),0),"")</f>
        <v/>
      </c>
      <c r="Z56" s="57"/>
    </row>
    <row r="57" spans="1:26">
      <c r="A57" t="s">
        <v>984</v>
      </c>
      <c r="B57" s="57">
        <v>195</v>
      </c>
      <c r="C57" t="s">
        <v>985</v>
      </c>
      <c r="D57" t="s">
        <v>33</v>
      </c>
      <c r="E57"/>
      <c r="F57" s="140" t="str">
        <f>IFERROR(VLOOKUP($C57,'NEW MODEL BY SES'!$C$19:$R$242,MATCH('SeS in Retail Sales Areas'!F$7,'NEW MODEL BY SES'!$C$17:$R$17,0),0),"")</f>
        <v/>
      </c>
      <c r="G57" s="140" t="str">
        <f>IFERROR(VLOOKUP($C57,'NEW MODEL BY SES'!$C$19:$R$242,MATCH('SeS in Retail Sales Areas'!G$7,'NEW MODEL BY SES'!$C$17:$R$17,0),0),"")</f>
        <v/>
      </c>
      <c r="H57" s="142" t="str">
        <f>IFERROR(VLOOKUP($C57,'NEW MODEL BY SES'!$C$19:$R$242,MATCH('SeS in Retail Sales Areas'!H$7,'NEW MODEL BY SES'!$C$17:$R$17,0),0),"")</f>
        <v/>
      </c>
      <c r="I57" s="140" t="str">
        <f>IFERROR(VLOOKUP($C57,'NEW MODEL BY SES'!$C$19:$R$242,MATCH('SeS in Retail Sales Areas'!I$7,'NEW MODEL BY SES'!$C$17:$R$17,0),0),"")</f>
        <v/>
      </c>
      <c r="J57" s="142" t="str">
        <f>IFERROR(VLOOKUP($C57,'NEW MODEL BY SES'!$C$19:$R$242,MATCH('SeS in Retail Sales Areas'!J$7,'NEW MODEL BY SES'!$C$17:$R$17,0),0),"")</f>
        <v/>
      </c>
      <c r="K57" s="140" t="str">
        <f>IFERROR(VLOOKUP($C57,'NEW MODEL BY SES'!$C$19:$R$242,MATCH('SeS in Retail Sales Areas'!K$7,'NEW MODEL BY SES'!$C$17:$R$17,0),0),"")</f>
        <v/>
      </c>
      <c r="L57" s="142" t="str">
        <f>IFERROR(VLOOKUP($C57,'NEW MODEL BY SES'!$C$19:$R$242,MATCH('SeS in Retail Sales Areas'!L$7,'NEW MODEL BY SES'!$C$17:$R$17,0),0),"")</f>
        <v/>
      </c>
      <c r="M57" s="140" t="str">
        <f>IFERROR(VLOOKUP($C57,'NEW MODEL BY SES'!$C$19:$R$242,MATCH('SeS in Retail Sales Areas'!M$7,'NEW MODEL BY SES'!$C$17:$R$17,0),0),"")</f>
        <v/>
      </c>
      <c r="N57" s="142" t="str">
        <f>IFERROR(VLOOKUP($C57,'NEW MODEL BY SES'!$C$19:$R$242,MATCH('SeS in Retail Sales Areas'!N$7,'NEW MODEL BY SES'!$C$17:$R$17,0),0),"")</f>
        <v/>
      </c>
      <c r="O57" s="140" t="str">
        <f>IFERROR(VLOOKUP($C57,'NEW MODEL BY SES'!$C$19:$R$242,MATCH('SeS in Retail Sales Areas'!O$7,'NEW MODEL BY SES'!$C$17:$R$17,0),0),"")</f>
        <v/>
      </c>
      <c r="P57" s="142" t="str">
        <f>IFERROR(VLOOKUP($C57,'NEW MODEL BY SES'!$C$19:$R$242,MATCH('SeS in Retail Sales Areas'!P$7,'NEW MODEL BY SES'!$C$17:$R$17,0),0),"")</f>
        <v/>
      </c>
      <c r="Q57" s="140" t="str">
        <f>IFERROR(VLOOKUP($C57,'NEW MODEL BY SES'!$C$19:$R$242,MATCH('SeS in Retail Sales Areas'!Q$7,'NEW MODEL BY SES'!$C$17:$R$17,0),0),"")</f>
        <v/>
      </c>
      <c r="R57" s="142" t="str">
        <f>IFERROR(VLOOKUP($C57,'NEW MODEL BY SES'!$C$19:$R$242,MATCH('SeS in Retail Sales Areas'!R$7,'NEW MODEL BY SES'!$C$17:$R$17,0),0),"")</f>
        <v/>
      </c>
      <c r="S57" s="141" t="str">
        <f>IFERROR(VLOOKUP($C57,'NEW MODEL BY SES'!$C$19:$R$242,MATCH('SeS in Retail Sales Areas'!S$7,'NEW MODEL BY SES'!$C$17:$R$17,0),0),"")</f>
        <v/>
      </c>
      <c r="T57" s="140" t="str">
        <f>IFERROR(VLOOKUP($C57,'NEW MODEL BY SES'!$C$19:$R$242,MATCH('SeS in Retail Sales Areas'!T$7,'NEW MODEL BY SES'!$C$17:$R$17,0),0),"")</f>
        <v/>
      </c>
      <c r="U57" s="142" t="str">
        <f>IFERROR(VLOOKUP($C57,'NEW MODEL BY SES'!$C$19:$R$242,MATCH('SeS in Retail Sales Areas'!U$7,'NEW MODEL BY SES'!$C$17:$R$17,0),0),"")</f>
        <v/>
      </c>
      <c r="V57" s="140" t="str">
        <f>IFERROR(VLOOKUP($C57,'NEW MODEL BY SES'!$C$19:$R$242,MATCH('SeS in Retail Sales Areas'!V$7,'NEW MODEL BY SES'!$C$17:$R$17,0),0),"")</f>
        <v/>
      </c>
      <c r="W57" s="141" t="str">
        <f>IFERROR(VLOOKUP($C57,'NEW MODEL BY SES'!$C$19:$R$242,MATCH('SeS in Retail Sales Areas'!W$7,'NEW MODEL BY SES'!$C$17:$R$17,0),0),"")</f>
        <v/>
      </c>
      <c r="X57" s="140" t="str">
        <f>IFERROR(VLOOKUP($C57,'NEW MODEL BY SES'!$C$19:$R$242,MATCH('SeS in Retail Sales Areas'!X$7,'NEW MODEL BY SES'!$C$17:$R$17,0),0),"")</f>
        <v/>
      </c>
      <c r="Z57" s="57"/>
    </row>
    <row r="58" spans="1:26">
      <c r="A58" t="s">
        <v>984</v>
      </c>
      <c r="B58" s="57">
        <v>194</v>
      </c>
      <c r="C58" t="s">
        <v>986</v>
      </c>
      <c r="D58" t="s">
        <v>33</v>
      </c>
      <c r="E58"/>
      <c r="F58" s="140" t="str">
        <f>IFERROR(VLOOKUP($C58,'NEW MODEL BY SES'!$C$19:$R$242,MATCH('SeS in Retail Sales Areas'!F$7,'NEW MODEL BY SES'!$C$17:$R$17,0),0),"")</f>
        <v/>
      </c>
      <c r="G58" s="140" t="str">
        <f>IFERROR(VLOOKUP($C58,'NEW MODEL BY SES'!$C$19:$R$242,MATCH('SeS in Retail Sales Areas'!G$7,'NEW MODEL BY SES'!$C$17:$R$17,0),0),"")</f>
        <v/>
      </c>
      <c r="H58" s="142" t="str">
        <f>IFERROR(VLOOKUP($C58,'NEW MODEL BY SES'!$C$19:$R$242,MATCH('SeS in Retail Sales Areas'!H$7,'NEW MODEL BY SES'!$C$17:$R$17,0),0),"")</f>
        <v/>
      </c>
      <c r="I58" s="140" t="str">
        <f>IFERROR(VLOOKUP($C58,'NEW MODEL BY SES'!$C$19:$R$242,MATCH('SeS in Retail Sales Areas'!I$7,'NEW MODEL BY SES'!$C$17:$R$17,0),0),"")</f>
        <v/>
      </c>
      <c r="J58" s="142" t="str">
        <f>IFERROR(VLOOKUP($C58,'NEW MODEL BY SES'!$C$19:$R$242,MATCH('SeS in Retail Sales Areas'!J$7,'NEW MODEL BY SES'!$C$17:$R$17,0),0),"")</f>
        <v/>
      </c>
      <c r="K58" s="140" t="str">
        <f>IFERROR(VLOOKUP($C58,'NEW MODEL BY SES'!$C$19:$R$242,MATCH('SeS in Retail Sales Areas'!K$7,'NEW MODEL BY SES'!$C$17:$R$17,0),0),"")</f>
        <v/>
      </c>
      <c r="L58" s="142" t="str">
        <f>IFERROR(VLOOKUP($C58,'NEW MODEL BY SES'!$C$19:$R$242,MATCH('SeS in Retail Sales Areas'!L$7,'NEW MODEL BY SES'!$C$17:$R$17,0),0),"")</f>
        <v/>
      </c>
      <c r="M58" s="140" t="str">
        <f>IFERROR(VLOOKUP($C58,'NEW MODEL BY SES'!$C$19:$R$242,MATCH('SeS in Retail Sales Areas'!M$7,'NEW MODEL BY SES'!$C$17:$R$17,0),0),"")</f>
        <v/>
      </c>
      <c r="N58" s="142" t="str">
        <f>IFERROR(VLOOKUP($C58,'NEW MODEL BY SES'!$C$19:$R$242,MATCH('SeS in Retail Sales Areas'!N$7,'NEW MODEL BY SES'!$C$17:$R$17,0),0),"")</f>
        <v/>
      </c>
      <c r="O58" s="140" t="str">
        <f>IFERROR(VLOOKUP($C58,'NEW MODEL BY SES'!$C$19:$R$242,MATCH('SeS in Retail Sales Areas'!O$7,'NEW MODEL BY SES'!$C$17:$R$17,0),0),"")</f>
        <v/>
      </c>
      <c r="P58" s="142" t="str">
        <f>IFERROR(VLOOKUP($C58,'NEW MODEL BY SES'!$C$19:$R$242,MATCH('SeS in Retail Sales Areas'!P$7,'NEW MODEL BY SES'!$C$17:$R$17,0),0),"")</f>
        <v/>
      </c>
      <c r="Q58" s="140" t="str">
        <f>IFERROR(VLOOKUP($C58,'NEW MODEL BY SES'!$C$19:$R$242,MATCH('SeS in Retail Sales Areas'!Q$7,'NEW MODEL BY SES'!$C$17:$R$17,0),0),"")</f>
        <v/>
      </c>
      <c r="R58" s="142" t="str">
        <f>IFERROR(VLOOKUP($C58,'NEW MODEL BY SES'!$C$19:$R$242,MATCH('SeS in Retail Sales Areas'!R$7,'NEW MODEL BY SES'!$C$17:$R$17,0),0),"")</f>
        <v/>
      </c>
      <c r="S58" s="141" t="str">
        <f>IFERROR(VLOOKUP($C58,'NEW MODEL BY SES'!$C$19:$R$242,MATCH('SeS in Retail Sales Areas'!S$7,'NEW MODEL BY SES'!$C$17:$R$17,0),0),"")</f>
        <v/>
      </c>
      <c r="T58" s="140" t="str">
        <f>IFERROR(VLOOKUP($C58,'NEW MODEL BY SES'!$C$19:$R$242,MATCH('SeS in Retail Sales Areas'!T$7,'NEW MODEL BY SES'!$C$17:$R$17,0),0),"")</f>
        <v/>
      </c>
      <c r="U58" s="142" t="str">
        <f>IFERROR(VLOOKUP($C58,'NEW MODEL BY SES'!$C$19:$R$242,MATCH('SeS in Retail Sales Areas'!U$7,'NEW MODEL BY SES'!$C$17:$R$17,0),0),"")</f>
        <v/>
      </c>
      <c r="V58" s="140" t="str">
        <f>IFERROR(VLOOKUP($C58,'NEW MODEL BY SES'!$C$19:$R$242,MATCH('SeS in Retail Sales Areas'!V$7,'NEW MODEL BY SES'!$C$17:$R$17,0),0),"")</f>
        <v/>
      </c>
      <c r="W58" s="141" t="str">
        <f>IFERROR(VLOOKUP($C58,'NEW MODEL BY SES'!$C$19:$R$242,MATCH('SeS in Retail Sales Areas'!W$7,'NEW MODEL BY SES'!$C$17:$R$17,0),0),"")</f>
        <v/>
      </c>
      <c r="X58" s="140" t="str">
        <f>IFERROR(VLOOKUP($C58,'NEW MODEL BY SES'!$C$19:$R$242,MATCH('SeS in Retail Sales Areas'!X$7,'NEW MODEL BY SES'!$C$17:$R$17,0),0),"")</f>
        <v/>
      </c>
      <c r="Z58" s="57"/>
    </row>
    <row r="59" spans="1:26">
      <c r="A59" t="s">
        <v>984</v>
      </c>
      <c r="B59" s="57">
        <v>189</v>
      </c>
      <c r="C59" t="s">
        <v>987</v>
      </c>
      <c r="D59" t="s">
        <v>33</v>
      </c>
      <c r="E59"/>
      <c r="F59" s="140" t="str">
        <f>IFERROR(VLOOKUP($C59,'NEW MODEL BY SES'!$C$19:$R$242,MATCH('SeS in Retail Sales Areas'!F$7,'NEW MODEL BY SES'!$C$17:$R$17,0),0),"")</f>
        <v/>
      </c>
      <c r="G59" s="140" t="str">
        <f>IFERROR(VLOOKUP($C59,'NEW MODEL BY SES'!$C$19:$R$242,MATCH('SeS in Retail Sales Areas'!G$7,'NEW MODEL BY SES'!$C$17:$R$17,0),0),"")</f>
        <v/>
      </c>
      <c r="H59" s="142" t="str">
        <f>IFERROR(VLOOKUP($C59,'NEW MODEL BY SES'!$C$19:$R$242,MATCH('SeS in Retail Sales Areas'!H$7,'NEW MODEL BY SES'!$C$17:$R$17,0),0),"")</f>
        <v/>
      </c>
      <c r="I59" s="140" t="str">
        <f>IFERROR(VLOOKUP($C59,'NEW MODEL BY SES'!$C$19:$R$242,MATCH('SeS in Retail Sales Areas'!I$7,'NEW MODEL BY SES'!$C$17:$R$17,0),0),"")</f>
        <v/>
      </c>
      <c r="J59" s="142" t="str">
        <f>IFERROR(VLOOKUP($C59,'NEW MODEL BY SES'!$C$19:$R$242,MATCH('SeS in Retail Sales Areas'!J$7,'NEW MODEL BY SES'!$C$17:$R$17,0),0),"")</f>
        <v/>
      </c>
      <c r="K59" s="140" t="str">
        <f>IFERROR(VLOOKUP($C59,'NEW MODEL BY SES'!$C$19:$R$242,MATCH('SeS in Retail Sales Areas'!K$7,'NEW MODEL BY SES'!$C$17:$R$17,0),0),"")</f>
        <v/>
      </c>
      <c r="L59" s="142" t="str">
        <f>IFERROR(VLOOKUP($C59,'NEW MODEL BY SES'!$C$19:$R$242,MATCH('SeS in Retail Sales Areas'!L$7,'NEW MODEL BY SES'!$C$17:$R$17,0),0),"")</f>
        <v/>
      </c>
      <c r="M59" s="140" t="str">
        <f>IFERROR(VLOOKUP($C59,'NEW MODEL BY SES'!$C$19:$R$242,MATCH('SeS in Retail Sales Areas'!M$7,'NEW MODEL BY SES'!$C$17:$R$17,0),0),"")</f>
        <v/>
      </c>
      <c r="N59" s="142" t="str">
        <f>IFERROR(VLOOKUP($C59,'NEW MODEL BY SES'!$C$19:$R$242,MATCH('SeS in Retail Sales Areas'!N$7,'NEW MODEL BY SES'!$C$17:$R$17,0),0),"")</f>
        <v/>
      </c>
      <c r="O59" s="140" t="str">
        <f>IFERROR(VLOOKUP($C59,'NEW MODEL BY SES'!$C$19:$R$242,MATCH('SeS in Retail Sales Areas'!O$7,'NEW MODEL BY SES'!$C$17:$R$17,0),0),"")</f>
        <v/>
      </c>
      <c r="P59" s="142" t="str">
        <f>IFERROR(VLOOKUP($C59,'NEW MODEL BY SES'!$C$19:$R$242,MATCH('SeS in Retail Sales Areas'!P$7,'NEW MODEL BY SES'!$C$17:$R$17,0),0),"")</f>
        <v/>
      </c>
      <c r="Q59" s="140" t="str">
        <f>IFERROR(VLOOKUP($C59,'NEW MODEL BY SES'!$C$19:$R$242,MATCH('SeS in Retail Sales Areas'!Q$7,'NEW MODEL BY SES'!$C$17:$R$17,0),0),"")</f>
        <v/>
      </c>
      <c r="R59" s="142" t="str">
        <f>IFERROR(VLOOKUP($C59,'NEW MODEL BY SES'!$C$19:$R$242,MATCH('SeS in Retail Sales Areas'!R$7,'NEW MODEL BY SES'!$C$17:$R$17,0),0),"")</f>
        <v/>
      </c>
      <c r="S59" s="141" t="str">
        <f>IFERROR(VLOOKUP($C59,'NEW MODEL BY SES'!$C$19:$R$242,MATCH('SeS in Retail Sales Areas'!S$7,'NEW MODEL BY SES'!$C$17:$R$17,0),0),"")</f>
        <v/>
      </c>
      <c r="T59" s="140" t="str">
        <f>IFERROR(VLOOKUP($C59,'NEW MODEL BY SES'!$C$19:$R$242,MATCH('SeS in Retail Sales Areas'!T$7,'NEW MODEL BY SES'!$C$17:$R$17,0),0),"")</f>
        <v/>
      </c>
      <c r="U59" s="142" t="str">
        <f>IFERROR(VLOOKUP($C59,'NEW MODEL BY SES'!$C$19:$R$242,MATCH('SeS in Retail Sales Areas'!U$7,'NEW MODEL BY SES'!$C$17:$R$17,0),0),"")</f>
        <v/>
      </c>
      <c r="V59" s="140" t="str">
        <f>IFERROR(VLOOKUP($C59,'NEW MODEL BY SES'!$C$19:$R$242,MATCH('SeS in Retail Sales Areas'!V$7,'NEW MODEL BY SES'!$C$17:$R$17,0),0),"")</f>
        <v/>
      </c>
      <c r="W59" s="141" t="str">
        <f>IFERROR(VLOOKUP($C59,'NEW MODEL BY SES'!$C$19:$R$242,MATCH('SeS in Retail Sales Areas'!W$7,'NEW MODEL BY SES'!$C$17:$R$17,0),0),"")</f>
        <v/>
      </c>
      <c r="X59" s="140" t="str">
        <f>IFERROR(VLOOKUP($C59,'NEW MODEL BY SES'!$C$19:$R$242,MATCH('SeS in Retail Sales Areas'!X$7,'NEW MODEL BY SES'!$C$17:$R$17,0),0),"")</f>
        <v/>
      </c>
      <c r="Z59" s="57"/>
    </row>
    <row r="60" spans="1:26">
      <c r="A60" t="s">
        <v>984</v>
      </c>
      <c r="B60" s="57">
        <v>184</v>
      </c>
      <c r="C60" t="s">
        <v>988</v>
      </c>
      <c r="D60" t="s">
        <v>33</v>
      </c>
      <c r="E60"/>
      <c r="F60" s="140" t="str">
        <f>IFERROR(VLOOKUP($C60,'NEW MODEL BY SES'!$C$19:$R$242,MATCH('SeS in Retail Sales Areas'!F$7,'NEW MODEL BY SES'!$C$17:$R$17,0),0),"")</f>
        <v/>
      </c>
      <c r="G60" s="140" t="str">
        <f>IFERROR(VLOOKUP($C60,'NEW MODEL BY SES'!$C$19:$R$242,MATCH('SeS in Retail Sales Areas'!G$7,'NEW MODEL BY SES'!$C$17:$R$17,0),0),"")</f>
        <v/>
      </c>
      <c r="H60" s="142" t="str">
        <f>IFERROR(VLOOKUP($C60,'NEW MODEL BY SES'!$C$19:$R$242,MATCH('SeS in Retail Sales Areas'!H$7,'NEW MODEL BY SES'!$C$17:$R$17,0),0),"")</f>
        <v/>
      </c>
      <c r="I60" s="140" t="str">
        <f>IFERROR(VLOOKUP($C60,'NEW MODEL BY SES'!$C$19:$R$242,MATCH('SeS in Retail Sales Areas'!I$7,'NEW MODEL BY SES'!$C$17:$R$17,0),0),"")</f>
        <v/>
      </c>
      <c r="J60" s="142" t="str">
        <f>IFERROR(VLOOKUP($C60,'NEW MODEL BY SES'!$C$19:$R$242,MATCH('SeS in Retail Sales Areas'!J$7,'NEW MODEL BY SES'!$C$17:$R$17,0),0),"")</f>
        <v/>
      </c>
      <c r="K60" s="140" t="str">
        <f>IFERROR(VLOOKUP($C60,'NEW MODEL BY SES'!$C$19:$R$242,MATCH('SeS in Retail Sales Areas'!K$7,'NEW MODEL BY SES'!$C$17:$R$17,0),0),"")</f>
        <v/>
      </c>
      <c r="L60" s="142" t="str">
        <f>IFERROR(VLOOKUP($C60,'NEW MODEL BY SES'!$C$19:$R$242,MATCH('SeS in Retail Sales Areas'!L$7,'NEW MODEL BY SES'!$C$17:$R$17,0),0),"")</f>
        <v/>
      </c>
      <c r="M60" s="140" t="str">
        <f>IFERROR(VLOOKUP($C60,'NEW MODEL BY SES'!$C$19:$R$242,MATCH('SeS in Retail Sales Areas'!M$7,'NEW MODEL BY SES'!$C$17:$R$17,0),0),"")</f>
        <v/>
      </c>
      <c r="N60" s="142" t="str">
        <f>IFERROR(VLOOKUP($C60,'NEW MODEL BY SES'!$C$19:$R$242,MATCH('SeS in Retail Sales Areas'!N$7,'NEW MODEL BY SES'!$C$17:$R$17,0),0),"")</f>
        <v/>
      </c>
      <c r="O60" s="140" t="str">
        <f>IFERROR(VLOOKUP($C60,'NEW MODEL BY SES'!$C$19:$R$242,MATCH('SeS in Retail Sales Areas'!O$7,'NEW MODEL BY SES'!$C$17:$R$17,0),0),"")</f>
        <v/>
      </c>
      <c r="P60" s="142" t="str">
        <f>IFERROR(VLOOKUP($C60,'NEW MODEL BY SES'!$C$19:$R$242,MATCH('SeS in Retail Sales Areas'!P$7,'NEW MODEL BY SES'!$C$17:$R$17,0),0),"")</f>
        <v/>
      </c>
      <c r="Q60" s="140" t="str">
        <f>IFERROR(VLOOKUP($C60,'NEW MODEL BY SES'!$C$19:$R$242,MATCH('SeS in Retail Sales Areas'!Q$7,'NEW MODEL BY SES'!$C$17:$R$17,0),0),"")</f>
        <v/>
      </c>
      <c r="R60" s="142" t="str">
        <f>IFERROR(VLOOKUP($C60,'NEW MODEL BY SES'!$C$19:$R$242,MATCH('SeS in Retail Sales Areas'!R$7,'NEW MODEL BY SES'!$C$17:$R$17,0),0),"")</f>
        <v/>
      </c>
      <c r="S60" s="141" t="str">
        <f>IFERROR(VLOOKUP($C60,'NEW MODEL BY SES'!$C$19:$R$242,MATCH('SeS in Retail Sales Areas'!S$7,'NEW MODEL BY SES'!$C$17:$R$17,0),0),"")</f>
        <v/>
      </c>
      <c r="T60" s="140" t="str">
        <f>IFERROR(VLOOKUP($C60,'NEW MODEL BY SES'!$C$19:$R$242,MATCH('SeS in Retail Sales Areas'!T$7,'NEW MODEL BY SES'!$C$17:$R$17,0),0),"")</f>
        <v/>
      </c>
      <c r="U60" s="142" t="str">
        <f>IFERROR(VLOOKUP($C60,'NEW MODEL BY SES'!$C$19:$R$242,MATCH('SeS in Retail Sales Areas'!U$7,'NEW MODEL BY SES'!$C$17:$R$17,0),0),"")</f>
        <v/>
      </c>
      <c r="V60" s="140" t="str">
        <f>IFERROR(VLOOKUP($C60,'NEW MODEL BY SES'!$C$19:$R$242,MATCH('SeS in Retail Sales Areas'!V$7,'NEW MODEL BY SES'!$C$17:$R$17,0),0),"")</f>
        <v/>
      </c>
      <c r="W60" s="141" t="str">
        <f>IFERROR(VLOOKUP($C60,'NEW MODEL BY SES'!$C$19:$R$242,MATCH('SeS in Retail Sales Areas'!W$7,'NEW MODEL BY SES'!$C$17:$R$17,0),0),"")</f>
        <v/>
      </c>
      <c r="X60" s="140" t="str">
        <f>IFERROR(VLOOKUP($C60,'NEW MODEL BY SES'!$C$19:$R$242,MATCH('SeS in Retail Sales Areas'!X$7,'NEW MODEL BY SES'!$C$17:$R$17,0),0),"")</f>
        <v/>
      </c>
      <c r="Z60" s="57"/>
    </row>
    <row r="61" spans="1:26">
      <c r="A61" t="s">
        <v>984</v>
      </c>
      <c r="B61" s="57">
        <v>174</v>
      </c>
      <c r="C61" t="s">
        <v>989</v>
      </c>
      <c r="D61" t="s">
        <v>33</v>
      </c>
      <c r="E61"/>
      <c r="F61" s="140" t="str">
        <f>IFERROR(VLOOKUP($C61,'NEW MODEL BY SES'!$C$19:$R$242,MATCH('SeS in Retail Sales Areas'!F$7,'NEW MODEL BY SES'!$C$17:$R$17,0),0),"")</f>
        <v/>
      </c>
      <c r="G61" s="140" t="str">
        <f>IFERROR(VLOOKUP($C61,'NEW MODEL BY SES'!$C$19:$R$242,MATCH('SeS in Retail Sales Areas'!G$7,'NEW MODEL BY SES'!$C$17:$R$17,0),0),"")</f>
        <v/>
      </c>
      <c r="H61" s="142" t="str">
        <f>IFERROR(VLOOKUP($C61,'NEW MODEL BY SES'!$C$19:$R$242,MATCH('SeS in Retail Sales Areas'!H$7,'NEW MODEL BY SES'!$C$17:$R$17,0),0),"")</f>
        <v/>
      </c>
      <c r="I61" s="140" t="str">
        <f>IFERROR(VLOOKUP($C61,'NEW MODEL BY SES'!$C$19:$R$242,MATCH('SeS in Retail Sales Areas'!I$7,'NEW MODEL BY SES'!$C$17:$R$17,0),0),"")</f>
        <v/>
      </c>
      <c r="J61" s="142" t="str">
        <f>IFERROR(VLOOKUP($C61,'NEW MODEL BY SES'!$C$19:$R$242,MATCH('SeS in Retail Sales Areas'!J$7,'NEW MODEL BY SES'!$C$17:$R$17,0),0),"")</f>
        <v/>
      </c>
      <c r="K61" s="140" t="str">
        <f>IFERROR(VLOOKUP($C61,'NEW MODEL BY SES'!$C$19:$R$242,MATCH('SeS in Retail Sales Areas'!K$7,'NEW MODEL BY SES'!$C$17:$R$17,0),0),"")</f>
        <v/>
      </c>
      <c r="L61" s="142" t="str">
        <f>IFERROR(VLOOKUP($C61,'NEW MODEL BY SES'!$C$19:$R$242,MATCH('SeS in Retail Sales Areas'!L$7,'NEW MODEL BY SES'!$C$17:$R$17,0),0),"")</f>
        <v/>
      </c>
      <c r="M61" s="140" t="str">
        <f>IFERROR(VLOOKUP($C61,'NEW MODEL BY SES'!$C$19:$R$242,MATCH('SeS in Retail Sales Areas'!M$7,'NEW MODEL BY SES'!$C$17:$R$17,0),0),"")</f>
        <v/>
      </c>
      <c r="N61" s="142" t="str">
        <f>IFERROR(VLOOKUP($C61,'NEW MODEL BY SES'!$C$19:$R$242,MATCH('SeS in Retail Sales Areas'!N$7,'NEW MODEL BY SES'!$C$17:$R$17,0),0),"")</f>
        <v/>
      </c>
      <c r="O61" s="140" t="str">
        <f>IFERROR(VLOOKUP($C61,'NEW MODEL BY SES'!$C$19:$R$242,MATCH('SeS in Retail Sales Areas'!O$7,'NEW MODEL BY SES'!$C$17:$R$17,0),0),"")</f>
        <v/>
      </c>
      <c r="P61" s="142" t="str">
        <f>IFERROR(VLOOKUP($C61,'NEW MODEL BY SES'!$C$19:$R$242,MATCH('SeS in Retail Sales Areas'!P$7,'NEW MODEL BY SES'!$C$17:$R$17,0),0),"")</f>
        <v/>
      </c>
      <c r="Q61" s="140" t="str">
        <f>IFERROR(VLOOKUP($C61,'NEW MODEL BY SES'!$C$19:$R$242,MATCH('SeS in Retail Sales Areas'!Q$7,'NEW MODEL BY SES'!$C$17:$R$17,0),0),"")</f>
        <v/>
      </c>
      <c r="R61" s="142" t="str">
        <f>IFERROR(VLOOKUP($C61,'NEW MODEL BY SES'!$C$19:$R$242,MATCH('SeS in Retail Sales Areas'!R$7,'NEW MODEL BY SES'!$C$17:$R$17,0),0),"")</f>
        <v/>
      </c>
      <c r="S61" s="141" t="str">
        <f>IFERROR(VLOOKUP($C61,'NEW MODEL BY SES'!$C$19:$R$242,MATCH('SeS in Retail Sales Areas'!S$7,'NEW MODEL BY SES'!$C$17:$R$17,0),0),"")</f>
        <v/>
      </c>
      <c r="T61" s="140" t="str">
        <f>IFERROR(VLOOKUP($C61,'NEW MODEL BY SES'!$C$19:$R$242,MATCH('SeS in Retail Sales Areas'!T$7,'NEW MODEL BY SES'!$C$17:$R$17,0),0),"")</f>
        <v/>
      </c>
      <c r="U61" s="142" t="str">
        <f>IFERROR(VLOOKUP($C61,'NEW MODEL BY SES'!$C$19:$R$242,MATCH('SeS in Retail Sales Areas'!U$7,'NEW MODEL BY SES'!$C$17:$R$17,0),0),"")</f>
        <v/>
      </c>
      <c r="V61" s="140" t="str">
        <f>IFERROR(VLOOKUP($C61,'NEW MODEL BY SES'!$C$19:$R$242,MATCH('SeS in Retail Sales Areas'!V$7,'NEW MODEL BY SES'!$C$17:$R$17,0),0),"")</f>
        <v/>
      </c>
      <c r="W61" s="141" t="str">
        <f>IFERROR(VLOOKUP($C61,'NEW MODEL BY SES'!$C$19:$R$242,MATCH('SeS in Retail Sales Areas'!W$7,'NEW MODEL BY SES'!$C$17:$R$17,0),0),"")</f>
        <v/>
      </c>
      <c r="X61" s="140" t="str">
        <f>IFERROR(VLOOKUP($C61,'NEW MODEL BY SES'!$C$19:$R$242,MATCH('SeS in Retail Sales Areas'!X$7,'NEW MODEL BY SES'!$C$17:$R$17,0),0),"")</f>
        <v/>
      </c>
      <c r="Z61" s="57"/>
    </row>
    <row r="62" spans="1:26">
      <c r="A62" t="s">
        <v>984</v>
      </c>
      <c r="B62" s="57">
        <v>147</v>
      </c>
      <c r="C62" t="s">
        <v>990</v>
      </c>
      <c r="D62" t="s">
        <v>38</v>
      </c>
      <c r="E62"/>
      <c r="F62" s="140" t="str">
        <f>IFERROR(VLOOKUP($C62,'NEW MODEL BY SES'!$C$19:$R$242,MATCH('SeS in Retail Sales Areas'!F$7,'NEW MODEL BY SES'!$C$17:$R$17,0),0),"")</f>
        <v/>
      </c>
      <c r="G62" s="140" t="str">
        <f>IFERROR(VLOOKUP($C62,'NEW MODEL BY SES'!$C$19:$R$242,MATCH('SeS in Retail Sales Areas'!G$7,'NEW MODEL BY SES'!$C$17:$R$17,0),0),"")</f>
        <v/>
      </c>
      <c r="H62" s="142" t="str">
        <f>IFERROR(VLOOKUP($C62,'NEW MODEL BY SES'!$C$19:$R$242,MATCH('SeS in Retail Sales Areas'!H$7,'NEW MODEL BY SES'!$C$17:$R$17,0),0),"")</f>
        <v/>
      </c>
      <c r="I62" s="140" t="str">
        <f>IFERROR(VLOOKUP($C62,'NEW MODEL BY SES'!$C$19:$R$242,MATCH('SeS in Retail Sales Areas'!I$7,'NEW MODEL BY SES'!$C$17:$R$17,0),0),"")</f>
        <v/>
      </c>
      <c r="J62" s="142" t="str">
        <f>IFERROR(VLOOKUP($C62,'NEW MODEL BY SES'!$C$19:$R$242,MATCH('SeS in Retail Sales Areas'!J$7,'NEW MODEL BY SES'!$C$17:$R$17,0),0),"")</f>
        <v/>
      </c>
      <c r="K62" s="140" t="str">
        <f>IFERROR(VLOOKUP($C62,'NEW MODEL BY SES'!$C$19:$R$242,MATCH('SeS in Retail Sales Areas'!K$7,'NEW MODEL BY SES'!$C$17:$R$17,0),0),"")</f>
        <v/>
      </c>
      <c r="L62" s="142" t="str">
        <f>IFERROR(VLOOKUP($C62,'NEW MODEL BY SES'!$C$19:$R$242,MATCH('SeS in Retail Sales Areas'!L$7,'NEW MODEL BY SES'!$C$17:$R$17,0),0),"")</f>
        <v/>
      </c>
      <c r="M62" s="140" t="str">
        <f>IFERROR(VLOOKUP($C62,'NEW MODEL BY SES'!$C$19:$R$242,MATCH('SeS in Retail Sales Areas'!M$7,'NEW MODEL BY SES'!$C$17:$R$17,0),0),"")</f>
        <v/>
      </c>
      <c r="N62" s="142" t="str">
        <f>IFERROR(VLOOKUP($C62,'NEW MODEL BY SES'!$C$19:$R$242,MATCH('SeS in Retail Sales Areas'!N$7,'NEW MODEL BY SES'!$C$17:$R$17,0),0),"")</f>
        <v/>
      </c>
      <c r="O62" s="140" t="str">
        <f>IFERROR(VLOOKUP($C62,'NEW MODEL BY SES'!$C$19:$R$242,MATCH('SeS in Retail Sales Areas'!O$7,'NEW MODEL BY SES'!$C$17:$R$17,0),0),"")</f>
        <v/>
      </c>
      <c r="P62" s="142" t="str">
        <f>IFERROR(VLOOKUP($C62,'NEW MODEL BY SES'!$C$19:$R$242,MATCH('SeS in Retail Sales Areas'!P$7,'NEW MODEL BY SES'!$C$17:$R$17,0),0),"")</f>
        <v/>
      </c>
      <c r="Q62" s="140" t="str">
        <f>IFERROR(VLOOKUP($C62,'NEW MODEL BY SES'!$C$19:$R$242,MATCH('SeS in Retail Sales Areas'!Q$7,'NEW MODEL BY SES'!$C$17:$R$17,0),0),"")</f>
        <v/>
      </c>
      <c r="R62" s="142" t="str">
        <f>IFERROR(VLOOKUP($C62,'NEW MODEL BY SES'!$C$19:$R$242,MATCH('SeS in Retail Sales Areas'!R$7,'NEW MODEL BY SES'!$C$17:$R$17,0),0),"")</f>
        <v/>
      </c>
      <c r="S62" s="141" t="str">
        <f>IFERROR(VLOOKUP($C62,'NEW MODEL BY SES'!$C$19:$R$242,MATCH('SeS in Retail Sales Areas'!S$7,'NEW MODEL BY SES'!$C$17:$R$17,0),0),"")</f>
        <v/>
      </c>
      <c r="T62" s="140" t="str">
        <f>IFERROR(VLOOKUP($C62,'NEW MODEL BY SES'!$C$19:$R$242,MATCH('SeS in Retail Sales Areas'!T$7,'NEW MODEL BY SES'!$C$17:$R$17,0),0),"")</f>
        <v/>
      </c>
      <c r="U62" s="142" t="str">
        <f>IFERROR(VLOOKUP($C62,'NEW MODEL BY SES'!$C$19:$R$242,MATCH('SeS in Retail Sales Areas'!U$7,'NEW MODEL BY SES'!$C$17:$R$17,0),0),"")</f>
        <v/>
      </c>
      <c r="V62" s="140" t="str">
        <f>IFERROR(VLOOKUP($C62,'NEW MODEL BY SES'!$C$19:$R$242,MATCH('SeS in Retail Sales Areas'!V$7,'NEW MODEL BY SES'!$C$17:$R$17,0),0),"")</f>
        <v/>
      </c>
      <c r="W62" s="141" t="str">
        <f>IFERROR(VLOOKUP($C62,'NEW MODEL BY SES'!$C$19:$R$242,MATCH('SeS in Retail Sales Areas'!W$7,'NEW MODEL BY SES'!$C$17:$R$17,0),0),"")</f>
        <v/>
      </c>
      <c r="X62" s="140" t="str">
        <f>IFERROR(VLOOKUP($C62,'NEW MODEL BY SES'!$C$19:$R$242,MATCH('SeS in Retail Sales Areas'!X$7,'NEW MODEL BY SES'!$C$17:$R$17,0),0),"")</f>
        <v/>
      </c>
      <c r="Z62" s="57"/>
    </row>
    <row r="63" spans="1:26">
      <c r="A63" t="s">
        <v>984</v>
      </c>
      <c r="B63" s="57">
        <v>147</v>
      </c>
      <c r="C63" t="s">
        <v>991</v>
      </c>
      <c r="D63" t="s">
        <v>38</v>
      </c>
      <c r="E63"/>
      <c r="F63" s="140" t="str">
        <f>IFERROR(VLOOKUP($C63,'NEW MODEL BY SES'!$C$19:$R$242,MATCH('SeS in Retail Sales Areas'!F$7,'NEW MODEL BY SES'!$C$17:$R$17,0),0),"")</f>
        <v/>
      </c>
      <c r="G63" s="140" t="str">
        <f>IFERROR(VLOOKUP($C63,'NEW MODEL BY SES'!$C$19:$R$242,MATCH('SeS in Retail Sales Areas'!G$7,'NEW MODEL BY SES'!$C$17:$R$17,0),0),"")</f>
        <v/>
      </c>
      <c r="H63" s="142" t="str">
        <f>IFERROR(VLOOKUP($C63,'NEW MODEL BY SES'!$C$19:$R$242,MATCH('SeS in Retail Sales Areas'!H$7,'NEW MODEL BY SES'!$C$17:$R$17,0),0),"")</f>
        <v/>
      </c>
      <c r="I63" s="140" t="str">
        <f>IFERROR(VLOOKUP($C63,'NEW MODEL BY SES'!$C$19:$R$242,MATCH('SeS in Retail Sales Areas'!I$7,'NEW MODEL BY SES'!$C$17:$R$17,0),0),"")</f>
        <v/>
      </c>
      <c r="J63" s="142" t="str">
        <f>IFERROR(VLOOKUP($C63,'NEW MODEL BY SES'!$C$19:$R$242,MATCH('SeS in Retail Sales Areas'!J$7,'NEW MODEL BY SES'!$C$17:$R$17,0),0),"")</f>
        <v/>
      </c>
      <c r="K63" s="140" t="str">
        <f>IFERROR(VLOOKUP($C63,'NEW MODEL BY SES'!$C$19:$R$242,MATCH('SeS in Retail Sales Areas'!K$7,'NEW MODEL BY SES'!$C$17:$R$17,0),0),"")</f>
        <v/>
      </c>
      <c r="L63" s="142" t="str">
        <f>IFERROR(VLOOKUP($C63,'NEW MODEL BY SES'!$C$19:$R$242,MATCH('SeS in Retail Sales Areas'!L$7,'NEW MODEL BY SES'!$C$17:$R$17,0),0),"")</f>
        <v/>
      </c>
      <c r="M63" s="140" t="str">
        <f>IFERROR(VLOOKUP($C63,'NEW MODEL BY SES'!$C$19:$R$242,MATCH('SeS in Retail Sales Areas'!M$7,'NEW MODEL BY SES'!$C$17:$R$17,0),0),"")</f>
        <v/>
      </c>
      <c r="N63" s="142" t="str">
        <f>IFERROR(VLOOKUP($C63,'NEW MODEL BY SES'!$C$19:$R$242,MATCH('SeS in Retail Sales Areas'!N$7,'NEW MODEL BY SES'!$C$17:$R$17,0),0),"")</f>
        <v/>
      </c>
      <c r="O63" s="140" t="str">
        <f>IFERROR(VLOOKUP($C63,'NEW MODEL BY SES'!$C$19:$R$242,MATCH('SeS in Retail Sales Areas'!O$7,'NEW MODEL BY SES'!$C$17:$R$17,0),0),"")</f>
        <v/>
      </c>
      <c r="P63" s="142" t="str">
        <f>IFERROR(VLOOKUP($C63,'NEW MODEL BY SES'!$C$19:$R$242,MATCH('SeS in Retail Sales Areas'!P$7,'NEW MODEL BY SES'!$C$17:$R$17,0),0),"")</f>
        <v/>
      </c>
      <c r="Q63" s="140" t="str">
        <f>IFERROR(VLOOKUP($C63,'NEW MODEL BY SES'!$C$19:$R$242,MATCH('SeS in Retail Sales Areas'!Q$7,'NEW MODEL BY SES'!$C$17:$R$17,0),0),"")</f>
        <v/>
      </c>
      <c r="R63" s="142" t="str">
        <f>IFERROR(VLOOKUP($C63,'NEW MODEL BY SES'!$C$19:$R$242,MATCH('SeS in Retail Sales Areas'!R$7,'NEW MODEL BY SES'!$C$17:$R$17,0),0),"")</f>
        <v/>
      </c>
      <c r="S63" s="141" t="str">
        <f>IFERROR(VLOOKUP($C63,'NEW MODEL BY SES'!$C$19:$R$242,MATCH('SeS in Retail Sales Areas'!S$7,'NEW MODEL BY SES'!$C$17:$R$17,0),0),"")</f>
        <v/>
      </c>
      <c r="T63" s="140" t="str">
        <f>IFERROR(VLOOKUP($C63,'NEW MODEL BY SES'!$C$19:$R$242,MATCH('SeS in Retail Sales Areas'!T$7,'NEW MODEL BY SES'!$C$17:$R$17,0),0),"")</f>
        <v/>
      </c>
      <c r="U63" s="142" t="str">
        <f>IFERROR(VLOOKUP($C63,'NEW MODEL BY SES'!$C$19:$R$242,MATCH('SeS in Retail Sales Areas'!U$7,'NEW MODEL BY SES'!$C$17:$R$17,0),0),"")</f>
        <v/>
      </c>
      <c r="V63" s="140" t="str">
        <f>IFERROR(VLOOKUP($C63,'NEW MODEL BY SES'!$C$19:$R$242,MATCH('SeS in Retail Sales Areas'!V$7,'NEW MODEL BY SES'!$C$17:$R$17,0),0),"")</f>
        <v/>
      </c>
      <c r="W63" s="141" t="str">
        <f>IFERROR(VLOOKUP($C63,'NEW MODEL BY SES'!$C$19:$R$242,MATCH('SeS in Retail Sales Areas'!W$7,'NEW MODEL BY SES'!$C$17:$R$17,0),0),"")</f>
        <v/>
      </c>
      <c r="X63" s="140" t="str">
        <f>IFERROR(VLOOKUP($C63,'NEW MODEL BY SES'!$C$19:$R$242,MATCH('SeS in Retail Sales Areas'!X$7,'NEW MODEL BY SES'!$C$17:$R$17,0),0),"")</f>
        <v/>
      </c>
      <c r="Z63" s="57"/>
    </row>
    <row r="64" spans="1:26">
      <c r="A64" t="s">
        <v>984</v>
      </c>
      <c r="B64" s="57">
        <v>143</v>
      </c>
      <c r="C64" t="s">
        <v>992</v>
      </c>
      <c r="D64" t="s">
        <v>38</v>
      </c>
      <c r="E64"/>
      <c r="F64" s="140" t="str">
        <f>IFERROR(VLOOKUP($C64,'NEW MODEL BY SES'!$C$19:$R$242,MATCH('SeS in Retail Sales Areas'!F$7,'NEW MODEL BY SES'!$C$17:$R$17,0),0),"")</f>
        <v/>
      </c>
      <c r="G64" s="140" t="str">
        <f>IFERROR(VLOOKUP($C64,'NEW MODEL BY SES'!$C$19:$R$242,MATCH('SeS in Retail Sales Areas'!G$7,'NEW MODEL BY SES'!$C$17:$R$17,0),0),"")</f>
        <v/>
      </c>
      <c r="H64" s="142" t="str">
        <f>IFERROR(VLOOKUP($C64,'NEW MODEL BY SES'!$C$19:$R$242,MATCH('SeS in Retail Sales Areas'!H$7,'NEW MODEL BY SES'!$C$17:$R$17,0),0),"")</f>
        <v/>
      </c>
      <c r="I64" s="140" t="str">
        <f>IFERROR(VLOOKUP($C64,'NEW MODEL BY SES'!$C$19:$R$242,MATCH('SeS in Retail Sales Areas'!I$7,'NEW MODEL BY SES'!$C$17:$R$17,0),0),"")</f>
        <v/>
      </c>
      <c r="J64" s="142" t="str">
        <f>IFERROR(VLOOKUP($C64,'NEW MODEL BY SES'!$C$19:$R$242,MATCH('SeS in Retail Sales Areas'!J$7,'NEW MODEL BY SES'!$C$17:$R$17,0),0),"")</f>
        <v/>
      </c>
      <c r="K64" s="140" t="str">
        <f>IFERROR(VLOOKUP($C64,'NEW MODEL BY SES'!$C$19:$R$242,MATCH('SeS in Retail Sales Areas'!K$7,'NEW MODEL BY SES'!$C$17:$R$17,0),0),"")</f>
        <v/>
      </c>
      <c r="L64" s="142" t="str">
        <f>IFERROR(VLOOKUP($C64,'NEW MODEL BY SES'!$C$19:$R$242,MATCH('SeS in Retail Sales Areas'!L$7,'NEW MODEL BY SES'!$C$17:$R$17,0),0),"")</f>
        <v/>
      </c>
      <c r="M64" s="140" t="str">
        <f>IFERROR(VLOOKUP($C64,'NEW MODEL BY SES'!$C$19:$R$242,MATCH('SeS in Retail Sales Areas'!M$7,'NEW MODEL BY SES'!$C$17:$R$17,0),0),"")</f>
        <v/>
      </c>
      <c r="N64" s="142" t="str">
        <f>IFERROR(VLOOKUP($C64,'NEW MODEL BY SES'!$C$19:$R$242,MATCH('SeS in Retail Sales Areas'!N$7,'NEW MODEL BY SES'!$C$17:$R$17,0),0),"")</f>
        <v/>
      </c>
      <c r="O64" s="140" t="str">
        <f>IFERROR(VLOOKUP($C64,'NEW MODEL BY SES'!$C$19:$R$242,MATCH('SeS in Retail Sales Areas'!O$7,'NEW MODEL BY SES'!$C$17:$R$17,0),0),"")</f>
        <v/>
      </c>
      <c r="P64" s="142" t="str">
        <f>IFERROR(VLOOKUP($C64,'NEW MODEL BY SES'!$C$19:$R$242,MATCH('SeS in Retail Sales Areas'!P$7,'NEW MODEL BY SES'!$C$17:$R$17,0),0),"")</f>
        <v/>
      </c>
      <c r="Q64" s="140" t="str">
        <f>IFERROR(VLOOKUP($C64,'NEW MODEL BY SES'!$C$19:$R$242,MATCH('SeS in Retail Sales Areas'!Q$7,'NEW MODEL BY SES'!$C$17:$R$17,0),0),"")</f>
        <v/>
      </c>
      <c r="R64" s="142" t="str">
        <f>IFERROR(VLOOKUP($C64,'NEW MODEL BY SES'!$C$19:$R$242,MATCH('SeS in Retail Sales Areas'!R$7,'NEW MODEL BY SES'!$C$17:$R$17,0),0),"")</f>
        <v/>
      </c>
      <c r="S64" s="141" t="str">
        <f>IFERROR(VLOOKUP($C64,'NEW MODEL BY SES'!$C$19:$R$242,MATCH('SeS in Retail Sales Areas'!S$7,'NEW MODEL BY SES'!$C$17:$R$17,0),0),"")</f>
        <v/>
      </c>
      <c r="T64" s="140" t="str">
        <f>IFERROR(VLOOKUP($C64,'NEW MODEL BY SES'!$C$19:$R$242,MATCH('SeS in Retail Sales Areas'!T$7,'NEW MODEL BY SES'!$C$17:$R$17,0),0),"")</f>
        <v/>
      </c>
      <c r="U64" s="142" t="str">
        <f>IFERROR(VLOOKUP($C64,'NEW MODEL BY SES'!$C$19:$R$242,MATCH('SeS in Retail Sales Areas'!U$7,'NEW MODEL BY SES'!$C$17:$R$17,0),0),"")</f>
        <v/>
      </c>
      <c r="V64" s="140" t="str">
        <f>IFERROR(VLOOKUP($C64,'NEW MODEL BY SES'!$C$19:$R$242,MATCH('SeS in Retail Sales Areas'!V$7,'NEW MODEL BY SES'!$C$17:$R$17,0),0),"")</f>
        <v/>
      </c>
      <c r="W64" s="141" t="str">
        <f>IFERROR(VLOOKUP($C64,'NEW MODEL BY SES'!$C$19:$R$242,MATCH('SeS in Retail Sales Areas'!W$7,'NEW MODEL BY SES'!$C$17:$R$17,0),0),"")</f>
        <v/>
      </c>
      <c r="X64" s="140" t="str">
        <f>IFERROR(VLOOKUP($C64,'NEW MODEL BY SES'!$C$19:$R$242,MATCH('SeS in Retail Sales Areas'!X$7,'NEW MODEL BY SES'!$C$17:$R$17,0),0),"")</f>
        <v/>
      </c>
      <c r="Z64" s="57"/>
    </row>
    <row r="65" spans="1:26">
      <c r="A65" t="s">
        <v>984</v>
      </c>
      <c r="B65" s="57">
        <v>109</v>
      </c>
      <c r="C65" t="s">
        <v>993</v>
      </c>
      <c r="D65" t="s">
        <v>40</v>
      </c>
      <c r="E65"/>
      <c r="F65" s="140" t="str">
        <f>IFERROR(VLOOKUP($C65,'NEW MODEL BY SES'!$C$19:$R$242,MATCH('SeS in Retail Sales Areas'!F$7,'NEW MODEL BY SES'!$C$17:$R$17,0),0),"")</f>
        <v/>
      </c>
      <c r="G65" s="140" t="str">
        <f>IFERROR(VLOOKUP($C65,'NEW MODEL BY SES'!$C$19:$R$242,MATCH('SeS in Retail Sales Areas'!G$7,'NEW MODEL BY SES'!$C$17:$R$17,0),0),"")</f>
        <v/>
      </c>
      <c r="H65" s="142" t="str">
        <f>IFERROR(VLOOKUP($C65,'NEW MODEL BY SES'!$C$19:$R$242,MATCH('SeS in Retail Sales Areas'!H$7,'NEW MODEL BY SES'!$C$17:$R$17,0),0),"")</f>
        <v/>
      </c>
      <c r="I65" s="140" t="str">
        <f>IFERROR(VLOOKUP($C65,'NEW MODEL BY SES'!$C$19:$R$242,MATCH('SeS in Retail Sales Areas'!I$7,'NEW MODEL BY SES'!$C$17:$R$17,0),0),"")</f>
        <v/>
      </c>
      <c r="J65" s="142" t="str">
        <f>IFERROR(VLOOKUP($C65,'NEW MODEL BY SES'!$C$19:$R$242,MATCH('SeS in Retail Sales Areas'!J$7,'NEW MODEL BY SES'!$C$17:$R$17,0),0),"")</f>
        <v/>
      </c>
      <c r="K65" s="140" t="str">
        <f>IFERROR(VLOOKUP($C65,'NEW MODEL BY SES'!$C$19:$R$242,MATCH('SeS in Retail Sales Areas'!K$7,'NEW MODEL BY SES'!$C$17:$R$17,0),0),"")</f>
        <v/>
      </c>
      <c r="L65" s="142" t="str">
        <f>IFERROR(VLOOKUP($C65,'NEW MODEL BY SES'!$C$19:$R$242,MATCH('SeS in Retail Sales Areas'!L$7,'NEW MODEL BY SES'!$C$17:$R$17,0),0),"")</f>
        <v/>
      </c>
      <c r="M65" s="140" t="str">
        <f>IFERROR(VLOOKUP($C65,'NEW MODEL BY SES'!$C$19:$R$242,MATCH('SeS in Retail Sales Areas'!M$7,'NEW MODEL BY SES'!$C$17:$R$17,0),0),"")</f>
        <v/>
      </c>
      <c r="N65" s="142" t="str">
        <f>IFERROR(VLOOKUP($C65,'NEW MODEL BY SES'!$C$19:$R$242,MATCH('SeS in Retail Sales Areas'!N$7,'NEW MODEL BY SES'!$C$17:$R$17,0),0),"")</f>
        <v/>
      </c>
      <c r="O65" s="140" t="str">
        <f>IFERROR(VLOOKUP($C65,'NEW MODEL BY SES'!$C$19:$R$242,MATCH('SeS in Retail Sales Areas'!O$7,'NEW MODEL BY SES'!$C$17:$R$17,0),0),"")</f>
        <v/>
      </c>
      <c r="P65" s="142" t="str">
        <f>IFERROR(VLOOKUP($C65,'NEW MODEL BY SES'!$C$19:$R$242,MATCH('SeS in Retail Sales Areas'!P$7,'NEW MODEL BY SES'!$C$17:$R$17,0),0),"")</f>
        <v/>
      </c>
      <c r="Q65" s="140" t="str">
        <f>IFERROR(VLOOKUP($C65,'NEW MODEL BY SES'!$C$19:$R$242,MATCH('SeS in Retail Sales Areas'!Q$7,'NEW MODEL BY SES'!$C$17:$R$17,0),0),"")</f>
        <v/>
      </c>
      <c r="R65" s="142" t="str">
        <f>IFERROR(VLOOKUP($C65,'NEW MODEL BY SES'!$C$19:$R$242,MATCH('SeS in Retail Sales Areas'!R$7,'NEW MODEL BY SES'!$C$17:$R$17,0),0),"")</f>
        <v/>
      </c>
      <c r="S65" s="141" t="str">
        <f>IFERROR(VLOOKUP($C65,'NEW MODEL BY SES'!$C$19:$R$242,MATCH('SeS in Retail Sales Areas'!S$7,'NEW MODEL BY SES'!$C$17:$R$17,0),0),"")</f>
        <v/>
      </c>
      <c r="T65" s="140" t="str">
        <f>IFERROR(VLOOKUP($C65,'NEW MODEL BY SES'!$C$19:$R$242,MATCH('SeS in Retail Sales Areas'!T$7,'NEW MODEL BY SES'!$C$17:$R$17,0),0),"")</f>
        <v/>
      </c>
      <c r="U65" s="142" t="str">
        <f>IFERROR(VLOOKUP($C65,'NEW MODEL BY SES'!$C$19:$R$242,MATCH('SeS in Retail Sales Areas'!U$7,'NEW MODEL BY SES'!$C$17:$R$17,0),0),"")</f>
        <v/>
      </c>
      <c r="V65" s="140" t="str">
        <f>IFERROR(VLOOKUP($C65,'NEW MODEL BY SES'!$C$19:$R$242,MATCH('SeS in Retail Sales Areas'!V$7,'NEW MODEL BY SES'!$C$17:$R$17,0),0),"")</f>
        <v/>
      </c>
      <c r="W65" s="141" t="str">
        <f>IFERROR(VLOOKUP($C65,'NEW MODEL BY SES'!$C$19:$R$242,MATCH('SeS in Retail Sales Areas'!W$7,'NEW MODEL BY SES'!$C$17:$R$17,0),0),"")</f>
        <v/>
      </c>
      <c r="X65" s="140" t="str">
        <f>IFERROR(VLOOKUP($C65,'NEW MODEL BY SES'!$C$19:$R$242,MATCH('SeS in Retail Sales Areas'!X$7,'NEW MODEL BY SES'!$C$17:$R$17,0),0),"")</f>
        <v/>
      </c>
      <c r="Z65" s="57"/>
    </row>
    <row r="66" spans="1:26">
      <c r="A66" t="s">
        <v>984</v>
      </c>
      <c r="B66" s="57">
        <v>99</v>
      </c>
      <c r="C66" t="s">
        <v>994</v>
      </c>
      <c r="D66" t="s">
        <v>40</v>
      </c>
      <c r="E66"/>
      <c r="F66" s="140" t="str">
        <f>IFERROR(VLOOKUP($C66,'NEW MODEL BY SES'!$C$19:$R$242,MATCH('SeS in Retail Sales Areas'!F$7,'NEW MODEL BY SES'!$C$17:$R$17,0),0),"")</f>
        <v/>
      </c>
      <c r="G66" s="140" t="str">
        <f>IFERROR(VLOOKUP($C66,'NEW MODEL BY SES'!$C$19:$R$242,MATCH('SeS in Retail Sales Areas'!G$7,'NEW MODEL BY SES'!$C$17:$R$17,0),0),"")</f>
        <v/>
      </c>
      <c r="H66" s="142" t="str">
        <f>IFERROR(VLOOKUP($C66,'NEW MODEL BY SES'!$C$19:$R$242,MATCH('SeS in Retail Sales Areas'!H$7,'NEW MODEL BY SES'!$C$17:$R$17,0),0),"")</f>
        <v/>
      </c>
      <c r="I66" s="140" t="str">
        <f>IFERROR(VLOOKUP($C66,'NEW MODEL BY SES'!$C$19:$R$242,MATCH('SeS in Retail Sales Areas'!I$7,'NEW MODEL BY SES'!$C$17:$R$17,0),0),"")</f>
        <v/>
      </c>
      <c r="J66" s="142" t="str">
        <f>IFERROR(VLOOKUP($C66,'NEW MODEL BY SES'!$C$19:$R$242,MATCH('SeS in Retail Sales Areas'!J$7,'NEW MODEL BY SES'!$C$17:$R$17,0),0),"")</f>
        <v/>
      </c>
      <c r="K66" s="140" t="str">
        <f>IFERROR(VLOOKUP($C66,'NEW MODEL BY SES'!$C$19:$R$242,MATCH('SeS in Retail Sales Areas'!K$7,'NEW MODEL BY SES'!$C$17:$R$17,0),0),"")</f>
        <v/>
      </c>
      <c r="L66" s="142" t="str">
        <f>IFERROR(VLOOKUP($C66,'NEW MODEL BY SES'!$C$19:$R$242,MATCH('SeS in Retail Sales Areas'!L$7,'NEW MODEL BY SES'!$C$17:$R$17,0),0),"")</f>
        <v/>
      </c>
      <c r="M66" s="140" t="str">
        <f>IFERROR(VLOOKUP($C66,'NEW MODEL BY SES'!$C$19:$R$242,MATCH('SeS in Retail Sales Areas'!M$7,'NEW MODEL BY SES'!$C$17:$R$17,0),0),"")</f>
        <v/>
      </c>
      <c r="N66" s="142" t="str">
        <f>IFERROR(VLOOKUP($C66,'NEW MODEL BY SES'!$C$19:$R$242,MATCH('SeS in Retail Sales Areas'!N$7,'NEW MODEL BY SES'!$C$17:$R$17,0),0),"")</f>
        <v/>
      </c>
      <c r="O66" s="140" t="str">
        <f>IFERROR(VLOOKUP($C66,'NEW MODEL BY SES'!$C$19:$R$242,MATCH('SeS in Retail Sales Areas'!O$7,'NEW MODEL BY SES'!$C$17:$R$17,0),0),"")</f>
        <v/>
      </c>
      <c r="P66" s="142" t="str">
        <f>IFERROR(VLOOKUP($C66,'NEW MODEL BY SES'!$C$19:$R$242,MATCH('SeS in Retail Sales Areas'!P$7,'NEW MODEL BY SES'!$C$17:$R$17,0),0),"")</f>
        <v/>
      </c>
      <c r="Q66" s="140" t="str">
        <f>IFERROR(VLOOKUP($C66,'NEW MODEL BY SES'!$C$19:$R$242,MATCH('SeS in Retail Sales Areas'!Q$7,'NEW MODEL BY SES'!$C$17:$R$17,0),0),"")</f>
        <v/>
      </c>
      <c r="R66" s="142" t="str">
        <f>IFERROR(VLOOKUP($C66,'NEW MODEL BY SES'!$C$19:$R$242,MATCH('SeS in Retail Sales Areas'!R$7,'NEW MODEL BY SES'!$C$17:$R$17,0),0),"")</f>
        <v/>
      </c>
      <c r="S66" s="141" t="str">
        <f>IFERROR(VLOOKUP($C66,'NEW MODEL BY SES'!$C$19:$R$242,MATCH('SeS in Retail Sales Areas'!S$7,'NEW MODEL BY SES'!$C$17:$R$17,0),0),"")</f>
        <v/>
      </c>
      <c r="T66" s="140" t="str">
        <f>IFERROR(VLOOKUP($C66,'NEW MODEL BY SES'!$C$19:$R$242,MATCH('SeS in Retail Sales Areas'!T$7,'NEW MODEL BY SES'!$C$17:$R$17,0),0),"")</f>
        <v/>
      </c>
      <c r="U66" s="142" t="str">
        <f>IFERROR(VLOOKUP($C66,'NEW MODEL BY SES'!$C$19:$R$242,MATCH('SeS in Retail Sales Areas'!U$7,'NEW MODEL BY SES'!$C$17:$R$17,0),0),"")</f>
        <v/>
      </c>
      <c r="V66" s="140" t="str">
        <f>IFERROR(VLOOKUP($C66,'NEW MODEL BY SES'!$C$19:$R$242,MATCH('SeS in Retail Sales Areas'!V$7,'NEW MODEL BY SES'!$C$17:$R$17,0),0),"")</f>
        <v/>
      </c>
      <c r="W66" s="141" t="str">
        <f>IFERROR(VLOOKUP($C66,'NEW MODEL BY SES'!$C$19:$R$242,MATCH('SeS in Retail Sales Areas'!W$7,'NEW MODEL BY SES'!$C$17:$R$17,0),0),"")</f>
        <v/>
      </c>
      <c r="X66" s="140" t="str">
        <f>IFERROR(VLOOKUP($C66,'NEW MODEL BY SES'!$C$19:$R$242,MATCH('SeS in Retail Sales Areas'!X$7,'NEW MODEL BY SES'!$C$17:$R$17,0),0),"")</f>
        <v/>
      </c>
      <c r="Z66" s="57"/>
    </row>
    <row r="67" spans="1:26">
      <c r="A67" t="s">
        <v>984</v>
      </c>
      <c r="B67" s="57">
        <v>93</v>
      </c>
      <c r="C67" t="s">
        <v>995</v>
      </c>
      <c r="D67" t="s">
        <v>40</v>
      </c>
      <c r="E67"/>
      <c r="F67" s="140" t="str">
        <f>IFERROR(VLOOKUP($C67,'NEW MODEL BY SES'!$C$19:$R$242,MATCH('SeS in Retail Sales Areas'!F$7,'NEW MODEL BY SES'!$C$17:$R$17,0),0),"")</f>
        <v/>
      </c>
      <c r="G67" s="140" t="str">
        <f>IFERROR(VLOOKUP($C67,'NEW MODEL BY SES'!$C$19:$R$242,MATCH('SeS in Retail Sales Areas'!G$7,'NEW MODEL BY SES'!$C$17:$R$17,0),0),"")</f>
        <v/>
      </c>
      <c r="H67" s="142" t="str">
        <f>IFERROR(VLOOKUP($C67,'NEW MODEL BY SES'!$C$19:$R$242,MATCH('SeS in Retail Sales Areas'!H$7,'NEW MODEL BY SES'!$C$17:$R$17,0),0),"")</f>
        <v/>
      </c>
      <c r="I67" s="140" t="str">
        <f>IFERROR(VLOOKUP($C67,'NEW MODEL BY SES'!$C$19:$R$242,MATCH('SeS in Retail Sales Areas'!I$7,'NEW MODEL BY SES'!$C$17:$R$17,0),0),"")</f>
        <v/>
      </c>
      <c r="J67" s="142" t="str">
        <f>IFERROR(VLOOKUP($C67,'NEW MODEL BY SES'!$C$19:$R$242,MATCH('SeS in Retail Sales Areas'!J$7,'NEW MODEL BY SES'!$C$17:$R$17,0),0),"")</f>
        <v/>
      </c>
      <c r="K67" s="140" t="str">
        <f>IFERROR(VLOOKUP($C67,'NEW MODEL BY SES'!$C$19:$R$242,MATCH('SeS in Retail Sales Areas'!K$7,'NEW MODEL BY SES'!$C$17:$R$17,0),0),"")</f>
        <v/>
      </c>
      <c r="L67" s="142" t="str">
        <f>IFERROR(VLOOKUP($C67,'NEW MODEL BY SES'!$C$19:$R$242,MATCH('SeS in Retail Sales Areas'!L$7,'NEW MODEL BY SES'!$C$17:$R$17,0),0),"")</f>
        <v/>
      </c>
      <c r="M67" s="140" t="str">
        <f>IFERROR(VLOOKUP($C67,'NEW MODEL BY SES'!$C$19:$R$242,MATCH('SeS in Retail Sales Areas'!M$7,'NEW MODEL BY SES'!$C$17:$R$17,0),0),"")</f>
        <v/>
      </c>
      <c r="N67" s="142" t="str">
        <f>IFERROR(VLOOKUP($C67,'NEW MODEL BY SES'!$C$19:$R$242,MATCH('SeS in Retail Sales Areas'!N$7,'NEW MODEL BY SES'!$C$17:$R$17,0),0),"")</f>
        <v/>
      </c>
      <c r="O67" s="140" t="str">
        <f>IFERROR(VLOOKUP($C67,'NEW MODEL BY SES'!$C$19:$R$242,MATCH('SeS in Retail Sales Areas'!O$7,'NEW MODEL BY SES'!$C$17:$R$17,0),0),"")</f>
        <v/>
      </c>
      <c r="P67" s="142" t="str">
        <f>IFERROR(VLOOKUP($C67,'NEW MODEL BY SES'!$C$19:$R$242,MATCH('SeS in Retail Sales Areas'!P$7,'NEW MODEL BY SES'!$C$17:$R$17,0),0),"")</f>
        <v/>
      </c>
      <c r="Q67" s="140" t="str">
        <f>IFERROR(VLOOKUP($C67,'NEW MODEL BY SES'!$C$19:$R$242,MATCH('SeS in Retail Sales Areas'!Q$7,'NEW MODEL BY SES'!$C$17:$R$17,0),0),"")</f>
        <v/>
      </c>
      <c r="R67" s="142" t="str">
        <f>IFERROR(VLOOKUP($C67,'NEW MODEL BY SES'!$C$19:$R$242,MATCH('SeS in Retail Sales Areas'!R$7,'NEW MODEL BY SES'!$C$17:$R$17,0),0),"")</f>
        <v/>
      </c>
      <c r="S67" s="141" t="str">
        <f>IFERROR(VLOOKUP($C67,'NEW MODEL BY SES'!$C$19:$R$242,MATCH('SeS in Retail Sales Areas'!S$7,'NEW MODEL BY SES'!$C$17:$R$17,0),0),"")</f>
        <v/>
      </c>
      <c r="T67" s="140" t="str">
        <f>IFERROR(VLOOKUP($C67,'NEW MODEL BY SES'!$C$19:$R$242,MATCH('SeS in Retail Sales Areas'!T$7,'NEW MODEL BY SES'!$C$17:$R$17,0),0),"")</f>
        <v/>
      </c>
      <c r="U67" s="142" t="str">
        <f>IFERROR(VLOOKUP($C67,'NEW MODEL BY SES'!$C$19:$R$242,MATCH('SeS in Retail Sales Areas'!U$7,'NEW MODEL BY SES'!$C$17:$R$17,0),0),"")</f>
        <v/>
      </c>
      <c r="V67" s="140" t="str">
        <f>IFERROR(VLOOKUP($C67,'NEW MODEL BY SES'!$C$19:$R$242,MATCH('SeS in Retail Sales Areas'!V$7,'NEW MODEL BY SES'!$C$17:$R$17,0),0),"")</f>
        <v/>
      </c>
      <c r="W67" s="141" t="str">
        <f>IFERROR(VLOOKUP($C67,'NEW MODEL BY SES'!$C$19:$R$242,MATCH('SeS in Retail Sales Areas'!W$7,'NEW MODEL BY SES'!$C$17:$R$17,0),0),"")</f>
        <v/>
      </c>
      <c r="X67" s="140" t="str">
        <f>IFERROR(VLOOKUP($C67,'NEW MODEL BY SES'!$C$19:$R$242,MATCH('SeS in Retail Sales Areas'!X$7,'NEW MODEL BY SES'!$C$17:$R$17,0),0),"")</f>
        <v/>
      </c>
      <c r="Z67" s="57"/>
    </row>
    <row r="68" spans="1:26">
      <c r="A68" t="s">
        <v>984</v>
      </c>
      <c r="B68" s="57">
        <v>93</v>
      </c>
      <c r="C68" t="s">
        <v>996</v>
      </c>
      <c r="D68" t="s">
        <v>40</v>
      </c>
      <c r="E68"/>
      <c r="F68" s="140" t="str">
        <f>IFERROR(VLOOKUP($C68,'NEW MODEL BY SES'!$C$19:$R$242,MATCH('SeS in Retail Sales Areas'!F$7,'NEW MODEL BY SES'!$C$17:$R$17,0),0),"")</f>
        <v/>
      </c>
      <c r="G68" s="140" t="str">
        <f>IFERROR(VLOOKUP($C68,'NEW MODEL BY SES'!$C$19:$R$242,MATCH('SeS in Retail Sales Areas'!G$7,'NEW MODEL BY SES'!$C$17:$R$17,0),0),"")</f>
        <v/>
      </c>
      <c r="H68" s="142" t="str">
        <f>IFERROR(VLOOKUP($C68,'NEW MODEL BY SES'!$C$19:$R$242,MATCH('SeS in Retail Sales Areas'!H$7,'NEW MODEL BY SES'!$C$17:$R$17,0),0),"")</f>
        <v/>
      </c>
      <c r="I68" s="140" t="str">
        <f>IFERROR(VLOOKUP($C68,'NEW MODEL BY SES'!$C$19:$R$242,MATCH('SeS in Retail Sales Areas'!I$7,'NEW MODEL BY SES'!$C$17:$R$17,0),0),"")</f>
        <v/>
      </c>
      <c r="J68" s="142" t="str">
        <f>IFERROR(VLOOKUP($C68,'NEW MODEL BY SES'!$C$19:$R$242,MATCH('SeS in Retail Sales Areas'!J$7,'NEW MODEL BY SES'!$C$17:$R$17,0),0),"")</f>
        <v/>
      </c>
      <c r="K68" s="140" t="str">
        <f>IFERROR(VLOOKUP($C68,'NEW MODEL BY SES'!$C$19:$R$242,MATCH('SeS in Retail Sales Areas'!K$7,'NEW MODEL BY SES'!$C$17:$R$17,0),0),"")</f>
        <v/>
      </c>
      <c r="L68" s="142" t="str">
        <f>IFERROR(VLOOKUP($C68,'NEW MODEL BY SES'!$C$19:$R$242,MATCH('SeS in Retail Sales Areas'!L$7,'NEW MODEL BY SES'!$C$17:$R$17,0),0),"")</f>
        <v/>
      </c>
      <c r="M68" s="140" t="str">
        <f>IFERROR(VLOOKUP($C68,'NEW MODEL BY SES'!$C$19:$R$242,MATCH('SeS in Retail Sales Areas'!M$7,'NEW MODEL BY SES'!$C$17:$R$17,0),0),"")</f>
        <v/>
      </c>
      <c r="N68" s="142" t="str">
        <f>IFERROR(VLOOKUP($C68,'NEW MODEL BY SES'!$C$19:$R$242,MATCH('SeS in Retail Sales Areas'!N$7,'NEW MODEL BY SES'!$C$17:$R$17,0),0),"")</f>
        <v/>
      </c>
      <c r="O68" s="140" t="str">
        <f>IFERROR(VLOOKUP($C68,'NEW MODEL BY SES'!$C$19:$R$242,MATCH('SeS in Retail Sales Areas'!O$7,'NEW MODEL BY SES'!$C$17:$R$17,0),0),"")</f>
        <v/>
      </c>
      <c r="P68" s="142" t="str">
        <f>IFERROR(VLOOKUP($C68,'NEW MODEL BY SES'!$C$19:$R$242,MATCH('SeS in Retail Sales Areas'!P$7,'NEW MODEL BY SES'!$C$17:$R$17,0),0),"")</f>
        <v/>
      </c>
      <c r="Q68" s="140" t="str">
        <f>IFERROR(VLOOKUP($C68,'NEW MODEL BY SES'!$C$19:$R$242,MATCH('SeS in Retail Sales Areas'!Q$7,'NEW MODEL BY SES'!$C$17:$R$17,0),0),"")</f>
        <v/>
      </c>
      <c r="R68" s="142" t="str">
        <f>IFERROR(VLOOKUP($C68,'NEW MODEL BY SES'!$C$19:$R$242,MATCH('SeS in Retail Sales Areas'!R$7,'NEW MODEL BY SES'!$C$17:$R$17,0),0),"")</f>
        <v/>
      </c>
      <c r="S68" s="141" t="str">
        <f>IFERROR(VLOOKUP($C68,'NEW MODEL BY SES'!$C$19:$R$242,MATCH('SeS in Retail Sales Areas'!S$7,'NEW MODEL BY SES'!$C$17:$R$17,0),0),"")</f>
        <v/>
      </c>
      <c r="T68" s="140" t="str">
        <f>IFERROR(VLOOKUP($C68,'NEW MODEL BY SES'!$C$19:$R$242,MATCH('SeS in Retail Sales Areas'!T$7,'NEW MODEL BY SES'!$C$17:$R$17,0),0),"")</f>
        <v/>
      </c>
      <c r="U68" s="142" t="str">
        <f>IFERROR(VLOOKUP($C68,'NEW MODEL BY SES'!$C$19:$R$242,MATCH('SeS in Retail Sales Areas'!U$7,'NEW MODEL BY SES'!$C$17:$R$17,0),0),"")</f>
        <v/>
      </c>
      <c r="V68" s="140" t="str">
        <f>IFERROR(VLOOKUP($C68,'NEW MODEL BY SES'!$C$19:$R$242,MATCH('SeS in Retail Sales Areas'!V$7,'NEW MODEL BY SES'!$C$17:$R$17,0),0),"")</f>
        <v/>
      </c>
      <c r="W68" s="141" t="str">
        <f>IFERROR(VLOOKUP($C68,'NEW MODEL BY SES'!$C$19:$R$242,MATCH('SeS in Retail Sales Areas'!W$7,'NEW MODEL BY SES'!$C$17:$R$17,0),0),"")</f>
        <v/>
      </c>
      <c r="X68" s="140" t="str">
        <f>IFERROR(VLOOKUP($C68,'NEW MODEL BY SES'!$C$19:$R$242,MATCH('SeS in Retail Sales Areas'!X$7,'NEW MODEL BY SES'!$C$17:$R$17,0),0),"")</f>
        <v/>
      </c>
      <c r="Z68" s="57"/>
    </row>
    <row r="69" spans="1:26">
      <c r="A69" t="s">
        <v>984</v>
      </c>
      <c r="B69" s="57">
        <v>92</v>
      </c>
      <c r="C69" t="s">
        <v>997</v>
      </c>
      <c r="D69" t="s">
        <v>40</v>
      </c>
      <c r="E69"/>
      <c r="F69" s="140" t="str">
        <f>IFERROR(VLOOKUP($C69,'NEW MODEL BY SES'!$C$19:$R$242,MATCH('SeS in Retail Sales Areas'!F$7,'NEW MODEL BY SES'!$C$17:$R$17,0),0),"")</f>
        <v/>
      </c>
      <c r="G69" s="140" t="str">
        <f>IFERROR(VLOOKUP($C69,'NEW MODEL BY SES'!$C$19:$R$242,MATCH('SeS in Retail Sales Areas'!G$7,'NEW MODEL BY SES'!$C$17:$R$17,0),0),"")</f>
        <v/>
      </c>
      <c r="H69" s="142" t="str">
        <f>IFERROR(VLOOKUP($C69,'NEW MODEL BY SES'!$C$19:$R$242,MATCH('SeS in Retail Sales Areas'!H$7,'NEW MODEL BY SES'!$C$17:$R$17,0),0),"")</f>
        <v/>
      </c>
      <c r="I69" s="140" t="str">
        <f>IFERROR(VLOOKUP($C69,'NEW MODEL BY SES'!$C$19:$R$242,MATCH('SeS in Retail Sales Areas'!I$7,'NEW MODEL BY SES'!$C$17:$R$17,0),0),"")</f>
        <v/>
      </c>
      <c r="J69" s="142" t="str">
        <f>IFERROR(VLOOKUP($C69,'NEW MODEL BY SES'!$C$19:$R$242,MATCH('SeS in Retail Sales Areas'!J$7,'NEW MODEL BY SES'!$C$17:$R$17,0),0),"")</f>
        <v/>
      </c>
      <c r="K69" s="140" t="str">
        <f>IFERROR(VLOOKUP($C69,'NEW MODEL BY SES'!$C$19:$R$242,MATCH('SeS in Retail Sales Areas'!K$7,'NEW MODEL BY SES'!$C$17:$R$17,0),0),"")</f>
        <v/>
      </c>
      <c r="L69" s="142" t="str">
        <f>IFERROR(VLOOKUP($C69,'NEW MODEL BY SES'!$C$19:$R$242,MATCH('SeS in Retail Sales Areas'!L$7,'NEW MODEL BY SES'!$C$17:$R$17,0),0),"")</f>
        <v/>
      </c>
      <c r="M69" s="140" t="str">
        <f>IFERROR(VLOOKUP($C69,'NEW MODEL BY SES'!$C$19:$R$242,MATCH('SeS in Retail Sales Areas'!M$7,'NEW MODEL BY SES'!$C$17:$R$17,0),0),"")</f>
        <v/>
      </c>
      <c r="N69" s="142" t="str">
        <f>IFERROR(VLOOKUP($C69,'NEW MODEL BY SES'!$C$19:$R$242,MATCH('SeS in Retail Sales Areas'!N$7,'NEW MODEL BY SES'!$C$17:$R$17,0),0),"")</f>
        <v/>
      </c>
      <c r="O69" s="140" t="str">
        <f>IFERROR(VLOOKUP($C69,'NEW MODEL BY SES'!$C$19:$R$242,MATCH('SeS in Retail Sales Areas'!O$7,'NEW MODEL BY SES'!$C$17:$R$17,0),0),"")</f>
        <v/>
      </c>
      <c r="P69" s="142" t="str">
        <f>IFERROR(VLOOKUP($C69,'NEW MODEL BY SES'!$C$19:$R$242,MATCH('SeS in Retail Sales Areas'!P$7,'NEW MODEL BY SES'!$C$17:$R$17,0),0),"")</f>
        <v/>
      </c>
      <c r="Q69" s="140" t="str">
        <f>IFERROR(VLOOKUP($C69,'NEW MODEL BY SES'!$C$19:$R$242,MATCH('SeS in Retail Sales Areas'!Q$7,'NEW MODEL BY SES'!$C$17:$R$17,0),0),"")</f>
        <v/>
      </c>
      <c r="R69" s="142" t="str">
        <f>IFERROR(VLOOKUP($C69,'NEW MODEL BY SES'!$C$19:$R$242,MATCH('SeS in Retail Sales Areas'!R$7,'NEW MODEL BY SES'!$C$17:$R$17,0),0),"")</f>
        <v/>
      </c>
      <c r="S69" s="141" t="str">
        <f>IFERROR(VLOOKUP($C69,'NEW MODEL BY SES'!$C$19:$R$242,MATCH('SeS in Retail Sales Areas'!S$7,'NEW MODEL BY SES'!$C$17:$R$17,0),0),"")</f>
        <v/>
      </c>
      <c r="T69" s="140" t="str">
        <f>IFERROR(VLOOKUP($C69,'NEW MODEL BY SES'!$C$19:$R$242,MATCH('SeS in Retail Sales Areas'!T$7,'NEW MODEL BY SES'!$C$17:$R$17,0),0),"")</f>
        <v/>
      </c>
      <c r="U69" s="142" t="str">
        <f>IFERROR(VLOOKUP($C69,'NEW MODEL BY SES'!$C$19:$R$242,MATCH('SeS in Retail Sales Areas'!U$7,'NEW MODEL BY SES'!$C$17:$R$17,0),0),"")</f>
        <v/>
      </c>
      <c r="V69" s="140" t="str">
        <f>IFERROR(VLOOKUP($C69,'NEW MODEL BY SES'!$C$19:$R$242,MATCH('SeS in Retail Sales Areas'!V$7,'NEW MODEL BY SES'!$C$17:$R$17,0),0),"")</f>
        <v/>
      </c>
      <c r="W69" s="141" t="str">
        <f>IFERROR(VLOOKUP($C69,'NEW MODEL BY SES'!$C$19:$R$242,MATCH('SeS in Retail Sales Areas'!W$7,'NEW MODEL BY SES'!$C$17:$R$17,0),0),"")</f>
        <v/>
      </c>
      <c r="X69" s="140" t="str">
        <f>IFERROR(VLOOKUP($C69,'NEW MODEL BY SES'!$C$19:$R$242,MATCH('SeS in Retail Sales Areas'!X$7,'NEW MODEL BY SES'!$C$17:$R$17,0),0),"")</f>
        <v/>
      </c>
      <c r="Z69" s="57"/>
    </row>
    <row r="70" spans="1:26">
      <c r="A70" t="s">
        <v>984</v>
      </c>
      <c r="B70" s="57">
        <v>90</v>
      </c>
      <c r="C70" t="s">
        <v>998</v>
      </c>
      <c r="D70" t="s">
        <v>40</v>
      </c>
      <c r="E70"/>
      <c r="F70" s="140" t="str">
        <f>IFERROR(VLOOKUP($C70,'NEW MODEL BY SES'!$C$19:$R$242,MATCH('SeS in Retail Sales Areas'!F$7,'NEW MODEL BY SES'!$C$17:$R$17,0),0),"")</f>
        <v/>
      </c>
      <c r="G70" s="140" t="str">
        <f>IFERROR(VLOOKUP($C70,'NEW MODEL BY SES'!$C$19:$R$242,MATCH('SeS in Retail Sales Areas'!G$7,'NEW MODEL BY SES'!$C$17:$R$17,0),0),"")</f>
        <v/>
      </c>
      <c r="H70" s="142" t="str">
        <f>IFERROR(VLOOKUP($C70,'NEW MODEL BY SES'!$C$19:$R$242,MATCH('SeS in Retail Sales Areas'!H$7,'NEW MODEL BY SES'!$C$17:$R$17,0),0),"")</f>
        <v/>
      </c>
      <c r="I70" s="140" t="str">
        <f>IFERROR(VLOOKUP($C70,'NEW MODEL BY SES'!$C$19:$R$242,MATCH('SeS in Retail Sales Areas'!I$7,'NEW MODEL BY SES'!$C$17:$R$17,0),0),"")</f>
        <v/>
      </c>
      <c r="J70" s="142" t="str">
        <f>IFERROR(VLOOKUP($C70,'NEW MODEL BY SES'!$C$19:$R$242,MATCH('SeS in Retail Sales Areas'!J$7,'NEW MODEL BY SES'!$C$17:$R$17,0),0),"")</f>
        <v/>
      </c>
      <c r="K70" s="140" t="str">
        <f>IFERROR(VLOOKUP($C70,'NEW MODEL BY SES'!$C$19:$R$242,MATCH('SeS in Retail Sales Areas'!K$7,'NEW MODEL BY SES'!$C$17:$R$17,0),0),"")</f>
        <v/>
      </c>
      <c r="L70" s="142" t="str">
        <f>IFERROR(VLOOKUP($C70,'NEW MODEL BY SES'!$C$19:$R$242,MATCH('SeS in Retail Sales Areas'!L$7,'NEW MODEL BY SES'!$C$17:$R$17,0),0),"")</f>
        <v/>
      </c>
      <c r="M70" s="140" t="str">
        <f>IFERROR(VLOOKUP($C70,'NEW MODEL BY SES'!$C$19:$R$242,MATCH('SeS in Retail Sales Areas'!M$7,'NEW MODEL BY SES'!$C$17:$R$17,0),0),"")</f>
        <v/>
      </c>
      <c r="N70" s="142" t="str">
        <f>IFERROR(VLOOKUP($C70,'NEW MODEL BY SES'!$C$19:$R$242,MATCH('SeS in Retail Sales Areas'!N$7,'NEW MODEL BY SES'!$C$17:$R$17,0),0),"")</f>
        <v/>
      </c>
      <c r="O70" s="140" t="str">
        <f>IFERROR(VLOOKUP($C70,'NEW MODEL BY SES'!$C$19:$R$242,MATCH('SeS in Retail Sales Areas'!O$7,'NEW MODEL BY SES'!$C$17:$R$17,0),0),"")</f>
        <v/>
      </c>
      <c r="P70" s="142" t="str">
        <f>IFERROR(VLOOKUP($C70,'NEW MODEL BY SES'!$C$19:$R$242,MATCH('SeS in Retail Sales Areas'!P$7,'NEW MODEL BY SES'!$C$17:$R$17,0),0),"")</f>
        <v/>
      </c>
      <c r="Q70" s="140" t="str">
        <f>IFERROR(VLOOKUP($C70,'NEW MODEL BY SES'!$C$19:$R$242,MATCH('SeS in Retail Sales Areas'!Q$7,'NEW MODEL BY SES'!$C$17:$R$17,0),0),"")</f>
        <v/>
      </c>
      <c r="R70" s="142" t="str">
        <f>IFERROR(VLOOKUP($C70,'NEW MODEL BY SES'!$C$19:$R$242,MATCH('SeS in Retail Sales Areas'!R$7,'NEW MODEL BY SES'!$C$17:$R$17,0),0),"")</f>
        <v/>
      </c>
      <c r="S70" s="141" t="str">
        <f>IFERROR(VLOOKUP($C70,'NEW MODEL BY SES'!$C$19:$R$242,MATCH('SeS in Retail Sales Areas'!S$7,'NEW MODEL BY SES'!$C$17:$R$17,0),0),"")</f>
        <v/>
      </c>
      <c r="T70" s="140" t="str">
        <f>IFERROR(VLOOKUP($C70,'NEW MODEL BY SES'!$C$19:$R$242,MATCH('SeS in Retail Sales Areas'!T$7,'NEW MODEL BY SES'!$C$17:$R$17,0),0),"")</f>
        <v/>
      </c>
      <c r="U70" s="142" t="str">
        <f>IFERROR(VLOOKUP($C70,'NEW MODEL BY SES'!$C$19:$R$242,MATCH('SeS in Retail Sales Areas'!U$7,'NEW MODEL BY SES'!$C$17:$R$17,0),0),"")</f>
        <v/>
      </c>
      <c r="V70" s="140" t="str">
        <f>IFERROR(VLOOKUP($C70,'NEW MODEL BY SES'!$C$19:$R$242,MATCH('SeS in Retail Sales Areas'!V$7,'NEW MODEL BY SES'!$C$17:$R$17,0),0),"")</f>
        <v/>
      </c>
      <c r="W70" s="141" t="str">
        <f>IFERROR(VLOOKUP($C70,'NEW MODEL BY SES'!$C$19:$R$242,MATCH('SeS in Retail Sales Areas'!W$7,'NEW MODEL BY SES'!$C$17:$R$17,0),0),"")</f>
        <v/>
      </c>
      <c r="X70" s="140" t="str">
        <f>IFERROR(VLOOKUP($C70,'NEW MODEL BY SES'!$C$19:$R$242,MATCH('SeS in Retail Sales Areas'!X$7,'NEW MODEL BY SES'!$C$17:$R$17,0),0),"")</f>
        <v/>
      </c>
      <c r="Z70" s="57"/>
    </row>
    <row r="71" spans="1:26">
      <c r="A71" t="s">
        <v>984</v>
      </c>
      <c r="B71" s="57">
        <v>88</v>
      </c>
      <c r="C71" t="s">
        <v>999</v>
      </c>
      <c r="D71" t="s">
        <v>40</v>
      </c>
      <c r="E71"/>
      <c r="F71" s="140" t="str">
        <f>IFERROR(VLOOKUP($C71,'NEW MODEL BY SES'!$C$19:$R$242,MATCH('SeS in Retail Sales Areas'!F$7,'NEW MODEL BY SES'!$C$17:$R$17,0),0),"")</f>
        <v/>
      </c>
      <c r="G71" s="140" t="str">
        <f>IFERROR(VLOOKUP($C71,'NEW MODEL BY SES'!$C$19:$R$242,MATCH('SeS in Retail Sales Areas'!G$7,'NEW MODEL BY SES'!$C$17:$R$17,0),0),"")</f>
        <v/>
      </c>
      <c r="H71" s="142" t="str">
        <f>IFERROR(VLOOKUP($C71,'NEW MODEL BY SES'!$C$19:$R$242,MATCH('SeS in Retail Sales Areas'!H$7,'NEW MODEL BY SES'!$C$17:$R$17,0),0),"")</f>
        <v/>
      </c>
      <c r="I71" s="140" t="str">
        <f>IFERROR(VLOOKUP($C71,'NEW MODEL BY SES'!$C$19:$R$242,MATCH('SeS in Retail Sales Areas'!I$7,'NEW MODEL BY SES'!$C$17:$R$17,0),0),"")</f>
        <v/>
      </c>
      <c r="J71" s="142" t="str">
        <f>IFERROR(VLOOKUP($C71,'NEW MODEL BY SES'!$C$19:$R$242,MATCH('SeS in Retail Sales Areas'!J$7,'NEW MODEL BY SES'!$C$17:$R$17,0),0),"")</f>
        <v/>
      </c>
      <c r="K71" s="140" t="str">
        <f>IFERROR(VLOOKUP($C71,'NEW MODEL BY SES'!$C$19:$R$242,MATCH('SeS in Retail Sales Areas'!K$7,'NEW MODEL BY SES'!$C$17:$R$17,0),0),"")</f>
        <v/>
      </c>
      <c r="L71" s="142" t="str">
        <f>IFERROR(VLOOKUP($C71,'NEW MODEL BY SES'!$C$19:$R$242,MATCH('SeS in Retail Sales Areas'!L$7,'NEW MODEL BY SES'!$C$17:$R$17,0),0),"")</f>
        <v/>
      </c>
      <c r="M71" s="140" t="str">
        <f>IFERROR(VLOOKUP($C71,'NEW MODEL BY SES'!$C$19:$R$242,MATCH('SeS in Retail Sales Areas'!M$7,'NEW MODEL BY SES'!$C$17:$R$17,0),0),"")</f>
        <v/>
      </c>
      <c r="N71" s="142" t="str">
        <f>IFERROR(VLOOKUP($C71,'NEW MODEL BY SES'!$C$19:$R$242,MATCH('SeS in Retail Sales Areas'!N$7,'NEW MODEL BY SES'!$C$17:$R$17,0),0),"")</f>
        <v/>
      </c>
      <c r="O71" s="140" t="str">
        <f>IFERROR(VLOOKUP($C71,'NEW MODEL BY SES'!$C$19:$R$242,MATCH('SeS in Retail Sales Areas'!O$7,'NEW MODEL BY SES'!$C$17:$R$17,0),0),"")</f>
        <v/>
      </c>
      <c r="P71" s="142" t="str">
        <f>IFERROR(VLOOKUP($C71,'NEW MODEL BY SES'!$C$19:$R$242,MATCH('SeS in Retail Sales Areas'!P$7,'NEW MODEL BY SES'!$C$17:$R$17,0),0),"")</f>
        <v/>
      </c>
      <c r="Q71" s="140" t="str">
        <f>IFERROR(VLOOKUP($C71,'NEW MODEL BY SES'!$C$19:$R$242,MATCH('SeS in Retail Sales Areas'!Q$7,'NEW MODEL BY SES'!$C$17:$R$17,0),0),"")</f>
        <v/>
      </c>
      <c r="R71" s="142" t="str">
        <f>IFERROR(VLOOKUP($C71,'NEW MODEL BY SES'!$C$19:$R$242,MATCH('SeS in Retail Sales Areas'!R$7,'NEW MODEL BY SES'!$C$17:$R$17,0),0),"")</f>
        <v/>
      </c>
      <c r="S71" s="141" t="str">
        <f>IFERROR(VLOOKUP($C71,'NEW MODEL BY SES'!$C$19:$R$242,MATCH('SeS in Retail Sales Areas'!S$7,'NEW MODEL BY SES'!$C$17:$R$17,0),0),"")</f>
        <v/>
      </c>
      <c r="T71" s="140" t="str">
        <f>IFERROR(VLOOKUP($C71,'NEW MODEL BY SES'!$C$19:$R$242,MATCH('SeS in Retail Sales Areas'!T$7,'NEW MODEL BY SES'!$C$17:$R$17,0),0),"")</f>
        <v/>
      </c>
      <c r="U71" s="142" t="str">
        <f>IFERROR(VLOOKUP($C71,'NEW MODEL BY SES'!$C$19:$R$242,MATCH('SeS in Retail Sales Areas'!U$7,'NEW MODEL BY SES'!$C$17:$R$17,0),0),"")</f>
        <v/>
      </c>
      <c r="V71" s="140" t="str">
        <f>IFERROR(VLOOKUP($C71,'NEW MODEL BY SES'!$C$19:$R$242,MATCH('SeS in Retail Sales Areas'!V$7,'NEW MODEL BY SES'!$C$17:$R$17,0),0),"")</f>
        <v/>
      </c>
      <c r="W71" s="141" t="str">
        <f>IFERROR(VLOOKUP($C71,'NEW MODEL BY SES'!$C$19:$R$242,MATCH('SeS in Retail Sales Areas'!W$7,'NEW MODEL BY SES'!$C$17:$R$17,0),0),"")</f>
        <v/>
      </c>
      <c r="X71" s="140" t="str">
        <f>IFERROR(VLOOKUP($C71,'NEW MODEL BY SES'!$C$19:$R$242,MATCH('SeS in Retail Sales Areas'!X$7,'NEW MODEL BY SES'!$C$17:$R$17,0),0),"")</f>
        <v/>
      </c>
      <c r="Z71" s="57"/>
    </row>
    <row r="72" spans="1:26">
      <c r="A72" t="s">
        <v>984</v>
      </c>
      <c r="B72" s="57">
        <v>87</v>
      </c>
      <c r="C72" t="s">
        <v>1000</v>
      </c>
      <c r="D72" t="s">
        <v>40</v>
      </c>
      <c r="E72"/>
      <c r="F72" s="140" t="str">
        <f>IFERROR(VLOOKUP($C72,'NEW MODEL BY SES'!$C$19:$R$242,MATCH('SeS in Retail Sales Areas'!F$7,'NEW MODEL BY SES'!$C$17:$R$17,0),0),"")</f>
        <v/>
      </c>
      <c r="G72" s="140" t="str">
        <f>IFERROR(VLOOKUP($C72,'NEW MODEL BY SES'!$C$19:$R$242,MATCH('SeS in Retail Sales Areas'!G$7,'NEW MODEL BY SES'!$C$17:$R$17,0),0),"")</f>
        <v/>
      </c>
      <c r="H72" s="142" t="str">
        <f>IFERROR(VLOOKUP($C72,'NEW MODEL BY SES'!$C$19:$R$242,MATCH('SeS in Retail Sales Areas'!H$7,'NEW MODEL BY SES'!$C$17:$R$17,0),0),"")</f>
        <v/>
      </c>
      <c r="I72" s="140" t="str">
        <f>IFERROR(VLOOKUP($C72,'NEW MODEL BY SES'!$C$19:$R$242,MATCH('SeS in Retail Sales Areas'!I$7,'NEW MODEL BY SES'!$C$17:$R$17,0),0),"")</f>
        <v/>
      </c>
      <c r="J72" s="142" t="str">
        <f>IFERROR(VLOOKUP($C72,'NEW MODEL BY SES'!$C$19:$R$242,MATCH('SeS in Retail Sales Areas'!J$7,'NEW MODEL BY SES'!$C$17:$R$17,0),0),"")</f>
        <v/>
      </c>
      <c r="K72" s="140" t="str">
        <f>IFERROR(VLOOKUP($C72,'NEW MODEL BY SES'!$C$19:$R$242,MATCH('SeS in Retail Sales Areas'!K$7,'NEW MODEL BY SES'!$C$17:$R$17,0),0),"")</f>
        <v/>
      </c>
      <c r="L72" s="142" t="str">
        <f>IFERROR(VLOOKUP($C72,'NEW MODEL BY SES'!$C$19:$R$242,MATCH('SeS in Retail Sales Areas'!L$7,'NEW MODEL BY SES'!$C$17:$R$17,0),0),"")</f>
        <v/>
      </c>
      <c r="M72" s="140" t="str">
        <f>IFERROR(VLOOKUP($C72,'NEW MODEL BY SES'!$C$19:$R$242,MATCH('SeS in Retail Sales Areas'!M$7,'NEW MODEL BY SES'!$C$17:$R$17,0),0),"")</f>
        <v/>
      </c>
      <c r="N72" s="142" t="str">
        <f>IFERROR(VLOOKUP($C72,'NEW MODEL BY SES'!$C$19:$R$242,MATCH('SeS in Retail Sales Areas'!N$7,'NEW MODEL BY SES'!$C$17:$R$17,0),0),"")</f>
        <v/>
      </c>
      <c r="O72" s="140" t="str">
        <f>IFERROR(VLOOKUP($C72,'NEW MODEL BY SES'!$C$19:$R$242,MATCH('SeS in Retail Sales Areas'!O$7,'NEW MODEL BY SES'!$C$17:$R$17,0),0),"")</f>
        <v/>
      </c>
      <c r="P72" s="142" t="str">
        <f>IFERROR(VLOOKUP($C72,'NEW MODEL BY SES'!$C$19:$R$242,MATCH('SeS in Retail Sales Areas'!P$7,'NEW MODEL BY SES'!$C$17:$R$17,0),0),"")</f>
        <v/>
      </c>
      <c r="Q72" s="140" t="str">
        <f>IFERROR(VLOOKUP($C72,'NEW MODEL BY SES'!$C$19:$R$242,MATCH('SeS in Retail Sales Areas'!Q$7,'NEW MODEL BY SES'!$C$17:$R$17,0),0),"")</f>
        <v/>
      </c>
      <c r="R72" s="142" t="str">
        <f>IFERROR(VLOOKUP($C72,'NEW MODEL BY SES'!$C$19:$R$242,MATCH('SeS in Retail Sales Areas'!R$7,'NEW MODEL BY SES'!$C$17:$R$17,0),0),"")</f>
        <v/>
      </c>
      <c r="S72" s="141" t="str">
        <f>IFERROR(VLOOKUP($C72,'NEW MODEL BY SES'!$C$19:$R$242,MATCH('SeS in Retail Sales Areas'!S$7,'NEW MODEL BY SES'!$C$17:$R$17,0),0),"")</f>
        <v/>
      </c>
      <c r="T72" s="140" t="str">
        <f>IFERROR(VLOOKUP($C72,'NEW MODEL BY SES'!$C$19:$R$242,MATCH('SeS in Retail Sales Areas'!T$7,'NEW MODEL BY SES'!$C$17:$R$17,0),0),"")</f>
        <v/>
      </c>
      <c r="U72" s="142" t="str">
        <f>IFERROR(VLOOKUP($C72,'NEW MODEL BY SES'!$C$19:$R$242,MATCH('SeS in Retail Sales Areas'!U$7,'NEW MODEL BY SES'!$C$17:$R$17,0),0),"")</f>
        <v/>
      </c>
      <c r="V72" s="140" t="str">
        <f>IFERROR(VLOOKUP($C72,'NEW MODEL BY SES'!$C$19:$R$242,MATCH('SeS in Retail Sales Areas'!V$7,'NEW MODEL BY SES'!$C$17:$R$17,0),0),"")</f>
        <v/>
      </c>
      <c r="W72" s="141" t="str">
        <f>IFERROR(VLOOKUP($C72,'NEW MODEL BY SES'!$C$19:$R$242,MATCH('SeS in Retail Sales Areas'!W$7,'NEW MODEL BY SES'!$C$17:$R$17,0),0),"")</f>
        <v/>
      </c>
      <c r="X72" s="140" t="str">
        <f>IFERROR(VLOOKUP($C72,'NEW MODEL BY SES'!$C$19:$R$242,MATCH('SeS in Retail Sales Areas'!X$7,'NEW MODEL BY SES'!$C$17:$R$17,0),0),"")</f>
        <v/>
      </c>
      <c r="Z72" s="57"/>
    </row>
    <row r="73" spans="1:26">
      <c r="A73" t="s">
        <v>984</v>
      </c>
      <c r="B73" s="57">
        <v>83</v>
      </c>
      <c r="C73" t="s">
        <v>1001</v>
      </c>
      <c r="D73" t="s">
        <v>40</v>
      </c>
      <c r="E73"/>
      <c r="F73" s="140" t="str">
        <f>IFERROR(VLOOKUP($C73,'NEW MODEL BY SES'!$C$19:$R$242,MATCH('SeS in Retail Sales Areas'!F$7,'NEW MODEL BY SES'!$C$17:$R$17,0),0),"")</f>
        <v/>
      </c>
      <c r="G73" s="140" t="str">
        <f>IFERROR(VLOOKUP($C73,'NEW MODEL BY SES'!$C$19:$R$242,MATCH('SeS in Retail Sales Areas'!G$7,'NEW MODEL BY SES'!$C$17:$R$17,0),0),"")</f>
        <v/>
      </c>
      <c r="H73" s="142" t="str">
        <f>IFERROR(VLOOKUP($C73,'NEW MODEL BY SES'!$C$19:$R$242,MATCH('SeS in Retail Sales Areas'!H$7,'NEW MODEL BY SES'!$C$17:$R$17,0),0),"")</f>
        <v/>
      </c>
      <c r="I73" s="140" t="str">
        <f>IFERROR(VLOOKUP($C73,'NEW MODEL BY SES'!$C$19:$R$242,MATCH('SeS in Retail Sales Areas'!I$7,'NEW MODEL BY SES'!$C$17:$R$17,0),0),"")</f>
        <v/>
      </c>
      <c r="J73" s="142" t="str">
        <f>IFERROR(VLOOKUP($C73,'NEW MODEL BY SES'!$C$19:$R$242,MATCH('SeS in Retail Sales Areas'!J$7,'NEW MODEL BY SES'!$C$17:$R$17,0),0),"")</f>
        <v/>
      </c>
      <c r="K73" s="140" t="str">
        <f>IFERROR(VLOOKUP($C73,'NEW MODEL BY SES'!$C$19:$R$242,MATCH('SeS in Retail Sales Areas'!K$7,'NEW MODEL BY SES'!$C$17:$R$17,0),0),"")</f>
        <v/>
      </c>
      <c r="L73" s="142" t="str">
        <f>IFERROR(VLOOKUP($C73,'NEW MODEL BY SES'!$C$19:$R$242,MATCH('SeS in Retail Sales Areas'!L$7,'NEW MODEL BY SES'!$C$17:$R$17,0),0),"")</f>
        <v/>
      </c>
      <c r="M73" s="140" t="str">
        <f>IFERROR(VLOOKUP($C73,'NEW MODEL BY SES'!$C$19:$R$242,MATCH('SeS in Retail Sales Areas'!M$7,'NEW MODEL BY SES'!$C$17:$R$17,0),0),"")</f>
        <v/>
      </c>
      <c r="N73" s="142" t="str">
        <f>IFERROR(VLOOKUP($C73,'NEW MODEL BY SES'!$C$19:$R$242,MATCH('SeS in Retail Sales Areas'!N$7,'NEW MODEL BY SES'!$C$17:$R$17,0),0),"")</f>
        <v/>
      </c>
      <c r="O73" s="140" t="str">
        <f>IFERROR(VLOOKUP($C73,'NEW MODEL BY SES'!$C$19:$R$242,MATCH('SeS in Retail Sales Areas'!O$7,'NEW MODEL BY SES'!$C$17:$R$17,0),0),"")</f>
        <v/>
      </c>
      <c r="P73" s="142" t="str">
        <f>IFERROR(VLOOKUP($C73,'NEW MODEL BY SES'!$C$19:$R$242,MATCH('SeS in Retail Sales Areas'!P$7,'NEW MODEL BY SES'!$C$17:$R$17,0),0),"")</f>
        <v/>
      </c>
      <c r="Q73" s="140" t="str">
        <f>IFERROR(VLOOKUP($C73,'NEW MODEL BY SES'!$C$19:$R$242,MATCH('SeS in Retail Sales Areas'!Q$7,'NEW MODEL BY SES'!$C$17:$R$17,0),0),"")</f>
        <v/>
      </c>
      <c r="R73" s="142" t="str">
        <f>IFERROR(VLOOKUP($C73,'NEW MODEL BY SES'!$C$19:$R$242,MATCH('SeS in Retail Sales Areas'!R$7,'NEW MODEL BY SES'!$C$17:$R$17,0),0),"")</f>
        <v/>
      </c>
      <c r="S73" s="141" t="str">
        <f>IFERROR(VLOOKUP($C73,'NEW MODEL BY SES'!$C$19:$R$242,MATCH('SeS in Retail Sales Areas'!S$7,'NEW MODEL BY SES'!$C$17:$R$17,0),0),"")</f>
        <v/>
      </c>
      <c r="T73" s="140" t="str">
        <f>IFERROR(VLOOKUP($C73,'NEW MODEL BY SES'!$C$19:$R$242,MATCH('SeS in Retail Sales Areas'!T$7,'NEW MODEL BY SES'!$C$17:$R$17,0),0),"")</f>
        <v/>
      </c>
      <c r="U73" s="142" t="str">
        <f>IFERROR(VLOOKUP($C73,'NEW MODEL BY SES'!$C$19:$R$242,MATCH('SeS in Retail Sales Areas'!U$7,'NEW MODEL BY SES'!$C$17:$R$17,0),0),"")</f>
        <v/>
      </c>
      <c r="V73" s="140" t="str">
        <f>IFERROR(VLOOKUP($C73,'NEW MODEL BY SES'!$C$19:$R$242,MATCH('SeS in Retail Sales Areas'!V$7,'NEW MODEL BY SES'!$C$17:$R$17,0),0),"")</f>
        <v/>
      </c>
      <c r="W73" s="141" t="str">
        <f>IFERROR(VLOOKUP($C73,'NEW MODEL BY SES'!$C$19:$R$242,MATCH('SeS in Retail Sales Areas'!W$7,'NEW MODEL BY SES'!$C$17:$R$17,0),0),"")</f>
        <v/>
      </c>
      <c r="X73" s="140" t="str">
        <f>IFERROR(VLOOKUP($C73,'NEW MODEL BY SES'!$C$19:$R$242,MATCH('SeS in Retail Sales Areas'!X$7,'NEW MODEL BY SES'!$C$17:$R$17,0),0),"")</f>
        <v/>
      </c>
      <c r="Z73" s="57"/>
    </row>
    <row r="74" spans="1:26">
      <c r="A74" t="s">
        <v>984</v>
      </c>
      <c r="B74" s="57">
        <v>69</v>
      </c>
      <c r="C74" t="s">
        <v>1002</v>
      </c>
      <c r="D74" t="s">
        <v>44</v>
      </c>
      <c r="E74"/>
      <c r="F74" s="140" t="str">
        <f>IFERROR(VLOOKUP($C74,'NEW MODEL BY SES'!$C$19:$R$242,MATCH('SeS in Retail Sales Areas'!F$7,'NEW MODEL BY SES'!$C$17:$R$17,0),0),"")</f>
        <v/>
      </c>
      <c r="G74" s="140" t="str">
        <f>IFERROR(VLOOKUP($C74,'NEW MODEL BY SES'!$C$19:$R$242,MATCH('SeS in Retail Sales Areas'!G$7,'NEW MODEL BY SES'!$C$17:$R$17,0),0),"")</f>
        <v/>
      </c>
      <c r="H74" s="142" t="str">
        <f>IFERROR(VLOOKUP($C74,'NEW MODEL BY SES'!$C$19:$R$242,MATCH('SeS in Retail Sales Areas'!H$7,'NEW MODEL BY SES'!$C$17:$R$17,0),0),"")</f>
        <v/>
      </c>
      <c r="I74" s="140" t="str">
        <f>IFERROR(VLOOKUP($C74,'NEW MODEL BY SES'!$C$19:$R$242,MATCH('SeS in Retail Sales Areas'!I$7,'NEW MODEL BY SES'!$C$17:$R$17,0),0),"")</f>
        <v/>
      </c>
      <c r="J74" s="142" t="str">
        <f>IFERROR(VLOOKUP($C74,'NEW MODEL BY SES'!$C$19:$R$242,MATCH('SeS in Retail Sales Areas'!J$7,'NEW MODEL BY SES'!$C$17:$R$17,0),0),"")</f>
        <v/>
      </c>
      <c r="K74" s="140" t="str">
        <f>IFERROR(VLOOKUP($C74,'NEW MODEL BY SES'!$C$19:$R$242,MATCH('SeS in Retail Sales Areas'!K$7,'NEW MODEL BY SES'!$C$17:$R$17,0),0),"")</f>
        <v/>
      </c>
      <c r="L74" s="142" t="str">
        <f>IFERROR(VLOOKUP($C74,'NEW MODEL BY SES'!$C$19:$R$242,MATCH('SeS in Retail Sales Areas'!L$7,'NEW MODEL BY SES'!$C$17:$R$17,0),0),"")</f>
        <v/>
      </c>
      <c r="M74" s="140" t="str">
        <f>IFERROR(VLOOKUP($C74,'NEW MODEL BY SES'!$C$19:$R$242,MATCH('SeS in Retail Sales Areas'!M$7,'NEW MODEL BY SES'!$C$17:$R$17,0),0),"")</f>
        <v/>
      </c>
      <c r="N74" s="142" t="str">
        <f>IFERROR(VLOOKUP($C74,'NEW MODEL BY SES'!$C$19:$R$242,MATCH('SeS in Retail Sales Areas'!N$7,'NEW MODEL BY SES'!$C$17:$R$17,0),0),"")</f>
        <v/>
      </c>
      <c r="O74" s="140" t="str">
        <f>IFERROR(VLOOKUP($C74,'NEW MODEL BY SES'!$C$19:$R$242,MATCH('SeS in Retail Sales Areas'!O$7,'NEW MODEL BY SES'!$C$17:$R$17,0),0),"")</f>
        <v/>
      </c>
      <c r="P74" s="142" t="str">
        <f>IFERROR(VLOOKUP($C74,'NEW MODEL BY SES'!$C$19:$R$242,MATCH('SeS in Retail Sales Areas'!P$7,'NEW MODEL BY SES'!$C$17:$R$17,0),0),"")</f>
        <v/>
      </c>
      <c r="Q74" s="140" t="str">
        <f>IFERROR(VLOOKUP($C74,'NEW MODEL BY SES'!$C$19:$R$242,MATCH('SeS in Retail Sales Areas'!Q$7,'NEW MODEL BY SES'!$C$17:$R$17,0),0),"")</f>
        <v/>
      </c>
      <c r="R74" s="142" t="str">
        <f>IFERROR(VLOOKUP($C74,'NEW MODEL BY SES'!$C$19:$R$242,MATCH('SeS in Retail Sales Areas'!R$7,'NEW MODEL BY SES'!$C$17:$R$17,0),0),"")</f>
        <v/>
      </c>
      <c r="S74" s="141" t="str">
        <f>IFERROR(VLOOKUP($C74,'NEW MODEL BY SES'!$C$19:$R$242,MATCH('SeS in Retail Sales Areas'!S$7,'NEW MODEL BY SES'!$C$17:$R$17,0),0),"")</f>
        <v/>
      </c>
      <c r="T74" s="140" t="str">
        <f>IFERROR(VLOOKUP($C74,'NEW MODEL BY SES'!$C$19:$R$242,MATCH('SeS in Retail Sales Areas'!T$7,'NEW MODEL BY SES'!$C$17:$R$17,0),0),"")</f>
        <v/>
      </c>
      <c r="U74" s="142" t="str">
        <f>IFERROR(VLOOKUP($C74,'NEW MODEL BY SES'!$C$19:$R$242,MATCH('SeS in Retail Sales Areas'!U$7,'NEW MODEL BY SES'!$C$17:$R$17,0),0),"")</f>
        <v/>
      </c>
      <c r="V74" s="140" t="str">
        <f>IFERROR(VLOOKUP($C74,'NEW MODEL BY SES'!$C$19:$R$242,MATCH('SeS in Retail Sales Areas'!V$7,'NEW MODEL BY SES'!$C$17:$R$17,0),0),"")</f>
        <v/>
      </c>
      <c r="W74" s="141" t="str">
        <f>IFERROR(VLOOKUP($C74,'NEW MODEL BY SES'!$C$19:$R$242,MATCH('SeS in Retail Sales Areas'!W$7,'NEW MODEL BY SES'!$C$17:$R$17,0),0),"")</f>
        <v/>
      </c>
      <c r="X74" s="140" t="str">
        <f>IFERROR(VLOOKUP($C74,'NEW MODEL BY SES'!$C$19:$R$242,MATCH('SeS in Retail Sales Areas'!X$7,'NEW MODEL BY SES'!$C$17:$R$17,0),0),"")</f>
        <v/>
      </c>
      <c r="Z74" s="57"/>
    </row>
    <row r="75" spans="1:26">
      <c r="A75" t="s">
        <v>984</v>
      </c>
      <c r="B75" s="57">
        <v>68</v>
      </c>
      <c r="C75" t="s">
        <v>1003</v>
      </c>
      <c r="D75" t="s">
        <v>44</v>
      </c>
      <c r="E75"/>
      <c r="F75" s="140" t="str">
        <f>IFERROR(VLOOKUP($C75,'NEW MODEL BY SES'!$C$19:$R$242,MATCH('SeS in Retail Sales Areas'!F$7,'NEW MODEL BY SES'!$C$17:$R$17,0),0),"")</f>
        <v/>
      </c>
      <c r="G75" s="140" t="str">
        <f>IFERROR(VLOOKUP($C75,'NEW MODEL BY SES'!$C$19:$R$242,MATCH('SeS in Retail Sales Areas'!G$7,'NEW MODEL BY SES'!$C$17:$R$17,0),0),"")</f>
        <v/>
      </c>
      <c r="H75" s="142" t="str">
        <f>IFERROR(VLOOKUP($C75,'NEW MODEL BY SES'!$C$19:$R$242,MATCH('SeS in Retail Sales Areas'!H$7,'NEW MODEL BY SES'!$C$17:$R$17,0),0),"")</f>
        <v/>
      </c>
      <c r="I75" s="140" t="str">
        <f>IFERROR(VLOOKUP($C75,'NEW MODEL BY SES'!$C$19:$R$242,MATCH('SeS in Retail Sales Areas'!I$7,'NEW MODEL BY SES'!$C$17:$R$17,0),0),"")</f>
        <v/>
      </c>
      <c r="J75" s="142" t="str">
        <f>IFERROR(VLOOKUP($C75,'NEW MODEL BY SES'!$C$19:$R$242,MATCH('SeS in Retail Sales Areas'!J$7,'NEW MODEL BY SES'!$C$17:$R$17,0),0),"")</f>
        <v/>
      </c>
      <c r="K75" s="140" t="str">
        <f>IFERROR(VLOOKUP($C75,'NEW MODEL BY SES'!$C$19:$R$242,MATCH('SeS in Retail Sales Areas'!K$7,'NEW MODEL BY SES'!$C$17:$R$17,0),0),"")</f>
        <v/>
      </c>
      <c r="L75" s="142" t="str">
        <f>IFERROR(VLOOKUP($C75,'NEW MODEL BY SES'!$C$19:$R$242,MATCH('SeS in Retail Sales Areas'!L$7,'NEW MODEL BY SES'!$C$17:$R$17,0),0),"")</f>
        <v/>
      </c>
      <c r="M75" s="140" t="str">
        <f>IFERROR(VLOOKUP($C75,'NEW MODEL BY SES'!$C$19:$R$242,MATCH('SeS in Retail Sales Areas'!M$7,'NEW MODEL BY SES'!$C$17:$R$17,0),0),"")</f>
        <v/>
      </c>
      <c r="N75" s="142" t="str">
        <f>IFERROR(VLOOKUP($C75,'NEW MODEL BY SES'!$C$19:$R$242,MATCH('SeS in Retail Sales Areas'!N$7,'NEW MODEL BY SES'!$C$17:$R$17,0),0),"")</f>
        <v/>
      </c>
      <c r="O75" s="140" t="str">
        <f>IFERROR(VLOOKUP($C75,'NEW MODEL BY SES'!$C$19:$R$242,MATCH('SeS in Retail Sales Areas'!O$7,'NEW MODEL BY SES'!$C$17:$R$17,0),0),"")</f>
        <v/>
      </c>
      <c r="P75" s="142" t="str">
        <f>IFERROR(VLOOKUP($C75,'NEW MODEL BY SES'!$C$19:$R$242,MATCH('SeS in Retail Sales Areas'!P$7,'NEW MODEL BY SES'!$C$17:$R$17,0),0),"")</f>
        <v/>
      </c>
      <c r="Q75" s="140" t="str">
        <f>IFERROR(VLOOKUP($C75,'NEW MODEL BY SES'!$C$19:$R$242,MATCH('SeS in Retail Sales Areas'!Q$7,'NEW MODEL BY SES'!$C$17:$R$17,0),0),"")</f>
        <v/>
      </c>
      <c r="R75" s="142" t="str">
        <f>IFERROR(VLOOKUP($C75,'NEW MODEL BY SES'!$C$19:$R$242,MATCH('SeS in Retail Sales Areas'!R$7,'NEW MODEL BY SES'!$C$17:$R$17,0),0),"")</f>
        <v/>
      </c>
      <c r="S75" s="141" t="str">
        <f>IFERROR(VLOOKUP($C75,'NEW MODEL BY SES'!$C$19:$R$242,MATCH('SeS in Retail Sales Areas'!S$7,'NEW MODEL BY SES'!$C$17:$R$17,0),0),"")</f>
        <v/>
      </c>
      <c r="T75" s="140" t="str">
        <f>IFERROR(VLOOKUP($C75,'NEW MODEL BY SES'!$C$19:$R$242,MATCH('SeS in Retail Sales Areas'!T$7,'NEW MODEL BY SES'!$C$17:$R$17,0),0),"")</f>
        <v/>
      </c>
      <c r="U75" s="142" t="str">
        <f>IFERROR(VLOOKUP($C75,'NEW MODEL BY SES'!$C$19:$R$242,MATCH('SeS in Retail Sales Areas'!U$7,'NEW MODEL BY SES'!$C$17:$R$17,0),0),"")</f>
        <v/>
      </c>
      <c r="V75" s="140" t="str">
        <f>IFERROR(VLOOKUP($C75,'NEW MODEL BY SES'!$C$19:$R$242,MATCH('SeS in Retail Sales Areas'!V$7,'NEW MODEL BY SES'!$C$17:$R$17,0),0),"")</f>
        <v/>
      </c>
      <c r="W75" s="141" t="str">
        <f>IFERROR(VLOOKUP($C75,'NEW MODEL BY SES'!$C$19:$R$242,MATCH('SeS in Retail Sales Areas'!W$7,'NEW MODEL BY SES'!$C$17:$R$17,0),0),"")</f>
        <v/>
      </c>
      <c r="X75" s="140" t="str">
        <f>IFERROR(VLOOKUP($C75,'NEW MODEL BY SES'!$C$19:$R$242,MATCH('SeS in Retail Sales Areas'!X$7,'NEW MODEL BY SES'!$C$17:$R$17,0),0),"")</f>
        <v/>
      </c>
      <c r="Z75" s="57"/>
    </row>
    <row r="76" spans="1:26">
      <c r="A76" t="s">
        <v>984</v>
      </c>
      <c r="B76" s="57">
        <v>62</v>
      </c>
      <c r="C76" t="s">
        <v>1004</v>
      </c>
      <c r="D76" t="s">
        <v>44</v>
      </c>
      <c r="E76"/>
      <c r="F76" s="140" t="str">
        <f>IFERROR(VLOOKUP($C76,'NEW MODEL BY SES'!$C$19:$R$242,MATCH('SeS in Retail Sales Areas'!F$7,'NEW MODEL BY SES'!$C$17:$R$17,0),0),"")</f>
        <v/>
      </c>
      <c r="G76" s="140" t="str">
        <f>IFERROR(VLOOKUP($C76,'NEW MODEL BY SES'!$C$19:$R$242,MATCH('SeS in Retail Sales Areas'!G$7,'NEW MODEL BY SES'!$C$17:$R$17,0),0),"")</f>
        <v/>
      </c>
      <c r="H76" s="142" t="str">
        <f>IFERROR(VLOOKUP($C76,'NEW MODEL BY SES'!$C$19:$R$242,MATCH('SeS in Retail Sales Areas'!H$7,'NEW MODEL BY SES'!$C$17:$R$17,0),0),"")</f>
        <v/>
      </c>
      <c r="I76" s="140" t="str">
        <f>IFERROR(VLOOKUP($C76,'NEW MODEL BY SES'!$C$19:$R$242,MATCH('SeS in Retail Sales Areas'!I$7,'NEW MODEL BY SES'!$C$17:$R$17,0),0),"")</f>
        <v/>
      </c>
      <c r="J76" s="142" t="str">
        <f>IFERROR(VLOOKUP($C76,'NEW MODEL BY SES'!$C$19:$R$242,MATCH('SeS in Retail Sales Areas'!J$7,'NEW MODEL BY SES'!$C$17:$R$17,0),0),"")</f>
        <v/>
      </c>
      <c r="K76" s="140" t="str">
        <f>IFERROR(VLOOKUP($C76,'NEW MODEL BY SES'!$C$19:$R$242,MATCH('SeS in Retail Sales Areas'!K$7,'NEW MODEL BY SES'!$C$17:$R$17,0),0),"")</f>
        <v/>
      </c>
      <c r="L76" s="142" t="str">
        <f>IFERROR(VLOOKUP($C76,'NEW MODEL BY SES'!$C$19:$R$242,MATCH('SeS in Retail Sales Areas'!L$7,'NEW MODEL BY SES'!$C$17:$R$17,0),0),"")</f>
        <v/>
      </c>
      <c r="M76" s="140" t="str">
        <f>IFERROR(VLOOKUP($C76,'NEW MODEL BY SES'!$C$19:$R$242,MATCH('SeS in Retail Sales Areas'!M$7,'NEW MODEL BY SES'!$C$17:$R$17,0),0),"")</f>
        <v/>
      </c>
      <c r="N76" s="142" t="str">
        <f>IFERROR(VLOOKUP($C76,'NEW MODEL BY SES'!$C$19:$R$242,MATCH('SeS in Retail Sales Areas'!N$7,'NEW MODEL BY SES'!$C$17:$R$17,0),0),"")</f>
        <v/>
      </c>
      <c r="O76" s="140" t="str">
        <f>IFERROR(VLOOKUP($C76,'NEW MODEL BY SES'!$C$19:$R$242,MATCH('SeS in Retail Sales Areas'!O$7,'NEW MODEL BY SES'!$C$17:$R$17,0),0),"")</f>
        <v/>
      </c>
      <c r="P76" s="142" t="str">
        <f>IFERROR(VLOOKUP($C76,'NEW MODEL BY SES'!$C$19:$R$242,MATCH('SeS in Retail Sales Areas'!P$7,'NEW MODEL BY SES'!$C$17:$R$17,0),0),"")</f>
        <v/>
      </c>
      <c r="Q76" s="140" t="str">
        <f>IFERROR(VLOOKUP($C76,'NEW MODEL BY SES'!$C$19:$R$242,MATCH('SeS in Retail Sales Areas'!Q$7,'NEW MODEL BY SES'!$C$17:$R$17,0),0),"")</f>
        <v/>
      </c>
      <c r="R76" s="142" t="str">
        <f>IFERROR(VLOOKUP($C76,'NEW MODEL BY SES'!$C$19:$R$242,MATCH('SeS in Retail Sales Areas'!R$7,'NEW MODEL BY SES'!$C$17:$R$17,0),0),"")</f>
        <v/>
      </c>
      <c r="S76" s="141" t="str">
        <f>IFERROR(VLOOKUP($C76,'NEW MODEL BY SES'!$C$19:$R$242,MATCH('SeS in Retail Sales Areas'!S$7,'NEW MODEL BY SES'!$C$17:$R$17,0),0),"")</f>
        <v/>
      </c>
      <c r="T76" s="140" t="str">
        <f>IFERROR(VLOOKUP($C76,'NEW MODEL BY SES'!$C$19:$R$242,MATCH('SeS in Retail Sales Areas'!T$7,'NEW MODEL BY SES'!$C$17:$R$17,0),0),"")</f>
        <v/>
      </c>
      <c r="U76" s="142" t="str">
        <f>IFERROR(VLOOKUP($C76,'NEW MODEL BY SES'!$C$19:$R$242,MATCH('SeS in Retail Sales Areas'!U$7,'NEW MODEL BY SES'!$C$17:$R$17,0),0),"")</f>
        <v/>
      </c>
      <c r="V76" s="140" t="str">
        <f>IFERROR(VLOOKUP($C76,'NEW MODEL BY SES'!$C$19:$R$242,MATCH('SeS in Retail Sales Areas'!V$7,'NEW MODEL BY SES'!$C$17:$R$17,0),0),"")</f>
        <v/>
      </c>
      <c r="W76" s="141" t="str">
        <f>IFERROR(VLOOKUP($C76,'NEW MODEL BY SES'!$C$19:$R$242,MATCH('SeS in Retail Sales Areas'!W$7,'NEW MODEL BY SES'!$C$17:$R$17,0),0),"")</f>
        <v/>
      </c>
      <c r="X76" s="140" t="str">
        <f>IFERROR(VLOOKUP($C76,'NEW MODEL BY SES'!$C$19:$R$242,MATCH('SeS in Retail Sales Areas'!X$7,'NEW MODEL BY SES'!$C$17:$R$17,0),0),"")</f>
        <v/>
      </c>
      <c r="Z76" s="57"/>
    </row>
    <row r="77" spans="1:26">
      <c r="A77" t="s">
        <v>984</v>
      </c>
      <c r="B77" s="57">
        <v>58</v>
      </c>
      <c r="C77" t="s">
        <v>1005</v>
      </c>
      <c r="D77" t="s">
        <v>44</v>
      </c>
      <c r="E77"/>
      <c r="F77" s="140" t="str">
        <f>IFERROR(VLOOKUP($C77,'NEW MODEL BY SES'!$C$19:$R$242,MATCH('SeS in Retail Sales Areas'!F$7,'NEW MODEL BY SES'!$C$17:$R$17,0),0),"")</f>
        <v/>
      </c>
      <c r="G77" s="140" t="str">
        <f>IFERROR(VLOOKUP($C77,'NEW MODEL BY SES'!$C$19:$R$242,MATCH('SeS in Retail Sales Areas'!G$7,'NEW MODEL BY SES'!$C$17:$R$17,0),0),"")</f>
        <v/>
      </c>
      <c r="H77" s="142" t="str">
        <f>IFERROR(VLOOKUP($C77,'NEW MODEL BY SES'!$C$19:$R$242,MATCH('SeS in Retail Sales Areas'!H$7,'NEW MODEL BY SES'!$C$17:$R$17,0),0),"")</f>
        <v/>
      </c>
      <c r="I77" s="140" t="str">
        <f>IFERROR(VLOOKUP($C77,'NEW MODEL BY SES'!$C$19:$R$242,MATCH('SeS in Retail Sales Areas'!I$7,'NEW MODEL BY SES'!$C$17:$R$17,0),0),"")</f>
        <v/>
      </c>
      <c r="J77" s="142" t="str">
        <f>IFERROR(VLOOKUP($C77,'NEW MODEL BY SES'!$C$19:$R$242,MATCH('SeS in Retail Sales Areas'!J$7,'NEW MODEL BY SES'!$C$17:$R$17,0),0),"")</f>
        <v/>
      </c>
      <c r="K77" s="140" t="str">
        <f>IFERROR(VLOOKUP($C77,'NEW MODEL BY SES'!$C$19:$R$242,MATCH('SeS in Retail Sales Areas'!K$7,'NEW MODEL BY SES'!$C$17:$R$17,0),0),"")</f>
        <v/>
      </c>
      <c r="L77" s="142" t="str">
        <f>IFERROR(VLOOKUP($C77,'NEW MODEL BY SES'!$C$19:$R$242,MATCH('SeS in Retail Sales Areas'!L$7,'NEW MODEL BY SES'!$C$17:$R$17,0),0),"")</f>
        <v/>
      </c>
      <c r="M77" s="140" t="str">
        <f>IFERROR(VLOOKUP($C77,'NEW MODEL BY SES'!$C$19:$R$242,MATCH('SeS in Retail Sales Areas'!M$7,'NEW MODEL BY SES'!$C$17:$R$17,0),0),"")</f>
        <v/>
      </c>
      <c r="N77" s="142" t="str">
        <f>IFERROR(VLOOKUP($C77,'NEW MODEL BY SES'!$C$19:$R$242,MATCH('SeS in Retail Sales Areas'!N$7,'NEW MODEL BY SES'!$C$17:$R$17,0),0),"")</f>
        <v/>
      </c>
      <c r="O77" s="140" t="str">
        <f>IFERROR(VLOOKUP($C77,'NEW MODEL BY SES'!$C$19:$R$242,MATCH('SeS in Retail Sales Areas'!O$7,'NEW MODEL BY SES'!$C$17:$R$17,0),0),"")</f>
        <v/>
      </c>
      <c r="P77" s="142" t="str">
        <f>IFERROR(VLOOKUP($C77,'NEW MODEL BY SES'!$C$19:$R$242,MATCH('SeS in Retail Sales Areas'!P$7,'NEW MODEL BY SES'!$C$17:$R$17,0),0),"")</f>
        <v/>
      </c>
      <c r="Q77" s="140" t="str">
        <f>IFERROR(VLOOKUP($C77,'NEW MODEL BY SES'!$C$19:$R$242,MATCH('SeS in Retail Sales Areas'!Q$7,'NEW MODEL BY SES'!$C$17:$R$17,0),0),"")</f>
        <v/>
      </c>
      <c r="R77" s="142" t="str">
        <f>IFERROR(VLOOKUP($C77,'NEW MODEL BY SES'!$C$19:$R$242,MATCH('SeS in Retail Sales Areas'!R$7,'NEW MODEL BY SES'!$C$17:$R$17,0),0),"")</f>
        <v/>
      </c>
      <c r="S77" s="141" t="str">
        <f>IFERROR(VLOOKUP($C77,'NEW MODEL BY SES'!$C$19:$R$242,MATCH('SeS in Retail Sales Areas'!S$7,'NEW MODEL BY SES'!$C$17:$R$17,0),0),"")</f>
        <v/>
      </c>
      <c r="T77" s="140" t="str">
        <f>IFERROR(VLOOKUP($C77,'NEW MODEL BY SES'!$C$19:$R$242,MATCH('SeS in Retail Sales Areas'!T$7,'NEW MODEL BY SES'!$C$17:$R$17,0),0),"")</f>
        <v/>
      </c>
      <c r="U77" s="142" t="str">
        <f>IFERROR(VLOOKUP($C77,'NEW MODEL BY SES'!$C$19:$R$242,MATCH('SeS in Retail Sales Areas'!U$7,'NEW MODEL BY SES'!$C$17:$R$17,0),0),"")</f>
        <v/>
      </c>
      <c r="V77" s="140" t="str">
        <f>IFERROR(VLOOKUP($C77,'NEW MODEL BY SES'!$C$19:$R$242,MATCH('SeS in Retail Sales Areas'!V$7,'NEW MODEL BY SES'!$C$17:$R$17,0),0),"")</f>
        <v/>
      </c>
      <c r="W77" s="141" t="str">
        <f>IFERROR(VLOOKUP($C77,'NEW MODEL BY SES'!$C$19:$R$242,MATCH('SeS in Retail Sales Areas'!W$7,'NEW MODEL BY SES'!$C$17:$R$17,0),0),"")</f>
        <v/>
      </c>
      <c r="X77" s="140" t="str">
        <f>IFERROR(VLOOKUP($C77,'NEW MODEL BY SES'!$C$19:$R$242,MATCH('SeS in Retail Sales Areas'!X$7,'NEW MODEL BY SES'!$C$17:$R$17,0),0),"")</f>
        <v/>
      </c>
      <c r="Z77" s="57"/>
    </row>
    <row r="78" spans="1:26">
      <c r="A78" t="s">
        <v>984</v>
      </c>
      <c r="B78" s="57">
        <v>58</v>
      </c>
      <c r="C78" t="s">
        <v>1006</v>
      </c>
      <c r="D78" t="s">
        <v>44</v>
      </c>
      <c r="E78"/>
      <c r="F78" s="140" t="str">
        <f>IFERROR(VLOOKUP($C78,'NEW MODEL BY SES'!$C$19:$R$242,MATCH('SeS in Retail Sales Areas'!F$7,'NEW MODEL BY SES'!$C$17:$R$17,0),0),"")</f>
        <v/>
      </c>
      <c r="G78" s="140" t="str">
        <f>IFERROR(VLOOKUP($C78,'NEW MODEL BY SES'!$C$19:$R$242,MATCH('SeS in Retail Sales Areas'!G$7,'NEW MODEL BY SES'!$C$17:$R$17,0),0),"")</f>
        <v/>
      </c>
      <c r="H78" s="142" t="str">
        <f>IFERROR(VLOOKUP($C78,'NEW MODEL BY SES'!$C$19:$R$242,MATCH('SeS in Retail Sales Areas'!H$7,'NEW MODEL BY SES'!$C$17:$R$17,0),0),"")</f>
        <v/>
      </c>
      <c r="I78" s="140" t="str">
        <f>IFERROR(VLOOKUP($C78,'NEW MODEL BY SES'!$C$19:$R$242,MATCH('SeS in Retail Sales Areas'!I$7,'NEW MODEL BY SES'!$C$17:$R$17,0),0),"")</f>
        <v/>
      </c>
      <c r="J78" s="142" t="str">
        <f>IFERROR(VLOOKUP($C78,'NEW MODEL BY SES'!$C$19:$R$242,MATCH('SeS in Retail Sales Areas'!J$7,'NEW MODEL BY SES'!$C$17:$R$17,0),0),"")</f>
        <v/>
      </c>
      <c r="K78" s="140" t="str">
        <f>IFERROR(VLOOKUP($C78,'NEW MODEL BY SES'!$C$19:$R$242,MATCH('SeS in Retail Sales Areas'!K$7,'NEW MODEL BY SES'!$C$17:$R$17,0),0),"")</f>
        <v/>
      </c>
      <c r="L78" s="142" t="str">
        <f>IFERROR(VLOOKUP($C78,'NEW MODEL BY SES'!$C$19:$R$242,MATCH('SeS in Retail Sales Areas'!L$7,'NEW MODEL BY SES'!$C$17:$R$17,0),0),"")</f>
        <v/>
      </c>
      <c r="M78" s="140" t="str">
        <f>IFERROR(VLOOKUP($C78,'NEW MODEL BY SES'!$C$19:$R$242,MATCH('SeS in Retail Sales Areas'!M$7,'NEW MODEL BY SES'!$C$17:$R$17,0),0),"")</f>
        <v/>
      </c>
      <c r="N78" s="142" t="str">
        <f>IFERROR(VLOOKUP($C78,'NEW MODEL BY SES'!$C$19:$R$242,MATCH('SeS in Retail Sales Areas'!N$7,'NEW MODEL BY SES'!$C$17:$R$17,0),0),"")</f>
        <v/>
      </c>
      <c r="O78" s="140" t="str">
        <f>IFERROR(VLOOKUP($C78,'NEW MODEL BY SES'!$C$19:$R$242,MATCH('SeS in Retail Sales Areas'!O$7,'NEW MODEL BY SES'!$C$17:$R$17,0),0),"")</f>
        <v/>
      </c>
      <c r="P78" s="142" t="str">
        <f>IFERROR(VLOOKUP($C78,'NEW MODEL BY SES'!$C$19:$R$242,MATCH('SeS in Retail Sales Areas'!P$7,'NEW MODEL BY SES'!$C$17:$R$17,0),0),"")</f>
        <v/>
      </c>
      <c r="Q78" s="140" t="str">
        <f>IFERROR(VLOOKUP($C78,'NEW MODEL BY SES'!$C$19:$R$242,MATCH('SeS in Retail Sales Areas'!Q$7,'NEW MODEL BY SES'!$C$17:$R$17,0),0),"")</f>
        <v/>
      </c>
      <c r="R78" s="142" t="str">
        <f>IFERROR(VLOOKUP($C78,'NEW MODEL BY SES'!$C$19:$R$242,MATCH('SeS in Retail Sales Areas'!R$7,'NEW MODEL BY SES'!$C$17:$R$17,0),0),"")</f>
        <v/>
      </c>
      <c r="S78" s="141" t="str">
        <f>IFERROR(VLOOKUP($C78,'NEW MODEL BY SES'!$C$19:$R$242,MATCH('SeS in Retail Sales Areas'!S$7,'NEW MODEL BY SES'!$C$17:$R$17,0),0),"")</f>
        <v/>
      </c>
      <c r="T78" s="140" t="str">
        <f>IFERROR(VLOOKUP($C78,'NEW MODEL BY SES'!$C$19:$R$242,MATCH('SeS in Retail Sales Areas'!T$7,'NEW MODEL BY SES'!$C$17:$R$17,0),0),"")</f>
        <v/>
      </c>
      <c r="U78" s="142" t="str">
        <f>IFERROR(VLOOKUP($C78,'NEW MODEL BY SES'!$C$19:$R$242,MATCH('SeS in Retail Sales Areas'!U$7,'NEW MODEL BY SES'!$C$17:$R$17,0),0),"")</f>
        <v/>
      </c>
      <c r="V78" s="140" t="str">
        <f>IFERROR(VLOOKUP($C78,'NEW MODEL BY SES'!$C$19:$R$242,MATCH('SeS in Retail Sales Areas'!V$7,'NEW MODEL BY SES'!$C$17:$R$17,0),0),"")</f>
        <v/>
      </c>
      <c r="W78" s="141" t="str">
        <f>IFERROR(VLOOKUP($C78,'NEW MODEL BY SES'!$C$19:$R$242,MATCH('SeS in Retail Sales Areas'!W$7,'NEW MODEL BY SES'!$C$17:$R$17,0),0),"")</f>
        <v/>
      </c>
      <c r="X78" s="140" t="str">
        <f>IFERROR(VLOOKUP($C78,'NEW MODEL BY SES'!$C$19:$R$242,MATCH('SeS in Retail Sales Areas'!X$7,'NEW MODEL BY SES'!$C$17:$R$17,0),0),"")</f>
        <v/>
      </c>
      <c r="Z78" s="57"/>
    </row>
    <row r="79" spans="1:26">
      <c r="A79" t="s">
        <v>984</v>
      </c>
      <c r="B79" s="57">
        <v>57</v>
      </c>
      <c r="C79" t="s">
        <v>1007</v>
      </c>
      <c r="D79" t="s">
        <v>44</v>
      </c>
      <c r="E79"/>
      <c r="F79" s="140" t="str">
        <f>IFERROR(VLOOKUP($C79,'NEW MODEL BY SES'!$C$19:$R$242,MATCH('SeS in Retail Sales Areas'!F$7,'NEW MODEL BY SES'!$C$17:$R$17,0),0),"")</f>
        <v/>
      </c>
      <c r="G79" s="140" t="str">
        <f>IFERROR(VLOOKUP($C79,'NEW MODEL BY SES'!$C$19:$R$242,MATCH('SeS in Retail Sales Areas'!G$7,'NEW MODEL BY SES'!$C$17:$R$17,0),0),"")</f>
        <v/>
      </c>
      <c r="H79" s="142" t="str">
        <f>IFERROR(VLOOKUP($C79,'NEW MODEL BY SES'!$C$19:$R$242,MATCH('SeS in Retail Sales Areas'!H$7,'NEW MODEL BY SES'!$C$17:$R$17,0),0),"")</f>
        <v/>
      </c>
      <c r="I79" s="140" t="str">
        <f>IFERROR(VLOOKUP($C79,'NEW MODEL BY SES'!$C$19:$R$242,MATCH('SeS in Retail Sales Areas'!I$7,'NEW MODEL BY SES'!$C$17:$R$17,0),0),"")</f>
        <v/>
      </c>
      <c r="J79" s="142" t="str">
        <f>IFERROR(VLOOKUP($C79,'NEW MODEL BY SES'!$C$19:$R$242,MATCH('SeS in Retail Sales Areas'!J$7,'NEW MODEL BY SES'!$C$17:$R$17,0),0),"")</f>
        <v/>
      </c>
      <c r="K79" s="140" t="str">
        <f>IFERROR(VLOOKUP($C79,'NEW MODEL BY SES'!$C$19:$R$242,MATCH('SeS in Retail Sales Areas'!K$7,'NEW MODEL BY SES'!$C$17:$R$17,0),0),"")</f>
        <v/>
      </c>
      <c r="L79" s="142" t="str">
        <f>IFERROR(VLOOKUP($C79,'NEW MODEL BY SES'!$C$19:$R$242,MATCH('SeS in Retail Sales Areas'!L$7,'NEW MODEL BY SES'!$C$17:$R$17,0),0),"")</f>
        <v/>
      </c>
      <c r="M79" s="140" t="str">
        <f>IFERROR(VLOOKUP($C79,'NEW MODEL BY SES'!$C$19:$R$242,MATCH('SeS in Retail Sales Areas'!M$7,'NEW MODEL BY SES'!$C$17:$R$17,0),0),"")</f>
        <v/>
      </c>
      <c r="N79" s="142" t="str">
        <f>IFERROR(VLOOKUP($C79,'NEW MODEL BY SES'!$C$19:$R$242,MATCH('SeS in Retail Sales Areas'!N$7,'NEW MODEL BY SES'!$C$17:$R$17,0),0),"")</f>
        <v/>
      </c>
      <c r="O79" s="140" t="str">
        <f>IFERROR(VLOOKUP($C79,'NEW MODEL BY SES'!$C$19:$R$242,MATCH('SeS in Retail Sales Areas'!O$7,'NEW MODEL BY SES'!$C$17:$R$17,0),0),"")</f>
        <v/>
      </c>
      <c r="P79" s="142" t="str">
        <f>IFERROR(VLOOKUP($C79,'NEW MODEL BY SES'!$C$19:$R$242,MATCH('SeS in Retail Sales Areas'!P$7,'NEW MODEL BY SES'!$C$17:$R$17,0),0),"")</f>
        <v/>
      </c>
      <c r="Q79" s="140" t="str">
        <f>IFERROR(VLOOKUP($C79,'NEW MODEL BY SES'!$C$19:$R$242,MATCH('SeS in Retail Sales Areas'!Q$7,'NEW MODEL BY SES'!$C$17:$R$17,0),0),"")</f>
        <v/>
      </c>
      <c r="R79" s="142" t="str">
        <f>IFERROR(VLOOKUP($C79,'NEW MODEL BY SES'!$C$19:$R$242,MATCH('SeS in Retail Sales Areas'!R$7,'NEW MODEL BY SES'!$C$17:$R$17,0),0),"")</f>
        <v/>
      </c>
      <c r="S79" s="141" t="str">
        <f>IFERROR(VLOOKUP($C79,'NEW MODEL BY SES'!$C$19:$R$242,MATCH('SeS in Retail Sales Areas'!S$7,'NEW MODEL BY SES'!$C$17:$R$17,0),0),"")</f>
        <v/>
      </c>
      <c r="T79" s="140" t="str">
        <f>IFERROR(VLOOKUP($C79,'NEW MODEL BY SES'!$C$19:$R$242,MATCH('SeS in Retail Sales Areas'!T$7,'NEW MODEL BY SES'!$C$17:$R$17,0),0),"")</f>
        <v/>
      </c>
      <c r="U79" s="142" t="str">
        <f>IFERROR(VLOOKUP($C79,'NEW MODEL BY SES'!$C$19:$R$242,MATCH('SeS in Retail Sales Areas'!U$7,'NEW MODEL BY SES'!$C$17:$R$17,0),0),"")</f>
        <v/>
      </c>
      <c r="V79" s="140" t="str">
        <f>IFERROR(VLOOKUP($C79,'NEW MODEL BY SES'!$C$19:$R$242,MATCH('SeS in Retail Sales Areas'!V$7,'NEW MODEL BY SES'!$C$17:$R$17,0),0),"")</f>
        <v/>
      </c>
      <c r="W79" s="141" t="str">
        <f>IFERROR(VLOOKUP($C79,'NEW MODEL BY SES'!$C$19:$R$242,MATCH('SeS in Retail Sales Areas'!W$7,'NEW MODEL BY SES'!$C$17:$R$17,0),0),"")</f>
        <v/>
      </c>
      <c r="X79" s="140" t="str">
        <f>IFERROR(VLOOKUP($C79,'NEW MODEL BY SES'!$C$19:$R$242,MATCH('SeS in Retail Sales Areas'!X$7,'NEW MODEL BY SES'!$C$17:$R$17,0),0),"")</f>
        <v/>
      </c>
      <c r="Z79" s="57"/>
    </row>
    <row r="80" spans="1:26">
      <c r="A80" t="s">
        <v>984</v>
      </c>
      <c r="B80" s="57">
        <v>57</v>
      </c>
      <c r="C80" t="s">
        <v>1008</v>
      </c>
      <c r="D80" t="s">
        <v>44</v>
      </c>
      <c r="E80"/>
      <c r="F80" s="140" t="str">
        <f>IFERROR(VLOOKUP($C80,'NEW MODEL BY SES'!$C$19:$R$242,MATCH('SeS in Retail Sales Areas'!F$7,'NEW MODEL BY SES'!$C$17:$R$17,0),0),"")</f>
        <v/>
      </c>
      <c r="G80" s="140" t="str">
        <f>IFERROR(VLOOKUP($C80,'NEW MODEL BY SES'!$C$19:$R$242,MATCH('SeS in Retail Sales Areas'!G$7,'NEW MODEL BY SES'!$C$17:$R$17,0),0),"")</f>
        <v/>
      </c>
      <c r="H80" s="142" t="str">
        <f>IFERROR(VLOOKUP($C80,'NEW MODEL BY SES'!$C$19:$R$242,MATCH('SeS in Retail Sales Areas'!H$7,'NEW MODEL BY SES'!$C$17:$R$17,0),0),"")</f>
        <v/>
      </c>
      <c r="I80" s="140" t="str">
        <f>IFERROR(VLOOKUP($C80,'NEW MODEL BY SES'!$C$19:$R$242,MATCH('SeS in Retail Sales Areas'!I$7,'NEW MODEL BY SES'!$C$17:$R$17,0),0),"")</f>
        <v/>
      </c>
      <c r="J80" s="142" t="str">
        <f>IFERROR(VLOOKUP($C80,'NEW MODEL BY SES'!$C$19:$R$242,MATCH('SeS in Retail Sales Areas'!J$7,'NEW MODEL BY SES'!$C$17:$R$17,0),0),"")</f>
        <v/>
      </c>
      <c r="K80" s="140" t="str">
        <f>IFERROR(VLOOKUP($C80,'NEW MODEL BY SES'!$C$19:$R$242,MATCH('SeS in Retail Sales Areas'!K$7,'NEW MODEL BY SES'!$C$17:$R$17,0),0),"")</f>
        <v/>
      </c>
      <c r="L80" s="142" t="str">
        <f>IFERROR(VLOOKUP($C80,'NEW MODEL BY SES'!$C$19:$R$242,MATCH('SeS in Retail Sales Areas'!L$7,'NEW MODEL BY SES'!$C$17:$R$17,0),0),"")</f>
        <v/>
      </c>
      <c r="M80" s="140" t="str">
        <f>IFERROR(VLOOKUP($C80,'NEW MODEL BY SES'!$C$19:$R$242,MATCH('SeS in Retail Sales Areas'!M$7,'NEW MODEL BY SES'!$C$17:$R$17,0),0),"")</f>
        <v/>
      </c>
      <c r="N80" s="142" t="str">
        <f>IFERROR(VLOOKUP($C80,'NEW MODEL BY SES'!$C$19:$R$242,MATCH('SeS in Retail Sales Areas'!N$7,'NEW MODEL BY SES'!$C$17:$R$17,0),0),"")</f>
        <v/>
      </c>
      <c r="O80" s="140" t="str">
        <f>IFERROR(VLOOKUP($C80,'NEW MODEL BY SES'!$C$19:$R$242,MATCH('SeS in Retail Sales Areas'!O$7,'NEW MODEL BY SES'!$C$17:$R$17,0),0),"")</f>
        <v/>
      </c>
      <c r="P80" s="142" t="str">
        <f>IFERROR(VLOOKUP($C80,'NEW MODEL BY SES'!$C$19:$R$242,MATCH('SeS in Retail Sales Areas'!P$7,'NEW MODEL BY SES'!$C$17:$R$17,0),0),"")</f>
        <v/>
      </c>
      <c r="Q80" s="140" t="str">
        <f>IFERROR(VLOOKUP($C80,'NEW MODEL BY SES'!$C$19:$R$242,MATCH('SeS in Retail Sales Areas'!Q$7,'NEW MODEL BY SES'!$C$17:$R$17,0),0),"")</f>
        <v/>
      </c>
      <c r="R80" s="142" t="str">
        <f>IFERROR(VLOOKUP($C80,'NEW MODEL BY SES'!$C$19:$R$242,MATCH('SeS in Retail Sales Areas'!R$7,'NEW MODEL BY SES'!$C$17:$R$17,0),0),"")</f>
        <v/>
      </c>
      <c r="S80" s="141" t="str">
        <f>IFERROR(VLOOKUP($C80,'NEW MODEL BY SES'!$C$19:$R$242,MATCH('SeS in Retail Sales Areas'!S$7,'NEW MODEL BY SES'!$C$17:$R$17,0),0),"")</f>
        <v/>
      </c>
      <c r="T80" s="140" t="str">
        <f>IFERROR(VLOOKUP($C80,'NEW MODEL BY SES'!$C$19:$R$242,MATCH('SeS in Retail Sales Areas'!T$7,'NEW MODEL BY SES'!$C$17:$R$17,0),0),"")</f>
        <v/>
      </c>
      <c r="U80" s="142" t="str">
        <f>IFERROR(VLOOKUP($C80,'NEW MODEL BY SES'!$C$19:$R$242,MATCH('SeS in Retail Sales Areas'!U$7,'NEW MODEL BY SES'!$C$17:$R$17,0),0),"")</f>
        <v/>
      </c>
      <c r="V80" s="140" t="str">
        <f>IFERROR(VLOOKUP($C80,'NEW MODEL BY SES'!$C$19:$R$242,MATCH('SeS in Retail Sales Areas'!V$7,'NEW MODEL BY SES'!$C$17:$R$17,0),0),"")</f>
        <v/>
      </c>
      <c r="W80" s="141" t="str">
        <f>IFERROR(VLOOKUP($C80,'NEW MODEL BY SES'!$C$19:$R$242,MATCH('SeS in Retail Sales Areas'!W$7,'NEW MODEL BY SES'!$C$17:$R$17,0),0),"")</f>
        <v/>
      </c>
      <c r="X80" s="140" t="str">
        <f>IFERROR(VLOOKUP($C80,'NEW MODEL BY SES'!$C$19:$R$242,MATCH('SeS in Retail Sales Areas'!X$7,'NEW MODEL BY SES'!$C$17:$R$17,0),0),"")</f>
        <v/>
      </c>
      <c r="Z80" s="57"/>
    </row>
    <row r="81" spans="1:26">
      <c r="A81" t="s">
        <v>984</v>
      </c>
      <c r="B81" s="57">
        <v>53</v>
      </c>
      <c r="C81" t="s">
        <v>1009</v>
      </c>
      <c r="D81" t="s">
        <v>44</v>
      </c>
      <c r="E81"/>
      <c r="F81" s="140" t="str">
        <f>IFERROR(VLOOKUP($C81,'NEW MODEL BY SES'!$C$19:$R$242,MATCH('SeS in Retail Sales Areas'!F$7,'NEW MODEL BY SES'!$C$17:$R$17,0),0),"")</f>
        <v/>
      </c>
      <c r="G81" s="140" t="str">
        <f>IFERROR(VLOOKUP($C81,'NEW MODEL BY SES'!$C$19:$R$242,MATCH('SeS in Retail Sales Areas'!G$7,'NEW MODEL BY SES'!$C$17:$R$17,0),0),"")</f>
        <v/>
      </c>
      <c r="H81" s="142" t="str">
        <f>IFERROR(VLOOKUP($C81,'NEW MODEL BY SES'!$C$19:$R$242,MATCH('SeS in Retail Sales Areas'!H$7,'NEW MODEL BY SES'!$C$17:$R$17,0),0),"")</f>
        <v/>
      </c>
      <c r="I81" s="140" t="str">
        <f>IFERROR(VLOOKUP($C81,'NEW MODEL BY SES'!$C$19:$R$242,MATCH('SeS in Retail Sales Areas'!I$7,'NEW MODEL BY SES'!$C$17:$R$17,0),0),"")</f>
        <v/>
      </c>
      <c r="J81" s="142" t="str">
        <f>IFERROR(VLOOKUP($C81,'NEW MODEL BY SES'!$C$19:$R$242,MATCH('SeS in Retail Sales Areas'!J$7,'NEW MODEL BY SES'!$C$17:$R$17,0),0),"")</f>
        <v/>
      </c>
      <c r="K81" s="140" t="str">
        <f>IFERROR(VLOOKUP($C81,'NEW MODEL BY SES'!$C$19:$R$242,MATCH('SeS in Retail Sales Areas'!K$7,'NEW MODEL BY SES'!$C$17:$R$17,0),0),"")</f>
        <v/>
      </c>
      <c r="L81" s="142" t="str">
        <f>IFERROR(VLOOKUP($C81,'NEW MODEL BY SES'!$C$19:$R$242,MATCH('SeS in Retail Sales Areas'!L$7,'NEW MODEL BY SES'!$C$17:$R$17,0),0),"")</f>
        <v/>
      </c>
      <c r="M81" s="140" t="str">
        <f>IFERROR(VLOOKUP($C81,'NEW MODEL BY SES'!$C$19:$R$242,MATCH('SeS in Retail Sales Areas'!M$7,'NEW MODEL BY SES'!$C$17:$R$17,0),0),"")</f>
        <v/>
      </c>
      <c r="N81" s="142" t="str">
        <f>IFERROR(VLOOKUP($C81,'NEW MODEL BY SES'!$C$19:$R$242,MATCH('SeS in Retail Sales Areas'!N$7,'NEW MODEL BY SES'!$C$17:$R$17,0),0),"")</f>
        <v/>
      </c>
      <c r="O81" s="140" t="str">
        <f>IFERROR(VLOOKUP($C81,'NEW MODEL BY SES'!$C$19:$R$242,MATCH('SeS in Retail Sales Areas'!O$7,'NEW MODEL BY SES'!$C$17:$R$17,0),0),"")</f>
        <v/>
      </c>
      <c r="P81" s="142" t="str">
        <f>IFERROR(VLOOKUP($C81,'NEW MODEL BY SES'!$C$19:$R$242,MATCH('SeS in Retail Sales Areas'!P$7,'NEW MODEL BY SES'!$C$17:$R$17,0),0),"")</f>
        <v/>
      </c>
      <c r="Q81" s="140" t="str">
        <f>IFERROR(VLOOKUP($C81,'NEW MODEL BY SES'!$C$19:$R$242,MATCH('SeS in Retail Sales Areas'!Q$7,'NEW MODEL BY SES'!$C$17:$R$17,0),0),"")</f>
        <v/>
      </c>
      <c r="R81" s="142" t="str">
        <f>IFERROR(VLOOKUP($C81,'NEW MODEL BY SES'!$C$19:$R$242,MATCH('SeS in Retail Sales Areas'!R$7,'NEW MODEL BY SES'!$C$17:$R$17,0),0),"")</f>
        <v/>
      </c>
      <c r="S81" s="141" t="str">
        <f>IFERROR(VLOOKUP($C81,'NEW MODEL BY SES'!$C$19:$R$242,MATCH('SeS in Retail Sales Areas'!S$7,'NEW MODEL BY SES'!$C$17:$R$17,0),0),"")</f>
        <v/>
      </c>
      <c r="T81" s="140" t="str">
        <f>IFERROR(VLOOKUP($C81,'NEW MODEL BY SES'!$C$19:$R$242,MATCH('SeS in Retail Sales Areas'!T$7,'NEW MODEL BY SES'!$C$17:$R$17,0),0),"")</f>
        <v/>
      </c>
      <c r="U81" s="142" t="str">
        <f>IFERROR(VLOOKUP($C81,'NEW MODEL BY SES'!$C$19:$R$242,MATCH('SeS in Retail Sales Areas'!U$7,'NEW MODEL BY SES'!$C$17:$R$17,0),0),"")</f>
        <v/>
      </c>
      <c r="V81" s="140" t="str">
        <f>IFERROR(VLOOKUP($C81,'NEW MODEL BY SES'!$C$19:$R$242,MATCH('SeS in Retail Sales Areas'!V$7,'NEW MODEL BY SES'!$C$17:$R$17,0),0),"")</f>
        <v/>
      </c>
      <c r="W81" s="141" t="str">
        <f>IFERROR(VLOOKUP($C81,'NEW MODEL BY SES'!$C$19:$R$242,MATCH('SeS in Retail Sales Areas'!W$7,'NEW MODEL BY SES'!$C$17:$R$17,0),0),"")</f>
        <v/>
      </c>
      <c r="X81" s="140" t="str">
        <f>IFERROR(VLOOKUP($C81,'NEW MODEL BY SES'!$C$19:$R$242,MATCH('SeS in Retail Sales Areas'!X$7,'NEW MODEL BY SES'!$C$17:$R$17,0),0),"")</f>
        <v/>
      </c>
      <c r="Z81" s="57"/>
    </row>
    <row r="82" spans="1:26">
      <c r="A82" t="s">
        <v>984</v>
      </c>
      <c r="B82" s="57">
        <v>52</v>
      </c>
      <c r="C82" t="s">
        <v>1010</v>
      </c>
      <c r="D82" t="s">
        <v>44</v>
      </c>
      <c r="E82"/>
      <c r="F82" s="140" t="str">
        <f>IFERROR(VLOOKUP($C82,'NEW MODEL BY SES'!$C$19:$R$242,MATCH('SeS in Retail Sales Areas'!F$7,'NEW MODEL BY SES'!$C$17:$R$17,0),0),"")</f>
        <v/>
      </c>
      <c r="G82" s="140" t="str">
        <f>IFERROR(VLOOKUP($C82,'NEW MODEL BY SES'!$C$19:$R$242,MATCH('SeS in Retail Sales Areas'!G$7,'NEW MODEL BY SES'!$C$17:$R$17,0),0),"")</f>
        <v/>
      </c>
      <c r="H82" s="142" t="str">
        <f>IFERROR(VLOOKUP($C82,'NEW MODEL BY SES'!$C$19:$R$242,MATCH('SeS in Retail Sales Areas'!H$7,'NEW MODEL BY SES'!$C$17:$R$17,0),0),"")</f>
        <v/>
      </c>
      <c r="I82" s="140" t="str">
        <f>IFERROR(VLOOKUP($C82,'NEW MODEL BY SES'!$C$19:$R$242,MATCH('SeS in Retail Sales Areas'!I$7,'NEW MODEL BY SES'!$C$17:$R$17,0),0),"")</f>
        <v/>
      </c>
      <c r="J82" s="142" t="str">
        <f>IFERROR(VLOOKUP($C82,'NEW MODEL BY SES'!$C$19:$R$242,MATCH('SeS in Retail Sales Areas'!J$7,'NEW MODEL BY SES'!$C$17:$R$17,0),0),"")</f>
        <v/>
      </c>
      <c r="K82" s="140" t="str">
        <f>IFERROR(VLOOKUP($C82,'NEW MODEL BY SES'!$C$19:$R$242,MATCH('SeS in Retail Sales Areas'!K$7,'NEW MODEL BY SES'!$C$17:$R$17,0),0),"")</f>
        <v/>
      </c>
      <c r="L82" s="142" t="str">
        <f>IFERROR(VLOOKUP($C82,'NEW MODEL BY SES'!$C$19:$R$242,MATCH('SeS in Retail Sales Areas'!L$7,'NEW MODEL BY SES'!$C$17:$R$17,0),0),"")</f>
        <v/>
      </c>
      <c r="M82" s="140" t="str">
        <f>IFERROR(VLOOKUP($C82,'NEW MODEL BY SES'!$C$19:$R$242,MATCH('SeS in Retail Sales Areas'!M$7,'NEW MODEL BY SES'!$C$17:$R$17,0),0),"")</f>
        <v/>
      </c>
      <c r="N82" s="142" t="str">
        <f>IFERROR(VLOOKUP($C82,'NEW MODEL BY SES'!$C$19:$R$242,MATCH('SeS in Retail Sales Areas'!N$7,'NEW MODEL BY SES'!$C$17:$R$17,0),0),"")</f>
        <v/>
      </c>
      <c r="O82" s="140" t="str">
        <f>IFERROR(VLOOKUP($C82,'NEW MODEL BY SES'!$C$19:$R$242,MATCH('SeS in Retail Sales Areas'!O$7,'NEW MODEL BY SES'!$C$17:$R$17,0),0),"")</f>
        <v/>
      </c>
      <c r="P82" s="142" t="str">
        <f>IFERROR(VLOOKUP($C82,'NEW MODEL BY SES'!$C$19:$R$242,MATCH('SeS in Retail Sales Areas'!P$7,'NEW MODEL BY SES'!$C$17:$R$17,0),0),"")</f>
        <v/>
      </c>
      <c r="Q82" s="140" t="str">
        <f>IFERROR(VLOOKUP($C82,'NEW MODEL BY SES'!$C$19:$R$242,MATCH('SeS in Retail Sales Areas'!Q$7,'NEW MODEL BY SES'!$C$17:$R$17,0),0),"")</f>
        <v/>
      </c>
      <c r="R82" s="142" t="str">
        <f>IFERROR(VLOOKUP($C82,'NEW MODEL BY SES'!$C$19:$R$242,MATCH('SeS in Retail Sales Areas'!R$7,'NEW MODEL BY SES'!$C$17:$R$17,0),0),"")</f>
        <v/>
      </c>
      <c r="S82" s="141" t="str">
        <f>IFERROR(VLOOKUP($C82,'NEW MODEL BY SES'!$C$19:$R$242,MATCH('SeS in Retail Sales Areas'!S$7,'NEW MODEL BY SES'!$C$17:$R$17,0),0),"")</f>
        <v/>
      </c>
      <c r="T82" s="140" t="str">
        <f>IFERROR(VLOOKUP($C82,'NEW MODEL BY SES'!$C$19:$R$242,MATCH('SeS in Retail Sales Areas'!T$7,'NEW MODEL BY SES'!$C$17:$R$17,0),0),"")</f>
        <v/>
      </c>
      <c r="U82" s="142" t="str">
        <f>IFERROR(VLOOKUP($C82,'NEW MODEL BY SES'!$C$19:$R$242,MATCH('SeS in Retail Sales Areas'!U$7,'NEW MODEL BY SES'!$C$17:$R$17,0),0),"")</f>
        <v/>
      </c>
      <c r="V82" s="140" t="str">
        <f>IFERROR(VLOOKUP($C82,'NEW MODEL BY SES'!$C$19:$R$242,MATCH('SeS in Retail Sales Areas'!V$7,'NEW MODEL BY SES'!$C$17:$R$17,0),0),"")</f>
        <v/>
      </c>
      <c r="W82" s="141" t="str">
        <f>IFERROR(VLOOKUP($C82,'NEW MODEL BY SES'!$C$19:$R$242,MATCH('SeS in Retail Sales Areas'!W$7,'NEW MODEL BY SES'!$C$17:$R$17,0),0),"")</f>
        <v/>
      </c>
      <c r="X82" s="140" t="str">
        <f>IFERROR(VLOOKUP($C82,'NEW MODEL BY SES'!$C$19:$R$242,MATCH('SeS in Retail Sales Areas'!X$7,'NEW MODEL BY SES'!$C$17:$R$17,0),0),"")</f>
        <v/>
      </c>
      <c r="Z82" s="57"/>
    </row>
    <row r="83" spans="1:26">
      <c r="A83" t="s">
        <v>984</v>
      </c>
      <c r="B83" s="57">
        <v>42</v>
      </c>
      <c r="C83" t="s">
        <v>1011</v>
      </c>
      <c r="D83" t="s">
        <v>44</v>
      </c>
      <c r="E83"/>
      <c r="F83" s="140" t="str">
        <f>IFERROR(VLOOKUP($C83,'NEW MODEL BY SES'!$C$19:$R$242,MATCH('SeS in Retail Sales Areas'!F$7,'NEW MODEL BY SES'!$C$17:$R$17,0),0),"")</f>
        <v/>
      </c>
      <c r="G83" s="140" t="str">
        <f>IFERROR(VLOOKUP($C83,'NEW MODEL BY SES'!$C$19:$R$242,MATCH('SeS in Retail Sales Areas'!G$7,'NEW MODEL BY SES'!$C$17:$R$17,0),0),"")</f>
        <v/>
      </c>
      <c r="H83" s="142" t="str">
        <f>IFERROR(VLOOKUP($C83,'NEW MODEL BY SES'!$C$19:$R$242,MATCH('SeS in Retail Sales Areas'!H$7,'NEW MODEL BY SES'!$C$17:$R$17,0),0),"")</f>
        <v/>
      </c>
      <c r="I83" s="140" t="str">
        <f>IFERROR(VLOOKUP($C83,'NEW MODEL BY SES'!$C$19:$R$242,MATCH('SeS in Retail Sales Areas'!I$7,'NEW MODEL BY SES'!$C$17:$R$17,0),0),"")</f>
        <v/>
      </c>
      <c r="J83" s="142" t="str">
        <f>IFERROR(VLOOKUP($C83,'NEW MODEL BY SES'!$C$19:$R$242,MATCH('SeS in Retail Sales Areas'!J$7,'NEW MODEL BY SES'!$C$17:$R$17,0),0),"")</f>
        <v/>
      </c>
      <c r="K83" s="140" t="str">
        <f>IFERROR(VLOOKUP($C83,'NEW MODEL BY SES'!$C$19:$R$242,MATCH('SeS in Retail Sales Areas'!K$7,'NEW MODEL BY SES'!$C$17:$R$17,0),0),"")</f>
        <v/>
      </c>
      <c r="L83" s="142" t="str">
        <f>IFERROR(VLOOKUP($C83,'NEW MODEL BY SES'!$C$19:$R$242,MATCH('SeS in Retail Sales Areas'!L$7,'NEW MODEL BY SES'!$C$17:$R$17,0),0),"")</f>
        <v/>
      </c>
      <c r="M83" s="140" t="str">
        <f>IFERROR(VLOOKUP($C83,'NEW MODEL BY SES'!$C$19:$R$242,MATCH('SeS in Retail Sales Areas'!M$7,'NEW MODEL BY SES'!$C$17:$R$17,0),0),"")</f>
        <v/>
      </c>
      <c r="N83" s="142" t="str">
        <f>IFERROR(VLOOKUP($C83,'NEW MODEL BY SES'!$C$19:$R$242,MATCH('SeS in Retail Sales Areas'!N$7,'NEW MODEL BY SES'!$C$17:$R$17,0),0),"")</f>
        <v/>
      </c>
      <c r="O83" s="140" t="str">
        <f>IFERROR(VLOOKUP($C83,'NEW MODEL BY SES'!$C$19:$R$242,MATCH('SeS in Retail Sales Areas'!O$7,'NEW MODEL BY SES'!$C$17:$R$17,0),0),"")</f>
        <v/>
      </c>
      <c r="P83" s="142" t="str">
        <f>IFERROR(VLOOKUP($C83,'NEW MODEL BY SES'!$C$19:$R$242,MATCH('SeS in Retail Sales Areas'!P$7,'NEW MODEL BY SES'!$C$17:$R$17,0),0),"")</f>
        <v/>
      </c>
      <c r="Q83" s="140" t="str">
        <f>IFERROR(VLOOKUP($C83,'NEW MODEL BY SES'!$C$19:$R$242,MATCH('SeS in Retail Sales Areas'!Q$7,'NEW MODEL BY SES'!$C$17:$R$17,0),0),"")</f>
        <v/>
      </c>
      <c r="R83" s="142" t="str">
        <f>IFERROR(VLOOKUP($C83,'NEW MODEL BY SES'!$C$19:$R$242,MATCH('SeS in Retail Sales Areas'!R$7,'NEW MODEL BY SES'!$C$17:$R$17,0),0),"")</f>
        <v/>
      </c>
      <c r="S83" s="141" t="str">
        <f>IFERROR(VLOOKUP($C83,'NEW MODEL BY SES'!$C$19:$R$242,MATCH('SeS in Retail Sales Areas'!S$7,'NEW MODEL BY SES'!$C$17:$R$17,0),0),"")</f>
        <v/>
      </c>
      <c r="T83" s="140" t="str">
        <f>IFERROR(VLOOKUP($C83,'NEW MODEL BY SES'!$C$19:$R$242,MATCH('SeS in Retail Sales Areas'!T$7,'NEW MODEL BY SES'!$C$17:$R$17,0),0),"")</f>
        <v/>
      </c>
      <c r="U83" s="142" t="str">
        <f>IFERROR(VLOOKUP($C83,'NEW MODEL BY SES'!$C$19:$R$242,MATCH('SeS in Retail Sales Areas'!U$7,'NEW MODEL BY SES'!$C$17:$R$17,0),0),"")</f>
        <v/>
      </c>
      <c r="V83" s="140" t="str">
        <f>IFERROR(VLOOKUP($C83,'NEW MODEL BY SES'!$C$19:$R$242,MATCH('SeS in Retail Sales Areas'!V$7,'NEW MODEL BY SES'!$C$17:$R$17,0),0),"")</f>
        <v/>
      </c>
      <c r="W83" s="141" t="str">
        <f>IFERROR(VLOOKUP($C83,'NEW MODEL BY SES'!$C$19:$R$242,MATCH('SeS in Retail Sales Areas'!W$7,'NEW MODEL BY SES'!$C$17:$R$17,0),0),"")</f>
        <v/>
      </c>
      <c r="X83" s="140" t="str">
        <f>IFERROR(VLOOKUP($C83,'NEW MODEL BY SES'!$C$19:$R$242,MATCH('SeS in Retail Sales Areas'!X$7,'NEW MODEL BY SES'!$C$17:$R$17,0),0),"")</f>
        <v/>
      </c>
      <c r="Z83" s="57"/>
    </row>
    <row r="84" spans="1:26">
      <c r="A84" t="s">
        <v>1012</v>
      </c>
      <c r="B84" s="57">
        <v>188</v>
      </c>
      <c r="C84" t="s">
        <v>1013</v>
      </c>
      <c r="D84" t="s">
        <v>33</v>
      </c>
      <c r="E84"/>
      <c r="F84" s="140" t="str">
        <f>IFERROR(VLOOKUP($C84,'NEW MODEL BY SES'!$C$19:$R$242,MATCH('SeS in Retail Sales Areas'!F$7,'NEW MODEL BY SES'!$C$17:$R$17,0),0),"")</f>
        <v/>
      </c>
      <c r="G84" s="140" t="str">
        <f>IFERROR(VLOOKUP($C84,'NEW MODEL BY SES'!$C$19:$R$242,MATCH('SeS in Retail Sales Areas'!G$7,'NEW MODEL BY SES'!$C$17:$R$17,0),0),"")</f>
        <v/>
      </c>
      <c r="H84" s="142" t="str">
        <f>IFERROR(VLOOKUP($C84,'NEW MODEL BY SES'!$C$19:$R$242,MATCH('SeS in Retail Sales Areas'!H$7,'NEW MODEL BY SES'!$C$17:$R$17,0),0),"")</f>
        <v/>
      </c>
      <c r="I84" s="140" t="str">
        <f>IFERROR(VLOOKUP($C84,'NEW MODEL BY SES'!$C$19:$R$242,MATCH('SeS in Retail Sales Areas'!I$7,'NEW MODEL BY SES'!$C$17:$R$17,0),0),"")</f>
        <v/>
      </c>
      <c r="J84" s="142" t="str">
        <f>IFERROR(VLOOKUP($C84,'NEW MODEL BY SES'!$C$19:$R$242,MATCH('SeS in Retail Sales Areas'!J$7,'NEW MODEL BY SES'!$C$17:$R$17,0),0),"")</f>
        <v/>
      </c>
      <c r="K84" s="140" t="str">
        <f>IFERROR(VLOOKUP($C84,'NEW MODEL BY SES'!$C$19:$R$242,MATCH('SeS in Retail Sales Areas'!K$7,'NEW MODEL BY SES'!$C$17:$R$17,0),0),"")</f>
        <v/>
      </c>
      <c r="L84" s="142" t="str">
        <f>IFERROR(VLOOKUP($C84,'NEW MODEL BY SES'!$C$19:$R$242,MATCH('SeS in Retail Sales Areas'!L$7,'NEW MODEL BY SES'!$C$17:$R$17,0),0),"")</f>
        <v/>
      </c>
      <c r="M84" s="140" t="str">
        <f>IFERROR(VLOOKUP($C84,'NEW MODEL BY SES'!$C$19:$R$242,MATCH('SeS in Retail Sales Areas'!M$7,'NEW MODEL BY SES'!$C$17:$R$17,0),0),"")</f>
        <v/>
      </c>
      <c r="N84" s="142" t="str">
        <f>IFERROR(VLOOKUP($C84,'NEW MODEL BY SES'!$C$19:$R$242,MATCH('SeS in Retail Sales Areas'!N$7,'NEW MODEL BY SES'!$C$17:$R$17,0),0),"")</f>
        <v/>
      </c>
      <c r="O84" s="140" t="str">
        <f>IFERROR(VLOOKUP($C84,'NEW MODEL BY SES'!$C$19:$R$242,MATCH('SeS in Retail Sales Areas'!O$7,'NEW MODEL BY SES'!$C$17:$R$17,0),0),"")</f>
        <v/>
      </c>
      <c r="P84" s="142" t="str">
        <f>IFERROR(VLOOKUP($C84,'NEW MODEL BY SES'!$C$19:$R$242,MATCH('SeS in Retail Sales Areas'!P$7,'NEW MODEL BY SES'!$C$17:$R$17,0),0),"")</f>
        <v/>
      </c>
      <c r="Q84" s="140" t="str">
        <f>IFERROR(VLOOKUP($C84,'NEW MODEL BY SES'!$C$19:$R$242,MATCH('SeS in Retail Sales Areas'!Q$7,'NEW MODEL BY SES'!$C$17:$R$17,0),0),"")</f>
        <v/>
      </c>
      <c r="R84" s="142" t="str">
        <f>IFERROR(VLOOKUP($C84,'NEW MODEL BY SES'!$C$19:$R$242,MATCH('SeS in Retail Sales Areas'!R$7,'NEW MODEL BY SES'!$C$17:$R$17,0),0),"")</f>
        <v/>
      </c>
      <c r="S84" s="141" t="str">
        <f>IFERROR(VLOOKUP($C84,'NEW MODEL BY SES'!$C$19:$R$242,MATCH('SeS in Retail Sales Areas'!S$7,'NEW MODEL BY SES'!$C$17:$R$17,0),0),"")</f>
        <v/>
      </c>
      <c r="T84" s="140" t="str">
        <f>IFERROR(VLOOKUP($C84,'NEW MODEL BY SES'!$C$19:$R$242,MATCH('SeS in Retail Sales Areas'!T$7,'NEW MODEL BY SES'!$C$17:$R$17,0),0),"")</f>
        <v/>
      </c>
      <c r="U84" s="142" t="str">
        <f>IFERROR(VLOOKUP($C84,'NEW MODEL BY SES'!$C$19:$R$242,MATCH('SeS in Retail Sales Areas'!U$7,'NEW MODEL BY SES'!$C$17:$R$17,0),0),"")</f>
        <v/>
      </c>
      <c r="V84" s="140" t="str">
        <f>IFERROR(VLOOKUP($C84,'NEW MODEL BY SES'!$C$19:$R$242,MATCH('SeS in Retail Sales Areas'!V$7,'NEW MODEL BY SES'!$C$17:$R$17,0),0),"")</f>
        <v/>
      </c>
      <c r="W84" s="141" t="str">
        <f>IFERROR(VLOOKUP($C84,'NEW MODEL BY SES'!$C$19:$R$242,MATCH('SeS in Retail Sales Areas'!W$7,'NEW MODEL BY SES'!$C$17:$R$17,0),0),"")</f>
        <v/>
      </c>
      <c r="X84" s="140" t="str">
        <f>IFERROR(VLOOKUP($C84,'NEW MODEL BY SES'!$C$19:$R$242,MATCH('SeS in Retail Sales Areas'!X$7,'NEW MODEL BY SES'!$C$17:$R$17,0),0),"")</f>
        <v/>
      </c>
      <c r="Z84" s="57"/>
    </row>
    <row r="85" spans="1:26">
      <c r="A85" t="s">
        <v>1012</v>
      </c>
      <c r="B85" s="57">
        <v>159</v>
      </c>
      <c r="C85" t="s">
        <v>1014</v>
      </c>
      <c r="D85" t="s">
        <v>38</v>
      </c>
      <c r="E85"/>
      <c r="F85" s="140" t="str">
        <f>IFERROR(VLOOKUP($C85,'NEW MODEL BY SES'!$C$19:$R$242,MATCH('SeS in Retail Sales Areas'!F$7,'NEW MODEL BY SES'!$C$17:$R$17,0),0),"")</f>
        <v/>
      </c>
      <c r="G85" s="140" t="str">
        <f>IFERROR(VLOOKUP($C85,'NEW MODEL BY SES'!$C$19:$R$242,MATCH('SeS in Retail Sales Areas'!G$7,'NEW MODEL BY SES'!$C$17:$R$17,0),0),"")</f>
        <v/>
      </c>
      <c r="H85" s="142" t="str">
        <f>IFERROR(VLOOKUP($C85,'NEW MODEL BY SES'!$C$19:$R$242,MATCH('SeS in Retail Sales Areas'!H$7,'NEW MODEL BY SES'!$C$17:$R$17,0),0),"")</f>
        <v/>
      </c>
      <c r="I85" s="140" t="str">
        <f>IFERROR(VLOOKUP($C85,'NEW MODEL BY SES'!$C$19:$R$242,MATCH('SeS in Retail Sales Areas'!I$7,'NEW MODEL BY SES'!$C$17:$R$17,0),0),"")</f>
        <v/>
      </c>
      <c r="J85" s="142" t="str">
        <f>IFERROR(VLOOKUP($C85,'NEW MODEL BY SES'!$C$19:$R$242,MATCH('SeS in Retail Sales Areas'!J$7,'NEW MODEL BY SES'!$C$17:$R$17,0),0),"")</f>
        <v/>
      </c>
      <c r="K85" s="140" t="str">
        <f>IFERROR(VLOOKUP($C85,'NEW MODEL BY SES'!$C$19:$R$242,MATCH('SeS in Retail Sales Areas'!K$7,'NEW MODEL BY SES'!$C$17:$R$17,0),0),"")</f>
        <v/>
      </c>
      <c r="L85" s="142" t="str">
        <f>IFERROR(VLOOKUP($C85,'NEW MODEL BY SES'!$C$19:$R$242,MATCH('SeS in Retail Sales Areas'!L$7,'NEW MODEL BY SES'!$C$17:$R$17,0),0),"")</f>
        <v/>
      </c>
      <c r="M85" s="140" t="str">
        <f>IFERROR(VLOOKUP($C85,'NEW MODEL BY SES'!$C$19:$R$242,MATCH('SeS in Retail Sales Areas'!M$7,'NEW MODEL BY SES'!$C$17:$R$17,0),0),"")</f>
        <v/>
      </c>
      <c r="N85" s="142" t="str">
        <f>IFERROR(VLOOKUP($C85,'NEW MODEL BY SES'!$C$19:$R$242,MATCH('SeS in Retail Sales Areas'!N$7,'NEW MODEL BY SES'!$C$17:$R$17,0),0),"")</f>
        <v/>
      </c>
      <c r="O85" s="140" t="str">
        <f>IFERROR(VLOOKUP($C85,'NEW MODEL BY SES'!$C$19:$R$242,MATCH('SeS in Retail Sales Areas'!O$7,'NEW MODEL BY SES'!$C$17:$R$17,0),0),"")</f>
        <v/>
      </c>
      <c r="P85" s="142" t="str">
        <f>IFERROR(VLOOKUP($C85,'NEW MODEL BY SES'!$C$19:$R$242,MATCH('SeS in Retail Sales Areas'!P$7,'NEW MODEL BY SES'!$C$17:$R$17,0),0),"")</f>
        <v/>
      </c>
      <c r="Q85" s="140" t="str">
        <f>IFERROR(VLOOKUP($C85,'NEW MODEL BY SES'!$C$19:$R$242,MATCH('SeS in Retail Sales Areas'!Q$7,'NEW MODEL BY SES'!$C$17:$R$17,0),0),"")</f>
        <v/>
      </c>
      <c r="R85" s="142" t="str">
        <f>IFERROR(VLOOKUP($C85,'NEW MODEL BY SES'!$C$19:$R$242,MATCH('SeS in Retail Sales Areas'!R$7,'NEW MODEL BY SES'!$C$17:$R$17,0),0),"")</f>
        <v/>
      </c>
      <c r="S85" s="141" t="str">
        <f>IFERROR(VLOOKUP($C85,'NEW MODEL BY SES'!$C$19:$R$242,MATCH('SeS in Retail Sales Areas'!S$7,'NEW MODEL BY SES'!$C$17:$R$17,0),0),"")</f>
        <v/>
      </c>
      <c r="T85" s="140" t="str">
        <f>IFERROR(VLOOKUP($C85,'NEW MODEL BY SES'!$C$19:$R$242,MATCH('SeS in Retail Sales Areas'!T$7,'NEW MODEL BY SES'!$C$17:$R$17,0),0),"")</f>
        <v/>
      </c>
      <c r="U85" s="142" t="str">
        <f>IFERROR(VLOOKUP($C85,'NEW MODEL BY SES'!$C$19:$R$242,MATCH('SeS in Retail Sales Areas'!U$7,'NEW MODEL BY SES'!$C$17:$R$17,0),0),"")</f>
        <v/>
      </c>
      <c r="V85" s="140" t="str">
        <f>IFERROR(VLOOKUP($C85,'NEW MODEL BY SES'!$C$19:$R$242,MATCH('SeS in Retail Sales Areas'!V$7,'NEW MODEL BY SES'!$C$17:$R$17,0),0),"")</f>
        <v/>
      </c>
      <c r="W85" s="141" t="str">
        <f>IFERROR(VLOOKUP($C85,'NEW MODEL BY SES'!$C$19:$R$242,MATCH('SeS in Retail Sales Areas'!W$7,'NEW MODEL BY SES'!$C$17:$R$17,0),0),"")</f>
        <v/>
      </c>
      <c r="X85" s="140" t="str">
        <f>IFERROR(VLOOKUP($C85,'NEW MODEL BY SES'!$C$19:$R$242,MATCH('SeS in Retail Sales Areas'!X$7,'NEW MODEL BY SES'!$C$17:$R$17,0),0),"")</f>
        <v/>
      </c>
      <c r="Z85" s="57"/>
    </row>
    <row r="86" spans="1:26">
      <c r="A86" t="s">
        <v>1012</v>
      </c>
      <c r="B86" s="57">
        <v>148</v>
      </c>
      <c r="C86" t="s">
        <v>1015</v>
      </c>
      <c r="D86" t="s">
        <v>38</v>
      </c>
      <c r="E86"/>
      <c r="F86" s="140" t="str">
        <f>IFERROR(VLOOKUP($C86,'NEW MODEL BY SES'!$C$19:$R$242,MATCH('SeS in Retail Sales Areas'!F$7,'NEW MODEL BY SES'!$C$17:$R$17,0),0),"")</f>
        <v/>
      </c>
      <c r="G86" s="140" t="str">
        <f>IFERROR(VLOOKUP($C86,'NEW MODEL BY SES'!$C$19:$R$242,MATCH('SeS in Retail Sales Areas'!G$7,'NEW MODEL BY SES'!$C$17:$R$17,0),0),"")</f>
        <v/>
      </c>
      <c r="H86" s="142" t="str">
        <f>IFERROR(VLOOKUP($C86,'NEW MODEL BY SES'!$C$19:$R$242,MATCH('SeS in Retail Sales Areas'!H$7,'NEW MODEL BY SES'!$C$17:$R$17,0),0),"")</f>
        <v/>
      </c>
      <c r="I86" s="140" t="str">
        <f>IFERROR(VLOOKUP($C86,'NEW MODEL BY SES'!$C$19:$R$242,MATCH('SeS in Retail Sales Areas'!I$7,'NEW MODEL BY SES'!$C$17:$R$17,0),0),"")</f>
        <v/>
      </c>
      <c r="J86" s="142" t="str">
        <f>IFERROR(VLOOKUP($C86,'NEW MODEL BY SES'!$C$19:$R$242,MATCH('SeS in Retail Sales Areas'!J$7,'NEW MODEL BY SES'!$C$17:$R$17,0),0),"")</f>
        <v/>
      </c>
      <c r="K86" s="140" t="str">
        <f>IFERROR(VLOOKUP($C86,'NEW MODEL BY SES'!$C$19:$R$242,MATCH('SeS in Retail Sales Areas'!K$7,'NEW MODEL BY SES'!$C$17:$R$17,0),0),"")</f>
        <v/>
      </c>
      <c r="L86" s="142" t="str">
        <f>IFERROR(VLOOKUP($C86,'NEW MODEL BY SES'!$C$19:$R$242,MATCH('SeS in Retail Sales Areas'!L$7,'NEW MODEL BY SES'!$C$17:$R$17,0),0),"")</f>
        <v/>
      </c>
      <c r="M86" s="140" t="str">
        <f>IFERROR(VLOOKUP($C86,'NEW MODEL BY SES'!$C$19:$R$242,MATCH('SeS in Retail Sales Areas'!M$7,'NEW MODEL BY SES'!$C$17:$R$17,0),0),"")</f>
        <v/>
      </c>
      <c r="N86" s="142" t="str">
        <f>IFERROR(VLOOKUP($C86,'NEW MODEL BY SES'!$C$19:$R$242,MATCH('SeS in Retail Sales Areas'!N$7,'NEW MODEL BY SES'!$C$17:$R$17,0),0),"")</f>
        <v/>
      </c>
      <c r="O86" s="140" t="str">
        <f>IFERROR(VLOOKUP($C86,'NEW MODEL BY SES'!$C$19:$R$242,MATCH('SeS in Retail Sales Areas'!O$7,'NEW MODEL BY SES'!$C$17:$R$17,0),0),"")</f>
        <v/>
      </c>
      <c r="P86" s="142" t="str">
        <f>IFERROR(VLOOKUP($C86,'NEW MODEL BY SES'!$C$19:$R$242,MATCH('SeS in Retail Sales Areas'!P$7,'NEW MODEL BY SES'!$C$17:$R$17,0),0),"")</f>
        <v/>
      </c>
      <c r="Q86" s="140" t="str">
        <f>IFERROR(VLOOKUP($C86,'NEW MODEL BY SES'!$C$19:$R$242,MATCH('SeS in Retail Sales Areas'!Q$7,'NEW MODEL BY SES'!$C$17:$R$17,0),0),"")</f>
        <v/>
      </c>
      <c r="R86" s="142" t="str">
        <f>IFERROR(VLOOKUP($C86,'NEW MODEL BY SES'!$C$19:$R$242,MATCH('SeS in Retail Sales Areas'!R$7,'NEW MODEL BY SES'!$C$17:$R$17,0),0),"")</f>
        <v/>
      </c>
      <c r="S86" s="141" t="str">
        <f>IFERROR(VLOOKUP($C86,'NEW MODEL BY SES'!$C$19:$R$242,MATCH('SeS in Retail Sales Areas'!S$7,'NEW MODEL BY SES'!$C$17:$R$17,0),0),"")</f>
        <v/>
      </c>
      <c r="T86" s="140" t="str">
        <f>IFERROR(VLOOKUP($C86,'NEW MODEL BY SES'!$C$19:$R$242,MATCH('SeS in Retail Sales Areas'!T$7,'NEW MODEL BY SES'!$C$17:$R$17,0),0),"")</f>
        <v/>
      </c>
      <c r="U86" s="142" t="str">
        <f>IFERROR(VLOOKUP($C86,'NEW MODEL BY SES'!$C$19:$R$242,MATCH('SeS in Retail Sales Areas'!U$7,'NEW MODEL BY SES'!$C$17:$R$17,0),0),"")</f>
        <v/>
      </c>
      <c r="V86" s="140" t="str">
        <f>IFERROR(VLOOKUP($C86,'NEW MODEL BY SES'!$C$19:$R$242,MATCH('SeS in Retail Sales Areas'!V$7,'NEW MODEL BY SES'!$C$17:$R$17,0),0),"")</f>
        <v/>
      </c>
      <c r="W86" s="141" t="str">
        <f>IFERROR(VLOOKUP($C86,'NEW MODEL BY SES'!$C$19:$R$242,MATCH('SeS in Retail Sales Areas'!W$7,'NEW MODEL BY SES'!$C$17:$R$17,0),0),"")</f>
        <v/>
      </c>
      <c r="X86" s="140" t="str">
        <f>IFERROR(VLOOKUP($C86,'NEW MODEL BY SES'!$C$19:$R$242,MATCH('SeS in Retail Sales Areas'!X$7,'NEW MODEL BY SES'!$C$17:$R$17,0),0),"")</f>
        <v/>
      </c>
      <c r="Z86" s="57"/>
    </row>
    <row r="87" spans="1:26">
      <c r="A87" t="s">
        <v>1012</v>
      </c>
      <c r="B87" s="57">
        <v>147</v>
      </c>
      <c r="C87" t="s">
        <v>1016</v>
      </c>
      <c r="D87" t="s">
        <v>38</v>
      </c>
      <c r="E87"/>
      <c r="F87" s="140" t="str">
        <f>IFERROR(VLOOKUP($C87,'NEW MODEL BY SES'!$C$19:$R$242,MATCH('SeS in Retail Sales Areas'!F$7,'NEW MODEL BY SES'!$C$17:$R$17,0),0),"")</f>
        <v/>
      </c>
      <c r="G87" s="140" t="str">
        <f>IFERROR(VLOOKUP($C87,'NEW MODEL BY SES'!$C$19:$R$242,MATCH('SeS in Retail Sales Areas'!G$7,'NEW MODEL BY SES'!$C$17:$R$17,0),0),"")</f>
        <v/>
      </c>
      <c r="H87" s="142" t="str">
        <f>IFERROR(VLOOKUP($C87,'NEW MODEL BY SES'!$C$19:$R$242,MATCH('SeS in Retail Sales Areas'!H$7,'NEW MODEL BY SES'!$C$17:$R$17,0),0),"")</f>
        <v/>
      </c>
      <c r="I87" s="140" t="str">
        <f>IFERROR(VLOOKUP($C87,'NEW MODEL BY SES'!$C$19:$R$242,MATCH('SeS in Retail Sales Areas'!I$7,'NEW MODEL BY SES'!$C$17:$R$17,0),0),"")</f>
        <v/>
      </c>
      <c r="J87" s="142" t="str">
        <f>IFERROR(VLOOKUP($C87,'NEW MODEL BY SES'!$C$19:$R$242,MATCH('SeS in Retail Sales Areas'!J$7,'NEW MODEL BY SES'!$C$17:$R$17,0),0),"")</f>
        <v/>
      </c>
      <c r="K87" s="140" t="str">
        <f>IFERROR(VLOOKUP($C87,'NEW MODEL BY SES'!$C$19:$R$242,MATCH('SeS in Retail Sales Areas'!K$7,'NEW MODEL BY SES'!$C$17:$R$17,0),0),"")</f>
        <v/>
      </c>
      <c r="L87" s="142" t="str">
        <f>IFERROR(VLOOKUP($C87,'NEW MODEL BY SES'!$C$19:$R$242,MATCH('SeS in Retail Sales Areas'!L$7,'NEW MODEL BY SES'!$C$17:$R$17,0),0),"")</f>
        <v/>
      </c>
      <c r="M87" s="140" t="str">
        <f>IFERROR(VLOOKUP($C87,'NEW MODEL BY SES'!$C$19:$R$242,MATCH('SeS in Retail Sales Areas'!M$7,'NEW MODEL BY SES'!$C$17:$R$17,0),0),"")</f>
        <v/>
      </c>
      <c r="N87" s="142" t="str">
        <f>IFERROR(VLOOKUP($C87,'NEW MODEL BY SES'!$C$19:$R$242,MATCH('SeS in Retail Sales Areas'!N$7,'NEW MODEL BY SES'!$C$17:$R$17,0),0),"")</f>
        <v/>
      </c>
      <c r="O87" s="140" t="str">
        <f>IFERROR(VLOOKUP($C87,'NEW MODEL BY SES'!$C$19:$R$242,MATCH('SeS in Retail Sales Areas'!O$7,'NEW MODEL BY SES'!$C$17:$R$17,0),0),"")</f>
        <v/>
      </c>
      <c r="P87" s="142" t="str">
        <f>IFERROR(VLOOKUP($C87,'NEW MODEL BY SES'!$C$19:$R$242,MATCH('SeS in Retail Sales Areas'!P$7,'NEW MODEL BY SES'!$C$17:$R$17,0),0),"")</f>
        <v/>
      </c>
      <c r="Q87" s="140" t="str">
        <f>IFERROR(VLOOKUP($C87,'NEW MODEL BY SES'!$C$19:$R$242,MATCH('SeS in Retail Sales Areas'!Q$7,'NEW MODEL BY SES'!$C$17:$R$17,0),0),"")</f>
        <v/>
      </c>
      <c r="R87" s="142" t="str">
        <f>IFERROR(VLOOKUP($C87,'NEW MODEL BY SES'!$C$19:$R$242,MATCH('SeS in Retail Sales Areas'!R$7,'NEW MODEL BY SES'!$C$17:$R$17,0),0),"")</f>
        <v/>
      </c>
      <c r="S87" s="141" t="str">
        <f>IFERROR(VLOOKUP($C87,'NEW MODEL BY SES'!$C$19:$R$242,MATCH('SeS in Retail Sales Areas'!S$7,'NEW MODEL BY SES'!$C$17:$R$17,0),0),"")</f>
        <v/>
      </c>
      <c r="T87" s="140" t="str">
        <f>IFERROR(VLOOKUP($C87,'NEW MODEL BY SES'!$C$19:$R$242,MATCH('SeS in Retail Sales Areas'!T$7,'NEW MODEL BY SES'!$C$17:$R$17,0),0),"")</f>
        <v/>
      </c>
      <c r="U87" s="142" t="str">
        <f>IFERROR(VLOOKUP($C87,'NEW MODEL BY SES'!$C$19:$R$242,MATCH('SeS in Retail Sales Areas'!U$7,'NEW MODEL BY SES'!$C$17:$R$17,0),0),"")</f>
        <v/>
      </c>
      <c r="V87" s="140" t="str">
        <f>IFERROR(VLOOKUP($C87,'NEW MODEL BY SES'!$C$19:$R$242,MATCH('SeS in Retail Sales Areas'!V$7,'NEW MODEL BY SES'!$C$17:$R$17,0),0),"")</f>
        <v/>
      </c>
      <c r="W87" s="141" t="str">
        <f>IFERROR(VLOOKUP($C87,'NEW MODEL BY SES'!$C$19:$R$242,MATCH('SeS in Retail Sales Areas'!W$7,'NEW MODEL BY SES'!$C$17:$R$17,0),0),"")</f>
        <v/>
      </c>
      <c r="X87" s="140" t="str">
        <f>IFERROR(VLOOKUP($C87,'NEW MODEL BY SES'!$C$19:$R$242,MATCH('SeS in Retail Sales Areas'!X$7,'NEW MODEL BY SES'!$C$17:$R$17,0),0),"")</f>
        <v/>
      </c>
      <c r="Z87" s="57"/>
    </row>
    <row r="88" spans="1:26">
      <c r="A88" t="s">
        <v>1012</v>
      </c>
      <c r="B88" s="57">
        <v>144</v>
      </c>
      <c r="C88" t="s">
        <v>1017</v>
      </c>
      <c r="D88" t="s">
        <v>38</v>
      </c>
      <c r="E88"/>
      <c r="F88" s="140" t="str">
        <f>IFERROR(VLOOKUP($C88,'NEW MODEL BY SES'!$C$19:$R$242,MATCH('SeS in Retail Sales Areas'!F$7,'NEW MODEL BY SES'!$C$17:$R$17,0),0),"")</f>
        <v/>
      </c>
      <c r="G88" s="140" t="str">
        <f>IFERROR(VLOOKUP($C88,'NEW MODEL BY SES'!$C$19:$R$242,MATCH('SeS in Retail Sales Areas'!G$7,'NEW MODEL BY SES'!$C$17:$R$17,0),0),"")</f>
        <v/>
      </c>
      <c r="H88" s="142" t="str">
        <f>IFERROR(VLOOKUP($C88,'NEW MODEL BY SES'!$C$19:$R$242,MATCH('SeS in Retail Sales Areas'!H$7,'NEW MODEL BY SES'!$C$17:$R$17,0),0),"")</f>
        <v/>
      </c>
      <c r="I88" s="140" t="str">
        <f>IFERROR(VLOOKUP($C88,'NEW MODEL BY SES'!$C$19:$R$242,MATCH('SeS in Retail Sales Areas'!I$7,'NEW MODEL BY SES'!$C$17:$R$17,0),0),"")</f>
        <v/>
      </c>
      <c r="J88" s="142" t="str">
        <f>IFERROR(VLOOKUP($C88,'NEW MODEL BY SES'!$C$19:$R$242,MATCH('SeS in Retail Sales Areas'!J$7,'NEW MODEL BY SES'!$C$17:$R$17,0),0),"")</f>
        <v/>
      </c>
      <c r="K88" s="140" t="str">
        <f>IFERROR(VLOOKUP($C88,'NEW MODEL BY SES'!$C$19:$R$242,MATCH('SeS in Retail Sales Areas'!K$7,'NEW MODEL BY SES'!$C$17:$R$17,0),0),"")</f>
        <v/>
      </c>
      <c r="L88" s="142" t="str">
        <f>IFERROR(VLOOKUP($C88,'NEW MODEL BY SES'!$C$19:$R$242,MATCH('SeS in Retail Sales Areas'!L$7,'NEW MODEL BY SES'!$C$17:$R$17,0),0),"")</f>
        <v/>
      </c>
      <c r="M88" s="140" t="str">
        <f>IFERROR(VLOOKUP($C88,'NEW MODEL BY SES'!$C$19:$R$242,MATCH('SeS in Retail Sales Areas'!M$7,'NEW MODEL BY SES'!$C$17:$R$17,0),0),"")</f>
        <v/>
      </c>
      <c r="N88" s="142" t="str">
        <f>IFERROR(VLOOKUP($C88,'NEW MODEL BY SES'!$C$19:$R$242,MATCH('SeS in Retail Sales Areas'!N$7,'NEW MODEL BY SES'!$C$17:$R$17,0),0),"")</f>
        <v/>
      </c>
      <c r="O88" s="140" t="str">
        <f>IFERROR(VLOOKUP($C88,'NEW MODEL BY SES'!$C$19:$R$242,MATCH('SeS in Retail Sales Areas'!O$7,'NEW MODEL BY SES'!$C$17:$R$17,0),0),"")</f>
        <v/>
      </c>
      <c r="P88" s="142" t="str">
        <f>IFERROR(VLOOKUP($C88,'NEW MODEL BY SES'!$C$19:$R$242,MATCH('SeS in Retail Sales Areas'!P$7,'NEW MODEL BY SES'!$C$17:$R$17,0),0),"")</f>
        <v/>
      </c>
      <c r="Q88" s="140" t="str">
        <f>IFERROR(VLOOKUP($C88,'NEW MODEL BY SES'!$C$19:$R$242,MATCH('SeS in Retail Sales Areas'!Q$7,'NEW MODEL BY SES'!$C$17:$R$17,0),0),"")</f>
        <v/>
      </c>
      <c r="R88" s="142" t="str">
        <f>IFERROR(VLOOKUP($C88,'NEW MODEL BY SES'!$C$19:$R$242,MATCH('SeS in Retail Sales Areas'!R$7,'NEW MODEL BY SES'!$C$17:$R$17,0),0),"")</f>
        <v/>
      </c>
      <c r="S88" s="141" t="str">
        <f>IFERROR(VLOOKUP($C88,'NEW MODEL BY SES'!$C$19:$R$242,MATCH('SeS in Retail Sales Areas'!S$7,'NEW MODEL BY SES'!$C$17:$R$17,0),0),"")</f>
        <v/>
      </c>
      <c r="T88" s="140" t="str">
        <f>IFERROR(VLOOKUP($C88,'NEW MODEL BY SES'!$C$19:$R$242,MATCH('SeS in Retail Sales Areas'!T$7,'NEW MODEL BY SES'!$C$17:$R$17,0),0),"")</f>
        <v/>
      </c>
      <c r="U88" s="142" t="str">
        <f>IFERROR(VLOOKUP($C88,'NEW MODEL BY SES'!$C$19:$R$242,MATCH('SeS in Retail Sales Areas'!U$7,'NEW MODEL BY SES'!$C$17:$R$17,0),0),"")</f>
        <v/>
      </c>
      <c r="V88" s="140" t="str">
        <f>IFERROR(VLOOKUP($C88,'NEW MODEL BY SES'!$C$19:$R$242,MATCH('SeS in Retail Sales Areas'!V$7,'NEW MODEL BY SES'!$C$17:$R$17,0),0),"")</f>
        <v/>
      </c>
      <c r="W88" s="141" t="str">
        <f>IFERROR(VLOOKUP($C88,'NEW MODEL BY SES'!$C$19:$R$242,MATCH('SeS in Retail Sales Areas'!W$7,'NEW MODEL BY SES'!$C$17:$R$17,0),0),"")</f>
        <v/>
      </c>
      <c r="X88" s="140" t="str">
        <f>IFERROR(VLOOKUP($C88,'NEW MODEL BY SES'!$C$19:$R$242,MATCH('SeS in Retail Sales Areas'!X$7,'NEW MODEL BY SES'!$C$17:$R$17,0),0),"")</f>
        <v/>
      </c>
      <c r="Z88" s="57"/>
    </row>
    <row r="89" spans="1:26">
      <c r="A89" t="s">
        <v>1012</v>
      </c>
      <c r="B89" s="57">
        <v>127</v>
      </c>
      <c r="C89" t="s">
        <v>1018</v>
      </c>
      <c r="D89" t="s">
        <v>38</v>
      </c>
      <c r="E89"/>
      <c r="F89" s="140" t="str">
        <f>IFERROR(VLOOKUP($C89,'NEW MODEL BY SES'!$C$19:$R$242,MATCH('SeS in Retail Sales Areas'!F$7,'NEW MODEL BY SES'!$C$17:$R$17,0),0),"")</f>
        <v/>
      </c>
      <c r="G89" s="140" t="str">
        <f>IFERROR(VLOOKUP($C89,'NEW MODEL BY SES'!$C$19:$R$242,MATCH('SeS in Retail Sales Areas'!G$7,'NEW MODEL BY SES'!$C$17:$R$17,0),0),"")</f>
        <v/>
      </c>
      <c r="H89" s="142" t="str">
        <f>IFERROR(VLOOKUP($C89,'NEW MODEL BY SES'!$C$19:$R$242,MATCH('SeS in Retail Sales Areas'!H$7,'NEW MODEL BY SES'!$C$17:$R$17,0),0),"")</f>
        <v/>
      </c>
      <c r="I89" s="140" t="str">
        <f>IFERROR(VLOOKUP($C89,'NEW MODEL BY SES'!$C$19:$R$242,MATCH('SeS in Retail Sales Areas'!I$7,'NEW MODEL BY SES'!$C$17:$R$17,0),0),"")</f>
        <v/>
      </c>
      <c r="J89" s="142" t="str">
        <f>IFERROR(VLOOKUP($C89,'NEW MODEL BY SES'!$C$19:$R$242,MATCH('SeS in Retail Sales Areas'!J$7,'NEW MODEL BY SES'!$C$17:$R$17,0),0),"")</f>
        <v/>
      </c>
      <c r="K89" s="140" t="str">
        <f>IFERROR(VLOOKUP($C89,'NEW MODEL BY SES'!$C$19:$R$242,MATCH('SeS in Retail Sales Areas'!K$7,'NEW MODEL BY SES'!$C$17:$R$17,0),0),"")</f>
        <v/>
      </c>
      <c r="L89" s="142" t="str">
        <f>IFERROR(VLOOKUP($C89,'NEW MODEL BY SES'!$C$19:$R$242,MATCH('SeS in Retail Sales Areas'!L$7,'NEW MODEL BY SES'!$C$17:$R$17,0),0),"")</f>
        <v/>
      </c>
      <c r="M89" s="140" t="str">
        <f>IFERROR(VLOOKUP($C89,'NEW MODEL BY SES'!$C$19:$R$242,MATCH('SeS in Retail Sales Areas'!M$7,'NEW MODEL BY SES'!$C$17:$R$17,0),0),"")</f>
        <v/>
      </c>
      <c r="N89" s="142" t="str">
        <f>IFERROR(VLOOKUP($C89,'NEW MODEL BY SES'!$C$19:$R$242,MATCH('SeS in Retail Sales Areas'!N$7,'NEW MODEL BY SES'!$C$17:$R$17,0),0),"")</f>
        <v/>
      </c>
      <c r="O89" s="140" t="str">
        <f>IFERROR(VLOOKUP($C89,'NEW MODEL BY SES'!$C$19:$R$242,MATCH('SeS in Retail Sales Areas'!O$7,'NEW MODEL BY SES'!$C$17:$R$17,0),0),"")</f>
        <v/>
      </c>
      <c r="P89" s="142" t="str">
        <f>IFERROR(VLOOKUP($C89,'NEW MODEL BY SES'!$C$19:$R$242,MATCH('SeS in Retail Sales Areas'!P$7,'NEW MODEL BY SES'!$C$17:$R$17,0),0),"")</f>
        <v/>
      </c>
      <c r="Q89" s="140" t="str">
        <f>IFERROR(VLOOKUP($C89,'NEW MODEL BY SES'!$C$19:$R$242,MATCH('SeS in Retail Sales Areas'!Q$7,'NEW MODEL BY SES'!$C$17:$R$17,0),0),"")</f>
        <v/>
      </c>
      <c r="R89" s="142" t="str">
        <f>IFERROR(VLOOKUP($C89,'NEW MODEL BY SES'!$C$19:$R$242,MATCH('SeS in Retail Sales Areas'!R$7,'NEW MODEL BY SES'!$C$17:$R$17,0),0),"")</f>
        <v/>
      </c>
      <c r="S89" s="141" t="str">
        <f>IFERROR(VLOOKUP($C89,'NEW MODEL BY SES'!$C$19:$R$242,MATCH('SeS in Retail Sales Areas'!S$7,'NEW MODEL BY SES'!$C$17:$R$17,0),0),"")</f>
        <v/>
      </c>
      <c r="T89" s="140" t="str">
        <f>IFERROR(VLOOKUP($C89,'NEW MODEL BY SES'!$C$19:$R$242,MATCH('SeS in Retail Sales Areas'!T$7,'NEW MODEL BY SES'!$C$17:$R$17,0),0),"")</f>
        <v/>
      </c>
      <c r="U89" s="142" t="str">
        <f>IFERROR(VLOOKUP($C89,'NEW MODEL BY SES'!$C$19:$R$242,MATCH('SeS in Retail Sales Areas'!U$7,'NEW MODEL BY SES'!$C$17:$R$17,0),0),"")</f>
        <v/>
      </c>
      <c r="V89" s="140" t="str">
        <f>IFERROR(VLOOKUP($C89,'NEW MODEL BY SES'!$C$19:$R$242,MATCH('SeS in Retail Sales Areas'!V$7,'NEW MODEL BY SES'!$C$17:$R$17,0),0),"")</f>
        <v/>
      </c>
      <c r="W89" s="141" t="str">
        <f>IFERROR(VLOOKUP($C89,'NEW MODEL BY SES'!$C$19:$R$242,MATCH('SeS in Retail Sales Areas'!W$7,'NEW MODEL BY SES'!$C$17:$R$17,0),0),"")</f>
        <v/>
      </c>
      <c r="X89" s="140" t="str">
        <f>IFERROR(VLOOKUP($C89,'NEW MODEL BY SES'!$C$19:$R$242,MATCH('SeS in Retail Sales Areas'!X$7,'NEW MODEL BY SES'!$C$17:$R$17,0),0),"")</f>
        <v/>
      </c>
      <c r="Z89" s="57"/>
    </row>
    <row r="90" spans="1:26">
      <c r="A90" t="s">
        <v>1012</v>
      </c>
      <c r="B90" s="57">
        <v>127</v>
      </c>
      <c r="C90" t="s">
        <v>1019</v>
      </c>
      <c r="D90" t="s">
        <v>38</v>
      </c>
      <c r="E90"/>
      <c r="F90" s="140" t="str">
        <f>IFERROR(VLOOKUP($C90,'NEW MODEL BY SES'!$C$19:$R$242,MATCH('SeS in Retail Sales Areas'!F$7,'NEW MODEL BY SES'!$C$17:$R$17,0),0),"")</f>
        <v/>
      </c>
      <c r="G90" s="140" t="str">
        <f>IFERROR(VLOOKUP($C90,'NEW MODEL BY SES'!$C$19:$R$242,MATCH('SeS in Retail Sales Areas'!G$7,'NEW MODEL BY SES'!$C$17:$R$17,0),0),"")</f>
        <v/>
      </c>
      <c r="H90" s="142" t="str">
        <f>IFERROR(VLOOKUP($C90,'NEW MODEL BY SES'!$C$19:$R$242,MATCH('SeS in Retail Sales Areas'!H$7,'NEW MODEL BY SES'!$C$17:$R$17,0),0),"")</f>
        <v/>
      </c>
      <c r="I90" s="140" t="str">
        <f>IFERROR(VLOOKUP($C90,'NEW MODEL BY SES'!$C$19:$R$242,MATCH('SeS in Retail Sales Areas'!I$7,'NEW MODEL BY SES'!$C$17:$R$17,0),0),"")</f>
        <v/>
      </c>
      <c r="J90" s="142" t="str">
        <f>IFERROR(VLOOKUP($C90,'NEW MODEL BY SES'!$C$19:$R$242,MATCH('SeS in Retail Sales Areas'!J$7,'NEW MODEL BY SES'!$C$17:$R$17,0),0),"")</f>
        <v/>
      </c>
      <c r="K90" s="140" t="str">
        <f>IFERROR(VLOOKUP($C90,'NEW MODEL BY SES'!$C$19:$R$242,MATCH('SeS in Retail Sales Areas'!K$7,'NEW MODEL BY SES'!$C$17:$R$17,0),0),"")</f>
        <v/>
      </c>
      <c r="L90" s="142" t="str">
        <f>IFERROR(VLOOKUP($C90,'NEW MODEL BY SES'!$C$19:$R$242,MATCH('SeS in Retail Sales Areas'!L$7,'NEW MODEL BY SES'!$C$17:$R$17,0),0),"")</f>
        <v/>
      </c>
      <c r="M90" s="140" t="str">
        <f>IFERROR(VLOOKUP($C90,'NEW MODEL BY SES'!$C$19:$R$242,MATCH('SeS in Retail Sales Areas'!M$7,'NEW MODEL BY SES'!$C$17:$R$17,0),0),"")</f>
        <v/>
      </c>
      <c r="N90" s="142" t="str">
        <f>IFERROR(VLOOKUP($C90,'NEW MODEL BY SES'!$C$19:$R$242,MATCH('SeS in Retail Sales Areas'!N$7,'NEW MODEL BY SES'!$C$17:$R$17,0),0),"")</f>
        <v/>
      </c>
      <c r="O90" s="140" t="str">
        <f>IFERROR(VLOOKUP($C90,'NEW MODEL BY SES'!$C$19:$R$242,MATCH('SeS in Retail Sales Areas'!O$7,'NEW MODEL BY SES'!$C$17:$R$17,0),0),"")</f>
        <v/>
      </c>
      <c r="P90" s="142" t="str">
        <f>IFERROR(VLOOKUP($C90,'NEW MODEL BY SES'!$C$19:$R$242,MATCH('SeS in Retail Sales Areas'!P$7,'NEW MODEL BY SES'!$C$17:$R$17,0),0),"")</f>
        <v/>
      </c>
      <c r="Q90" s="140" t="str">
        <f>IFERROR(VLOOKUP($C90,'NEW MODEL BY SES'!$C$19:$R$242,MATCH('SeS in Retail Sales Areas'!Q$7,'NEW MODEL BY SES'!$C$17:$R$17,0),0),"")</f>
        <v/>
      </c>
      <c r="R90" s="142" t="str">
        <f>IFERROR(VLOOKUP($C90,'NEW MODEL BY SES'!$C$19:$R$242,MATCH('SeS in Retail Sales Areas'!R$7,'NEW MODEL BY SES'!$C$17:$R$17,0),0),"")</f>
        <v/>
      </c>
      <c r="S90" s="141" t="str">
        <f>IFERROR(VLOOKUP($C90,'NEW MODEL BY SES'!$C$19:$R$242,MATCH('SeS in Retail Sales Areas'!S$7,'NEW MODEL BY SES'!$C$17:$R$17,0),0),"")</f>
        <v/>
      </c>
      <c r="T90" s="140" t="str">
        <f>IFERROR(VLOOKUP($C90,'NEW MODEL BY SES'!$C$19:$R$242,MATCH('SeS in Retail Sales Areas'!T$7,'NEW MODEL BY SES'!$C$17:$R$17,0),0),"")</f>
        <v/>
      </c>
      <c r="U90" s="142" t="str">
        <f>IFERROR(VLOOKUP($C90,'NEW MODEL BY SES'!$C$19:$R$242,MATCH('SeS in Retail Sales Areas'!U$7,'NEW MODEL BY SES'!$C$17:$R$17,0),0),"")</f>
        <v/>
      </c>
      <c r="V90" s="140" t="str">
        <f>IFERROR(VLOOKUP($C90,'NEW MODEL BY SES'!$C$19:$R$242,MATCH('SeS in Retail Sales Areas'!V$7,'NEW MODEL BY SES'!$C$17:$R$17,0),0),"")</f>
        <v/>
      </c>
      <c r="W90" s="141" t="str">
        <f>IFERROR(VLOOKUP($C90,'NEW MODEL BY SES'!$C$19:$R$242,MATCH('SeS in Retail Sales Areas'!W$7,'NEW MODEL BY SES'!$C$17:$R$17,0),0),"")</f>
        <v/>
      </c>
      <c r="X90" s="140" t="str">
        <f>IFERROR(VLOOKUP($C90,'NEW MODEL BY SES'!$C$19:$R$242,MATCH('SeS in Retail Sales Areas'!X$7,'NEW MODEL BY SES'!$C$17:$R$17,0),0),"")</f>
        <v/>
      </c>
      <c r="Z90" s="57"/>
    </row>
    <row r="91" spans="1:26">
      <c r="A91" t="s">
        <v>1012</v>
      </c>
      <c r="B91" s="57">
        <v>113</v>
      </c>
      <c r="C91" t="s">
        <v>1020</v>
      </c>
      <c r="D91" t="s">
        <v>40</v>
      </c>
      <c r="E91"/>
      <c r="F91" s="140" t="str">
        <f>IFERROR(VLOOKUP($C91,'NEW MODEL BY SES'!$C$19:$R$242,MATCH('SeS in Retail Sales Areas'!F$7,'NEW MODEL BY SES'!$C$17:$R$17,0),0),"")</f>
        <v/>
      </c>
      <c r="G91" s="140" t="str">
        <f>IFERROR(VLOOKUP($C91,'NEW MODEL BY SES'!$C$19:$R$242,MATCH('SeS in Retail Sales Areas'!G$7,'NEW MODEL BY SES'!$C$17:$R$17,0),0),"")</f>
        <v/>
      </c>
      <c r="H91" s="142" t="str">
        <f>IFERROR(VLOOKUP($C91,'NEW MODEL BY SES'!$C$19:$R$242,MATCH('SeS in Retail Sales Areas'!H$7,'NEW MODEL BY SES'!$C$17:$R$17,0),0),"")</f>
        <v/>
      </c>
      <c r="I91" s="140" t="str">
        <f>IFERROR(VLOOKUP($C91,'NEW MODEL BY SES'!$C$19:$R$242,MATCH('SeS in Retail Sales Areas'!I$7,'NEW MODEL BY SES'!$C$17:$R$17,0),0),"")</f>
        <v/>
      </c>
      <c r="J91" s="142" t="str">
        <f>IFERROR(VLOOKUP($C91,'NEW MODEL BY SES'!$C$19:$R$242,MATCH('SeS in Retail Sales Areas'!J$7,'NEW MODEL BY SES'!$C$17:$R$17,0),0),"")</f>
        <v/>
      </c>
      <c r="K91" s="140" t="str">
        <f>IFERROR(VLOOKUP($C91,'NEW MODEL BY SES'!$C$19:$R$242,MATCH('SeS in Retail Sales Areas'!K$7,'NEW MODEL BY SES'!$C$17:$R$17,0),0),"")</f>
        <v/>
      </c>
      <c r="L91" s="142" t="str">
        <f>IFERROR(VLOOKUP($C91,'NEW MODEL BY SES'!$C$19:$R$242,MATCH('SeS in Retail Sales Areas'!L$7,'NEW MODEL BY SES'!$C$17:$R$17,0),0),"")</f>
        <v/>
      </c>
      <c r="M91" s="140" t="str">
        <f>IFERROR(VLOOKUP($C91,'NEW MODEL BY SES'!$C$19:$R$242,MATCH('SeS in Retail Sales Areas'!M$7,'NEW MODEL BY SES'!$C$17:$R$17,0),0),"")</f>
        <v/>
      </c>
      <c r="N91" s="142" t="str">
        <f>IFERROR(VLOOKUP($C91,'NEW MODEL BY SES'!$C$19:$R$242,MATCH('SeS in Retail Sales Areas'!N$7,'NEW MODEL BY SES'!$C$17:$R$17,0),0),"")</f>
        <v/>
      </c>
      <c r="O91" s="140" t="str">
        <f>IFERROR(VLOOKUP($C91,'NEW MODEL BY SES'!$C$19:$R$242,MATCH('SeS in Retail Sales Areas'!O$7,'NEW MODEL BY SES'!$C$17:$R$17,0),0),"")</f>
        <v/>
      </c>
      <c r="P91" s="142" t="str">
        <f>IFERROR(VLOOKUP($C91,'NEW MODEL BY SES'!$C$19:$R$242,MATCH('SeS in Retail Sales Areas'!P$7,'NEW MODEL BY SES'!$C$17:$R$17,0),0),"")</f>
        <v/>
      </c>
      <c r="Q91" s="140" t="str">
        <f>IFERROR(VLOOKUP($C91,'NEW MODEL BY SES'!$C$19:$R$242,MATCH('SeS in Retail Sales Areas'!Q$7,'NEW MODEL BY SES'!$C$17:$R$17,0),0),"")</f>
        <v/>
      </c>
      <c r="R91" s="142" t="str">
        <f>IFERROR(VLOOKUP($C91,'NEW MODEL BY SES'!$C$19:$R$242,MATCH('SeS in Retail Sales Areas'!R$7,'NEW MODEL BY SES'!$C$17:$R$17,0),0),"")</f>
        <v/>
      </c>
      <c r="S91" s="141" t="str">
        <f>IFERROR(VLOOKUP($C91,'NEW MODEL BY SES'!$C$19:$R$242,MATCH('SeS in Retail Sales Areas'!S$7,'NEW MODEL BY SES'!$C$17:$R$17,0),0),"")</f>
        <v/>
      </c>
      <c r="T91" s="140" t="str">
        <f>IFERROR(VLOOKUP($C91,'NEW MODEL BY SES'!$C$19:$R$242,MATCH('SeS in Retail Sales Areas'!T$7,'NEW MODEL BY SES'!$C$17:$R$17,0),0),"")</f>
        <v/>
      </c>
      <c r="U91" s="142" t="str">
        <f>IFERROR(VLOOKUP($C91,'NEW MODEL BY SES'!$C$19:$R$242,MATCH('SeS in Retail Sales Areas'!U$7,'NEW MODEL BY SES'!$C$17:$R$17,0),0),"")</f>
        <v/>
      </c>
      <c r="V91" s="140" t="str">
        <f>IFERROR(VLOOKUP($C91,'NEW MODEL BY SES'!$C$19:$R$242,MATCH('SeS in Retail Sales Areas'!V$7,'NEW MODEL BY SES'!$C$17:$R$17,0),0),"")</f>
        <v/>
      </c>
      <c r="W91" s="141" t="str">
        <f>IFERROR(VLOOKUP($C91,'NEW MODEL BY SES'!$C$19:$R$242,MATCH('SeS in Retail Sales Areas'!W$7,'NEW MODEL BY SES'!$C$17:$R$17,0),0),"")</f>
        <v/>
      </c>
      <c r="X91" s="140" t="str">
        <f>IFERROR(VLOOKUP($C91,'NEW MODEL BY SES'!$C$19:$R$242,MATCH('SeS in Retail Sales Areas'!X$7,'NEW MODEL BY SES'!$C$17:$R$17,0),0),"")</f>
        <v/>
      </c>
      <c r="Z91" s="57"/>
    </row>
    <row r="92" spans="1:26">
      <c r="A92" t="s">
        <v>1012</v>
      </c>
      <c r="B92" s="57">
        <v>113</v>
      </c>
      <c r="C92" t="s">
        <v>1021</v>
      </c>
      <c r="D92" t="s">
        <v>40</v>
      </c>
      <c r="E92"/>
      <c r="F92" s="140" t="str">
        <f>IFERROR(VLOOKUP($C92,'NEW MODEL BY SES'!$C$19:$R$242,MATCH('SeS in Retail Sales Areas'!F$7,'NEW MODEL BY SES'!$C$17:$R$17,0),0),"")</f>
        <v/>
      </c>
      <c r="G92" s="140" t="str">
        <f>IFERROR(VLOOKUP($C92,'NEW MODEL BY SES'!$C$19:$R$242,MATCH('SeS in Retail Sales Areas'!G$7,'NEW MODEL BY SES'!$C$17:$R$17,0),0),"")</f>
        <v/>
      </c>
      <c r="H92" s="142" t="str">
        <f>IFERROR(VLOOKUP($C92,'NEW MODEL BY SES'!$C$19:$R$242,MATCH('SeS in Retail Sales Areas'!H$7,'NEW MODEL BY SES'!$C$17:$R$17,0),0),"")</f>
        <v/>
      </c>
      <c r="I92" s="140" t="str">
        <f>IFERROR(VLOOKUP($C92,'NEW MODEL BY SES'!$C$19:$R$242,MATCH('SeS in Retail Sales Areas'!I$7,'NEW MODEL BY SES'!$C$17:$R$17,0),0),"")</f>
        <v/>
      </c>
      <c r="J92" s="142" t="str">
        <f>IFERROR(VLOOKUP($C92,'NEW MODEL BY SES'!$C$19:$R$242,MATCH('SeS in Retail Sales Areas'!J$7,'NEW MODEL BY SES'!$C$17:$R$17,0),0),"")</f>
        <v/>
      </c>
      <c r="K92" s="140" t="str">
        <f>IFERROR(VLOOKUP($C92,'NEW MODEL BY SES'!$C$19:$R$242,MATCH('SeS in Retail Sales Areas'!K$7,'NEW MODEL BY SES'!$C$17:$R$17,0),0),"")</f>
        <v/>
      </c>
      <c r="L92" s="142" t="str">
        <f>IFERROR(VLOOKUP($C92,'NEW MODEL BY SES'!$C$19:$R$242,MATCH('SeS in Retail Sales Areas'!L$7,'NEW MODEL BY SES'!$C$17:$R$17,0),0),"")</f>
        <v/>
      </c>
      <c r="M92" s="140" t="str">
        <f>IFERROR(VLOOKUP($C92,'NEW MODEL BY SES'!$C$19:$R$242,MATCH('SeS in Retail Sales Areas'!M$7,'NEW MODEL BY SES'!$C$17:$R$17,0),0),"")</f>
        <v/>
      </c>
      <c r="N92" s="142" t="str">
        <f>IFERROR(VLOOKUP($C92,'NEW MODEL BY SES'!$C$19:$R$242,MATCH('SeS in Retail Sales Areas'!N$7,'NEW MODEL BY SES'!$C$17:$R$17,0),0),"")</f>
        <v/>
      </c>
      <c r="O92" s="140" t="str">
        <f>IFERROR(VLOOKUP($C92,'NEW MODEL BY SES'!$C$19:$R$242,MATCH('SeS in Retail Sales Areas'!O$7,'NEW MODEL BY SES'!$C$17:$R$17,0),0),"")</f>
        <v/>
      </c>
      <c r="P92" s="142" t="str">
        <f>IFERROR(VLOOKUP($C92,'NEW MODEL BY SES'!$C$19:$R$242,MATCH('SeS in Retail Sales Areas'!P$7,'NEW MODEL BY SES'!$C$17:$R$17,0),0),"")</f>
        <v/>
      </c>
      <c r="Q92" s="140" t="str">
        <f>IFERROR(VLOOKUP($C92,'NEW MODEL BY SES'!$C$19:$R$242,MATCH('SeS in Retail Sales Areas'!Q$7,'NEW MODEL BY SES'!$C$17:$R$17,0),0),"")</f>
        <v/>
      </c>
      <c r="R92" s="142" t="str">
        <f>IFERROR(VLOOKUP($C92,'NEW MODEL BY SES'!$C$19:$R$242,MATCH('SeS in Retail Sales Areas'!R$7,'NEW MODEL BY SES'!$C$17:$R$17,0),0),"")</f>
        <v/>
      </c>
      <c r="S92" s="141" t="str">
        <f>IFERROR(VLOOKUP($C92,'NEW MODEL BY SES'!$C$19:$R$242,MATCH('SeS in Retail Sales Areas'!S$7,'NEW MODEL BY SES'!$C$17:$R$17,0),0),"")</f>
        <v/>
      </c>
      <c r="T92" s="140" t="str">
        <f>IFERROR(VLOOKUP($C92,'NEW MODEL BY SES'!$C$19:$R$242,MATCH('SeS in Retail Sales Areas'!T$7,'NEW MODEL BY SES'!$C$17:$R$17,0),0),"")</f>
        <v/>
      </c>
      <c r="U92" s="142" t="str">
        <f>IFERROR(VLOOKUP($C92,'NEW MODEL BY SES'!$C$19:$R$242,MATCH('SeS in Retail Sales Areas'!U$7,'NEW MODEL BY SES'!$C$17:$R$17,0),0),"")</f>
        <v/>
      </c>
      <c r="V92" s="140" t="str">
        <f>IFERROR(VLOOKUP($C92,'NEW MODEL BY SES'!$C$19:$R$242,MATCH('SeS in Retail Sales Areas'!V$7,'NEW MODEL BY SES'!$C$17:$R$17,0),0),"")</f>
        <v/>
      </c>
      <c r="W92" s="141" t="str">
        <f>IFERROR(VLOOKUP($C92,'NEW MODEL BY SES'!$C$19:$R$242,MATCH('SeS in Retail Sales Areas'!W$7,'NEW MODEL BY SES'!$C$17:$R$17,0),0),"")</f>
        <v/>
      </c>
      <c r="X92" s="140" t="str">
        <f>IFERROR(VLOOKUP($C92,'NEW MODEL BY SES'!$C$19:$R$242,MATCH('SeS in Retail Sales Areas'!X$7,'NEW MODEL BY SES'!$C$17:$R$17,0),0),"")</f>
        <v/>
      </c>
      <c r="Z92" s="57"/>
    </row>
    <row r="93" spans="1:26">
      <c r="A93" t="s">
        <v>1012</v>
      </c>
      <c r="B93" s="57">
        <v>103</v>
      </c>
      <c r="C93" t="s">
        <v>1022</v>
      </c>
      <c r="D93" t="s">
        <v>40</v>
      </c>
      <c r="E93"/>
      <c r="F93" s="140" t="str">
        <f>IFERROR(VLOOKUP($C93,'NEW MODEL BY SES'!$C$19:$R$242,MATCH('SeS in Retail Sales Areas'!F$7,'NEW MODEL BY SES'!$C$17:$R$17,0),0),"")</f>
        <v/>
      </c>
      <c r="G93" s="140" t="str">
        <f>IFERROR(VLOOKUP($C93,'NEW MODEL BY SES'!$C$19:$R$242,MATCH('SeS in Retail Sales Areas'!G$7,'NEW MODEL BY SES'!$C$17:$R$17,0),0),"")</f>
        <v/>
      </c>
      <c r="H93" s="142" t="str">
        <f>IFERROR(VLOOKUP($C93,'NEW MODEL BY SES'!$C$19:$R$242,MATCH('SeS in Retail Sales Areas'!H$7,'NEW MODEL BY SES'!$C$17:$R$17,0),0),"")</f>
        <v/>
      </c>
      <c r="I93" s="140" t="str">
        <f>IFERROR(VLOOKUP($C93,'NEW MODEL BY SES'!$C$19:$R$242,MATCH('SeS in Retail Sales Areas'!I$7,'NEW MODEL BY SES'!$C$17:$R$17,0),0),"")</f>
        <v/>
      </c>
      <c r="J93" s="142" t="str">
        <f>IFERROR(VLOOKUP($C93,'NEW MODEL BY SES'!$C$19:$R$242,MATCH('SeS in Retail Sales Areas'!J$7,'NEW MODEL BY SES'!$C$17:$R$17,0),0),"")</f>
        <v/>
      </c>
      <c r="K93" s="140" t="str">
        <f>IFERROR(VLOOKUP($C93,'NEW MODEL BY SES'!$C$19:$R$242,MATCH('SeS in Retail Sales Areas'!K$7,'NEW MODEL BY SES'!$C$17:$R$17,0),0),"")</f>
        <v/>
      </c>
      <c r="L93" s="142" t="str">
        <f>IFERROR(VLOOKUP($C93,'NEW MODEL BY SES'!$C$19:$R$242,MATCH('SeS in Retail Sales Areas'!L$7,'NEW MODEL BY SES'!$C$17:$R$17,0),0),"")</f>
        <v/>
      </c>
      <c r="M93" s="140" t="str">
        <f>IFERROR(VLOOKUP($C93,'NEW MODEL BY SES'!$C$19:$R$242,MATCH('SeS in Retail Sales Areas'!M$7,'NEW MODEL BY SES'!$C$17:$R$17,0),0),"")</f>
        <v/>
      </c>
      <c r="N93" s="142" t="str">
        <f>IFERROR(VLOOKUP($C93,'NEW MODEL BY SES'!$C$19:$R$242,MATCH('SeS in Retail Sales Areas'!N$7,'NEW MODEL BY SES'!$C$17:$R$17,0),0),"")</f>
        <v/>
      </c>
      <c r="O93" s="140" t="str">
        <f>IFERROR(VLOOKUP($C93,'NEW MODEL BY SES'!$C$19:$R$242,MATCH('SeS in Retail Sales Areas'!O$7,'NEW MODEL BY SES'!$C$17:$R$17,0),0),"")</f>
        <v/>
      </c>
      <c r="P93" s="142" t="str">
        <f>IFERROR(VLOOKUP($C93,'NEW MODEL BY SES'!$C$19:$R$242,MATCH('SeS in Retail Sales Areas'!P$7,'NEW MODEL BY SES'!$C$17:$R$17,0),0),"")</f>
        <v/>
      </c>
      <c r="Q93" s="140" t="str">
        <f>IFERROR(VLOOKUP($C93,'NEW MODEL BY SES'!$C$19:$R$242,MATCH('SeS in Retail Sales Areas'!Q$7,'NEW MODEL BY SES'!$C$17:$R$17,0),0),"")</f>
        <v/>
      </c>
      <c r="R93" s="142" t="str">
        <f>IFERROR(VLOOKUP($C93,'NEW MODEL BY SES'!$C$19:$R$242,MATCH('SeS in Retail Sales Areas'!R$7,'NEW MODEL BY SES'!$C$17:$R$17,0),0),"")</f>
        <v/>
      </c>
      <c r="S93" s="141" t="str">
        <f>IFERROR(VLOOKUP($C93,'NEW MODEL BY SES'!$C$19:$R$242,MATCH('SeS in Retail Sales Areas'!S$7,'NEW MODEL BY SES'!$C$17:$R$17,0),0),"")</f>
        <v/>
      </c>
      <c r="T93" s="140" t="str">
        <f>IFERROR(VLOOKUP($C93,'NEW MODEL BY SES'!$C$19:$R$242,MATCH('SeS in Retail Sales Areas'!T$7,'NEW MODEL BY SES'!$C$17:$R$17,0),0),"")</f>
        <v/>
      </c>
      <c r="U93" s="142" t="str">
        <f>IFERROR(VLOOKUP($C93,'NEW MODEL BY SES'!$C$19:$R$242,MATCH('SeS in Retail Sales Areas'!U$7,'NEW MODEL BY SES'!$C$17:$R$17,0),0),"")</f>
        <v/>
      </c>
      <c r="V93" s="140" t="str">
        <f>IFERROR(VLOOKUP($C93,'NEW MODEL BY SES'!$C$19:$R$242,MATCH('SeS in Retail Sales Areas'!V$7,'NEW MODEL BY SES'!$C$17:$R$17,0),0),"")</f>
        <v/>
      </c>
      <c r="W93" s="141" t="str">
        <f>IFERROR(VLOOKUP($C93,'NEW MODEL BY SES'!$C$19:$R$242,MATCH('SeS in Retail Sales Areas'!W$7,'NEW MODEL BY SES'!$C$17:$R$17,0),0),"")</f>
        <v/>
      </c>
      <c r="X93" s="140" t="str">
        <f>IFERROR(VLOOKUP($C93,'NEW MODEL BY SES'!$C$19:$R$242,MATCH('SeS in Retail Sales Areas'!X$7,'NEW MODEL BY SES'!$C$17:$R$17,0),0),"")</f>
        <v/>
      </c>
      <c r="Z93" s="57"/>
    </row>
    <row r="94" spans="1:26">
      <c r="A94" t="s">
        <v>1012</v>
      </c>
      <c r="B94" s="57">
        <v>102</v>
      </c>
      <c r="C94" t="s">
        <v>1023</v>
      </c>
      <c r="D94" t="s">
        <v>40</v>
      </c>
      <c r="E94"/>
      <c r="F94" s="140" t="str">
        <f>IFERROR(VLOOKUP($C94,'NEW MODEL BY SES'!$C$19:$R$242,MATCH('SeS in Retail Sales Areas'!F$7,'NEW MODEL BY SES'!$C$17:$R$17,0),0),"")</f>
        <v/>
      </c>
      <c r="G94" s="140" t="str">
        <f>IFERROR(VLOOKUP($C94,'NEW MODEL BY SES'!$C$19:$R$242,MATCH('SeS in Retail Sales Areas'!G$7,'NEW MODEL BY SES'!$C$17:$R$17,0),0),"")</f>
        <v/>
      </c>
      <c r="H94" s="142" t="str">
        <f>IFERROR(VLOOKUP($C94,'NEW MODEL BY SES'!$C$19:$R$242,MATCH('SeS in Retail Sales Areas'!H$7,'NEW MODEL BY SES'!$C$17:$R$17,0),0),"")</f>
        <v/>
      </c>
      <c r="I94" s="140" t="str">
        <f>IFERROR(VLOOKUP($C94,'NEW MODEL BY SES'!$C$19:$R$242,MATCH('SeS in Retail Sales Areas'!I$7,'NEW MODEL BY SES'!$C$17:$R$17,0),0),"")</f>
        <v/>
      </c>
      <c r="J94" s="142" t="str">
        <f>IFERROR(VLOOKUP($C94,'NEW MODEL BY SES'!$C$19:$R$242,MATCH('SeS in Retail Sales Areas'!J$7,'NEW MODEL BY SES'!$C$17:$R$17,0),0),"")</f>
        <v/>
      </c>
      <c r="K94" s="140" t="str">
        <f>IFERROR(VLOOKUP($C94,'NEW MODEL BY SES'!$C$19:$R$242,MATCH('SeS in Retail Sales Areas'!K$7,'NEW MODEL BY SES'!$C$17:$R$17,0),0),"")</f>
        <v/>
      </c>
      <c r="L94" s="142" t="str">
        <f>IFERROR(VLOOKUP($C94,'NEW MODEL BY SES'!$C$19:$R$242,MATCH('SeS in Retail Sales Areas'!L$7,'NEW MODEL BY SES'!$C$17:$R$17,0),0),"")</f>
        <v/>
      </c>
      <c r="M94" s="140" t="str">
        <f>IFERROR(VLOOKUP($C94,'NEW MODEL BY SES'!$C$19:$R$242,MATCH('SeS in Retail Sales Areas'!M$7,'NEW MODEL BY SES'!$C$17:$R$17,0),0),"")</f>
        <v/>
      </c>
      <c r="N94" s="142" t="str">
        <f>IFERROR(VLOOKUP($C94,'NEW MODEL BY SES'!$C$19:$R$242,MATCH('SeS in Retail Sales Areas'!N$7,'NEW MODEL BY SES'!$C$17:$R$17,0),0),"")</f>
        <v/>
      </c>
      <c r="O94" s="140" t="str">
        <f>IFERROR(VLOOKUP($C94,'NEW MODEL BY SES'!$C$19:$R$242,MATCH('SeS in Retail Sales Areas'!O$7,'NEW MODEL BY SES'!$C$17:$R$17,0),0),"")</f>
        <v/>
      </c>
      <c r="P94" s="142" t="str">
        <f>IFERROR(VLOOKUP($C94,'NEW MODEL BY SES'!$C$19:$R$242,MATCH('SeS in Retail Sales Areas'!P$7,'NEW MODEL BY SES'!$C$17:$R$17,0),0),"")</f>
        <v/>
      </c>
      <c r="Q94" s="140" t="str">
        <f>IFERROR(VLOOKUP($C94,'NEW MODEL BY SES'!$C$19:$R$242,MATCH('SeS in Retail Sales Areas'!Q$7,'NEW MODEL BY SES'!$C$17:$R$17,0),0),"")</f>
        <v/>
      </c>
      <c r="R94" s="142" t="str">
        <f>IFERROR(VLOOKUP($C94,'NEW MODEL BY SES'!$C$19:$R$242,MATCH('SeS in Retail Sales Areas'!R$7,'NEW MODEL BY SES'!$C$17:$R$17,0),0),"")</f>
        <v/>
      </c>
      <c r="S94" s="141" t="str">
        <f>IFERROR(VLOOKUP($C94,'NEW MODEL BY SES'!$C$19:$R$242,MATCH('SeS in Retail Sales Areas'!S$7,'NEW MODEL BY SES'!$C$17:$R$17,0),0),"")</f>
        <v/>
      </c>
      <c r="T94" s="140" t="str">
        <f>IFERROR(VLOOKUP($C94,'NEW MODEL BY SES'!$C$19:$R$242,MATCH('SeS in Retail Sales Areas'!T$7,'NEW MODEL BY SES'!$C$17:$R$17,0),0),"")</f>
        <v/>
      </c>
      <c r="U94" s="142" t="str">
        <f>IFERROR(VLOOKUP($C94,'NEW MODEL BY SES'!$C$19:$R$242,MATCH('SeS in Retail Sales Areas'!U$7,'NEW MODEL BY SES'!$C$17:$R$17,0),0),"")</f>
        <v/>
      </c>
      <c r="V94" s="140" t="str">
        <f>IFERROR(VLOOKUP($C94,'NEW MODEL BY SES'!$C$19:$R$242,MATCH('SeS in Retail Sales Areas'!V$7,'NEW MODEL BY SES'!$C$17:$R$17,0),0),"")</f>
        <v/>
      </c>
      <c r="W94" s="141" t="str">
        <f>IFERROR(VLOOKUP($C94,'NEW MODEL BY SES'!$C$19:$R$242,MATCH('SeS in Retail Sales Areas'!W$7,'NEW MODEL BY SES'!$C$17:$R$17,0),0),"")</f>
        <v/>
      </c>
      <c r="X94" s="140" t="str">
        <f>IFERROR(VLOOKUP($C94,'NEW MODEL BY SES'!$C$19:$R$242,MATCH('SeS in Retail Sales Areas'!X$7,'NEW MODEL BY SES'!$C$17:$R$17,0),0),"")</f>
        <v/>
      </c>
      <c r="Z94" s="57"/>
    </row>
    <row r="95" spans="1:26">
      <c r="A95" t="s">
        <v>1012</v>
      </c>
      <c r="B95" s="57">
        <v>98</v>
      </c>
      <c r="C95" t="s">
        <v>1024</v>
      </c>
      <c r="D95" t="s">
        <v>40</v>
      </c>
      <c r="E95"/>
      <c r="F95" s="140" t="str">
        <f>IFERROR(VLOOKUP($C95,'NEW MODEL BY SES'!$C$19:$R$242,MATCH('SeS in Retail Sales Areas'!F$7,'NEW MODEL BY SES'!$C$17:$R$17,0),0),"")</f>
        <v/>
      </c>
      <c r="G95" s="140" t="str">
        <f>IFERROR(VLOOKUP($C95,'NEW MODEL BY SES'!$C$19:$R$242,MATCH('SeS in Retail Sales Areas'!G$7,'NEW MODEL BY SES'!$C$17:$R$17,0),0),"")</f>
        <v/>
      </c>
      <c r="H95" s="142" t="str">
        <f>IFERROR(VLOOKUP($C95,'NEW MODEL BY SES'!$C$19:$R$242,MATCH('SeS in Retail Sales Areas'!H$7,'NEW MODEL BY SES'!$C$17:$R$17,0),0),"")</f>
        <v/>
      </c>
      <c r="I95" s="140" t="str">
        <f>IFERROR(VLOOKUP($C95,'NEW MODEL BY SES'!$C$19:$R$242,MATCH('SeS in Retail Sales Areas'!I$7,'NEW MODEL BY SES'!$C$17:$R$17,0),0),"")</f>
        <v/>
      </c>
      <c r="J95" s="142" t="str">
        <f>IFERROR(VLOOKUP($C95,'NEW MODEL BY SES'!$C$19:$R$242,MATCH('SeS in Retail Sales Areas'!J$7,'NEW MODEL BY SES'!$C$17:$R$17,0),0),"")</f>
        <v/>
      </c>
      <c r="K95" s="140" t="str">
        <f>IFERROR(VLOOKUP($C95,'NEW MODEL BY SES'!$C$19:$R$242,MATCH('SeS in Retail Sales Areas'!K$7,'NEW MODEL BY SES'!$C$17:$R$17,0),0),"")</f>
        <v/>
      </c>
      <c r="L95" s="142" t="str">
        <f>IFERROR(VLOOKUP($C95,'NEW MODEL BY SES'!$C$19:$R$242,MATCH('SeS in Retail Sales Areas'!L$7,'NEW MODEL BY SES'!$C$17:$R$17,0),0),"")</f>
        <v/>
      </c>
      <c r="M95" s="140" t="str">
        <f>IFERROR(VLOOKUP($C95,'NEW MODEL BY SES'!$C$19:$R$242,MATCH('SeS in Retail Sales Areas'!M$7,'NEW MODEL BY SES'!$C$17:$R$17,0),0),"")</f>
        <v/>
      </c>
      <c r="N95" s="142" t="str">
        <f>IFERROR(VLOOKUP($C95,'NEW MODEL BY SES'!$C$19:$R$242,MATCH('SeS in Retail Sales Areas'!N$7,'NEW MODEL BY SES'!$C$17:$R$17,0),0),"")</f>
        <v/>
      </c>
      <c r="O95" s="140" t="str">
        <f>IFERROR(VLOOKUP($C95,'NEW MODEL BY SES'!$C$19:$R$242,MATCH('SeS in Retail Sales Areas'!O$7,'NEW MODEL BY SES'!$C$17:$R$17,0),0),"")</f>
        <v/>
      </c>
      <c r="P95" s="142" t="str">
        <f>IFERROR(VLOOKUP($C95,'NEW MODEL BY SES'!$C$19:$R$242,MATCH('SeS in Retail Sales Areas'!P$7,'NEW MODEL BY SES'!$C$17:$R$17,0),0),"")</f>
        <v/>
      </c>
      <c r="Q95" s="140" t="str">
        <f>IFERROR(VLOOKUP($C95,'NEW MODEL BY SES'!$C$19:$R$242,MATCH('SeS in Retail Sales Areas'!Q$7,'NEW MODEL BY SES'!$C$17:$R$17,0),0),"")</f>
        <v/>
      </c>
      <c r="R95" s="142" t="str">
        <f>IFERROR(VLOOKUP($C95,'NEW MODEL BY SES'!$C$19:$R$242,MATCH('SeS in Retail Sales Areas'!R$7,'NEW MODEL BY SES'!$C$17:$R$17,0),0),"")</f>
        <v/>
      </c>
      <c r="S95" s="141" t="str">
        <f>IFERROR(VLOOKUP($C95,'NEW MODEL BY SES'!$C$19:$R$242,MATCH('SeS in Retail Sales Areas'!S$7,'NEW MODEL BY SES'!$C$17:$R$17,0),0),"")</f>
        <v/>
      </c>
      <c r="T95" s="140" t="str">
        <f>IFERROR(VLOOKUP($C95,'NEW MODEL BY SES'!$C$19:$R$242,MATCH('SeS in Retail Sales Areas'!T$7,'NEW MODEL BY SES'!$C$17:$R$17,0),0),"")</f>
        <v/>
      </c>
      <c r="U95" s="142" t="str">
        <f>IFERROR(VLOOKUP($C95,'NEW MODEL BY SES'!$C$19:$R$242,MATCH('SeS in Retail Sales Areas'!U$7,'NEW MODEL BY SES'!$C$17:$R$17,0),0),"")</f>
        <v/>
      </c>
      <c r="V95" s="140" t="str">
        <f>IFERROR(VLOOKUP($C95,'NEW MODEL BY SES'!$C$19:$R$242,MATCH('SeS in Retail Sales Areas'!V$7,'NEW MODEL BY SES'!$C$17:$R$17,0),0),"")</f>
        <v/>
      </c>
      <c r="W95" s="141" t="str">
        <f>IFERROR(VLOOKUP($C95,'NEW MODEL BY SES'!$C$19:$R$242,MATCH('SeS in Retail Sales Areas'!W$7,'NEW MODEL BY SES'!$C$17:$R$17,0),0),"")</f>
        <v/>
      </c>
      <c r="X95" s="140" t="str">
        <f>IFERROR(VLOOKUP($C95,'NEW MODEL BY SES'!$C$19:$R$242,MATCH('SeS in Retail Sales Areas'!X$7,'NEW MODEL BY SES'!$C$17:$R$17,0),0),"")</f>
        <v/>
      </c>
      <c r="Z95" s="57"/>
    </row>
    <row r="96" spans="1:26">
      <c r="A96" t="s">
        <v>1012</v>
      </c>
      <c r="B96" s="57">
        <v>97</v>
      </c>
      <c r="C96" t="s">
        <v>1025</v>
      </c>
      <c r="D96" t="s">
        <v>40</v>
      </c>
      <c r="E96"/>
      <c r="F96" s="140" t="str">
        <f>IFERROR(VLOOKUP($C96,'NEW MODEL BY SES'!$C$19:$R$242,MATCH('SeS in Retail Sales Areas'!F$7,'NEW MODEL BY SES'!$C$17:$R$17,0),0),"")</f>
        <v/>
      </c>
      <c r="G96" s="140" t="str">
        <f>IFERROR(VLOOKUP($C96,'NEW MODEL BY SES'!$C$19:$R$242,MATCH('SeS in Retail Sales Areas'!G$7,'NEW MODEL BY SES'!$C$17:$R$17,0),0),"")</f>
        <v/>
      </c>
      <c r="H96" s="142" t="str">
        <f>IFERROR(VLOOKUP($C96,'NEW MODEL BY SES'!$C$19:$R$242,MATCH('SeS in Retail Sales Areas'!H$7,'NEW MODEL BY SES'!$C$17:$R$17,0),0),"")</f>
        <v/>
      </c>
      <c r="I96" s="140" t="str">
        <f>IFERROR(VLOOKUP($C96,'NEW MODEL BY SES'!$C$19:$R$242,MATCH('SeS in Retail Sales Areas'!I$7,'NEW MODEL BY SES'!$C$17:$R$17,0),0),"")</f>
        <v/>
      </c>
      <c r="J96" s="142" t="str">
        <f>IFERROR(VLOOKUP($C96,'NEW MODEL BY SES'!$C$19:$R$242,MATCH('SeS in Retail Sales Areas'!J$7,'NEW MODEL BY SES'!$C$17:$R$17,0),0),"")</f>
        <v/>
      </c>
      <c r="K96" s="140" t="str">
        <f>IFERROR(VLOOKUP($C96,'NEW MODEL BY SES'!$C$19:$R$242,MATCH('SeS in Retail Sales Areas'!K$7,'NEW MODEL BY SES'!$C$17:$R$17,0),0),"")</f>
        <v/>
      </c>
      <c r="L96" s="142" t="str">
        <f>IFERROR(VLOOKUP($C96,'NEW MODEL BY SES'!$C$19:$R$242,MATCH('SeS in Retail Sales Areas'!L$7,'NEW MODEL BY SES'!$C$17:$R$17,0),0),"")</f>
        <v/>
      </c>
      <c r="M96" s="140" t="str">
        <f>IFERROR(VLOOKUP($C96,'NEW MODEL BY SES'!$C$19:$R$242,MATCH('SeS in Retail Sales Areas'!M$7,'NEW MODEL BY SES'!$C$17:$R$17,0),0),"")</f>
        <v/>
      </c>
      <c r="N96" s="142" t="str">
        <f>IFERROR(VLOOKUP($C96,'NEW MODEL BY SES'!$C$19:$R$242,MATCH('SeS in Retail Sales Areas'!N$7,'NEW MODEL BY SES'!$C$17:$R$17,0),0),"")</f>
        <v/>
      </c>
      <c r="O96" s="140" t="str">
        <f>IFERROR(VLOOKUP($C96,'NEW MODEL BY SES'!$C$19:$R$242,MATCH('SeS in Retail Sales Areas'!O$7,'NEW MODEL BY SES'!$C$17:$R$17,0),0),"")</f>
        <v/>
      </c>
      <c r="P96" s="142" t="str">
        <f>IFERROR(VLOOKUP($C96,'NEW MODEL BY SES'!$C$19:$R$242,MATCH('SeS in Retail Sales Areas'!P$7,'NEW MODEL BY SES'!$C$17:$R$17,0),0),"")</f>
        <v/>
      </c>
      <c r="Q96" s="140" t="str">
        <f>IFERROR(VLOOKUP($C96,'NEW MODEL BY SES'!$C$19:$R$242,MATCH('SeS in Retail Sales Areas'!Q$7,'NEW MODEL BY SES'!$C$17:$R$17,0),0),"")</f>
        <v/>
      </c>
      <c r="R96" s="142" t="str">
        <f>IFERROR(VLOOKUP($C96,'NEW MODEL BY SES'!$C$19:$R$242,MATCH('SeS in Retail Sales Areas'!R$7,'NEW MODEL BY SES'!$C$17:$R$17,0),0),"")</f>
        <v/>
      </c>
      <c r="S96" s="141" t="str">
        <f>IFERROR(VLOOKUP($C96,'NEW MODEL BY SES'!$C$19:$R$242,MATCH('SeS in Retail Sales Areas'!S$7,'NEW MODEL BY SES'!$C$17:$R$17,0),0),"")</f>
        <v/>
      </c>
      <c r="T96" s="140" t="str">
        <f>IFERROR(VLOOKUP($C96,'NEW MODEL BY SES'!$C$19:$R$242,MATCH('SeS in Retail Sales Areas'!T$7,'NEW MODEL BY SES'!$C$17:$R$17,0),0),"")</f>
        <v/>
      </c>
      <c r="U96" s="142" t="str">
        <f>IFERROR(VLOOKUP($C96,'NEW MODEL BY SES'!$C$19:$R$242,MATCH('SeS in Retail Sales Areas'!U$7,'NEW MODEL BY SES'!$C$17:$R$17,0),0),"")</f>
        <v/>
      </c>
      <c r="V96" s="140" t="str">
        <f>IFERROR(VLOOKUP($C96,'NEW MODEL BY SES'!$C$19:$R$242,MATCH('SeS in Retail Sales Areas'!V$7,'NEW MODEL BY SES'!$C$17:$R$17,0),0),"")</f>
        <v/>
      </c>
      <c r="W96" s="141" t="str">
        <f>IFERROR(VLOOKUP($C96,'NEW MODEL BY SES'!$C$19:$R$242,MATCH('SeS in Retail Sales Areas'!W$7,'NEW MODEL BY SES'!$C$17:$R$17,0),0),"")</f>
        <v/>
      </c>
      <c r="X96" s="140" t="str">
        <f>IFERROR(VLOOKUP($C96,'NEW MODEL BY SES'!$C$19:$R$242,MATCH('SeS in Retail Sales Areas'!X$7,'NEW MODEL BY SES'!$C$17:$R$17,0),0),"")</f>
        <v/>
      </c>
      <c r="Z96" s="57"/>
    </row>
    <row r="97" spans="1:26">
      <c r="A97" t="s">
        <v>1012</v>
      </c>
      <c r="B97" s="57">
        <v>93</v>
      </c>
      <c r="C97" t="s">
        <v>1026</v>
      </c>
      <c r="D97" t="s">
        <v>40</v>
      </c>
      <c r="E97"/>
      <c r="F97" s="140" t="str">
        <f>IFERROR(VLOOKUP($C97,'NEW MODEL BY SES'!$C$19:$R$242,MATCH('SeS in Retail Sales Areas'!F$7,'NEW MODEL BY SES'!$C$17:$R$17,0),0),"")</f>
        <v/>
      </c>
      <c r="G97" s="140" t="str">
        <f>IFERROR(VLOOKUP($C97,'NEW MODEL BY SES'!$C$19:$R$242,MATCH('SeS in Retail Sales Areas'!G$7,'NEW MODEL BY SES'!$C$17:$R$17,0),0),"")</f>
        <v/>
      </c>
      <c r="H97" s="142" t="str">
        <f>IFERROR(VLOOKUP($C97,'NEW MODEL BY SES'!$C$19:$R$242,MATCH('SeS in Retail Sales Areas'!H$7,'NEW MODEL BY SES'!$C$17:$R$17,0),0),"")</f>
        <v/>
      </c>
      <c r="I97" s="140" t="str">
        <f>IFERROR(VLOOKUP($C97,'NEW MODEL BY SES'!$C$19:$R$242,MATCH('SeS in Retail Sales Areas'!I$7,'NEW MODEL BY SES'!$C$17:$R$17,0),0),"")</f>
        <v/>
      </c>
      <c r="J97" s="142" t="str">
        <f>IFERROR(VLOOKUP($C97,'NEW MODEL BY SES'!$C$19:$R$242,MATCH('SeS in Retail Sales Areas'!J$7,'NEW MODEL BY SES'!$C$17:$R$17,0),0),"")</f>
        <v/>
      </c>
      <c r="K97" s="140" t="str">
        <f>IFERROR(VLOOKUP($C97,'NEW MODEL BY SES'!$C$19:$R$242,MATCH('SeS in Retail Sales Areas'!K$7,'NEW MODEL BY SES'!$C$17:$R$17,0),0),"")</f>
        <v/>
      </c>
      <c r="L97" s="142" t="str">
        <f>IFERROR(VLOOKUP($C97,'NEW MODEL BY SES'!$C$19:$R$242,MATCH('SeS in Retail Sales Areas'!L$7,'NEW MODEL BY SES'!$C$17:$R$17,0),0),"")</f>
        <v/>
      </c>
      <c r="M97" s="140" t="str">
        <f>IFERROR(VLOOKUP($C97,'NEW MODEL BY SES'!$C$19:$R$242,MATCH('SeS in Retail Sales Areas'!M$7,'NEW MODEL BY SES'!$C$17:$R$17,0),0),"")</f>
        <v/>
      </c>
      <c r="N97" s="142" t="str">
        <f>IFERROR(VLOOKUP($C97,'NEW MODEL BY SES'!$C$19:$R$242,MATCH('SeS in Retail Sales Areas'!N$7,'NEW MODEL BY SES'!$C$17:$R$17,0),0),"")</f>
        <v/>
      </c>
      <c r="O97" s="140" t="str">
        <f>IFERROR(VLOOKUP($C97,'NEW MODEL BY SES'!$C$19:$R$242,MATCH('SeS in Retail Sales Areas'!O$7,'NEW MODEL BY SES'!$C$17:$R$17,0),0),"")</f>
        <v/>
      </c>
      <c r="P97" s="142" t="str">
        <f>IFERROR(VLOOKUP($C97,'NEW MODEL BY SES'!$C$19:$R$242,MATCH('SeS in Retail Sales Areas'!P$7,'NEW MODEL BY SES'!$C$17:$R$17,0),0),"")</f>
        <v/>
      </c>
      <c r="Q97" s="140" t="str">
        <f>IFERROR(VLOOKUP($C97,'NEW MODEL BY SES'!$C$19:$R$242,MATCH('SeS in Retail Sales Areas'!Q$7,'NEW MODEL BY SES'!$C$17:$R$17,0),0),"")</f>
        <v/>
      </c>
      <c r="R97" s="142" t="str">
        <f>IFERROR(VLOOKUP($C97,'NEW MODEL BY SES'!$C$19:$R$242,MATCH('SeS in Retail Sales Areas'!R$7,'NEW MODEL BY SES'!$C$17:$R$17,0),0),"")</f>
        <v/>
      </c>
      <c r="S97" s="141" t="str">
        <f>IFERROR(VLOOKUP($C97,'NEW MODEL BY SES'!$C$19:$R$242,MATCH('SeS in Retail Sales Areas'!S$7,'NEW MODEL BY SES'!$C$17:$R$17,0),0),"")</f>
        <v/>
      </c>
      <c r="T97" s="140" t="str">
        <f>IFERROR(VLOOKUP($C97,'NEW MODEL BY SES'!$C$19:$R$242,MATCH('SeS in Retail Sales Areas'!T$7,'NEW MODEL BY SES'!$C$17:$R$17,0),0),"")</f>
        <v/>
      </c>
      <c r="U97" s="142" t="str">
        <f>IFERROR(VLOOKUP($C97,'NEW MODEL BY SES'!$C$19:$R$242,MATCH('SeS in Retail Sales Areas'!U$7,'NEW MODEL BY SES'!$C$17:$R$17,0),0),"")</f>
        <v/>
      </c>
      <c r="V97" s="140" t="str">
        <f>IFERROR(VLOOKUP($C97,'NEW MODEL BY SES'!$C$19:$R$242,MATCH('SeS in Retail Sales Areas'!V$7,'NEW MODEL BY SES'!$C$17:$R$17,0),0),"")</f>
        <v/>
      </c>
      <c r="W97" s="141" t="str">
        <f>IFERROR(VLOOKUP($C97,'NEW MODEL BY SES'!$C$19:$R$242,MATCH('SeS in Retail Sales Areas'!W$7,'NEW MODEL BY SES'!$C$17:$R$17,0),0),"")</f>
        <v/>
      </c>
      <c r="X97" s="140" t="str">
        <f>IFERROR(VLOOKUP($C97,'NEW MODEL BY SES'!$C$19:$R$242,MATCH('SeS in Retail Sales Areas'!X$7,'NEW MODEL BY SES'!$C$17:$R$17,0),0),"")</f>
        <v/>
      </c>
      <c r="Z97" s="57"/>
    </row>
    <row r="98" spans="1:26">
      <c r="A98" t="s">
        <v>1012</v>
      </c>
      <c r="B98" s="57">
        <v>92</v>
      </c>
      <c r="C98" t="s">
        <v>1027</v>
      </c>
      <c r="D98" t="s">
        <v>40</v>
      </c>
      <c r="E98"/>
      <c r="F98" s="140" t="str">
        <f>IFERROR(VLOOKUP($C98,'NEW MODEL BY SES'!$C$19:$R$242,MATCH('SeS in Retail Sales Areas'!F$7,'NEW MODEL BY SES'!$C$17:$R$17,0),0),"")</f>
        <v/>
      </c>
      <c r="G98" s="140" t="str">
        <f>IFERROR(VLOOKUP($C98,'NEW MODEL BY SES'!$C$19:$R$242,MATCH('SeS in Retail Sales Areas'!G$7,'NEW MODEL BY SES'!$C$17:$R$17,0),0),"")</f>
        <v/>
      </c>
      <c r="H98" s="142" t="str">
        <f>IFERROR(VLOOKUP($C98,'NEW MODEL BY SES'!$C$19:$R$242,MATCH('SeS in Retail Sales Areas'!H$7,'NEW MODEL BY SES'!$C$17:$R$17,0),0),"")</f>
        <v/>
      </c>
      <c r="I98" s="140" t="str">
        <f>IFERROR(VLOOKUP($C98,'NEW MODEL BY SES'!$C$19:$R$242,MATCH('SeS in Retail Sales Areas'!I$7,'NEW MODEL BY SES'!$C$17:$R$17,0),0),"")</f>
        <v/>
      </c>
      <c r="J98" s="142" t="str">
        <f>IFERROR(VLOOKUP($C98,'NEW MODEL BY SES'!$C$19:$R$242,MATCH('SeS in Retail Sales Areas'!J$7,'NEW MODEL BY SES'!$C$17:$R$17,0),0),"")</f>
        <v/>
      </c>
      <c r="K98" s="140" t="str">
        <f>IFERROR(VLOOKUP($C98,'NEW MODEL BY SES'!$C$19:$R$242,MATCH('SeS in Retail Sales Areas'!K$7,'NEW MODEL BY SES'!$C$17:$R$17,0),0),"")</f>
        <v/>
      </c>
      <c r="L98" s="142" t="str">
        <f>IFERROR(VLOOKUP($C98,'NEW MODEL BY SES'!$C$19:$R$242,MATCH('SeS in Retail Sales Areas'!L$7,'NEW MODEL BY SES'!$C$17:$R$17,0),0),"")</f>
        <v/>
      </c>
      <c r="M98" s="140" t="str">
        <f>IFERROR(VLOOKUP($C98,'NEW MODEL BY SES'!$C$19:$R$242,MATCH('SeS in Retail Sales Areas'!M$7,'NEW MODEL BY SES'!$C$17:$R$17,0),0),"")</f>
        <v/>
      </c>
      <c r="N98" s="142" t="str">
        <f>IFERROR(VLOOKUP($C98,'NEW MODEL BY SES'!$C$19:$R$242,MATCH('SeS in Retail Sales Areas'!N$7,'NEW MODEL BY SES'!$C$17:$R$17,0),0),"")</f>
        <v/>
      </c>
      <c r="O98" s="140" t="str">
        <f>IFERROR(VLOOKUP($C98,'NEW MODEL BY SES'!$C$19:$R$242,MATCH('SeS in Retail Sales Areas'!O$7,'NEW MODEL BY SES'!$C$17:$R$17,0),0),"")</f>
        <v/>
      </c>
      <c r="P98" s="142" t="str">
        <f>IFERROR(VLOOKUP($C98,'NEW MODEL BY SES'!$C$19:$R$242,MATCH('SeS in Retail Sales Areas'!P$7,'NEW MODEL BY SES'!$C$17:$R$17,0),0),"")</f>
        <v/>
      </c>
      <c r="Q98" s="140" t="str">
        <f>IFERROR(VLOOKUP($C98,'NEW MODEL BY SES'!$C$19:$R$242,MATCH('SeS in Retail Sales Areas'!Q$7,'NEW MODEL BY SES'!$C$17:$R$17,0),0),"")</f>
        <v/>
      </c>
      <c r="R98" s="142" t="str">
        <f>IFERROR(VLOOKUP($C98,'NEW MODEL BY SES'!$C$19:$R$242,MATCH('SeS in Retail Sales Areas'!R$7,'NEW MODEL BY SES'!$C$17:$R$17,0),0),"")</f>
        <v/>
      </c>
      <c r="S98" s="141" t="str">
        <f>IFERROR(VLOOKUP($C98,'NEW MODEL BY SES'!$C$19:$R$242,MATCH('SeS in Retail Sales Areas'!S$7,'NEW MODEL BY SES'!$C$17:$R$17,0),0),"")</f>
        <v/>
      </c>
      <c r="T98" s="140" t="str">
        <f>IFERROR(VLOOKUP($C98,'NEW MODEL BY SES'!$C$19:$R$242,MATCH('SeS in Retail Sales Areas'!T$7,'NEW MODEL BY SES'!$C$17:$R$17,0),0),"")</f>
        <v/>
      </c>
      <c r="U98" s="142" t="str">
        <f>IFERROR(VLOOKUP($C98,'NEW MODEL BY SES'!$C$19:$R$242,MATCH('SeS in Retail Sales Areas'!U$7,'NEW MODEL BY SES'!$C$17:$R$17,0),0),"")</f>
        <v/>
      </c>
      <c r="V98" s="140" t="str">
        <f>IFERROR(VLOOKUP($C98,'NEW MODEL BY SES'!$C$19:$R$242,MATCH('SeS in Retail Sales Areas'!V$7,'NEW MODEL BY SES'!$C$17:$R$17,0),0),"")</f>
        <v/>
      </c>
      <c r="W98" s="141" t="str">
        <f>IFERROR(VLOOKUP($C98,'NEW MODEL BY SES'!$C$19:$R$242,MATCH('SeS in Retail Sales Areas'!W$7,'NEW MODEL BY SES'!$C$17:$R$17,0),0),"")</f>
        <v/>
      </c>
      <c r="X98" s="140" t="str">
        <f>IFERROR(VLOOKUP($C98,'NEW MODEL BY SES'!$C$19:$R$242,MATCH('SeS in Retail Sales Areas'!X$7,'NEW MODEL BY SES'!$C$17:$R$17,0),0),"")</f>
        <v/>
      </c>
      <c r="Z98" s="57"/>
    </row>
    <row r="99" spans="1:26">
      <c r="A99" t="s">
        <v>1012</v>
      </c>
      <c r="B99" s="57">
        <v>89</v>
      </c>
      <c r="C99" t="s">
        <v>1028</v>
      </c>
      <c r="D99" t="s">
        <v>40</v>
      </c>
      <c r="E99"/>
      <c r="F99" s="140" t="str">
        <f>IFERROR(VLOOKUP($C99,'NEW MODEL BY SES'!$C$19:$R$242,MATCH('SeS in Retail Sales Areas'!F$7,'NEW MODEL BY SES'!$C$17:$R$17,0),0),"")</f>
        <v/>
      </c>
      <c r="G99" s="140" t="str">
        <f>IFERROR(VLOOKUP($C99,'NEW MODEL BY SES'!$C$19:$R$242,MATCH('SeS in Retail Sales Areas'!G$7,'NEW MODEL BY SES'!$C$17:$R$17,0),0),"")</f>
        <v/>
      </c>
      <c r="H99" s="142" t="str">
        <f>IFERROR(VLOOKUP($C99,'NEW MODEL BY SES'!$C$19:$R$242,MATCH('SeS in Retail Sales Areas'!H$7,'NEW MODEL BY SES'!$C$17:$R$17,0),0),"")</f>
        <v/>
      </c>
      <c r="I99" s="140" t="str">
        <f>IFERROR(VLOOKUP($C99,'NEW MODEL BY SES'!$C$19:$R$242,MATCH('SeS in Retail Sales Areas'!I$7,'NEW MODEL BY SES'!$C$17:$R$17,0),0),"")</f>
        <v/>
      </c>
      <c r="J99" s="142" t="str">
        <f>IFERROR(VLOOKUP($C99,'NEW MODEL BY SES'!$C$19:$R$242,MATCH('SeS in Retail Sales Areas'!J$7,'NEW MODEL BY SES'!$C$17:$R$17,0),0),"")</f>
        <v/>
      </c>
      <c r="K99" s="140" t="str">
        <f>IFERROR(VLOOKUP($C99,'NEW MODEL BY SES'!$C$19:$R$242,MATCH('SeS in Retail Sales Areas'!K$7,'NEW MODEL BY SES'!$C$17:$R$17,0),0),"")</f>
        <v/>
      </c>
      <c r="L99" s="142" t="str">
        <f>IFERROR(VLOOKUP($C99,'NEW MODEL BY SES'!$C$19:$R$242,MATCH('SeS in Retail Sales Areas'!L$7,'NEW MODEL BY SES'!$C$17:$R$17,0),0),"")</f>
        <v/>
      </c>
      <c r="M99" s="140" t="str">
        <f>IFERROR(VLOOKUP($C99,'NEW MODEL BY SES'!$C$19:$R$242,MATCH('SeS in Retail Sales Areas'!M$7,'NEW MODEL BY SES'!$C$17:$R$17,0),0),"")</f>
        <v/>
      </c>
      <c r="N99" s="142" t="str">
        <f>IFERROR(VLOOKUP($C99,'NEW MODEL BY SES'!$C$19:$R$242,MATCH('SeS in Retail Sales Areas'!N$7,'NEW MODEL BY SES'!$C$17:$R$17,0),0),"")</f>
        <v/>
      </c>
      <c r="O99" s="140" t="str">
        <f>IFERROR(VLOOKUP($C99,'NEW MODEL BY SES'!$C$19:$R$242,MATCH('SeS in Retail Sales Areas'!O$7,'NEW MODEL BY SES'!$C$17:$R$17,0),0),"")</f>
        <v/>
      </c>
      <c r="P99" s="142" t="str">
        <f>IFERROR(VLOOKUP($C99,'NEW MODEL BY SES'!$C$19:$R$242,MATCH('SeS in Retail Sales Areas'!P$7,'NEW MODEL BY SES'!$C$17:$R$17,0),0),"")</f>
        <v/>
      </c>
      <c r="Q99" s="140" t="str">
        <f>IFERROR(VLOOKUP($C99,'NEW MODEL BY SES'!$C$19:$R$242,MATCH('SeS in Retail Sales Areas'!Q$7,'NEW MODEL BY SES'!$C$17:$R$17,0),0),"")</f>
        <v/>
      </c>
      <c r="R99" s="142" t="str">
        <f>IFERROR(VLOOKUP($C99,'NEW MODEL BY SES'!$C$19:$R$242,MATCH('SeS in Retail Sales Areas'!R$7,'NEW MODEL BY SES'!$C$17:$R$17,0),0),"")</f>
        <v/>
      </c>
      <c r="S99" s="141" t="str">
        <f>IFERROR(VLOOKUP($C99,'NEW MODEL BY SES'!$C$19:$R$242,MATCH('SeS in Retail Sales Areas'!S$7,'NEW MODEL BY SES'!$C$17:$R$17,0),0),"")</f>
        <v/>
      </c>
      <c r="T99" s="140" t="str">
        <f>IFERROR(VLOOKUP($C99,'NEW MODEL BY SES'!$C$19:$R$242,MATCH('SeS in Retail Sales Areas'!T$7,'NEW MODEL BY SES'!$C$17:$R$17,0),0),"")</f>
        <v/>
      </c>
      <c r="U99" s="142" t="str">
        <f>IFERROR(VLOOKUP($C99,'NEW MODEL BY SES'!$C$19:$R$242,MATCH('SeS in Retail Sales Areas'!U$7,'NEW MODEL BY SES'!$C$17:$R$17,0),0),"")</f>
        <v/>
      </c>
      <c r="V99" s="140" t="str">
        <f>IFERROR(VLOOKUP($C99,'NEW MODEL BY SES'!$C$19:$R$242,MATCH('SeS in Retail Sales Areas'!V$7,'NEW MODEL BY SES'!$C$17:$R$17,0),0),"")</f>
        <v/>
      </c>
      <c r="W99" s="141" t="str">
        <f>IFERROR(VLOOKUP($C99,'NEW MODEL BY SES'!$C$19:$R$242,MATCH('SeS in Retail Sales Areas'!W$7,'NEW MODEL BY SES'!$C$17:$R$17,0),0),"")</f>
        <v/>
      </c>
      <c r="X99" s="140" t="str">
        <f>IFERROR(VLOOKUP($C99,'NEW MODEL BY SES'!$C$19:$R$242,MATCH('SeS in Retail Sales Areas'!X$7,'NEW MODEL BY SES'!$C$17:$R$17,0),0),"")</f>
        <v/>
      </c>
      <c r="Z99" s="57"/>
    </row>
    <row r="100" spans="1:26">
      <c r="A100" t="s">
        <v>1012</v>
      </c>
      <c r="B100" s="57">
        <v>88</v>
      </c>
      <c r="C100" t="s">
        <v>1029</v>
      </c>
      <c r="D100" t="s">
        <v>40</v>
      </c>
      <c r="E100"/>
      <c r="F100" s="140" t="str">
        <f>IFERROR(VLOOKUP($C100,'NEW MODEL BY SES'!$C$19:$R$242,MATCH('SeS in Retail Sales Areas'!F$7,'NEW MODEL BY SES'!$C$17:$R$17,0),0),"")</f>
        <v/>
      </c>
      <c r="G100" s="140" t="str">
        <f>IFERROR(VLOOKUP($C100,'NEW MODEL BY SES'!$C$19:$R$242,MATCH('SeS in Retail Sales Areas'!G$7,'NEW MODEL BY SES'!$C$17:$R$17,0),0),"")</f>
        <v/>
      </c>
      <c r="H100" s="142" t="str">
        <f>IFERROR(VLOOKUP($C100,'NEW MODEL BY SES'!$C$19:$R$242,MATCH('SeS in Retail Sales Areas'!H$7,'NEW MODEL BY SES'!$C$17:$R$17,0),0),"")</f>
        <v/>
      </c>
      <c r="I100" s="140" t="str">
        <f>IFERROR(VLOOKUP($C100,'NEW MODEL BY SES'!$C$19:$R$242,MATCH('SeS in Retail Sales Areas'!I$7,'NEW MODEL BY SES'!$C$17:$R$17,0),0),"")</f>
        <v/>
      </c>
      <c r="J100" s="142" t="str">
        <f>IFERROR(VLOOKUP($C100,'NEW MODEL BY SES'!$C$19:$R$242,MATCH('SeS in Retail Sales Areas'!J$7,'NEW MODEL BY SES'!$C$17:$R$17,0),0),"")</f>
        <v/>
      </c>
      <c r="K100" s="140" t="str">
        <f>IFERROR(VLOOKUP($C100,'NEW MODEL BY SES'!$C$19:$R$242,MATCH('SeS in Retail Sales Areas'!K$7,'NEW MODEL BY SES'!$C$17:$R$17,0),0),"")</f>
        <v/>
      </c>
      <c r="L100" s="142" t="str">
        <f>IFERROR(VLOOKUP($C100,'NEW MODEL BY SES'!$C$19:$R$242,MATCH('SeS in Retail Sales Areas'!L$7,'NEW MODEL BY SES'!$C$17:$R$17,0),0),"")</f>
        <v/>
      </c>
      <c r="M100" s="140" t="str">
        <f>IFERROR(VLOOKUP($C100,'NEW MODEL BY SES'!$C$19:$R$242,MATCH('SeS in Retail Sales Areas'!M$7,'NEW MODEL BY SES'!$C$17:$R$17,0),0),"")</f>
        <v/>
      </c>
      <c r="N100" s="142" t="str">
        <f>IFERROR(VLOOKUP($C100,'NEW MODEL BY SES'!$C$19:$R$242,MATCH('SeS in Retail Sales Areas'!N$7,'NEW MODEL BY SES'!$C$17:$R$17,0),0),"")</f>
        <v/>
      </c>
      <c r="O100" s="140" t="str">
        <f>IFERROR(VLOOKUP($C100,'NEW MODEL BY SES'!$C$19:$R$242,MATCH('SeS in Retail Sales Areas'!O$7,'NEW MODEL BY SES'!$C$17:$R$17,0),0),"")</f>
        <v/>
      </c>
      <c r="P100" s="142" t="str">
        <f>IFERROR(VLOOKUP($C100,'NEW MODEL BY SES'!$C$19:$R$242,MATCH('SeS in Retail Sales Areas'!P$7,'NEW MODEL BY SES'!$C$17:$R$17,0),0),"")</f>
        <v/>
      </c>
      <c r="Q100" s="140" t="str">
        <f>IFERROR(VLOOKUP($C100,'NEW MODEL BY SES'!$C$19:$R$242,MATCH('SeS in Retail Sales Areas'!Q$7,'NEW MODEL BY SES'!$C$17:$R$17,0),0),"")</f>
        <v/>
      </c>
      <c r="R100" s="142" t="str">
        <f>IFERROR(VLOOKUP($C100,'NEW MODEL BY SES'!$C$19:$R$242,MATCH('SeS in Retail Sales Areas'!R$7,'NEW MODEL BY SES'!$C$17:$R$17,0),0),"")</f>
        <v/>
      </c>
      <c r="S100" s="141" t="str">
        <f>IFERROR(VLOOKUP($C100,'NEW MODEL BY SES'!$C$19:$R$242,MATCH('SeS in Retail Sales Areas'!S$7,'NEW MODEL BY SES'!$C$17:$R$17,0),0),"")</f>
        <v/>
      </c>
      <c r="T100" s="140" t="str">
        <f>IFERROR(VLOOKUP($C100,'NEW MODEL BY SES'!$C$19:$R$242,MATCH('SeS in Retail Sales Areas'!T$7,'NEW MODEL BY SES'!$C$17:$R$17,0),0),"")</f>
        <v/>
      </c>
      <c r="U100" s="142" t="str">
        <f>IFERROR(VLOOKUP($C100,'NEW MODEL BY SES'!$C$19:$R$242,MATCH('SeS in Retail Sales Areas'!U$7,'NEW MODEL BY SES'!$C$17:$R$17,0),0),"")</f>
        <v/>
      </c>
      <c r="V100" s="140" t="str">
        <f>IFERROR(VLOOKUP($C100,'NEW MODEL BY SES'!$C$19:$R$242,MATCH('SeS in Retail Sales Areas'!V$7,'NEW MODEL BY SES'!$C$17:$R$17,0),0),"")</f>
        <v/>
      </c>
      <c r="W100" s="141" t="str">
        <f>IFERROR(VLOOKUP($C100,'NEW MODEL BY SES'!$C$19:$R$242,MATCH('SeS in Retail Sales Areas'!W$7,'NEW MODEL BY SES'!$C$17:$R$17,0),0),"")</f>
        <v/>
      </c>
      <c r="X100" s="140" t="str">
        <f>IFERROR(VLOOKUP($C100,'NEW MODEL BY SES'!$C$19:$R$242,MATCH('SeS in Retail Sales Areas'!X$7,'NEW MODEL BY SES'!$C$17:$R$17,0),0),"")</f>
        <v/>
      </c>
      <c r="Z100" s="57"/>
    </row>
    <row r="101" spans="1:26">
      <c r="A101" t="s">
        <v>1012</v>
      </c>
      <c r="B101" s="57">
        <v>83</v>
      </c>
      <c r="C101" t="s">
        <v>1030</v>
      </c>
      <c r="D101" t="s">
        <v>40</v>
      </c>
      <c r="E101"/>
      <c r="F101" s="140" t="str">
        <f>IFERROR(VLOOKUP($C101,'NEW MODEL BY SES'!$C$19:$R$242,MATCH('SeS in Retail Sales Areas'!F$7,'NEW MODEL BY SES'!$C$17:$R$17,0),0),"")</f>
        <v/>
      </c>
      <c r="G101" s="140" t="str">
        <f>IFERROR(VLOOKUP($C101,'NEW MODEL BY SES'!$C$19:$R$242,MATCH('SeS in Retail Sales Areas'!G$7,'NEW MODEL BY SES'!$C$17:$R$17,0),0),"")</f>
        <v/>
      </c>
      <c r="H101" s="142" t="str">
        <f>IFERROR(VLOOKUP($C101,'NEW MODEL BY SES'!$C$19:$R$242,MATCH('SeS in Retail Sales Areas'!H$7,'NEW MODEL BY SES'!$C$17:$R$17,0),0),"")</f>
        <v/>
      </c>
      <c r="I101" s="140" t="str">
        <f>IFERROR(VLOOKUP($C101,'NEW MODEL BY SES'!$C$19:$R$242,MATCH('SeS in Retail Sales Areas'!I$7,'NEW MODEL BY SES'!$C$17:$R$17,0),0),"")</f>
        <v/>
      </c>
      <c r="J101" s="142" t="str">
        <f>IFERROR(VLOOKUP($C101,'NEW MODEL BY SES'!$C$19:$R$242,MATCH('SeS in Retail Sales Areas'!J$7,'NEW MODEL BY SES'!$C$17:$R$17,0),0),"")</f>
        <v/>
      </c>
      <c r="K101" s="140" t="str">
        <f>IFERROR(VLOOKUP($C101,'NEW MODEL BY SES'!$C$19:$R$242,MATCH('SeS in Retail Sales Areas'!K$7,'NEW MODEL BY SES'!$C$17:$R$17,0),0),"")</f>
        <v/>
      </c>
      <c r="L101" s="142" t="str">
        <f>IFERROR(VLOOKUP($C101,'NEW MODEL BY SES'!$C$19:$R$242,MATCH('SeS in Retail Sales Areas'!L$7,'NEW MODEL BY SES'!$C$17:$R$17,0),0),"")</f>
        <v/>
      </c>
      <c r="M101" s="140" t="str">
        <f>IFERROR(VLOOKUP($C101,'NEW MODEL BY SES'!$C$19:$R$242,MATCH('SeS in Retail Sales Areas'!M$7,'NEW MODEL BY SES'!$C$17:$R$17,0),0),"")</f>
        <v/>
      </c>
      <c r="N101" s="142" t="str">
        <f>IFERROR(VLOOKUP($C101,'NEW MODEL BY SES'!$C$19:$R$242,MATCH('SeS in Retail Sales Areas'!N$7,'NEW MODEL BY SES'!$C$17:$R$17,0),0),"")</f>
        <v/>
      </c>
      <c r="O101" s="140" t="str">
        <f>IFERROR(VLOOKUP($C101,'NEW MODEL BY SES'!$C$19:$R$242,MATCH('SeS in Retail Sales Areas'!O$7,'NEW MODEL BY SES'!$C$17:$R$17,0),0),"")</f>
        <v/>
      </c>
      <c r="P101" s="142" t="str">
        <f>IFERROR(VLOOKUP($C101,'NEW MODEL BY SES'!$C$19:$R$242,MATCH('SeS in Retail Sales Areas'!P$7,'NEW MODEL BY SES'!$C$17:$R$17,0),0),"")</f>
        <v/>
      </c>
      <c r="Q101" s="140" t="str">
        <f>IFERROR(VLOOKUP($C101,'NEW MODEL BY SES'!$C$19:$R$242,MATCH('SeS in Retail Sales Areas'!Q$7,'NEW MODEL BY SES'!$C$17:$R$17,0),0),"")</f>
        <v/>
      </c>
      <c r="R101" s="142" t="str">
        <f>IFERROR(VLOOKUP($C101,'NEW MODEL BY SES'!$C$19:$R$242,MATCH('SeS in Retail Sales Areas'!R$7,'NEW MODEL BY SES'!$C$17:$R$17,0),0),"")</f>
        <v/>
      </c>
      <c r="S101" s="141" t="str">
        <f>IFERROR(VLOOKUP($C101,'NEW MODEL BY SES'!$C$19:$R$242,MATCH('SeS in Retail Sales Areas'!S$7,'NEW MODEL BY SES'!$C$17:$R$17,0),0),"")</f>
        <v/>
      </c>
      <c r="T101" s="140" t="str">
        <f>IFERROR(VLOOKUP($C101,'NEW MODEL BY SES'!$C$19:$R$242,MATCH('SeS in Retail Sales Areas'!T$7,'NEW MODEL BY SES'!$C$17:$R$17,0),0),"")</f>
        <v/>
      </c>
      <c r="U101" s="142" t="str">
        <f>IFERROR(VLOOKUP($C101,'NEW MODEL BY SES'!$C$19:$R$242,MATCH('SeS in Retail Sales Areas'!U$7,'NEW MODEL BY SES'!$C$17:$R$17,0),0),"")</f>
        <v/>
      </c>
      <c r="V101" s="140" t="str">
        <f>IFERROR(VLOOKUP($C101,'NEW MODEL BY SES'!$C$19:$R$242,MATCH('SeS in Retail Sales Areas'!V$7,'NEW MODEL BY SES'!$C$17:$R$17,0),0),"")</f>
        <v/>
      </c>
      <c r="W101" s="141" t="str">
        <f>IFERROR(VLOOKUP($C101,'NEW MODEL BY SES'!$C$19:$R$242,MATCH('SeS in Retail Sales Areas'!W$7,'NEW MODEL BY SES'!$C$17:$R$17,0),0),"")</f>
        <v/>
      </c>
      <c r="X101" s="140" t="str">
        <f>IFERROR(VLOOKUP($C101,'NEW MODEL BY SES'!$C$19:$R$242,MATCH('SeS in Retail Sales Areas'!X$7,'NEW MODEL BY SES'!$C$17:$R$17,0),0),"")</f>
        <v/>
      </c>
      <c r="Z101" s="57"/>
    </row>
    <row r="102" spans="1:26">
      <c r="A102" t="s">
        <v>1012</v>
      </c>
      <c r="B102" s="57">
        <v>79</v>
      </c>
      <c r="C102" t="s">
        <v>1031</v>
      </c>
      <c r="D102" t="s">
        <v>40</v>
      </c>
      <c r="E102"/>
      <c r="F102" s="140" t="str">
        <f>IFERROR(VLOOKUP($C102,'NEW MODEL BY SES'!$C$19:$R$242,MATCH('SeS in Retail Sales Areas'!F$7,'NEW MODEL BY SES'!$C$17:$R$17,0),0),"")</f>
        <v/>
      </c>
      <c r="G102" s="140" t="str">
        <f>IFERROR(VLOOKUP($C102,'NEW MODEL BY SES'!$C$19:$R$242,MATCH('SeS in Retail Sales Areas'!G$7,'NEW MODEL BY SES'!$C$17:$R$17,0),0),"")</f>
        <v/>
      </c>
      <c r="H102" s="142" t="str">
        <f>IFERROR(VLOOKUP($C102,'NEW MODEL BY SES'!$C$19:$R$242,MATCH('SeS in Retail Sales Areas'!H$7,'NEW MODEL BY SES'!$C$17:$R$17,0),0),"")</f>
        <v/>
      </c>
      <c r="I102" s="140" t="str">
        <f>IFERROR(VLOOKUP($C102,'NEW MODEL BY SES'!$C$19:$R$242,MATCH('SeS in Retail Sales Areas'!I$7,'NEW MODEL BY SES'!$C$17:$R$17,0),0),"")</f>
        <v/>
      </c>
      <c r="J102" s="142" t="str">
        <f>IFERROR(VLOOKUP($C102,'NEW MODEL BY SES'!$C$19:$R$242,MATCH('SeS in Retail Sales Areas'!J$7,'NEW MODEL BY SES'!$C$17:$R$17,0),0),"")</f>
        <v/>
      </c>
      <c r="K102" s="140" t="str">
        <f>IFERROR(VLOOKUP($C102,'NEW MODEL BY SES'!$C$19:$R$242,MATCH('SeS in Retail Sales Areas'!K$7,'NEW MODEL BY SES'!$C$17:$R$17,0),0),"")</f>
        <v/>
      </c>
      <c r="L102" s="142" t="str">
        <f>IFERROR(VLOOKUP($C102,'NEW MODEL BY SES'!$C$19:$R$242,MATCH('SeS in Retail Sales Areas'!L$7,'NEW MODEL BY SES'!$C$17:$R$17,0),0),"")</f>
        <v/>
      </c>
      <c r="M102" s="140" t="str">
        <f>IFERROR(VLOOKUP($C102,'NEW MODEL BY SES'!$C$19:$R$242,MATCH('SeS in Retail Sales Areas'!M$7,'NEW MODEL BY SES'!$C$17:$R$17,0),0),"")</f>
        <v/>
      </c>
      <c r="N102" s="142" t="str">
        <f>IFERROR(VLOOKUP($C102,'NEW MODEL BY SES'!$C$19:$R$242,MATCH('SeS in Retail Sales Areas'!N$7,'NEW MODEL BY SES'!$C$17:$R$17,0),0),"")</f>
        <v/>
      </c>
      <c r="O102" s="140" t="str">
        <f>IFERROR(VLOOKUP($C102,'NEW MODEL BY SES'!$C$19:$R$242,MATCH('SeS in Retail Sales Areas'!O$7,'NEW MODEL BY SES'!$C$17:$R$17,0),0),"")</f>
        <v/>
      </c>
      <c r="P102" s="142" t="str">
        <f>IFERROR(VLOOKUP($C102,'NEW MODEL BY SES'!$C$19:$R$242,MATCH('SeS in Retail Sales Areas'!P$7,'NEW MODEL BY SES'!$C$17:$R$17,0),0),"")</f>
        <v/>
      </c>
      <c r="Q102" s="140" t="str">
        <f>IFERROR(VLOOKUP($C102,'NEW MODEL BY SES'!$C$19:$R$242,MATCH('SeS in Retail Sales Areas'!Q$7,'NEW MODEL BY SES'!$C$17:$R$17,0),0),"")</f>
        <v/>
      </c>
      <c r="R102" s="142" t="str">
        <f>IFERROR(VLOOKUP($C102,'NEW MODEL BY SES'!$C$19:$R$242,MATCH('SeS in Retail Sales Areas'!R$7,'NEW MODEL BY SES'!$C$17:$R$17,0),0),"")</f>
        <v/>
      </c>
      <c r="S102" s="141" t="str">
        <f>IFERROR(VLOOKUP($C102,'NEW MODEL BY SES'!$C$19:$R$242,MATCH('SeS in Retail Sales Areas'!S$7,'NEW MODEL BY SES'!$C$17:$R$17,0),0),"")</f>
        <v/>
      </c>
      <c r="T102" s="140" t="str">
        <f>IFERROR(VLOOKUP($C102,'NEW MODEL BY SES'!$C$19:$R$242,MATCH('SeS in Retail Sales Areas'!T$7,'NEW MODEL BY SES'!$C$17:$R$17,0),0),"")</f>
        <v/>
      </c>
      <c r="U102" s="142" t="str">
        <f>IFERROR(VLOOKUP($C102,'NEW MODEL BY SES'!$C$19:$R$242,MATCH('SeS in Retail Sales Areas'!U$7,'NEW MODEL BY SES'!$C$17:$R$17,0),0),"")</f>
        <v/>
      </c>
      <c r="V102" s="140" t="str">
        <f>IFERROR(VLOOKUP($C102,'NEW MODEL BY SES'!$C$19:$R$242,MATCH('SeS in Retail Sales Areas'!V$7,'NEW MODEL BY SES'!$C$17:$R$17,0),0),"")</f>
        <v/>
      </c>
      <c r="W102" s="141" t="str">
        <f>IFERROR(VLOOKUP($C102,'NEW MODEL BY SES'!$C$19:$R$242,MATCH('SeS in Retail Sales Areas'!W$7,'NEW MODEL BY SES'!$C$17:$R$17,0),0),"")</f>
        <v/>
      </c>
      <c r="X102" s="140" t="str">
        <f>IFERROR(VLOOKUP($C102,'NEW MODEL BY SES'!$C$19:$R$242,MATCH('SeS in Retail Sales Areas'!X$7,'NEW MODEL BY SES'!$C$17:$R$17,0),0),"")</f>
        <v/>
      </c>
      <c r="Z102" s="57"/>
    </row>
    <row r="103" spans="1:26">
      <c r="A103" t="s">
        <v>1012</v>
      </c>
      <c r="B103" s="57">
        <v>67</v>
      </c>
      <c r="C103" t="s">
        <v>1032</v>
      </c>
      <c r="D103" t="s">
        <v>44</v>
      </c>
      <c r="E103"/>
      <c r="F103" s="140" t="str">
        <f>IFERROR(VLOOKUP($C103,'NEW MODEL BY SES'!$C$19:$R$242,MATCH('SeS in Retail Sales Areas'!F$7,'NEW MODEL BY SES'!$C$17:$R$17,0),0),"")</f>
        <v/>
      </c>
      <c r="G103" s="140" t="str">
        <f>IFERROR(VLOOKUP($C103,'NEW MODEL BY SES'!$C$19:$R$242,MATCH('SeS in Retail Sales Areas'!G$7,'NEW MODEL BY SES'!$C$17:$R$17,0),0),"")</f>
        <v/>
      </c>
      <c r="H103" s="142" t="str">
        <f>IFERROR(VLOOKUP($C103,'NEW MODEL BY SES'!$C$19:$R$242,MATCH('SeS in Retail Sales Areas'!H$7,'NEW MODEL BY SES'!$C$17:$R$17,0),0),"")</f>
        <v/>
      </c>
      <c r="I103" s="140" t="str">
        <f>IFERROR(VLOOKUP($C103,'NEW MODEL BY SES'!$C$19:$R$242,MATCH('SeS in Retail Sales Areas'!I$7,'NEW MODEL BY SES'!$C$17:$R$17,0),0),"")</f>
        <v/>
      </c>
      <c r="J103" s="142" t="str">
        <f>IFERROR(VLOOKUP($C103,'NEW MODEL BY SES'!$C$19:$R$242,MATCH('SeS in Retail Sales Areas'!J$7,'NEW MODEL BY SES'!$C$17:$R$17,0),0),"")</f>
        <v/>
      </c>
      <c r="K103" s="140" t="str">
        <f>IFERROR(VLOOKUP($C103,'NEW MODEL BY SES'!$C$19:$R$242,MATCH('SeS in Retail Sales Areas'!K$7,'NEW MODEL BY SES'!$C$17:$R$17,0),0),"")</f>
        <v/>
      </c>
      <c r="L103" s="142" t="str">
        <f>IFERROR(VLOOKUP($C103,'NEW MODEL BY SES'!$C$19:$R$242,MATCH('SeS in Retail Sales Areas'!L$7,'NEW MODEL BY SES'!$C$17:$R$17,0),0),"")</f>
        <v/>
      </c>
      <c r="M103" s="140" t="str">
        <f>IFERROR(VLOOKUP($C103,'NEW MODEL BY SES'!$C$19:$R$242,MATCH('SeS in Retail Sales Areas'!M$7,'NEW MODEL BY SES'!$C$17:$R$17,0),0),"")</f>
        <v/>
      </c>
      <c r="N103" s="142" t="str">
        <f>IFERROR(VLOOKUP($C103,'NEW MODEL BY SES'!$C$19:$R$242,MATCH('SeS in Retail Sales Areas'!N$7,'NEW MODEL BY SES'!$C$17:$R$17,0),0),"")</f>
        <v/>
      </c>
      <c r="O103" s="140" t="str">
        <f>IFERROR(VLOOKUP($C103,'NEW MODEL BY SES'!$C$19:$R$242,MATCH('SeS in Retail Sales Areas'!O$7,'NEW MODEL BY SES'!$C$17:$R$17,0),0),"")</f>
        <v/>
      </c>
      <c r="P103" s="142" t="str">
        <f>IFERROR(VLOOKUP($C103,'NEW MODEL BY SES'!$C$19:$R$242,MATCH('SeS in Retail Sales Areas'!P$7,'NEW MODEL BY SES'!$C$17:$R$17,0),0),"")</f>
        <v/>
      </c>
      <c r="Q103" s="140" t="str">
        <f>IFERROR(VLOOKUP($C103,'NEW MODEL BY SES'!$C$19:$R$242,MATCH('SeS in Retail Sales Areas'!Q$7,'NEW MODEL BY SES'!$C$17:$R$17,0),0),"")</f>
        <v/>
      </c>
      <c r="R103" s="142" t="str">
        <f>IFERROR(VLOOKUP($C103,'NEW MODEL BY SES'!$C$19:$R$242,MATCH('SeS in Retail Sales Areas'!R$7,'NEW MODEL BY SES'!$C$17:$R$17,0),0),"")</f>
        <v/>
      </c>
      <c r="S103" s="141" t="str">
        <f>IFERROR(VLOOKUP($C103,'NEW MODEL BY SES'!$C$19:$R$242,MATCH('SeS in Retail Sales Areas'!S$7,'NEW MODEL BY SES'!$C$17:$R$17,0),0),"")</f>
        <v/>
      </c>
      <c r="T103" s="140" t="str">
        <f>IFERROR(VLOOKUP($C103,'NEW MODEL BY SES'!$C$19:$R$242,MATCH('SeS in Retail Sales Areas'!T$7,'NEW MODEL BY SES'!$C$17:$R$17,0),0),"")</f>
        <v/>
      </c>
      <c r="U103" s="142" t="str">
        <f>IFERROR(VLOOKUP($C103,'NEW MODEL BY SES'!$C$19:$R$242,MATCH('SeS in Retail Sales Areas'!U$7,'NEW MODEL BY SES'!$C$17:$R$17,0),0),"")</f>
        <v/>
      </c>
      <c r="V103" s="140" t="str">
        <f>IFERROR(VLOOKUP($C103,'NEW MODEL BY SES'!$C$19:$R$242,MATCH('SeS in Retail Sales Areas'!V$7,'NEW MODEL BY SES'!$C$17:$R$17,0),0),"")</f>
        <v/>
      </c>
      <c r="W103" s="141" t="str">
        <f>IFERROR(VLOOKUP($C103,'NEW MODEL BY SES'!$C$19:$R$242,MATCH('SeS in Retail Sales Areas'!W$7,'NEW MODEL BY SES'!$C$17:$R$17,0),0),"")</f>
        <v/>
      </c>
      <c r="X103" s="140" t="str">
        <f>IFERROR(VLOOKUP($C103,'NEW MODEL BY SES'!$C$19:$R$242,MATCH('SeS in Retail Sales Areas'!X$7,'NEW MODEL BY SES'!$C$17:$R$17,0),0),"")</f>
        <v/>
      </c>
      <c r="Z103" s="57"/>
    </row>
    <row r="104" spans="1:26">
      <c r="A104" t="s">
        <v>1012</v>
      </c>
      <c r="B104" s="57">
        <v>57</v>
      </c>
      <c r="C104" t="s">
        <v>1033</v>
      </c>
      <c r="D104" t="s">
        <v>44</v>
      </c>
      <c r="E104"/>
      <c r="F104" s="140" t="str">
        <f>IFERROR(VLOOKUP($C104,'NEW MODEL BY SES'!$C$19:$R$242,MATCH('SeS in Retail Sales Areas'!F$7,'NEW MODEL BY SES'!$C$17:$R$17,0),0),"")</f>
        <v/>
      </c>
      <c r="G104" s="140" t="str">
        <f>IFERROR(VLOOKUP($C104,'NEW MODEL BY SES'!$C$19:$R$242,MATCH('SeS in Retail Sales Areas'!G$7,'NEW MODEL BY SES'!$C$17:$R$17,0),0),"")</f>
        <v/>
      </c>
      <c r="H104" s="142" t="str">
        <f>IFERROR(VLOOKUP($C104,'NEW MODEL BY SES'!$C$19:$R$242,MATCH('SeS in Retail Sales Areas'!H$7,'NEW MODEL BY SES'!$C$17:$R$17,0),0),"")</f>
        <v/>
      </c>
      <c r="I104" s="140" t="str">
        <f>IFERROR(VLOOKUP($C104,'NEW MODEL BY SES'!$C$19:$R$242,MATCH('SeS in Retail Sales Areas'!I$7,'NEW MODEL BY SES'!$C$17:$R$17,0),0),"")</f>
        <v/>
      </c>
      <c r="J104" s="142" t="str">
        <f>IFERROR(VLOOKUP($C104,'NEW MODEL BY SES'!$C$19:$R$242,MATCH('SeS in Retail Sales Areas'!J$7,'NEW MODEL BY SES'!$C$17:$R$17,0),0),"")</f>
        <v/>
      </c>
      <c r="K104" s="140" t="str">
        <f>IFERROR(VLOOKUP($C104,'NEW MODEL BY SES'!$C$19:$R$242,MATCH('SeS in Retail Sales Areas'!K$7,'NEW MODEL BY SES'!$C$17:$R$17,0),0),"")</f>
        <v/>
      </c>
      <c r="L104" s="142" t="str">
        <f>IFERROR(VLOOKUP($C104,'NEW MODEL BY SES'!$C$19:$R$242,MATCH('SeS in Retail Sales Areas'!L$7,'NEW MODEL BY SES'!$C$17:$R$17,0),0),"")</f>
        <v/>
      </c>
      <c r="M104" s="140" t="str">
        <f>IFERROR(VLOOKUP($C104,'NEW MODEL BY SES'!$C$19:$R$242,MATCH('SeS in Retail Sales Areas'!M$7,'NEW MODEL BY SES'!$C$17:$R$17,0),0),"")</f>
        <v/>
      </c>
      <c r="N104" s="142" t="str">
        <f>IFERROR(VLOOKUP($C104,'NEW MODEL BY SES'!$C$19:$R$242,MATCH('SeS in Retail Sales Areas'!N$7,'NEW MODEL BY SES'!$C$17:$R$17,0),0),"")</f>
        <v/>
      </c>
      <c r="O104" s="140" t="str">
        <f>IFERROR(VLOOKUP($C104,'NEW MODEL BY SES'!$C$19:$R$242,MATCH('SeS in Retail Sales Areas'!O$7,'NEW MODEL BY SES'!$C$17:$R$17,0),0),"")</f>
        <v/>
      </c>
      <c r="P104" s="142" t="str">
        <f>IFERROR(VLOOKUP($C104,'NEW MODEL BY SES'!$C$19:$R$242,MATCH('SeS in Retail Sales Areas'!P$7,'NEW MODEL BY SES'!$C$17:$R$17,0),0),"")</f>
        <v/>
      </c>
      <c r="Q104" s="140" t="str">
        <f>IFERROR(VLOOKUP($C104,'NEW MODEL BY SES'!$C$19:$R$242,MATCH('SeS in Retail Sales Areas'!Q$7,'NEW MODEL BY SES'!$C$17:$R$17,0),0),"")</f>
        <v/>
      </c>
      <c r="R104" s="142" t="str">
        <f>IFERROR(VLOOKUP($C104,'NEW MODEL BY SES'!$C$19:$R$242,MATCH('SeS in Retail Sales Areas'!R$7,'NEW MODEL BY SES'!$C$17:$R$17,0),0),"")</f>
        <v/>
      </c>
      <c r="S104" s="141" t="str">
        <f>IFERROR(VLOOKUP($C104,'NEW MODEL BY SES'!$C$19:$R$242,MATCH('SeS in Retail Sales Areas'!S$7,'NEW MODEL BY SES'!$C$17:$R$17,0),0),"")</f>
        <v/>
      </c>
      <c r="T104" s="140" t="str">
        <f>IFERROR(VLOOKUP($C104,'NEW MODEL BY SES'!$C$19:$R$242,MATCH('SeS in Retail Sales Areas'!T$7,'NEW MODEL BY SES'!$C$17:$R$17,0),0),"")</f>
        <v/>
      </c>
      <c r="U104" s="142" t="str">
        <f>IFERROR(VLOOKUP($C104,'NEW MODEL BY SES'!$C$19:$R$242,MATCH('SeS in Retail Sales Areas'!U$7,'NEW MODEL BY SES'!$C$17:$R$17,0),0),"")</f>
        <v/>
      </c>
      <c r="V104" s="140" t="str">
        <f>IFERROR(VLOOKUP($C104,'NEW MODEL BY SES'!$C$19:$R$242,MATCH('SeS in Retail Sales Areas'!V$7,'NEW MODEL BY SES'!$C$17:$R$17,0),0),"")</f>
        <v/>
      </c>
      <c r="W104" s="141" t="str">
        <f>IFERROR(VLOOKUP($C104,'NEW MODEL BY SES'!$C$19:$R$242,MATCH('SeS in Retail Sales Areas'!W$7,'NEW MODEL BY SES'!$C$17:$R$17,0),0),"")</f>
        <v/>
      </c>
      <c r="X104" s="140" t="str">
        <f>IFERROR(VLOOKUP($C104,'NEW MODEL BY SES'!$C$19:$R$242,MATCH('SeS in Retail Sales Areas'!X$7,'NEW MODEL BY SES'!$C$17:$R$17,0),0),"")</f>
        <v/>
      </c>
      <c r="Z104" s="57"/>
    </row>
    <row r="105" spans="1:26">
      <c r="A105" t="s">
        <v>1012</v>
      </c>
      <c r="B105" s="57">
        <v>57</v>
      </c>
      <c r="C105" t="s">
        <v>1034</v>
      </c>
      <c r="D105" t="s">
        <v>44</v>
      </c>
      <c r="E105"/>
      <c r="F105" s="140" t="str">
        <f>IFERROR(VLOOKUP($C105,'NEW MODEL BY SES'!$C$19:$R$242,MATCH('SeS in Retail Sales Areas'!F$7,'NEW MODEL BY SES'!$C$17:$R$17,0),0),"")</f>
        <v/>
      </c>
      <c r="G105" s="140" t="str">
        <f>IFERROR(VLOOKUP($C105,'NEW MODEL BY SES'!$C$19:$R$242,MATCH('SeS in Retail Sales Areas'!G$7,'NEW MODEL BY SES'!$C$17:$R$17,0),0),"")</f>
        <v/>
      </c>
      <c r="H105" s="142" t="str">
        <f>IFERROR(VLOOKUP($C105,'NEW MODEL BY SES'!$C$19:$R$242,MATCH('SeS in Retail Sales Areas'!H$7,'NEW MODEL BY SES'!$C$17:$R$17,0),0),"")</f>
        <v/>
      </c>
      <c r="I105" s="140" t="str">
        <f>IFERROR(VLOOKUP($C105,'NEW MODEL BY SES'!$C$19:$R$242,MATCH('SeS in Retail Sales Areas'!I$7,'NEW MODEL BY SES'!$C$17:$R$17,0),0),"")</f>
        <v/>
      </c>
      <c r="J105" s="142" t="str">
        <f>IFERROR(VLOOKUP($C105,'NEW MODEL BY SES'!$C$19:$R$242,MATCH('SeS in Retail Sales Areas'!J$7,'NEW MODEL BY SES'!$C$17:$R$17,0),0),"")</f>
        <v/>
      </c>
      <c r="K105" s="140" t="str">
        <f>IFERROR(VLOOKUP($C105,'NEW MODEL BY SES'!$C$19:$R$242,MATCH('SeS in Retail Sales Areas'!K$7,'NEW MODEL BY SES'!$C$17:$R$17,0),0),"")</f>
        <v/>
      </c>
      <c r="L105" s="142" t="str">
        <f>IFERROR(VLOOKUP($C105,'NEW MODEL BY SES'!$C$19:$R$242,MATCH('SeS in Retail Sales Areas'!L$7,'NEW MODEL BY SES'!$C$17:$R$17,0),0),"")</f>
        <v/>
      </c>
      <c r="M105" s="140" t="str">
        <f>IFERROR(VLOOKUP($C105,'NEW MODEL BY SES'!$C$19:$R$242,MATCH('SeS in Retail Sales Areas'!M$7,'NEW MODEL BY SES'!$C$17:$R$17,0),0),"")</f>
        <v/>
      </c>
      <c r="N105" s="142" t="str">
        <f>IFERROR(VLOOKUP($C105,'NEW MODEL BY SES'!$C$19:$R$242,MATCH('SeS in Retail Sales Areas'!N$7,'NEW MODEL BY SES'!$C$17:$R$17,0),0),"")</f>
        <v/>
      </c>
      <c r="O105" s="140" t="str">
        <f>IFERROR(VLOOKUP($C105,'NEW MODEL BY SES'!$C$19:$R$242,MATCH('SeS in Retail Sales Areas'!O$7,'NEW MODEL BY SES'!$C$17:$R$17,0),0),"")</f>
        <v/>
      </c>
      <c r="P105" s="142" t="str">
        <f>IFERROR(VLOOKUP($C105,'NEW MODEL BY SES'!$C$19:$R$242,MATCH('SeS in Retail Sales Areas'!P$7,'NEW MODEL BY SES'!$C$17:$R$17,0),0),"")</f>
        <v/>
      </c>
      <c r="Q105" s="140" t="str">
        <f>IFERROR(VLOOKUP($C105,'NEW MODEL BY SES'!$C$19:$R$242,MATCH('SeS in Retail Sales Areas'!Q$7,'NEW MODEL BY SES'!$C$17:$R$17,0),0),"")</f>
        <v/>
      </c>
      <c r="R105" s="142" t="str">
        <f>IFERROR(VLOOKUP($C105,'NEW MODEL BY SES'!$C$19:$R$242,MATCH('SeS in Retail Sales Areas'!R$7,'NEW MODEL BY SES'!$C$17:$R$17,0),0),"")</f>
        <v/>
      </c>
      <c r="S105" s="141" t="str">
        <f>IFERROR(VLOOKUP($C105,'NEW MODEL BY SES'!$C$19:$R$242,MATCH('SeS in Retail Sales Areas'!S$7,'NEW MODEL BY SES'!$C$17:$R$17,0),0),"")</f>
        <v/>
      </c>
      <c r="T105" s="140" t="str">
        <f>IFERROR(VLOOKUP($C105,'NEW MODEL BY SES'!$C$19:$R$242,MATCH('SeS in Retail Sales Areas'!T$7,'NEW MODEL BY SES'!$C$17:$R$17,0),0),"")</f>
        <v/>
      </c>
      <c r="U105" s="142" t="str">
        <f>IFERROR(VLOOKUP($C105,'NEW MODEL BY SES'!$C$19:$R$242,MATCH('SeS in Retail Sales Areas'!U$7,'NEW MODEL BY SES'!$C$17:$R$17,0),0),"")</f>
        <v/>
      </c>
      <c r="V105" s="140" t="str">
        <f>IFERROR(VLOOKUP($C105,'NEW MODEL BY SES'!$C$19:$R$242,MATCH('SeS in Retail Sales Areas'!V$7,'NEW MODEL BY SES'!$C$17:$R$17,0),0),"")</f>
        <v/>
      </c>
      <c r="W105" s="141" t="str">
        <f>IFERROR(VLOOKUP($C105,'NEW MODEL BY SES'!$C$19:$R$242,MATCH('SeS in Retail Sales Areas'!W$7,'NEW MODEL BY SES'!$C$17:$R$17,0),0),"")</f>
        <v/>
      </c>
      <c r="X105" s="140" t="str">
        <f>IFERROR(VLOOKUP($C105,'NEW MODEL BY SES'!$C$19:$R$242,MATCH('SeS in Retail Sales Areas'!X$7,'NEW MODEL BY SES'!$C$17:$R$17,0),0),"")</f>
        <v/>
      </c>
      <c r="Z105" s="57"/>
    </row>
    <row r="106" spans="1:26">
      <c r="A106" t="s">
        <v>1012</v>
      </c>
      <c r="B106" s="57">
        <v>53</v>
      </c>
      <c r="C106" t="s">
        <v>1035</v>
      </c>
      <c r="D106" t="s">
        <v>44</v>
      </c>
      <c r="E106"/>
      <c r="F106" s="140" t="str">
        <f>IFERROR(VLOOKUP($C106,'NEW MODEL BY SES'!$C$19:$R$242,MATCH('SeS in Retail Sales Areas'!F$7,'NEW MODEL BY SES'!$C$17:$R$17,0),0),"")</f>
        <v/>
      </c>
      <c r="G106" s="140" t="str">
        <f>IFERROR(VLOOKUP($C106,'NEW MODEL BY SES'!$C$19:$R$242,MATCH('SeS in Retail Sales Areas'!G$7,'NEW MODEL BY SES'!$C$17:$R$17,0),0),"")</f>
        <v/>
      </c>
      <c r="H106" s="142" t="str">
        <f>IFERROR(VLOOKUP($C106,'NEW MODEL BY SES'!$C$19:$R$242,MATCH('SeS in Retail Sales Areas'!H$7,'NEW MODEL BY SES'!$C$17:$R$17,0),0),"")</f>
        <v/>
      </c>
      <c r="I106" s="140" t="str">
        <f>IFERROR(VLOOKUP($C106,'NEW MODEL BY SES'!$C$19:$R$242,MATCH('SeS in Retail Sales Areas'!I$7,'NEW MODEL BY SES'!$C$17:$R$17,0),0),"")</f>
        <v/>
      </c>
      <c r="J106" s="142" t="str">
        <f>IFERROR(VLOOKUP($C106,'NEW MODEL BY SES'!$C$19:$R$242,MATCH('SeS in Retail Sales Areas'!J$7,'NEW MODEL BY SES'!$C$17:$R$17,0),0),"")</f>
        <v/>
      </c>
      <c r="K106" s="140" t="str">
        <f>IFERROR(VLOOKUP($C106,'NEW MODEL BY SES'!$C$19:$R$242,MATCH('SeS in Retail Sales Areas'!K$7,'NEW MODEL BY SES'!$C$17:$R$17,0),0),"")</f>
        <v/>
      </c>
      <c r="L106" s="142" t="str">
        <f>IFERROR(VLOOKUP($C106,'NEW MODEL BY SES'!$C$19:$R$242,MATCH('SeS in Retail Sales Areas'!L$7,'NEW MODEL BY SES'!$C$17:$R$17,0),0),"")</f>
        <v/>
      </c>
      <c r="M106" s="140" t="str">
        <f>IFERROR(VLOOKUP($C106,'NEW MODEL BY SES'!$C$19:$R$242,MATCH('SeS in Retail Sales Areas'!M$7,'NEW MODEL BY SES'!$C$17:$R$17,0),0),"")</f>
        <v/>
      </c>
      <c r="N106" s="142" t="str">
        <f>IFERROR(VLOOKUP($C106,'NEW MODEL BY SES'!$C$19:$R$242,MATCH('SeS in Retail Sales Areas'!N$7,'NEW MODEL BY SES'!$C$17:$R$17,0),0),"")</f>
        <v/>
      </c>
      <c r="O106" s="140" t="str">
        <f>IFERROR(VLOOKUP($C106,'NEW MODEL BY SES'!$C$19:$R$242,MATCH('SeS in Retail Sales Areas'!O$7,'NEW MODEL BY SES'!$C$17:$R$17,0),0),"")</f>
        <v/>
      </c>
      <c r="P106" s="142" t="str">
        <f>IFERROR(VLOOKUP($C106,'NEW MODEL BY SES'!$C$19:$R$242,MATCH('SeS in Retail Sales Areas'!P$7,'NEW MODEL BY SES'!$C$17:$R$17,0),0),"")</f>
        <v/>
      </c>
      <c r="Q106" s="140" t="str">
        <f>IFERROR(VLOOKUP($C106,'NEW MODEL BY SES'!$C$19:$R$242,MATCH('SeS in Retail Sales Areas'!Q$7,'NEW MODEL BY SES'!$C$17:$R$17,0),0),"")</f>
        <v/>
      </c>
      <c r="R106" s="142" t="str">
        <f>IFERROR(VLOOKUP($C106,'NEW MODEL BY SES'!$C$19:$R$242,MATCH('SeS in Retail Sales Areas'!R$7,'NEW MODEL BY SES'!$C$17:$R$17,0),0),"")</f>
        <v/>
      </c>
      <c r="S106" s="141" t="str">
        <f>IFERROR(VLOOKUP($C106,'NEW MODEL BY SES'!$C$19:$R$242,MATCH('SeS in Retail Sales Areas'!S$7,'NEW MODEL BY SES'!$C$17:$R$17,0),0),"")</f>
        <v/>
      </c>
      <c r="T106" s="140" t="str">
        <f>IFERROR(VLOOKUP($C106,'NEW MODEL BY SES'!$C$19:$R$242,MATCH('SeS in Retail Sales Areas'!T$7,'NEW MODEL BY SES'!$C$17:$R$17,0),0),"")</f>
        <v/>
      </c>
      <c r="U106" s="142" t="str">
        <f>IFERROR(VLOOKUP($C106,'NEW MODEL BY SES'!$C$19:$R$242,MATCH('SeS in Retail Sales Areas'!U$7,'NEW MODEL BY SES'!$C$17:$R$17,0),0),"")</f>
        <v/>
      </c>
      <c r="V106" s="140" t="str">
        <f>IFERROR(VLOOKUP($C106,'NEW MODEL BY SES'!$C$19:$R$242,MATCH('SeS in Retail Sales Areas'!V$7,'NEW MODEL BY SES'!$C$17:$R$17,0),0),"")</f>
        <v/>
      </c>
      <c r="W106" s="141" t="str">
        <f>IFERROR(VLOOKUP($C106,'NEW MODEL BY SES'!$C$19:$R$242,MATCH('SeS in Retail Sales Areas'!W$7,'NEW MODEL BY SES'!$C$17:$R$17,0),0),"")</f>
        <v/>
      </c>
      <c r="X106" s="140" t="str">
        <f>IFERROR(VLOOKUP($C106,'NEW MODEL BY SES'!$C$19:$R$242,MATCH('SeS in Retail Sales Areas'!X$7,'NEW MODEL BY SES'!$C$17:$R$17,0),0),"")</f>
        <v/>
      </c>
      <c r="Z106" s="57"/>
    </row>
    <row r="107" spans="1:26">
      <c r="A107" t="s">
        <v>1012</v>
      </c>
      <c r="B107" s="57">
        <v>52</v>
      </c>
      <c r="C107" t="s">
        <v>1036</v>
      </c>
      <c r="D107" t="s">
        <v>44</v>
      </c>
      <c r="E107"/>
      <c r="F107" s="140" t="str">
        <f>IFERROR(VLOOKUP($C107,'NEW MODEL BY SES'!$C$19:$R$242,MATCH('SeS in Retail Sales Areas'!F$7,'NEW MODEL BY SES'!$C$17:$R$17,0),0),"")</f>
        <v/>
      </c>
      <c r="G107" s="140" t="str">
        <f>IFERROR(VLOOKUP($C107,'NEW MODEL BY SES'!$C$19:$R$242,MATCH('SeS in Retail Sales Areas'!G$7,'NEW MODEL BY SES'!$C$17:$R$17,0),0),"")</f>
        <v/>
      </c>
      <c r="H107" s="142" t="str">
        <f>IFERROR(VLOOKUP($C107,'NEW MODEL BY SES'!$C$19:$R$242,MATCH('SeS in Retail Sales Areas'!H$7,'NEW MODEL BY SES'!$C$17:$R$17,0),0),"")</f>
        <v/>
      </c>
      <c r="I107" s="140" t="str">
        <f>IFERROR(VLOOKUP($C107,'NEW MODEL BY SES'!$C$19:$R$242,MATCH('SeS in Retail Sales Areas'!I$7,'NEW MODEL BY SES'!$C$17:$R$17,0),0),"")</f>
        <v/>
      </c>
      <c r="J107" s="142" t="str">
        <f>IFERROR(VLOOKUP($C107,'NEW MODEL BY SES'!$C$19:$R$242,MATCH('SeS in Retail Sales Areas'!J$7,'NEW MODEL BY SES'!$C$17:$R$17,0),0),"")</f>
        <v/>
      </c>
      <c r="K107" s="140" t="str">
        <f>IFERROR(VLOOKUP($C107,'NEW MODEL BY SES'!$C$19:$R$242,MATCH('SeS in Retail Sales Areas'!K$7,'NEW MODEL BY SES'!$C$17:$R$17,0),0),"")</f>
        <v/>
      </c>
      <c r="L107" s="142" t="str">
        <f>IFERROR(VLOOKUP($C107,'NEW MODEL BY SES'!$C$19:$R$242,MATCH('SeS in Retail Sales Areas'!L$7,'NEW MODEL BY SES'!$C$17:$R$17,0),0),"")</f>
        <v/>
      </c>
      <c r="M107" s="140" t="str">
        <f>IFERROR(VLOOKUP($C107,'NEW MODEL BY SES'!$C$19:$R$242,MATCH('SeS in Retail Sales Areas'!M$7,'NEW MODEL BY SES'!$C$17:$R$17,0),0),"")</f>
        <v/>
      </c>
      <c r="N107" s="142" t="str">
        <f>IFERROR(VLOOKUP($C107,'NEW MODEL BY SES'!$C$19:$R$242,MATCH('SeS in Retail Sales Areas'!N$7,'NEW MODEL BY SES'!$C$17:$R$17,0),0),"")</f>
        <v/>
      </c>
      <c r="O107" s="140" t="str">
        <f>IFERROR(VLOOKUP($C107,'NEW MODEL BY SES'!$C$19:$R$242,MATCH('SeS in Retail Sales Areas'!O$7,'NEW MODEL BY SES'!$C$17:$R$17,0),0),"")</f>
        <v/>
      </c>
      <c r="P107" s="142" t="str">
        <f>IFERROR(VLOOKUP($C107,'NEW MODEL BY SES'!$C$19:$R$242,MATCH('SeS in Retail Sales Areas'!P$7,'NEW MODEL BY SES'!$C$17:$R$17,0),0),"")</f>
        <v/>
      </c>
      <c r="Q107" s="140" t="str">
        <f>IFERROR(VLOOKUP($C107,'NEW MODEL BY SES'!$C$19:$R$242,MATCH('SeS in Retail Sales Areas'!Q$7,'NEW MODEL BY SES'!$C$17:$R$17,0),0),"")</f>
        <v/>
      </c>
      <c r="R107" s="142" t="str">
        <f>IFERROR(VLOOKUP($C107,'NEW MODEL BY SES'!$C$19:$R$242,MATCH('SeS in Retail Sales Areas'!R$7,'NEW MODEL BY SES'!$C$17:$R$17,0),0),"")</f>
        <v/>
      </c>
      <c r="S107" s="141" t="str">
        <f>IFERROR(VLOOKUP($C107,'NEW MODEL BY SES'!$C$19:$R$242,MATCH('SeS in Retail Sales Areas'!S$7,'NEW MODEL BY SES'!$C$17:$R$17,0),0),"")</f>
        <v/>
      </c>
      <c r="T107" s="140" t="str">
        <f>IFERROR(VLOOKUP($C107,'NEW MODEL BY SES'!$C$19:$R$242,MATCH('SeS in Retail Sales Areas'!T$7,'NEW MODEL BY SES'!$C$17:$R$17,0),0),"")</f>
        <v/>
      </c>
      <c r="U107" s="142" t="str">
        <f>IFERROR(VLOOKUP($C107,'NEW MODEL BY SES'!$C$19:$R$242,MATCH('SeS in Retail Sales Areas'!U$7,'NEW MODEL BY SES'!$C$17:$R$17,0),0),"")</f>
        <v/>
      </c>
      <c r="V107" s="140" t="str">
        <f>IFERROR(VLOOKUP($C107,'NEW MODEL BY SES'!$C$19:$R$242,MATCH('SeS in Retail Sales Areas'!V$7,'NEW MODEL BY SES'!$C$17:$R$17,0),0),"")</f>
        <v/>
      </c>
      <c r="W107" s="141" t="str">
        <f>IFERROR(VLOOKUP($C107,'NEW MODEL BY SES'!$C$19:$R$242,MATCH('SeS in Retail Sales Areas'!W$7,'NEW MODEL BY SES'!$C$17:$R$17,0),0),"")</f>
        <v/>
      </c>
      <c r="X107" s="140" t="str">
        <f>IFERROR(VLOOKUP($C107,'NEW MODEL BY SES'!$C$19:$R$242,MATCH('SeS in Retail Sales Areas'!X$7,'NEW MODEL BY SES'!$C$17:$R$17,0),0),"")</f>
        <v/>
      </c>
      <c r="Z107" s="57"/>
    </row>
    <row r="108" spans="1:26">
      <c r="A108" t="s">
        <v>1012</v>
      </c>
      <c r="B108" s="57">
        <v>47</v>
      </c>
      <c r="C108" t="s">
        <v>1037</v>
      </c>
      <c r="D108" t="s">
        <v>44</v>
      </c>
      <c r="E108"/>
      <c r="F108" s="140" t="str">
        <f>IFERROR(VLOOKUP($C108,'NEW MODEL BY SES'!$C$19:$R$242,MATCH('SeS in Retail Sales Areas'!F$7,'NEW MODEL BY SES'!$C$17:$R$17,0),0),"")</f>
        <v/>
      </c>
      <c r="G108" s="140" t="str">
        <f>IFERROR(VLOOKUP($C108,'NEW MODEL BY SES'!$C$19:$R$242,MATCH('SeS in Retail Sales Areas'!G$7,'NEW MODEL BY SES'!$C$17:$R$17,0),0),"")</f>
        <v/>
      </c>
      <c r="H108" s="142" t="str">
        <f>IFERROR(VLOOKUP($C108,'NEW MODEL BY SES'!$C$19:$R$242,MATCH('SeS in Retail Sales Areas'!H$7,'NEW MODEL BY SES'!$C$17:$R$17,0),0),"")</f>
        <v/>
      </c>
      <c r="I108" s="140" t="str">
        <f>IFERROR(VLOOKUP($C108,'NEW MODEL BY SES'!$C$19:$R$242,MATCH('SeS in Retail Sales Areas'!I$7,'NEW MODEL BY SES'!$C$17:$R$17,0),0),"")</f>
        <v/>
      </c>
      <c r="J108" s="142" t="str">
        <f>IFERROR(VLOOKUP($C108,'NEW MODEL BY SES'!$C$19:$R$242,MATCH('SeS in Retail Sales Areas'!J$7,'NEW MODEL BY SES'!$C$17:$R$17,0),0),"")</f>
        <v/>
      </c>
      <c r="K108" s="140" t="str">
        <f>IFERROR(VLOOKUP($C108,'NEW MODEL BY SES'!$C$19:$R$242,MATCH('SeS in Retail Sales Areas'!K$7,'NEW MODEL BY SES'!$C$17:$R$17,0),0),"")</f>
        <v/>
      </c>
      <c r="L108" s="142" t="str">
        <f>IFERROR(VLOOKUP($C108,'NEW MODEL BY SES'!$C$19:$R$242,MATCH('SeS in Retail Sales Areas'!L$7,'NEW MODEL BY SES'!$C$17:$R$17,0),0),"")</f>
        <v/>
      </c>
      <c r="M108" s="140" t="str">
        <f>IFERROR(VLOOKUP($C108,'NEW MODEL BY SES'!$C$19:$R$242,MATCH('SeS in Retail Sales Areas'!M$7,'NEW MODEL BY SES'!$C$17:$R$17,0),0),"")</f>
        <v/>
      </c>
      <c r="N108" s="142" t="str">
        <f>IFERROR(VLOOKUP($C108,'NEW MODEL BY SES'!$C$19:$R$242,MATCH('SeS in Retail Sales Areas'!N$7,'NEW MODEL BY SES'!$C$17:$R$17,0),0),"")</f>
        <v/>
      </c>
      <c r="O108" s="140" t="str">
        <f>IFERROR(VLOOKUP($C108,'NEW MODEL BY SES'!$C$19:$R$242,MATCH('SeS in Retail Sales Areas'!O$7,'NEW MODEL BY SES'!$C$17:$R$17,0),0),"")</f>
        <v/>
      </c>
      <c r="P108" s="142" t="str">
        <f>IFERROR(VLOOKUP($C108,'NEW MODEL BY SES'!$C$19:$R$242,MATCH('SeS in Retail Sales Areas'!P$7,'NEW MODEL BY SES'!$C$17:$R$17,0),0),"")</f>
        <v/>
      </c>
      <c r="Q108" s="140" t="str">
        <f>IFERROR(VLOOKUP($C108,'NEW MODEL BY SES'!$C$19:$R$242,MATCH('SeS in Retail Sales Areas'!Q$7,'NEW MODEL BY SES'!$C$17:$R$17,0),0),"")</f>
        <v/>
      </c>
      <c r="R108" s="142" t="str">
        <f>IFERROR(VLOOKUP($C108,'NEW MODEL BY SES'!$C$19:$R$242,MATCH('SeS in Retail Sales Areas'!R$7,'NEW MODEL BY SES'!$C$17:$R$17,0),0),"")</f>
        <v/>
      </c>
      <c r="S108" s="141" t="str">
        <f>IFERROR(VLOOKUP($C108,'NEW MODEL BY SES'!$C$19:$R$242,MATCH('SeS in Retail Sales Areas'!S$7,'NEW MODEL BY SES'!$C$17:$R$17,0),0),"")</f>
        <v/>
      </c>
      <c r="T108" s="140" t="str">
        <f>IFERROR(VLOOKUP($C108,'NEW MODEL BY SES'!$C$19:$R$242,MATCH('SeS in Retail Sales Areas'!T$7,'NEW MODEL BY SES'!$C$17:$R$17,0),0),"")</f>
        <v/>
      </c>
      <c r="U108" s="142" t="str">
        <f>IFERROR(VLOOKUP($C108,'NEW MODEL BY SES'!$C$19:$R$242,MATCH('SeS in Retail Sales Areas'!U$7,'NEW MODEL BY SES'!$C$17:$R$17,0),0),"")</f>
        <v/>
      </c>
      <c r="V108" s="140" t="str">
        <f>IFERROR(VLOOKUP($C108,'NEW MODEL BY SES'!$C$19:$R$242,MATCH('SeS in Retail Sales Areas'!V$7,'NEW MODEL BY SES'!$C$17:$R$17,0),0),"")</f>
        <v/>
      </c>
      <c r="W108" s="141" t="str">
        <f>IFERROR(VLOOKUP($C108,'NEW MODEL BY SES'!$C$19:$R$242,MATCH('SeS in Retail Sales Areas'!W$7,'NEW MODEL BY SES'!$C$17:$R$17,0),0),"")</f>
        <v/>
      </c>
      <c r="X108" s="140" t="str">
        <f>IFERROR(VLOOKUP($C108,'NEW MODEL BY SES'!$C$19:$R$242,MATCH('SeS in Retail Sales Areas'!X$7,'NEW MODEL BY SES'!$C$17:$R$17,0),0),"")</f>
        <v/>
      </c>
      <c r="Z108" s="57"/>
    </row>
    <row r="109" spans="1:26">
      <c r="A109" t="s">
        <v>1038</v>
      </c>
      <c r="B109" s="57">
        <v>210</v>
      </c>
      <c r="C109" t="s">
        <v>1039</v>
      </c>
      <c r="D109" t="s">
        <v>33</v>
      </c>
      <c r="E109"/>
      <c r="F109" s="140" t="str">
        <f>IFERROR(VLOOKUP($C109,'NEW MODEL BY SES'!$C$19:$R$242,MATCH('SeS in Retail Sales Areas'!F$7,'NEW MODEL BY SES'!$C$17:$R$17,0),0),"")</f>
        <v/>
      </c>
      <c r="G109" s="140" t="str">
        <f>IFERROR(VLOOKUP($C109,'NEW MODEL BY SES'!$C$19:$R$242,MATCH('SeS in Retail Sales Areas'!G$7,'NEW MODEL BY SES'!$C$17:$R$17,0),0),"")</f>
        <v/>
      </c>
      <c r="H109" s="142" t="str">
        <f>IFERROR(VLOOKUP($C109,'NEW MODEL BY SES'!$C$19:$R$242,MATCH('SeS in Retail Sales Areas'!H$7,'NEW MODEL BY SES'!$C$17:$R$17,0),0),"")</f>
        <v/>
      </c>
      <c r="I109" s="140" t="str">
        <f>IFERROR(VLOOKUP($C109,'NEW MODEL BY SES'!$C$19:$R$242,MATCH('SeS in Retail Sales Areas'!I$7,'NEW MODEL BY SES'!$C$17:$R$17,0),0),"")</f>
        <v/>
      </c>
      <c r="J109" s="142" t="str">
        <f>IFERROR(VLOOKUP($C109,'NEW MODEL BY SES'!$C$19:$R$242,MATCH('SeS in Retail Sales Areas'!J$7,'NEW MODEL BY SES'!$C$17:$R$17,0),0),"")</f>
        <v/>
      </c>
      <c r="K109" s="140" t="str">
        <f>IFERROR(VLOOKUP($C109,'NEW MODEL BY SES'!$C$19:$R$242,MATCH('SeS in Retail Sales Areas'!K$7,'NEW MODEL BY SES'!$C$17:$R$17,0),0),"")</f>
        <v/>
      </c>
      <c r="L109" s="142" t="str">
        <f>IFERROR(VLOOKUP($C109,'NEW MODEL BY SES'!$C$19:$R$242,MATCH('SeS in Retail Sales Areas'!L$7,'NEW MODEL BY SES'!$C$17:$R$17,0),0),"")</f>
        <v/>
      </c>
      <c r="M109" s="140" t="str">
        <f>IFERROR(VLOOKUP($C109,'NEW MODEL BY SES'!$C$19:$R$242,MATCH('SeS in Retail Sales Areas'!M$7,'NEW MODEL BY SES'!$C$17:$R$17,0),0),"")</f>
        <v/>
      </c>
      <c r="N109" s="142" t="str">
        <f>IFERROR(VLOOKUP($C109,'NEW MODEL BY SES'!$C$19:$R$242,MATCH('SeS in Retail Sales Areas'!N$7,'NEW MODEL BY SES'!$C$17:$R$17,0),0),"")</f>
        <v/>
      </c>
      <c r="O109" s="140" t="str">
        <f>IFERROR(VLOOKUP($C109,'NEW MODEL BY SES'!$C$19:$R$242,MATCH('SeS in Retail Sales Areas'!O$7,'NEW MODEL BY SES'!$C$17:$R$17,0),0),"")</f>
        <v/>
      </c>
      <c r="P109" s="142" t="str">
        <f>IFERROR(VLOOKUP($C109,'NEW MODEL BY SES'!$C$19:$R$242,MATCH('SeS in Retail Sales Areas'!P$7,'NEW MODEL BY SES'!$C$17:$R$17,0),0),"")</f>
        <v/>
      </c>
      <c r="Q109" s="140" t="str">
        <f>IFERROR(VLOOKUP($C109,'NEW MODEL BY SES'!$C$19:$R$242,MATCH('SeS in Retail Sales Areas'!Q$7,'NEW MODEL BY SES'!$C$17:$R$17,0),0),"")</f>
        <v/>
      </c>
      <c r="R109" s="142" t="str">
        <f>IFERROR(VLOOKUP($C109,'NEW MODEL BY SES'!$C$19:$R$242,MATCH('SeS in Retail Sales Areas'!R$7,'NEW MODEL BY SES'!$C$17:$R$17,0),0),"")</f>
        <v/>
      </c>
      <c r="S109" s="141" t="str">
        <f>IFERROR(VLOOKUP($C109,'NEW MODEL BY SES'!$C$19:$R$242,MATCH('SeS in Retail Sales Areas'!S$7,'NEW MODEL BY SES'!$C$17:$R$17,0),0),"")</f>
        <v/>
      </c>
      <c r="T109" s="140" t="str">
        <f>IFERROR(VLOOKUP($C109,'NEW MODEL BY SES'!$C$19:$R$242,MATCH('SeS in Retail Sales Areas'!T$7,'NEW MODEL BY SES'!$C$17:$R$17,0),0),"")</f>
        <v/>
      </c>
      <c r="U109" s="142" t="str">
        <f>IFERROR(VLOOKUP($C109,'NEW MODEL BY SES'!$C$19:$R$242,MATCH('SeS in Retail Sales Areas'!U$7,'NEW MODEL BY SES'!$C$17:$R$17,0),0),"")</f>
        <v/>
      </c>
      <c r="V109" s="140" t="str">
        <f>IFERROR(VLOOKUP($C109,'NEW MODEL BY SES'!$C$19:$R$242,MATCH('SeS in Retail Sales Areas'!V$7,'NEW MODEL BY SES'!$C$17:$R$17,0),0),"")</f>
        <v/>
      </c>
      <c r="W109" s="141" t="str">
        <f>IFERROR(VLOOKUP($C109,'NEW MODEL BY SES'!$C$19:$R$242,MATCH('SeS in Retail Sales Areas'!W$7,'NEW MODEL BY SES'!$C$17:$R$17,0),0),"")</f>
        <v/>
      </c>
      <c r="X109" s="140" t="str">
        <f>IFERROR(VLOOKUP($C109,'NEW MODEL BY SES'!$C$19:$R$242,MATCH('SeS in Retail Sales Areas'!X$7,'NEW MODEL BY SES'!$C$17:$R$17,0),0),"")</f>
        <v/>
      </c>
      <c r="Z109" s="57"/>
    </row>
    <row r="110" spans="1:26">
      <c r="A110" t="s">
        <v>1038</v>
      </c>
      <c r="B110" s="57">
        <v>195</v>
      </c>
      <c r="C110" t="s">
        <v>1040</v>
      </c>
      <c r="D110" t="s">
        <v>33</v>
      </c>
      <c r="E110"/>
      <c r="F110" s="140" t="str">
        <f>IFERROR(VLOOKUP($C110,'NEW MODEL BY SES'!$C$19:$R$242,MATCH('SeS in Retail Sales Areas'!F$7,'NEW MODEL BY SES'!$C$17:$R$17,0),0),"")</f>
        <v/>
      </c>
      <c r="G110" s="140" t="str">
        <f>IFERROR(VLOOKUP($C110,'NEW MODEL BY SES'!$C$19:$R$242,MATCH('SeS in Retail Sales Areas'!G$7,'NEW MODEL BY SES'!$C$17:$R$17,0),0),"")</f>
        <v/>
      </c>
      <c r="H110" s="142" t="str">
        <f>IFERROR(VLOOKUP($C110,'NEW MODEL BY SES'!$C$19:$R$242,MATCH('SeS in Retail Sales Areas'!H$7,'NEW MODEL BY SES'!$C$17:$R$17,0),0),"")</f>
        <v/>
      </c>
      <c r="I110" s="140" t="str">
        <f>IFERROR(VLOOKUP($C110,'NEW MODEL BY SES'!$C$19:$R$242,MATCH('SeS in Retail Sales Areas'!I$7,'NEW MODEL BY SES'!$C$17:$R$17,0),0),"")</f>
        <v/>
      </c>
      <c r="J110" s="142" t="str">
        <f>IFERROR(VLOOKUP($C110,'NEW MODEL BY SES'!$C$19:$R$242,MATCH('SeS in Retail Sales Areas'!J$7,'NEW MODEL BY SES'!$C$17:$R$17,0),0),"")</f>
        <v/>
      </c>
      <c r="K110" s="140" t="str">
        <f>IFERROR(VLOOKUP($C110,'NEW MODEL BY SES'!$C$19:$R$242,MATCH('SeS in Retail Sales Areas'!K$7,'NEW MODEL BY SES'!$C$17:$R$17,0),0),"")</f>
        <v/>
      </c>
      <c r="L110" s="142" t="str">
        <f>IFERROR(VLOOKUP($C110,'NEW MODEL BY SES'!$C$19:$R$242,MATCH('SeS in Retail Sales Areas'!L$7,'NEW MODEL BY SES'!$C$17:$R$17,0),0),"")</f>
        <v/>
      </c>
      <c r="M110" s="140" t="str">
        <f>IFERROR(VLOOKUP($C110,'NEW MODEL BY SES'!$C$19:$R$242,MATCH('SeS in Retail Sales Areas'!M$7,'NEW MODEL BY SES'!$C$17:$R$17,0),0),"")</f>
        <v/>
      </c>
      <c r="N110" s="142" t="str">
        <f>IFERROR(VLOOKUP($C110,'NEW MODEL BY SES'!$C$19:$R$242,MATCH('SeS in Retail Sales Areas'!N$7,'NEW MODEL BY SES'!$C$17:$R$17,0),0),"")</f>
        <v/>
      </c>
      <c r="O110" s="140" t="str">
        <f>IFERROR(VLOOKUP($C110,'NEW MODEL BY SES'!$C$19:$R$242,MATCH('SeS in Retail Sales Areas'!O$7,'NEW MODEL BY SES'!$C$17:$R$17,0),0),"")</f>
        <v/>
      </c>
      <c r="P110" s="142" t="str">
        <f>IFERROR(VLOOKUP($C110,'NEW MODEL BY SES'!$C$19:$R$242,MATCH('SeS in Retail Sales Areas'!P$7,'NEW MODEL BY SES'!$C$17:$R$17,0),0),"")</f>
        <v/>
      </c>
      <c r="Q110" s="140" t="str">
        <f>IFERROR(VLOOKUP($C110,'NEW MODEL BY SES'!$C$19:$R$242,MATCH('SeS in Retail Sales Areas'!Q$7,'NEW MODEL BY SES'!$C$17:$R$17,0),0),"")</f>
        <v/>
      </c>
      <c r="R110" s="142" t="str">
        <f>IFERROR(VLOOKUP($C110,'NEW MODEL BY SES'!$C$19:$R$242,MATCH('SeS in Retail Sales Areas'!R$7,'NEW MODEL BY SES'!$C$17:$R$17,0),0),"")</f>
        <v/>
      </c>
      <c r="S110" s="141" t="str">
        <f>IFERROR(VLOOKUP($C110,'NEW MODEL BY SES'!$C$19:$R$242,MATCH('SeS in Retail Sales Areas'!S$7,'NEW MODEL BY SES'!$C$17:$R$17,0),0),"")</f>
        <v/>
      </c>
      <c r="T110" s="140" t="str">
        <f>IFERROR(VLOOKUP($C110,'NEW MODEL BY SES'!$C$19:$R$242,MATCH('SeS in Retail Sales Areas'!T$7,'NEW MODEL BY SES'!$C$17:$R$17,0),0),"")</f>
        <v/>
      </c>
      <c r="U110" s="142" t="str">
        <f>IFERROR(VLOOKUP($C110,'NEW MODEL BY SES'!$C$19:$R$242,MATCH('SeS in Retail Sales Areas'!U$7,'NEW MODEL BY SES'!$C$17:$R$17,0),0),"")</f>
        <v/>
      </c>
      <c r="V110" s="140" t="str">
        <f>IFERROR(VLOOKUP($C110,'NEW MODEL BY SES'!$C$19:$R$242,MATCH('SeS in Retail Sales Areas'!V$7,'NEW MODEL BY SES'!$C$17:$R$17,0),0),"")</f>
        <v/>
      </c>
      <c r="W110" s="141" t="str">
        <f>IFERROR(VLOOKUP($C110,'NEW MODEL BY SES'!$C$19:$R$242,MATCH('SeS in Retail Sales Areas'!W$7,'NEW MODEL BY SES'!$C$17:$R$17,0),0),"")</f>
        <v/>
      </c>
      <c r="X110" s="140" t="str">
        <f>IFERROR(VLOOKUP($C110,'NEW MODEL BY SES'!$C$19:$R$242,MATCH('SeS in Retail Sales Areas'!X$7,'NEW MODEL BY SES'!$C$17:$R$17,0),0),"")</f>
        <v/>
      </c>
      <c r="Z110" s="57"/>
    </row>
    <row r="111" spans="1:26">
      <c r="A111" t="s">
        <v>1038</v>
      </c>
      <c r="B111" s="57">
        <v>180</v>
      </c>
      <c r="C111" t="s">
        <v>1041</v>
      </c>
      <c r="D111" t="s">
        <v>33</v>
      </c>
      <c r="E111"/>
      <c r="F111" s="140" t="str">
        <f>IFERROR(VLOOKUP($C111,'NEW MODEL BY SES'!$C$19:$R$242,MATCH('SeS in Retail Sales Areas'!F$7,'NEW MODEL BY SES'!$C$17:$R$17,0),0),"")</f>
        <v/>
      </c>
      <c r="G111" s="140" t="str">
        <f>IFERROR(VLOOKUP($C111,'NEW MODEL BY SES'!$C$19:$R$242,MATCH('SeS in Retail Sales Areas'!G$7,'NEW MODEL BY SES'!$C$17:$R$17,0),0),"")</f>
        <v/>
      </c>
      <c r="H111" s="142" t="str">
        <f>IFERROR(VLOOKUP($C111,'NEW MODEL BY SES'!$C$19:$R$242,MATCH('SeS in Retail Sales Areas'!H$7,'NEW MODEL BY SES'!$C$17:$R$17,0),0),"")</f>
        <v/>
      </c>
      <c r="I111" s="140" t="str">
        <f>IFERROR(VLOOKUP($C111,'NEW MODEL BY SES'!$C$19:$R$242,MATCH('SeS in Retail Sales Areas'!I$7,'NEW MODEL BY SES'!$C$17:$R$17,0),0),"")</f>
        <v/>
      </c>
      <c r="J111" s="142" t="str">
        <f>IFERROR(VLOOKUP($C111,'NEW MODEL BY SES'!$C$19:$R$242,MATCH('SeS in Retail Sales Areas'!J$7,'NEW MODEL BY SES'!$C$17:$R$17,0),0),"")</f>
        <v/>
      </c>
      <c r="K111" s="140" t="str">
        <f>IFERROR(VLOOKUP($C111,'NEW MODEL BY SES'!$C$19:$R$242,MATCH('SeS in Retail Sales Areas'!K$7,'NEW MODEL BY SES'!$C$17:$R$17,0),0),"")</f>
        <v/>
      </c>
      <c r="L111" s="142" t="str">
        <f>IFERROR(VLOOKUP($C111,'NEW MODEL BY SES'!$C$19:$R$242,MATCH('SeS in Retail Sales Areas'!L$7,'NEW MODEL BY SES'!$C$17:$R$17,0),0),"")</f>
        <v/>
      </c>
      <c r="M111" s="140" t="str">
        <f>IFERROR(VLOOKUP($C111,'NEW MODEL BY SES'!$C$19:$R$242,MATCH('SeS in Retail Sales Areas'!M$7,'NEW MODEL BY SES'!$C$17:$R$17,0),0),"")</f>
        <v/>
      </c>
      <c r="N111" s="142" t="str">
        <f>IFERROR(VLOOKUP($C111,'NEW MODEL BY SES'!$C$19:$R$242,MATCH('SeS in Retail Sales Areas'!N$7,'NEW MODEL BY SES'!$C$17:$R$17,0),0),"")</f>
        <v/>
      </c>
      <c r="O111" s="140" t="str">
        <f>IFERROR(VLOOKUP($C111,'NEW MODEL BY SES'!$C$19:$R$242,MATCH('SeS in Retail Sales Areas'!O$7,'NEW MODEL BY SES'!$C$17:$R$17,0),0),"")</f>
        <v/>
      </c>
      <c r="P111" s="142" t="str">
        <f>IFERROR(VLOOKUP($C111,'NEW MODEL BY SES'!$C$19:$R$242,MATCH('SeS in Retail Sales Areas'!P$7,'NEW MODEL BY SES'!$C$17:$R$17,0),0),"")</f>
        <v/>
      </c>
      <c r="Q111" s="140" t="str">
        <f>IFERROR(VLOOKUP($C111,'NEW MODEL BY SES'!$C$19:$R$242,MATCH('SeS in Retail Sales Areas'!Q$7,'NEW MODEL BY SES'!$C$17:$R$17,0),0),"")</f>
        <v/>
      </c>
      <c r="R111" s="142" t="str">
        <f>IFERROR(VLOOKUP($C111,'NEW MODEL BY SES'!$C$19:$R$242,MATCH('SeS in Retail Sales Areas'!R$7,'NEW MODEL BY SES'!$C$17:$R$17,0),0),"")</f>
        <v/>
      </c>
      <c r="S111" s="141" t="str">
        <f>IFERROR(VLOOKUP($C111,'NEW MODEL BY SES'!$C$19:$R$242,MATCH('SeS in Retail Sales Areas'!S$7,'NEW MODEL BY SES'!$C$17:$R$17,0),0),"")</f>
        <v/>
      </c>
      <c r="T111" s="140" t="str">
        <f>IFERROR(VLOOKUP($C111,'NEW MODEL BY SES'!$C$19:$R$242,MATCH('SeS in Retail Sales Areas'!T$7,'NEW MODEL BY SES'!$C$17:$R$17,0),0),"")</f>
        <v/>
      </c>
      <c r="U111" s="142" t="str">
        <f>IFERROR(VLOOKUP($C111,'NEW MODEL BY SES'!$C$19:$R$242,MATCH('SeS in Retail Sales Areas'!U$7,'NEW MODEL BY SES'!$C$17:$R$17,0),0),"")</f>
        <v/>
      </c>
      <c r="V111" s="140" t="str">
        <f>IFERROR(VLOOKUP($C111,'NEW MODEL BY SES'!$C$19:$R$242,MATCH('SeS in Retail Sales Areas'!V$7,'NEW MODEL BY SES'!$C$17:$R$17,0),0),"")</f>
        <v/>
      </c>
      <c r="W111" s="141" t="str">
        <f>IFERROR(VLOOKUP($C111,'NEW MODEL BY SES'!$C$19:$R$242,MATCH('SeS in Retail Sales Areas'!W$7,'NEW MODEL BY SES'!$C$17:$R$17,0),0),"")</f>
        <v/>
      </c>
      <c r="X111" s="140" t="str">
        <f>IFERROR(VLOOKUP($C111,'NEW MODEL BY SES'!$C$19:$R$242,MATCH('SeS in Retail Sales Areas'!X$7,'NEW MODEL BY SES'!$C$17:$R$17,0),0),"")</f>
        <v/>
      </c>
      <c r="Z111" s="57"/>
    </row>
    <row r="112" spans="1:26">
      <c r="A112" t="s">
        <v>1038</v>
      </c>
      <c r="B112" s="57">
        <v>179</v>
      </c>
      <c r="C112" t="s">
        <v>1042</v>
      </c>
      <c r="D112" t="s">
        <v>33</v>
      </c>
      <c r="E112"/>
      <c r="F112" s="140" t="str">
        <f>IFERROR(VLOOKUP($C112,'NEW MODEL BY SES'!$C$19:$R$242,MATCH('SeS in Retail Sales Areas'!F$7,'NEW MODEL BY SES'!$C$17:$R$17,0),0),"")</f>
        <v/>
      </c>
      <c r="G112" s="140" t="str">
        <f>IFERROR(VLOOKUP($C112,'NEW MODEL BY SES'!$C$19:$R$242,MATCH('SeS in Retail Sales Areas'!G$7,'NEW MODEL BY SES'!$C$17:$R$17,0),0),"")</f>
        <v/>
      </c>
      <c r="H112" s="142" t="str">
        <f>IFERROR(VLOOKUP($C112,'NEW MODEL BY SES'!$C$19:$R$242,MATCH('SeS in Retail Sales Areas'!H$7,'NEW MODEL BY SES'!$C$17:$R$17,0),0),"")</f>
        <v/>
      </c>
      <c r="I112" s="140" t="str">
        <f>IFERROR(VLOOKUP($C112,'NEW MODEL BY SES'!$C$19:$R$242,MATCH('SeS in Retail Sales Areas'!I$7,'NEW MODEL BY SES'!$C$17:$R$17,0),0),"")</f>
        <v/>
      </c>
      <c r="J112" s="142" t="str">
        <f>IFERROR(VLOOKUP($C112,'NEW MODEL BY SES'!$C$19:$R$242,MATCH('SeS in Retail Sales Areas'!J$7,'NEW MODEL BY SES'!$C$17:$R$17,0),0),"")</f>
        <v/>
      </c>
      <c r="K112" s="140" t="str">
        <f>IFERROR(VLOOKUP($C112,'NEW MODEL BY SES'!$C$19:$R$242,MATCH('SeS in Retail Sales Areas'!K$7,'NEW MODEL BY SES'!$C$17:$R$17,0),0),"")</f>
        <v/>
      </c>
      <c r="L112" s="142" t="str">
        <f>IFERROR(VLOOKUP($C112,'NEW MODEL BY SES'!$C$19:$R$242,MATCH('SeS in Retail Sales Areas'!L$7,'NEW MODEL BY SES'!$C$17:$R$17,0),0),"")</f>
        <v/>
      </c>
      <c r="M112" s="140" t="str">
        <f>IFERROR(VLOOKUP($C112,'NEW MODEL BY SES'!$C$19:$R$242,MATCH('SeS in Retail Sales Areas'!M$7,'NEW MODEL BY SES'!$C$17:$R$17,0),0),"")</f>
        <v/>
      </c>
      <c r="N112" s="142" t="str">
        <f>IFERROR(VLOOKUP($C112,'NEW MODEL BY SES'!$C$19:$R$242,MATCH('SeS in Retail Sales Areas'!N$7,'NEW MODEL BY SES'!$C$17:$R$17,0),0),"")</f>
        <v/>
      </c>
      <c r="O112" s="140" t="str">
        <f>IFERROR(VLOOKUP($C112,'NEW MODEL BY SES'!$C$19:$R$242,MATCH('SeS in Retail Sales Areas'!O$7,'NEW MODEL BY SES'!$C$17:$R$17,0),0),"")</f>
        <v/>
      </c>
      <c r="P112" s="142" t="str">
        <f>IFERROR(VLOOKUP($C112,'NEW MODEL BY SES'!$C$19:$R$242,MATCH('SeS in Retail Sales Areas'!P$7,'NEW MODEL BY SES'!$C$17:$R$17,0),0),"")</f>
        <v/>
      </c>
      <c r="Q112" s="140" t="str">
        <f>IFERROR(VLOOKUP($C112,'NEW MODEL BY SES'!$C$19:$R$242,MATCH('SeS in Retail Sales Areas'!Q$7,'NEW MODEL BY SES'!$C$17:$R$17,0),0),"")</f>
        <v/>
      </c>
      <c r="R112" s="142" t="str">
        <f>IFERROR(VLOOKUP($C112,'NEW MODEL BY SES'!$C$19:$R$242,MATCH('SeS in Retail Sales Areas'!R$7,'NEW MODEL BY SES'!$C$17:$R$17,0),0),"")</f>
        <v/>
      </c>
      <c r="S112" s="141" t="str">
        <f>IFERROR(VLOOKUP($C112,'NEW MODEL BY SES'!$C$19:$R$242,MATCH('SeS in Retail Sales Areas'!S$7,'NEW MODEL BY SES'!$C$17:$R$17,0),0),"")</f>
        <v/>
      </c>
      <c r="T112" s="140" t="str">
        <f>IFERROR(VLOOKUP($C112,'NEW MODEL BY SES'!$C$19:$R$242,MATCH('SeS in Retail Sales Areas'!T$7,'NEW MODEL BY SES'!$C$17:$R$17,0),0),"")</f>
        <v/>
      </c>
      <c r="U112" s="142" t="str">
        <f>IFERROR(VLOOKUP($C112,'NEW MODEL BY SES'!$C$19:$R$242,MATCH('SeS in Retail Sales Areas'!U$7,'NEW MODEL BY SES'!$C$17:$R$17,0),0),"")</f>
        <v/>
      </c>
      <c r="V112" s="140" t="str">
        <f>IFERROR(VLOOKUP($C112,'NEW MODEL BY SES'!$C$19:$R$242,MATCH('SeS in Retail Sales Areas'!V$7,'NEW MODEL BY SES'!$C$17:$R$17,0),0),"")</f>
        <v/>
      </c>
      <c r="W112" s="141" t="str">
        <f>IFERROR(VLOOKUP($C112,'NEW MODEL BY SES'!$C$19:$R$242,MATCH('SeS in Retail Sales Areas'!W$7,'NEW MODEL BY SES'!$C$17:$R$17,0),0),"")</f>
        <v/>
      </c>
      <c r="X112" s="140" t="str">
        <f>IFERROR(VLOOKUP($C112,'NEW MODEL BY SES'!$C$19:$R$242,MATCH('SeS in Retail Sales Areas'!X$7,'NEW MODEL BY SES'!$C$17:$R$17,0),0),"")</f>
        <v/>
      </c>
      <c r="Z112" s="57"/>
    </row>
    <row r="113" spans="1:26">
      <c r="A113" t="s">
        <v>1038</v>
      </c>
      <c r="B113" s="57">
        <v>173</v>
      </c>
      <c r="C113" t="s">
        <v>1043</v>
      </c>
      <c r="D113" t="s">
        <v>33</v>
      </c>
      <c r="E113"/>
      <c r="F113" s="140" t="str">
        <f>IFERROR(VLOOKUP($C113,'NEW MODEL BY SES'!$C$19:$R$242,MATCH('SeS in Retail Sales Areas'!F$7,'NEW MODEL BY SES'!$C$17:$R$17,0),0),"")</f>
        <v/>
      </c>
      <c r="G113" s="140" t="str">
        <f>IFERROR(VLOOKUP($C113,'NEW MODEL BY SES'!$C$19:$R$242,MATCH('SeS in Retail Sales Areas'!G$7,'NEW MODEL BY SES'!$C$17:$R$17,0),0),"")</f>
        <v/>
      </c>
      <c r="H113" s="142" t="str">
        <f>IFERROR(VLOOKUP($C113,'NEW MODEL BY SES'!$C$19:$R$242,MATCH('SeS in Retail Sales Areas'!H$7,'NEW MODEL BY SES'!$C$17:$R$17,0),0),"")</f>
        <v/>
      </c>
      <c r="I113" s="140" t="str">
        <f>IFERROR(VLOOKUP($C113,'NEW MODEL BY SES'!$C$19:$R$242,MATCH('SeS in Retail Sales Areas'!I$7,'NEW MODEL BY SES'!$C$17:$R$17,0),0),"")</f>
        <v/>
      </c>
      <c r="J113" s="142" t="str">
        <f>IFERROR(VLOOKUP($C113,'NEW MODEL BY SES'!$C$19:$R$242,MATCH('SeS in Retail Sales Areas'!J$7,'NEW MODEL BY SES'!$C$17:$R$17,0),0),"")</f>
        <v/>
      </c>
      <c r="K113" s="140" t="str">
        <f>IFERROR(VLOOKUP($C113,'NEW MODEL BY SES'!$C$19:$R$242,MATCH('SeS in Retail Sales Areas'!K$7,'NEW MODEL BY SES'!$C$17:$R$17,0),0),"")</f>
        <v/>
      </c>
      <c r="L113" s="142" t="str">
        <f>IFERROR(VLOOKUP($C113,'NEW MODEL BY SES'!$C$19:$R$242,MATCH('SeS in Retail Sales Areas'!L$7,'NEW MODEL BY SES'!$C$17:$R$17,0),0),"")</f>
        <v/>
      </c>
      <c r="M113" s="140" t="str">
        <f>IFERROR(VLOOKUP($C113,'NEW MODEL BY SES'!$C$19:$R$242,MATCH('SeS in Retail Sales Areas'!M$7,'NEW MODEL BY SES'!$C$17:$R$17,0),0),"")</f>
        <v/>
      </c>
      <c r="N113" s="142" t="str">
        <f>IFERROR(VLOOKUP($C113,'NEW MODEL BY SES'!$C$19:$R$242,MATCH('SeS in Retail Sales Areas'!N$7,'NEW MODEL BY SES'!$C$17:$R$17,0),0),"")</f>
        <v/>
      </c>
      <c r="O113" s="140" t="str">
        <f>IFERROR(VLOOKUP($C113,'NEW MODEL BY SES'!$C$19:$R$242,MATCH('SeS in Retail Sales Areas'!O$7,'NEW MODEL BY SES'!$C$17:$R$17,0),0),"")</f>
        <v/>
      </c>
      <c r="P113" s="142" t="str">
        <f>IFERROR(VLOOKUP($C113,'NEW MODEL BY SES'!$C$19:$R$242,MATCH('SeS in Retail Sales Areas'!P$7,'NEW MODEL BY SES'!$C$17:$R$17,0),0),"")</f>
        <v/>
      </c>
      <c r="Q113" s="140" t="str">
        <f>IFERROR(VLOOKUP($C113,'NEW MODEL BY SES'!$C$19:$R$242,MATCH('SeS in Retail Sales Areas'!Q$7,'NEW MODEL BY SES'!$C$17:$R$17,0),0),"")</f>
        <v/>
      </c>
      <c r="R113" s="142" t="str">
        <f>IFERROR(VLOOKUP($C113,'NEW MODEL BY SES'!$C$19:$R$242,MATCH('SeS in Retail Sales Areas'!R$7,'NEW MODEL BY SES'!$C$17:$R$17,0),0),"")</f>
        <v/>
      </c>
      <c r="S113" s="141" t="str">
        <f>IFERROR(VLOOKUP($C113,'NEW MODEL BY SES'!$C$19:$R$242,MATCH('SeS in Retail Sales Areas'!S$7,'NEW MODEL BY SES'!$C$17:$R$17,0),0),"")</f>
        <v/>
      </c>
      <c r="T113" s="140" t="str">
        <f>IFERROR(VLOOKUP($C113,'NEW MODEL BY SES'!$C$19:$R$242,MATCH('SeS in Retail Sales Areas'!T$7,'NEW MODEL BY SES'!$C$17:$R$17,0),0),"")</f>
        <v/>
      </c>
      <c r="U113" s="142" t="str">
        <f>IFERROR(VLOOKUP($C113,'NEW MODEL BY SES'!$C$19:$R$242,MATCH('SeS in Retail Sales Areas'!U$7,'NEW MODEL BY SES'!$C$17:$R$17,0),0),"")</f>
        <v/>
      </c>
      <c r="V113" s="140" t="str">
        <f>IFERROR(VLOOKUP($C113,'NEW MODEL BY SES'!$C$19:$R$242,MATCH('SeS in Retail Sales Areas'!V$7,'NEW MODEL BY SES'!$C$17:$R$17,0),0),"")</f>
        <v/>
      </c>
      <c r="W113" s="141" t="str">
        <f>IFERROR(VLOOKUP($C113,'NEW MODEL BY SES'!$C$19:$R$242,MATCH('SeS in Retail Sales Areas'!W$7,'NEW MODEL BY SES'!$C$17:$R$17,0),0),"")</f>
        <v/>
      </c>
      <c r="X113" s="140" t="str">
        <f>IFERROR(VLOOKUP($C113,'NEW MODEL BY SES'!$C$19:$R$242,MATCH('SeS in Retail Sales Areas'!X$7,'NEW MODEL BY SES'!$C$17:$R$17,0),0),"")</f>
        <v/>
      </c>
      <c r="Z113" s="57"/>
    </row>
    <row r="114" spans="1:26">
      <c r="A114" t="s">
        <v>1038</v>
      </c>
      <c r="B114" s="57">
        <v>165</v>
      </c>
      <c r="C114" t="s">
        <v>1044</v>
      </c>
      <c r="D114" t="s">
        <v>33</v>
      </c>
      <c r="E114"/>
      <c r="F114" s="140" t="str">
        <f>IFERROR(VLOOKUP($C114,'NEW MODEL BY SES'!$C$19:$R$242,MATCH('SeS in Retail Sales Areas'!F$7,'NEW MODEL BY SES'!$C$17:$R$17,0),0),"")</f>
        <v/>
      </c>
      <c r="G114" s="140" t="str">
        <f>IFERROR(VLOOKUP($C114,'NEW MODEL BY SES'!$C$19:$R$242,MATCH('SeS in Retail Sales Areas'!G$7,'NEW MODEL BY SES'!$C$17:$R$17,0),0),"")</f>
        <v/>
      </c>
      <c r="H114" s="142" t="str">
        <f>IFERROR(VLOOKUP($C114,'NEW MODEL BY SES'!$C$19:$R$242,MATCH('SeS in Retail Sales Areas'!H$7,'NEW MODEL BY SES'!$C$17:$R$17,0),0),"")</f>
        <v/>
      </c>
      <c r="I114" s="140" t="str">
        <f>IFERROR(VLOOKUP($C114,'NEW MODEL BY SES'!$C$19:$R$242,MATCH('SeS in Retail Sales Areas'!I$7,'NEW MODEL BY SES'!$C$17:$R$17,0),0),"")</f>
        <v/>
      </c>
      <c r="J114" s="142" t="str">
        <f>IFERROR(VLOOKUP($C114,'NEW MODEL BY SES'!$C$19:$R$242,MATCH('SeS in Retail Sales Areas'!J$7,'NEW MODEL BY SES'!$C$17:$R$17,0),0),"")</f>
        <v/>
      </c>
      <c r="K114" s="140" t="str">
        <f>IFERROR(VLOOKUP($C114,'NEW MODEL BY SES'!$C$19:$R$242,MATCH('SeS in Retail Sales Areas'!K$7,'NEW MODEL BY SES'!$C$17:$R$17,0),0),"")</f>
        <v/>
      </c>
      <c r="L114" s="142" t="str">
        <f>IFERROR(VLOOKUP($C114,'NEW MODEL BY SES'!$C$19:$R$242,MATCH('SeS in Retail Sales Areas'!L$7,'NEW MODEL BY SES'!$C$17:$R$17,0),0),"")</f>
        <v/>
      </c>
      <c r="M114" s="140" t="str">
        <f>IFERROR(VLOOKUP($C114,'NEW MODEL BY SES'!$C$19:$R$242,MATCH('SeS in Retail Sales Areas'!M$7,'NEW MODEL BY SES'!$C$17:$R$17,0),0),"")</f>
        <v/>
      </c>
      <c r="N114" s="142" t="str">
        <f>IFERROR(VLOOKUP($C114,'NEW MODEL BY SES'!$C$19:$R$242,MATCH('SeS in Retail Sales Areas'!N$7,'NEW MODEL BY SES'!$C$17:$R$17,0),0),"")</f>
        <v/>
      </c>
      <c r="O114" s="140" t="str">
        <f>IFERROR(VLOOKUP($C114,'NEW MODEL BY SES'!$C$19:$R$242,MATCH('SeS in Retail Sales Areas'!O$7,'NEW MODEL BY SES'!$C$17:$R$17,0),0),"")</f>
        <v/>
      </c>
      <c r="P114" s="142" t="str">
        <f>IFERROR(VLOOKUP($C114,'NEW MODEL BY SES'!$C$19:$R$242,MATCH('SeS in Retail Sales Areas'!P$7,'NEW MODEL BY SES'!$C$17:$R$17,0),0),"")</f>
        <v/>
      </c>
      <c r="Q114" s="140" t="str">
        <f>IFERROR(VLOOKUP($C114,'NEW MODEL BY SES'!$C$19:$R$242,MATCH('SeS in Retail Sales Areas'!Q$7,'NEW MODEL BY SES'!$C$17:$R$17,0),0),"")</f>
        <v/>
      </c>
      <c r="R114" s="142" t="str">
        <f>IFERROR(VLOOKUP($C114,'NEW MODEL BY SES'!$C$19:$R$242,MATCH('SeS in Retail Sales Areas'!R$7,'NEW MODEL BY SES'!$C$17:$R$17,0),0),"")</f>
        <v/>
      </c>
      <c r="S114" s="141" t="str">
        <f>IFERROR(VLOOKUP($C114,'NEW MODEL BY SES'!$C$19:$R$242,MATCH('SeS in Retail Sales Areas'!S$7,'NEW MODEL BY SES'!$C$17:$R$17,0),0),"")</f>
        <v/>
      </c>
      <c r="T114" s="140" t="str">
        <f>IFERROR(VLOOKUP($C114,'NEW MODEL BY SES'!$C$19:$R$242,MATCH('SeS in Retail Sales Areas'!T$7,'NEW MODEL BY SES'!$C$17:$R$17,0),0),"")</f>
        <v/>
      </c>
      <c r="U114" s="142" t="str">
        <f>IFERROR(VLOOKUP($C114,'NEW MODEL BY SES'!$C$19:$R$242,MATCH('SeS in Retail Sales Areas'!U$7,'NEW MODEL BY SES'!$C$17:$R$17,0),0),"")</f>
        <v/>
      </c>
      <c r="V114" s="140" t="str">
        <f>IFERROR(VLOOKUP($C114,'NEW MODEL BY SES'!$C$19:$R$242,MATCH('SeS in Retail Sales Areas'!V$7,'NEW MODEL BY SES'!$C$17:$R$17,0),0),"")</f>
        <v/>
      </c>
      <c r="W114" s="141" t="str">
        <f>IFERROR(VLOOKUP($C114,'NEW MODEL BY SES'!$C$19:$R$242,MATCH('SeS in Retail Sales Areas'!W$7,'NEW MODEL BY SES'!$C$17:$R$17,0),0),"")</f>
        <v/>
      </c>
      <c r="X114" s="140" t="str">
        <f>IFERROR(VLOOKUP($C114,'NEW MODEL BY SES'!$C$19:$R$242,MATCH('SeS in Retail Sales Areas'!X$7,'NEW MODEL BY SES'!$C$17:$R$17,0),0),"")</f>
        <v/>
      </c>
      <c r="Z114" s="57"/>
    </row>
    <row r="115" spans="1:26">
      <c r="A115" t="s">
        <v>1038</v>
      </c>
      <c r="B115" s="57">
        <v>155</v>
      </c>
      <c r="C115" t="s">
        <v>1045</v>
      </c>
      <c r="D115" t="s">
        <v>38</v>
      </c>
      <c r="E115"/>
      <c r="F115" s="140" t="str">
        <f>IFERROR(VLOOKUP($C115,'NEW MODEL BY SES'!$C$19:$R$242,MATCH('SeS in Retail Sales Areas'!F$7,'NEW MODEL BY SES'!$C$17:$R$17,0),0),"")</f>
        <v/>
      </c>
      <c r="G115" s="140" t="str">
        <f>IFERROR(VLOOKUP($C115,'NEW MODEL BY SES'!$C$19:$R$242,MATCH('SeS in Retail Sales Areas'!G$7,'NEW MODEL BY SES'!$C$17:$R$17,0),0),"")</f>
        <v/>
      </c>
      <c r="H115" s="142" t="str">
        <f>IFERROR(VLOOKUP($C115,'NEW MODEL BY SES'!$C$19:$R$242,MATCH('SeS in Retail Sales Areas'!H$7,'NEW MODEL BY SES'!$C$17:$R$17,0),0),"")</f>
        <v/>
      </c>
      <c r="I115" s="140" t="str">
        <f>IFERROR(VLOOKUP($C115,'NEW MODEL BY SES'!$C$19:$R$242,MATCH('SeS in Retail Sales Areas'!I$7,'NEW MODEL BY SES'!$C$17:$R$17,0),0),"")</f>
        <v/>
      </c>
      <c r="J115" s="142" t="str">
        <f>IFERROR(VLOOKUP($C115,'NEW MODEL BY SES'!$C$19:$R$242,MATCH('SeS in Retail Sales Areas'!J$7,'NEW MODEL BY SES'!$C$17:$R$17,0),0),"")</f>
        <v/>
      </c>
      <c r="K115" s="140" t="str">
        <f>IFERROR(VLOOKUP($C115,'NEW MODEL BY SES'!$C$19:$R$242,MATCH('SeS in Retail Sales Areas'!K$7,'NEW MODEL BY SES'!$C$17:$R$17,0),0),"")</f>
        <v/>
      </c>
      <c r="L115" s="142" t="str">
        <f>IFERROR(VLOOKUP($C115,'NEW MODEL BY SES'!$C$19:$R$242,MATCH('SeS in Retail Sales Areas'!L$7,'NEW MODEL BY SES'!$C$17:$R$17,0),0),"")</f>
        <v/>
      </c>
      <c r="M115" s="140" t="str">
        <f>IFERROR(VLOOKUP($C115,'NEW MODEL BY SES'!$C$19:$R$242,MATCH('SeS in Retail Sales Areas'!M$7,'NEW MODEL BY SES'!$C$17:$R$17,0),0),"")</f>
        <v/>
      </c>
      <c r="N115" s="142" t="str">
        <f>IFERROR(VLOOKUP($C115,'NEW MODEL BY SES'!$C$19:$R$242,MATCH('SeS in Retail Sales Areas'!N$7,'NEW MODEL BY SES'!$C$17:$R$17,0),0),"")</f>
        <v/>
      </c>
      <c r="O115" s="140" t="str">
        <f>IFERROR(VLOOKUP($C115,'NEW MODEL BY SES'!$C$19:$R$242,MATCH('SeS in Retail Sales Areas'!O$7,'NEW MODEL BY SES'!$C$17:$R$17,0),0),"")</f>
        <v/>
      </c>
      <c r="P115" s="142" t="str">
        <f>IFERROR(VLOOKUP($C115,'NEW MODEL BY SES'!$C$19:$R$242,MATCH('SeS in Retail Sales Areas'!P$7,'NEW MODEL BY SES'!$C$17:$R$17,0),0),"")</f>
        <v/>
      </c>
      <c r="Q115" s="140" t="str">
        <f>IFERROR(VLOOKUP($C115,'NEW MODEL BY SES'!$C$19:$R$242,MATCH('SeS in Retail Sales Areas'!Q$7,'NEW MODEL BY SES'!$C$17:$R$17,0),0),"")</f>
        <v/>
      </c>
      <c r="R115" s="142" t="str">
        <f>IFERROR(VLOOKUP($C115,'NEW MODEL BY SES'!$C$19:$R$242,MATCH('SeS in Retail Sales Areas'!R$7,'NEW MODEL BY SES'!$C$17:$R$17,0),0),"")</f>
        <v/>
      </c>
      <c r="S115" s="141" t="str">
        <f>IFERROR(VLOOKUP($C115,'NEW MODEL BY SES'!$C$19:$R$242,MATCH('SeS in Retail Sales Areas'!S$7,'NEW MODEL BY SES'!$C$17:$R$17,0),0),"")</f>
        <v/>
      </c>
      <c r="T115" s="140" t="str">
        <f>IFERROR(VLOOKUP($C115,'NEW MODEL BY SES'!$C$19:$R$242,MATCH('SeS in Retail Sales Areas'!T$7,'NEW MODEL BY SES'!$C$17:$R$17,0),0),"")</f>
        <v/>
      </c>
      <c r="U115" s="142" t="str">
        <f>IFERROR(VLOOKUP($C115,'NEW MODEL BY SES'!$C$19:$R$242,MATCH('SeS in Retail Sales Areas'!U$7,'NEW MODEL BY SES'!$C$17:$R$17,0),0),"")</f>
        <v/>
      </c>
      <c r="V115" s="140" t="str">
        <f>IFERROR(VLOOKUP($C115,'NEW MODEL BY SES'!$C$19:$R$242,MATCH('SeS in Retail Sales Areas'!V$7,'NEW MODEL BY SES'!$C$17:$R$17,0),0),"")</f>
        <v/>
      </c>
      <c r="W115" s="141" t="str">
        <f>IFERROR(VLOOKUP($C115,'NEW MODEL BY SES'!$C$19:$R$242,MATCH('SeS in Retail Sales Areas'!W$7,'NEW MODEL BY SES'!$C$17:$R$17,0),0),"")</f>
        <v/>
      </c>
      <c r="X115" s="140" t="str">
        <f>IFERROR(VLOOKUP($C115,'NEW MODEL BY SES'!$C$19:$R$242,MATCH('SeS in Retail Sales Areas'!X$7,'NEW MODEL BY SES'!$C$17:$R$17,0),0),"")</f>
        <v/>
      </c>
      <c r="Z115" s="57"/>
    </row>
    <row r="116" spans="1:26">
      <c r="A116" t="s">
        <v>1038</v>
      </c>
      <c r="B116" s="57">
        <v>154</v>
      </c>
      <c r="C116" t="s">
        <v>1046</v>
      </c>
      <c r="D116" t="s">
        <v>38</v>
      </c>
      <c r="E116"/>
      <c r="F116" s="140" t="str">
        <f>IFERROR(VLOOKUP($C116,'NEW MODEL BY SES'!$C$19:$R$242,MATCH('SeS in Retail Sales Areas'!F$7,'NEW MODEL BY SES'!$C$17:$R$17,0),0),"")</f>
        <v/>
      </c>
      <c r="G116" s="140" t="str">
        <f>IFERROR(VLOOKUP($C116,'NEW MODEL BY SES'!$C$19:$R$242,MATCH('SeS in Retail Sales Areas'!G$7,'NEW MODEL BY SES'!$C$17:$R$17,0),0),"")</f>
        <v/>
      </c>
      <c r="H116" s="142" t="str">
        <f>IFERROR(VLOOKUP($C116,'NEW MODEL BY SES'!$C$19:$R$242,MATCH('SeS in Retail Sales Areas'!H$7,'NEW MODEL BY SES'!$C$17:$R$17,0),0),"")</f>
        <v/>
      </c>
      <c r="I116" s="140" t="str">
        <f>IFERROR(VLOOKUP($C116,'NEW MODEL BY SES'!$C$19:$R$242,MATCH('SeS in Retail Sales Areas'!I$7,'NEW MODEL BY SES'!$C$17:$R$17,0),0),"")</f>
        <v/>
      </c>
      <c r="J116" s="142" t="str">
        <f>IFERROR(VLOOKUP($C116,'NEW MODEL BY SES'!$C$19:$R$242,MATCH('SeS in Retail Sales Areas'!J$7,'NEW MODEL BY SES'!$C$17:$R$17,0),0),"")</f>
        <v/>
      </c>
      <c r="K116" s="140" t="str">
        <f>IFERROR(VLOOKUP($C116,'NEW MODEL BY SES'!$C$19:$R$242,MATCH('SeS in Retail Sales Areas'!K$7,'NEW MODEL BY SES'!$C$17:$R$17,0),0),"")</f>
        <v/>
      </c>
      <c r="L116" s="142" t="str">
        <f>IFERROR(VLOOKUP($C116,'NEW MODEL BY SES'!$C$19:$R$242,MATCH('SeS in Retail Sales Areas'!L$7,'NEW MODEL BY SES'!$C$17:$R$17,0),0),"")</f>
        <v/>
      </c>
      <c r="M116" s="140" t="str">
        <f>IFERROR(VLOOKUP($C116,'NEW MODEL BY SES'!$C$19:$R$242,MATCH('SeS in Retail Sales Areas'!M$7,'NEW MODEL BY SES'!$C$17:$R$17,0),0),"")</f>
        <v/>
      </c>
      <c r="N116" s="142" t="str">
        <f>IFERROR(VLOOKUP($C116,'NEW MODEL BY SES'!$C$19:$R$242,MATCH('SeS in Retail Sales Areas'!N$7,'NEW MODEL BY SES'!$C$17:$R$17,0),0),"")</f>
        <v/>
      </c>
      <c r="O116" s="140" t="str">
        <f>IFERROR(VLOOKUP($C116,'NEW MODEL BY SES'!$C$19:$R$242,MATCH('SeS in Retail Sales Areas'!O$7,'NEW MODEL BY SES'!$C$17:$R$17,0),0),"")</f>
        <v/>
      </c>
      <c r="P116" s="142" t="str">
        <f>IFERROR(VLOOKUP($C116,'NEW MODEL BY SES'!$C$19:$R$242,MATCH('SeS in Retail Sales Areas'!P$7,'NEW MODEL BY SES'!$C$17:$R$17,0),0),"")</f>
        <v/>
      </c>
      <c r="Q116" s="140" t="str">
        <f>IFERROR(VLOOKUP($C116,'NEW MODEL BY SES'!$C$19:$R$242,MATCH('SeS in Retail Sales Areas'!Q$7,'NEW MODEL BY SES'!$C$17:$R$17,0),0),"")</f>
        <v/>
      </c>
      <c r="R116" s="142" t="str">
        <f>IFERROR(VLOOKUP($C116,'NEW MODEL BY SES'!$C$19:$R$242,MATCH('SeS in Retail Sales Areas'!R$7,'NEW MODEL BY SES'!$C$17:$R$17,0),0),"")</f>
        <v/>
      </c>
      <c r="S116" s="141" t="str">
        <f>IFERROR(VLOOKUP($C116,'NEW MODEL BY SES'!$C$19:$R$242,MATCH('SeS in Retail Sales Areas'!S$7,'NEW MODEL BY SES'!$C$17:$R$17,0),0),"")</f>
        <v/>
      </c>
      <c r="T116" s="140" t="str">
        <f>IFERROR(VLOOKUP($C116,'NEW MODEL BY SES'!$C$19:$R$242,MATCH('SeS in Retail Sales Areas'!T$7,'NEW MODEL BY SES'!$C$17:$R$17,0),0),"")</f>
        <v/>
      </c>
      <c r="U116" s="142" t="str">
        <f>IFERROR(VLOOKUP($C116,'NEW MODEL BY SES'!$C$19:$R$242,MATCH('SeS in Retail Sales Areas'!U$7,'NEW MODEL BY SES'!$C$17:$R$17,0),0),"")</f>
        <v/>
      </c>
      <c r="V116" s="140" t="str">
        <f>IFERROR(VLOOKUP($C116,'NEW MODEL BY SES'!$C$19:$R$242,MATCH('SeS in Retail Sales Areas'!V$7,'NEW MODEL BY SES'!$C$17:$R$17,0),0),"")</f>
        <v/>
      </c>
      <c r="W116" s="141" t="str">
        <f>IFERROR(VLOOKUP($C116,'NEW MODEL BY SES'!$C$19:$R$242,MATCH('SeS in Retail Sales Areas'!W$7,'NEW MODEL BY SES'!$C$17:$R$17,0),0),"")</f>
        <v/>
      </c>
      <c r="X116" s="140" t="str">
        <f>IFERROR(VLOOKUP($C116,'NEW MODEL BY SES'!$C$19:$R$242,MATCH('SeS in Retail Sales Areas'!X$7,'NEW MODEL BY SES'!$C$17:$R$17,0),0),"")</f>
        <v/>
      </c>
      <c r="Z116" s="57"/>
    </row>
    <row r="117" spans="1:26">
      <c r="A117" t="s">
        <v>1038</v>
      </c>
      <c r="B117" s="57">
        <v>154</v>
      </c>
      <c r="C117" t="s">
        <v>1047</v>
      </c>
      <c r="D117" t="s">
        <v>38</v>
      </c>
      <c r="E117"/>
      <c r="F117" s="140" t="str">
        <f>IFERROR(VLOOKUP($C117,'NEW MODEL BY SES'!$C$19:$R$242,MATCH('SeS in Retail Sales Areas'!F$7,'NEW MODEL BY SES'!$C$17:$R$17,0),0),"")</f>
        <v/>
      </c>
      <c r="G117" s="140" t="str">
        <f>IFERROR(VLOOKUP($C117,'NEW MODEL BY SES'!$C$19:$R$242,MATCH('SeS in Retail Sales Areas'!G$7,'NEW MODEL BY SES'!$C$17:$R$17,0),0),"")</f>
        <v/>
      </c>
      <c r="H117" s="142" t="str">
        <f>IFERROR(VLOOKUP($C117,'NEW MODEL BY SES'!$C$19:$R$242,MATCH('SeS in Retail Sales Areas'!H$7,'NEW MODEL BY SES'!$C$17:$R$17,0),0),"")</f>
        <v/>
      </c>
      <c r="I117" s="140" t="str">
        <f>IFERROR(VLOOKUP($C117,'NEW MODEL BY SES'!$C$19:$R$242,MATCH('SeS in Retail Sales Areas'!I$7,'NEW MODEL BY SES'!$C$17:$R$17,0),0),"")</f>
        <v/>
      </c>
      <c r="J117" s="142" t="str">
        <f>IFERROR(VLOOKUP($C117,'NEW MODEL BY SES'!$C$19:$R$242,MATCH('SeS in Retail Sales Areas'!J$7,'NEW MODEL BY SES'!$C$17:$R$17,0),0),"")</f>
        <v/>
      </c>
      <c r="K117" s="140" t="str">
        <f>IFERROR(VLOOKUP($C117,'NEW MODEL BY SES'!$C$19:$R$242,MATCH('SeS in Retail Sales Areas'!K$7,'NEW MODEL BY SES'!$C$17:$R$17,0),0),"")</f>
        <v/>
      </c>
      <c r="L117" s="142" t="str">
        <f>IFERROR(VLOOKUP($C117,'NEW MODEL BY SES'!$C$19:$R$242,MATCH('SeS in Retail Sales Areas'!L$7,'NEW MODEL BY SES'!$C$17:$R$17,0),0),"")</f>
        <v/>
      </c>
      <c r="M117" s="140" t="str">
        <f>IFERROR(VLOOKUP($C117,'NEW MODEL BY SES'!$C$19:$R$242,MATCH('SeS in Retail Sales Areas'!M$7,'NEW MODEL BY SES'!$C$17:$R$17,0),0),"")</f>
        <v/>
      </c>
      <c r="N117" s="142" t="str">
        <f>IFERROR(VLOOKUP($C117,'NEW MODEL BY SES'!$C$19:$R$242,MATCH('SeS in Retail Sales Areas'!N$7,'NEW MODEL BY SES'!$C$17:$R$17,0),0),"")</f>
        <v/>
      </c>
      <c r="O117" s="140" t="str">
        <f>IFERROR(VLOOKUP($C117,'NEW MODEL BY SES'!$C$19:$R$242,MATCH('SeS in Retail Sales Areas'!O$7,'NEW MODEL BY SES'!$C$17:$R$17,0),0),"")</f>
        <v/>
      </c>
      <c r="P117" s="142" t="str">
        <f>IFERROR(VLOOKUP($C117,'NEW MODEL BY SES'!$C$19:$R$242,MATCH('SeS in Retail Sales Areas'!P$7,'NEW MODEL BY SES'!$C$17:$R$17,0),0),"")</f>
        <v/>
      </c>
      <c r="Q117" s="140" t="str">
        <f>IFERROR(VLOOKUP($C117,'NEW MODEL BY SES'!$C$19:$R$242,MATCH('SeS in Retail Sales Areas'!Q$7,'NEW MODEL BY SES'!$C$17:$R$17,0),0),"")</f>
        <v/>
      </c>
      <c r="R117" s="142" t="str">
        <f>IFERROR(VLOOKUP($C117,'NEW MODEL BY SES'!$C$19:$R$242,MATCH('SeS in Retail Sales Areas'!R$7,'NEW MODEL BY SES'!$C$17:$R$17,0),0),"")</f>
        <v/>
      </c>
      <c r="S117" s="141" t="str">
        <f>IFERROR(VLOOKUP($C117,'NEW MODEL BY SES'!$C$19:$R$242,MATCH('SeS in Retail Sales Areas'!S$7,'NEW MODEL BY SES'!$C$17:$R$17,0),0),"")</f>
        <v/>
      </c>
      <c r="T117" s="140" t="str">
        <f>IFERROR(VLOOKUP($C117,'NEW MODEL BY SES'!$C$19:$R$242,MATCH('SeS in Retail Sales Areas'!T$7,'NEW MODEL BY SES'!$C$17:$R$17,0),0),"")</f>
        <v/>
      </c>
      <c r="U117" s="142" t="str">
        <f>IFERROR(VLOOKUP($C117,'NEW MODEL BY SES'!$C$19:$R$242,MATCH('SeS in Retail Sales Areas'!U$7,'NEW MODEL BY SES'!$C$17:$R$17,0),0),"")</f>
        <v/>
      </c>
      <c r="V117" s="140" t="str">
        <f>IFERROR(VLOOKUP($C117,'NEW MODEL BY SES'!$C$19:$R$242,MATCH('SeS in Retail Sales Areas'!V$7,'NEW MODEL BY SES'!$C$17:$R$17,0),0),"")</f>
        <v/>
      </c>
      <c r="W117" s="141" t="str">
        <f>IFERROR(VLOOKUP($C117,'NEW MODEL BY SES'!$C$19:$R$242,MATCH('SeS in Retail Sales Areas'!W$7,'NEW MODEL BY SES'!$C$17:$R$17,0),0),"")</f>
        <v/>
      </c>
      <c r="X117" s="140" t="str">
        <f>IFERROR(VLOOKUP($C117,'NEW MODEL BY SES'!$C$19:$R$242,MATCH('SeS in Retail Sales Areas'!X$7,'NEW MODEL BY SES'!$C$17:$R$17,0),0),"")</f>
        <v/>
      </c>
      <c r="Z117" s="57"/>
    </row>
    <row r="118" spans="1:26">
      <c r="A118" t="s">
        <v>1038</v>
      </c>
      <c r="B118" s="57">
        <v>153</v>
      </c>
      <c r="C118" t="s">
        <v>1048</v>
      </c>
      <c r="D118" t="s">
        <v>38</v>
      </c>
      <c r="E118"/>
      <c r="F118" s="140" t="str">
        <f>IFERROR(VLOOKUP($C118,'NEW MODEL BY SES'!$C$19:$R$242,MATCH('SeS in Retail Sales Areas'!F$7,'NEW MODEL BY SES'!$C$17:$R$17,0),0),"")</f>
        <v/>
      </c>
      <c r="G118" s="140" t="str">
        <f>IFERROR(VLOOKUP($C118,'NEW MODEL BY SES'!$C$19:$R$242,MATCH('SeS in Retail Sales Areas'!G$7,'NEW MODEL BY SES'!$C$17:$R$17,0),0),"")</f>
        <v/>
      </c>
      <c r="H118" s="142" t="str">
        <f>IFERROR(VLOOKUP($C118,'NEW MODEL BY SES'!$C$19:$R$242,MATCH('SeS in Retail Sales Areas'!H$7,'NEW MODEL BY SES'!$C$17:$R$17,0),0),"")</f>
        <v/>
      </c>
      <c r="I118" s="140" t="str">
        <f>IFERROR(VLOOKUP($C118,'NEW MODEL BY SES'!$C$19:$R$242,MATCH('SeS in Retail Sales Areas'!I$7,'NEW MODEL BY SES'!$C$17:$R$17,0),0),"")</f>
        <v/>
      </c>
      <c r="J118" s="142" t="str">
        <f>IFERROR(VLOOKUP($C118,'NEW MODEL BY SES'!$C$19:$R$242,MATCH('SeS in Retail Sales Areas'!J$7,'NEW MODEL BY SES'!$C$17:$R$17,0),0),"")</f>
        <v/>
      </c>
      <c r="K118" s="140" t="str">
        <f>IFERROR(VLOOKUP($C118,'NEW MODEL BY SES'!$C$19:$R$242,MATCH('SeS in Retail Sales Areas'!K$7,'NEW MODEL BY SES'!$C$17:$R$17,0),0),"")</f>
        <v/>
      </c>
      <c r="L118" s="142" t="str">
        <f>IFERROR(VLOOKUP($C118,'NEW MODEL BY SES'!$C$19:$R$242,MATCH('SeS in Retail Sales Areas'!L$7,'NEW MODEL BY SES'!$C$17:$R$17,0),0),"")</f>
        <v/>
      </c>
      <c r="M118" s="140" t="str">
        <f>IFERROR(VLOOKUP($C118,'NEW MODEL BY SES'!$C$19:$R$242,MATCH('SeS in Retail Sales Areas'!M$7,'NEW MODEL BY SES'!$C$17:$R$17,0),0),"")</f>
        <v/>
      </c>
      <c r="N118" s="142" t="str">
        <f>IFERROR(VLOOKUP($C118,'NEW MODEL BY SES'!$C$19:$R$242,MATCH('SeS in Retail Sales Areas'!N$7,'NEW MODEL BY SES'!$C$17:$R$17,0),0),"")</f>
        <v/>
      </c>
      <c r="O118" s="140" t="str">
        <f>IFERROR(VLOOKUP($C118,'NEW MODEL BY SES'!$C$19:$R$242,MATCH('SeS in Retail Sales Areas'!O$7,'NEW MODEL BY SES'!$C$17:$R$17,0),0),"")</f>
        <v/>
      </c>
      <c r="P118" s="142" t="str">
        <f>IFERROR(VLOOKUP($C118,'NEW MODEL BY SES'!$C$19:$R$242,MATCH('SeS in Retail Sales Areas'!P$7,'NEW MODEL BY SES'!$C$17:$R$17,0),0),"")</f>
        <v/>
      </c>
      <c r="Q118" s="140" t="str">
        <f>IFERROR(VLOOKUP($C118,'NEW MODEL BY SES'!$C$19:$R$242,MATCH('SeS in Retail Sales Areas'!Q$7,'NEW MODEL BY SES'!$C$17:$R$17,0),0),"")</f>
        <v/>
      </c>
      <c r="R118" s="142" t="str">
        <f>IFERROR(VLOOKUP($C118,'NEW MODEL BY SES'!$C$19:$R$242,MATCH('SeS in Retail Sales Areas'!R$7,'NEW MODEL BY SES'!$C$17:$R$17,0),0),"")</f>
        <v/>
      </c>
      <c r="S118" s="141" t="str">
        <f>IFERROR(VLOOKUP($C118,'NEW MODEL BY SES'!$C$19:$R$242,MATCH('SeS in Retail Sales Areas'!S$7,'NEW MODEL BY SES'!$C$17:$R$17,0),0),"")</f>
        <v/>
      </c>
      <c r="T118" s="140" t="str">
        <f>IFERROR(VLOOKUP($C118,'NEW MODEL BY SES'!$C$19:$R$242,MATCH('SeS in Retail Sales Areas'!T$7,'NEW MODEL BY SES'!$C$17:$R$17,0),0),"")</f>
        <v/>
      </c>
      <c r="U118" s="142" t="str">
        <f>IFERROR(VLOOKUP($C118,'NEW MODEL BY SES'!$C$19:$R$242,MATCH('SeS in Retail Sales Areas'!U$7,'NEW MODEL BY SES'!$C$17:$R$17,0),0),"")</f>
        <v/>
      </c>
      <c r="V118" s="140" t="str">
        <f>IFERROR(VLOOKUP($C118,'NEW MODEL BY SES'!$C$19:$R$242,MATCH('SeS in Retail Sales Areas'!V$7,'NEW MODEL BY SES'!$C$17:$R$17,0),0),"")</f>
        <v/>
      </c>
      <c r="W118" s="141" t="str">
        <f>IFERROR(VLOOKUP($C118,'NEW MODEL BY SES'!$C$19:$R$242,MATCH('SeS in Retail Sales Areas'!W$7,'NEW MODEL BY SES'!$C$17:$R$17,0),0),"")</f>
        <v/>
      </c>
      <c r="X118" s="140" t="str">
        <f>IFERROR(VLOOKUP($C118,'NEW MODEL BY SES'!$C$19:$R$242,MATCH('SeS in Retail Sales Areas'!X$7,'NEW MODEL BY SES'!$C$17:$R$17,0),0),"")</f>
        <v/>
      </c>
      <c r="Z118" s="57"/>
    </row>
    <row r="119" spans="1:26">
      <c r="A119" t="s">
        <v>1038</v>
      </c>
      <c r="B119" s="57">
        <v>124</v>
      </c>
      <c r="C119" t="s">
        <v>1049</v>
      </c>
      <c r="D119" t="s">
        <v>38</v>
      </c>
      <c r="E119"/>
      <c r="F119" s="140" t="str">
        <f>IFERROR(VLOOKUP($C119,'NEW MODEL BY SES'!$C$19:$R$242,MATCH('SeS in Retail Sales Areas'!F$7,'NEW MODEL BY SES'!$C$17:$R$17,0),0),"")</f>
        <v/>
      </c>
      <c r="G119" s="140" t="str">
        <f>IFERROR(VLOOKUP($C119,'NEW MODEL BY SES'!$C$19:$R$242,MATCH('SeS in Retail Sales Areas'!G$7,'NEW MODEL BY SES'!$C$17:$R$17,0),0),"")</f>
        <v/>
      </c>
      <c r="H119" s="142" t="str">
        <f>IFERROR(VLOOKUP($C119,'NEW MODEL BY SES'!$C$19:$R$242,MATCH('SeS in Retail Sales Areas'!H$7,'NEW MODEL BY SES'!$C$17:$R$17,0),0),"")</f>
        <v/>
      </c>
      <c r="I119" s="140" t="str">
        <f>IFERROR(VLOOKUP($C119,'NEW MODEL BY SES'!$C$19:$R$242,MATCH('SeS in Retail Sales Areas'!I$7,'NEW MODEL BY SES'!$C$17:$R$17,0),0),"")</f>
        <v/>
      </c>
      <c r="J119" s="142" t="str">
        <f>IFERROR(VLOOKUP($C119,'NEW MODEL BY SES'!$C$19:$R$242,MATCH('SeS in Retail Sales Areas'!J$7,'NEW MODEL BY SES'!$C$17:$R$17,0),0),"")</f>
        <v/>
      </c>
      <c r="K119" s="140" t="str">
        <f>IFERROR(VLOOKUP($C119,'NEW MODEL BY SES'!$C$19:$R$242,MATCH('SeS in Retail Sales Areas'!K$7,'NEW MODEL BY SES'!$C$17:$R$17,0),0),"")</f>
        <v/>
      </c>
      <c r="L119" s="142" t="str">
        <f>IFERROR(VLOOKUP($C119,'NEW MODEL BY SES'!$C$19:$R$242,MATCH('SeS in Retail Sales Areas'!L$7,'NEW MODEL BY SES'!$C$17:$R$17,0),0),"")</f>
        <v/>
      </c>
      <c r="M119" s="140" t="str">
        <f>IFERROR(VLOOKUP($C119,'NEW MODEL BY SES'!$C$19:$R$242,MATCH('SeS in Retail Sales Areas'!M$7,'NEW MODEL BY SES'!$C$17:$R$17,0),0),"")</f>
        <v/>
      </c>
      <c r="N119" s="142" t="str">
        <f>IFERROR(VLOOKUP($C119,'NEW MODEL BY SES'!$C$19:$R$242,MATCH('SeS in Retail Sales Areas'!N$7,'NEW MODEL BY SES'!$C$17:$R$17,0),0),"")</f>
        <v/>
      </c>
      <c r="O119" s="140" t="str">
        <f>IFERROR(VLOOKUP($C119,'NEW MODEL BY SES'!$C$19:$R$242,MATCH('SeS in Retail Sales Areas'!O$7,'NEW MODEL BY SES'!$C$17:$R$17,0),0),"")</f>
        <v/>
      </c>
      <c r="P119" s="142" t="str">
        <f>IFERROR(VLOOKUP($C119,'NEW MODEL BY SES'!$C$19:$R$242,MATCH('SeS in Retail Sales Areas'!P$7,'NEW MODEL BY SES'!$C$17:$R$17,0),0),"")</f>
        <v/>
      </c>
      <c r="Q119" s="140" t="str">
        <f>IFERROR(VLOOKUP($C119,'NEW MODEL BY SES'!$C$19:$R$242,MATCH('SeS in Retail Sales Areas'!Q$7,'NEW MODEL BY SES'!$C$17:$R$17,0),0),"")</f>
        <v/>
      </c>
      <c r="R119" s="142" t="str">
        <f>IFERROR(VLOOKUP($C119,'NEW MODEL BY SES'!$C$19:$R$242,MATCH('SeS in Retail Sales Areas'!R$7,'NEW MODEL BY SES'!$C$17:$R$17,0),0),"")</f>
        <v/>
      </c>
      <c r="S119" s="141" t="str">
        <f>IFERROR(VLOOKUP($C119,'NEW MODEL BY SES'!$C$19:$R$242,MATCH('SeS in Retail Sales Areas'!S$7,'NEW MODEL BY SES'!$C$17:$R$17,0),0),"")</f>
        <v/>
      </c>
      <c r="T119" s="140" t="str">
        <f>IFERROR(VLOOKUP($C119,'NEW MODEL BY SES'!$C$19:$R$242,MATCH('SeS in Retail Sales Areas'!T$7,'NEW MODEL BY SES'!$C$17:$R$17,0),0),"")</f>
        <v/>
      </c>
      <c r="U119" s="142" t="str">
        <f>IFERROR(VLOOKUP($C119,'NEW MODEL BY SES'!$C$19:$R$242,MATCH('SeS in Retail Sales Areas'!U$7,'NEW MODEL BY SES'!$C$17:$R$17,0),0),"")</f>
        <v/>
      </c>
      <c r="V119" s="140" t="str">
        <f>IFERROR(VLOOKUP($C119,'NEW MODEL BY SES'!$C$19:$R$242,MATCH('SeS in Retail Sales Areas'!V$7,'NEW MODEL BY SES'!$C$17:$R$17,0),0),"")</f>
        <v/>
      </c>
      <c r="W119" s="141" t="str">
        <f>IFERROR(VLOOKUP($C119,'NEW MODEL BY SES'!$C$19:$R$242,MATCH('SeS in Retail Sales Areas'!W$7,'NEW MODEL BY SES'!$C$17:$R$17,0),0),"")</f>
        <v/>
      </c>
      <c r="X119" s="140" t="str">
        <f>IFERROR(VLOOKUP($C119,'NEW MODEL BY SES'!$C$19:$R$242,MATCH('SeS in Retail Sales Areas'!X$7,'NEW MODEL BY SES'!$C$17:$R$17,0),0),"")</f>
        <v/>
      </c>
      <c r="Z119" s="57"/>
    </row>
    <row r="120" spans="1:26">
      <c r="A120" t="s">
        <v>1038</v>
      </c>
      <c r="B120" s="57">
        <v>110</v>
      </c>
      <c r="C120" t="s">
        <v>1050</v>
      </c>
      <c r="D120" t="s">
        <v>40</v>
      </c>
      <c r="E120"/>
      <c r="F120" s="140" t="str">
        <f>IFERROR(VLOOKUP($C120,'NEW MODEL BY SES'!$C$19:$R$242,MATCH('SeS in Retail Sales Areas'!F$7,'NEW MODEL BY SES'!$C$17:$R$17,0),0),"")</f>
        <v/>
      </c>
      <c r="G120" s="140" t="str">
        <f>IFERROR(VLOOKUP($C120,'NEW MODEL BY SES'!$C$19:$R$242,MATCH('SeS in Retail Sales Areas'!G$7,'NEW MODEL BY SES'!$C$17:$R$17,0),0),"")</f>
        <v/>
      </c>
      <c r="H120" s="142" t="str">
        <f>IFERROR(VLOOKUP($C120,'NEW MODEL BY SES'!$C$19:$R$242,MATCH('SeS in Retail Sales Areas'!H$7,'NEW MODEL BY SES'!$C$17:$R$17,0),0),"")</f>
        <v/>
      </c>
      <c r="I120" s="140" t="str">
        <f>IFERROR(VLOOKUP($C120,'NEW MODEL BY SES'!$C$19:$R$242,MATCH('SeS in Retail Sales Areas'!I$7,'NEW MODEL BY SES'!$C$17:$R$17,0),0),"")</f>
        <v/>
      </c>
      <c r="J120" s="142" t="str">
        <f>IFERROR(VLOOKUP($C120,'NEW MODEL BY SES'!$C$19:$R$242,MATCH('SeS in Retail Sales Areas'!J$7,'NEW MODEL BY SES'!$C$17:$R$17,0),0),"")</f>
        <v/>
      </c>
      <c r="K120" s="140" t="str">
        <f>IFERROR(VLOOKUP($C120,'NEW MODEL BY SES'!$C$19:$R$242,MATCH('SeS in Retail Sales Areas'!K$7,'NEW MODEL BY SES'!$C$17:$R$17,0),0),"")</f>
        <v/>
      </c>
      <c r="L120" s="142" t="str">
        <f>IFERROR(VLOOKUP($C120,'NEW MODEL BY SES'!$C$19:$R$242,MATCH('SeS in Retail Sales Areas'!L$7,'NEW MODEL BY SES'!$C$17:$R$17,0),0),"")</f>
        <v/>
      </c>
      <c r="M120" s="140" t="str">
        <f>IFERROR(VLOOKUP($C120,'NEW MODEL BY SES'!$C$19:$R$242,MATCH('SeS in Retail Sales Areas'!M$7,'NEW MODEL BY SES'!$C$17:$R$17,0),0),"")</f>
        <v/>
      </c>
      <c r="N120" s="142" t="str">
        <f>IFERROR(VLOOKUP($C120,'NEW MODEL BY SES'!$C$19:$R$242,MATCH('SeS in Retail Sales Areas'!N$7,'NEW MODEL BY SES'!$C$17:$R$17,0),0),"")</f>
        <v/>
      </c>
      <c r="O120" s="140" t="str">
        <f>IFERROR(VLOOKUP($C120,'NEW MODEL BY SES'!$C$19:$R$242,MATCH('SeS in Retail Sales Areas'!O$7,'NEW MODEL BY SES'!$C$17:$R$17,0),0),"")</f>
        <v/>
      </c>
      <c r="P120" s="142" t="str">
        <f>IFERROR(VLOOKUP($C120,'NEW MODEL BY SES'!$C$19:$R$242,MATCH('SeS in Retail Sales Areas'!P$7,'NEW MODEL BY SES'!$C$17:$R$17,0),0),"")</f>
        <v/>
      </c>
      <c r="Q120" s="140" t="str">
        <f>IFERROR(VLOOKUP($C120,'NEW MODEL BY SES'!$C$19:$R$242,MATCH('SeS in Retail Sales Areas'!Q$7,'NEW MODEL BY SES'!$C$17:$R$17,0),0),"")</f>
        <v/>
      </c>
      <c r="R120" s="142" t="str">
        <f>IFERROR(VLOOKUP($C120,'NEW MODEL BY SES'!$C$19:$R$242,MATCH('SeS in Retail Sales Areas'!R$7,'NEW MODEL BY SES'!$C$17:$R$17,0),0),"")</f>
        <v/>
      </c>
      <c r="S120" s="141" t="str">
        <f>IFERROR(VLOOKUP($C120,'NEW MODEL BY SES'!$C$19:$R$242,MATCH('SeS in Retail Sales Areas'!S$7,'NEW MODEL BY SES'!$C$17:$R$17,0),0),"")</f>
        <v/>
      </c>
      <c r="T120" s="140" t="str">
        <f>IFERROR(VLOOKUP($C120,'NEW MODEL BY SES'!$C$19:$R$242,MATCH('SeS in Retail Sales Areas'!T$7,'NEW MODEL BY SES'!$C$17:$R$17,0),0),"")</f>
        <v/>
      </c>
      <c r="U120" s="142" t="str">
        <f>IFERROR(VLOOKUP($C120,'NEW MODEL BY SES'!$C$19:$R$242,MATCH('SeS in Retail Sales Areas'!U$7,'NEW MODEL BY SES'!$C$17:$R$17,0),0),"")</f>
        <v/>
      </c>
      <c r="V120" s="140" t="str">
        <f>IFERROR(VLOOKUP($C120,'NEW MODEL BY SES'!$C$19:$R$242,MATCH('SeS in Retail Sales Areas'!V$7,'NEW MODEL BY SES'!$C$17:$R$17,0),0),"")</f>
        <v/>
      </c>
      <c r="W120" s="141" t="str">
        <f>IFERROR(VLOOKUP($C120,'NEW MODEL BY SES'!$C$19:$R$242,MATCH('SeS in Retail Sales Areas'!W$7,'NEW MODEL BY SES'!$C$17:$R$17,0),0),"")</f>
        <v/>
      </c>
      <c r="X120" s="140" t="str">
        <f>IFERROR(VLOOKUP($C120,'NEW MODEL BY SES'!$C$19:$R$242,MATCH('SeS in Retail Sales Areas'!X$7,'NEW MODEL BY SES'!$C$17:$R$17,0),0),"")</f>
        <v/>
      </c>
      <c r="Z120" s="57"/>
    </row>
    <row r="121" spans="1:26">
      <c r="A121" t="s">
        <v>1038</v>
      </c>
      <c r="B121" s="57">
        <v>105</v>
      </c>
      <c r="C121" t="s">
        <v>1051</v>
      </c>
      <c r="D121" t="s">
        <v>40</v>
      </c>
      <c r="E121"/>
      <c r="F121" s="140" t="str">
        <f>IFERROR(VLOOKUP($C121,'NEW MODEL BY SES'!$C$19:$R$242,MATCH('SeS in Retail Sales Areas'!F$7,'NEW MODEL BY SES'!$C$17:$R$17,0),0),"")</f>
        <v/>
      </c>
      <c r="G121" s="140" t="str">
        <f>IFERROR(VLOOKUP($C121,'NEW MODEL BY SES'!$C$19:$R$242,MATCH('SeS in Retail Sales Areas'!G$7,'NEW MODEL BY SES'!$C$17:$R$17,0),0),"")</f>
        <v/>
      </c>
      <c r="H121" s="142" t="str">
        <f>IFERROR(VLOOKUP($C121,'NEW MODEL BY SES'!$C$19:$R$242,MATCH('SeS in Retail Sales Areas'!H$7,'NEW MODEL BY SES'!$C$17:$R$17,0),0),"")</f>
        <v/>
      </c>
      <c r="I121" s="140" t="str">
        <f>IFERROR(VLOOKUP($C121,'NEW MODEL BY SES'!$C$19:$R$242,MATCH('SeS in Retail Sales Areas'!I$7,'NEW MODEL BY SES'!$C$17:$R$17,0),0),"")</f>
        <v/>
      </c>
      <c r="J121" s="142" t="str">
        <f>IFERROR(VLOOKUP($C121,'NEW MODEL BY SES'!$C$19:$R$242,MATCH('SeS in Retail Sales Areas'!J$7,'NEW MODEL BY SES'!$C$17:$R$17,0),0),"")</f>
        <v/>
      </c>
      <c r="K121" s="140" t="str">
        <f>IFERROR(VLOOKUP($C121,'NEW MODEL BY SES'!$C$19:$R$242,MATCH('SeS in Retail Sales Areas'!K$7,'NEW MODEL BY SES'!$C$17:$R$17,0),0),"")</f>
        <v/>
      </c>
      <c r="L121" s="142" t="str">
        <f>IFERROR(VLOOKUP($C121,'NEW MODEL BY SES'!$C$19:$R$242,MATCH('SeS in Retail Sales Areas'!L$7,'NEW MODEL BY SES'!$C$17:$R$17,0),0),"")</f>
        <v/>
      </c>
      <c r="M121" s="140" t="str">
        <f>IFERROR(VLOOKUP($C121,'NEW MODEL BY SES'!$C$19:$R$242,MATCH('SeS in Retail Sales Areas'!M$7,'NEW MODEL BY SES'!$C$17:$R$17,0),0),"")</f>
        <v/>
      </c>
      <c r="N121" s="142" t="str">
        <f>IFERROR(VLOOKUP($C121,'NEW MODEL BY SES'!$C$19:$R$242,MATCH('SeS in Retail Sales Areas'!N$7,'NEW MODEL BY SES'!$C$17:$R$17,0),0),"")</f>
        <v/>
      </c>
      <c r="O121" s="140" t="str">
        <f>IFERROR(VLOOKUP($C121,'NEW MODEL BY SES'!$C$19:$R$242,MATCH('SeS in Retail Sales Areas'!O$7,'NEW MODEL BY SES'!$C$17:$R$17,0),0),"")</f>
        <v/>
      </c>
      <c r="P121" s="142" t="str">
        <f>IFERROR(VLOOKUP($C121,'NEW MODEL BY SES'!$C$19:$R$242,MATCH('SeS in Retail Sales Areas'!P$7,'NEW MODEL BY SES'!$C$17:$R$17,0),0),"")</f>
        <v/>
      </c>
      <c r="Q121" s="140" t="str">
        <f>IFERROR(VLOOKUP($C121,'NEW MODEL BY SES'!$C$19:$R$242,MATCH('SeS in Retail Sales Areas'!Q$7,'NEW MODEL BY SES'!$C$17:$R$17,0),0),"")</f>
        <v/>
      </c>
      <c r="R121" s="142" t="str">
        <f>IFERROR(VLOOKUP($C121,'NEW MODEL BY SES'!$C$19:$R$242,MATCH('SeS in Retail Sales Areas'!R$7,'NEW MODEL BY SES'!$C$17:$R$17,0),0),"")</f>
        <v/>
      </c>
      <c r="S121" s="141" t="str">
        <f>IFERROR(VLOOKUP($C121,'NEW MODEL BY SES'!$C$19:$R$242,MATCH('SeS in Retail Sales Areas'!S$7,'NEW MODEL BY SES'!$C$17:$R$17,0),0),"")</f>
        <v/>
      </c>
      <c r="T121" s="140" t="str">
        <f>IFERROR(VLOOKUP($C121,'NEW MODEL BY SES'!$C$19:$R$242,MATCH('SeS in Retail Sales Areas'!T$7,'NEW MODEL BY SES'!$C$17:$R$17,0),0),"")</f>
        <v/>
      </c>
      <c r="U121" s="142" t="str">
        <f>IFERROR(VLOOKUP($C121,'NEW MODEL BY SES'!$C$19:$R$242,MATCH('SeS in Retail Sales Areas'!U$7,'NEW MODEL BY SES'!$C$17:$R$17,0),0),"")</f>
        <v/>
      </c>
      <c r="V121" s="140" t="str">
        <f>IFERROR(VLOOKUP($C121,'NEW MODEL BY SES'!$C$19:$R$242,MATCH('SeS in Retail Sales Areas'!V$7,'NEW MODEL BY SES'!$C$17:$R$17,0),0),"")</f>
        <v/>
      </c>
      <c r="W121" s="141" t="str">
        <f>IFERROR(VLOOKUP($C121,'NEW MODEL BY SES'!$C$19:$R$242,MATCH('SeS in Retail Sales Areas'!W$7,'NEW MODEL BY SES'!$C$17:$R$17,0),0),"")</f>
        <v/>
      </c>
      <c r="X121" s="140" t="str">
        <f>IFERROR(VLOOKUP($C121,'NEW MODEL BY SES'!$C$19:$R$242,MATCH('SeS in Retail Sales Areas'!X$7,'NEW MODEL BY SES'!$C$17:$R$17,0),0),"")</f>
        <v/>
      </c>
      <c r="Z121" s="57"/>
    </row>
    <row r="122" spans="1:26">
      <c r="A122" t="s">
        <v>1038</v>
      </c>
      <c r="B122" s="57">
        <v>100</v>
      </c>
      <c r="C122" t="s">
        <v>1052</v>
      </c>
      <c r="D122" t="s">
        <v>40</v>
      </c>
      <c r="E122"/>
      <c r="F122" s="140" t="str">
        <f>IFERROR(VLOOKUP($C122,'NEW MODEL BY SES'!$C$19:$R$242,MATCH('SeS in Retail Sales Areas'!F$7,'NEW MODEL BY SES'!$C$17:$R$17,0),0),"")</f>
        <v/>
      </c>
      <c r="G122" s="140" t="str">
        <f>IFERROR(VLOOKUP($C122,'NEW MODEL BY SES'!$C$19:$R$242,MATCH('SeS in Retail Sales Areas'!G$7,'NEW MODEL BY SES'!$C$17:$R$17,0),0),"")</f>
        <v/>
      </c>
      <c r="H122" s="142" t="str">
        <f>IFERROR(VLOOKUP($C122,'NEW MODEL BY SES'!$C$19:$R$242,MATCH('SeS in Retail Sales Areas'!H$7,'NEW MODEL BY SES'!$C$17:$R$17,0),0),"")</f>
        <v/>
      </c>
      <c r="I122" s="140" t="str">
        <f>IFERROR(VLOOKUP($C122,'NEW MODEL BY SES'!$C$19:$R$242,MATCH('SeS in Retail Sales Areas'!I$7,'NEW MODEL BY SES'!$C$17:$R$17,0),0),"")</f>
        <v/>
      </c>
      <c r="J122" s="142" t="str">
        <f>IFERROR(VLOOKUP($C122,'NEW MODEL BY SES'!$C$19:$R$242,MATCH('SeS in Retail Sales Areas'!J$7,'NEW MODEL BY SES'!$C$17:$R$17,0),0),"")</f>
        <v/>
      </c>
      <c r="K122" s="140" t="str">
        <f>IFERROR(VLOOKUP($C122,'NEW MODEL BY SES'!$C$19:$R$242,MATCH('SeS in Retail Sales Areas'!K$7,'NEW MODEL BY SES'!$C$17:$R$17,0),0),"")</f>
        <v/>
      </c>
      <c r="L122" s="142" t="str">
        <f>IFERROR(VLOOKUP($C122,'NEW MODEL BY SES'!$C$19:$R$242,MATCH('SeS in Retail Sales Areas'!L$7,'NEW MODEL BY SES'!$C$17:$R$17,0),0),"")</f>
        <v/>
      </c>
      <c r="M122" s="140" t="str">
        <f>IFERROR(VLOOKUP($C122,'NEW MODEL BY SES'!$C$19:$R$242,MATCH('SeS in Retail Sales Areas'!M$7,'NEW MODEL BY SES'!$C$17:$R$17,0),0),"")</f>
        <v/>
      </c>
      <c r="N122" s="142" t="str">
        <f>IFERROR(VLOOKUP($C122,'NEW MODEL BY SES'!$C$19:$R$242,MATCH('SeS in Retail Sales Areas'!N$7,'NEW MODEL BY SES'!$C$17:$R$17,0),0),"")</f>
        <v/>
      </c>
      <c r="O122" s="140" t="str">
        <f>IFERROR(VLOOKUP($C122,'NEW MODEL BY SES'!$C$19:$R$242,MATCH('SeS in Retail Sales Areas'!O$7,'NEW MODEL BY SES'!$C$17:$R$17,0),0),"")</f>
        <v/>
      </c>
      <c r="P122" s="142" t="str">
        <f>IFERROR(VLOOKUP($C122,'NEW MODEL BY SES'!$C$19:$R$242,MATCH('SeS in Retail Sales Areas'!P$7,'NEW MODEL BY SES'!$C$17:$R$17,0),0),"")</f>
        <v/>
      </c>
      <c r="Q122" s="140" t="str">
        <f>IFERROR(VLOOKUP($C122,'NEW MODEL BY SES'!$C$19:$R$242,MATCH('SeS in Retail Sales Areas'!Q$7,'NEW MODEL BY SES'!$C$17:$R$17,0),0),"")</f>
        <v/>
      </c>
      <c r="R122" s="142" t="str">
        <f>IFERROR(VLOOKUP($C122,'NEW MODEL BY SES'!$C$19:$R$242,MATCH('SeS in Retail Sales Areas'!R$7,'NEW MODEL BY SES'!$C$17:$R$17,0),0),"")</f>
        <v/>
      </c>
      <c r="S122" s="141" t="str">
        <f>IFERROR(VLOOKUP($C122,'NEW MODEL BY SES'!$C$19:$R$242,MATCH('SeS in Retail Sales Areas'!S$7,'NEW MODEL BY SES'!$C$17:$R$17,0),0),"")</f>
        <v/>
      </c>
      <c r="T122" s="140" t="str">
        <f>IFERROR(VLOOKUP($C122,'NEW MODEL BY SES'!$C$19:$R$242,MATCH('SeS in Retail Sales Areas'!T$7,'NEW MODEL BY SES'!$C$17:$R$17,0),0),"")</f>
        <v/>
      </c>
      <c r="U122" s="142" t="str">
        <f>IFERROR(VLOOKUP($C122,'NEW MODEL BY SES'!$C$19:$R$242,MATCH('SeS in Retail Sales Areas'!U$7,'NEW MODEL BY SES'!$C$17:$R$17,0),0),"")</f>
        <v/>
      </c>
      <c r="V122" s="140" t="str">
        <f>IFERROR(VLOOKUP($C122,'NEW MODEL BY SES'!$C$19:$R$242,MATCH('SeS in Retail Sales Areas'!V$7,'NEW MODEL BY SES'!$C$17:$R$17,0),0),"")</f>
        <v/>
      </c>
      <c r="W122" s="141" t="str">
        <f>IFERROR(VLOOKUP($C122,'NEW MODEL BY SES'!$C$19:$R$242,MATCH('SeS in Retail Sales Areas'!W$7,'NEW MODEL BY SES'!$C$17:$R$17,0),0),"")</f>
        <v/>
      </c>
      <c r="X122" s="140" t="str">
        <f>IFERROR(VLOOKUP($C122,'NEW MODEL BY SES'!$C$19:$R$242,MATCH('SeS in Retail Sales Areas'!X$7,'NEW MODEL BY SES'!$C$17:$R$17,0),0),"")</f>
        <v/>
      </c>
      <c r="Z122" s="57"/>
    </row>
    <row r="123" spans="1:26">
      <c r="A123" t="s">
        <v>1038</v>
      </c>
      <c r="B123" s="57">
        <v>93</v>
      </c>
      <c r="C123" t="s">
        <v>1053</v>
      </c>
      <c r="D123" t="s">
        <v>40</v>
      </c>
      <c r="E123"/>
      <c r="F123" s="140" t="str">
        <f>IFERROR(VLOOKUP($C123,'NEW MODEL BY SES'!$C$19:$R$242,MATCH('SeS in Retail Sales Areas'!F$7,'NEW MODEL BY SES'!$C$17:$R$17,0),0),"")</f>
        <v/>
      </c>
      <c r="G123" s="140" t="str">
        <f>IFERROR(VLOOKUP($C123,'NEW MODEL BY SES'!$C$19:$R$242,MATCH('SeS in Retail Sales Areas'!G$7,'NEW MODEL BY SES'!$C$17:$R$17,0),0),"")</f>
        <v/>
      </c>
      <c r="H123" s="142" t="str">
        <f>IFERROR(VLOOKUP($C123,'NEW MODEL BY SES'!$C$19:$R$242,MATCH('SeS in Retail Sales Areas'!H$7,'NEW MODEL BY SES'!$C$17:$R$17,0),0),"")</f>
        <v/>
      </c>
      <c r="I123" s="140" t="str">
        <f>IFERROR(VLOOKUP($C123,'NEW MODEL BY SES'!$C$19:$R$242,MATCH('SeS in Retail Sales Areas'!I$7,'NEW MODEL BY SES'!$C$17:$R$17,0),0),"")</f>
        <v/>
      </c>
      <c r="J123" s="142" t="str">
        <f>IFERROR(VLOOKUP($C123,'NEW MODEL BY SES'!$C$19:$R$242,MATCH('SeS in Retail Sales Areas'!J$7,'NEW MODEL BY SES'!$C$17:$R$17,0),0),"")</f>
        <v/>
      </c>
      <c r="K123" s="140" t="str">
        <f>IFERROR(VLOOKUP($C123,'NEW MODEL BY SES'!$C$19:$R$242,MATCH('SeS in Retail Sales Areas'!K$7,'NEW MODEL BY SES'!$C$17:$R$17,0),0),"")</f>
        <v/>
      </c>
      <c r="L123" s="142" t="str">
        <f>IFERROR(VLOOKUP($C123,'NEW MODEL BY SES'!$C$19:$R$242,MATCH('SeS in Retail Sales Areas'!L$7,'NEW MODEL BY SES'!$C$17:$R$17,0),0),"")</f>
        <v/>
      </c>
      <c r="M123" s="140" t="str">
        <f>IFERROR(VLOOKUP($C123,'NEW MODEL BY SES'!$C$19:$R$242,MATCH('SeS in Retail Sales Areas'!M$7,'NEW MODEL BY SES'!$C$17:$R$17,0),0),"")</f>
        <v/>
      </c>
      <c r="N123" s="142" t="str">
        <f>IFERROR(VLOOKUP($C123,'NEW MODEL BY SES'!$C$19:$R$242,MATCH('SeS in Retail Sales Areas'!N$7,'NEW MODEL BY SES'!$C$17:$R$17,0),0),"")</f>
        <v/>
      </c>
      <c r="O123" s="140" t="str">
        <f>IFERROR(VLOOKUP($C123,'NEW MODEL BY SES'!$C$19:$R$242,MATCH('SeS in Retail Sales Areas'!O$7,'NEW MODEL BY SES'!$C$17:$R$17,0),0),"")</f>
        <v/>
      </c>
      <c r="P123" s="142" t="str">
        <f>IFERROR(VLOOKUP($C123,'NEW MODEL BY SES'!$C$19:$R$242,MATCH('SeS in Retail Sales Areas'!P$7,'NEW MODEL BY SES'!$C$17:$R$17,0),0),"")</f>
        <v/>
      </c>
      <c r="Q123" s="140" t="str">
        <f>IFERROR(VLOOKUP($C123,'NEW MODEL BY SES'!$C$19:$R$242,MATCH('SeS in Retail Sales Areas'!Q$7,'NEW MODEL BY SES'!$C$17:$R$17,0),0),"")</f>
        <v/>
      </c>
      <c r="R123" s="142" t="str">
        <f>IFERROR(VLOOKUP($C123,'NEW MODEL BY SES'!$C$19:$R$242,MATCH('SeS in Retail Sales Areas'!R$7,'NEW MODEL BY SES'!$C$17:$R$17,0),0),"")</f>
        <v/>
      </c>
      <c r="S123" s="141" t="str">
        <f>IFERROR(VLOOKUP($C123,'NEW MODEL BY SES'!$C$19:$R$242,MATCH('SeS in Retail Sales Areas'!S$7,'NEW MODEL BY SES'!$C$17:$R$17,0),0),"")</f>
        <v/>
      </c>
      <c r="T123" s="140" t="str">
        <f>IFERROR(VLOOKUP($C123,'NEW MODEL BY SES'!$C$19:$R$242,MATCH('SeS in Retail Sales Areas'!T$7,'NEW MODEL BY SES'!$C$17:$R$17,0),0),"")</f>
        <v/>
      </c>
      <c r="U123" s="142" t="str">
        <f>IFERROR(VLOOKUP($C123,'NEW MODEL BY SES'!$C$19:$R$242,MATCH('SeS in Retail Sales Areas'!U$7,'NEW MODEL BY SES'!$C$17:$R$17,0),0),"")</f>
        <v/>
      </c>
      <c r="V123" s="140" t="str">
        <f>IFERROR(VLOOKUP($C123,'NEW MODEL BY SES'!$C$19:$R$242,MATCH('SeS in Retail Sales Areas'!V$7,'NEW MODEL BY SES'!$C$17:$R$17,0),0),"")</f>
        <v/>
      </c>
      <c r="W123" s="141" t="str">
        <f>IFERROR(VLOOKUP($C123,'NEW MODEL BY SES'!$C$19:$R$242,MATCH('SeS in Retail Sales Areas'!W$7,'NEW MODEL BY SES'!$C$17:$R$17,0),0),"")</f>
        <v/>
      </c>
      <c r="X123" s="140" t="str">
        <f>IFERROR(VLOOKUP($C123,'NEW MODEL BY SES'!$C$19:$R$242,MATCH('SeS in Retail Sales Areas'!X$7,'NEW MODEL BY SES'!$C$17:$R$17,0),0),"")</f>
        <v/>
      </c>
      <c r="Z123" s="57"/>
    </row>
    <row r="124" spans="1:26">
      <c r="A124" t="s">
        <v>1038</v>
      </c>
      <c r="B124" s="57">
        <v>93</v>
      </c>
      <c r="C124" t="s">
        <v>1054</v>
      </c>
      <c r="D124" t="s">
        <v>40</v>
      </c>
      <c r="E124"/>
      <c r="F124" s="140" t="str">
        <f>IFERROR(VLOOKUP($C124,'NEW MODEL BY SES'!$C$19:$R$242,MATCH('SeS in Retail Sales Areas'!F$7,'NEW MODEL BY SES'!$C$17:$R$17,0),0),"")</f>
        <v/>
      </c>
      <c r="G124" s="140" t="str">
        <f>IFERROR(VLOOKUP($C124,'NEW MODEL BY SES'!$C$19:$R$242,MATCH('SeS in Retail Sales Areas'!G$7,'NEW MODEL BY SES'!$C$17:$R$17,0),0),"")</f>
        <v/>
      </c>
      <c r="H124" s="142" t="str">
        <f>IFERROR(VLOOKUP($C124,'NEW MODEL BY SES'!$C$19:$R$242,MATCH('SeS in Retail Sales Areas'!H$7,'NEW MODEL BY SES'!$C$17:$R$17,0),0),"")</f>
        <v/>
      </c>
      <c r="I124" s="140" t="str">
        <f>IFERROR(VLOOKUP($C124,'NEW MODEL BY SES'!$C$19:$R$242,MATCH('SeS in Retail Sales Areas'!I$7,'NEW MODEL BY SES'!$C$17:$R$17,0),0),"")</f>
        <v/>
      </c>
      <c r="J124" s="142" t="str">
        <f>IFERROR(VLOOKUP($C124,'NEW MODEL BY SES'!$C$19:$R$242,MATCH('SeS in Retail Sales Areas'!J$7,'NEW MODEL BY SES'!$C$17:$R$17,0),0),"")</f>
        <v/>
      </c>
      <c r="K124" s="140" t="str">
        <f>IFERROR(VLOOKUP($C124,'NEW MODEL BY SES'!$C$19:$R$242,MATCH('SeS in Retail Sales Areas'!K$7,'NEW MODEL BY SES'!$C$17:$R$17,0),0),"")</f>
        <v/>
      </c>
      <c r="L124" s="142" t="str">
        <f>IFERROR(VLOOKUP($C124,'NEW MODEL BY SES'!$C$19:$R$242,MATCH('SeS in Retail Sales Areas'!L$7,'NEW MODEL BY SES'!$C$17:$R$17,0),0),"")</f>
        <v/>
      </c>
      <c r="M124" s="140" t="str">
        <f>IFERROR(VLOOKUP($C124,'NEW MODEL BY SES'!$C$19:$R$242,MATCH('SeS in Retail Sales Areas'!M$7,'NEW MODEL BY SES'!$C$17:$R$17,0),0),"")</f>
        <v/>
      </c>
      <c r="N124" s="142" t="str">
        <f>IFERROR(VLOOKUP($C124,'NEW MODEL BY SES'!$C$19:$R$242,MATCH('SeS in Retail Sales Areas'!N$7,'NEW MODEL BY SES'!$C$17:$R$17,0),0),"")</f>
        <v/>
      </c>
      <c r="O124" s="140" t="str">
        <f>IFERROR(VLOOKUP($C124,'NEW MODEL BY SES'!$C$19:$R$242,MATCH('SeS in Retail Sales Areas'!O$7,'NEW MODEL BY SES'!$C$17:$R$17,0),0),"")</f>
        <v/>
      </c>
      <c r="P124" s="142" t="str">
        <f>IFERROR(VLOOKUP($C124,'NEW MODEL BY SES'!$C$19:$R$242,MATCH('SeS in Retail Sales Areas'!P$7,'NEW MODEL BY SES'!$C$17:$R$17,0),0),"")</f>
        <v/>
      </c>
      <c r="Q124" s="140" t="str">
        <f>IFERROR(VLOOKUP($C124,'NEW MODEL BY SES'!$C$19:$R$242,MATCH('SeS in Retail Sales Areas'!Q$7,'NEW MODEL BY SES'!$C$17:$R$17,0),0),"")</f>
        <v/>
      </c>
      <c r="R124" s="142" t="str">
        <f>IFERROR(VLOOKUP($C124,'NEW MODEL BY SES'!$C$19:$R$242,MATCH('SeS in Retail Sales Areas'!R$7,'NEW MODEL BY SES'!$C$17:$R$17,0),0),"")</f>
        <v/>
      </c>
      <c r="S124" s="141" t="str">
        <f>IFERROR(VLOOKUP($C124,'NEW MODEL BY SES'!$C$19:$R$242,MATCH('SeS in Retail Sales Areas'!S$7,'NEW MODEL BY SES'!$C$17:$R$17,0),0),"")</f>
        <v/>
      </c>
      <c r="T124" s="140" t="str">
        <f>IFERROR(VLOOKUP($C124,'NEW MODEL BY SES'!$C$19:$R$242,MATCH('SeS in Retail Sales Areas'!T$7,'NEW MODEL BY SES'!$C$17:$R$17,0),0),"")</f>
        <v/>
      </c>
      <c r="U124" s="142" t="str">
        <f>IFERROR(VLOOKUP($C124,'NEW MODEL BY SES'!$C$19:$R$242,MATCH('SeS in Retail Sales Areas'!U$7,'NEW MODEL BY SES'!$C$17:$R$17,0),0),"")</f>
        <v/>
      </c>
      <c r="V124" s="140" t="str">
        <f>IFERROR(VLOOKUP($C124,'NEW MODEL BY SES'!$C$19:$R$242,MATCH('SeS in Retail Sales Areas'!V$7,'NEW MODEL BY SES'!$C$17:$R$17,0),0),"")</f>
        <v/>
      </c>
      <c r="W124" s="141" t="str">
        <f>IFERROR(VLOOKUP($C124,'NEW MODEL BY SES'!$C$19:$R$242,MATCH('SeS in Retail Sales Areas'!W$7,'NEW MODEL BY SES'!$C$17:$R$17,0),0),"")</f>
        <v/>
      </c>
      <c r="X124" s="140" t="str">
        <f>IFERROR(VLOOKUP($C124,'NEW MODEL BY SES'!$C$19:$R$242,MATCH('SeS in Retail Sales Areas'!X$7,'NEW MODEL BY SES'!$C$17:$R$17,0),0),"")</f>
        <v/>
      </c>
      <c r="Z124" s="57"/>
    </row>
    <row r="125" spans="1:26">
      <c r="A125" t="s">
        <v>1038</v>
      </c>
      <c r="B125" s="57">
        <v>89</v>
      </c>
      <c r="C125" t="s">
        <v>1055</v>
      </c>
      <c r="D125" t="s">
        <v>40</v>
      </c>
      <c r="E125"/>
      <c r="F125" s="140" t="str">
        <f>IFERROR(VLOOKUP($C125,'NEW MODEL BY SES'!$C$19:$R$242,MATCH('SeS in Retail Sales Areas'!F$7,'NEW MODEL BY SES'!$C$17:$R$17,0),0),"")</f>
        <v/>
      </c>
      <c r="G125" s="140" t="str">
        <f>IFERROR(VLOOKUP($C125,'NEW MODEL BY SES'!$C$19:$R$242,MATCH('SeS in Retail Sales Areas'!G$7,'NEW MODEL BY SES'!$C$17:$R$17,0),0),"")</f>
        <v/>
      </c>
      <c r="H125" s="142" t="str">
        <f>IFERROR(VLOOKUP($C125,'NEW MODEL BY SES'!$C$19:$R$242,MATCH('SeS in Retail Sales Areas'!H$7,'NEW MODEL BY SES'!$C$17:$R$17,0),0),"")</f>
        <v/>
      </c>
      <c r="I125" s="140" t="str">
        <f>IFERROR(VLOOKUP($C125,'NEW MODEL BY SES'!$C$19:$R$242,MATCH('SeS in Retail Sales Areas'!I$7,'NEW MODEL BY SES'!$C$17:$R$17,0),0),"")</f>
        <v/>
      </c>
      <c r="J125" s="142" t="str">
        <f>IFERROR(VLOOKUP($C125,'NEW MODEL BY SES'!$C$19:$R$242,MATCH('SeS in Retail Sales Areas'!J$7,'NEW MODEL BY SES'!$C$17:$R$17,0),0),"")</f>
        <v/>
      </c>
      <c r="K125" s="140" t="str">
        <f>IFERROR(VLOOKUP($C125,'NEW MODEL BY SES'!$C$19:$R$242,MATCH('SeS in Retail Sales Areas'!K$7,'NEW MODEL BY SES'!$C$17:$R$17,0),0),"")</f>
        <v/>
      </c>
      <c r="L125" s="142" t="str">
        <f>IFERROR(VLOOKUP($C125,'NEW MODEL BY SES'!$C$19:$R$242,MATCH('SeS in Retail Sales Areas'!L$7,'NEW MODEL BY SES'!$C$17:$R$17,0),0),"")</f>
        <v/>
      </c>
      <c r="M125" s="140" t="str">
        <f>IFERROR(VLOOKUP($C125,'NEW MODEL BY SES'!$C$19:$R$242,MATCH('SeS in Retail Sales Areas'!M$7,'NEW MODEL BY SES'!$C$17:$R$17,0),0),"")</f>
        <v/>
      </c>
      <c r="N125" s="142" t="str">
        <f>IFERROR(VLOOKUP($C125,'NEW MODEL BY SES'!$C$19:$R$242,MATCH('SeS in Retail Sales Areas'!N$7,'NEW MODEL BY SES'!$C$17:$R$17,0),0),"")</f>
        <v/>
      </c>
      <c r="O125" s="140" t="str">
        <f>IFERROR(VLOOKUP($C125,'NEW MODEL BY SES'!$C$19:$R$242,MATCH('SeS in Retail Sales Areas'!O$7,'NEW MODEL BY SES'!$C$17:$R$17,0),0),"")</f>
        <v/>
      </c>
      <c r="P125" s="142" t="str">
        <f>IFERROR(VLOOKUP($C125,'NEW MODEL BY SES'!$C$19:$R$242,MATCH('SeS in Retail Sales Areas'!P$7,'NEW MODEL BY SES'!$C$17:$R$17,0),0),"")</f>
        <v/>
      </c>
      <c r="Q125" s="140" t="str">
        <f>IFERROR(VLOOKUP($C125,'NEW MODEL BY SES'!$C$19:$R$242,MATCH('SeS in Retail Sales Areas'!Q$7,'NEW MODEL BY SES'!$C$17:$R$17,0),0),"")</f>
        <v/>
      </c>
      <c r="R125" s="142" t="str">
        <f>IFERROR(VLOOKUP($C125,'NEW MODEL BY SES'!$C$19:$R$242,MATCH('SeS in Retail Sales Areas'!R$7,'NEW MODEL BY SES'!$C$17:$R$17,0),0),"")</f>
        <v/>
      </c>
      <c r="S125" s="141" t="str">
        <f>IFERROR(VLOOKUP($C125,'NEW MODEL BY SES'!$C$19:$R$242,MATCH('SeS in Retail Sales Areas'!S$7,'NEW MODEL BY SES'!$C$17:$R$17,0),0),"")</f>
        <v/>
      </c>
      <c r="T125" s="140" t="str">
        <f>IFERROR(VLOOKUP($C125,'NEW MODEL BY SES'!$C$19:$R$242,MATCH('SeS in Retail Sales Areas'!T$7,'NEW MODEL BY SES'!$C$17:$R$17,0),0),"")</f>
        <v/>
      </c>
      <c r="U125" s="142" t="str">
        <f>IFERROR(VLOOKUP($C125,'NEW MODEL BY SES'!$C$19:$R$242,MATCH('SeS in Retail Sales Areas'!U$7,'NEW MODEL BY SES'!$C$17:$R$17,0),0),"")</f>
        <v/>
      </c>
      <c r="V125" s="140" t="str">
        <f>IFERROR(VLOOKUP($C125,'NEW MODEL BY SES'!$C$19:$R$242,MATCH('SeS in Retail Sales Areas'!V$7,'NEW MODEL BY SES'!$C$17:$R$17,0),0),"")</f>
        <v/>
      </c>
      <c r="W125" s="141" t="str">
        <f>IFERROR(VLOOKUP($C125,'NEW MODEL BY SES'!$C$19:$R$242,MATCH('SeS in Retail Sales Areas'!W$7,'NEW MODEL BY SES'!$C$17:$R$17,0),0),"")</f>
        <v/>
      </c>
      <c r="X125" s="140" t="str">
        <f>IFERROR(VLOOKUP($C125,'NEW MODEL BY SES'!$C$19:$R$242,MATCH('SeS in Retail Sales Areas'!X$7,'NEW MODEL BY SES'!$C$17:$R$17,0),0),"")</f>
        <v/>
      </c>
      <c r="Z125" s="57"/>
    </row>
    <row r="126" spans="1:26">
      <c r="A126" t="s">
        <v>1038</v>
      </c>
      <c r="B126" s="57">
        <v>85</v>
      </c>
      <c r="C126" t="s">
        <v>1056</v>
      </c>
      <c r="D126" t="s">
        <v>40</v>
      </c>
      <c r="E126"/>
      <c r="F126" s="140" t="str">
        <f>IFERROR(VLOOKUP($C126,'NEW MODEL BY SES'!$C$19:$R$242,MATCH('SeS in Retail Sales Areas'!F$7,'NEW MODEL BY SES'!$C$17:$R$17,0),0),"")</f>
        <v/>
      </c>
      <c r="G126" s="140" t="str">
        <f>IFERROR(VLOOKUP($C126,'NEW MODEL BY SES'!$C$19:$R$242,MATCH('SeS in Retail Sales Areas'!G$7,'NEW MODEL BY SES'!$C$17:$R$17,0),0),"")</f>
        <v/>
      </c>
      <c r="H126" s="142" t="str">
        <f>IFERROR(VLOOKUP($C126,'NEW MODEL BY SES'!$C$19:$R$242,MATCH('SeS in Retail Sales Areas'!H$7,'NEW MODEL BY SES'!$C$17:$R$17,0),0),"")</f>
        <v/>
      </c>
      <c r="I126" s="140" t="str">
        <f>IFERROR(VLOOKUP($C126,'NEW MODEL BY SES'!$C$19:$R$242,MATCH('SeS in Retail Sales Areas'!I$7,'NEW MODEL BY SES'!$C$17:$R$17,0),0),"")</f>
        <v/>
      </c>
      <c r="J126" s="142" t="str">
        <f>IFERROR(VLOOKUP($C126,'NEW MODEL BY SES'!$C$19:$R$242,MATCH('SeS in Retail Sales Areas'!J$7,'NEW MODEL BY SES'!$C$17:$R$17,0),0),"")</f>
        <v/>
      </c>
      <c r="K126" s="140" t="str">
        <f>IFERROR(VLOOKUP($C126,'NEW MODEL BY SES'!$C$19:$R$242,MATCH('SeS in Retail Sales Areas'!K$7,'NEW MODEL BY SES'!$C$17:$R$17,0),0),"")</f>
        <v/>
      </c>
      <c r="L126" s="142" t="str">
        <f>IFERROR(VLOOKUP($C126,'NEW MODEL BY SES'!$C$19:$R$242,MATCH('SeS in Retail Sales Areas'!L$7,'NEW MODEL BY SES'!$C$17:$R$17,0),0),"")</f>
        <v/>
      </c>
      <c r="M126" s="140" t="str">
        <f>IFERROR(VLOOKUP($C126,'NEW MODEL BY SES'!$C$19:$R$242,MATCH('SeS in Retail Sales Areas'!M$7,'NEW MODEL BY SES'!$C$17:$R$17,0),0),"")</f>
        <v/>
      </c>
      <c r="N126" s="142" t="str">
        <f>IFERROR(VLOOKUP($C126,'NEW MODEL BY SES'!$C$19:$R$242,MATCH('SeS in Retail Sales Areas'!N$7,'NEW MODEL BY SES'!$C$17:$R$17,0),0),"")</f>
        <v/>
      </c>
      <c r="O126" s="140" t="str">
        <f>IFERROR(VLOOKUP($C126,'NEW MODEL BY SES'!$C$19:$R$242,MATCH('SeS in Retail Sales Areas'!O$7,'NEW MODEL BY SES'!$C$17:$R$17,0),0),"")</f>
        <v/>
      </c>
      <c r="P126" s="142" t="str">
        <f>IFERROR(VLOOKUP($C126,'NEW MODEL BY SES'!$C$19:$R$242,MATCH('SeS in Retail Sales Areas'!P$7,'NEW MODEL BY SES'!$C$17:$R$17,0),0),"")</f>
        <v/>
      </c>
      <c r="Q126" s="140" t="str">
        <f>IFERROR(VLOOKUP($C126,'NEW MODEL BY SES'!$C$19:$R$242,MATCH('SeS in Retail Sales Areas'!Q$7,'NEW MODEL BY SES'!$C$17:$R$17,0),0),"")</f>
        <v/>
      </c>
      <c r="R126" s="142" t="str">
        <f>IFERROR(VLOOKUP($C126,'NEW MODEL BY SES'!$C$19:$R$242,MATCH('SeS in Retail Sales Areas'!R$7,'NEW MODEL BY SES'!$C$17:$R$17,0),0),"")</f>
        <v/>
      </c>
      <c r="S126" s="141" t="str">
        <f>IFERROR(VLOOKUP($C126,'NEW MODEL BY SES'!$C$19:$R$242,MATCH('SeS in Retail Sales Areas'!S$7,'NEW MODEL BY SES'!$C$17:$R$17,0),0),"")</f>
        <v/>
      </c>
      <c r="T126" s="140" t="str">
        <f>IFERROR(VLOOKUP($C126,'NEW MODEL BY SES'!$C$19:$R$242,MATCH('SeS in Retail Sales Areas'!T$7,'NEW MODEL BY SES'!$C$17:$R$17,0),0),"")</f>
        <v/>
      </c>
      <c r="U126" s="142" t="str">
        <f>IFERROR(VLOOKUP($C126,'NEW MODEL BY SES'!$C$19:$R$242,MATCH('SeS in Retail Sales Areas'!U$7,'NEW MODEL BY SES'!$C$17:$R$17,0),0),"")</f>
        <v/>
      </c>
      <c r="V126" s="140" t="str">
        <f>IFERROR(VLOOKUP($C126,'NEW MODEL BY SES'!$C$19:$R$242,MATCH('SeS in Retail Sales Areas'!V$7,'NEW MODEL BY SES'!$C$17:$R$17,0),0),"")</f>
        <v/>
      </c>
      <c r="W126" s="141" t="str">
        <f>IFERROR(VLOOKUP($C126,'NEW MODEL BY SES'!$C$19:$R$242,MATCH('SeS in Retail Sales Areas'!W$7,'NEW MODEL BY SES'!$C$17:$R$17,0),0),"")</f>
        <v/>
      </c>
      <c r="X126" s="140" t="str">
        <f>IFERROR(VLOOKUP($C126,'NEW MODEL BY SES'!$C$19:$R$242,MATCH('SeS in Retail Sales Areas'!X$7,'NEW MODEL BY SES'!$C$17:$R$17,0),0),"")</f>
        <v/>
      </c>
      <c r="Z126" s="57"/>
    </row>
    <row r="127" spans="1:26">
      <c r="A127" t="s">
        <v>1038</v>
      </c>
      <c r="B127" s="57">
        <v>80</v>
      </c>
      <c r="C127" t="s">
        <v>1057</v>
      </c>
      <c r="D127" t="s">
        <v>40</v>
      </c>
      <c r="E127"/>
      <c r="F127" s="140" t="str">
        <f>IFERROR(VLOOKUP($C127,'NEW MODEL BY SES'!$C$19:$R$242,MATCH('SeS in Retail Sales Areas'!F$7,'NEW MODEL BY SES'!$C$17:$R$17,0),0),"")</f>
        <v/>
      </c>
      <c r="G127" s="140" t="str">
        <f>IFERROR(VLOOKUP($C127,'NEW MODEL BY SES'!$C$19:$R$242,MATCH('SeS in Retail Sales Areas'!G$7,'NEW MODEL BY SES'!$C$17:$R$17,0),0),"")</f>
        <v/>
      </c>
      <c r="H127" s="142" t="str">
        <f>IFERROR(VLOOKUP($C127,'NEW MODEL BY SES'!$C$19:$R$242,MATCH('SeS in Retail Sales Areas'!H$7,'NEW MODEL BY SES'!$C$17:$R$17,0),0),"")</f>
        <v/>
      </c>
      <c r="I127" s="140" t="str">
        <f>IFERROR(VLOOKUP($C127,'NEW MODEL BY SES'!$C$19:$R$242,MATCH('SeS in Retail Sales Areas'!I$7,'NEW MODEL BY SES'!$C$17:$R$17,0),0),"")</f>
        <v/>
      </c>
      <c r="J127" s="142" t="str">
        <f>IFERROR(VLOOKUP($C127,'NEW MODEL BY SES'!$C$19:$R$242,MATCH('SeS in Retail Sales Areas'!J$7,'NEW MODEL BY SES'!$C$17:$R$17,0),0),"")</f>
        <v/>
      </c>
      <c r="K127" s="140" t="str">
        <f>IFERROR(VLOOKUP($C127,'NEW MODEL BY SES'!$C$19:$R$242,MATCH('SeS in Retail Sales Areas'!K$7,'NEW MODEL BY SES'!$C$17:$R$17,0),0),"")</f>
        <v/>
      </c>
      <c r="L127" s="142" t="str">
        <f>IFERROR(VLOOKUP($C127,'NEW MODEL BY SES'!$C$19:$R$242,MATCH('SeS in Retail Sales Areas'!L$7,'NEW MODEL BY SES'!$C$17:$R$17,0),0),"")</f>
        <v/>
      </c>
      <c r="M127" s="140" t="str">
        <f>IFERROR(VLOOKUP($C127,'NEW MODEL BY SES'!$C$19:$R$242,MATCH('SeS in Retail Sales Areas'!M$7,'NEW MODEL BY SES'!$C$17:$R$17,0),0),"")</f>
        <v/>
      </c>
      <c r="N127" s="142" t="str">
        <f>IFERROR(VLOOKUP($C127,'NEW MODEL BY SES'!$C$19:$R$242,MATCH('SeS in Retail Sales Areas'!N$7,'NEW MODEL BY SES'!$C$17:$R$17,0),0),"")</f>
        <v/>
      </c>
      <c r="O127" s="140" t="str">
        <f>IFERROR(VLOOKUP($C127,'NEW MODEL BY SES'!$C$19:$R$242,MATCH('SeS in Retail Sales Areas'!O$7,'NEW MODEL BY SES'!$C$17:$R$17,0),0),"")</f>
        <v/>
      </c>
      <c r="P127" s="142" t="str">
        <f>IFERROR(VLOOKUP($C127,'NEW MODEL BY SES'!$C$19:$R$242,MATCH('SeS in Retail Sales Areas'!P$7,'NEW MODEL BY SES'!$C$17:$R$17,0),0),"")</f>
        <v/>
      </c>
      <c r="Q127" s="140" t="str">
        <f>IFERROR(VLOOKUP($C127,'NEW MODEL BY SES'!$C$19:$R$242,MATCH('SeS in Retail Sales Areas'!Q$7,'NEW MODEL BY SES'!$C$17:$R$17,0),0),"")</f>
        <v/>
      </c>
      <c r="R127" s="142" t="str">
        <f>IFERROR(VLOOKUP($C127,'NEW MODEL BY SES'!$C$19:$R$242,MATCH('SeS in Retail Sales Areas'!R$7,'NEW MODEL BY SES'!$C$17:$R$17,0),0),"")</f>
        <v/>
      </c>
      <c r="S127" s="141" t="str">
        <f>IFERROR(VLOOKUP($C127,'NEW MODEL BY SES'!$C$19:$R$242,MATCH('SeS in Retail Sales Areas'!S$7,'NEW MODEL BY SES'!$C$17:$R$17,0),0),"")</f>
        <v/>
      </c>
      <c r="T127" s="140" t="str">
        <f>IFERROR(VLOOKUP($C127,'NEW MODEL BY SES'!$C$19:$R$242,MATCH('SeS in Retail Sales Areas'!T$7,'NEW MODEL BY SES'!$C$17:$R$17,0),0),"")</f>
        <v/>
      </c>
      <c r="U127" s="142" t="str">
        <f>IFERROR(VLOOKUP($C127,'NEW MODEL BY SES'!$C$19:$R$242,MATCH('SeS in Retail Sales Areas'!U$7,'NEW MODEL BY SES'!$C$17:$R$17,0),0),"")</f>
        <v/>
      </c>
      <c r="V127" s="140" t="str">
        <f>IFERROR(VLOOKUP($C127,'NEW MODEL BY SES'!$C$19:$R$242,MATCH('SeS in Retail Sales Areas'!V$7,'NEW MODEL BY SES'!$C$17:$R$17,0),0),"")</f>
        <v/>
      </c>
      <c r="W127" s="141" t="str">
        <f>IFERROR(VLOOKUP($C127,'NEW MODEL BY SES'!$C$19:$R$242,MATCH('SeS in Retail Sales Areas'!W$7,'NEW MODEL BY SES'!$C$17:$R$17,0),0),"")</f>
        <v/>
      </c>
      <c r="X127" s="140" t="str">
        <f>IFERROR(VLOOKUP($C127,'NEW MODEL BY SES'!$C$19:$R$242,MATCH('SeS in Retail Sales Areas'!X$7,'NEW MODEL BY SES'!$C$17:$R$17,0),0),"")</f>
        <v/>
      </c>
      <c r="Z127" s="57"/>
    </row>
    <row r="128" spans="1:26">
      <c r="A128" t="s">
        <v>1038</v>
      </c>
      <c r="B128" s="57">
        <v>74</v>
      </c>
      <c r="C128" t="s">
        <v>1058</v>
      </c>
      <c r="D128" t="s">
        <v>44</v>
      </c>
      <c r="E128"/>
      <c r="F128" s="140" t="str">
        <f>IFERROR(VLOOKUP($C128,'NEW MODEL BY SES'!$C$19:$R$242,MATCH('SeS in Retail Sales Areas'!F$7,'NEW MODEL BY SES'!$C$17:$R$17,0),0),"")</f>
        <v/>
      </c>
      <c r="G128" s="140" t="str">
        <f>IFERROR(VLOOKUP($C128,'NEW MODEL BY SES'!$C$19:$R$242,MATCH('SeS in Retail Sales Areas'!G$7,'NEW MODEL BY SES'!$C$17:$R$17,0),0),"")</f>
        <v/>
      </c>
      <c r="H128" s="142" t="str">
        <f>IFERROR(VLOOKUP($C128,'NEW MODEL BY SES'!$C$19:$R$242,MATCH('SeS in Retail Sales Areas'!H$7,'NEW MODEL BY SES'!$C$17:$R$17,0),0),"")</f>
        <v/>
      </c>
      <c r="I128" s="140" t="str">
        <f>IFERROR(VLOOKUP($C128,'NEW MODEL BY SES'!$C$19:$R$242,MATCH('SeS in Retail Sales Areas'!I$7,'NEW MODEL BY SES'!$C$17:$R$17,0),0),"")</f>
        <v/>
      </c>
      <c r="J128" s="142" t="str">
        <f>IFERROR(VLOOKUP($C128,'NEW MODEL BY SES'!$C$19:$R$242,MATCH('SeS in Retail Sales Areas'!J$7,'NEW MODEL BY SES'!$C$17:$R$17,0),0),"")</f>
        <v/>
      </c>
      <c r="K128" s="140" t="str">
        <f>IFERROR(VLOOKUP($C128,'NEW MODEL BY SES'!$C$19:$R$242,MATCH('SeS in Retail Sales Areas'!K$7,'NEW MODEL BY SES'!$C$17:$R$17,0),0),"")</f>
        <v/>
      </c>
      <c r="L128" s="142" t="str">
        <f>IFERROR(VLOOKUP($C128,'NEW MODEL BY SES'!$C$19:$R$242,MATCH('SeS in Retail Sales Areas'!L$7,'NEW MODEL BY SES'!$C$17:$R$17,0),0),"")</f>
        <v/>
      </c>
      <c r="M128" s="140" t="str">
        <f>IFERROR(VLOOKUP($C128,'NEW MODEL BY SES'!$C$19:$R$242,MATCH('SeS in Retail Sales Areas'!M$7,'NEW MODEL BY SES'!$C$17:$R$17,0),0),"")</f>
        <v/>
      </c>
      <c r="N128" s="142" t="str">
        <f>IFERROR(VLOOKUP($C128,'NEW MODEL BY SES'!$C$19:$R$242,MATCH('SeS in Retail Sales Areas'!N$7,'NEW MODEL BY SES'!$C$17:$R$17,0),0),"")</f>
        <v/>
      </c>
      <c r="O128" s="140" t="str">
        <f>IFERROR(VLOOKUP($C128,'NEW MODEL BY SES'!$C$19:$R$242,MATCH('SeS in Retail Sales Areas'!O$7,'NEW MODEL BY SES'!$C$17:$R$17,0),0),"")</f>
        <v/>
      </c>
      <c r="P128" s="142" t="str">
        <f>IFERROR(VLOOKUP($C128,'NEW MODEL BY SES'!$C$19:$R$242,MATCH('SeS in Retail Sales Areas'!P$7,'NEW MODEL BY SES'!$C$17:$R$17,0),0),"")</f>
        <v/>
      </c>
      <c r="Q128" s="140" t="str">
        <f>IFERROR(VLOOKUP($C128,'NEW MODEL BY SES'!$C$19:$R$242,MATCH('SeS in Retail Sales Areas'!Q$7,'NEW MODEL BY SES'!$C$17:$R$17,0),0),"")</f>
        <v/>
      </c>
      <c r="R128" s="142" t="str">
        <f>IFERROR(VLOOKUP($C128,'NEW MODEL BY SES'!$C$19:$R$242,MATCH('SeS in Retail Sales Areas'!R$7,'NEW MODEL BY SES'!$C$17:$R$17,0),0),"")</f>
        <v/>
      </c>
      <c r="S128" s="141" t="str">
        <f>IFERROR(VLOOKUP($C128,'NEW MODEL BY SES'!$C$19:$R$242,MATCH('SeS in Retail Sales Areas'!S$7,'NEW MODEL BY SES'!$C$17:$R$17,0),0),"")</f>
        <v/>
      </c>
      <c r="T128" s="140" t="str">
        <f>IFERROR(VLOOKUP($C128,'NEW MODEL BY SES'!$C$19:$R$242,MATCH('SeS in Retail Sales Areas'!T$7,'NEW MODEL BY SES'!$C$17:$R$17,0),0),"")</f>
        <v/>
      </c>
      <c r="U128" s="142" t="str">
        <f>IFERROR(VLOOKUP($C128,'NEW MODEL BY SES'!$C$19:$R$242,MATCH('SeS in Retail Sales Areas'!U$7,'NEW MODEL BY SES'!$C$17:$R$17,0),0),"")</f>
        <v/>
      </c>
      <c r="V128" s="140" t="str">
        <f>IFERROR(VLOOKUP($C128,'NEW MODEL BY SES'!$C$19:$R$242,MATCH('SeS in Retail Sales Areas'!V$7,'NEW MODEL BY SES'!$C$17:$R$17,0),0),"")</f>
        <v/>
      </c>
      <c r="W128" s="141" t="str">
        <f>IFERROR(VLOOKUP($C128,'NEW MODEL BY SES'!$C$19:$R$242,MATCH('SeS in Retail Sales Areas'!W$7,'NEW MODEL BY SES'!$C$17:$R$17,0),0),"")</f>
        <v/>
      </c>
      <c r="X128" s="140" t="str">
        <f>IFERROR(VLOOKUP($C128,'NEW MODEL BY SES'!$C$19:$R$242,MATCH('SeS in Retail Sales Areas'!X$7,'NEW MODEL BY SES'!$C$17:$R$17,0),0),"")</f>
        <v/>
      </c>
      <c r="Z128" s="57"/>
    </row>
    <row r="129" spans="1:26">
      <c r="A129" t="s">
        <v>1038</v>
      </c>
      <c r="B129" s="57">
        <v>59</v>
      </c>
      <c r="C129" t="s">
        <v>1059</v>
      </c>
      <c r="D129" t="s">
        <v>44</v>
      </c>
      <c r="E129"/>
      <c r="F129" s="140" t="str">
        <f>IFERROR(VLOOKUP($C129,'NEW MODEL BY SES'!$C$19:$R$242,MATCH('SeS in Retail Sales Areas'!F$7,'NEW MODEL BY SES'!$C$17:$R$17,0),0),"")</f>
        <v/>
      </c>
      <c r="G129" s="140" t="str">
        <f>IFERROR(VLOOKUP($C129,'NEW MODEL BY SES'!$C$19:$R$242,MATCH('SeS in Retail Sales Areas'!G$7,'NEW MODEL BY SES'!$C$17:$R$17,0),0),"")</f>
        <v/>
      </c>
      <c r="H129" s="142" t="str">
        <f>IFERROR(VLOOKUP($C129,'NEW MODEL BY SES'!$C$19:$R$242,MATCH('SeS in Retail Sales Areas'!H$7,'NEW MODEL BY SES'!$C$17:$R$17,0),0),"")</f>
        <v/>
      </c>
      <c r="I129" s="140" t="str">
        <f>IFERROR(VLOOKUP($C129,'NEW MODEL BY SES'!$C$19:$R$242,MATCH('SeS in Retail Sales Areas'!I$7,'NEW MODEL BY SES'!$C$17:$R$17,0),0),"")</f>
        <v/>
      </c>
      <c r="J129" s="142" t="str">
        <f>IFERROR(VLOOKUP($C129,'NEW MODEL BY SES'!$C$19:$R$242,MATCH('SeS in Retail Sales Areas'!J$7,'NEW MODEL BY SES'!$C$17:$R$17,0),0),"")</f>
        <v/>
      </c>
      <c r="K129" s="140" t="str">
        <f>IFERROR(VLOOKUP($C129,'NEW MODEL BY SES'!$C$19:$R$242,MATCH('SeS in Retail Sales Areas'!K$7,'NEW MODEL BY SES'!$C$17:$R$17,0),0),"")</f>
        <v/>
      </c>
      <c r="L129" s="142" t="str">
        <f>IFERROR(VLOOKUP($C129,'NEW MODEL BY SES'!$C$19:$R$242,MATCH('SeS in Retail Sales Areas'!L$7,'NEW MODEL BY SES'!$C$17:$R$17,0),0),"")</f>
        <v/>
      </c>
      <c r="M129" s="140" t="str">
        <f>IFERROR(VLOOKUP($C129,'NEW MODEL BY SES'!$C$19:$R$242,MATCH('SeS in Retail Sales Areas'!M$7,'NEW MODEL BY SES'!$C$17:$R$17,0),0),"")</f>
        <v/>
      </c>
      <c r="N129" s="142" t="str">
        <f>IFERROR(VLOOKUP($C129,'NEW MODEL BY SES'!$C$19:$R$242,MATCH('SeS in Retail Sales Areas'!N$7,'NEW MODEL BY SES'!$C$17:$R$17,0),0),"")</f>
        <v/>
      </c>
      <c r="O129" s="140" t="str">
        <f>IFERROR(VLOOKUP($C129,'NEW MODEL BY SES'!$C$19:$R$242,MATCH('SeS in Retail Sales Areas'!O$7,'NEW MODEL BY SES'!$C$17:$R$17,0),0),"")</f>
        <v/>
      </c>
      <c r="P129" s="142" t="str">
        <f>IFERROR(VLOOKUP($C129,'NEW MODEL BY SES'!$C$19:$R$242,MATCH('SeS in Retail Sales Areas'!P$7,'NEW MODEL BY SES'!$C$17:$R$17,0),0),"")</f>
        <v/>
      </c>
      <c r="Q129" s="140" t="str">
        <f>IFERROR(VLOOKUP($C129,'NEW MODEL BY SES'!$C$19:$R$242,MATCH('SeS in Retail Sales Areas'!Q$7,'NEW MODEL BY SES'!$C$17:$R$17,0),0),"")</f>
        <v/>
      </c>
      <c r="R129" s="142" t="str">
        <f>IFERROR(VLOOKUP($C129,'NEW MODEL BY SES'!$C$19:$R$242,MATCH('SeS in Retail Sales Areas'!R$7,'NEW MODEL BY SES'!$C$17:$R$17,0),0),"")</f>
        <v/>
      </c>
      <c r="S129" s="141" t="str">
        <f>IFERROR(VLOOKUP($C129,'NEW MODEL BY SES'!$C$19:$R$242,MATCH('SeS in Retail Sales Areas'!S$7,'NEW MODEL BY SES'!$C$17:$R$17,0),0),"")</f>
        <v/>
      </c>
      <c r="T129" s="140" t="str">
        <f>IFERROR(VLOOKUP($C129,'NEW MODEL BY SES'!$C$19:$R$242,MATCH('SeS in Retail Sales Areas'!T$7,'NEW MODEL BY SES'!$C$17:$R$17,0),0),"")</f>
        <v/>
      </c>
      <c r="U129" s="142" t="str">
        <f>IFERROR(VLOOKUP($C129,'NEW MODEL BY SES'!$C$19:$R$242,MATCH('SeS in Retail Sales Areas'!U$7,'NEW MODEL BY SES'!$C$17:$R$17,0),0),"")</f>
        <v/>
      </c>
      <c r="V129" s="140" t="str">
        <f>IFERROR(VLOOKUP($C129,'NEW MODEL BY SES'!$C$19:$R$242,MATCH('SeS in Retail Sales Areas'!V$7,'NEW MODEL BY SES'!$C$17:$R$17,0),0),"")</f>
        <v/>
      </c>
      <c r="W129" s="141" t="str">
        <f>IFERROR(VLOOKUP($C129,'NEW MODEL BY SES'!$C$19:$R$242,MATCH('SeS in Retail Sales Areas'!W$7,'NEW MODEL BY SES'!$C$17:$R$17,0),0),"")</f>
        <v/>
      </c>
      <c r="X129" s="140" t="str">
        <f>IFERROR(VLOOKUP($C129,'NEW MODEL BY SES'!$C$19:$R$242,MATCH('SeS in Retail Sales Areas'!X$7,'NEW MODEL BY SES'!$C$17:$R$17,0),0),"")</f>
        <v/>
      </c>
      <c r="Z129" s="57"/>
    </row>
    <row r="130" spans="1:26">
      <c r="A130" t="s">
        <v>1038</v>
      </c>
      <c r="B130" s="57">
        <v>58</v>
      </c>
      <c r="C130" t="s">
        <v>1060</v>
      </c>
      <c r="D130" t="s">
        <v>44</v>
      </c>
      <c r="E130"/>
      <c r="F130" s="140" t="str">
        <f>IFERROR(VLOOKUP($C130,'NEW MODEL BY SES'!$C$19:$R$242,MATCH('SeS in Retail Sales Areas'!F$7,'NEW MODEL BY SES'!$C$17:$R$17,0),0),"")</f>
        <v/>
      </c>
      <c r="G130" s="140" t="str">
        <f>IFERROR(VLOOKUP($C130,'NEW MODEL BY SES'!$C$19:$R$242,MATCH('SeS in Retail Sales Areas'!G$7,'NEW MODEL BY SES'!$C$17:$R$17,0),0),"")</f>
        <v/>
      </c>
      <c r="H130" s="142" t="str">
        <f>IFERROR(VLOOKUP($C130,'NEW MODEL BY SES'!$C$19:$R$242,MATCH('SeS in Retail Sales Areas'!H$7,'NEW MODEL BY SES'!$C$17:$R$17,0),0),"")</f>
        <v/>
      </c>
      <c r="I130" s="140" t="str">
        <f>IFERROR(VLOOKUP($C130,'NEW MODEL BY SES'!$C$19:$R$242,MATCH('SeS in Retail Sales Areas'!I$7,'NEW MODEL BY SES'!$C$17:$R$17,0),0),"")</f>
        <v/>
      </c>
      <c r="J130" s="142" t="str">
        <f>IFERROR(VLOOKUP($C130,'NEW MODEL BY SES'!$C$19:$R$242,MATCH('SeS in Retail Sales Areas'!J$7,'NEW MODEL BY SES'!$C$17:$R$17,0),0),"")</f>
        <v/>
      </c>
      <c r="K130" s="140" t="str">
        <f>IFERROR(VLOOKUP($C130,'NEW MODEL BY SES'!$C$19:$R$242,MATCH('SeS in Retail Sales Areas'!K$7,'NEW MODEL BY SES'!$C$17:$R$17,0),0),"")</f>
        <v/>
      </c>
      <c r="L130" s="142" t="str">
        <f>IFERROR(VLOOKUP($C130,'NEW MODEL BY SES'!$C$19:$R$242,MATCH('SeS in Retail Sales Areas'!L$7,'NEW MODEL BY SES'!$C$17:$R$17,0),0),"")</f>
        <v/>
      </c>
      <c r="M130" s="140" t="str">
        <f>IFERROR(VLOOKUP($C130,'NEW MODEL BY SES'!$C$19:$R$242,MATCH('SeS in Retail Sales Areas'!M$7,'NEW MODEL BY SES'!$C$17:$R$17,0),0),"")</f>
        <v/>
      </c>
      <c r="N130" s="142" t="str">
        <f>IFERROR(VLOOKUP($C130,'NEW MODEL BY SES'!$C$19:$R$242,MATCH('SeS in Retail Sales Areas'!N$7,'NEW MODEL BY SES'!$C$17:$R$17,0),0),"")</f>
        <v/>
      </c>
      <c r="O130" s="140" t="str">
        <f>IFERROR(VLOOKUP($C130,'NEW MODEL BY SES'!$C$19:$R$242,MATCH('SeS in Retail Sales Areas'!O$7,'NEW MODEL BY SES'!$C$17:$R$17,0),0),"")</f>
        <v/>
      </c>
      <c r="P130" s="142" t="str">
        <f>IFERROR(VLOOKUP($C130,'NEW MODEL BY SES'!$C$19:$R$242,MATCH('SeS in Retail Sales Areas'!P$7,'NEW MODEL BY SES'!$C$17:$R$17,0),0),"")</f>
        <v/>
      </c>
      <c r="Q130" s="140" t="str">
        <f>IFERROR(VLOOKUP($C130,'NEW MODEL BY SES'!$C$19:$R$242,MATCH('SeS in Retail Sales Areas'!Q$7,'NEW MODEL BY SES'!$C$17:$R$17,0),0),"")</f>
        <v/>
      </c>
      <c r="R130" s="142" t="str">
        <f>IFERROR(VLOOKUP($C130,'NEW MODEL BY SES'!$C$19:$R$242,MATCH('SeS in Retail Sales Areas'!R$7,'NEW MODEL BY SES'!$C$17:$R$17,0),0),"")</f>
        <v/>
      </c>
      <c r="S130" s="141" t="str">
        <f>IFERROR(VLOOKUP($C130,'NEW MODEL BY SES'!$C$19:$R$242,MATCH('SeS in Retail Sales Areas'!S$7,'NEW MODEL BY SES'!$C$17:$R$17,0),0),"")</f>
        <v/>
      </c>
      <c r="T130" s="140" t="str">
        <f>IFERROR(VLOOKUP($C130,'NEW MODEL BY SES'!$C$19:$R$242,MATCH('SeS in Retail Sales Areas'!T$7,'NEW MODEL BY SES'!$C$17:$R$17,0),0),"")</f>
        <v/>
      </c>
      <c r="U130" s="142" t="str">
        <f>IFERROR(VLOOKUP($C130,'NEW MODEL BY SES'!$C$19:$R$242,MATCH('SeS in Retail Sales Areas'!U$7,'NEW MODEL BY SES'!$C$17:$R$17,0),0),"")</f>
        <v/>
      </c>
      <c r="V130" s="140" t="str">
        <f>IFERROR(VLOOKUP($C130,'NEW MODEL BY SES'!$C$19:$R$242,MATCH('SeS in Retail Sales Areas'!V$7,'NEW MODEL BY SES'!$C$17:$R$17,0),0),"")</f>
        <v/>
      </c>
      <c r="W130" s="141" t="str">
        <f>IFERROR(VLOOKUP($C130,'NEW MODEL BY SES'!$C$19:$R$242,MATCH('SeS in Retail Sales Areas'!W$7,'NEW MODEL BY SES'!$C$17:$R$17,0),0),"")</f>
        <v/>
      </c>
      <c r="X130" s="140" t="str">
        <f>IFERROR(VLOOKUP($C130,'NEW MODEL BY SES'!$C$19:$R$242,MATCH('SeS in Retail Sales Areas'!X$7,'NEW MODEL BY SES'!$C$17:$R$17,0),0),"")</f>
        <v/>
      </c>
      <c r="Z130" s="57"/>
    </row>
    <row r="131" spans="1:26">
      <c r="A131" t="s">
        <v>1038</v>
      </c>
      <c r="B131" s="57">
        <v>53</v>
      </c>
      <c r="C131" t="s">
        <v>1061</v>
      </c>
      <c r="D131" t="s">
        <v>44</v>
      </c>
      <c r="E131"/>
      <c r="F131" s="140" t="str">
        <f>IFERROR(VLOOKUP($C131,'NEW MODEL BY SES'!$C$19:$R$242,MATCH('SeS in Retail Sales Areas'!F$7,'NEW MODEL BY SES'!$C$17:$R$17,0),0),"")</f>
        <v/>
      </c>
      <c r="G131" s="140" t="str">
        <f>IFERROR(VLOOKUP($C131,'NEW MODEL BY SES'!$C$19:$R$242,MATCH('SeS in Retail Sales Areas'!G$7,'NEW MODEL BY SES'!$C$17:$R$17,0),0),"")</f>
        <v/>
      </c>
      <c r="H131" s="142" t="str">
        <f>IFERROR(VLOOKUP($C131,'NEW MODEL BY SES'!$C$19:$R$242,MATCH('SeS in Retail Sales Areas'!H$7,'NEW MODEL BY SES'!$C$17:$R$17,0),0),"")</f>
        <v/>
      </c>
      <c r="I131" s="140" t="str">
        <f>IFERROR(VLOOKUP($C131,'NEW MODEL BY SES'!$C$19:$R$242,MATCH('SeS in Retail Sales Areas'!I$7,'NEW MODEL BY SES'!$C$17:$R$17,0),0),"")</f>
        <v/>
      </c>
      <c r="J131" s="142" t="str">
        <f>IFERROR(VLOOKUP($C131,'NEW MODEL BY SES'!$C$19:$R$242,MATCH('SeS in Retail Sales Areas'!J$7,'NEW MODEL BY SES'!$C$17:$R$17,0),0),"")</f>
        <v/>
      </c>
      <c r="K131" s="140" t="str">
        <f>IFERROR(VLOOKUP($C131,'NEW MODEL BY SES'!$C$19:$R$242,MATCH('SeS in Retail Sales Areas'!K$7,'NEW MODEL BY SES'!$C$17:$R$17,0),0),"")</f>
        <v/>
      </c>
      <c r="L131" s="142" t="str">
        <f>IFERROR(VLOOKUP($C131,'NEW MODEL BY SES'!$C$19:$R$242,MATCH('SeS in Retail Sales Areas'!L$7,'NEW MODEL BY SES'!$C$17:$R$17,0),0),"")</f>
        <v/>
      </c>
      <c r="M131" s="140" t="str">
        <f>IFERROR(VLOOKUP($C131,'NEW MODEL BY SES'!$C$19:$R$242,MATCH('SeS in Retail Sales Areas'!M$7,'NEW MODEL BY SES'!$C$17:$R$17,0),0),"")</f>
        <v/>
      </c>
      <c r="N131" s="142" t="str">
        <f>IFERROR(VLOOKUP($C131,'NEW MODEL BY SES'!$C$19:$R$242,MATCH('SeS in Retail Sales Areas'!N$7,'NEW MODEL BY SES'!$C$17:$R$17,0),0),"")</f>
        <v/>
      </c>
      <c r="O131" s="140" t="str">
        <f>IFERROR(VLOOKUP($C131,'NEW MODEL BY SES'!$C$19:$R$242,MATCH('SeS in Retail Sales Areas'!O$7,'NEW MODEL BY SES'!$C$17:$R$17,0),0),"")</f>
        <v/>
      </c>
      <c r="P131" s="142" t="str">
        <f>IFERROR(VLOOKUP($C131,'NEW MODEL BY SES'!$C$19:$R$242,MATCH('SeS in Retail Sales Areas'!P$7,'NEW MODEL BY SES'!$C$17:$R$17,0),0),"")</f>
        <v/>
      </c>
      <c r="Q131" s="140" t="str">
        <f>IFERROR(VLOOKUP($C131,'NEW MODEL BY SES'!$C$19:$R$242,MATCH('SeS in Retail Sales Areas'!Q$7,'NEW MODEL BY SES'!$C$17:$R$17,0),0),"")</f>
        <v/>
      </c>
      <c r="R131" s="142" t="str">
        <f>IFERROR(VLOOKUP($C131,'NEW MODEL BY SES'!$C$19:$R$242,MATCH('SeS in Retail Sales Areas'!R$7,'NEW MODEL BY SES'!$C$17:$R$17,0),0),"")</f>
        <v/>
      </c>
      <c r="S131" s="141" t="str">
        <f>IFERROR(VLOOKUP($C131,'NEW MODEL BY SES'!$C$19:$R$242,MATCH('SeS in Retail Sales Areas'!S$7,'NEW MODEL BY SES'!$C$17:$R$17,0),0),"")</f>
        <v/>
      </c>
      <c r="T131" s="140" t="str">
        <f>IFERROR(VLOOKUP($C131,'NEW MODEL BY SES'!$C$19:$R$242,MATCH('SeS in Retail Sales Areas'!T$7,'NEW MODEL BY SES'!$C$17:$R$17,0),0),"")</f>
        <v/>
      </c>
      <c r="U131" s="142" t="str">
        <f>IFERROR(VLOOKUP($C131,'NEW MODEL BY SES'!$C$19:$R$242,MATCH('SeS in Retail Sales Areas'!U$7,'NEW MODEL BY SES'!$C$17:$R$17,0),0),"")</f>
        <v/>
      </c>
      <c r="V131" s="140" t="str">
        <f>IFERROR(VLOOKUP($C131,'NEW MODEL BY SES'!$C$19:$R$242,MATCH('SeS in Retail Sales Areas'!V$7,'NEW MODEL BY SES'!$C$17:$R$17,0),0),"")</f>
        <v/>
      </c>
      <c r="W131" s="141" t="str">
        <f>IFERROR(VLOOKUP($C131,'NEW MODEL BY SES'!$C$19:$R$242,MATCH('SeS in Retail Sales Areas'!W$7,'NEW MODEL BY SES'!$C$17:$R$17,0),0),"")</f>
        <v/>
      </c>
      <c r="X131" s="140" t="str">
        <f>IFERROR(VLOOKUP($C131,'NEW MODEL BY SES'!$C$19:$R$242,MATCH('SeS in Retail Sales Areas'!X$7,'NEW MODEL BY SES'!$C$17:$R$17,0),0),"")</f>
        <v/>
      </c>
      <c r="Z131" s="57"/>
    </row>
    <row r="132" spans="1:26">
      <c r="A132" t="s">
        <v>1038</v>
      </c>
      <c r="B132" s="57">
        <v>52</v>
      </c>
      <c r="C132" t="s">
        <v>1062</v>
      </c>
      <c r="D132" t="s">
        <v>44</v>
      </c>
      <c r="E132"/>
      <c r="F132" s="140" t="str">
        <f>IFERROR(VLOOKUP($C132,'NEW MODEL BY SES'!$C$19:$R$242,MATCH('SeS in Retail Sales Areas'!F$7,'NEW MODEL BY SES'!$C$17:$R$17,0),0),"")</f>
        <v/>
      </c>
      <c r="G132" s="140" t="str">
        <f>IFERROR(VLOOKUP($C132,'NEW MODEL BY SES'!$C$19:$R$242,MATCH('SeS in Retail Sales Areas'!G$7,'NEW MODEL BY SES'!$C$17:$R$17,0),0),"")</f>
        <v/>
      </c>
      <c r="H132" s="142" t="str">
        <f>IFERROR(VLOOKUP($C132,'NEW MODEL BY SES'!$C$19:$R$242,MATCH('SeS in Retail Sales Areas'!H$7,'NEW MODEL BY SES'!$C$17:$R$17,0),0),"")</f>
        <v/>
      </c>
      <c r="I132" s="140" t="str">
        <f>IFERROR(VLOOKUP($C132,'NEW MODEL BY SES'!$C$19:$R$242,MATCH('SeS in Retail Sales Areas'!I$7,'NEW MODEL BY SES'!$C$17:$R$17,0),0),"")</f>
        <v/>
      </c>
      <c r="J132" s="142" t="str">
        <f>IFERROR(VLOOKUP($C132,'NEW MODEL BY SES'!$C$19:$R$242,MATCH('SeS in Retail Sales Areas'!J$7,'NEW MODEL BY SES'!$C$17:$R$17,0),0),"")</f>
        <v/>
      </c>
      <c r="K132" s="140" t="str">
        <f>IFERROR(VLOOKUP($C132,'NEW MODEL BY SES'!$C$19:$R$242,MATCH('SeS in Retail Sales Areas'!K$7,'NEW MODEL BY SES'!$C$17:$R$17,0),0),"")</f>
        <v/>
      </c>
      <c r="L132" s="142" t="str">
        <f>IFERROR(VLOOKUP($C132,'NEW MODEL BY SES'!$C$19:$R$242,MATCH('SeS in Retail Sales Areas'!L$7,'NEW MODEL BY SES'!$C$17:$R$17,0),0),"")</f>
        <v/>
      </c>
      <c r="M132" s="140" t="str">
        <f>IFERROR(VLOOKUP($C132,'NEW MODEL BY SES'!$C$19:$R$242,MATCH('SeS in Retail Sales Areas'!M$7,'NEW MODEL BY SES'!$C$17:$R$17,0),0),"")</f>
        <v/>
      </c>
      <c r="N132" s="142" t="str">
        <f>IFERROR(VLOOKUP($C132,'NEW MODEL BY SES'!$C$19:$R$242,MATCH('SeS in Retail Sales Areas'!N$7,'NEW MODEL BY SES'!$C$17:$R$17,0),0),"")</f>
        <v/>
      </c>
      <c r="O132" s="140" t="str">
        <f>IFERROR(VLOOKUP($C132,'NEW MODEL BY SES'!$C$19:$R$242,MATCH('SeS in Retail Sales Areas'!O$7,'NEW MODEL BY SES'!$C$17:$R$17,0),0),"")</f>
        <v/>
      </c>
      <c r="P132" s="142" t="str">
        <f>IFERROR(VLOOKUP($C132,'NEW MODEL BY SES'!$C$19:$R$242,MATCH('SeS in Retail Sales Areas'!P$7,'NEW MODEL BY SES'!$C$17:$R$17,0),0),"")</f>
        <v/>
      </c>
      <c r="Q132" s="140" t="str">
        <f>IFERROR(VLOOKUP($C132,'NEW MODEL BY SES'!$C$19:$R$242,MATCH('SeS in Retail Sales Areas'!Q$7,'NEW MODEL BY SES'!$C$17:$R$17,0),0),"")</f>
        <v/>
      </c>
      <c r="R132" s="142" t="str">
        <f>IFERROR(VLOOKUP($C132,'NEW MODEL BY SES'!$C$19:$R$242,MATCH('SeS in Retail Sales Areas'!R$7,'NEW MODEL BY SES'!$C$17:$R$17,0),0),"")</f>
        <v/>
      </c>
      <c r="S132" s="141" t="str">
        <f>IFERROR(VLOOKUP($C132,'NEW MODEL BY SES'!$C$19:$R$242,MATCH('SeS in Retail Sales Areas'!S$7,'NEW MODEL BY SES'!$C$17:$R$17,0),0),"")</f>
        <v/>
      </c>
      <c r="T132" s="140" t="str">
        <f>IFERROR(VLOOKUP($C132,'NEW MODEL BY SES'!$C$19:$R$242,MATCH('SeS in Retail Sales Areas'!T$7,'NEW MODEL BY SES'!$C$17:$R$17,0),0),"")</f>
        <v/>
      </c>
      <c r="U132" s="142" t="str">
        <f>IFERROR(VLOOKUP($C132,'NEW MODEL BY SES'!$C$19:$R$242,MATCH('SeS in Retail Sales Areas'!U$7,'NEW MODEL BY SES'!$C$17:$R$17,0),0),"")</f>
        <v/>
      </c>
      <c r="V132" s="140" t="str">
        <f>IFERROR(VLOOKUP($C132,'NEW MODEL BY SES'!$C$19:$R$242,MATCH('SeS in Retail Sales Areas'!V$7,'NEW MODEL BY SES'!$C$17:$R$17,0),0),"")</f>
        <v/>
      </c>
      <c r="W132" s="141" t="str">
        <f>IFERROR(VLOOKUP($C132,'NEW MODEL BY SES'!$C$19:$R$242,MATCH('SeS in Retail Sales Areas'!W$7,'NEW MODEL BY SES'!$C$17:$R$17,0),0),"")</f>
        <v/>
      </c>
      <c r="X132" s="140" t="str">
        <f>IFERROR(VLOOKUP($C132,'NEW MODEL BY SES'!$C$19:$R$242,MATCH('SeS in Retail Sales Areas'!X$7,'NEW MODEL BY SES'!$C$17:$R$17,0),0),"")</f>
        <v/>
      </c>
      <c r="Z132" s="57"/>
    </row>
    <row r="133" spans="1:26">
      <c r="A133" t="s">
        <v>1038</v>
      </c>
      <c r="B133" s="57">
        <v>47</v>
      </c>
      <c r="C133" t="s">
        <v>1063</v>
      </c>
      <c r="D133" t="s">
        <v>44</v>
      </c>
      <c r="E133"/>
      <c r="F133" s="140" t="str">
        <f>IFERROR(VLOOKUP($C133,'NEW MODEL BY SES'!$C$19:$R$242,MATCH('SeS in Retail Sales Areas'!F$7,'NEW MODEL BY SES'!$C$17:$R$17,0),0),"")</f>
        <v/>
      </c>
      <c r="G133" s="140" t="str">
        <f>IFERROR(VLOOKUP($C133,'NEW MODEL BY SES'!$C$19:$R$242,MATCH('SeS in Retail Sales Areas'!G$7,'NEW MODEL BY SES'!$C$17:$R$17,0),0),"")</f>
        <v/>
      </c>
      <c r="H133" s="142" t="str">
        <f>IFERROR(VLOOKUP($C133,'NEW MODEL BY SES'!$C$19:$R$242,MATCH('SeS in Retail Sales Areas'!H$7,'NEW MODEL BY SES'!$C$17:$R$17,0),0),"")</f>
        <v/>
      </c>
      <c r="I133" s="140" t="str">
        <f>IFERROR(VLOOKUP($C133,'NEW MODEL BY SES'!$C$19:$R$242,MATCH('SeS in Retail Sales Areas'!I$7,'NEW MODEL BY SES'!$C$17:$R$17,0),0),"")</f>
        <v/>
      </c>
      <c r="J133" s="142" t="str">
        <f>IFERROR(VLOOKUP($C133,'NEW MODEL BY SES'!$C$19:$R$242,MATCH('SeS in Retail Sales Areas'!J$7,'NEW MODEL BY SES'!$C$17:$R$17,0),0),"")</f>
        <v/>
      </c>
      <c r="K133" s="140" t="str">
        <f>IFERROR(VLOOKUP($C133,'NEW MODEL BY SES'!$C$19:$R$242,MATCH('SeS in Retail Sales Areas'!K$7,'NEW MODEL BY SES'!$C$17:$R$17,0),0),"")</f>
        <v/>
      </c>
      <c r="L133" s="142" t="str">
        <f>IFERROR(VLOOKUP($C133,'NEW MODEL BY SES'!$C$19:$R$242,MATCH('SeS in Retail Sales Areas'!L$7,'NEW MODEL BY SES'!$C$17:$R$17,0),0),"")</f>
        <v/>
      </c>
      <c r="M133" s="140" t="str">
        <f>IFERROR(VLOOKUP($C133,'NEW MODEL BY SES'!$C$19:$R$242,MATCH('SeS in Retail Sales Areas'!M$7,'NEW MODEL BY SES'!$C$17:$R$17,0),0),"")</f>
        <v/>
      </c>
      <c r="N133" s="142" t="str">
        <f>IFERROR(VLOOKUP($C133,'NEW MODEL BY SES'!$C$19:$R$242,MATCH('SeS in Retail Sales Areas'!N$7,'NEW MODEL BY SES'!$C$17:$R$17,0),0),"")</f>
        <v/>
      </c>
      <c r="O133" s="140" t="str">
        <f>IFERROR(VLOOKUP($C133,'NEW MODEL BY SES'!$C$19:$R$242,MATCH('SeS in Retail Sales Areas'!O$7,'NEW MODEL BY SES'!$C$17:$R$17,0),0),"")</f>
        <v/>
      </c>
      <c r="P133" s="142" t="str">
        <f>IFERROR(VLOOKUP($C133,'NEW MODEL BY SES'!$C$19:$R$242,MATCH('SeS in Retail Sales Areas'!P$7,'NEW MODEL BY SES'!$C$17:$R$17,0),0),"")</f>
        <v/>
      </c>
      <c r="Q133" s="140" t="str">
        <f>IFERROR(VLOOKUP($C133,'NEW MODEL BY SES'!$C$19:$R$242,MATCH('SeS in Retail Sales Areas'!Q$7,'NEW MODEL BY SES'!$C$17:$R$17,0),0),"")</f>
        <v/>
      </c>
      <c r="R133" s="142" t="str">
        <f>IFERROR(VLOOKUP($C133,'NEW MODEL BY SES'!$C$19:$R$242,MATCH('SeS in Retail Sales Areas'!R$7,'NEW MODEL BY SES'!$C$17:$R$17,0),0),"")</f>
        <v/>
      </c>
      <c r="S133" s="141" t="str">
        <f>IFERROR(VLOOKUP($C133,'NEW MODEL BY SES'!$C$19:$R$242,MATCH('SeS in Retail Sales Areas'!S$7,'NEW MODEL BY SES'!$C$17:$R$17,0),0),"")</f>
        <v/>
      </c>
      <c r="T133" s="140" t="str">
        <f>IFERROR(VLOOKUP($C133,'NEW MODEL BY SES'!$C$19:$R$242,MATCH('SeS in Retail Sales Areas'!T$7,'NEW MODEL BY SES'!$C$17:$R$17,0),0),"")</f>
        <v/>
      </c>
      <c r="U133" s="142" t="str">
        <f>IFERROR(VLOOKUP($C133,'NEW MODEL BY SES'!$C$19:$R$242,MATCH('SeS in Retail Sales Areas'!U$7,'NEW MODEL BY SES'!$C$17:$R$17,0),0),"")</f>
        <v/>
      </c>
      <c r="V133" s="140" t="str">
        <f>IFERROR(VLOOKUP($C133,'NEW MODEL BY SES'!$C$19:$R$242,MATCH('SeS in Retail Sales Areas'!V$7,'NEW MODEL BY SES'!$C$17:$R$17,0),0),"")</f>
        <v/>
      </c>
      <c r="W133" s="141" t="str">
        <f>IFERROR(VLOOKUP($C133,'NEW MODEL BY SES'!$C$19:$R$242,MATCH('SeS in Retail Sales Areas'!W$7,'NEW MODEL BY SES'!$C$17:$R$17,0),0),"")</f>
        <v/>
      </c>
      <c r="X133" s="140" t="str">
        <f>IFERROR(VLOOKUP($C133,'NEW MODEL BY SES'!$C$19:$R$242,MATCH('SeS in Retail Sales Areas'!X$7,'NEW MODEL BY SES'!$C$17:$R$17,0),0),"")</f>
        <v/>
      </c>
      <c r="Z133" s="57"/>
    </row>
    <row r="134" spans="1:26">
      <c r="A134" t="s">
        <v>1064</v>
      </c>
      <c r="B134" s="57">
        <v>138</v>
      </c>
      <c r="C134" t="s">
        <v>1065</v>
      </c>
      <c r="D134" t="s">
        <v>38</v>
      </c>
      <c r="E134"/>
      <c r="F134" s="140" t="str">
        <f>IFERROR(VLOOKUP($C134,'NEW MODEL BY SES'!$C$19:$R$242,MATCH('SeS in Retail Sales Areas'!F$7,'NEW MODEL BY SES'!$C$17:$R$17,0),0),"")</f>
        <v/>
      </c>
      <c r="G134" s="140" t="str">
        <f>IFERROR(VLOOKUP($C134,'NEW MODEL BY SES'!$C$19:$R$242,MATCH('SeS in Retail Sales Areas'!G$7,'NEW MODEL BY SES'!$C$17:$R$17,0),0),"")</f>
        <v/>
      </c>
      <c r="H134" s="142" t="str">
        <f>IFERROR(VLOOKUP($C134,'NEW MODEL BY SES'!$C$19:$R$242,MATCH('SeS in Retail Sales Areas'!H$7,'NEW MODEL BY SES'!$C$17:$R$17,0),0),"")</f>
        <v/>
      </c>
      <c r="I134" s="140" t="str">
        <f>IFERROR(VLOOKUP($C134,'NEW MODEL BY SES'!$C$19:$R$242,MATCH('SeS in Retail Sales Areas'!I$7,'NEW MODEL BY SES'!$C$17:$R$17,0),0),"")</f>
        <v/>
      </c>
      <c r="J134" s="142" t="str">
        <f>IFERROR(VLOOKUP($C134,'NEW MODEL BY SES'!$C$19:$R$242,MATCH('SeS in Retail Sales Areas'!J$7,'NEW MODEL BY SES'!$C$17:$R$17,0),0),"")</f>
        <v/>
      </c>
      <c r="K134" s="140" t="str">
        <f>IFERROR(VLOOKUP($C134,'NEW MODEL BY SES'!$C$19:$R$242,MATCH('SeS in Retail Sales Areas'!K$7,'NEW MODEL BY SES'!$C$17:$R$17,0),0),"")</f>
        <v/>
      </c>
      <c r="L134" s="142" t="str">
        <f>IFERROR(VLOOKUP($C134,'NEW MODEL BY SES'!$C$19:$R$242,MATCH('SeS in Retail Sales Areas'!L$7,'NEW MODEL BY SES'!$C$17:$R$17,0),0),"")</f>
        <v/>
      </c>
      <c r="M134" s="140" t="str">
        <f>IFERROR(VLOOKUP($C134,'NEW MODEL BY SES'!$C$19:$R$242,MATCH('SeS in Retail Sales Areas'!M$7,'NEW MODEL BY SES'!$C$17:$R$17,0),0),"")</f>
        <v/>
      </c>
      <c r="N134" s="142" t="str">
        <f>IFERROR(VLOOKUP($C134,'NEW MODEL BY SES'!$C$19:$R$242,MATCH('SeS in Retail Sales Areas'!N$7,'NEW MODEL BY SES'!$C$17:$R$17,0),0),"")</f>
        <v/>
      </c>
      <c r="O134" s="140" t="str">
        <f>IFERROR(VLOOKUP($C134,'NEW MODEL BY SES'!$C$19:$R$242,MATCH('SeS in Retail Sales Areas'!O$7,'NEW MODEL BY SES'!$C$17:$R$17,0),0),"")</f>
        <v/>
      </c>
      <c r="P134" s="142" t="str">
        <f>IFERROR(VLOOKUP($C134,'NEW MODEL BY SES'!$C$19:$R$242,MATCH('SeS in Retail Sales Areas'!P$7,'NEW MODEL BY SES'!$C$17:$R$17,0),0),"")</f>
        <v/>
      </c>
      <c r="Q134" s="140" t="str">
        <f>IFERROR(VLOOKUP($C134,'NEW MODEL BY SES'!$C$19:$R$242,MATCH('SeS in Retail Sales Areas'!Q$7,'NEW MODEL BY SES'!$C$17:$R$17,0),0),"")</f>
        <v/>
      </c>
      <c r="R134" s="142" t="str">
        <f>IFERROR(VLOOKUP($C134,'NEW MODEL BY SES'!$C$19:$R$242,MATCH('SeS in Retail Sales Areas'!R$7,'NEW MODEL BY SES'!$C$17:$R$17,0),0),"")</f>
        <v/>
      </c>
      <c r="S134" s="141" t="str">
        <f>IFERROR(VLOOKUP($C134,'NEW MODEL BY SES'!$C$19:$R$242,MATCH('SeS in Retail Sales Areas'!S$7,'NEW MODEL BY SES'!$C$17:$R$17,0),0),"")</f>
        <v/>
      </c>
      <c r="T134" s="140" t="str">
        <f>IFERROR(VLOOKUP($C134,'NEW MODEL BY SES'!$C$19:$R$242,MATCH('SeS in Retail Sales Areas'!T$7,'NEW MODEL BY SES'!$C$17:$R$17,0),0),"")</f>
        <v/>
      </c>
      <c r="U134" s="142" t="str">
        <f>IFERROR(VLOOKUP($C134,'NEW MODEL BY SES'!$C$19:$R$242,MATCH('SeS in Retail Sales Areas'!U$7,'NEW MODEL BY SES'!$C$17:$R$17,0),0),"")</f>
        <v/>
      </c>
      <c r="V134" s="140" t="str">
        <f>IFERROR(VLOOKUP($C134,'NEW MODEL BY SES'!$C$19:$R$242,MATCH('SeS in Retail Sales Areas'!V$7,'NEW MODEL BY SES'!$C$17:$R$17,0),0),"")</f>
        <v/>
      </c>
      <c r="W134" s="141" t="str">
        <f>IFERROR(VLOOKUP($C134,'NEW MODEL BY SES'!$C$19:$R$242,MATCH('SeS in Retail Sales Areas'!W$7,'NEW MODEL BY SES'!$C$17:$R$17,0),0),"")</f>
        <v/>
      </c>
      <c r="X134" s="140" t="str">
        <f>IFERROR(VLOOKUP($C134,'NEW MODEL BY SES'!$C$19:$R$242,MATCH('SeS in Retail Sales Areas'!X$7,'NEW MODEL BY SES'!$C$17:$R$17,0),0),"")</f>
        <v/>
      </c>
      <c r="Z134" s="57"/>
    </row>
    <row r="135" spans="1:26">
      <c r="A135" t="s">
        <v>1064</v>
      </c>
      <c r="B135" s="57">
        <v>132</v>
      </c>
      <c r="C135" t="s">
        <v>1066</v>
      </c>
      <c r="D135" t="s">
        <v>38</v>
      </c>
      <c r="E135"/>
      <c r="F135" s="140" t="str">
        <f>IFERROR(VLOOKUP($C135,'NEW MODEL BY SES'!$C$19:$R$242,MATCH('SeS in Retail Sales Areas'!F$7,'NEW MODEL BY SES'!$C$17:$R$17,0),0),"")</f>
        <v/>
      </c>
      <c r="G135" s="140" t="str">
        <f>IFERROR(VLOOKUP($C135,'NEW MODEL BY SES'!$C$19:$R$242,MATCH('SeS in Retail Sales Areas'!G$7,'NEW MODEL BY SES'!$C$17:$R$17,0),0),"")</f>
        <v/>
      </c>
      <c r="H135" s="142" t="str">
        <f>IFERROR(VLOOKUP($C135,'NEW MODEL BY SES'!$C$19:$R$242,MATCH('SeS in Retail Sales Areas'!H$7,'NEW MODEL BY SES'!$C$17:$R$17,0),0),"")</f>
        <v/>
      </c>
      <c r="I135" s="140" t="str">
        <f>IFERROR(VLOOKUP($C135,'NEW MODEL BY SES'!$C$19:$R$242,MATCH('SeS in Retail Sales Areas'!I$7,'NEW MODEL BY SES'!$C$17:$R$17,0),0),"")</f>
        <v/>
      </c>
      <c r="J135" s="142" t="str">
        <f>IFERROR(VLOOKUP($C135,'NEW MODEL BY SES'!$C$19:$R$242,MATCH('SeS in Retail Sales Areas'!J$7,'NEW MODEL BY SES'!$C$17:$R$17,0),0),"")</f>
        <v/>
      </c>
      <c r="K135" s="140" t="str">
        <f>IFERROR(VLOOKUP($C135,'NEW MODEL BY SES'!$C$19:$R$242,MATCH('SeS in Retail Sales Areas'!K$7,'NEW MODEL BY SES'!$C$17:$R$17,0),0),"")</f>
        <v/>
      </c>
      <c r="L135" s="142" t="str">
        <f>IFERROR(VLOOKUP($C135,'NEW MODEL BY SES'!$C$19:$R$242,MATCH('SeS in Retail Sales Areas'!L$7,'NEW MODEL BY SES'!$C$17:$R$17,0),0),"")</f>
        <v/>
      </c>
      <c r="M135" s="140" t="str">
        <f>IFERROR(VLOOKUP($C135,'NEW MODEL BY SES'!$C$19:$R$242,MATCH('SeS in Retail Sales Areas'!M$7,'NEW MODEL BY SES'!$C$17:$R$17,0),0),"")</f>
        <v/>
      </c>
      <c r="N135" s="142" t="str">
        <f>IFERROR(VLOOKUP($C135,'NEW MODEL BY SES'!$C$19:$R$242,MATCH('SeS in Retail Sales Areas'!N$7,'NEW MODEL BY SES'!$C$17:$R$17,0),0),"")</f>
        <v/>
      </c>
      <c r="O135" s="140" t="str">
        <f>IFERROR(VLOOKUP($C135,'NEW MODEL BY SES'!$C$19:$R$242,MATCH('SeS in Retail Sales Areas'!O$7,'NEW MODEL BY SES'!$C$17:$R$17,0),0),"")</f>
        <v/>
      </c>
      <c r="P135" s="142" t="str">
        <f>IFERROR(VLOOKUP($C135,'NEW MODEL BY SES'!$C$19:$R$242,MATCH('SeS in Retail Sales Areas'!P$7,'NEW MODEL BY SES'!$C$17:$R$17,0),0),"")</f>
        <v/>
      </c>
      <c r="Q135" s="140" t="str">
        <f>IFERROR(VLOOKUP($C135,'NEW MODEL BY SES'!$C$19:$R$242,MATCH('SeS in Retail Sales Areas'!Q$7,'NEW MODEL BY SES'!$C$17:$R$17,0),0),"")</f>
        <v/>
      </c>
      <c r="R135" s="142" t="str">
        <f>IFERROR(VLOOKUP($C135,'NEW MODEL BY SES'!$C$19:$R$242,MATCH('SeS in Retail Sales Areas'!R$7,'NEW MODEL BY SES'!$C$17:$R$17,0),0),"")</f>
        <v/>
      </c>
      <c r="S135" s="141" t="str">
        <f>IFERROR(VLOOKUP($C135,'NEW MODEL BY SES'!$C$19:$R$242,MATCH('SeS in Retail Sales Areas'!S$7,'NEW MODEL BY SES'!$C$17:$R$17,0),0),"")</f>
        <v/>
      </c>
      <c r="T135" s="140" t="str">
        <f>IFERROR(VLOOKUP($C135,'NEW MODEL BY SES'!$C$19:$R$242,MATCH('SeS in Retail Sales Areas'!T$7,'NEW MODEL BY SES'!$C$17:$R$17,0),0),"")</f>
        <v/>
      </c>
      <c r="U135" s="142" t="str">
        <f>IFERROR(VLOOKUP($C135,'NEW MODEL BY SES'!$C$19:$R$242,MATCH('SeS in Retail Sales Areas'!U$7,'NEW MODEL BY SES'!$C$17:$R$17,0),0),"")</f>
        <v/>
      </c>
      <c r="V135" s="140" t="str">
        <f>IFERROR(VLOOKUP($C135,'NEW MODEL BY SES'!$C$19:$R$242,MATCH('SeS in Retail Sales Areas'!V$7,'NEW MODEL BY SES'!$C$17:$R$17,0),0),"")</f>
        <v/>
      </c>
      <c r="W135" s="141" t="str">
        <f>IFERROR(VLOOKUP($C135,'NEW MODEL BY SES'!$C$19:$R$242,MATCH('SeS in Retail Sales Areas'!W$7,'NEW MODEL BY SES'!$C$17:$R$17,0),0),"")</f>
        <v/>
      </c>
      <c r="X135" s="140" t="str">
        <f>IFERROR(VLOOKUP($C135,'NEW MODEL BY SES'!$C$19:$R$242,MATCH('SeS in Retail Sales Areas'!X$7,'NEW MODEL BY SES'!$C$17:$R$17,0),0),"")</f>
        <v/>
      </c>
      <c r="Z135" s="57"/>
    </row>
    <row r="136" spans="1:26">
      <c r="A136" t="s">
        <v>1064</v>
      </c>
      <c r="B136" s="57">
        <v>114</v>
      </c>
      <c r="C136" t="s">
        <v>1067</v>
      </c>
      <c r="D136" t="s">
        <v>40</v>
      </c>
      <c r="E136"/>
      <c r="F136" s="140" t="str">
        <f>IFERROR(VLOOKUP($C136,'NEW MODEL BY SES'!$C$19:$R$242,MATCH('SeS in Retail Sales Areas'!F$7,'NEW MODEL BY SES'!$C$17:$R$17,0),0),"")</f>
        <v/>
      </c>
      <c r="G136" s="140" t="str">
        <f>IFERROR(VLOOKUP($C136,'NEW MODEL BY SES'!$C$19:$R$242,MATCH('SeS in Retail Sales Areas'!G$7,'NEW MODEL BY SES'!$C$17:$R$17,0),0),"")</f>
        <v/>
      </c>
      <c r="H136" s="142" t="str">
        <f>IFERROR(VLOOKUP($C136,'NEW MODEL BY SES'!$C$19:$R$242,MATCH('SeS in Retail Sales Areas'!H$7,'NEW MODEL BY SES'!$C$17:$R$17,0),0),"")</f>
        <v/>
      </c>
      <c r="I136" s="140" t="str">
        <f>IFERROR(VLOOKUP($C136,'NEW MODEL BY SES'!$C$19:$R$242,MATCH('SeS in Retail Sales Areas'!I$7,'NEW MODEL BY SES'!$C$17:$R$17,0),0),"")</f>
        <v/>
      </c>
      <c r="J136" s="142" t="str">
        <f>IFERROR(VLOOKUP($C136,'NEW MODEL BY SES'!$C$19:$R$242,MATCH('SeS in Retail Sales Areas'!J$7,'NEW MODEL BY SES'!$C$17:$R$17,0),0),"")</f>
        <v/>
      </c>
      <c r="K136" s="140" t="str">
        <f>IFERROR(VLOOKUP($C136,'NEW MODEL BY SES'!$C$19:$R$242,MATCH('SeS in Retail Sales Areas'!K$7,'NEW MODEL BY SES'!$C$17:$R$17,0),0),"")</f>
        <v/>
      </c>
      <c r="L136" s="142" t="str">
        <f>IFERROR(VLOOKUP($C136,'NEW MODEL BY SES'!$C$19:$R$242,MATCH('SeS in Retail Sales Areas'!L$7,'NEW MODEL BY SES'!$C$17:$R$17,0),0),"")</f>
        <v/>
      </c>
      <c r="M136" s="140" t="str">
        <f>IFERROR(VLOOKUP($C136,'NEW MODEL BY SES'!$C$19:$R$242,MATCH('SeS in Retail Sales Areas'!M$7,'NEW MODEL BY SES'!$C$17:$R$17,0),0),"")</f>
        <v/>
      </c>
      <c r="N136" s="142" t="str">
        <f>IFERROR(VLOOKUP($C136,'NEW MODEL BY SES'!$C$19:$R$242,MATCH('SeS in Retail Sales Areas'!N$7,'NEW MODEL BY SES'!$C$17:$R$17,0),0),"")</f>
        <v/>
      </c>
      <c r="O136" s="140" t="str">
        <f>IFERROR(VLOOKUP($C136,'NEW MODEL BY SES'!$C$19:$R$242,MATCH('SeS in Retail Sales Areas'!O$7,'NEW MODEL BY SES'!$C$17:$R$17,0),0),"")</f>
        <v/>
      </c>
      <c r="P136" s="142" t="str">
        <f>IFERROR(VLOOKUP($C136,'NEW MODEL BY SES'!$C$19:$R$242,MATCH('SeS in Retail Sales Areas'!P$7,'NEW MODEL BY SES'!$C$17:$R$17,0),0),"")</f>
        <v/>
      </c>
      <c r="Q136" s="140" t="str">
        <f>IFERROR(VLOOKUP($C136,'NEW MODEL BY SES'!$C$19:$R$242,MATCH('SeS in Retail Sales Areas'!Q$7,'NEW MODEL BY SES'!$C$17:$R$17,0),0),"")</f>
        <v/>
      </c>
      <c r="R136" s="142" t="str">
        <f>IFERROR(VLOOKUP($C136,'NEW MODEL BY SES'!$C$19:$R$242,MATCH('SeS in Retail Sales Areas'!R$7,'NEW MODEL BY SES'!$C$17:$R$17,0),0),"")</f>
        <v/>
      </c>
      <c r="S136" s="141" t="str">
        <f>IFERROR(VLOOKUP($C136,'NEW MODEL BY SES'!$C$19:$R$242,MATCH('SeS in Retail Sales Areas'!S$7,'NEW MODEL BY SES'!$C$17:$R$17,0),0),"")</f>
        <v/>
      </c>
      <c r="T136" s="140" t="str">
        <f>IFERROR(VLOOKUP($C136,'NEW MODEL BY SES'!$C$19:$R$242,MATCH('SeS in Retail Sales Areas'!T$7,'NEW MODEL BY SES'!$C$17:$R$17,0),0),"")</f>
        <v/>
      </c>
      <c r="U136" s="142" t="str">
        <f>IFERROR(VLOOKUP($C136,'NEW MODEL BY SES'!$C$19:$R$242,MATCH('SeS in Retail Sales Areas'!U$7,'NEW MODEL BY SES'!$C$17:$R$17,0),0),"")</f>
        <v/>
      </c>
      <c r="V136" s="140" t="str">
        <f>IFERROR(VLOOKUP($C136,'NEW MODEL BY SES'!$C$19:$R$242,MATCH('SeS in Retail Sales Areas'!V$7,'NEW MODEL BY SES'!$C$17:$R$17,0),0),"")</f>
        <v/>
      </c>
      <c r="W136" s="141" t="str">
        <f>IFERROR(VLOOKUP($C136,'NEW MODEL BY SES'!$C$19:$R$242,MATCH('SeS in Retail Sales Areas'!W$7,'NEW MODEL BY SES'!$C$17:$R$17,0),0),"")</f>
        <v/>
      </c>
      <c r="X136" s="140" t="str">
        <f>IFERROR(VLOOKUP($C136,'NEW MODEL BY SES'!$C$19:$R$242,MATCH('SeS in Retail Sales Areas'!X$7,'NEW MODEL BY SES'!$C$17:$R$17,0),0),"")</f>
        <v/>
      </c>
      <c r="Z136" s="57"/>
    </row>
    <row r="137" spans="1:26">
      <c r="A137" t="s">
        <v>1064</v>
      </c>
      <c r="B137" s="57">
        <v>94</v>
      </c>
      <c r="C137" t="s">
        <v>1068</v>
      </c>
      <c r="D137" t="s">
        <v>40</v>
      </c>
      <c r="E137"/>
      <c r="F137" s="140" t="str">
        <f>IFERROR(VLOOKUP($C137,'NEW MODEL BY SES'!$C$19:$R$242,MATCH('SeS in Retail Sales Areas'!F$7,'NEW MODEL BY SES'!$C$17:$R$17,0),0),"")</f>
        <v/>
      </c>
      <c r="G137" s="140" t="str">
        <f>IFERROR(VLOOKUP($C137,'NEW MODEL BY SES'!$C$19:$R$242,MATCH('SeS in Retail Sales Areas'!G$7,'NEW MODEL BY SES'!$C$17:$R$17,0),0),"")</f>
        <v/>
      </c>
      <c r="H137" s="142" t="str">
        <f>IFERROR(VLOOKUP($C137,'NEW MODEL BY SES'!$C$19:$R$242,MATCH('SeS in Retail Sales Areas'!H$7,'NEW MODEL BY SES'!$C$17:$R$17,0),0),"")</f>
        <v/>
      </c>
      <c r="I137" s="140" t="str">
        <f>IFERROR(VLOOKUP($C137,'NEW MODEL BY SES'!$C$19:$R$242,MATCH('SeS in Retail Sales Areas'!I$7,'NEW MODEL BY SES'!$C$17:$R$17,0),0),"")</f>
        <v/>
      </c>
      <c r="J137" s="142" t="str">
        <f>IFERROR(VLOOKUP($C137,'NEW MODEL BY SES'!$C$19:$R$242,MATCH('SeS in Retail Sales Areas'!J$7,'NEW MODEL BY SES'!$C$17:$R$17,0),0),"")</f>
        <v/>
      </c>
      <c r="K137" s="140" t="str">
        <f>IFERROR(VLOOKUP($C137,'NEW MODEL BY SES'!$C$19:$R$242,MATCH('SeS in Retail Sales Areas'!K$7,'NEW MODEL BY SES'!$C$17:$R$17,0),0),"")</f>
        <v/>
      </c>
      <c r="L137" s="142" t="str">
        <f>IFERROR(VLOOKUP($C137,'NEW MODEL BY SES'!$C$19:$R$242,MATCH('SeS in Retail Sales Areas'!L$7,'NEW MODEL BY SES'!$C$17:$R$17,0),0),"")</f>
        <v/>
      </c>
      <c r="M137" s="140" t="str">
        <f>IFERROR(VLOOKUP($C137,'NEW MODEL BY SES'!$C$19:$R$242,MATCH('SeS in Retail Sales Areas'!M$7,'NEW MODEL BY SES'!$C$17:$R$17,0),0),"")</f>
        <v/>
      </c>
      <c r="N137" s="142" t="str">
        <f>IFERROR(VLOOKUP($C137,'NEW MODEL BY SES'!$C$19:$R$242,MATCH('SeS in Retail Sales Areas'!N$7,'NEW MODEL BY SES'!$C$17:$R$17,0),0),"")</f>
        <v/>
      </c>
      <c r="O137" s="140" t="str">
        <f>IFERROR(VLOOKUP($C137,'NEW MODEL BY SES'!$C$19:$R$242,MATCH('SeS in Retail Sales Areas'!O$7,'NEW MODEL BY SES'!$C$17:$R$17,0),0),"")</f>
        <v/>
      </c>
      <c r="P137" s="142" t="str">
        <f>IFERROR(VLOOKUP($C137,'NEW MODEL BY SES'!$C$19:$R$242,MATCH('SeS in Retail Sales Areas'!P$7,'NEW MODEL BY SES'!$C$17:$R$17,0),0),"")</f>
        <v/>
      </c>
      <c r="Q137" s="140" t="str">
        <f>IFERROR(VLOOKUP($C137,'NEW MODEL BY SES'!$C$19:$R$242,MATCH('SeS in Retail Sales Areas'!Q$7,'NEW MODEL BY SES'!$C$17:$R$17,0),0),"")</f>
        <v/>
      </c>
      <c r="R137" s="142" t="str">
        <f>IFERROR(VLOOKUP($C137,'NEW MODEL BY SES'!$C$19:$R$242,MATCH('SeS in Retail Sales Areas'!R$7,'NEW MODEL BY SES'!$C$17:$R$17,0),0),"")</f>
        <v/>
      </c>
      <c r="S137" s="141" t="str">
        <f>IFERROR(VLOOKUP($C137,'NEW MODEL BY SES'!$C$19:$R$242,MATCH('SeS in Retail Sales Areas'!S$7,'NEW MODEL BY SES'!$C$17:$R$17,0),0),"")</f>
        <v/>
      </c>
      <c r="T137" s="140" t="str">
        <f>IFERROR(VLOOKUP($C137,'NEW MODEL BY SES'!$C$19:$R$242,MATCH('SeS in Retail Sales Areas'!T$7,'NEW MODEL BY SES'!$C$17:$R$17,0),0),"")</f>
        <v/>
      </c>
      <c r="U137" s="142" t="str">
        <f>IFERROR(VLOOKUP($C137,'NEW MODEL BY SES'!$C$19:$R$242,MATCH('SeS in Retail Sales Areas'!U$7,'NEW MODEL BY SES'!$C$17:$R$17,0),0),"")</f>
        <v/>
      </c>
      <c r="V137" s="140" t="str">
        <f>IFERROR(VLOOKUP($C137,'NEW MODEL BY SES'!$C$19:$R$242,MATCH('SeS in Retail Sales Areas'!V$7,'NEW MODEL BY SES'!$C$17:$R$17,0),0),"")</f>
        <v/>
      </c>
      <c r="W137" s="141" t="str">
        <f>IFERROR(VLOOKUP($C137,'NEW MODEL BY SES'!$C$19:$R$242,MATCH('SeS in Retail Sales Areas'!W$7,'NEW MODEL BY SES'!$C$17:$R$17,0),0),"")</f>
        <v/>
      </c>
      <c r="X137" s="140" t="str">
        <f>IFERROR(VLOOKUP($C137,'NEW MODEL BY SES'!$C$19:$R$242,MATCH('SeS in Retail Sales Areas'!X$7,'NEW MODEL BY SES'!$C$17:$R$17,0),0),"")</f>
        <v/>
      </c>
      <c r="Z137" s="57"/>
    </row>
    <row r="138" spans="1:26">
      <c r="A138" t="s">
        <v>1064</v>
      </c>
      <c r="B138" s="57">
        <v>93</v>
      </c>
      <c r="C138" t="s">
        <v>1069</v>
      </c>
      <c r="D138" t="s">
        <v>40</v>
      </c>
      <c r="E138"/>
      <c r="F138" s="140" t="str">
        <f>IFERROR(VLOOKUP($C138,'NEW MODEL BY SES'!$C$19:$R$242,MATCH('SeS in Retail Sales Areas'!F$7,'NEW MODEL BY SES'!$C$17:$R$17,0),0),"")</f>
        <v/>
      </c>
      <c r="G138" s="140" t="str">
        <f>IFERROR(VLOOKUP($C138,'NEW MODEL BY SES'!$C$19:$R$242,MATCH('SeS in Retail Sales Areas'!G$7,'NEW MODEL BY SES'!$C$17:$R$17,0),0),"")</f>
        <v/>
      </c>
      <c r="H138" s="142" t="str">
        <f>IFERROR(VLOOKUP($C138,'NEW MODEL BY SES'!$C$19:$R$242,MATCH('SeS in Retail Sales Areas'!H$7,'NEW MODEL BY SES'!$C$17:$R$17,0),0),"")</f>
        <v/>
      </c>
      <c r="I138" s="140" t="str">
        <f>IFERROR(VLOOKUP($C138,'NEW MODEL BY SES'!$C$19:$R$242,MATCH('SeS in Retail Sales Areas'!I$7,'NEW MODEL BY SES'!$C$17:$R$17,0),0),"")</f>
        <v/>
      </c>
      <c r="J138" s="142" t="str">
        <f>IFERROR(VLOOKUP($C138,'NEW MODEL BY SES'!$C$19:$R$242,MATCH('SeS in Retail Sales Areas'!J$7,'NEW MODEL BY SES'!$C$17:$R$17,0),0),"")</f>
        <v/>
      </c>
      <c r="K138" s="140" t="str">
        <f>IFERROR(VLOOKUP($C138,'NEW MODEL BY SES'!$C$19:$R$242,MATCH('SeS in Retail Sales Areas'!K$7,'NEW MODEL BY SES'!$C$17:$R$17,0),0),"")</f>
        <v/>
      </c>
      <c r="L138" s="142" t="str">
        <f>IFERROR(VLOOKUP($C138,'NEW MODEL BY SES'!$C$19:$R$242,MATCH('SeS in Retail Sales Areas'!L$7,'NEW MODEL BY SES'!$C$17:$R$17,0),0),"")</f>
        <v/>
      </c>
      <c r="M138" s="140" t="str">
        <f>IFERROR(VLOOKUP($C138,'NEW MODEL BY SES'!$C$19:$R$242,MATCH('SeS in Retail Sales Areas'!M$7,'NEW MODEL BY SES'!$C$17:$R$17,0),0),"")</f>
        <v/>
      </c>
      <c r="N138" s="142" t="str">
        <f>IFERROR(VLOOKUP($C138,'NEW MODEL BY SES'!$C$19:$R$242,MATCH('SeS in Retail Sales Areas'!N$7,'NEW MODEL BY SES'!$C$17:$R$17,0),0),"")</f>
        <v/>
      </c>
      <c r="O138" s="140" t="str">
        <f>IFERROR(VLOOKUP($C138,'NEW MODEL BY SES'!$C$19:$R$242,MATCH('SeS in Retail Sales Areas'!O$7,'NEW MODEL BY SES'!$C$17:$R$17,0),0),"")</f>
        <v/>
      </c>
      <c r="P138" s="142" t="str">
        <f>IFERROR(VLOOKUP($C138,'NEW MODEL BY SES'!$C$19:$R$242,MATCH('SeS in Retail Sales Areas'!P$7,'NEW MODEL BY SES'!$C$17:$R$17,0),0),"")</f>
        <v/>
      </c>
      <c r="Q138" s="140" t="str">
        <f>IFERROR(VLOOKUP($C138,'NEW MODEL BY SES'!$C$19:$R$242,MATCH('SeS in Retail Sales Areas'!Q$7,'NEW MODEL BY SES'!$C$17:$R$17,0),0),"")</f>
        <v/>
      </c>
      <c r="R138" s="142" t="str">
        <f>IFERROR(VLOOKUP($C138,'NEW MODEL BY SES'!$C$19:$R$242,MATCH('SeS in Retail Sales Areas'!R$7,'NEW MODEL BY SES'!$C$17:$R$17,0),0),"")</f>
        <v/>
      </c>
      <c r="S138" s="141" t="str">
        <f>IFERROR(VLOOKUP($C138,'NEW MODEL BY SES'!$C$19:$R$242,MATCH('SeS in Retail Sales Areas'!S$7,'NEW MODEL BY SES'!$C$17:$R$17,0),0),"")</f>
        <v/>
      </c>
      <c r="T138" s="140" t="str">
        <f>IFERROR(VLOOKUP($C138,'NEW MODEL BY SES'!$C$19:$R$242,MATCH('SeS in Retail Sales Areas'!T$7,'NEW MODEL BY SES'!$C$17:$R$17,0),0),"")</f>
        <v/>
      </c>
      <c r="U138" s="142" t="str">
        <f>IFERROR(VLOOKUP($C138,'NEW MODEL BY SES'!$C$19:$R$242,MATCH('SeS in Retail Sales Areas'!U$7,'NEW MODEL BY SES'!$C$17:$R$17,0),0),"")</f>
        <v/>
      </c>
      <c r="V138" s="140" t="str">
        <f>IFERROR(VLOOKUP($C138,'NEW MODEL BY SES'!$C$19:$R$242,MATCH('SeS in Retail Sales Areas'!V$7,'NEW MODEL BY SES'!$C$17:$R$17,0),0),"")</f>
        <v/>
      </c>
      <c r="W138" s="141" t="str">
        <f>IFERROR(VLOOKUP($C138,'NEW MODEL BY SES'!$C$19:$R$242,MATCH('SeS in Retail Sales Areas'!W$7,'NEW MODEL BY SES'!$C$17:$R$17,0),0),"")</f>
        <v/>
      </c>
      <c r="X138" s="140" t="str">
        <f>IFERROR(VLOOKUP($C138,'NEW MODEL BY SES'!$C$19:$R$242,MATCH('SeS in Retail Sales Areas'!X$7,'NEW MODEL BY SES'!$C$17:$R$17,0),0),"")</f>
        <v/>
      </c>
      <c r="Z138" s="57"/>
    </row>
    <row r="139" spans="1:26">
      <c r="A139" t="s">
        <v>1064</v>
      </c>
      <c r="B139" s="57">
        <v>93</v>
      </c>
      <c r="C139" t="s">
        <v>1070</v>
      </c>
      <c r="D139" t="s">
        <v>40</v>
      </c>
      <c r="E139"/>
      <c r="F139" s="140" t="str">
        <f>IFERROR(VLOOKUP($C139,'NEW MODEL BY SES'!$C$19:$R$242,MATCH('SeS in Retail Sales Areas'!F$7,'NEW MODEL BY SES'!$C$17:$R$17,0),0),"")</f>
        <v/>
      </c>
      <c r="G139" s="140" t="str">
        <f>IFERROR(VLOOKUP($C139,'NEW MODEL BY SES'!$C$19:$R$242,MATCH('SeS in Retail Sales Areas'!G$7,'NEW MODEL BY SES'!$C$17:$R$17,0),0),"")</f>
        <v/>
      </c>
      <c r="H139" s="142" t="str">
        <f>IFERROR(VLOOKUP($C139,'NEW MODEL BY SES'!$C$19:$R$242,MATCH('SeS in Retail Sales Areas'!H$7,'NEW MODEL BY SES'!$C$17:$R$17,0),0),"")</f>
        <v/>
      </c>
      <c r="I139" s="140" t="str">
        <f>IFERROR(VLOOKUP($C139,'NEW MODEL BY SES'!$C$19:$R$242,MATCH('SeS in Retail Sales Areas'!I$7,'NEW MODEL BY SES'!$C$17:$R$17,0),0),"")</f>
        <v/>
      </c>
      <c r="J139" s="142" t="str">
        <f>IFERROR(VLOOKUP($C139,'NEW MODEL BY SES'!$C$19:$R$242,MATCH('SeS in Retail Sales Areas'!J$7,'NEW MODEL BY SES'!$C$17:$R$17,0),0),"")</f>
        <v/>
      </c>
      <c r="K139" s="140" t="str">
        <f>IFERROR(VLOOKUP($C139,'NEW MODEL BY SES'!$C$19:$R$242,MATCH('SeS in Retail Sales Areas'!K$7,'NEW MODEL BY SES'!$C$17:$R$17,0),0),"")</f>
        <v/>
      </c>
      <c r="L139" s="142" t="str">
        <f>IFERROR(VLOOKUP($C139,'NEW MODEL BY SES'!$C$19:$R$242,MATCH('SeS in Retail Sales Areas'!L$7,'NEW MODEL BY SES'!$C$17:$R$17,0),0),"")</f>
        <v/>
      </c>
      <c r="M139" s="140" t="str">
        <f>IFERROR(VLOOKUP($C139,'NEW MODEL BY SES'!$C$19:$R$242,MATCH('SeS in Retail Sales Areas'!M$7,'NEW MODEL BY SES'!$C$17:$R$17,0),0),"")</f>
        <v/>
      </c>
      <c r="N139" s="142" t="str">
        <f>IFERROR(VLOOKUP($C139,'NEW MODEL BY SES'!$C$19:$R$242,MATCH('SeS in Retail Sales Areas'!N$7,'NEW MODEL BY SES'!$C$17:$R$17,0),0),"")</f>
        <v/>
      </c>
      <c r="O139" s="140" t="str">
        <f>IFERROR(VLOOKUP($C139,'NEW MODEL BY SES'!$C$19:$R$242,MATCH('SeS in Retail Sales Areas'!O$7,'NEW MODEL BY SES'!$C$17:$R$17,0),0),"")</f>
        <v/>
      </c>
      <c r="P139" s="142" t="str">
        <f>IFERROR(VLOOKUP($C139,'NEW MODEL BY SES'!$C$19:$R$242,MATCH('SeS in Retail Sales Areas'!P$7,'NEW MODEL BY SES'!$C$17:$R$17,0),0),"")</f>
        <v/>
      </c>
      <c r="Q139" s="140" t="str">
        <f>IFERROR(VLOOKUP($C139,'NEW MODEL BY SES'!$C$19:$R$242,MATCH('SeS in Retail Sales Areas'!Q$7,'NEW MODEL BY SES'!$C$17:$R$17,0),0),"")</f>
        <v/>
      </c>
      <c r="R139" s="142" t="str">
        <f>IFERROR(VLOOKUP($C139,'NEW MODEL BY SES'!$C$19:$R$242,MATCH('SeS in Retail Sales Areas'!R$7,'NEW MODEL BY SES'!$C$17:$R$17,0),0),"")</f>
        <v/>
      </c>
      <c r="S139" s="141" t="str">
        <f>IFERROR(VLOOKUP($C139,'NEW MODEL BY SES'!$C$19:$R$242,MATCH('SeS in Retail Sales Areas'!S$7,'NEW MODEL BY SES'!$C$17:$R$17,0),0),"")</f>
        <v/>
      </c>
      <c r="T139" s="140" t="str">
        <f>IFERROR(VLOOKUP($C139,'NEW MODEL BY SES'!$C$19:$R$242,MATCH('SeS in Retail Sales Areas'!T$7,'NEW MODEL BY SES'!$C$17:$R$17,0),0),"")</f>
        <v/>
      </c>
      <c r="U139" s="142" t="str">
        <f>IFERROR(VLOOKUP($C139,'NEW MODEL BY SES'!$C$19:$R$242,MATCH('SeS in Retail Sales Areas'!U$7,'NEW MODEL BY SES'!$C$17:$R$17,0),0),"")</f>
        <v/>
      </c>
      <c r="V139" s="140" t="str">
        <f>IFERROR(VLOOKUP($C139,'NEW MODEL BY SES'!$C$19:$R$242,MATCH('SeS in Retail Sales Areas'!V$7,'NEW MODEL BY SES'!$C$17:$R$17,0),0),"")</f>
        <v/>
      </c>
      <c r="W139" s="141" t="str">
        <f>IFERROR(VLOOKUP($C139,'NEW MODEL BY SES'!$C$19:$R$242,MATCH('SeS in Retail Sales Areas'!W$7,'NEW MODEL BY SES'!$C$17:$R$17,0),0),"")</f>
        <v/>
      </c>
      <c r="X139" s="140" t="str">
        <f>IFERROR(VLOOKUP($C139,'NEW MODEL BY SES'!$C$19:$R$242,MATCH('SeS in Retail Sales Areas'!X$7,'NEW MODEL BY SES'!$C$17:$R$17,0),0),"")</f>
        <v/>
      </c>
      <c r="Z139" s="57"/>
    </row>
    <row r="140" spans="1:26">
      <c r="A140" t="s">
        <v>1064</v>
      </c>
      <c r="B140" s="57">
        <v>92</v>
      </c>
      <c r="C140" t="s">
        <v>1071</v>
      </c>
      <c r="D140" t="s">
        <v>40</v>
      </c>
      <c r="E140"/>
      <c r="F140" s="140" t="str">
        <f>IFERROR(VLOOKUP($C140,'NEW MODEL BY SES'!$C$19:$R$242,MATCH('SeS in Retail Sales Areas'!F$7,'NEW MODEL BY SES'!$C$17:$R$17,0),0),"")</f>
        <v/>
      </c>
      <c r="G140" s="140" t="str">
        <f>IFERROR(VLOOKUP($C140,'NEW MODEL BY SES'!$C$19:$R$242,MATCH('SeS in Retail Sales Areas'!G$7,'NEW MODEL BY SES'!$C$17:$R$17,0),0),"")</f>
        <v/>
      </c>
      <c r="H140" s="142" t="str">
        <f>IFERROR(VLOOKUP($C140,'NEW MODEL BY SES'!$C$19:$R$242,MATCH('SeS in Retail Sales Areas'!H$7,'NEW MODEL BY SES'!$C$17:$R$17,0),0),"")</f>
        <v/>
      </c>
      <c r="I140" s="140" t="str">
        <f>IFERROR(VLOOKUP($C140,'NEW MODEL BY SES'!$C$19:$R$242,MATCH('SeS in Retail Sales Areas'!I$7,'NEW MODEL BY SES'!$C$17:$R$17,0),0),"")</f>
        <v/>
      </c>
      <c r="J140" s="142" t="str">
        <f>IFERROR(VLOOKUP($C140,'NEW MODEL BY SES'!$C$19:$R$242,MATCH('SeS in Retail Sales Areas'!J$7,'NEW MODEL BY SES'!$C$17:$R$17,0),0),"")</f>
        <v/>
      </c>
      <c r="K140" s="140" t="str">
        <f>IFERROR(VLOOKUP($C140,'NEW MODEL BY SES'!$C$19:$R$242,MATCH('SeS in Retail Sales Areas'!K$7,'NEW MODEL BY SES'!$C$17:$R$17,0),0),"")</f>
        <v/>
      </c>
      <c r="L140" s="142" t="str">
        <f>IFERROR(VLOOKUP($C140,'NEW MODEL BY SES'!$C$19:$R$242,MATCH('SeS in Retail Sales Areas'!L$7,'NEW MODEL BY SES'!$C$17:$R$17,0),0),"")</f>
        <v/>
      </c>
      <c r="M140" s="140" t="str">
        <f>IFERROR(VLOOKUP($C140,'NEW MODEL BY SES'!$C$19:$R$242,MATCH('SeS in Retail Sales Areas'!M$7,'NEW MODEL BY SES'!$C$17:$R$17,0),0),"")</f>
        <v/>
      </c>
      <c r="N140" s="142" t="str">
        <f>IFERROR(VLOOKUP($C140,'NEW MODEL BY SES'!$C$19:$R$242,MATCH('SeS in Retail Sales Areas'!N$7,'NEW MODEL BY SES'!$C$17:$R$17,0),0),"")</f>
        <v/>
      </c>
      <c r="O140" s="140" t="str">
        <f>IFERROR(VLOOKUP($C140,'NEW MODEL BY SES'!$C$19:$R$242,MATCH('SeS in Retail Sales Areas'!O$7,'NEW MODEL BY SES'!$C$17:$R$17,0),0),"")</f>
        <v/>
      </c>
      <c r="P140" s="142" t="str">
        <f>IFERROR(VLOOKUP($C140,'NEW MODEL BY SES'!$C$19:$R$242,MATCH('SeS in Retail Sales Areas'!P$7,'NEW MODEL BY SES'!$C$17:$R$17,0),0),"")</f>
        <v/>
      </c>
      <c r="Q140" s="140" t="str">
        <f>IFERROR(VLOOKUP($C140,'NEW MODEL BY SES'!$C$19:$R$242,MATCH('SeS in Retail Sales Areas'!Q$7,'NEW MODEL BY SES'!$C$17:$R$17,0),0),"")</f>
        <v/>
      </c>
      <c r="R140" s="142" t="str">
        <f>IFERROR(VLOOKUP($C140,'NEW MODEL BY SES'!$C$19:$R$242,MATCH('SeS in Retail Sales Areas'!R$7,'NEW MODEL BY SES'!$C$17:$R$17,0),0),"")</f>
        <v/>
      </c>
      <c r="S140" s="141" t="str">
        <f>IFERROR(VLOOKUP($C140,'NEW MODEL BY SES'!$C$19:$R$242,MATCH('SeS in Retail Sales Areas'!S$7,'NEW MODEL BY SES'!$C$17:$R$17,0),0),"")</f>
        <v/>
      </c>
      <c r="T140" s="140" t="str">
        <f>IFERROR(VLOOKUP($C140,'NEW MODEL BY SES'!$C$19:$R$242,MATCH('SeS in Retail Sales Areas'!T$7,'NEW MODEL BY SES'!$C$17:$R$17,0),0),"")</f>
        <v/>
      </c>
      <c r="U140" s="142" t="str">
        <f>IFERROR(VLOOKUP($C140,'NEW MODEL BY SES'!$C$19:$R$242,MATCH('SeS in Retail Sales Areas'!U$7,'NEW MODEL BY SES'!$C$17:$R$17,0),0),"")</f>
        <v/>
      </c>
      <c r="V140" s="140" t="str">
        <f>IFERROR(VLOOKUP($C140,'NEW MODEL BY SES'!$C$19:$R$242,MATCH('SeS in Retail Sales Areas'!V$7,'NEW MODEL BY SES'!$C$17:$R$17,0),0),"")</f>
        <v/>
      </c>
      <c r="W140" s="141" t="str">
        <f>IFERROR(VLOOKUP($C140,'NEW MODEL BY SES'!$C$19:$R$242,MATCH('SeS in Retail Sales Areas'!W$7,'NEW MODEL BY SES'!$C$17:$R$17,0),0),"")</f>
        <v/>
      </c>
      <c r="X140" s="140" t="str">
        <f>IFERROR(VLOOKUP($C140,'NEW MODEL BY SES'!$C$19:$R$242,MATCH('SeS in Retail Sales Areas'!X$7,'NEW MODEL BY SES'!$C$17:$R$17,0),0),"")</f>
        <v/>
      </c>
      <c r="Z140" s="57"/>
    </row>
    <row r="141" spans="1:26">
      <c r="A141" t="s">
        <v>1064</v>
      </c>
      <c r="B141" s="57">
        <v>89</v>
      </c>
      <c r="C141" t="s">
        <v>1072</v>
      </c>
      <c r="D141" t="s">
        <v>40</v>
      </c>
      <c r="E141"/>
      <c r="F141" s="140" t="str">
        <f>IFERROR(VLOOKUP($C141,'NEW MODEL BY SES'!$C$19:$R$242,MATCH('SeS in Retail Sales Areas'!F$7,'NEW MODEL BY SES'!$C$17:$R$17,0),0),"")</f>
        <v/>
      </c>
      <c r="G141" s="140" t="str">
        <f>IFERROR(VLOOKUP($C141,'NEW MODEL BY SES'!$C$19:$R$242,MATCH('SeS in Retail Sales Areas'!G$7,'NEW MODEL BY SES'!$C$17:$R$17,0),0),"")</f>
        <v/>
      </c>
      <c r="H141" s="142" t="str">
        <f>IFERROR(VLOOKUP($C141,'NEW MODEL BY SES'!$C$19:$R$242,MATCH('SeS in Retail Sales Areas'!H$7,'NEW MODEL BY SES'!$C$17:$R$17,0),0),"")</f>
        <v/>
      </c>
      <c r="I141" s="140" t="str">
        <f>IFERROR(VLOOKUP($C141,'NEW MODEL BY SES'!$C$19:$R$242,MATCH('SeS in Retail Sales Areas'!I$7,'NEW MODEL BY SES'!$C$17:$R$17,0),0),"")</f>
        <v/>
      </c>
      <c r="J141" s="142" t="str">
        <f>IFERROR(VLOOKUP($C141,'NEW MODEL BY SES'!$C$19:$R$242,MATCH('SeS in Retail Sales Areas'!J$7,'NEW MODEL BY SES'!$C$17:$R$17,0),0),"")</f>
        <v/>
      </c>
      <c r="K141" s="140" t="str">
        <f>IFERROR(VLOOKUP($C141,'NEW MODEL BY SES'!$C$19:$R$242,MATCH('SeS in Retail Sales Areas'!K$7,'NEW MODEL BY SES'!$C$17:$R$17,0),0),"")</f>
        <v/>
      </c>
      <c r="L141" s="142" t="str">
        <f>IFERROR(VLOOKUP($C141,'NEW MODEL BY SES'!$C$19:$R$242,MATCH('SeS in Retail Sales Areas'!L$7,'NEW MODEL BY SES'!$C$17:$R$17,0),0),"")</f>
        <v/>
      </c>
      <c r="M141" s="140" t="str">
        <f>IFERROR(VLOOKUP($C141,'NEW MODEL BY SES'!$C$19:$R$242,MATCH('SeS in Retail Sales Areas'!M$7,'NEW MODEL BY SES'!$C$17:$R$17,0),0),"")</f>
        <v/>
      </c>
      <c r="N141" s="142" t="str">
        <f>IFERROR(VLOOKUP($C141,'NEW MODEL BY SES'!$C$19:$R$242,MATCH('SeS in Retail Sales Areas'!N$7,'NEW MODEL BY SES'!$C$17:$R$17,0),0),"")</f>
        <v/>
      </c>
      <c r="O141" s="140" t="str">
        <f>IFERROR(VLOOKUP($C141,'NEW MODEL BY SES'!$C$19:$R$242,MATCH('SeS in Retail Sales Areas'!O$7,'NEW MODEL BY SES'!$C$17:$R$17,0),0),"")</f>
        <v/>
      </c>
      <c r="P141" s="142" t="str">
        <f>IFERROR(VLOOKUP($C141,'NEW MODEL BY SES'!$C$19:$R$242,MATCH('SeS in Retail Sales Areas'!P$7,'NEW MODEL BY SES'!$C$17:$R$17,0),0),"")</f>
        <v/>
      </c>
      <c r="Q141" s="140" t="str">
        <f>IFERROR(VLOOKUP($C141,'NEW MODEL BY SES'!$C$19:$R$242,MATCH('SeS in Retail Sales Areas'!Q$7,'NEW MODEL BY SES'!$C$17:$R$17,0),0),"")</f>
        <v/>
      </c>
      <c r="R141" s="142" t="str">
        <f>IFERROR(VLOOKUP($C141,'NEW MODEL BY SES'!$C$19:$R$242,MATCH('SeS in Retail Sales Areas'!R$7,'NEW MODEL BY SES'!$C$17:$R$17,0),0),"")</f>
        <v/>
      </c>
      <c r="S141" s="141" t="str">
        <f>IFERROR(VLOOKUP($C141,'NEW MODEL BY SES'!$C$19:$R$242,MATCH('SeS in Retail Sales Areas'!S$7,'NEW MODEL BY SES'!$C$17:$R$17,0),0),"")</f>
        <v/>
      </c>
      <c r="T141" s="140" t="str">
        <f>IFERROR(VLOOKUP($C141,'NEW MODEL BY SES'!$C$19:$R$242,MATCH('SeS in Retail Sales Areas'!T$7,'NEW MODEL BY SES'!$C$17:$R$17,0),0),"")</f>
        <v/>
      </c>
      <c r="U141" s="142" t="str">
        <f>IFERROR(VLOOKUP($C141,'NEW MODEL BY SES'!$C$19:$R$242,MATCH('SeS in Retail Sales Areas'!U$7,'NEW MODEL BY SES'!$C$17:$R$17,0),0),"")</f>
        <v/>
      </c>
      <c r="V141" s="140" t="str">
        <f>IFERROR(VLOOKUP($C141,'NEW MODEL BY SES'!$C$19:$R$242,MATCH('SeS in Retail Sales Areas'!V$7,'NEW MODEL BY SES'!$C$17:$R$17,0),0),"")</f>
        <v/>
      </c>
      <c r="W141" s="141" t="str">
        <f>IFERROR(VLOOKUP($C141,'NEW MODEL BY SES'!$C$19:$R$242,MATCH('SeS in Retail Sales Areas'!W$7,'NEW MODEL BY SES'!$C$17:$R$17,0),0),"")</f>
        <v/>
      </c>
      <c r="X141" s="140" t="str">
        <f>IFERROR(VLOOKUP($C141,'NEW MODEL BY SES'!$C$19:$R$242,MATCH('SeS in Retail Sales Areas'!X$7,'NEW MODEL BY SES'!$C$17:$R$17,0),0),"")</f>
        <v/>
      </c>
      <c r="Z141" s="57"/>
    </row>
    <row r="142" spans="1:26">
      <c r="A142" t="s">
        <v>1064</v>
      </c>
      <c r="B142" s="57">
        <v>85</v>
      </c>
      <c r="C142" t="s">
        <v>1073</v>
      </c>
      <c r="D142" t="s">
        <v>40</v>
      </c>
      <c r="E142"/>
      <c r="F142" s="140" t="str">
        <f>IFERROR(VLOOKUP($C142,'NEW MODEL BY SES'!$C$19:$R$242,MATCH('SeS in Retail Sales Areas'!F$7,'NEW MODEL BY SES'!$C$17:$R$17,0),0),"")</f>
        <v/>
      </c>
      <c r="G142" s="140" t="str">
        <f>IFERROR(VLOOKUP($C142,'NEW MODEL BY SES'!$C$19:$R$242,MATCH('SeS in Retail Sales Areas'!G$7,'NEW MODEL BY SES'!$C$17:$R$17,0),0),"")</f>
        <v/>
      </c>
      <c r="H142" s="142" t="str">
        <f>IFERROR(VLOOKUP($C142,'NEW MODEL BY SES'!$C$19:$R$242,MATCH('SeS in Retail Sales Areas'!H$7,'NEW MODEL BY SES'!$C$17:$R$17,0),0),"")</f>
        <v/>
      </c>
      <c r="I142" s="140" t="str">
        <f>IFERROR(VLOOKUP($C142,'NEW MODEL BY SES'!$C$19:$R$242,MATCH('SeS in Retail Sales Areas'!I$7,'NEW MODEL BY SES'!$C$17:$R$17,0),0),"")</f>
        <v/>
      </c>
      <c r="J142" s="142" t="str">
        <f>IFERROR(VLOOKUP($C142,'NEW MODEL BY SES'!$C$19:$R$242,MATCH('SeS in Retail Sales Areas'!J$7,'NEW MODEL BY SES'!$C$17:$R$17,0),0),"")</f>
        <v/>
      </c>
      <c r="K142" s="140" t="str">
        <f>IFERROR(VLOOKUP($C142,'NEW MODEL BY SES'!$C$19:$R$242,MATCH('SeS in Retail Sales Areas'!K$7,'NEW MODEL BY SES'!$C$17:$R$17,0),0),"")</f>
        <v/>
      </c>
      <c r="L142" s="142" t="str">
        <f>IFERROR(VLOOKUP($C142,'NEW MODEL BY SES'!$C$19:$R$242,MATCH('SeS in Retail Sales Areas'!L$7,'NEW MODEL BY SES'!$C$17:$R$17,0),0),"")</f>
        <v/>
      </c>
      <c r="M142" s="140" t="str">
        <f>IFERROR(VLOOKUP($C142,'NEW MODEL BY SES'!$C$19:$R$242,MATCH('SeS in Retail Sales Areas'!M$7,'NEW MODEL BY SES'!$C$17:$R$17,0),0),"")</f>
        <v/>
      </c>
      <c r="N142" s="142" t="str">
        <f>IFERROR(VLOOKUP($C142,'NEW MODEL BY SES'!$C$19:$R$242,MATCH('SeS in Retail Sales Areas'!N$7,'NEW MODEL BY SES'!$C$17:$R$17,0),0),"")</f>
        <v/>
      </c>
      <c r="O142" s="140" t="str">
        <f>IFERROR(VLOOKUP($C142,'NEW MODEL BY SES'!$C$19:$R$242,MATCH('SeS in Retail Sales Areas'!O$7,'NEW MODEL BY SES'!$C$17:$R$17,0),0),"")</f>
        <v/>
      </c>
      <c r="P142" s="142" t="str">
        <f>IFERROR(VLOOKUP($C142,'NEW MODEL BY SES'!$C$19:$R$242,MATCH('SeS in Retail Sales Areas'!P$7,'NEW MODEL BY SES'!$C$17:$R$17,0),0),"")</f>
        <v/>
      </c>
      <c r="Q142" s="140" t="str">
        <f>IFERROR(VLOOKUP($C142,'NEW MODEL BY SES'!$C$19:$R$242,MATCH('SeS in Retail Sales Areas'!Q$7,'NEW MODEL BY SES'!$C$17:$R$17,0),0),"")</f>
        <v/>
      </c>
      <c r="R142" s="142" t="str">
        <f>IFERROR(VLOOKUP($C142,'NEW MODEL BY SES'!$C$19:$R$242,MATCH('SeS in Retail Sales Areas'!R$7,'NEW MODEL BY SES'!$C$17:$R$17,0),0),"")</f>
        <v/>
      </c>
      <c r="S142" s="141" t="str">
        <f>IFERROR(VLOOKUP($C142,'NEW MODEL BY SES'!$C$19:$R$242,MATCH('SeS in Retail Sales Areas'!S$7,'NEW MODEL BY SES'!$C$17:$R$17,0),0),"")</f>
        <v/>
      </c>
      <c r="T142" s="140" t="str">
        <f>IFERROR(VLOOKUP($C142,'NEW MODEL BY SES'!$C$19:$R$242,MATCH('SeS in Retail Sales Areas'!T$7,'NEW MODEL BY SES'!$C$17:$R$17,0),0),"")</f>
        <v/>
      </c>
      <c r="U142" s="142" t="str">
        <f>IFERROR(VLOOKUP($C142,'NEW MODEL BY SES'!$C$19:$R$242,MATCH('SeS in Retail Sales Areas'!U$7,'NEW MODEL BY SES'!$C$17:$R$17,0),0),"")</f>
        <v/>
      </c>
      <c r="V142" s="140" t="str">
        <f>IFERROR(VLOOKUP($C142,'NEW MODEL BY SES'!$C$19:$R$242,MATCH('SeS in Retail Sales Areas'!V$7,'NEW MODEL BY SES'!$C$17:$R$17,0),0),"")</f>
        <v/>
      </c>
      <c r="W142" s="141" t="str">
        <f>IFERROR(VLOOKUP($C142,'NEW MODEL BY SES'!$C$19:$R$242,MATCH('SeS in Retail Sales Areas'!W$7,'NEW MODEL BY SES'!$C$17:$R$17,0),0),"")</f>
        <v/>
      </c>
      <c r="X142" s="140" t="str">
        <f>IFERROR(VLOOKUP($C142,'NEW MODEL BY SES'!$C$19:$R$242,MATCH('SeS in Retail Sales Areas'!X$7,'NEW MODEL BY SES'!$C$17:$R$17,0),0),"")</f>
        <v/>
      </c>
      <c r="Z142" s="57"/>
    </row>
    <row r="143" spans="1:26">
      <c r="A143" t="s">
        <v>1064</v>
      </c>
      <c r="B143" s="57">
        <v>83</v>
      </c>
      <c r="C143" t="s">
        <v>1074</v>
      </c>
      <c r="D143" t="s">
        <v>40</v>
      </c>
      <c r="E143"/>
      <c r="F143" s="140" t="str">
        <f>IFERROR(VLOOKUP($C143,'NEW MODEL BY SES'!$C$19:$R$242,MATCH('SeS in Retail Sales Areas'!F$7,'NEW MODEL BY SES'!$C$17:$R$17,0),0),"")</f>
        <v/>
      </c>
      <c r="G143" s="140" t="str">
        <f>IFERROR(VLOOKUP($C143,'NEW MODEL BY SES'!$C$19:$R$242,MATCH('SeS in Retail Sales Areas'!G$7,'NEW MODEL BY SES'!$C$17:$R$17,0),0),"")</f>
        <v/>
      </c>
      <c r="H143" s="142" t="str">
        <f>IFERROR(VLOOKUP($C143,'NEW MODEL BY SES'!$C$19:$R$242,MATCH('SeS in Retail Sales Areas'!H$7,'NEW MODEL BY SES'!$C$17:$R$17,0),0),"")</f>
        <v/>
      </c>
      <c r="I143" s="140" t="str">
        <f>IFERROR(VLOOKUP($C143,'NEW MODEL BY SES'!$C$19:$R$242,MATCH('SeS in Retail Sales Areas'!I$7,'NEW MODEL BY SES'!$C$17:$R$17,0),0),"")</f>
        <v/>
      </c>
      <c r="J143" s="142" t="str">
        <f>IFERROR(VLOOKUP($C143,'NEW MODEL BY SES'!$C$19:$R$242,MATCH('SeS in Retail Sales Areas'!J$7,'NEW MODEL BY SES'!$C$17:$R$17,0),0),"")</f>
        <v/>
      </c>
      <c r="K143" s="140" t="str">
        <f>IFERROR(VLOOKUP($C143,'NEW MODEL BY SES'!$C$19:$R$242,MATCH('SeS in Retail Sales Areas'!K$7,'NEW MODEL BY SES'!$C$17:$R$17,0),0),"")</f>
        <v/>
      </c>
      <c r="L143" s="142" t="str">
        <f>IFERROR(VLOOKUP($C143,'NEW MODEL BY SES'!$C$19:$R$242,MATCH('SeS in Retail Sales Areas'!L$7,'NEW MODEL BY SES'!$C$17:$R$17,0),0),"")</f>
        <v/>
      </c>
      <c r="M143" s="140" t="str">
        <f>IFERROR(VLOOKUP($C143,'NEW MODEL BY SES'!$C$19:$R$242,MATCH('SeS in Retail Sales Areas'!M$7,'NEW MODEL BY SES'!$C$17:$R$17,0),0),"")</f>
        <v/>
      </c>
      <c r="N143" s="142" t="str">
        <f>IFERROR(VLOOKUP($C143,'NEW MODEL BY SES'!$C$19:$R$242,MATCH('SeS in Retail Sales Areas'!N$7,'NEW MODEL BY SES'!$C$17:$R$17,0),0),"")</f>
        <v/>
      </c>
      <c r="O143" s="140" t="str">
        <f>IFERROR(VLOOKUP($C143,'NEW MODEL BY SES'!$C$19:$R$242,MATCH('SeS in Retail Sales Areas'!O$7,'NEW MODEL BY SES'!$C$17:$R$17,0),0),"")</f>
        <v/>
      </c>
      <c r="P143" s="142" t="str">
        <f>IFERROR(VLOOKUP($C143,'NEW MODEL BY SES'!$C$19:$R$242,MATCH('SeS in Retail Sales Areas'!P$7,'NEW MODEL BY SES'!$C$17:$R$17,0),0),"")</f>
        <v/>
      </c>
      <c r="Q143" s="140" t="str">
        <f>IFERROR(VLOOKUP($C143,'NEW MODEL BY SES'!$C$19:$R$242,MATCH('SeS in Retail Sales Areas'!Q$7,'NEW MODEL BY SES'!$C$17:$R$17,0),0),"")</f>
        <v/>
      </c>
      <c r="R143" s="142" t="str">
        <f>IFERROR(VLOOKUP($C143,'NEW MODEL BY SES'!$C$19:$R$242,MATCH('SeS in Retail Sales Areas'!R$7,'NEW MODEL BY SES'!$C$17:$R$17,0),0),"")</f>
        <v/>
      </c>
      <c r="S143" s="141" t="str">
        <f>IFERROR(VLOOKUP($C143,'NEW MODEL BY SES'!$C$19:$R$242,MATCH('SeS in Retail Sales Areas'!S$7,'NEW MODEL BY SES'!$C$17:$R$17,0),0),"")</f>
        <v/>
      </c>
      <c r="T143" s="140" t="str">
        <f>IFERROR(VLOOKUP($C143,'NEW MODEL BY SES'!$C$19:$R$242,MATCH('SeS in Retail Sales Areas'!T$7,'NEW MODEL BY SES'!$C$17:$R$17,0),0),"")</f>
        <v/>
      </c>
      <c r="U143" s="142" t="str">
        <f>IFERROR(VLOOKUP($C143,'NEW MODEL BY SES'!$C$19:$R$242,MATCH('SeS in Retail Sales Areas'!U$7,'NEW MODEL BY SES'!$C$17:$R$17,0),0),"")</f>
        <v/>
      </c>
      <c r="V143" s="140" t="str">
        <f>IFERROR(VLOOKUP($C143,'NEW MODEL BY SES'!$C$19:$R$242,MATCH('SeS in Retail Sales Areas'!V$7,'NEW MODEL BY SES'!$C$17:$R$17,0),0),"")</f>
        <v/>
      </c>
      <c r="W143" s="141" t="str">
        <f>IFERROR(VLOOKUP($C143,'NEW MODEL BY SES'!$C$19:$R$242,MATCH('SeS in Retail Sales Areas'!W$7,'NEW MODEL BY SES'!$C$17:$R$17,0),0),"")</f>
        <v/>
      </c>
      <c r="X143" s="140" t="str">
        <f>IFERROR(VLOOKUP($C143,'NEW MODEL BY SES'!$C$19:$R$242,MATCH('SeS in Retail Sales Areas'!X$7,'NEW MODEL BY SES'!$C$17:$R$17,0),0),"")</f>
        <v/>
      </c>
      <c r="Z143" s="57"/>
    </row>
    <row r="144" spans="1:26">
      <c r="A144" t="s">
        <v>1064</v>
      </c>
      <c r="B144" s="57">
        <v>83</v>
      </c>
      <c r="C144" t="s">
        <v>1075</v>
      </c>
      <c r="D144" t="s">
        <v>40</v>
      </c>
      <c r="E144"/>
      <c r="F144" s="140" t="str">
        <f>IFERROR(VLOOKUP($C144,'NEW MODEL BY SES'!$C$19:$R$242,MATCH('SeS in Retail Sales Areas'!F$7,'NEW MODEL BY SES'!$C$17:$R$17,0),0),"")</f>
        <v/>
      </c>
      <c r="G144" s="140" t="str">
        <f>IFERROR(VLOOKUP($C144,'NEW MODEL BY SES'!$C$19:$R$242,MATCH('SeS in Retail Sales Areas'!G$7,'NEW MODEL BY SES'!$C$17:$R$17,0),0),"")</f>
        <v/>
      </c>
      <c r="H144" s="142" t="str">
        <f>IFERROR(VLOOKUP($C144,'NEW MODEL BY SES'!$C$19:$R$242,MATCH('SeS in Retail Sales Areas'!H$7,'NEW MODEL BY SES'!$C$17:$R$17,0),0),"")</f>
        <v/>
      </c>
      <c r="I144" s="140" t="str">
        <f>IFERROR(VLOOKUP($C144,'NEW MODEL BY SES'!$C$19:$R$242,MATCH('SeS in Retail Sales Areas'!I$7,'NEW MODEL BY SES'!$C$17:$R$17,0),0),"")</f>
        <v/>
      </c>
      <c r="J144" s="142" t="str">
        <f>IFERROR(VLOOKUP($C144,'NEW MODEL BY SES'!$C$19:$R$242,MATCH('SeS in Retail Sales Areas'!J$7,'NEW MODEL BY SES'!$C$17:$R$17,0),0),"")</f>
        <v/>
      </c>
      <c r="K144" s="140" t="str">
        <f>IFERROR(VLOOKUP($C144,'NEW MODEL BY SES'!$C$19:$R$242,MATCH('SeS in Retail Sales Areas'!K$7,'NEW MODEL BY SES'!$C$17:$R$17,0),0),"")</f>
        <v/>
      </c>
      <c r="L144" s="142" t="str">
        <f>IFERROR(VLOOKUP($C144,'NEW MODEL BY SES'!$C$19:$R$242,MATCH('SeS in Retail Sales Areas'!L$7,'NEW MODEL BY SES'!$C$17:$R$17,0),0),"")</f>
        <v/>
      </c>
      <c r="M144" s="140" t="str">
        <f>IFERROR(VLOOKUP($C144,'NEW MODEL BY SES'!$C$19:$R$242,MATCH('SeS in Retail Sales Areas'!M$7,'NEW MODEL BY SES'!$C$17:$R$17,0),0),"")</f>
        <v/>
      </c>
      <c r="N144" s="142" t="str">
        <f>IFERROR(VLOOKUP($C144,'NEW MODEL BY SES'!$C$19:$R$242,MATCH('SeS in Retail Sales Areas'!N$7,'NEW MODEL BY SES'!$C$17:$R$17,0),0),"")</f>
        <v/>
      </c>
      <c r="O144" s="140" t="str">
        <f>IFERROR(VLOOKUP($C144,'NEW MODEL BY SES'!$C$19:$R$242,MATCH('SeS in Retail Sales Areas'!O$7,'NEW MODEL BY SES'!$C$17:$R$17,0),0),"")</f>
        <v/>
      </c>
      <c r="P144" s="142" t="str">
        <f>IFERROR(VLOOKUP($C144,'NEW MODEL BY SES'!$C$19:$R$242,MATCH('SeS in Retail Sales Areas'!P$7,'NEW MODEL BY SES'!$C$17:$R$17,0),0),"")</f>
        <v/>
      </c>
      <c r="Q144" s="140" t="str">
        <f>IFERROR(VLOOKUP($C144,'NEW MODEL BY SES'!$C$19:$R$242,MATCH('SeS in Retail Sales Areas'!Q$7,'NEW MODEL BY SES'!$C$17:$R$17,0),0),"")</f>
        <v/>
      </c>
      <c r="R144" s="142" t="str">
        <f>IFERROR(VLOOKUP($C144,'NEW MODEL BY SES'!$C$19:$R$242,MATCH('SeS in Retail Sales Areas'!R$7,'NEW MODEL BY SES'!$C$17:$R$17,0),0),"")</f>
        <v/>
      </c>
      <c r="S144" s="141" t="str">
        <f>IFERROR(VLOOKUP($C144,'NEW MODEL BY SES'!$C$19:$R$242,MATCH('SeS in Retail Sales Areas'!S$7,'NEW MODEL BY SES'!$C$17:$R$17,0),0),"")</f>
        <v/>
      </c>
      <c r="T144" s="140" t="str">
        <f>IFERROR(VLOOKUP($C144,'NEW MODEL BY SES'!$C$19:$R$242,MATCH('SeS in Retail Sales Areas'!T$7,'NEW MODEL BY SES'!$C$17:$R$17,0),0),"")</f>
        <v/>
      </c>
      <c r="U144" s="142" t="str">
        <f>IFERROR(VLOOKUP($C144,'NEW MODEL BY SES'!$C$19:$R$242,MATCH('SeS in Retail Sales Areas'!U$7,'NEW MODEL BY SES'!$C$17:$R$17,0),0),"")</f>
        <v/>
      </c>
      <c r="V144" s="140" t="str">
        <f>IFERROR(VLOOKUP($C144,'NEW MODEL BY SES'!$C$19:$R$242,MATCH('SeS in Retail Sales Areas'!V$7,'NEW MODEL BY SES'!$C$17:$R$17,0),0),"")</f>
        <v/>
      </c>
      <c r="W144" s="141" t="str">
        <f>IFERROR(VLOOKUP($C144,'NEW MODEL BY SES'!$C$19:$R$242,MATCH('SeS in Retail Sales Areas'!W$7,'NEW MODEL BY SES'!$C$17:$R$17,0),0),"")</f>
        <v/>
      </c>
      <c r="X144" s="140" t="str">
        <f>IFERROR(VLOOKUP($C144,'NEW MODEL BY SES'!$C$19:$R$242,MATCH('SeS in Retail Sales Areas'!X$7,'NEW MODEL BY SES'!$C$17:$R$17,0),0),"")</f>
        <v/>
      </c>
      <c r="Z144" s="57"/>
    </row>
    <row r="145" spans="1:26">
      <c r="A145" t="s">
        <v>1064</v>
      </c>
      <c r="B145" s="57">
        <v>82</v>
      </c>
      <c r="C145" t="s">
        <v>1076</v>
      </c>
      <c r="D145" t="s">
        <v>40</v>
      </c>
      <c r="E145"/>
      <c r="F145" s="140" t="str">
        <f>IFERROR(VLOOKUP($C145,'NEW MODEL BY SES'!$C$19:$R$242,MATCH('SeS in Retail Sales Areas'!F$7,'NEW MODEL BY SES'!$C$17:$R$17,0),0),"")</f>
        <v/>
      </c>
      <c r="G145" s="140" t="str">
        <f>IFERROR(VLOOKUP($C145,'NEW MODEL BY SES'!$C$19:$R$242,MATCH('SeS in Retail Sales Areas'!G$7,'NEW MODEL BY SES'!$C$17:$R$17,0),0),"")</f>
        <v/>
      </c>
      <c r="H145" s="142" t="str">
        <f>IFERROR(VLOOKUP($C145,'NEW MODEL BY SES'!$C$19:$R$242,MATCH('SeS in Retail Sales Areas'!H$7,'NEW MODEL BY SES'!$C$17:$R$17,0),0),"")</f>
        <v/>
      </c>
      <c r="I145" s="140" t="str">
        <f>IFERROR(VLOOKUP($C145,'NEW MODEL BY SES'!$C$19:$R$242,MATCH('SeS in Retail Sales Areas'!I$7,'NEW MODEL BY SES'!$C$17:$R$17,0),0),"")</f>
        <v/>
      </c>
      <c r="J145" s="142" t="str">
        <f>IFERROR(VLOOKUP($C145,'NEW MODEL BY SES'!$C$19:$R$242,MATCH('SeS in Retail Sales Areas'!J$7,'NEW MODEL BY SES'!$C$17:$R$17,0),0),"")</f>
        <v/>
      </c>
      <c r="K145" s="140" t="str">
        <f>IFERROR(VLOOKUP($C145,'NEW MODEL BY SES'!$C$19:$R$242,MATCH('SeS in Retail Sales Areas'!K$7,'NEW MODEL BY SES'!$C$17:$R$17,0),0),"")</f>
        <v/>
      </c>
      <c r="L145" s="142" t="str">
        <f>IFERROR(VLOOKUP($C145,'NEW MODEL BY SES'!$C$19:$R$242,MATCH('SeS in Retail Sales Areas'!L$7,'NEW MODEL BY SES'!$C$17:$R$17,0),0),"")</f>
        <v/>
      </c>
      <c r="M145" s="140" t="str">
        <f>IFERROR(VLOOKUP($C145,'NEW MODEL BY SES'!$C$19:$R$242,MATCH('SeS in Retail Sales Areas'!M$7,'NEW MODEL BY SES'!$C$17:$R$17,0),0),"")</f>
        <v/>
      </c>
      <c r="N145" s="142" t="str">
        <f>IFERROR(VLOOKUP($C145,'NEW MODEL BY SES'!$C$19:$R$242,MATCH('SeS in Retail Sales Areas'!N$7,'NEW MODEL BY SES'!$C$17:$R$17,0),0),"")</f>
        <v/>
      </c>
      <c r="O145" s="140" t="str">
        <f>IFERROR(VLOOKUP($C145,'NEW MODEL BY SES'!$C$19:$R$242,MATCH('SeS in Retail Sales Areas'!O$7,'NEW MODEL BY SES'!$C$17:$R$17,0),0),"")</f>
        <v/>
      </c>
      <c r="P145" s="142" t="str">
        <f>IFERROR(VLOOKUP($C145,'NEW MODEL BY SES'!$C$19:$R$242,MATCH('SeS in Retail Sales Areas'!P$7,'NEW MODEL BY SES'!$C$17:$R$17,0),0),"")</f>
        <v/>
      </c>
      <c r="Q145" s="140" t="str">
        <f>IFERROR(VLOOKUP($C145,'NEW MODEL BY SES'!$C$19:$R$242,MATCH('SeS in Retail Sales Areas'!Q$7,'NEW MODEL BY SES'!$C$17:$R$17,0),0),"")</f>
        <v/>
      </c>
      <c r="R145" s="142" t="str">
        <f>IFERROR(VLOOKUP($C145,'NEW MODEL BY SES'!$C$19:$R$242,MATCH('SeS in Retail Sales Areas'!R$7,'NEW MODEL BY SES'!$C$17:$R$17,0),0),"")</f>
        <v/>
      </c>
      <c r="S145" s="141" t="str">
        <f>IFERROR(VLOOKUP($C145,'NEW MODEL BY SES'!$C$19:$R$242,MATCH('SeS in Retail Sales Areas'!S$7,'NEW MODEL BY SES'!$C$17:$R$17,0),0),"")</f>
        <v/>
      </c>
      <c r="T145" s="140" t="str">
        <f>IFERROR(VLOOKUP($C145,'NEW MODEL BY SES'!$C$19:$R$242,MATCH('SeS in Retail Sales Areas'!T$7,'NEW MODEL BY SES'!$C$17:$R$17,0),0),"")</f>
        <v/>
      </c>
      <c r="U145" s="142" t="str">
        <f>IFERROR(VLOOKUP($C145,'NEW MODEL BY SES'!$C$19:$R$242,MATCH('SeS in Retail Sales Areas'!U$7,'NEW MODEL BY SES'!$C$17:$R$17,0),0),"")</f>
        <v/>
      </c>
      <c r="V145" s="140" t="str">
        <f>IFERROR(VLOOKUP($C145,'NEW MODEL BY SES'!$C$19:$R$242,MATCH('SeS in Retail Sales Areas'!V$7,'NEW MODEL BY SES'!$C$17:$R$17,0),0),"")</f>
        <v/>
      </c>
      <c r="W145" s="141" t="str">
        <f>IFERROR(VLOOKUP($C145,'NEW MODEL BY SES'!$C$19:$R$242,MATCH('SeS in Retail Sales Areas'!W$7,'NEW MODEL BY SES'!$C$17:$R$17,0),0),"")</f>
        <v/>
      </c>
      <c r="X145" s="140" t="str">
        <f>IFERROR(VLOOKUP($C145,'NEW MODEL BY SES'!$C$19:$R$242,MATCH('SeS in Retail Sales Areas'!X$7,'NEW MODEL BY SES'!$C$17:$R$17,0),0),"")</f>
        <v/>
      </c>
      <c r="Z145" s="57"/>
    </row>
    <row r="146" spans="1:26">
      <c r="A146" t="s">
        <v>1064</v>
      </c>
      <c r="B146" s="57">
        <v>82</v>
      </c>
      <c r="C146" t="s">
        <v>1077</v>
      </c>
      <c r="D146" t="s">
        <v>40</v>
      </c>
      <c r="E146"/>
      <c r="F146" s="140" t="str">
        <f>IFERROR(VLOOKUP($C146,'NEW MODEL BY SES'!$C$19:$R$242,MATCH('SeS in Retail Sales Areas'!F$7,'NEW MODEL BY SES'!$C$17:$R$17,0),0),"")</f>
        <v/>
      </c>
      <c r="G146" s="140" t="str">
        <f>IFERROR(VLOOKUP($C146,'NEW MODEL BY SES'!$C$19:$R$242,MATCH('SeS in Retail Sales Areas'!G$7,'NEW MODEL BY SES'!$C$17:$R$17,0),0),"")</f>
        <v/>
      </c>
      <c r="H146" s="142" t="str">
        <f>IFERROR(VLOOKUP($C146,'NEW MODEL BY SES'!$C$19:$R$242,MATCH('SeS in Retail Sales Areas'!H$7,'NEW MODEL BY SES'!$C$17:$R$17,0),0),"")</f>
        <v/>
      </c>
      <c r="I146" s="140" t="str">
        <f>IFERROR(VLOOKUP($C146,'NEW MODEL BY SES'!$C$19:$R$242,MATCH('SeS in Retail Sales Areas'!I$7,'NEW MODEL BY SES'!$C$17:$R$17,0),0),"")</f>
        <v/>
      </c>
      <c r="J146" s="142" t="str">
        <f>IFERROR(VLOOKUP($C146,'NEW MODEL BY SES'!$C$19:$R$242,MATCH('SeS in Retail Sales Areas'!J$7,'NEW MODEL BY SES'!$C$17:$R$17,0),0),"")</f>
        <v/>
      </c>
      <c r="K146" s="140" t="str">
        <f>IFERROR(VLOOKUP($C146,'NEW MODEL BY SES'!$C$19:$R$242,MATCH('SeS in Retail Sales Areas'!K$7,'NEW MODEL BY SES'!$C$17:$R$17,0),0),"")</f>
        <v/>
      </c>
      <c r="L146" s="142" t="str">
        <f>IFERROR(VLOOKUP($C146,'NEW MODEL BY SES'!$C$19:$R$242,MATCH('SeS in Retail Sales Areas'!L$7,'NEW MODEL BY SES'!$C$17:$R$17,0),0),"")</f>
        <v/>
      </c>
      <c r="M146" s="140" t="str">
        <f>IFERROR(VLOOKUP($C146,'NEW MODEL BY SES'!$C$19:$R$242,MATCH('SeS in Retail Sales Areas'!M$7,'NEW MODEL BY SES'!$C$17:$R$17,0),0),"")</f>
        <v/>
      </c>
      <c r="N146" s="142" t="str">
        <f>IFERROR(VLOOKUP($C146,'NEW MODEL BY SES'!$C$19:$R$242,MATCH('SeS in Retail Sales Areas'!N$7,'NEW MODEL BY SES'!$C$17:$R$17,0),0),"")</f>
        <v/>
      </c>
      <c r="O146" s="140" t="str">
        <f>IFERROR(VLOOKUP($C146,'NEW MODEL BY SES'!$C$19:$R$242,MATCH('SeS in Retail Sales Areas'!O$7,'NEW MODEL BY SES'!$C$17:$R$17,0),0),"")</f>
        <v/>
      </c>
      <c r="P146" s="142" t="str">
        <f>IFERROR(VLOOKUP($C146,'NEW MODEL BY SES'!$C$19:$R$242,MATCH('SeS in Retail Sales Areas'!P$7,'NEW MODEL BY SES'!$C$17:$R$17,0),0),"")</f>
        <v/>
      </c>
      <c r="Q146" s="140" t="str">
        <f>IFERROR(VLOOKUP($C146,'NEW MODEL BY SES'!$C$19:$R$242,MATCH('SeS in Retail Sales Areas'!Q$7,'NEW MODEL BY SES'!$C$17:$R$17,0),0),"")</f>
        <v/>
      </c>
      <c r="R146" s="142" t="str">
        <f>IFERROR(VLOOKUP($C146,'NEW MODEL BY SES'!$C$19:$R$242,MATCH('SeS in Retail Sales Areas'!R$7,'NEW MODEL BY SES'!$C$17:$R$17,0),0),"")</f>
        <v/>
      </c>
      <c r="S146" s="141" t="str">
        <f>IFERROR(VLOOKUP($C146,'NEW MODEL BY SES'!$C$19:$R$242,MATCH('SeS in Retail Sales Areas'!S$7,'NEW MODEL BY SES'!$C$17:$R$17,0),0),"")</f>
        <v/>
      </c>
      <c r="T146" s="140" t="str">
        <f>IFERROR(VLOOKUP($C146,'NEW MODEL BY SES'!$C$19:$R$242,MATCH('SeS in Retail Sales Areas'!T$7,'NEW MODEL BY SES'!$C$17:$R$17,0),0),"")</f>
        <v/>
      </c>
      <c r="U146" s="142" t="str">
        <f>IFERROR(VLOOKUP($C146,'NEW MODEL BY SES'!$C$19:$R$242,MATCH('SeS in Retail Sales Areas'!U$7,'NEW MODEL BY SES'!$C$17:$R$17,0),0),"")</f>
        <v/>
      </c>
      <c r="V146" s="140" t="str">
        <f>IFERROR(VLOOKUP($C146,'NEW MODEL BY SES'!$C$19:$R$242,MATCH('SeS in Retail Sales Areas'!V$7,'NEW MODEL BY SES'!$C$17:$R$17,0),0),"")</f>
        <v/>
      </c>
      <c r="W146" s="141" t="str">
        <f>IFERROR(VLOOKUP($C146,'NEW MODEL BY SES'!$C$19:$R$242,MATCH('SeS in Retail Sales Areas'!W$7,'NEW MODEL BY SES'!$C$17:$R$17,0),0),"")</f>
        <v/>
      </c>
      <c r="X146" s="140" t="str">
        <f>IFERROR(VLOOKUP($C146,'NEW MODEL BY SES'!$C$19:$R$242,MATCH('SeS in Retail Sales Areas'!X$7,'NEW MODEL BY SES'!$C$17:$R$17,0),0),"")</f>
        <v/>
      </c>
      <c r="Z146" s="57"/>
    </row>
    <row r="147" spans="1:26">
      <c r="A147" t="s">
        <v>1064</v>
      </c>
      <c r="B147" s="57">
        <v>80</v>
      </c>
      <c r="C147" t="s">
        <v>1078</v>
      </c>
      <c r="D147" t="s">
        <v>40</v>
      </c>
      <c r="E147"/>
      <c r="F147" s="140" t="str">
        <f>IFERROR(VLOOKUP($C147,'NEW MODEL BY SES'!$C$19:$R$242,MATCH('SeS in Retail Sales Areas'!F$7,'NEW MODEL BY SES'!$C$17:$R$17,0),0),"")</f>
        <v/>
      </c>
      <c r="G147" s="140" t="str">
        <f>IFERROR(VLOOKUP($C147,'NEW MODEL BY SES'!$C$19:$R$242,MATCH('SeS in Retail Sales Areas'!G$7,'NEW MODEL BY SES'!$C$17:$R$17,0),0),"")</f>
        <v/>
      </c>
      <c r="H147" s="142" t="str">
        <f>IFERROR(VLOOKUP($C147,'NEW MODEL BY SES'!$C$19:$R$242,MATCH('SeS in Retail Sales Areas'!H$7,'NEW MODEL BY SES'!$C$17:$R$17,0),0),"")</f>
        <v/>
      </c>
      <c r="I147" s="140" t="str">
        <f>IFERROR(VLOOKUP($C147,'NEW MODEL BY SES'!$C$19:$R$242,MATCH('SeS in Retail Sales Areas'!I$7,'NEW MODEL BY SES'!$C$17:$R$17,0),0),"")</f>
        <v/>
      </c>
      <c r="J147" s="142" t="str">
        <f>IFERROR(VLOOKUP($C147,'NEW MODEL BY SES'!$C$19:$R$242,MATCH('SeS in Retail Sales Areas'!J$7,'NEW MODEL BY SES'!$C$17:$R$17,0),0),"")</f>
        <v/>
      </c>
      <c r="K147" s="140" t="str">
        <f>IFERROR(VLOOKUP($C147,'NEW MODEL BY SES'!$C$19:$R$242,MATCH('SeS in Retail Sales Areas'!K$7,'NEW MODEL BY SES'!$C$17:$R$17,0),0),"")</f>
        <v/>
      </c>
      <c r="L147" s="142" t="str">
        <f>IFERROR(VLOOKUP($C147,'NEW MODEL BY SES'!$C$19:$R$242,MATCH('SeS in Retail Sales Areas'!L$7,'NEW MODEL BY SES'!$C$17:$R$17,0),0),"")</f>
        <v/>
      </c>
      <c r="M147" s="140" t="str">
        <f>IFERROR(VLOOKUP($C147,'NEW MODEL BY SES'!$C$19:$R$242,MATCH('SeS in Retail Sales Areas'!M$7,'NEW MODEL BY SES'!$C$17:$R$17,0),0),"")</f>
        <v/>
      </c>
      <c r="N147" s="142" t="str">
        <f>IFERROR(VLOOKUP($C147,'NEW MODEL BY SES'!$C$19:$R$242,MATCH('SeS in Retail Sales Areas'!N$7,'NEW MODEL BY SES'!$C$17:$R$17,0),0),"")</f>
        <v/>
      </c>
      <c r="O147" s="140" t="str">
        <f>IFERROR(VLOOKUP($C147,'NEW MODEL BY SES'!$C$19:$R$242,MATCH('SeS in Retail Sales Areas'!O$7,'NEW MODEL BY SES'!$C$17:$R$17,0),0),"")</f>
        <v/>
      </c>
      <c r="P147" s="142" t="str">
        <f>IFERROR(VLOOKUP($C147,'NEW MODEL BY SES'!$C$19:$R$242,MATCH('SeS in Retail Sales Areas'!P$7,'NEW MODEL BY SES'!$C$17:$R$17,0),0),"")</f>
        <v/>
      </c>
      <c r="Q147" s="140" t="str">
        <f>IFERROR(VLOOKUP($C147,'NEW MODEL BY SES'!$C$19:$R$242,MATCH('SeS in Retail Sales Areas'!Q$7,'NEW MODEL BY SES'!$C$17:$R$17,0),0),"")</f>
        <v/>
      </c>
      <c r="R147" s="142" t="str">
        <f>IFERROR(VLOOKUP($C147,'NEW MODEL BY SES'!$C$19:$R$242,MATCH('SeS in Retail Sales Areas'!R$7,'NEW MODEL BY SES'!$C$17:$R$17,0),0),"")</f>
        <v/>
      </c>
      <c r="S147" s="141" t="str">
        <f>IFERROR(VLOOKUP($C147,'NEW MODEL BY SES'!$C$19:$R$242,MATCH('SeS in Retail Sales Areas'!S$7,'NEW MODEL BY SES'!$C$17:$R$17,0),0),"")</f>
        <v/>
      </c>
      <c r="T147" s="140" t="str">
        <f>IFERROR(VLOOKUP($C147,'NEW MODEL BY SES'!$C$19:$R$242,MATCH('SeS in Retail Sales Areas'!T$7,'NEW MODEL BY SES'!$C$17:$R$17,0),0),"")</f>
        <v/>
      </c>
      <c r="U147" s="142" t="str">
        <f>IFERROR(VLOOKUP($C147,'NEW MODEL BY SES'!$C$19:$R$242,MATCH('SeS in Retail Sales Areas'!U$7,'NEW MODEL BY SES'!$C$17:$R$17,0),0),"")</f>
        <v/>
      </c>
      <c r="V147" s="140" t="str">
        <f>IFERROR(VLOOKUP($C147,'NEW MODEL BY SES'!$C$19:$R$242,MATCH('SeS in Retail Sales Areas'!V$7,'NEW MODEL BY SES'!$C$17:$R$17,0),0),"")</f>
        <v/>
      </c>
      <c r="W147" s="141" t="str">
        <f>IFERROR(VLOOKUP($C147,'NEW MODEL BY SES'!$C$19:$R$242,MATCH('SeS in Retail Sales Areas'!W$7,'NEW MODEL BY SES'!$C$17:$R$17,0),0),"")</f>
        <v/>
      </c>
      <c r="X147" s="140" t="str">
        <f>IFERROR(VLOOKUP($C147,'NEW MODEL BY SES'!$C$19:$R$242,MATCH('SeS in Retail Sales Areas'!X$7,'NEW MODEL BY SES'!$C$17:$R$17,0),0),"")</f>
        <v/>
      </c>
      <c r="Z147" s="57"/>
    </row>
    <row r="148" spans="1:26">
      <c r="A148" t="s">
        <v>1064</v>
      </c>
      <c r="B148" s="57">
        <v>79</v>
      </c>
      <c r="C148" t="s">
        <v>1079</v>
      </c>
      <c r="D148" t="s">
        <v>40</v>
      </c>
      <c r="E148"/>
      <c r="F148" s="140" t="str">
        <f>IFERROR(VLOOKUP($C148,'NEW MODEL BY SES'!$C$19:$R$242,MATCH('SeS in Retail Sales Areas'!F$7,'NEW MODEL BY SES'!$C$17:$R$17,0),0),"")</f>
        <v/>
      </c>
      <c r="G148" s="140" t="str">
        <f>IFERROR(VLOOKUP($C148,'NEW MODEL BY SES'!$C$19:$R$242,MATCH('SeS in Retail Sales Areas'!G$7,'NEW MODEL BY SES'!$C$17:$R$17,0),0),"")</f>
        <v/>
      </c>
      <c r="H148" s="142" t="str">
        <f>IFERROR(VLOOKUP($C148,'NEW MODEL BY SES'!$C$19:$R$242,MATCH('SeS in Retail Sales Areas'!H$7,'NEW MODEL BY SES'!$C$17:$R$17,0),0),"")</f>
        <v/>
      </c>
      <c r="I148" s="140" t="str">
        <f>IFERROR(VLOOKUP($C148,'NEW MODEL BY SES'!$C$19:$R$242,MATCH('SeS in Retail Sales Areas'!I$7,'NEW MODEL BY SES'!$C$17:$R$17,0),0),"")</f>
        <v/>
      </c>
      <c r="J148" s="142" t="str">
        <f>IFERROR(VLOOKUP($C148,'NEW MODEL BY SES'!$C$19:$R$242,MATCH('SeS in Retail Sales Areas'!J$7,'NEW MODEL BY SES'!$C$17:$R$17,0),0),"")</f>
        <v/>
      </c>
      <c r="K148" s="140" t="str">
        <f>IFERROR(VLOOKUP($C148,'NEW MODEL BY SES'!$C$19:$R$242,MATCH('SeS in Retail Sales Areas'!K$7,'NEW MODEL BY SES'!$C$17:$R$17,0),0),"")</f>
        <v/>
      </c>
      <c r="L148" s="142" t="str">
        <f>IFERROR(VLOOKUP($C148,'NEW MODEL BY SES'!$C$19:$R$242,MATCH('SeS in Retail Sales Areas'!L$7,'NEW MODEL BY SES'!$C$17:$R$17,0),0),"")</f>
        <v/>
      </c>
      <c r="M148" s="140" t="str">
        <f>IFERROR(VLOOKUP($C148,'NEW MODEL BY SES'!$C$19:$R$242,MATCH('SeS in Retail Sales Areas'!M$7,'NEW MODEL BY SES'!$C$17:$R$17,0),0),"")</f>
        <v/>
      </c>
      <c r="N148" s="142" t="str">
        <f>IFERROR(VLOOKUP($C148,'NEW MODEL BY SES'!$C$19:$R$242,MATCH('SeS in Retail Sales Areas'!N$7,'NEW MODEL BY SES'!$C$17:$R$17,0),0),"")</f>
        <v/>
      </c>
      <c r="O148" s="140" t="str">
        <f>IFERROR(VLOOKUP($C148,'NEW MODEL BY SES'!$C$19:$R$242,MATCH('SeS in Retail Sales Areas'!O$7,'NEW MODEL BY SES'!$C$17:$R$17,0),0),"")</f>
        <v/>
      </c>
      <c r="P148" s="142" t="str">
        <f>IFERROR(VLOOKUP($C148,'NEW MODEL BY SES'!$C$19:$R$242,MATCH('SeS in Retail Sales Areas'!P$7,'NEW MODEL BY SES'!$C$17:$R$17,0),0),"")</f>
        <v/>
      </c>
      <c r="Q148" s="140" t="str">
        <f>IFERROR(VLOOKUP($C148,'NEW MODEL BY SES'!$C$19:$R$242,MATCH('SeS in Retail Sales Areas'!Q$7,'NEW MODEL BY SES'!$C$17:$R$17,0),0),"")</f>
        <v/>
      </c>
      <c r="R148" s="142" t="str">
        <f>IFERROR(VLOOKUP($C148,'NEW MODEL BY SES'!$C$19:$R$242,MATCH('SeS in Retail Sales Areas'!R$7,'NEW MODEL BY SES'!$C$17:$R$17,0),0),"")</f>
        <v/>
      </c>
      <c r="S148" s="141" t="str">
        <f>IFERROR(VLOOKUP($C148,'NEW MODEL BY SES'!$C$19:$R$242,MATCH('SeS in Retail Sales Areas'!S$7,'NEW MODEL BY SES'!$C$17:$R$17,0),0),"")</f>
        <v/>
      </c>
      <c r="T148" s="140" t="str">
        <f>IFERROR(VLOOKUP($C148,'NEW MODEL BY SES'!$C$19:$R$242,MATCH('SeS in Retail Sales Areas'!T$7,'NEW MODEL BY SES'!$C$17:$R$17,0),0),"")</f>
        <v/>
      </c>
      <c r="U148" s="142" t="str">
        <f>IFERROR(VLOOKUP($C148,'NEW MODEL BY SES'!$C$19:$R$242,MATCH('SeS in Retail Sales Areas'!U$7,'NEW MODEL BY SES'!$C$17:$R$17,0),0),"")</f>
        <v/>
      </c>
      <c r="V148" s="140" t="str">
        <f>IFERROR(VLOOKUP($C148,'NEW MODEL BY SES'!$C$19:$R$242,MATCH('SeS in Retail Sales Areas'!V$7,'NEW MODEL BY SES'!$C$17:$R$17,0),0),"")</f>
        <v/>
      </c>
      <c r="W148" s="141" t="str">
        <f>IFERROR(VLOOKUP($C148,'NEW MODEL BY SES'!$C$19:$R$242,MATCH('SeS in Retail Sales Areas'!W$7,'NEW MODEL BY SES'!$C$17:$R$17,0),0),"")</f>
        <v/>
      </c>
      <c r="X148" s="140" t="str">
        <f>IFERROR(VLOOKUP($C148,'NEW MODEL BY SES'!$C$19:$R$242,MATCH('SeS in Retail Sales Areas'!X$7,'NEW MODEL BY SES'!$C$17:$R$17,0),0),"")</f>
        <v/>
      </c>
      <c r="Z148" s="57"/>
    </row>
    <row r="149" spans="1:26">
      <c r="A149" t="s">
        <v>1064</v>
      </c>
      <c r="B149" s="57">
        <v>78</v>
      </c>
      <c r="C149" t="s">
        <v>1080</v>
      </c>
      <c r="D149" t="s">
        <v>44</v>
      </c>
      <c r="E149"/>
      <c r="F149" s="140" t="str">
        <f>IFERROR(VLOOKUP($C149,'NEW MODEL BY SES'!$C$19:$R$242,MATCH('SeS in Retail Sales Areas'!F$7,'NEW MODEL BY SES'!$C$17:$R$17,0),0),"")</f>
        <v/>
      </c>
      <c r="G149" s="140" t="str">
        <f>IFERROR(VLOOKUP($C149,'NEW MODEL BY SES'!$C$19:$R$242,MATCH('SeS in Retail Sales Areas'!G$7,'NEW MODEL BY SES'!$C$17:$R$17,0),0),"")</f>
        <v/>
      </c>
      <c r="H149" s="142" t="str">
        <f>IFERROR(VLOOKUP($C149,'NEW MODEL BY SES'!$C$19:$R$242,MATCH('SeS in Retail Sales Areas'!H$7,'NEW MODEL BY SES'!$C$17:$R$17,0),0),"")</f>
        <v/>
      </c>
      <c r="I149" s="140" t="str">
        <f>IFERROR(VLOOKUP($C149,'NEW MODEL BY SES'!$C$19:$R$242,MATCH('SeS in Retail Sales Areas'!I$7,'NEW MODEL BY SES'!$C$17:$R$17,0),0),"")</f>
        <v/>
      </c>
      <c r="J149" s="142" t="str">
        <f>IFERROR(VLOOKUP($C149,'NEW MODEL BY SES'!$C$19:$R$242,MATCH('SeS in Retail Sales Areas'!J$7,'NEW MODEL BY SES'!$C$17:$R$17,0),0),"")</f>
        <v/>
      </c>
      <c r="K149" s="140" t="str">
        <f>IFERROR(VLOOKUP($C149,'NEW MODEL BY SES'!$C$19:$R$242,MATCH('SeS in Retail Sales Areas'!K$7,'NEW MODEL BY SES'!$C$17:$R$17,0),0),"")</f>
        <v/>
      </c>
      <c r="L149" s="142" t="str">
        <f>IFERROR(VLOOKUP($C149,'NEW MODEL BY SES'!$C$19:$R$242,MATCH('SeS in Retail Sales Areas'!L$7,'NEW MODEL BY SES'!$C$17:$R$17,0),0),"")</f>
        <v/>
      </c>
      <c r="M149" s="140" t="str">
        <f>IFERROR(VLOOKUP($C149,'NEW MODEL BY SES'!$C$19:$R$242,MATCH('SeS in Retail Sales Areas'!M$7,'NEW MODEL BY SES'!$C$17:$R$17,0),0),"")</f>
        <v/>
      </c>
      <c r="N149" s="142" t="str">
        <f>IFERROR(VLOOKUP($C149,'NEW MODEL BY SES'!$C$19:$R$242,MATCH('SeS in Retail Sales Areas'!N$7,'NEW MODEL BY SES'!$C$17:$R$17,0),0),"")</f>
        <v/>
      </c>
      <c r="O149" s="140" t="str">
        <f>IFERROR(VLOOKUP($C149,'NEW MODEL BY SES'!$C$19:$R$242,MATCH('SeS in Retail Sales Areas'!O$7,'NEW MODEL BY SES'!$C$17:$R$17,0),0),"")</f>
        <v/>
      </c>
      <c r="P149" s="142" t="str">
        <f>IFERROR(VLOOKUP($C149,'NEW MODEL BY SES'!$C$19:$R$242,MATCH('SeS in Retail Sales Areas'!P$7,'NEW MODEL BY SES'!$C$17:$R$17,0),0),"")</f>
        <v/>
      </c>
      <c r="Q149" s="140" t="str">
        <f>IFERROR(VLOOKUP($C149,'NEW MODEL BY SES'!$C$19:$R$242,MATCH('SeS in Retail Sales Areas'!Q$7,'NEW MODEL BY SES'!$C$17:$R$17,0),0),"")</f>
        <v/>
      </c>
      <c r="R149" s="142" t="str">
        <f>IFERROR(VLOOKUP($C149,'NEW MODEL BY SES'!$C$19:$R$242,MATCH('SeS in Retail Sales Areas'!R$7,'NEW MODEL BY SES'!$C$17:$R$17,0),0),"")</f>
        <v/>
      </c>
      <c r="S149" s="141" t="str">
        <f>IFERROR(VLOOKUP($C149,'NEW MODEL BY SES'!$C$19:$R$242,MATCH('SeS in Retail Sales Areas'!S$7,'NEW MODEL BY SES'!$C$17:$R$17,0),0),"")</f>
        <v/>
      </c>
      <c r="T149" s="140" t="str">
        <f>IFERROR(VLOOKUP($C149,'NEW MODEL BY SES'!$C$19:$R$242,MATCH('SeS in Retail Sales Areas'!T$7,'NEW MODEL BY SES'!$C$17:$R$17,0),0),"")</f>
        <v/>
      </c>
      <c r="U149" s="142" t="str">
        <f>IFERROR(VLOOKUP($C149,'NEW MODEL BY SES'!$C$19:$R$242,MATCH('SeS in Retail Sales Areas'!U$7,'NEW MODEL BY SES'!$C$17:$R$17,0),0),"")</f>
        <v/>
      </c>
      <c r="V149" s="140" t="str">
        <f>IFERROR(VLOOKUP($C149,'NEW MODEL BY SES'!$C$19:$R$242,MATCH('SeS in Retail Sales Areas'!V$7,'NEW MODEL BY SES'!$C$17:$R$17,0),0),"")</f>
        <v/>
      </c>
      <c r="W149" s="141" t="str">
        <f>IFERROR(VLOOKUP($C149,'NEW MODEL BY SES'!$C$19:$R$242,MATCH('SeS in Retail Sales Areas'!W$7,'NEW MODEL BY SES'!$C$17:$R$17,0),0),"")</f>
        <v/>
      </c>
      <c r="X149" s="140" t="str">
        <f>IFERROR(VLOOKUP($C149,'NEW MODEL BY SES'!$C$19:$R$242,MATCH('SeS in Retail Sales Areas'!X$7,'NEW MODEL BY SES'!$C$17:$R$17,0),0),"")</f>
        <v/>
      </c>
      <c r="Z149" s="57"/>
    </row>
    <row r="150" spans="1:26">
      <c r="A150" t="s">
        <v>1064</v>
      </c>
      <c r="B150" s="57">
        <v>78</v>
      </c>
      <c r="C150" t="s">
        <v>1081</v>
      </c>
      <c r="D150" t="s">
        <v>44</v>
      </c>
      <c r="E150"/>
      <c r="F150" s="140" t="str">
        <f>IFERROR(VLOOKUP($C150,'NEW MODEL BY SES'!$C$19:$R$242,MATCH('SeS in Retail Sales Areas'!F$7,'NEW MODEL BY SES'!$C$17:$R$17,0),0),"")</f>
        <v/>
      </c>
      <c r="G150" s="140" t="str">
        <f>IFERROR(VLOOKUP($C150,'NEW MODEL BY SES'!$C$19:$R$242,MATCH('SeS in Retail Sales Areas'!G$7,'NEW MODEL BY SES'!$C$17:$R$17,0),0),"")</f>
        <v/>
      </c>
      <c r="H150" s="142" t="str">
        <f>IFERROR(VLOOKUP($C150,'NEW MODEL BY SES'!$C$19:$R$242,MATCH('SeS in Retail Sales Areas'!H$7,'NEW MODEL BY SES'!$C$17:$R$17,0),0),"")</f>
        <v/>
      </c>
      <c r="I150" s="140" t="str">
        <f>IFERROR(VLOOKUP($C150,'NEW MODEL BY SES'!$C$19:$R$242,MATCH('SeS in Retail Sales Areas'!I$7,'NEW MODEL BY SES'!$C$17:$R$17,0),0),"")</f>
        <v/>
      </c>
      <c r="J150" s="142" t="str">
        <f>IFERROR(VLOOKUP($C150,'NEW MODEL BY SES'!$C$19:$R$242,MATCH('SeS in Retail Sales Areas'!J$7,'NEW MODEL BY SES'!$C$17:$R$17,0),0),"")</f>
        <v/>
      </c>
      <c r="K150" s="140" t="str">
        <f>IFERROR(VLOOKUP($C150,'NEW MODEL BY SES'!$C$19:$R$242,MATCH('SeS in Retail Sales Areas'!K$7,'NEW MODEL BY SES'!$C$17:$R$17,0),0),"")</f>
        <v/>
      </c>
      <c r="L150" s="142" t="str">
        <f>IFERROR(VLOOKUP($C150,'NEW MODEL BY SES'!$C$19:$R$242,MATCH('SeS in Retail Sales Areas'!L$7,'NEW MODEL BY SES'!$C$17:$R$17,0),0),"")</f>
        <v/>
      </c>
      <c r="M150" s="140" t="str">
        <f>IFERROR(VLOOKUP($C150,'NEW MODEL BY SES'!$C$19:$R$242,MATCH('SeS in Retail Sales Areas'!M$7,'NEW MODEL BY SES'!$C$17:$R$17,0),0),"")</f>
        <v/>
      </c>
      <c r="N150" s="142" t="str">
        <f>IFERROR(VLOOKUP($C150,'NEW MODEL BY SES'!$C$19:$R$242,MATCH('SeS in Retail Sales Areas'!N$7,'NEW MODEL BY SES'!$C$17:$R$17,0),0),"")</f>
        <v/>
      </c>
      <c r="O150" s="140" t="str">
        <f>IFERROR(VLOOKUP($C150,'NEW MODEL BY SES'!$C$19:$R$242,MATCH('SeS in Retail Sales Areas'!O$7,'NEW MODEL BY SES'!$C$17:$R$17,0),0),"")</f>
        <v/>
      </c>
      <c r="P150" s="142" t="str">
        <f>IFERROR(VLOOKUP($C150,'NEW MODEL BY SES'!$C$19:$R$242,MATCH('SeS in Retail Sales Areas'!P$7,'NEW MODEL BY SES'!$C$17:$R$17,0),0),"")</f>
        <v/>
      </c>
      <c r="Q150" s="140" t="str">
        <f>IFERROR(VLOOKUP($C150,'NEW MODEL BY SES'!$C$19:$R$242,MATCH('SeS in Retail Sales Areas'!Q$7,'NEW MODEL BY SES'!$C$17:$R$17,0),0),"")</f>
        <v/>
      </c>
      <c r="R150" s="142" t="str">
        <f>IFERROR(VLOOKUP($C150,'NEW MODEL BY SES'!$C$19:$R$242,MATCH('SeS in Retail Sales Areas'!R$7,'NEW MODEL BY SES'!$C$17:$R$17,0),0),"")</f>
        <v/>
      </c>
      <c r="S150" s="141" t="str">
        <f>IFERROR(VLOOKUP($C150,'NEW MODEL BY SES'!$C$19:$R$242,MATCH('SeS in Retail Sales Areas'!S$7,'NEW MODEL BY SES'!$C$17:$R$17,0),0),"")</f>
        <v/>
      </c>
      <c r="T150" s="140" t="str">
        <f>IFERROR(VLOOKUP($C150,'NEW MODEL BY SES'!$C$19:$R$242,MATCH('SeS in Retail Sales Areas'!T$7,'NEW MODEL BY SES'!$C$17:$R$17,0),0),"")</f>
        <v/>
      </c>
      <c r="U150" s="142" t="str">
        <f>IFERROR(VLOOKUP($C150,'NEW MODEL BY SES'!$C$19:$R$242,MATCH('SeS in Retail Sales Areas'!U$7,'NEW MODEL BY SES'!$C$17:$R$17,0),0),"")</f>
        <v/>
      </c>
      <c r="V150" s="140" t="str">
        <f>IFERROR(VLOOKUP($C150,'NEW MODEL BY SES'!$C$19:$R$242,MATCH('SeS in Retail Sales Areas'!V$7,'NEW MODEL BY SES'!$C$17:$R$17,0),0),"")</f>
        <v/>
      </c>
      <c r="W150" s="141" t="str">
        <f>IFERROR(VLOOKUP($C150,'NEW MODEL BY SES'!$C$19:$R$242,MATCH('SeS in Retail Sales Areas'!W$7,'NEW MODEL BY SES'!$C$17:$R$17,0),0),"")</f>
        <v/>
      </c>
      <c r="X150" s="140" t="str">
        <f>IFERROR(VLOOKUP($C150,'NEW MODEL BY SES'!$C$19:$R$242,MATCH('SeS in Retail Sales Areas'!X$7,'NEW MODEL BY SES'!$C$17:$R$17,0),0),"")</f>
        <v/>
      </c>
      <c r="Z150" s="57"/>
    </row>
    <row r="151" spans="1:26">
      <c r="A151" t="s">
        <v>1064</v>
      </c>
      <c r="B151" s="57">
        <v>77</v>
      </c>
      <c r="C151" t="s">
        <v>1082</v>
      </c>
      <c r="D151" t="s">
        <v>44</v>
      </c>
      <c r="E151"/>
      <c r="F151" s="140" t="str">
        <f>IFERROR(VLOOKUP($C151,'NEW MODEL BY SES'!$C$19:$R$242,MATCH('SeS in Retail Sales Areas'!F$7,'NEW MODEL BY SES'!$C$17:$R$17,0),0),"")</f>
        <v/>
      </c>
      <c r="G151" s="140" t="str">
        <f>IFERROR(VLOOKUP($C151,'NEW MODEL BY SES'!$C$19:$R$242,MATCH('SeS in Retail Sales Areas'!G$7,'NEW MODEL BY SES'!$C$17:$R$17,0),0),"")</f>
        <v/>
      </c>
      <c r="H151" s="142" t="str">
        <f>IFERROR(VLOOKUP($C151,'NEW MODEL BY SES'!$C$19:$R$242,MATCH('SeS in Retail Sales Areas'!H$7,'NEW MODEL BY SES'!$C$17:$R$17,0),0),"")</f>
        <v/>
      </c>
      <c r="I151" s="140" t="str">
        <f>IFERROR(VLOOKUP($C151,'NEW MODEL BY SES'!$C$19:$R$242,MATCH('SeS in Retail Sales Areas'!I$7,'NEW MODEL BY SES'!$C$17:$R$17,0),0),"")</f>
        <v/>
      </c>
      <c r="J151" s="142" t="str">
        <f>IFERROR(VLOOKUP($C151,'NEW MODEL BY SES'!$C$19:$R$242,MATCH('SeS in Retail Sales Areas'!J$7,'NEW MODEL BY SES'!$C$17:$R$17,0),0),"")</f>
        <v/>
      </c>
      <c r="K151" s="140" t="str">
        <f>IFERROR(VLOOKUP($C151,'NEW MODEL BY SES'!$C$19:$R$242,MATCH('SeS in Retail Sales Areas'!K$7,'NEW MODEL BY SES'!$C$17:$R$17,0),0),"")</f>
        <v/>
      </c>
      <c r="L151" s="142" t="str">
        <f>IFERROR(VLOOKUP($C151,'NEW MODEL BY SES'!$C$19:$R$242,MATCH('SeS in Retail Sales Areas'!L$7,'NEW MODEL BY SES'!$C$17:$R$17,0),0),"")</f>
        <v/>
      </c>
      <c r="M151" s="140" t="str">
        <f>IFERROR(VLOOKUP($C151,'NEW MODEL BY SES'!$C$19:$R$242,MATCH('SeS in Retail Sales Areas'!M$7,'NEW MODEL BY SES'!$C$17:$R$17,0),0),"")</f>
        <v/>
      </c>
      <c r="N151" s="142" t="str">
        <f>IFERROR(VLOOKUP($C151,'NEW MODEL BY SES'!$C$19:$R$242,MATCH('SeS in Retail Sales Areas'!N$7,'NEW MODEL BY SES'!$C$17:$R$17,0),0),"")</f>
        <v/>
      </c>
      <c r="O151" s="140" t="str">
        <f>IFERROR(VLOOKUP($C151,'NEW MODEL BY SES'!$C$19:$R$242,MATCH('SeS in Retail Sales Areas'!O$7,'NEW MODEL BY SES'!$C$17:$R$17,0),0),"")</f>
        <v/>
      </c>
      <c r="P151" s="142" t="str">
        <f>IFERROR(VLOOKUP($C151,'NEW MODEL BY SES'!$C$19:$R$242,MATCH('SeS in Retail Sales Areas'!P$7,'NEW MODEL BY SES'!$C$17:$R$17,0),0),"")</f>
        <v/>
      </c>
      <c r="Q151" s="140" t="str">
        <f>IFERROR(VLOOKUP($C151,'NEW MODEL BY SES'!$C$19:$R$242,MATCH('SeS in Retail Sales Areas'!Q$7,'NEW MODEL BY SES'!$C$17:$R$17,0),0),"")</f>
        <v/>
      </c>
      <c r="R151" s="142" t="str">
        <f>IFERROR(VLOOKUP($C151,'NEW MODEL BY SES'!$C$19:$R$242,MATCH('SeS in Retail Sales Areas'!R$7,'NEW MODEL BY SES'!$C$17:$R$17,0),0),"")</f>
        <v/>
      </c>
      <c r="S151" s="141" t="str">
        <f>IFERROR(VLOOKUP($C151,'NEW MODEL BY SES'!$C$19:$R$242,MATCH('SeS in Retail Sales Areas'!S$7,'NEW MODEL BY SES'!$C$17:$R$17,0),0),"")</f>
        <v/>
      </c>
      <c r="T151" s="140" t="str">
        <f>IFERROR(VLOOKUP($C151,'NEW MODEL BY SES'!$C$19:$R$242,MATCH('SeS in Retail Sales Areas'!T$7,'NEW MODEL BY SES'!$C$17:$R$17,0),0),"")</f>
        <v/>
      </c>
      <c r="U151" s="142" t="str">
        <f>IFERROR(VLOOKUP($C151,'NEW MODEL BY SES'!$C$19:$R$242,MATCH('SeS in Retail Sales Areas'!U$7,'NEW MODEL BY SES'!$C$17:$R$17,0),0),"")</f>
        <v/>
      </c>
      <c r="V151" s="140" t="str">
        <f>IFERROR(VLOOKUP($C151,'NEW MODEL BY SES'!$C$19:$R$242,MATCH('SeS in Retail Sales Areas'!V$7,'NEW MODEL BY SES'!$C$17:$R$17,0),0),"")</f>
        <v/>
      </c>
      <c r="W151" s="141" t="str">
        <f>IFERROR(VLOOKUP($C151,'NEW MODEL BY SES'!$C$19:$R$242,MATCH('SeS in Retail Sales Areas'!W$7,'NEW MODEL BY SES'!$C$17:$R$17,0),0),"")</f>
        <v/>
      </c>
      <c r="X151" s="140" t="str">
        <f>IFERROR(VLOOKUP($C151,'NEW MODEL BY SES'!$C$19:$R$242,MATCH('SeS in Retail Sales Areas'!X$7,'NEW MODEL BY SES'!$C$17:$R$17,0),0),"")</f>
        <v/>
      </c>
      <c r="Z151" s="57"/>
    </row>
    <row r="152" spans="1:26">
      <c r="A152" t="s">
        <v>1064</v>
      </c>
      <c r="B152" s="57">
        <v>62</v>
      </c>
      <c r="C152" t="s">
        <v>1083</v>
      </c>
      <c r="D152" t="s">
        <v>44</v>
      </c>
      <c r="E152"/>
      <c r="F152" s="140" t="str">
        <f>IFERROR(VLOOKUP($C152,'NEW MODEL BY SES'!$C$19:$R$242,MATCH('SeS in Retail Sales Areas'!F$7,'NEW MODEL BY SES'!$C$17:$R$17,0),0),"")</f>
        <v/>
      </c>
      <c r="G152" s="140" t="str">
        <f>IFERROR(VLOOKUP($C152,'NEW MODEL BY SES'!$C$19:$R$242,MATCH('SeS in Retail Sales Areas'!G$7,'NEW MODEL BY SES'!$C$17:$R$17,0),0),"")</f>
        <v/>
      </c>
      <c r="H152" s="142" t="str">
        <f>IFERROR(VLOOKUP($C152,'NEW MODEL BY SES'!$C$19:$R$242,MATCH('SeS in Retail Sales Areas'!H$7,'NEW MODEL BY SES'!$C$17:$R$17,0),0),"")</f>
        <v/>
      </c>
      <c r="I152" s="140" t="str">
        <f>IFERROR(VLOOKUP($C152,'NEW MODEL BY SES'!$C$19:$R$242,MATCH('SeS in Retail Sales Areas'!I$7,'NEW MODEL BY SES'!$C$17:$R$17,0),0),"")</f>
        <v/>
      </c>
      <c r="J152" s="142" t="str">
        <f>IFERROR(VLOOKUP($C152,'NEW MODEL BY SES'!$C$19:$R$242,MATCH('SeS in Retail Sales Areas'!J$7,'NEW MODEL BY SES'!$C$17:$R$17,0),0),"")</f>
        <v/>
      </c>
      <c r="K152" s="140" t="str">
        <f>IFERROR(VLOOKUP($C152,'NEW MODEL BY SES'!$C$19:$R$242,MATCH('SeS in Retail Sales Areas'!K$7,'NEW MODEL BY SES'!$C$17:$R$17,0),0),"")</f>
        <v/>
      </c>
      <c r="L152" s="142" t="str">
        <f>IFERROR(VLOOKUP($C152,'NEW MODEL BY SES'!$C$19:$R$242,MATCH('SeS in Retail Sales Areas'!L$7,'NEW MODEL BY SES'!$C$17:$R$17,0),0),"")</f>
        <v/>
      </c>
      <c r="M152" s="140" t="str">
        <f>IFERROR(VLOOKUP($C152,'NEW MODEL BY SES'!$C$19:$R$242,MATCH('SeS in Retail Sales Areas'!M$7,'NEW MODEL BY SES'!$C$17:$R$17,0),0),"")</f>
        <v/>
      </c>
      <c r="N152" s="142" t="str">
        <f>IFERROR(VLOOKUP($C152,'NEW MODEL BY SES'!$C$19:$R$242,MATCH('SeS in Retail Sales Areas'!N$7,'NEW MODEL BY SES'!$C$17:$R$17,0),0),"")</f>
        <v/>
      </c>
      <c r="O152" s="140" t="str">
        <f>IFERROR(VLOOKUP($C152,'NEW MODEL BY SES'!$C$19:$R$242,MATCH('SeS in Retail Sales Areas'!O$7,'NEW MODEL BY SES'!$C$17:$R$17,0),0),"")</f>
        <v/>
      </c>
      <c r="P152" s="142" t="str">
        <f>IFERROR(VLOOKUP($C152,'NEW MODEL BY SES'!$C$19:$R$242,MATCH('SeS in Retail Sales Areas'!P$7,'NEW MODEL BY SES'!$C$17:$R$17,0),0),"")</f>
        <v/>
      </c>
      <c r="Q152" s="140" t="str">
        <f>IFERROR(VLOOKUP($C152,'NEW MODEL BY SES'!$C$19:$R$242,MATCH('SeS in Retail Sales Areas'!Q$7,'NEW MODEL BY SES'!$C$17:$R$17,0),0),"")</f>
        <v/>
      </c>
      <c r="R152" s="142" t="str">
        <f>IFERROR(VLOOKUP($C152,'NEW MODEL BY SES'!$C$19:$R$242,MATCH('SeS in Retail Sales Areas'!R$7,'NEW MODEL BY SES'!$C$17:$R$17,0),0),"")</f>
        <v/>
      </c>
      <c r="S152" s="141" t="str">
        <f>IFERROR(VLOOKUP($C152,'NEW MODEL BY SES'!$C$19:$R$242,MATCH('SeS in Retail Sales Areas'!S$7,'NEW MODEL BY SES'!$C$17:$R$17,0),0),"")</f>
        <v/>
      </c>
      <c r="T152" s="140" t="str">
        <f>IFERROR(VLOOKUP($C152,'NEW MODEL BY SES'!$C$19:$R$242,MATCH('SeS in Retail Sales Areas'!T$7,'NEW MODEL BY SES'!$C$17:$R$17,0),0),"")</f>
        <v/>
      </c>
      <c r="U152" s="142" t="str">
        <f>IFERROR(VLOOKUP($C152,'NEW MODEL BY SES'!$C$19:$R$242,MATCH('SeS in Retail Sales Areas'!U$7,'NEW MODEL BY SES'!$C$17:$R$17,0),0),"")</f>
        <v/>
      </c>
      <c r="V152" s="140" t="str">
        <f>IFERROR(VLOOKUP($C152,'NEW MODEL BY SES'!$C$19:$R$242,MATCH('SeS in Retail Sales Areas'!V$7,'NEW MODEL BY SES'!$C$17:$R$17,0),0),"")</f>
        <v/>
      </c>
      <c r="W152" s="141" t="str">
        <f>IFERROR(VLOOKUP($C152,'NEW MODEL BY SES'!$C$19:$R$242,MATCH('SeS in Retail Sales Areas'!W$7,'NEW MODEL BY SES'!$C$17:$R$17,0),0),"")</f>
        <v/>
      </c>
      <c r="X152" s="140" t="str">
        <f>IFERROR(VLOOKUP($C152,'NEW MODEL BY SES'!$C$19:$R$242,MATCH('SeS in Retail Sales Areas'!X$7,'NEW MODEL BY SES'!$C$17:$R$17,0),0),"")</f>
        <v/>
      </c>
      <c r="Z152" s="57"/>
    </row>
    <row r="153" spans="1:26">
      <c r="A153" t="s">
        <v>1064</v>
      </c>
      <c r="B153" s="57">
        <v>62</v>
      </c>
      <c r="C153" t="s">
        <v>1084</v>
      </c>
      <c r="D153" t="s">
        <v>44</v>
      </c>
      <c r="E153"/>
      <c r="F153" s="140" t="str">
        <f>IFERROR(VLOOKUP($C153,'NEW MODEL BY SES'!$C$19:$R$242,MATCH('SeS in Retail Sales Areas'!F$7,'NEW MODEL BY SES'!$C$17:$R$17,0),0),"")</f>
        <v/>
      </c>
      <c r="G153" s="140" t="str">
        <f>IFERROR(VLOOKUP($C153,'NEW MODEL BY SES'!$C$19:$R$242,MATCH('SeS in Retail Sales Areas'!G$7,'NEW MODEL BY SES'!$C$17:$R$17,0),0),"")</f>
        <v/>
      </c>
      <c r="H153" s="142" t="str">
        <f>IFERROR(VLOOKUP($C153,'NEW MODEL BY SES'!$C$19:$R$242,MATCH('SeS in Retail Sales Areas'!H$7,'NEW MODEL BY SES'!$C$17:$R$17,0),0),"")</f>
        <v/>
      </c>
      <c r="I153" s="140" t="str">
        <f>IFERROR(VLOOKUP($C153,'NEW MODEL BY SES'!$C$19:$R$242,MATCH('SeS in Retail Sales Areas'!I$7,'NEW MODEL BY SES'!$C$17:$R$17,0),0),"")</f>
        <v/>
      </c>
      <c r="J153" s="142" t="str">
        <f>IFERROR(VLOOKUP($C153,'NEW MODEL BY SES'!$C$19:$R$242,MATCH('SeS in Retail Sales Areas'!J$7,'NEW MODEL BY SES'!$C$17:$R$17,0),0),"")</f>
        <v/>
      </c>
      <c r="K153" s="140" t="str">
        <f>IFERROR(VLOOKUP($C153,'NEW MODEL BY SES'!$C$19:$R$242,MATCH('SeS in Retail Sales Areas'!K$7,'NEW MODEL BY SES'!$C$17:$R$17,0),0),"")</f>
        <v/>
      </c>
      <c r="L153" s="142" t="str">
        <f>IFERROR(VLOOKUP($C153,'NEW MODEL BY SES'!$C$19:$R$242,MATCH('SeS in Retail Sales Areas'!L$7,'NEW MODEL BY SES'!$C$17:$R$17,0),0),"")</f>
        <v/>
      </c>
      <c r="M153" s="140" t="str">
        <f>IFERROR(VLOOKUP($C153,'NEW MODEL BY SES'!$C$19:$R$242,MATCH('SeS in Retail Sales Areas'!M$7,'NEW MODEL BY SES'!$C$17:$R$17,0),0),"")</f>
        <v/>
      </c>
      <c r="N153" s="142" t="str">
        <f>IFERROR(VLOOKUP($C153,'NEW MODEL BY SES'!$C$19:$R$242,MATCH('SeS in Retail Sales Areas'!N$7,'NEW MODEL BY SES'!$C$17:$R$17,0),0),"")</f>
        <v/>
      </c>
      <c r="O153" s="140" t="str">
        <f>IFERROR(VLOOKUP($C153,'NEW MODEL BY SES'!$C$19:$R$242,MATCH('SeS in Retail Sales Areas'!O$7,'NEW MODEL BY SES'!$C$17:$R$17,0),0),"")</f>
        <v/>
      </c>
      <c r="P153" s="142" t="str">
        <f>IFERROR(VLOOKUP($C153,'NEW MODEL BY SES'!$C$19:$R$242,MATCH('SeS in Retail Sales Areas'!P$7,'NEW MODEL BY SES'!$C$17:$R$17,0),0),"")</f>
        <v/>
      </c>
      <c r="Q153" s="140" t="str">
        <f>IFERROR(VLOOKUP($C153,'NEW MODEL BY SES'!$C$19:$R$242,MATCH('SeS in Retail Sales Areas'!Q$7,'NEW MODEL BY SES'!$C$17:$R$17,0),0),"")</f>
        <v/>
      </c>
      <c r="R153" s="142" t="str">
        <f>IFERROR(VLOOKUP($C153,'NEW MODEL BY SES'!$C$19:$R$242,MATCH('SeS in Retail Sales Areas'!R$7,'NEW MODEL BY SES'!$C$17:$R$17,0),0),"")</f>
        <v/>
      </c>
      <c r="S153" s="141" t="str">
        <f>IFERROR(VLOOKUP($C153,'NEW MODEL BY SES'!$C$19:$R$242,MATCH('SeS in Retail Sales Areas'!S$7,'NEW MODEL BY SES'!$C$17:$R$17,0),0),"")</f>
        <v/>
      </c>
      <c r="T153" s="140" t="str">
        <f>IFERROR(VLOOKUP($C153,'NEW MODEL BY SES'!$C$19:$R$242,MATCH('SeS in Retail Sales Areas'!T$7,'NEW MODEL BY SES'!$C$17:$R$17,0),0),"")</f>
        <v/>
      </c>
      <c r="U153" s="142" t="str">
        <f>IFERROR(VLOOKUP($C153,'NEW MODEL BY SES'!$C$19:$R$242,MATCH('SeS in Retail Sales Areas'!U$7,'NEW MODEL BY SES'!$C$17:$R$17,0),0),"")</f>
        <v/>
      </c>
      <c r="V153" s="140" t="str">
        <f>IFERROR(VLOOKUP($C153,'NEW MODEL BY SES'!$C$19:$R$242,MATCH('SeS in Retail Sales Areas'!V$7,'NEW MODEL BY SES'!$C$17:$R$17,0),0),"")</f>
        <v/>
      </c>
      <c r="W153" s="141" t="str">
        <f>IFERROR(VLOOKUP($C153,'NEW MODEL BY SES'!$C$19:$R$242,MATCH('SeS in Retail Sales Areas'!W$7,'NEW MODEL BY SES'!$C$17:$R$17,0),0),"")</f>
        <v/>
      </c>
      <c r="X153" s="140" t="str">
        <f>IFERROR(VLOOKUP($C153,'NEW MODEL BY SES'!$C$19:$R$242,MATCH('SeS in Retail Sales Areas'!X$7,'NEW MODEL BY SES'!$C$17:$R$17,0),0),"")</f>
        <v/>
      </c>
      <c r="Z153" s="57"/>
    </row>
    <row r="154" spans="1:26">
      <c r="A154" t="s">
        <v>1064</v>
      </c>
      <c r="B154" s="57">
        <v>62</v>
      </c>
      <c r="C154" t="s">
        <v>1085</v>
      </c>
      <c r="D154" t="s">
        <v>44</v>
      </c>
      <c r="E154"/>
      <c r="F154" s="140" t="str">
        <f>IFERROR(VLOOKUP($C154,'NEW MODEL BY SES'!$C$19:$R$242,MATCH('SeS in Retail Sales Areas'!F$7,'NEW MODEL BY SES'!$C$17:$R$17,0),0),"")</f>
        <v/>
      </c>
      <c r="G154" s="140" t="str">
        <f>IFERROR(VLOOKUP($C154,'NEW MODEL BY SES'!$C$19:$R$242,MATCH('SeS in Retail Sales Areas'!G$7,'NEW MODEL BY SES'!$C$17:$R$17,0),0),"")</f>
        <v/>
      </c>
      <c r="H154" s="142" t="str">
        <f>IFERROR(VLOOKUP($C154,'NEW MODEL BY SES'!$C$19:$R$242,MATCH('SeS in Retail Sales Areas'!H$7,'NEW MODEL BY SES'!$C$17:$R$17,0),0),"")</f>
        <v/>
      </c>
      <c r="I154" s="140" t="str">
        <f>IFERROR(VLOOKUP($C154,'NEW MODEL BY SES'!$C$19:$R$242,MATCH('SeS in Retail Sales Areas'!I$7,'NEW MODEL BY SES'!$C$17:$R$17,0),0),"")</f>
        <v/>
      </c>
      <c r="J154" s="142" t="str">
        <f>IFERROR(VLOOKUP($C154,'NEW MODEL BY SES'!$C$19:$R$242,MATCH('SeS in Retail Sales Areas'!J$7,'NEW MODEL BY SES'!$C$17:$R$17,0),0),"")</f>
        <v/>
      </c>
      <c r="K154" s="140" t="str">
        <f>IFERROR(VLOOKUP($C154,'NEW MODEL BY SES'!$C$19:$R$242,MATCH('SeS in Retail Sales Areas'!K$7,'NEW MODEL BY SES'!$C$17:$R$17,0),0),"")</f>
        <v/>
      </c>
      <c r="L154" s="142" t="str">
        <f>IFERROR(VLOOKUP($C154,'NEW MODEL BY SES'!$C$19:$R$242,MATCH('SeS in Retail Sales Areas'!L$7,'NEW MODEL BY SES'!$C$17:$R$17,0),0),"")</f>
        <v/>
      </c>
      <c r="M154" s="140" t="str">
        <f>IFERROR(VLOOKUP($C154,'NEW MODEL BY SES'!$C$19:$R$242,MATCH('SeS in Retail Sales Areas'!M$7,'NEW MODEL BY SES'!$C$17:$R$17,0),0),"")</f>
        <v/>
      </c>
      <c r="N154" s="142" t="str">
        <f>IFERROR(VLOOKUP($C154,'NEW MODEL BY SES'!$C$19:$R$242,MATCH('SeS in Retail Sales Areas'!N$7,'NEW MODEL BY SES'!$C$17:$R$17,0),0),"")</f>
        <v/>
      </c>
      <c r="O154" s="140" t="str">
        <f>IFERROR(VLOOKUP($C154,'NEW MODEL BY SES'!$C$19:$R$242,MATCH('SeS in Retail Sales Areas'!O$7,'NEW MODEL BY SES'!$C$17:$R$17,0),0),"")</f>
        <v/>
      </c>
      <c r="P154" s="142" t="str">
        <f>IFERROR(VLOOKUP($C154,'NEW MODEL BY SES'!$C$19:$R$242,MATCH('SeS in Retail Sales Areas'!P$7,'NEW MODEL BY SES'!$C$17:$R$17,0),0),"")</f>
        <v/>
      </c>
      <c r="Q154" s="140" t="str">
        <f>IFERROR(VLOOKUP($C154,'NEW MODEL BY SES'!$C$19:$R$242,MATCH('SeS in Retail Sales Areas'!Q$7,'NEW MODEL BY SES'!$C$17:$R$17,0),0),"")</f>
        <v/>
      </c>
      <c r="R154" s="142" t="str">
        <f>IFERROR(VLOOKUP($C154,'NEW MODEL BY SES'!$C$19:$R$242,MATCH('SeS in Retail Sales Areas'!R$7,'NEW MODEL BY SES'!$C$17:$R$17,0),0),"")</f>
        <v/>
      </c>
      <c r="S154" s="141" t="str">
        <f>IFERROR(VLOOKUP($C154,'NEW MODEL BY SES'!$C$19:$R$242,MATCH('SeS in Retail Sales Areas'!S$7,'NEW MODEL BY SES'!$C$17:$R$17,0),0),"")</f>
        <v/>
      </c>
      <c r="T154" s="140" t="str">
        <f>IFERROR(VLOOKUP($C154,'NEW MODEL BY SES'!$C$19:$R$242,MATCH('SeS in Retail Sales Areas'!T$7,'NEW MODEL BY SES'!$C$17:$R$17,0),0),"")</f>
        <v/>
      </c>
      <c r="U154" s="142" t="str">
        <f>IFERROR(VLOOKUP($C154,'NEW MODEL BY SES'!$C$19:$R$242,MATCH('SeS in Retail Sales Areas'!U$7,'NEW MODEL BY SES'!$C$17:$R$17,0),0),"")</f>
        <v/>
      </c>
      <c r="V154" s="140" t="str">
        <f>IFERROR(VLOOKUP($C154,'NEW MODEL BY SES'!$C$19:$R$242,MATCH('SeS in Retail Sales Areas'!V$7,'NEW MODEL BY SES'!$C$17:$R$17,0),0),"")</f>
        <v/>
      </c>
      <c r="W154" s="141" t="str">
        <f>IFERROR(VLOOKUP($C154,'NEW MODEL BY SES'!$C$19:$R$242,MATCH('SeS in Retail Sales Areas'!W$7,'NEW MODEL BY SES'!$C$17:$R$17,0),0),"")</f>
        <v/>
      </c>
      <c r="X154" s="140" t="str">
        <f>IFERROR(VLOOKUP($C154,'NEW MODEL BY SES'!$C$19:$R$242,MATCH('SeS in Retail Sales Areas'!X$7,'NEW MODEL BY SES'!$C$17:$R$17,0),0),"")</f>
        <v/>
      </c>
      <c r="Z154" s="57"/>
    </row>
    <row r="155" spans="1:26">
      <c r="A155" t="s">
        <v>1064</v>
      </c>
      <c r="B155" s="57">
        <v>57</v>
      </c>
      <c r="C155" t="s">
        <v>1086</v>
      </c>
      <c r="D155" t="s">
        <v>44</v>
      </c>
      <c r="E155"/>
      <c r="F155" s="140" t="str">
        <f>IFERROR(VLOOKUP($C155,'NEW MODEL BY SES'!$C$19:$R$242,MATCH('SeS in Retail Sales Areas'!F$7,'NEW MODEL BY SES'!$C$17:$R$17,0),0),"")</f>
        <v/>
      </c>
      <c r="G155" s="140" t="str">
        <f>IFERROR(VLOOKUP($C155,'NEW MODEL BY SES'!$C$19:$R$242,MATCH('SeS in Retail Sales Areas'!G$7,'NEW MODEL BY SES'!$C$17:$R$17,0),0),"")</f>
        <v/>
      </c>
      <c r="H155" s="142" t="str">
        <f>IFERROR(VLOOKUP($C155,'NEW MODEL BY SES'!$C$19:$R$242,MATCH('SeS in Retail Sales Areas'!H$7,'NEW MODEL BY SES'!$C$17:$R$17,0),0),"")</f>
        <v/>
      </c>
      <c r="I155" s="140" t="str">
        <f>IFERROR(VLOOKUP($C155,'NEW MODEL BY SES'!$C$19:$R$242,MATCH('SeS in Retail Sales Areas'!I$7,'NEW MODEL BY SES'!$C$17:$R$17,0),0),"")</f>
        <v/>
      </c>
      <c r="J155" s="142" t="str">
        <f>IFERROR(VLOOKUP($C155,'NEW MODEL BY SES'!$C$19:$R$242,MATCH('SeS in Retail Sales Areas'!J$7,'NEW MODEL BY SES'!$C$17:$R$17,0),0),"")</f>
        <v/>
      </c>
      <c r="K155" s="140" t="str">
        <f>IFERROR(VLOOKUP($C155,'NEW MODEL BY SES'!$C$19:$R$242,MATCH('SeS in Retail Sales Areas'!K$7,'NEW MODEL BY SES'!$C$17:$R$17,0),0),"")</f>
        <v/>
      </c>
      <c r="L155" s="142" t="str">
        <f>IFERROR(VLOOKUP($C155,'NEW MODEL BY SES'!$C$19:$R$242,MATCH('SeS in Retail Sales Areas'!L$7,'NEW MODEL BY SES'!$C$17:$R$17,0),0),"")</f>
        <v/>
      </c>
      <c r="M155" s="140" t="str">
        <f>IFERROR(VLOOKUP($C155,'NEW MODEL BY SES'!$C$19:$R$242,MATCH('SeS in Retail Sales Areas'!M$7,'NEW MODEL BY SES'!$C$17:$R$17,0),0),"")</f>
        <v/>
      </c>
      <c r="N155" s="142" t="str">
        <f>IFERROR(VLOOKUP($C155,'NEW MODEL BY SES'!$C$19:$R$242,MATCH('SeS in Retail Sales Areas'!N$7,'NEW MODEL BY SES'!$C$17:$R$17,0),0),"")</f>
        <v/>
      </c>
      <c r="O155" s="140" t="str">
        <f>IFERROR(VLOOKUP($C155,'NEW MODEL BY SES'!$C$19:$R$242,MATCH('SeS in Retail Sales Areas'!O$7,'NEW MODEL BY SES'!$C$17:$R$17,0),0),"")</f>
        <v/>
      </c>
      <c r="P155" s="142" t="str">
        <f>IFERROR(VLOOKUP($C155,'NEW MODEL BY SES'!$C$19:$R$242,MATCH('SeS in Retail Sales Areas'!P$7,'NEW MODEL BY SES'!$C$17:$R$17,0),0),"")</f>
        <v/>
      </c>
      <c r="Q155" s="140" t="str">
        <f>IFERROR(VLOOKUP($C155,'NEW MODEL BY SES'!$C$19:$R$242,MATCH('SeS in Retail Sales Areas'!Q$7,'NEW MODEL BY SES'!$C$17:$R$17,0),0),"")</f>
        <v/>
      </c>
      <c r="R155" s="142" t="str">
        <f>IFERROR(VLOOKUP($C155,'NEW MODEL BY SES'!$C$19:$R$242,MATCH('SeS in Retail Sales Areas'!R$7,'NEW MODEL BY SES'!$C$17:$R$17,0),0),"")</f>
        <v/>
      </c>
      <c r="S155" s="141" t="str">
        <f>IFERROR(VLOOKUP($C155,'NEW MODEL BY SES'!$C$19:$R$242,MATCH('SeS in Retail Sales Areas'!S$7,'NEW MODEL BY SES'!$C$17:$R$17,0),0),"")</f>
        <v/>
      </c>
      <c r="T155" s="140" t="str">
        <f>IFERROR(VLOOKUP($C155,'NEW MODEL BY SES'!$C$19:$R$242,MATCH('SeS in Retail Sales Areas'!T$7,'NEW MODEL BY SES'!$C$17:$R$17,0),0),"")</f>
        <v/>
      </c>
      <c r="U155" s="142" t="str">
        <f>IFERROR(VLOOKUP($C155,'NEW MODEL BY SES'!$C$19:$R$242,MATCH('SeS in Retail Sales Areas'!U$7,'NEW MODEL BY SES'!$C$17:$R$17,0),0),"")</f>
        <v/>
      </c>
      <c r="V155" s="140" t="str">
        <f>IFERROR(VLOOKUP($C155,'NEW MODEL BY SES'!$C$19:$R$242,MATCH('SeS in Retail Sales Areas'!V$7,'NEW MODEL BY SES'!$C$17:$R$17,0),0),"")</f>
        <v/>
      </c>
      <c r="W155" s="141" t="str">
        <f>IFERROR(VLOOKUP($C155,'NEW MODEL BY SES'!$C$19:$R$242,MATCH('SeS in Retail Sales Areas'!W$7,'NEW MODEL BY SES'!$C$17:$R$17,0),0),"")</f>
        <v/>
      </c>
      <c r="X155" s="140" t="str">
        <f>IFERROR(VLOOKUP($C155,'NEW MODEL BY SES'!$C$19:$R$242,MATCH('SeS in Retail Sales Areas'!X$7,'NEW MODEL BY SES'!$C$17:$R$17,0),0),"")</f>
        <v/>
      </c>
      <c r="Z155" s="57"/>
    </row>
    <row r="156" spans="1:26">
      <c r="A156" t="s">
        <v>1064</v>
      </c>
      <c r="B156" s="57">
        <v>52</v>
      </c>
      <c r="C156" t="s">
        <v>1087</v>
      </c>
      <c r="D156" t="s">
        <v>44</v>
      </c>
      <c r="E156"/>
      <c r="F156" s="140" t="str">
        <f>IFERROR(VLOOKUP($C156,'NEW MODEL BY SES'!$C$19:$R$242,MATCH('SeS in Retail Sales Areas'!F$7,'NEW MODEL BY SES'!$C$17:$R$17,0),0),"")</f>
        <v/>
      </c>
      <c r="G156" s="140" t="str">
        <f>IFERROR(VLOOKUP($C156,'NEW MODEL BY SES'!$C$19:$R$242,MATCH('SeS in Retail Sales Areas'!G$7,'NEW MODEL BY SES'!$C$17:$R$17,0),0),"")</f>
        <v/>
      </c>
      <c r="H156" s="142" t="str">
        <f>IFERROR(VLOOKUP($C156,'NEW MODEL BY SES'!$C$19:$R$242,MATCH('SeS in Retail Sales Areas'!H$7,'NEW MODEL BY SES'!$C$17:$R$17,0),0),"")</f>
        <v/>
      </c>
      <c r="I156" s="140" t="str">
        <f>IFERROR(VLOOKUP($C156,'NEW MODEL BY SES'!$C$19:$R$242,MATCH('SeS in Retail Sales Areas'!I$7,'NEW MODEL BY SES'!$C$17:$R$17,0),0),"")</f>
        <v/>
      </c>
      <c r="J156" s="142" t="str">
        <f>IFERROR(VLOOKUP($C156,'NEW MODEL BY SES'!$C$19:$R$242,MATCH('SeS in Retail Sales Areas'!J$7,'NEW MODEL BY SES'!$C$17:$R$17,0),0),"")</f>
        <v/>
      </c>
      <c r="K156" s="140" t="str">
        <f>IFERROR(VLOOKUP($C156,'NEW MODEL BY SES'!$C$19:$R$242,MATCH('SeS in Retail Sales Areas'!K$7,'NEW MODEL BY SES'!$C$17:$R$17,0),0),"")</f>
        <v/>
      </c>
      <c r="L156" s="142" t="str">
        <f>IFERROR(VLOOKUP($C156,'NEW MODEL BY SES'!$C$19:$R$242,MATCH('SeS in Retail Sales Areas'!L$7,'NEW MODEL BY SES'!$C$17:$R$17,0),0),"")</f>
        <v/>
      </c>
      <c r="M156" s="140" t="str">
        <f>IFERROR(VLOOKUP($C156,'NEW MODEL BY SES'!$C$19:$R$242,MATCH('SeS in Retail Sales Areas'!M$7,'NEW MODEL BY SES'!$C$17:$R$17,0),0),"")</f>
        <v/>
      </c>
      <c r="N156" s="142" t="str">
        <f>IFERROR(VLOOKUP($C156,'NEW MODEL BY SES'!$C$19:$R$242,MATCH('SeS in Retail Sales Areas'!N$7,'NEW MODEL BY SES'!$C$17:$R$17,0),0),"")</f>
        <v/>
      </c>
      <c r="O156" s="140" t="str">
        <f>IFERROR(VLOOKUP($C156,'NEW MODEL BY SES'!$C$19:$R$242,MATCH('SeS in Retail Sales Areas'!O$7,'NEW MODEL BY SES'!$C$17:$R$17,0),0),"")</f>
        <v/>
      </c>
      <c r="P156" s="142" t="str">
        <f>IFERROR(VLOOKUP($C156,'NEW MODEL BY SES'!$C$19:$R$242,MATCH('SeS in Retail Sales Areas'!P$7,'NEW MODEL BY SES'!$C$17:$R$17,0),0),"")</f>
        <v/>
      </c>
      <c r="Q156" s="140" t="str">
        <f>IFERROR(VLOOKUP($C156,'NEW MODEL BY SES'!$C$19:$R$242,MATCH('SeS in Retail Sales Areas'!Q$7,'NEW MODEL BY SES'!$C$17:$R$17,0),0),"")</f>
        <v/>
      </c>
      <c r="R156" s="142" t="str">
        <f>IFERROR(VLOOKUP($C156,'NEW MODEL BY SES'!$C$19:$R$242,MATCH('SeS in Retail Sales Areas'!R$7,'NEW MODEL BY SES'!$C$17:$R$17,0),0),"")</f>
        <v/>
      </c>
      <c r="S156" s="141" t="str">
        <f>IFERROR(VLOOKUP($C156,'NEW MODEL BY SES'!$C$19:$R$242,MATCH('SeS in Retail Sales Areas'!S$7,'NEW MODEL BY SES'!$C$17:$R$17,0),0),"")</f>
        <v/>
      </c>
      <c r="T156" s="140" t="str">
        <f>IFERROR(VLOOKUP($C156,'NEW MODEL BY SES'!$C$19:$R$242,MATCH('SeS in Retail Sales Areas'!T$7,'NEW MODEL BY SES'!$C$17:$R$17,0),0),"")</f>
        <v/>
      </c>
      <c r="U156" s="142" t="str">
        <f>IFERROR(VLOOKUP($C156,'NEW MODEL BY SES'!$C$19:$R$242,MATCH('SeS in Retail Sales Areas'!U$7,'NEW MODEL BY SES'!$C$17:$R$17,0),0),"")</f>
        <v/>
      </c>
      <c r="V156" s="140" t="str">
        <f>IFERROR(VLOOKUP($C156,'NEW MODEL BY SES'!$C$19:$R$242,MATCH('SeS in Retail Sales Areas'!V$7,'NEW MODEL BY SES'!$C$17:$R$17,0),0),"")</f>
        <v/>
      </c>
      <c r="W156" s="141" t="str">
        <f>IFERROR(VLOOKUP($C156,'NEW MODEL BY SES'!$C$19:$R$242,MATCH('SeS in Retail Sales Areas'!W$7,'NEW MODEL BY SES'!$C$17:$R$17,0),0),"")</f>
        <v/>
      </c>
      <c r="X156" s="140" t="str">
        <f>IFERROR(VLOOKUP($C156,'NEW MODEL BY SES'!$C$19:$R$242,MATCH('SeS in Retail Sales Areas'!X$7,'NEW MODEL BY SES'!$C$17:$R$17,0),0),"")</f>
        <v/>
      </c>
      <c r="Z156" s="57"/>
    </row>
    <row r="157" spans="1:26">
      <c r="A157" t="s">
        <v>1064</v>
      </c>
      <c r="B157" s="57">
        <v>52</v>
      </c>
      <c r="C157" t="s">
        <v>1088</v>
      </c>
      <c r="D157" t="s">
        <v>44</v>
      </c>
      <c r="E157"/>
      <c r="F157" s="140" t="str">
        <f>IFERROR(VLOOKUP($C157,'NEW MODEL BY SES'!$C$19:$R$242,MATCH('SeS in Retail Sales Areas'!F$7,'NEW MODEL BY SES'!$C$17:$R$17,0),0),"")</f>
        <v/>
      </c>
      <c r="G157" s="140" t="str">
        <f>IFERROR(VLOOKUP($C157,'NEW MODEL BY SES'!$C$19:$R$242,MATCH('SeS in Retail Sales Areas'!G$7,'NEW MODEL BY SES'!$C$17:$R$17,0),0),"")</f>
        <v/>
      </c>
      <c r="H157" s="142" t="str">
        <f>IFERROR(VLOOKUP($C157,'NEW MODEL BY SES'!$C$19:$R$242,MATCH('SeS in Retail Sales Areas'!H$7,'NEW MODEL BY SES'!$C$17:$R$17,0),0),"")</f>
        <v/>
      </c>
      <c r="I157" s="140" t="str">
        <f>IFERROR(VLOOKUP($C157,'NEW MODEL BY SES'!$C$19:$R$242,MATCH('SeS in Retail Sales Areas'!I$7,'NEW MODEL BY SES'!$C$17:$R$17,0),0),"")</f>
        <v/>
      </c>
      <c r="J157" s="142" t="str">
        <f>IFERROR(VLOOKUP($C157,'NEW MODEL BY SES'!$C$19:$R$242,MATCH('SeS in Retail Sales Areas'!J$7,'NEW MODEL BY SES'!$C$17:$R$17,0),0),"")</f>
        <v/>
      </c>
      <c r="K157" s="140" t="str">
        <f>IFERROR(VLOOKUP($C157,'NEW MODEL BY SES'!$C$19:$R$242,MATCH('SeS in Retail Sales Areas'!K$7,'NEW MODEL BY SES'!$C$17:$R$17,0),0),"")</f>
        <v/>
      </c>
      <c r="L157" s="142" t="str">
        <f>IFERROR(VLOOKUP($C157,'NEW MODEL BY SES'!$C$19:$R$242,MATCH('SeS in Retail Sales Areas'!L$7,'NEW MODEL BY SES'!$C$17:$R$17,0),0),"")</f>
        <v/>
      </c>
      <c r="M157" s="140" t="str">
        <f>IFERROR(VLOOKUP($C157,'NEW MODEL BY SES'!$C$19:$R$242,MATCH('SeS in Retail Sales Areas'!M$7,'NEW MODEL BY SES'!$C$17:$R$17,0),0),"")</f>
        <v/>
      </c>
      <c r="N157" s="142" t="str">
        <f>IFERROR(VLOOKUP($C157,'NEW MODEL BY SES'!$C$19:$R$242,MATCH('SeS in Retail Sales Areas'!N$7,'NEW MODEL BY SES'!$C$17:$R$17,0),0),"")</f>
        <v/>
      </c>
      <c r="O157" s="140" t="str">
        <f>IFERROR(VLOOKUP($C157,'NEW MODEL BY SES'!$C$19:$R$242,MATCH('SeS in Retail Sales Areas'!O$7,'NEW MODEL BY SES'!$C$17:$R$17,0),0),"")</f>
        <v/>
      </c>
      <c r="P157" s="142" t="str">
        <f>IFERROR(VLOOKUP($C157,'NEW MODEL BY SES'!$C$19:$R$242,MATCH('SeS in Retail Sales Areas'!P$7,'NEW MODEL BY SES'!$C$17:$R$17,0),0),"")</f>
        <v/>
      </c>
      <c r="Q157" s="140" t="str">
        <f>IFERROR(VLOOKUP($C157,'NEW MODEL BY SES'!$C$19:$R$242,MATCH('SeS in Retail Sales Areas'!Q$7,'NEW MODEL BY SES'!$C$17:$R$17,0),0),"")</f>
        <v/>
      </c>
      <c r="R157" s="142" t="str">
        <f>IFERROR(VLOOKUP($C157,'NEW MODEL BY SES'!$C$19:$R$242,MATCH('SeS in Retail Sales Areas'!R$7,'NEW MODEL BY SES'!$C$17:$R$17,0),0),"")</f>
        <v/>
      </c>
      <c r="S157" s="141" t="str">
        <f>IFERROR(VLOOKUP($C157,'NEW MODEL BY SES'!$C$19:$R$242,MATCH('SeS in Retail Sales Areas'!S$7,'NEW MODEL BY SES'!$C$17:$R$17,0),0),"")</f>
        <v/>
      </c>
      <c r="T157" s="140" t="str">
        <f>IFERROR(VLOOKUP($C157,'NEW MODEL BY SES'!$C$19:$R$242,MATCH('SeS in Retail Sales Areas'!T$7,'NEW MODEL BY SES'!$C$17:$R$17,0),0),"")</f>
        <v/>
      </c>
      <c r="U157" s="142" t="str">
        <f>IFERROR(VLOOKUP($C157,'NEW MODEL BY SES'!$C$19:$R$242,MATCH('SeS in Retail Sales Areas'!U$7,'NEW MODEL BY SES'!$C$17:$R$17,0),0),"")</f>
        <v/>
      </c>
      <c r="V157" s="140" t="str">
        <f>IFERROR(VLOOKUP($C157,'NEW MODEL BY SES'!$C$19:$R$242,MATCH('SeS in Retail Sales Areas'!V$7,'NEW MODEL BY SES'!$C$17:$R$17,0),0),"")</f>
        <v/>
      </c>
      <c r="W157" s="141" t="str">
        <f>IFERROR(VLOOKUP($C157,'NEW MODEL BY SES'!$C$19:$R$242,MATCH('SeS in Retail Sales Areas'!W$7,'NEW MODEL BY SES'!$C$17:$R$17,0),0),"")</f>
        <v/>
      </c>
      <c r="X157" s="140" t="str">
        <f>IFERROR(VLOOKUP($C157,'NEW MODEL BY SES'!$C$19:$R$242,MATCH('SeS in Retail Sales Areas'!X$7,'NEW MODEL BY SES'!$C$17:$R$17,0),0),"")</f>
        <v/>
      </c>
      <c r="Z157" s="57"/>
    </row>
    <row r="158" spans="1:26">
      <c r="A158" t="s">
        <v>1064</v>
      </c>
      <c r="B158" s="57">
        <v>52</v>
      </c>
      <c r="C158" t="s">
        <v>1089</v>
      </c>
      <c r="D158" t="s">
        <v>44</v>
      </c>
      <c r="E158"/>
      <c r="F158" s="140" t="str">
        <f>IFERROR(VLOOKUP($C158,'NEW MODEL BY SES'!$C$19:$R$242,MATCH('SeS in Retail Sales Areas'!F$7,'NEW MODEL BY SES'!$C$17:$R$17,0),0),"")</f>
        <v/>
      </c>
      <c r="G158" s="140" t="str">
        <f>IFERROR(VLOOKUP($C158,'NEW MODEL BY SES'!$C$19:$R$242,MATCH('SeS in Retail Sales Areas'!G$7,'NEW MODEL BY SES'!$C$17:$R$17,0),0),"")</f>
        <v/>
      </c>
      <c r="H158" s="142" t="str">
        <f>IFERROR(VLOOKUP($C158,'NEW MODEL BY SES'!$C$19:$R$242,MATCH('SeS in Retail Sales Areas'!H$7,'NEW MODEL BY SES'!$C$17:$R$17,0),0),"")</f>
        <v/>
      </c>
      <c r="I158" s="140" t="str">
        <f>IFERROR(VLOOKUP($C158,'NEW MODEL BY SES'!$C$19:$R$242,MATCH('SeS in Retail Sales Areas'!I$7,'NEW MODEL BY SES'!$C$17:$R$17,0),0),"")</f>
        <v/>
      </c>
      <c r="J158" s="142" t="str">
        <f>IFERROR(VLOOKUP($C158,'NEW MODEL BY SES'!$C$19:$R$242,MATCH('SeS in Retail Sales Areas'!J$7,'NEW MODEL BY SES'!$C$17:$R$17,0),0),"")</f>
        <v/>
      </c>
      <c r="K158" s="140" t="str">
        <f>IFERROR(VLOOKUP($C158,'NEW MODEL BY SES'!$C$19:$R$242,MATCH('SeS in Retail Sales Areas'!K$7,'NEW MODEL BY SES'!$C$17:$R$17,0),0),"")</f>
        <v/>
      </c>
      <c r="L158" s="142" t="str">
        <f>IFERROR(VLOOKUP($C158,'NEW MODEL BY SES'!$C$19:$R$242,MATCH('SeS in Retail Sales Areas'!L$7,'NEW MODEL BY SES'!$C$17:$R$17,0),0),"")</f>
        <v/>
      </c>
      <c r="M158" s="140" t="str">
        <f>IFERROR(VLOOKUP($C158,'NEW MODEL BY SES'!$C$19:$R$242,MATCH('SeS in Retail Sales Areas'!M$7,'NEW MODEL BY SES'!$C$17:$R$17,0),0),"")</f>
        <v/>
      </c>
      <c r="N158" s="142" t="str">
        <f>IFERROR(VLOOKUP($C158,'NEW MODEL BY SES'!$C$19:$R$242,MATCH('SeS in Retail Sales Areas'!N$7,'NEW MODEL BY SES'!$C$17:$R$17,0),0),"")</f>
        <v/>
      </c>
      <c r="O158" s="140" t="str">
        <f>IFERROR(VLOOKUP($C158,'NEW MODEL BY SES'!$C$19:$R$242,MATCH('SeS in Retail Sales Areas'!O$7,'NEW MODEL BY SES'!$C$17:$R$17,0),0),"")</f>
        <v/>
      </c>
      <c r="P158" s="142" t="str">
        <f>IFERROR(VLOOKUP($C158,'NEW MODEL BY SES'!$C$19:$R$242,MATCH('SeS in Retail Sales Areas'!P$7,'NEW MODEL BY SES'!$C$17:$R$17,0),0),"")</f>
        <v/>
      </c>
      <c r="Q158" s="140" t="str">
        <f>IFERROR(VLOOKUP($C158,'NEW MODEL BY SES'!$C$19:$R$242,MATCH('SeS in Retail Sales Areas'!Q$7,'NEW MODEL BY SES'!$C$17:$R$17,0),0),"")</f>
        <v/>
      </c>
      <c r="R158" s="142" t="str">
        <f>IFERROR(VLOOKUP($C158,'NEW MODEL BY SES'!$C$19:$R$242,MATCH('SeS in Retail Sales Areas'!R$7,'NEW MODEL BY SES'!$C$17:$R$17,0),0),"")</f>
        <v/>
      </c>
      <c r="S158" s="141" t="str">
        <f>IFERROR(VLOOKUP($C158,'NEW MODEL BY SES'!$C$19:$R$242,MATCH('SeS in Retail Sales Areas'!S$7,'NEW MODEL BY SES'!$C$17:$R$17,0),0),"")</f>
        <v/>
      </c>
      <c r="T158" s="140" t="str">
        <f>IFERROR(VLOOKUP($C158,'NEW MODEL BY SES'!$C$19:$R$242,MATCH('SeS in Retail Sales Areas'!T$7,'NEW MODEL BY SES'!$C$17:$R$17,0),0),"")</f>
        <v/>
      </c>
      <c r="U158" s="142" t="str">
        <f>IFERROR(VLOOKUP($C158,'NEW MODEL BY SES'!$C$19:$R$242,MATCH('SeS in Retail Sales Areas'!U$7,'NEW MODEL BY SES'!$C$17:$R$17,0),0),"")</f>
        <v/>
      </c>
      <c r="V158" s="140" t="str">
        <f>IFERROR(VLOOKUP($C158,'NEW MODEL BY SES'!$C$19:$R$242,MATCH('SeS in Retail Sales Areas'!V$7,'NEW MODEL BY SES'!$C$17:$R$17,0),0),"")</f>
        <v/>
      </c>
      <c r="W158" s="141" t="str">
        <f>IFERROR(VLOOKUP($C158,'NEW MODEL BY SES'!$C$19:$R$242,MATCH('SeS in Retail Sales Areas'!W$7,'NEW MODEL BY SES'!$C$17:$R$17,0),0),"")</f>
        <v/>
      </c>
      <c r="X158" s="140" t="str">
        <f>IFERROR(VLOOKUP($C158,'NEW MODEL BY SES'!$C$19:$R$242,MATCH('SeS in Retail Sales Areas'!X$7,'NEW MODEL BY SES'!$C$17:$R$17,0),0),"")</f>
        <v/>
      </c>
      <c r="Z158" s="57"/>
    </row>
    <row r="159" spans="1:26">
      <c r="A159" t="s">
        <v>1090</v>
      </c>
      <c r="B159" s="57">
        <v>183</v>
      </c>
      <c r="C159" t="s">
        <v>1091</v>
      </c>
      <c r="D159" t="s">
        <v>33</v>
      </c>
      <c r="E159"/>
      <c r="F159" s="140" t="str">
        <f>IFERROR(VLOOKUP($C159,'NEW MODEL BY SES'!$C$19:$R$242,MATCH('SeS in Retail Sales Areas'!F$7,'NEW MODEL BY SES'!$C$17:$R$17,0),0),"")</f>
        <v/>
      </c>
      <c r="G159" s="140" t="str">
        <f>IFERROR(VLOOKUP($C159,'NEW MODEL BY SES'!$C$19:$R$242,MATCH('SeS in Retail Sales Areas'!G$7,'NEW MODEL BY SES'!$C$17:$R$17,0),0),"")</f>
        <v/>
      </c>
      <c r="H159" s="142" t="str">
        <f>IFERROR(VLOOKUP($C159,'NEW MODEL BY SES'!$C$19:$R$242,MATCH('SeS in Retail Sales Areas'!H$7,'NEW MODEL BY SES'!$C$17:$R$17,0),0),"")</f>
        <v/>
      </c>
      <c r="I159" s="140" t="str">
        <f>IFERROR(VLOOKUP($C159,'NEW MODEL BY SES'!$C$19:$R$242,MATCH('SeS in Retail Sales Areas'!I$7,'NEW MODEL BY SES'!$C$17:$R$17,0),0),"")</f>
        <v/>
      </c>
      <c r="J159" s="142" t="str">
        <f>IFERROR(VLOOKUP($C159,'NEW MODEL BY SES'!$C$19:$R$242,MATCH('SeS in Retail Sales Areas'!J$7,'NEW MODEL BY SES'!$C$17:$R$17,0),0),"")</f>
        <v/>
      </c>
      <c r="K159" s="140" t="str">
        <f>IFERROR(VLOOKUP($C159,'NEW MODEL BY SES'!$C$19:$R$242,MATCH('SeS in Retail Sales Areas'!K$7,'NEW MODEL BY SES'!$C$17:$R$17,0),0),"")</f>
        <v/>
      </c>
      <c r="L159" s="142" t="str">
        <f>IFERROR(VLOOKUP($C159,'NEW MODEL BY SES'!$C$19:$R$242,MATCH('SeS in Retail Sales Areas'!L$7,'NEW MODEL BY SES'!$C$17:$R$17,0),0),"")</f>
        <v/>
      </c>
      <c r="M159" s="140" t="str">
        <f>IFERROR(VLOOKUP($C159,'NEW MODEL BY SES'!$C$19:$R$242,MATCH('SeS in Retail Sales Areas'!M$7,'NEW MODEL BY SES'!$C$17:$R$17,0),0),"")</f>
        <v/>
      </c>
      <c r="N159" s="142" t="str">
        <f>IFERROR(VLOOKUP($C159,'NEW MODEL BY SES'!$C$19:$R$242,MATCH('SeS in Retail Sales Areas'!N$7,'NEW MODEL BY SES'!$C$17:$R$17,0),0),"")</f>
        <v/>
      </c>
      <c r="O159" s="140" t="str">
        <f>IFERROR(VLOOKUP($C159,'NEW MODEL BY SES'!$C$19:$R$242,MATCH('SeS in Retail Sales Areas'!O$7,'NEW MODEL BY SES'!$C$17:$R$17,0),0),"")</f>
        <v/>
      </c>
      <c r="P159" s="142" t="str">
        <f>IFERROR(VLOOKUP($C159,'NEW MODEL BY SES'!$C$19:$R$242,MATCH('SeS in Retail Sales Areas'!P$7,'NEW MODEL BY SES'!$C$17:$R$17,0),0),"")</f>
        <v/>
      </c>
      <c r="Q159" s="140" t="str">
        <f>IFERROR(VLOOKUP($C159,'NEW MODEL BY SES'!$C$19:$R$242,MATCH('SeS in Retail Sales Areas'!Q$7,'NEW MODEL BY SES'!$C$17:$R$17,0),0),"")</f>
        <v/>
      </c>
      <c r="R159" s="142" t="str">
        <f>IFERROR(VLOOKUP($C159,'NEW MODEL BY SES'!$C$19:$R$242,MATCH('SeS in Retail Sales Areas'!R$7,'NEW MODEL BY SES'!$C$17:$R$17,0),0),"")</f>
        <v/>
      </c>
      <c r="S159" s="141" t="str">
        <f>IFERROR(VLOOKUP($C159,'NEW MODEL BY SES'!$C$19:$R$242,MATCH('SeS in Retail Sales Areas'!S$7,'NEW MODEL BY SES'!$C$17:$R$17,0),0),"")</f>
        <v/>
      </c>
      <c r="T159" s="140" t="str">
        <f>IFERROR(VLOOKUP($C159,'NEW MODEL BY SES'!$C$19:$R$242,MATCH('SeS in Retail Sales Areas'!T$7,'NEW MODEL BY SES'!$C$17:$R$17,0),0),"")</f>
        <v/>
      </c>
      <c r="U159" s="142" t="str">
        <f>IFERROR(VLOOKUP($C159,'NEW MODEL BY SES'!$C$19:$R$242,MATCH('SeS in Retail Sales Areas'!U$7,'NEW MODEL BY SES'!$C$17:$R$17,0),0),"")</f>
        <v/>
      </c>
      <c r="V159" s="140" t="str">
        <f>IFERROR(VLOOKUP($C159,'NEW MODEL BY SES'!$C$19:$R$242,MATCH('SeS in Retail Sales Areas'!V$7,'NEW MODEL BY SES'!$C$17:$R$17,0),0),"")</f>
        <v/>
      </c>
      <c r="W159" s="141" t="str">
        <f>IFERROR(VLOOKUP($C159,'NEW MODEL BY SES'!$C$19:$R$242,MATCH('SeS in Retail Sales Areas'!W$7,'NEW MODEL BY SES'!$C$17:$R$17,0),0),"")</f>
        <v/>
      </c>
      <c r="X159" s="140" t="str">
        <f>IFERROR(VLOOKUP($C159,'NEW MODEL BY SES'!$C$19:$R$242,MATCH('SeS in Retail Sales Areas'!X$7,'NEW MODEL BY SES'!$C$17:$R$17,0),0),"")</f>
        <v/>
      </c>
      <c r="Z159" s="57"/>
    </row>
    <row r="160" spans="1:26">
      <c r="A160" t="s">
        <v>1090</v>
      </c>
      <c r="B160" s="57">
        <v>180</v>
      </c>
      <c r="C160" t="s">
        <v>1092</v>
      </c>
      <c r="D160" t="s">
        <v>33</v>
      </c>
      <c r="E160"/>
      <c r="F160" s="140" t="str">
        <f>IFERROR(VLOOKUP($C160,'NEW MODEL BY SES'!$C$19:$R$242,MATCH('SeS in Retail Sales Areas'!F$7,'NEW MODEL BY SES'!$C$17:$R$17,0),0),"")</f>
        <v/>
      </c>
      <c r="G160" s="140" t="str">
        <f>IFERROR(VLOOKUP($C160,'NEW MODEL BY SES'!$C$19:$R$242,MATCH('SeS in Retail Sales Areas'!G$7,'NEW MODEL BY SES'!$C$17:$R$17,0),0),"")</f>
        <v/>
      </c>
      <c r="H160" s="142" t="str">
        <f>IFERROR(VLOOKUP($C160,'NEW MODEL BY SES'!$C$19:$R$242,MATCH('SeS in Retail Sales Areas'!H$7,'NEW MODEL BY SES'!$C$17:$R$17,0),0),"")</f>
        <v/>
      </c>
      <c r="I160" s="140" t="str">
        <f>IFERROR(VLOOKUP($C160,'NEW MODEL BY SES'!$C$19:$R$242,MATCH('SeS in Retail Sales Areas'!I$7,'NEW MODEL BY SES'!$C$17:$R$17,0),0),"")</f>
        <v/>
      </c>
      <c r="J160" s="142" t="str">
        <f>IFERROR(VLOOKUP($C160,'NEW MODEL BY SES'!$C$19:$R$242,MATCH('SeS in Retail Sales Areas'!J$7,'NEW MODEL BY SES'!$C$17:$R$17,0),0),"")</f>
        <v/>
      </c>
      <c r="K160" s="140" t="str">
        <f>IFERROR(VLOOKUP($C160,'NEW MODEL BY SES'!$C$19:$R$242,MATCH('SeS in Retail Sales Areas'!K$7,'NEW MODEL BY SES'!$C$17:$R$17,0),0),"")</f>
        <v/>
      </c>
      <c r="L160" s="142" t="str">
        <f>IFERROR(VLOOKUP($C160,'NEW MODEL BY SES'!$C$19:$R$242,MATCH('SeS in Retail Sales Areas'!L$7,'NEW MODEL BY SES'!$C$17:$R$17,0),0),"")</f>
        <v/>
      </c>
      <c r="M160" s="140" t="str">
        <f>IFERROR(VLOOKUP($C160,'NEW MODEL BY SES'!$C$19:$R$242,MATCH('SeS in Retail Sales Areas'!M$7,'NEW MODEL BY SES'!$C$17:$R$17,0),0),"")</f>
        <v/>
      </c>
      <c r="N160" s="142" t="str">
        <f>IFERROR(VLOOKUP($C160,'NEW MODEL BY SES'!$C$19:$R$242,MATCH('SeS in Retail Sales Areas'!N$7,'NEW MODEL BY SES'!$C$17:$R$17,0),0),"")</f>
        <v/>
      </c>
      <c r="O160" s="140" t="str">
        <f>IFERROR(VLOOKUP($C160,'NEW MODEL BY SES'!$C$19:$R$242,MATCH('SeS in Retail Sales Areas'!O$7,'NEW MODEL BY SES'!$C$17:$R$17,0),0),"")</f>
        <v/>
      </c>
      <c r="P160" s="142" t="str">
        <f>IFERROR(VLOOKUP($C160,'NEW MODEL BY SES'!$C$19:$R$242,MATCH('SeS in Retail Sales Areas'!P$7,'NEW MODEL BY SES'!$C$17:$R$17,0),0),"")</f>
        <v/>
      </c>
      <c r="Q160" s="140" t="str">
        <f>IFERROR(VLOOKUP($C160,'NEW MODEL BY SES'!$C$19:$R$242,MATCH('SeS in Retail Sales Areas'!Q$7,'NEW MODEL BY SES'!$C$17:$R$17,0),0),"")</f>
        <v/>
      </c>
      <c r="R160" s="142" t="str">
        <f>IFERROR(VLOOKUP($C160,'NEW MODEL BY SES'!$C$19:$R$242,MATCH('SeS in Retail Sales Areas'!R$7,'NEW MODEL BY SES'!$C$17:$R$17,0),0),"")</f>
        <v/>
      </c>
      <c r="S160" s="141" t="str">
        <f>IFERROR(VLOOKUP($C160,'NEW MODEL BY SES'!$C$19:$R$242,MATCH('SeS in Retail Sales Areas'!S$7,'NEW MODEL BY SES'!$C$17:$R$17,0),0),"")</f>
        <v/>
      </c>
      <c r="T160" s="140" t="str">
        <f>IFERROR(VLOOKUP($C160,'NEW MODEL BY SES'!$C$19:$R$242,MATCH('SeS in Retail Sales Areas'!T$7,'NEW MODEL BY SES'!$C$17:$R$17,0),0),"")</f>
        <v/>
      </c>
      <c r="U160" s="142" t="str">
        <f>IFERROR(VLOOKUP($C160,'NEW MODEL BY SES'!$C$19:$R$242,MATCH('SeS in Retail Sales Areas'!U$7,'NEW MODEL BY SES'!$C$17:$R$17,0),0),"")</f>
        <v/>
      </c>
      <c r="V160" s="140" t="str">
        <f>IFERROR(VLOOKUP($C160,'NEW MODEL BY SES'!$C$19:$R$242,MATCH('SeS in Retail Sales Areas'!V$7,'NEW MODEL BY SES'!$C$17:$R$17,0),0),"")</f>
        <v/>
      </c>
      <c r="W160" s="141" t="str">
        <f>IFERROR(VLOOKUP($C160,'NEW MODEL BY SES'!$C$19:$R$242,MATCH('SeS in Retail Sales Areas'!W$7,'NEW MODEL BY SES'!$C$17:$R$17,0),0),"")</f>
        <v/>
      </c>
      <c r="X160" s="140" t="str">
        <f>IFERROR(VLOOKUP($C160,'NEW MODEL BY SES'!$C$19:$R$242,MATCH('SeS in Retail Sales Areas'!X$7,'NEW MODEL BY SES'!$C$17:$R$17,0),0),"")</f>
        <v/>
      </c>
      <c r="Z160" s="57"/>
    </row>
    <row r="161" spans="1:26">
      <c r="A161" t="s">
        <v>1090</v>
      </c>
      <c r="B161" s="57">
        <v>164</v>
      </c>
      <c r="C161" t="s">
        <v>1093</v>
      </c>
      <c r="D161" t="s">
        <v>38</v>
      </c>
      <c r="E161"/>
      <c r="F161" s="140" t="str">
        <f>IFERROR(VLOOKUP($C161,'NEW MODEL BY SES'!$C$19:$R$242,MATCH('SeS in Retail Sales Areas'!F$7,'NEW MODEL BY SES'!$C$17:$R$17,0),0),"")</f>
        <v/>
      </c>
      <c r="G161" s="140" t="str">
        <f>IFERROR(VLOOKUP($C161,'NEW MODEL BY SES'!$C$19:$R$242,MATCH('SeS in Retail Sales Areas'!G$7,'NEW MODEL BY SES'!$C$17:$R$17,0),0),"")</f>
        <v/>
      </c>
      <c r="H161" s="142" t="str">
        <f>IFERROR(VLOOKUP($C161,'NEW MODEL BY SES'!$C$19:$R$242,MATCH('SeS in Retail Sales Areas'!H$7,'NEW MODEL BY SES'!$C$17:$R$17,0),0),"")</f>
        <v/>
      </c>
      <c r="I161" s="140" t="str">
        <f>IFERROR(VLOOKUP($C161,'NEW MODEL BY SES'!$C$19:$R$242,MATCH('SeS in Retail Sales Areas'!I$7,'NEW MODEL BY SES'!$C$17:$R$17,0),0),"")</f>
        <v/>
      </c>
      <c r="J161" s="142" t="str">
        <f>IFERROR(VLOOKUP($C161,'NEW MODEL BY SES'!$C$19:$R$242,MATCH('SeS in Retail Sales Areas'!J$7,'NEW MODEL BY SES'!$C$17:$R$17,0),0),"")</f>
        <v/>
      </c>
      <c r="K161" s="140" t="str">
        <f>IFERROR(VLOOKUP($C161,'NEW MODEL BY SES'!$C$19:$R$242,MATCH('SeS in Retail Sales Areas'!K$7,'NEW MODEL BY SES'!$C$17:$R$17,0),0),"")</f>
        <v/>
      </c>
      <c r="L161" s="142" t="str">
        <f>IFERROR(VLOOKUP($C161,'NEW MODEL BY SES'!$C$19:$R$242,MATCH('SeS in Retail Sales Areas'!L$7,'NEW MODEL BY SES'!$C$17:$R$17,0),0),"")</f>
        <v/>
      </c>
      <c r="M161" s="140" t="str">
        <f>IFERROR(VLOOKUP($C161,'NEW MODEL BY SES'!$C$19:$R$242,MATCH('SeS in Retail Sales Areas'!M$7,'NEW MODEL BY SES'!$C$17:$R$17,0),0),"")</f>
        <v/>
      </c>
      <c r="N161" s="142" t="str">
        <f>IFERROR(VLOOKUP($C161,'NEW MODEL BY SES'!$C$19:$R$242,MATCH('SeS in Retail Sales Areas'!N$7,'NEW MODEL BY SES'!$C$17:$R$17,0),0),"")</f>
        <v/>
      </c>
      <c r="O161" s="140" t="str">
        <f>IFERROR(VLOOKUP($C161,'NEW MODEL BY SES'!$C$19:$R$242,MATCH('SeS in Retail Sales Areas'!O$7,'NEW MODEL BY SES'!$C$17:$R$17,0),0),"")</f>
        <v/>
      </c>
      <c r="P161" s="142" t="str">
        <f>IFERROR(VLOOKUP($C161,'NEW MODEL BY SES'!$C$19:$R$242,MATCH('SeS in Retail Sales Areas'!P$7,'NEW MODEL BY SES'!$C$17:$R$17,0),0),"")</f>
        <v/>
      </c>
      <c r="Q161" s="140" t="str">
        <f>IFERROR(VLOOKUP($C161,'NEW MODEL BY SES'!$C$19:$R$242,MATCH('SeS in Retail Sales Areas'!Q$7,'NEW MODEL BY SES'!$C$17:$R$17,0),0),"")</f>
        <v/>
      </c>
      <c r="R161" s="142" t="str">
        <f>IFERROR(VLOOKUP($C161,'NEW MODEL BY SES'!$C$19:$R$242,MATCH('SeS in Retail Sales Areas'!R$7,'NEW MODEL BY SES'!$C$17:$R$17,0),0),"")</f>
        <v/>
      </c>
      <c r="S161" s="141" t="str">
        <f>IFERROR(VLOOKUP($C161,'NEW MODEL BY SES'!$C$19:$R$242,MATCH('SeS in Retail Sales Areas'!S$7,'NEW MODEL BY SES'!$C$17:$R$17,0),0),"")</f>
        <v/>
      </c>
      <c r="T161" s="140" t="str">
        <f>IFERROR(VLOOKUP($C161,'NEW MODEL BY SES'!$C$19:$R$242,MATCH('SeS in Retail Sales Areas'!T$7,'NEW MODEL BY SES'!$C$17:$R$17,0),0),"")</f>
        <v/>
      </c>
      <c r="U161" s="142" t="str">
        <f>IFERROR(VLOOKUP($C161,'NEW MODEL BY SES'!$C$19:$R$242,MATCH('SeS in Retail Sales Areas'!U$7,'NEW MODEL BY SES'!$C$17:$R$17,0),0),"")</f>
        <v/>
      </c>
      <c r="V161" s="140" t="str">
        <f>IFERROR(VLOOKUP($C161,'NEW MODEL BY SES'!$C$19:$R$242,MATCH('SeS in Retail Sales Areas'!V$7,'NEW MODEL BY SES'!$C$17:$R$17,0),0),"")</f>
        <v/>
      </c>
      <c r="W161" s="141" t="str">
        <f>IFERROR(VLOOKUP($C161,'NEW MODEL BY SES'!$C$19:$R$242,MATCH('SeS in Retail Sales Areas'!W$7,'NEW MODEL BY SES'!$C$17:$R$17,0),0),"")</f>
        <v/>
      </c>
      <c r="X161" s="140" t="str">
        <f>IFERROR(VLOOKUP($C161,'NEW MODEL BY SES'!$C$19:$R$242,MATCH('SeS in Retail Sales Areas'!X$7,'NEW MODEL BY SES'!$C$17:$R$17,0),0),"")</f>
        <v/>
      </c>
      <c r="Z161" s="57"/>
    </row>
    <row r="162" spans="1:26">
      <c r="A162" t="s">
        <v>1090</v>
      </c>
      <c r="B162" s="57">
        <v>144</v>
      </c>
      <c r="C162" t="s">
        <v>1094</v>
      </c>
      <c r="D162" t="s">
        <v>38</v>
      </c>
      <c r="E162"/>
      <c r="F162" s="140" t="str">
        <f>IFERROR(VLOOKUP($C162,'NEW MODEL BY SES'!$C$19:$R$242,MATCH('SeS in Retail Sales Areas'!F$7,'NEW MODEL BY SES'!$C$17:$R$17,0),0),"")</f>
        <v/>
      </c>
      <c r="G162" s="140" t="str">
        <f>IFERROR(VLOOKUP($C162,'NEW MODEL BY SES'!$C$19:$R$242,MATCH('SeS in Retail Sales Areas'!G$7,'NEW MODEL BY SES'!$C$17:$R$17,0),0),"")</f>
        <v/>
      </c>
      <c r="H162" s="142" t="str">
        <f>IFERROR(VLOOKUP($C162,'NEW MODEL BY SES'!$C$19:$R$242,MATCH('SeS in Retail Sales Areas'!H$7,'NEW MODEL BY SES'!$C$17:$R$17,0),0),"")</f>
        <v/>
      </c>
      <c r="I162" s="140" t="str">
        <f>IFERROR(VLOOKUP($C162,'NEW MODEL BY SES'!$C$19:$R$242,MATCH('SeS in Retail Sales Areas'!I$7,'NEW MODEL BY SES'!$C$17:$R$17,0),0),"")</f>
        <v/>
      </c>
      <c r="J162" s="142" t="str">
        <f>IFERROR(VLOOKUP($C162,'NEW MODEL BY SES'!$C$19:$R$242,MATCH('SeS in Retail Sales Areas'!J$7,'NEW MODEL BY SES'!$C$17:$R$17,0),0),"")</f>
        <v/>
      </c>
      <c r="K162" s="140" t="str">
        <f>IFERROR(VLOOKUP($C162,'NEW MODEL BY SES'!$C$19:$R$242,MATCH('SeS in Retail Sales Areas'!K$7,'NEW MODEL BY SES'!$C$17:$R$17,0),0),"")</f>
        <v/>
      </c>
      <c r="L162" s="142" t="str">
        <f>IFERROR(VLOOKUP($C162,'NEW MODEL BY SES'!$C$19:$R$242,MATCH('SeS in Retail Sales Areas'!L$7,'NEW MODEL BY SES'!$C$17:$R$17,0),0),"")</f>
        <v/>
      </c>
      <c r="M162" s="140" t="str">
        <f>IFERROR(VLOOKUP($C162,'NEW MODEL BY SES'!$C$19:$R$242,MATCH('SeS in Retail Sales Areas'!M$7,'NEW MODEL BY SES'!$C$17:$R$17,0),0),"")</f>
        <v/>
      </c>
      <c r="N162" s="142" t="str">
        <f>IFERROR(VLOOKUP($C162,'NEW MODEL BY SES'!$C$19:$R$242,MATCH('SeS in Retail Sales Areas'!N$7,'NEW MODEL BY SES'!$C$17:$R$17,0),0),"")</f>
        <v/>
      </c>
      <c r="O162" s="140" t="str">
        <f>IFERROR(VLOOKUP($C162,'NEW MODEL BY SES'!$C$19:$R$242,MATCH('SeS in Retail Sales Areas'!O$7,'NEW MODEL BY SES'!$C$17:$R$17,0),0),"")</f>
        <v/>
      </c>
      <c r="P162" s="142" t="str">
        <f>IFERROR(VLOOKUP($C162,'NEW MODEL BY SES'!$C$19:$R$242,MATCH('SeS in Retail Sales Areas'!P$7,'NEW MODEL BY SES'!$C$17:$R$17,0),0),"")</f>
        <v/>
      </c>
      <c r="Q162" s="140" t="str">
        <f>IFERROR(VLOOKUP($C162,'NEW MODEL BY SES'!$C$19:$R$242,MATCH('SeS in Retail Sales Areas'!Q$7,'NEW MODEL BY SES'!$C$17:$R$17,0),0),"")</f>
        <v/>
      </c>
      <c r="R162" s="142" t="str">
        <f>IFERROR(VLOOKUP($C162,'NEW MODEL BY SES'!$C$19:$R$242,MATCH('SeS in Retail Sales Areas'!R$7,'NEW MODEL BY SES'!$C$17:$R$17,0),0),"")</f>
        <v/>
      </c>
      <c r="S162" s="141" t="str">
        <f>IFERROR(VLOOKUP($C162,'NEW MODEL BY SES'!$C$19:$R$242,MATCH('SeS in Retail Sales Areas'!S$7,'NEW MODEL BY SES'!$C$17:$R$17,0),0),"")</f>
        <v/>
      </c>
      <c r="T162" s="140" t="str">
        <f>IFERROR(VLOOKUP($C162,'NEW MODEL BY SES'!$C$19:$R$242,MATCH('SeS in Retail Sales Areas'!T$7,'NEW MODEL BY SES'!$C$17:$R$17,0),0),"")</f>
        <v/>
      </c>
      <c r="U162" s="142" t="str">
        <f>IFERROR(VLOOKUP($C162,'NEW MODEL BY SES'!$C$19:$R$242,MATCH('SeS in Retail Sales Areas'!U$7,'NEW MODEL BY SES'!$C$17:$R$17,0),0),"")</f>
        <v/>
      </c>
      <c r="V162" s="140" t="str">
        <f>IFERROR(VLOOKUP($C162,'NEW MODEL BY SES'!$C$19:$R$242,MATCH('SeS in Retail Sales Areas'!V$7,'NEW MODEL BY SES'!$C$17:$R$17,0),0),"")</f>
        <v/>
      </c>
      <c r="W162" s="141" t="str">
        <f>IFERROR(VLOOKUP($C162,'NEW MODEL BY SES'!$C$19:$R$242,MATCH('SeS in Retail Sales Areas'!W$7,'NEW MODEL BY SES'!$C$17:$R$17,0),0),"")</f>
        <v/>
      </c>
      <c r="X162" s="140" t="str">
        <f>IFERROR(VLOOKUP($C162,'NEW MODEL BY SES'!$C$19:$R$242,MATCH('SeS in Retail Sales Areas'!X$7,'NEW MODEL BY SES'!$C$17:$R$17,0),0),"")</f>
        <v/>
      </c>
      <c r="Z162" s="146"/>
    </row>
    <row r="163" spans="1:26">
      <c r="A163" t="s">
        <v>1090</v>
      </c>
      <c r="B163" s="57">
        <v>138</v>
      </c>
      <c r="C163" t="s">
        <v>1095</v>
      </c>
      <c r="D163" t="s">
        <v>38</v>
      </c>
      <c r="E163"/>
      <c r="F163" s="140" t="str">
        <f>IFERROR(VLOOKUP($C163,'NEW MODEL BY SES'!$C$19:$R$242,MATCH('SeS in Retail Sales Areas'!F$7,'NEW MODEL BY SES'!$C$17:$R$17,0),0),"")</f>
        <v/>
      </c>
      <c r="G163" s="140" t="str">
        <f>IFERROR(VLOOKUP($C163,'NEW MODEL BY SES'!$C$19:$R$242,MATCH('SeS in Retail Sales Areas'!G$7,'NEW MODEL BY SES'!$C$17:$R$17,0),0),"")</f>
        <v/>
      </c>
      <c r="H163" s="142" t="str">
        <f>IFERROR(VLOOKUP($C163,'NEW MODEL BY SES'!$C$19:$R$242,MATCH('SeS in Retail Sales Areas'!H$7,'NEW MODEL BY SES'!$C$17:$R$17,0),0),"")</f>
        <v/>
      </c>
      <c r="I163" s="140" t="str">
        <f>IFERROR(VLOOKUP($C163,'NEW MODEL BY SES'!$C$19:$R$242,MATCH('SeS in Retail Sales Areas'!I$7,'NEW MODEL BY SES'!$C$17:$R$17,0),0),"")</f>
        <v/>
      </c>
      <c r="J163" s="142" t="str">
        <f>IFERROR(VLOOKUP($C163,'NEW MODEL BY SES'!$C$19:$R$242,MATCH('SeS in Retail Sales Areas'!J$7,'NEW MODEL BY SES'!$C$17:$R$17,0),0),"")</f>
        <v/>
      </c>
      <c r="K163" s="140" t="str">
        <f>IFERROR(VLOOKUP($C163,'NEW MODEL BY SES'!$C$19:$R$242,MATCH('SeS in Retail Sales Areas'!K$7,'NEW MODEL BY SES'!$C$17:$R$17,0),0),"")</f>
        <v/>
      </c>
      <c r="L163" s="142" t="str">
        <f>IFERROR(VLOOKUP($C163,'NEW MODEL BY SES'!$C$19:$R$242,MATCH('SeS in Retail Sales Areas'!L$7,'NEW MODEL BY SES'!$C$17:$R$17,0),0),"")</f>
        <v/>
      </c>
      <c r="M163" s="140" t="str">
        <f>IFERROR(VLOOKUP($C163,'NEW MODEL BY SES'!$C$19:$R$242,MATCH('SeS in Retail Sales Areas'!M$7,'NEW MODEL BY SES'!$C$17:$R$17,0),0),"")</f>
        <v/>
      </c>
      <c r="N163" s="142" t="str">
        <f>IFERROR(VLOOKUP($C163,'NEW MODEL BY SES'!$C$19:$R$242,MATCH('SeS in Retail Sales Areas'!N$7,'NEW MODEL BY SES'!$C$17:$R$17,0),0),"")</f>
        <v/>
      </c>
      <c r="O163" s="140" t="str">
        <f>IFERROR(VLOOKUP($C163,'NEW MODEL BY SES'!$C$19:$R$242,MATCH('SeS in Retail Sales Areas'!O$7,'NEW MODEL BY SES'!$C$17:$R$17,0),0),"")</f>
        <v/>
      </c>
      <c r="P163" s="142" t="str">
        <f>IFERROR(VLOOKUP($C163,'NEW MODEL BY SES'!$C$19:$R$242,MATCH('SeS in Retail Sales Areas'!P$7,'NEW MODEL BY SES'!$C$17:$R$17,0),0),"")</f>
        <v/>
      </c>
      <c r="Q163" s="140" t="str">
        <f>IFERROR(VLOOKUP($C163,'NEW MODEL BY SES'!$C$19:$R$242,MATCH('SeS in Retail Sales Areas'!Q$7,'NEW MODEL BY SES'!$C$17:$R$17,0),0),"")</f>
        <v/>
      </c>
      <c r="R163" s="142" t="str">
        <f>IFERROR(VLOOKUP($C163,'NEW MODEL BY SES'!$C$19:$R$242,MATCH('SeS in Retail Sales Areas'!R$7,'NEW MODEL BY SES'!$C$17:$R$17,0),0),"")</f>
        <v/>
      </c>
      <c r="S163" s="141" t="str">
        <f>IFERROR(VLOOKUP($C163,'NEW MODEL BY SES'!$C$19:$R$242,MATCH('SeS in Retail Sales Areas'!S$7,'NEW MODEL BY SES'!$C$17:$R$17,0),0),"")</f>
        <v/>
      </c>
      <c r="T163" s="140" t="str">
        <f>IFERROR(VLOOKUP($C163,'NEW MODEL BY SES'!$C$19:$R$242,MATCH('SeS in Retail Sales Areas'!T$7,'NEW MODEL BY SES'!$C$17:$R$17,0),0),"")</f>
        <v/>
      </c>
      <c r="U163" s="142" t="str">
        <f>IFERROR(VLOOKUP($C163,'NEW MODEL BY SES'!$C$19:$R$242,MATCH('SeS in Retail Sales Areas'!U$7,'NEW MODEL BY SES'!$C$17:$R$17,0),0),"")</f>
        <v/>
      </c>
      <c r="V163" s="140" t="str">
        <f>IFERROR(VLOOKUP($C163,'NEW MODEL BY SES'!$C$19:$R$242,MATCH('SeS in Retail Sales Areas'!V$7,'NEW MODEL BY SES'!$C$17:$R$17,0),0),"")</f>
        <v/>
      </c>
      <c r="W163" s="141" t="str">
        <f>IFERROR(VLOOKUP($C163,'NEW MODEL BY SES'!$C$19:$R$242,MATCH('SeS in Retail Sales Areas'!W$7,'NEW MODEL BY SES'!$C$17:$R$17,0),0),"")</f>
        <v/>
      </c>
      <c r="X163" s="140" t="str">
        <f>IFERROR(VLOOKUP($C163,'NEW MODEL BY SES'!$C$19:$R$242,MATCH('SeS in Retail Sales Areas'!X$7,'NEW MODEL BY SES'!$C$17:$R$17,0),0),"")</f>
        <v/>
      </c>
      <c r="Z163" s="57"/>
    </row>
    <row r="164" spans="1:26">
      <c r="A164" t="s">
        <v>1090</v>
      </c>
      <c r="B164" s="57">
        <v>132</v>
      </c>
      <c r="C164" t="s">
        <v>1096</v>
      </c>
      <c r="D164" t="s">
        <v>38</v>
      </c>
      <c r="E164"/>
      <c r="F164" s="140" t="str">
        <f>IFERROR(VLOOKUP($C164,'NEW MODEL BY SES'!$C$19:$R$242,MATCH('SeS in Retail Sales Areas'!F$7,'NEW MODEL BY SES'!$C$17:$R$17,0),0),"")</f>
        <v/>
      </c>
      <c r="G164" s="140" t="str">
        <f>IFERROR(VLOOKUP($C164,'NEW MODEL BY SES'!$C$19:$R$242,MATCH('SeS in Retail Sales Areas'!G$7,'NEW MODEL BY SES'!$C$17:$R$17,0),0),"")</f>
        <v/>
      </c>
      <c r="H164" s="142" t="str">
        <f>IFERROR(VLOOKUP($C164,'NEW MODEL BY SES'!$C$19:$R$242,MATCH('SeS in Retail Sales Areas'!H$7,'NEW MODEL BY SES'!$C$17:$R$17,0),0),"")</f>
        <v/>
      </c>
      <c r="I164" s="140" t="str">
        <f>IFERROR(VLOOKUP($C164,'NEW MODEL BY SES'!$C$19:$R$242,MATCH('SeS in Retail Sales Areas'!I$7,'NEW MODEL BY SES'!$C$17:$R$17,0),0),"")</f>
        <v/>
      </c>
      <c r="J164" s="142" t="str">
        <f>IFERROR(VLOOKUP($C164,'NEW MODEL BY SES'!$C$19:$R$242,MATCH('SeS in Retail Sales Areas'!J$7,'NEW MODEL BY SES'!$C$17:$R$17,0),0),"")</f>
        <v/>
      </c>
      <c r="K164" s="140" t="str">
        <f>IFERROR(VLOOKUP($C164,'NEW MODEL BY SES'!$C$19:$R$242,MATCH('SeS in Retail Sales Areas'!K$7,'NEW MODEL BY SES'!$C$17:$R$17,0),0),"")</f>
        <v/>
      </c>
      <c r="L164" s="142" t="str">
        <f>IFERROR(VLOOKUP($C164,'NEW MODEL BY SES'!$C$19:$R$242,MATCH('SeS in Retail Sales Areas'!L$7,'NEW MODEL BY SES'!$C$17:$R$17,0),0),"")</f>
        <v/>
      </c>
      <c r="M164" s="140" t="str">
        <f>IFERROR(VLOOKUP($C164,'NEW MODEL BY SES'!$C$19:$R$242,MATCH('SeS in Retail Sales Areas'!M$7,'NEW MODEL BY SES'!$C$17:$R$17,0),0),"")</f>
        <v/>
      </c>
      <c r="N164" s="142" t="str">
        <f>IFERROR(VLOOKUP($C164,'NEW MODEL BY SES'!$C$19:$R$242,MATCH('SeS in Retail Sales Areas'!N$7,'NEW MODEL BY SES'!$C$17:$R$17,0),0),"")</f>
        <v/>
      </c>
      <c r="O164" s="140" t="str">
        <f>IFERROR(VLOOKUP($C164,'NEW MODEL BY SES'!$C$19:$R$242,MATCH('SeS in Retail Sales Areas'!O$7,'NEW MODEL BY SES'!$C$17:$R$17,0),0),"")</f>
        <v/>
      </c>
      <c r="P164" s="142" t="str">
        <f>IFERROR(VLOOKUP($C164,'NEW MODEL BY SES'!$C$19:$R$242,MATCH('SeS in Retail Sales Areas'!P$7,'NEW MODEL BY SES'!$C$17:$R$17,0),0),"")</f>
        <v/>
      </c>
      <c r="Q164" s="140" t="str">
        <f>IFERROR(VLOOKUP($C164,'NEW MODEL BY SES'!$C$19:$R$242,MATCH('SeS in Retail Sales Areas'!Q$7,'NEW MODEL BY SES'!$C$17:$R$17,0),0),"")</f>
        <v/>
      </c>
      <c r="R164" s="142" t="str">
        <f>IFERROR(VLOOKUP($C164,'NEW MODEL BY SES'!$C$19:$R$242,MATCH('SeS in Retail Sales Areas'!R$7,'NEW MODEL BY SES'!$C$17:$R$17,0),0),"")</f>
        <v/>
      </c>
      <c r="S164" s="141" t="str">
        <f>IFERROR(VLOOKUP($C164,'NEW MODEL BY SES'!$C$19:$R$242,MATCH('SeS in Retail Sales Areas'!S$7,'NEW MODEL BY SES'!$C$17:$R$17,0),0),"")</f>
        <v/>
      </c>
      <c r="T164" s="140" t="str">
        <f>IFERROR(VLOOKUP($C164,'NEW MODEL BY SES'!$C$19:$R$242,MATCH('SeS in Retail Sales Areas'!T$7,'NEW MODEL BY SES'!$C$17:$R$17,0),0),"")</f>
        <v/>
      </c>
      <c r="U164" s="142" t="str">
        <f>IFERROR(VLOOKUP($C164,'NEW MODEL BY SES'!$C$19:$R$242,MATCH('SeS in Retail Sales Areas'!U$7,'NEW MODEL BY SES'!$C$17:$R$17,0),0),"")</f>
        <v/>
      </c>
      <c r="V164" s="140" t="str">
        <f>IFERROR(VLOOKUP($C164,'NEW MODEL BY SES'!$C$19:$R$242,MATCH('SeS in Retail Sales Areas'!V$7,'NEW MODEL BY SES'!$C$17:$R$17,0),0),"")</f>
        <v/>
      </c>
      <c r="W164" s="141" t="str">
        <f>IFERROR(VLOOKUP($C164,'NEW MODEL BY SES'!$C$19:$R$242,MATCH('SeS in Retail Sales Areas'!W$7,'NEW MODEL BY SES'!$C$17:$R$17,0),0),"")</f>
        <v/>
      </c>
      <c r="X164" s="140" t="str">
        <f>IFERROR(VLOOKUP($C164,'NEW MODEL BY SES'!$C$19:$R$242,MATCH('SeS in Retail Sales Areas'!X$7,'NEW MODEL BY SES'!$C$17:$R$17,0),0),"")</f>
        <v/>
      </c>
      <c r="Z164" s="57"/>
    </row>
    <row r="165" spans="1:26">
      <c r="A165" t="s">
        <v>1090</v>
      </c>
      <c r="B165" s="57">
        <v>129</v>
      </c>
      <c r="C165" t="s">
        <v>1097</v>
      </c>
      <c r="D165" t="s">
        <v>38</v>
      </c>
      <c r="E165"/>
      <c r="F165" s="140" t="str">
        <f>IFERROR(VLOOKUP($C165,'NEW MODEL BY SES'!$C$19:$R$242,MATCH('SeS in Retail Sales Areas'!F$7,'NEW MODEL BY SES'!$C$17:$R$17,0),0),"")</f>
        <v/>
      </c>
      <c r="G165" s="140" t="str">
        <f>IFERROR(VLOOKUP($C165,'NEW MODEL BY SES'!$C$19:$R$242,MATCH('SeS in Retail Sales Areas'!G$7,'NEW MODEL BY SES'!$C$17:$R$17,0),0),"")</f>
        <v/>
      </c>
      <c r="H165" s="142" t="str">
        <f>IFERROR(VLOOKUP($C165,'NEW MODEL BY SES'!$C$19:$R$242,MATCH('SeS in Retail Sales Areas'!H$7,'NEW MODEL BY SES'!$C$17:$R$17,0),0),"")</f>
        <v/>
      </c>
      <c r="I165" s="140" t="str">
        <f>IFERROR(VLOOKUP($C165,'NEW MODEL BY SES'!$C$19:$R$242,MATCH('SeS in Retail Sales Areas'!I$7,'NEW MODEL BY SES'!$C$17:$R$17,0),0),"")</f>
        <v/>
      </c>
      <c r="J165" s="142" t="str">
        <f>IFERROR(VLOOKUP($C165,'NEW MODEL BY SES'!$C$19:$R$242,MATCH('SeS in Retail Sales Areas'!J$7,'NEW MODEL BY SES'!$C$17:$R$17,0),0),"")</f>
        <v/>
      </c>
      <c r="K165" s="140" t="str">
        <f>IFERROR(VLOOKUP($C165,'NEW MODEL BY SES'!$C$19:$R$242,MATCH('SeS in Retail Sales Areas'!K$7,'NEW MODEL BY SES'!$C$17:$R$17,0),0),"")</f>
        <v/>
      </c>
      <c r="L165" s="142" t="str">
        <f>IFERROR(VLOOKUP($C165,'NEW MODEL BY SES'!$C$19:$R$242,MATCH('SeS in Retail Sales Areas'!L$7,'NEW MODEL BY SES'!$C$17:$R$17,0),0),"")</f>
        <v/>
      </c>
      <c r="M165" s="140" t="str">
        <f>IFERROR(VLOOKUP($C165,'NEW MODEL BY SES'!$C$19:$R$242,MATCH('SeS in Retail Sales Areas'!M$7,'NEW MODEL BY SES'!$C$17:$R$17,0),0),"")</f>
        <v/>
      </c>
      <c r="N165" s="142" t="str">
        <f>IFERROR(VLOOKUP($C165,'NEW MODEL BY SES'!$C$19:$R$242,MATCH('SeS in Retail Sales Areas'!N$7,'NEW MODEL BY SES'!$C$17:$R$17,0),0),"")</f>
        <v/>
      </c>
      <c r="O165" s="140" t="str">
        <f>IFERROR(VLOOKUP($C165,'NEW MODEL BY SES'!$C$19:$R$242,MATCH('SeS in Retail Sales Areas'!O$7,'NEW MODEL BY SES'!$C$17:$R$17,0),0),"")</f>
        <v/>
      </c>
      <c r="P165" s="142" t="str">
        <f>IFERROR(VLOOKUP($C165,'NEW MODEL BY SES'!$C$19:$R$242,MATCH('SeS in Retail Sales Areas'!P$7,'NEW MODEL BY SES'!$C$17:$R$17,0),0),"")</f>
        <v/>
      </c>
      <c r="Q165" s="140" t="str">
        <f>IFERROR(VLOOKUP($C165,'NEW MODEL BY SES'!$C$19:$R$242,MATCH('SeS in Retail Sales Areas'!Q$7,'NEW MODEL BY SES'!$C$17:$R$17,0),0),"")</f>
        <v/>
      </c>
      <c r="R165" s="142" t="str">
        <f>IFERROR(VLOOKUP($C165,'NEW MODEL BY SES'!$C$19:$R$242,MATCH('SeS in Retail Sales Areas'!R$7,'NEW MODEL BY SES'!$C$17:$R$17,0),0),"")</f>
        <v/>
      </c>
      <c r="S165" s="141" t="str">
        <f>IFERROR(VLOOKUP($C165,'NEW MODEL BY SES'!$C$19:$R$242,MATCH('SeS in Retail Sales Areas'!S$7,'NEW MODEL BY SES'!$C$17:$R$17,0),0),"")</f>
        <v/>
      </c>
      <c r="T165" s="140" t="str">
        <f>IFERROR(VLOOKUP($C165,'NEW MODEL BY SES'!$C$19:$R$242,MATCH('SeS in Retail Sales Areas'!T$7,'NEW MODEL BY SES'!$C$17:$R$17,0),0),"")</f>
        <v/>
      </c>
      <c r="U165" s="142" t="str">
        <f>IFERROR(VLOOKUP($C165,'NEW MODEL BY SES'!$C$19:$R$242,MATCH('SeS in Retail Sales Areas'!U$7,'NEW MODEL BY SES'!$C$17:$R$17,0),0),"")</f>
        <v/>
      </c>
      <c r="V165" s="140" t="str">
        <f>IFERROR(VLOOKUP($C165,'NEW MODEL BY SES'!$C$19:$R$242,MATCH('SeS in Retail Sales Areas'!V$7,'NEW MODEL BY SES'!$C$17:$R$17,0),0),"")</f>
        <v/>
      </c>
      <c r="W165" s="141" t="str">
        <f>IFERROR(VLOOKUP($C165,'NEW MODEL BY SES'!$C$19:$R$242,MATCH('SeS in Retail Sales Areas'!W$7,'NEW MODEL BY SES'!$C$17:$R$17,0),0),"")</f>
        <v/>
      </c>
      <c r="X165" s="140" t="str">
        <f>IFERROR(VLOOKUP($C165,'NEW MODEL BY SES'!$C$19:$R$242,MATCH('SeS in Retail Sales Areas'!X$7,'NEW MODEL BY SES'!$C$17:$R$17,0),0),"")</f>
        <v/>
      </c>
      <c r="Z165" s="57"/>
    </row>
    <row r="166" spans="1:26">
      <c r="A166" t="s">
        <v>1090</v>
      </c>
      <c r="B166" s="57">
        <v>128</v>
      </c>
      <c r="C166" t="s">
        <v>1098</v>
      </c>
      <c r="D166" t="s">
        <v>38</v>
      </c>
      <c r="E166"/>
      <c r="F166" s="140" t="str">
        <f>IFERROR(VLOOKUP($C166,'NEW MODEL BY SES'!$C$19:$R$242,MATCH('SeS in Retail Sales Areas'!F$7,'NEW MODEL BY SES'!$C$17:$R$17,0),0),"")</f>
        <v/>
      </c>
      <c r="G166" s="140" t="str">
        <f>IFERROR(VLOOKUP($C166,'NEW MODEL BY SES'!$C$19:$R$242,MATCH('SeS in Retail Sales Areas'!G$7,'NEW MODEL BY SES'!$C$17:$R$17,0),0),"")</f>
        <v/>
      </c>
      <c r="H166" s="142" t="str">
        <f>IFERROR(VLOOKUP($C166,'NEW MODEL BY SES'!$C$19:$R$242,MATCH('SeS in Retail Sales Areas'!H$7,'NEW MODEL BY SES'!$C$17:$R$17,0),0),"")</f>
        <v/>
      </c>
      <c r="I166" s="140" t="str">
        <f>IFERROR(VLOOKUP($C166,'NEW MODEL BY SES'!$C$19:$R$242,MATCH('SeS in Retail Sales Areas'!I$7,'NEW MODEL BY SES'!$C$17:$R$17,0),0),"")</f>
        <v/>
      </c>
      <c r="J166" s="142" t="str">
        <f>IFERROR(VLOOKUP($C166,'NEW MODEL BY SES'!$C$19:$R$242,MATCH('SeS in Retail Sales Areas'!J$7,'NEW MODEL BY SES'!$C$17:$R$17,0),0),"")</f>
        <v/>
      </c>
      <c r="K166" s="140" t="str">
        <f>IFERROR(VLOOKUP($C166,'NEW MODEL BY SES'!$C$19:$R$242,MATCH('SeS in Retail Sales Areas'!K$7,'NEW MODEL BY SES'!$C$17:$R$17,0),0),"")</f>
        <v/>
      </c>
      <c r="L166" s="142" t="str">
        <f>IFERROR(VLOOKUP($C166,'NEW MODEL BY SES'!$C$19:$R$242,MATCH('SeS in Retail Sales Areas'!L$7,'NEW MODEL BY SES'!$C$17:$R$17,0),0),"")</f>
        <v/>
      </c>
      <c r="M166" s="140" t="str">
        <f>IFERROR(VLOOKUP($C166,'NEW MODEL BY SES'!$C$19:$R$242,MATCH('SeS in Retail Sales Areas'!M$7,'NEW MODEL BY SES'!$C$17:$R$17,0),0),"")</f>
        <v/>
      </c>
      <c r="N166" s="142" t="str">
        <f>IFERROR(VLOOKUP($C166,'NEW MODEL BY SES'!$C$19:$R$242,MATCH('SeS in Retail Sales Areas'!N$7,'NEW MODEL BY SES'!$C$17:$R$17,0),0),"")</f>
        <v/>
      </c>
      <c r="O166" s="140" t="str">
        <f>IFERROR(VLOOKUP($C166,'NEW MODEL BY SES'!$C$19:$R$242,MATCH('SeS in Retail Sales Areas'!O$7,'NEW MODEL BY SES'!$C$17:$R$17,0),0),"")</f>
        <v/>
      </c>
      <c r="P166" s="142" t="str">
        <f>IFERROR(VLOOKUP($C166,'NEW MODEL BY SES'!$C$19:$R$242,MATCH('SeS in Retail Sales Areas'!P$7,'NEW MODEL BY SES'!$C$17:$R$17,0),0),"")</f>
        <v/>
      </c>
      <c r="Q166" s="140" t="str">
        <f>IFERROR(VLOOKUP($C166,'NEW MODEL BY SES'!$C$19:$R$242,MATCH('SeS in Retail Sales Areas'!Q$7,'NEW MODEL BY SES'!$C$17:$R$17,0),0),"")</f>
        <v/>
      </c>
      <c r="R166" s="142" t="str">
        <f>IFERROR(VLOOKUP($C166,'NEW MODEL BY SES'!$C$19:$R$242,MATCH('SeS in Retail Sales Areas'!R$7,'NEW MODEL BY SES'!$C$17:$R$17,0),0),"")</f>
        <v/>
      </c>
      <c r="S166" s="141" t="str">
        <f>IFERROR(VLOOKUP($C166,'NEW MODEL BY SES'!$C$19:$R$242,MATCH('SeS in Retail Sales Areas'!S$7,'NEW MODEL BY SES'!$C$17:$R$17,0),0),"")</f>
        <v/>
      </c>
      <c r="T166" s="140" t="str">
        <f>IFERROR(VLOOKUP($C166,'NEW MODEL BY SES'!$C$19:$R$242,MATCH('SeS in Retail Sales Areas'!T$7,'NEW MODEL BY SES'!$C$17:$R$17,0),0),"")</f>
        <v/>
      </c>
      <c r="U166" s="142" t="str">
        <f>IFERROR(VLOOKUP($C166,'NEW MODEL BY SES'!$C$19:$R$242,MATCH('SeS in Retail Sales Areas'!U$7,'NEW MODEL BY SES'!$C$17:$R$17,0),0),"")</f>
        <v/>
      </c>
      <c r="V166" s="140" t="str">
        <f>IFERROR(VLOOKUP($C166,'NEW MODEL BY SES'!$C$19:$R$242,MATCH('SeS in Retail Sales Areas'!V$7,'NEW MODEL BY SES'!$C$17:$R$17,0),0),"")</f>
        <v/>
      </c>
      <c r="W166" s="141" t="str">
        <f>IFERROR(VLOOKUP($C166,'NEW MODEL BY SES'!$C$19:$R$242,MATCH('SeS in Retail Sales Areas'!W$7,'NEW MODEL BY SES'!$C$17:$R$17,0),0),"")</f>
        <v/>
      </c>
      <c r="X166" s="140" t="str">
        <f>IFERROR(VLOOKUP($C166,'NEW MODEL BY SES'!$C$19:$R$242,MATCH('SeS in Retail Sales Areas'!X$7,'NEW MODEL BY SES'!$C$17:$R$17,0),0),"")</f>
        <v/>
      </c>
      <c r="Z166" s="57"/>
    </row>
    <row r="167" spans="1:26">
      <c r="A167" t="s">
        <v>1090</v>
      </c>
      <c r="B167" s="57">
        <v>114</v>
      </c>
      <c r="C167" t="s">
        <v>1099</v>
      </c>
      <c r="D167" t="s">
        <v>40</v>
      </c>
      <c r="E167"/>
      <c r="F167" s="140" t="str">
        <f>IFERROR(VLOOKUP($C167,'NEW MODEL BY SES'!$C$19:$R$242,MATCH('SeS in Retail Sales Areas'!F$7,'NEW MODEL BY SES'!$C$17:$R$17,0),0),"")</f>
        <v/>
      </c>
      <c r="G167" s="140" t="str">
        <f>IFERROR(VLOOKUP($C167,'NEW MODEL BY SES'!$C$19:$R$242,MATCH('SeS in Retail Sales Areas'!G$7,'NEW MODEL BY SES'!$C$17:$R$17,0),0),"")</f>
        <v/>
      </c>
      <c r="H167" s="142" t="str">
        <f>IFERROR(VLOOKUP($C167,'NEW MODEL BY SES'!$C$19:$R$242,MATCH('SeS in Retail Sales Areas'!H$7,'NEW MODEL BY SES'!$C$17:$R$17,0),0),"")</f>
        <v/>
      </c>
      <c r="I167" s="140" t="str">
        <f>IFERROR(VLOOKUP($C167,'NEW MODEL BY SES'!$C$19:$R$242,MATCH('SeS in Retail Sales Areas'!I$7,'NEW MODEL BY SES'!$C$17:$R$17,0),0),"")</f>
        <v/>
      </c>
      <c r="J167" s="142" t="str">
        <f>IFERROR(VLOOKUP($C167,'NEW MODEL BY SES'!$C$19:$R$242,MATCH('SeS in Retail Sales Areas'!J$7,'NEW MODEL BY SES'!$C$17:$R$17,0),0),"")</f>
        <v/>
      </c>
      <c r="K167" s="140" t="str">
        <f>IFERROR(VLOOKUP($C167,'NEW MODEL BY SES'!$C$19:$R$242,MATCH('SeS in Retail Sales Areas'!K$7,'NEW MODEL BY SES'!$C$17:$R$17,0),0),"")</f>
        <v/>
      </c>
      <c r="L167" s="142" t="str">
        <f>IFERROR(VLOOKUP($C167,'NEW MODEL BY SES'!$C$19:$R$242,MATCH('SeS in Retail Sales Areas'!L$7,'NEW MODEL BY SES'!$C$17:$R$17,0),0),"")</f>
        <v/>
      </c>
      <c r="M167" s="140" t="str">
        <f>IFERROR(VLOOKUP($C167,'NEW MODEL BY SES'!$C$19:$R$242,MATCH('SeS in Retail Sales Areas'!M$7,'NEW MODEL BY SES'!$C$17:$R$17,0),0),"")</f>
        <v/>
      </c>
      <c r="N167" s="142" t="str">
        <f>IFERROR(VLOOKUP($C167,'NEW MODEL BY SES'!$C$19:$R$242,MATCH('SeS in Retail Sales Areas'!N$7,'NEW MODEL BY SES'!$C$17:$R$17,0),0),"")</f>
        <v/>
      </c>
      <c r="O167" s="140" t="str">
        <f>IFERROR(VLOOKUP($C167,'NEW MODEL BY SES'!$C$19:$R$242,MATCH('SeS in Retail Sales Areas'!O$7,'NEW MODEL BY SES'!$C$17:$R$17,0),0),"")</f>
        <v/>
      </c>
      <c r="P167" s="142" t="str">
        <f>IFERROR(VLOOKUP($C167,'NEW MODEL BY SES'!$C$19:$R$242,MATCH('SeS in Retail Sales Areas'!P$7,'NEW MODEL BY SES'!$C$17:$R$17,0),0),"")</f>
        <v/>
      </c>
      <c r="Q167" s="140" t="str">
        <f>IFERROR(VLOOKUP($C167,'NEW MODEL BY SES'!$C$19:$R$242,MATCH('SeS in Retail Sales Areas'!Q$7,'NEW MODEL BY SES'!$C$17:$R$17,0),0),"")</f>
        <v/>
      </c>
      <c r="R167" s="142" t="str">
        <f>IFERROR(VLOOKUP($C167,'NEW MODEL BY SES'!$C$19:$R$242,MATCH('SeS in Retail Sales Areas'!R$7,'NEW MODEL BY SES'!$C$17:$R$17,0),0),"")</f>
        <v/>
      </c>
      <c r="S167" s="141" t="str">
        <f>IFERROR(VLOOKUP($C167,'NEW MODEL BY SES'!$C$19:$R$242,MATCH('SeS in Retail Sales Areas'!S$7,'NEW MODEL BY SES'!$C$17:$R$17,0),0),"")</f>
        <v/>
      </c>
      <c r="T167" s="140" t="str">
        <f>IFERROR(VLOOKUP($C167,'NEW MODEL BY SES'!$C$19:$R$242,MATCH('SeS in Retail Sales Areas'!T$7,'NEW MODEL BY SES'!$C$17:$R$17,0),0),"")</f>
        <v/>
      </c>
      <c r="U167" s="142" t="str">
        <f>IFERROR(VLOOKUP($C167,'NEW MODEL BY SES'!$C$19:$R$242,MATCH('SeS in Retail Sales Areas'!U$7,'NEW MODEL BY SES'!$C$17:$R$17,0),0),"")</f>
        <v/>
      </c>
      <c r="V167" s="140" t="str">
        <f>IFERROR(VLOOKUP($C167,'NEW MODEL BY SES'!$C$19:$R$242,MATCH('SeS in Retail Sales Areas'!V$7,'NEW MODEL BY SES'!$C$17:$R$17,0),0),"")</f>
        <v/>
      </c>
      <c r="W167" s="141" t="str">
        <f>IFERROR(VLOOKUP($C167,'NEW MODEL BY SES'!$C$19:$R$242,MATCH('SeS in Retail Sales Areas'!W$7,'NEW MODEL BY SES'!$C$17:$R$17,0),0),"")</f>
        <v/>
      </c>
      <c r="X167" s="140" t="str">
        <f>IFERROR(VLOOKUP($C167,'NEW MODEL BY SES'!$C$19:$R$242,MATCH('SeS in Retail Sales Areas'!X$7,'NEW MODEL BY SES'!$C$17:$R$17,0),0),"")</f>
        <v/>
      </c>
      <c r="Z167" s="57"/>
    </row>
    <row r="168" spans="1:26">
      <c r="A168" t="s">
        <v>1090</v>
      </c>
      <c r="B168" s="57">
        <v>112</v>
      </c>
      <c r="C168" t="s">
        <v>1100</v>
      </c>
      <c r="D168" t="s">
        <v>40</v>
      </c>
      <c r="E168"/>
      <c r="F168" s="140" t="str">
        <f>IFERROR(VLOOKUP($C168,'NEW MODEL BY SES'!$C$19:$R$242,MATCH('SeS in Retail Sales Areas'!F$7,'NEW MODEL BY SES'!$C$17:$R$17,0),0),"")</f>
        <v/>
      </c>
      <c r="G168" s="140" t="str">
        <f>IFERROR(VLOOKUP($C168,'NEW MODEL BY SES'!$C$19:$R$242,MATCH('SeS in Retail Sales Areas'!G$7,'NEW MODEL BY SES'!$C$17:$R$17,0),0),"")</f>
        <v/>
      </c>
      <c r="H168" s="142" t="str">
        <f>IFERROR(VLOOKUP($C168,'NEW MODEL BY SES'!$C$19:$R$242,MATCH('SeS in Retail Sales Areas'!H$7,'NEW MODEL BY SES'!$C$17:$R$17,0),0),"")</f>
        <v/>
      </c>
      <c r="I168" s="140" t="str">
        <f>IFERROR(VLOOKUP($C168,'NEW MODEL BY SES'!$C$19:$R$242,MATCH('SeS in Retail Sales Areas'!I$7,'NEW MODEL BY SES'!$C$17:$R$17,0),0),"")</f>
        <v/>
      </c>
      <c r="J168" s="142" t="str">
        <f>IFERROR(VLOOKUP($C168,'NEW MODEL BY SES'!$C$19:$R$242,MATCH('SeS in Retail Sales Areas'!J$7,'NEW MODEL BY SES'!$C$17:$R$17,0),0),"")</f>
        <v/>
      </c>
      <c r="K168" s="140" t="str">
        <f>IFERROR(VLOOKUP($C168,'NEW MODEL BY SES'!$C$19:$R$242,MATCH('SeS in Retail Sales Areas'!K$7,'NEW MODEL BY SES'!$C$17:$R$17,0),0),"")</f>
        <v/>
      </c>
      <c r="L168" s="142" t="str">
        <f>IFERROR(VLOOKUP($C168,'NEW MODEL BY SES'!$C$19:$R$242,MATCH('SeS in Retail Sales Areas'!L$7,'NEW MODEL BY SES'!$C$17:$R$17,0),0),"")</f>
        <v/>
      </c>
      <c r="M168" s="140" t="str">
        <f>IFERROR(VLOOKUP($C168,'NEW MODEL BY SES'!$C$19:$R$242,MATCH('SeS in Retail Sales Areas'!M$7,'NEW MODEL BY SES'!$C$17:$R$17,0),0),"")</f>
        <v/>
      </c>
      <c r="N168" s="142" t="str">
        <f>IFERROR(VLOOKUP($C168,'NEW MODEL BY SES'!$C$19:$R$242,MATCH('SeS in Retail Sales Areas'!N$7,'NEW MODEL BY SES'!$C$17:$R$17,0),0),"")</f>
        <v/>
      </c>
      <c r="O168" s="140" t="str">
        <f>IFERROR(VLOOKUP($C168,'NEW MODEL BY SES'!$C$19:$R$242,MATCH('SeS in Retail Sales Areas'!O$7,'NEW MODEL BY SES'!$C$17:$R$17,0),0),"")</f>
        <v/>
      </c>
      <c r="P168" s="142" t="str">
        <f>IFERROR(VLOOKUP($C168,'NEW MODEL BY SES'!$C$19:$R$242,MATCH('SeS in Retail Sales Areas'!P$7,'NEW MODEL BY SES'!$C$17:$R$17,0),0),"")</f>
        <v/>
      </c>
      <c r="Q168" s="140" t="str">
        <f>IFERROR(VLOOKUP($C168,'NEW MODEL BY SES'!$C$19:$R$242,MATCH('SeS in Retail Sales Areas'!Q$7,'NEW MODEL BY SES'!$C$17:$R$17,0),0),"")</f>
        <v/>
      </c>
      <c r="R168" s="142" t="str">
        <f>IFERROR(VLOOKUP($C168,'NEW MODEL BY SES'!$C$19:$R$242,MATCH('SeS in Retail Sales Areas'!R$7,'NEW MODEL BY SES'!$C$17:$R$17,0),0),"")</f>
        <v/>
      </c>
      <c r="S168" s="141" t="str">
        <f>IFERROR(VLOOKUP($C168,'NEW MODEL BY SES'!$C$19:$R$242,MATCH('SeS in Retail Sales Areas'!S$7,'NEW MODEL BY SES'!$C$17:$R$17,0),0),"")</f>
        <v/>
      </c>
      <c r="T168" s="140" t="str">
        <f>IFERROR(VLOOKUP($C168,'NEW MODEL BY SES'!$C$19:$R$242,MATCH('SeS in Retail Sales Areas'!T$7,'NEW MODEL BY SES'!$C$17:$R$17,0),0),"")</f>
        <v/>
      </c>
      <c r="U168" s="142" t="str">
        <f>IFERROR(VLOOKUP($C168,'NEW MODEL BY SES'!$C$19:$R$242,MATCH('SeS in Retail Sales Areas'!U$7,'NEW MODEL BY SES'!$C$17:$R$17,0),0),"")</f>
        <v/>
      </c>
      <c r="V168" s="140" t="str">
        <f>IFERROR(VLOOKUP($C168,'NEW MODEL BY SES'!$C$19:$R$242,MATCH('SeS in Retail Sales Areas'!V$7,'NEW MODEL BY SES'!$C$17:$R$17,0),0),"")</f>
        <v/>
      </c>
      <c r="W168" s="141" t="str">
        <f>IFERROR(VLOOKUP($C168,'NEW MODEL BY SES'!$C$19:$R$242,MATCH('SeS in Retail Sales Areas'!W$7,'NEW MODEL BY SES'!$C$17:$R$17,0),0),"")</f>
        <v/>
      </c>
      <c r="X168" s="140" t="str">
        <f>IFERROR(VLOOKUP($C168,'NEW MODEL BY SES'!$C$19:$R$242,MATCH('SeS in Retail Sales Areas'!X$7,'NEW MODEL BY SES'!$C$17:$R$17,0),0),"")</f>
        <v/>
      </c>
      <c r="Z168" s="57"/>
    </row>
    <row r="169" spans="1:26">
      <c r="A169" t="s">
        <v>1090</v>
      </c>
      <c r="B169" s="57">
        <v>107</v>
      </c>
      <c r="C169" t="s">
        <v>1101</v>
      </c>
      <c r="D169" t="s">
        <v>40</v>
      </c>
      <c r="E169"/>
      <c r="F169" s="140" t="str">
        <f>IFERROR(VLOOKUP($C169,'NEW MODEL BY SES'!$C$19:$R$242,MATCH('SeS in Retail Sales Areas'!F$7,'NEW MODEL BY SES'!$C$17:$R$17,0),0),"")</f>
        <v/>
      </c>
      <c r="G169" s="140" t="str">
        <f>IFERROR(VLOOKUP($C169,'NEW MODEL BY SES'!$C$19:$R$242,MATCH('SeS in Retail Sales Areas'!G$7,'NEW MODEL BY SES'!$C$17:$R$17,0),0),"")</f>
        <v/>
      </c>
      <c r="H169" s="142" t="str">
        <f>IFERROR(VLOOKUP($C169,'NEW MODEL BY SES'!$C$19:$R$242,MATCH('SeS in Retail Sales Areas'!H$7,'NEW MODEL BY SES'!$C$17:$R$17,0),0),"")</f>
        <v/>
      </c>
      <c r="I169" s="140" t="str">
        <f>IFERROR(VLOOKUP($C169,'NEW MODEL BY SES'!$C$19:$R$242,MATCH('SeS in Retail Sales Areas'!I$7,'NEW MODEL BY SES'!$C$17:$R$17,0),0),"")</f>
        <v/>
      </c>
      <c r="J169" s="142" t="str">
        <f>IFERROR(VLOOKUP($C169,'NEW MODEL BY SES'!$C$19:$R$242,MATCH('SeS in Retail Sales Areas'!J$7,'NEW MODEL BY SES'!$C$17:$R$17,0),0),"")</f>
        <v/>
      </c>
      <c r="K169" s="140" t="str">
        <f>IFERROR(VLOOKUP($C169,'NEW MODEL BY SES'!$C$19:$R$242,MATCH('SeS in Retail Sales Areas'!K$7,'NEW MODEL BY SES'!$C$17:$R$17,0),0),"")</f>
        <v/>
      </c>
      <c r="L169" s="142" t="str">
        <f>IFERROR(VLOOKUP($C169,'NEW MODEL BY SES'!$C$19:$R$242,MATCH('SeS in Retail Sales Areas'!L$7,'NEW MODEL BY SES'!$C$17:$R$17,0),0),"")</f>
        <v/>
      </c>
      <c r="M169" s="140" t="str">
        <f>IFERROR(VLOOKUP($C169,'NEW MODEL BY SES'!$C$19:$R$242,MATCH('SeS in Retail Sales Areas'!M$7,'NEW MODEL BY SES'!$C$17:$R$17,0),0),"")</f>
        <v/>
      </c>
      <c r="N169" s="142" t="str">
        <f>IFERROR(VLOOKUP($C169,'NEW MODEL BY SES'!$C$19:$R$242,MATCH('SeS in Retail Sales Areas'!N$7,'NEW MODEL BY SES'!$C$17:$R$17,0),0),"")</f>
        <v/>
      </c>
      <c r="O169" s="140" t="str">
        <f>IFERROR(VLOOKUP($C169,'NEW MODEL BY SES'!$C$19:$R$242,MATCH('SeS in Retail Sales Areas'!O$7,'NEW MODEL BY SES'!$C$17:$R$17,0),0),"")</f>
        <v/>
      </c>
      <c r="P169" s="142" t="str">
        <f>IFERROR(VLOOKUP($C169,'NEW MODEL BY SES'!$C$19:$R$242,MATCH('SeS in Retail Sales Areas'!P$7,'NEW MODEL BY SES'!$C$17:$R$17,0),0),"")</f>
        <v/>
      </c>
      <c r="Q169" s="140" t="str">
        <f>IFERROR(VLOOKUP($C169,'NEW MODEL BY SES'!$C$19:$R$242,MATCH('SeS in Retail Sales Areas'!Q$7,'NEW MODEL BY SES'!$C$17:$R$17,0),0),"")</f>
        <v/>
      </c>
      <c r="R169" s="142" t="str">
        <f>IFERROR(VLOOKUP($C169,'NEW MODEL BY SES'!$C$19:$R$242,MATCH('SeS in Retail Sales Areas'!R$7,'NEW MODEL BY SES'!$C$17:$R$17,0),0),"")</f>
        <v/>
      </c>
      <c r="S169" s="141" t="str">
        <f>IFERROR(VLOOKUP($C169,'NEW MODEL BY SES'!$C$19:$R$242,MATCH('SeS in Retail Sales Areas'!S$7,'NEW MODEL BY SES'!$C$17:$R$17,0),0),"")</f>
        <v/>
      </c>
      <c r="T169" s="140" t="str">
        <f>IFERROR(VLOOKUP($C169,'NEW MODEL BY SES'!$C$19:$R$242,MATCH('SeS in Retail Sales Areas'!T$7,'NEW MODEL BY SES'!$C$17:$R$17,0),0),"")</f>
        <v/>
      </c>
      <c r="U169" s="142" t="str">
        <f>IFERROR(VLOOKUP($C169,'NEW MODEL BY SES'!$C$19:$R$242,MATCH('SeS in Retail Sales Areas'!U$7,'NEW MODEL BY SES'!$C$17:$R$17,0),0),"")</f>
        <v/>
      </c>
      <c r="V169" s="140" t="str">
        <f>IFERROR(VLOOKUP($C169,'NEW MODEL BY SES'!$C$19:$R$242,MATCH('SeS in Retail Sales Areas'!V$7,'NEW MODEL BY SES'!$C$17:$R$17,0),0),"")</f>
        <v/>
      </c>
      <c r="W169" s="141" t="str">
        <f>IFERROR(VLOOKUP($C169,'NEW MODEL BY SES'!$C$19:$R$242,MATCH('SeS in Retail Sales Areas'!W$7,'NEW MODEL BY SES'!$C$17:$R$17,0),0),"")</f>
        <v/>
      </c>
      <c r="X169" s="140" t="str">
        <f>IFERROR(VLOOKUP($C169,'NEW MODEL BY SES'!$C$19:$R$242,MATCH('SeS in Retail Sales Areas'!X$7,'NEW MODEL BY SES'!$C$17:$R$17,0),0),"")</f>
        <v/>
      </c>
      <c r="Z169" s="57"/>
    </row>
    <row r="170" spans="1:26">
      <c r="A170" t="s">
        <v>1090</v>
      </c>
      <c r="B170" s="57">
        <v>102</v>
      </c>
      <c r="C170" t="s">
        <v>1102</v>
      </c>
      <c r="D170" t="s">
        <v>40</v>
      </c>
      <c r="E170"/>
      <c r="F170" s="140" t="str">
        <f>IFERROR(VLOOKUP($C170,'NEW MODEL BY SES'!$C$19:$R$242,MATCH('SeS in Retail Sales Areas'!F$7,'NEW MODEL BY SES'!$C$17:$R$17,0),0),"")</f>
        <v/>
      </c>
      <c r="G170" s="140" t="str">
        <f>IFERROR(VLOOKUP($C170,'NEW MODEL BY SES'!$C$19:$R$242,MATCH('SeS in Retail Sales Areas'!G$7,'NEW MODEL BY SES'!$C$17:$R$17,0),0),"")</f>
        <v/>
      </c>
      <c r="H170" s="142" t="str">
        <f>IFERROR(VLOOKUP($C170,'NEW MODEL BY SES'!$C$19:$R$242,MATCH('SeS in Retail Sales Areas'!H$7,'NEW MODEL BY SES'!$C$17:$R$17,0),0),"")</f>
        <v/>
      </c>
      <c r="I170" s="140" t="str">
        <f>IFERROR(VLOOKUP($C170,'NEW MODEL BY SES'!$C$19:$R$242,MATCH('SeS in Retail Sales Areas'!I$7,'NEW MODEL BY SES'!$C$17:$R$17,0),0),"")</f>
        <v/>
      </c>
      <c r="J170" s="142" t="str">
        <f>IFERROR(VLOOKUP($C170,'NEW MODEL BY SES'!$C$19:$R$242,MATCH('SeS in Retail Sales Areas'!J$7,'NEW MODEL BY SES'!$C$17:$R$17,0),0),"")</f>
        <v/>
      </c>
      <c r="K170" s="140" t="str">
        <f>IFERROR(VLOOKUP($C170,'NEW MODEL BY SES'!$C$19:$R$242,MATCH('SeS in Retail Sales Areas'!K$7,'NEW MODEL BY SES'!$C$17:$R$17,0),0),"")</f>
        <v/>
      </c>
      <c r="L170" s="142" t="str">
        <f>IFERROR(VLOOKUP($C170,'NEW MODEL BY SES'!$C$19:$R$242,MATCH('SeS in Retail Sales Areas'!L$7,'NEW MODEL BY SES'!$C$17:$R$17,0),0),"")</f>
        <v/>
      </c>
      <c r="M170" s="140" t="str">
        <f>IFERROR(VLOOKUP($C170,'NEW MODEL BY SES'!$C$19:$R$242,MATCH('SeS in Retail Sales Areas'!M$7,'NEW MODEL BY SES'!$C$17:$R$17,0),0),"")</f>
        <v/>
      </c>
      <c r="N170" s="142" t="str">
        <f>IFERROR(VLOOKUP($C170,'NEW MODEL BY SES'!$C$19:$R$242,MATCH('SeS in Retail Sales Areas'!N$7,'NEW MODEL BY SES'!$C$17:$R$17,0),0),"")</f>
        <v/>
      </c>
      <c r="O170" s="140" t="str">
        <f>IFERROR(VLOOKUP($C170,'NEW MODEL BY SES'!$C$19:$R$242,MATCH('SeS in Retail Sales Areas'!O$7,'NEW MODEL BY SES'!$C$17:$R$17,0),0),"")</f>
        <v/>
      </c>
      <c r="P170" s="142" t="str">
        <f>IFERROR(VLOOKUP($C170,'NEW MODEL BY SES'!$C$19:$R$242,MATCH('SeS in Retail Sales Areas'!P$7,'NEW MODEL BY SES'!$C$17:$R$17,0),0),"")</f>
        <v/>
      </c>
      <c r="Q170" s="140" t="str">
        <f>IFERROR(VLOOKUP($C170,'NEW MODEL BY SES'!$C$19:$R$242,MATCH('SeS in Retail Sales Areas'!Q$7,'NEW MODEL BY SES'!$C$17:$R$17,0),0),"")</f>
        <v/>
      </c>
      <c r="R170" s="142" t="str">
        <f>IFERROR(VLOOKUP($C170,'NEW MODEL BY SES'!$C$19:$R$242,MATCH('SeS in Retail Sales Areas'!R$7,'NEW MODEL BY SES'!$C$17:$R$17,0),0),"")</f>
        <v/>
      </c>
      <c r="S170" s="141" t="str">
        <f>IFERROR(VLOOKUP($C170,'NEW MODEL BY SES'!$C$19:$R$242,MATCH('SeS in Retail Sales Areas'!S$7,'NEW MODEL BY SES'!$C$17:$R$17,0),0),"")</f>
        <v/>
      </c>
      <c r="T170" s="140" t="str">
        <f>IFERROR(VLOOKUP($C170,'NEW MODEL BY SES'!$C$19:$R$242,MATCH('SeS in Retail Sales Areas'!T$7,'NEW MODEL BY SES'!$C$17:$R$17,0),0),"")</f>
        <v/>
      </c>
      <c r="U170" s="142" t="str">
        <f>IFERROR(VLOOKUP($C170,'NEW MODEL BY SES'!$C$19:$R$242,MATCH('SeS in Retail Sales Areas'!U$7,'NEW MODEL BY SES'!$C$17:$R$17,0),0),"")</f>
        <v/>
      </c>
      <c r="V170" s="140" t="str">
        <f>IFERROR(VLOOKUP($C170,'NEW MODEL BY SES'!$C$19:$R$242,MATCH('SeS in Retail Sales Areas'!V$7,'NEW MODEL BY SES'!$C$17:$R$17,0),0),"")</f>
        <v/>
      </c>
      <c r="W170" s="141" t="str">
        <f>IFERROR(VLOOKUP($C170,'NEW MODEL BY SES'!$C$19:$R$242,MATCH('SeS in Retail Sales Areas'!W$7,'NEW MODEL BY SES'!$C$17:$R$17,0),0),"")</f>
        <v/>
      </c>
      <c r="X170" s="140" t="str">
        <f>IFERROR(VLOOKUP($C170,'NEW MODEL BY SES'!$C$19:$R$242,MATCH('SeS in Retail Sales Areas'!X$7,'NEW MODEL BY SES'!$C$17:$R$17,0),0),"")</f>
        <v/>
      </c>
      <c r="Z170" s="57"/>
    </row>
    <row r="171" spans="1:26">
      <c r="A171" t="s">
        <v>1090</v>
      </c>
      <c r="B171" s="57">
        <v>102</v>
      </c>
      <c r="C171" t="s">
        <v>1103</v>
      </c>
      <c r="D171" t="s">
        <v>40</v>
      </c>
      <c r="E171"/>
      <c r="F171" s="140" t="str">
        <f>IFERROR(VLOOKUP($C171,'NEW MODEL BY SES'!$C$19:$R$242,MATCH('SeS in Retail Sales Areas'!F$7,'NEW MODEL BY SES'!$C$17:$R$17,0),0),"")</f>
        <v/>
      </c>
      <c r="G171" s="140" t="str">
        <f>IFERROR(VLOOKUP($C171,'NEW MODEL BY SES'!$C$19:$R$242,MATCH('SeS in Retail Sales Areas'!G$7,'NEW MODEL BY SES'!$C$17:$R$17,0),0),"")</f>
        <v/>
      </c>
      <c r="H171" s="142" t="str">
        <f>IFERROR(VLOOKUP($C171,'NEW MODEL BY SES'!$C$19:$R$242,MATCH('SeS in Retail Sales Areas'!H$7,'NEW MODEL BY SES'!$C$17:$R$17,0),0),"")</f>
        <v/>
      </c>
      <c r="I171" s="140" t="str">
        <f>IFERROR(VLOOKUP($C171,'NEW MODEL BY SES'!$C$19:$R$242,MATCH('SeS in Retail Sales Areas'!I$7,'NEW MODEL BY SES'!$C$17:$R$17,0),0),"")</f>
        <v/>
      </c>
      <c r="J171" s="142" t="str">
        <f>IFERROR(VLOOKUP($C171,'NEW MODEL BY SES'!$C$19:$R$242,MATCH('SeS in Retail Sales Areas'!J$7,'NEW MODEL BY SES'!$C$17:$R$17,0),0),"")</f>
        <v/>
      </c>
      <c r="K171" s="140" t="str">
        <f>IFERROR(VLOOKUP($C171,'NEW MODEL BY SES'!$C$19:$R$242,MATCH('SeS in Retail Sales Areas'!K$7,'NEW MODEL BY SES'!$C$17:$R$17,0),0),"")</f>
        <v/>
      </c>
      <c r="L171" s="142" t="str">
        <f>IFERROR(VLOOKUP($C171,'NEW MODEL BY SES'!$C$19:$R$242,MATCH('SeS in Retail Sales Areas'!L$7,'NEW MODEL BY SES'!$C$17:$R$17,0),0),"")</f>
        <v/>
      </c>
      <c r="M171" s="140" t="str">
        <f>IFERROR(VLOOKUP($C171,'NEW MODEL BY SES'!$C$19:$R$242,MATCH('SeS in Retail Sales Areas'!M$7,'NEW MODEL BY SES'!$C$17:$R$17,0),0),"")</f>
        <v/>
      </c>
      <c r="N171" s="142" t="str">
        <f>IFERROR(VLOOKUP($C171,'NEW MODEL BY SES'!$C$19:$R$242,MATCH('SeS in Retail Sales Areas'!N$7,'NEW MODEL BY SES'!$C$17:$R$17,0),0),"")</f>
        <v/>
      </c>
      <c r="O171" s="140" t="str">
        <f>IFERROR(VLOOKUP($C171,'NEW MODEL BY SES'!$C$19:$R$242,MATCH('SeS in Retail Sales Areas'!O$7,'NEW MODEL BY SES'!$C$17:$R$17,0),0),"")</f>
        <v/>
      </c>
      <c r="P171" s="142" t="str">
        <f>IFERROR(VLOOKUP($C171,'NEW MODEL BY SES'!$C$19:$R$242,MATCH('SeS in Retail Sales Areas'!P$7,'NEW MODEL BY SES'!$C$17:$R$17,0),0),"")</f>
        <v/>
      </c>
      <c r="Q171" s="140" t="str">
        <f>IFERROR(VLOOKUP($C171,'NEW MODEL BY SES'!$C$19:$R$242,MATCH('SeS in Retail Sales Areas'!Q$7,'NEW MODEL BY SES'!$C$17:$R$17,0),0),"")</f>
        <v/>
      </c>
      <c r="R171" s="142" t="str">
        <f>IFERROR(VLOOKUP($C171,'NEW MODEL BY SES'!$C$19:$R$242,MATCH('SeS in Retail Sales Areas'!R$7,'NEW MODEL BY SES'!$C$17:$R$17,0),0),"")</f>
        <v/>
      </c>
      <c r="S171" s="141" t="str">
        <f>IFERROR(VLOOKUP($C171,'NEW MODEL BY SES'!$C$19:$R$242,MATCH('SeS in Retail Sales Areas'!S$7,'NEW MODEL BY SES'!$C$17:$R$17,0),0),"")</f>
        <v/>
      </c>
      <c r="T171" s="140" t="str">
        <f>IFERROR(VLOOKUP($C171,'NEW MODEL BY SES'!$C$19:$R$242,MATCH('SeS in Retail Sales Areas'!T$7,'NEW MODEL BY SES'!$C$17:$R$17,0),0),"")</f>
        <v/>
      </c>
      <c r="U171" s="142" t="str">
        <f>IFERROR(VLOOKUP($C171,'NEW MODEL BY SES'!$C$19:$R$242,MATCH('SeS in Retail Sales Areas'!U$7,'NEW MODEL BY SES'!$C$17:$R$17,0),0),"")</f>
        <v/>
      </c>
      <c r="V171" s="140" t="str">
        <f>IFERROR(VLOOKUP($C171,'NEW MODEL BY SES'!$C$19:$R$242,MATCH('SeS in Retail Sales Areas'!V$7,'NEW MODEL BY SES'!$C$17:$R$17,0),0),"")</f>
        <v/>
      </c>
      <c r="W171" s="141" t="str">
        <f>IFERROR(VLOOKUP($C171,'NEW MODEL BY SES'!$C$19:$R$242,MATCH('SeS in Retail Sales Areas'!W$7,'NEW MODEL BY SES'!$C$17:$R$17,0),0),"")</f>
        <v/>
      </c>
      <c r="X171" s="140" t="str">
        <f>IFERROR(VLOOKUP($C171,'NEW MODEL BY SES'!$C$19:$R$242,MATCH('SeS in Retail Sales Areas'!X$7,'NEW MODEL BY SES'!$C$17:$R$17,0),0),"")</f>
        <v/>
      </c>
      <c r="Z171" s="57"/>
    </row>
    <row r="172" spans="1:26">
      <c r="A172" t="s">
        <v>1090</v>
      </c>
      <c r="B172" s="57">
        <v>93</v>
      </c>
      <c r="C172" t="s">
        <v>1104</v>
      </c>
      <c r="D172" t="s">
        <v>40</v>
      </c>
      <c r="E172"/>
      <c r="F172" s="140" t="str">
        <f>IFERROR(VLOOKUP($C172,'NEW MODEL BY SES'!$C$19:$R$242,MATCH('SeS in Retail Sales Areas'!F$7,'NEW MODEL BY SES'!$C$17:$R$17,0),0),"")</f>
        <v/>
      </c>
      <c r="G172" s="140" t="str">
        <f>IFERROR(VLOOKUP($C172,'NEW MODEL BY SES'!$C$19:$R$242,MATCH('SeS in Retail Sales Areas'!G$7,'NEW MODEL BY SES'!$C$17:$R$17,0),0),"")</f>
        <v/>
      </c>
      <c r="H172" s="142" t="str">
        <f>IFERROR(VLOOKUP($C172,'NEW MODEL BY SES'!$C$19:$R$242,MATCH('SeS in Retail Sales Areas'!H$7,'NEW MODEL BY SES'!$C$17:$R$17,0),0),"")</f>
        <v/>
      </c>
      <c r="I172" s="140" t="str">
        <f>IFERROR(VLOOKUP($C172,'NEW MODEL BY SES'!$C$19:$R$242,MATCH('SeS in Retail Sales Areas'!I$7,'NEW MODEL BY SES'!$C$17:$R$17,0),0),"")</f>
        <v/>
      </c>
      <c r="J172" s="142" t="str">
        <f>IFERROR(VLOOKUP($C172,'NEW MODEL BY SES'!$C$19:$R$242,MATCH('SeS in Retail Sales Areas'!J$7,'NEW MODEL BY SES'!$C$17:$R$17,0),0),"")</f>
        <v/>
      </c>
      <c r="K172" s="140" t="str">
        <f>IFERROR(VLOOKUP($C172,'NEW MODEL BY SES'!$C$19:$R$242,MATCH('SeS in Retail Sales Areas'!K$7,'NEW MODEL BY SES'!$C$17:$R$17,0),0),"")</f>
        <v/>
      </c>
      <c r="L172" s="142" t="str">
        <f>IFERROR(VLOOKUP($C172,'NEW MODEL BY SES'!$C$19:$R$242,MATCH('SeS in Retail Sales Areas'!L$7,'NEW MODEL BY SES'!$C$17:$R$17,0),0),"")</f>
        <v/>
      </c>
      <c r="M172" s="140" t="str">
        <f>IFERROR(VLOOKUP($C172,'NEW MODEL BY SES'!$C$19:$R$242,MATCH('SeS in Retail Sales Areas'!M$7,'NEW MODEL BY SES'!$C$17:$R$17,0),0),"")</f>
        <v/>
      </c>
      <c r="N172" s="142" t="str">
        <f>IFERROR(VLOOKUP($C172,'NEW MODEL BY SES'!$C$19:$R$242,MATCH('SeS in Retail Sales Areas'!N$7,'NEW MODEL BY SES'!$C$17:$R$17,0),0),"")</f>
        <v/>
      </c>
      <c r="O172" s="140" t="str">
        <f>IFERROR(VLOOKUP($C172,'NEW MODEL BY SES'!$C$19:$R$242,MATCH('SeS in Retail Sales Areas'!O$7,'NEW MODEL BY SES'!$C$17:$R$17,0),0),"")</f>
        <v/>
      </c>
      <c r="P172" s="142" t="str">
        <f>IFERROR(VLOOKUP($C172,'NEW MODEL BY SES'!$C$19:$R$242,MATCH('SeS in Retail Sales Areas'!P$7,'NEW MODEL BY SES'!$C$17:$R$17,0),0),"")</f>
        <v/>
      </c>
      <c r="Q172" s="140" t="str">
        <f>IFERROR(VLOOKUP($C172,'NEW MODEL BY SES'!$C$19:$R$242,MATCH('SeS in Retail Sales Areas'!Q$7,'NEW MODEL BY SES'!$C$17:$R$17,0),0),"")</f>
        <v/>
      </c>
      <c r="R172" s="142" t="str">
        <f>IFERROR(VLOOKUP($C172,'NEW MODEL BY SES'!$C$19:$R$242,MATCH('SeS in Retail Sales Areas'!R$7,'NEW MODEL BY SES'!$C$17:$R$17,0),0),"")</f>
        <v/>
      </c>
      <c r="S172" s="141" t="str">
        <f>IFERROR(VLOOKUP($C172,'NEW MODEL BY SES'!$C$19:$R$242,MATCH('SeS in Retail Sales Areas'!S$7,'NEW MODEL BY SES'!$C$17:$R$17,0),0),"")</f>
        <v/>
      </c>
      <c r="T172" s="140" t="str">
        <f>IFERROR(VLOOKUP($C172,'NEW MODEL BY SES'!$C$19:$R$242,MATCH('SeS in Retail Sales Areas'!T$7,'NEW MODEL BY SES'!$C$17:$R$17,0),0),"")</f>
        <v/>
      </c>
      <c r="U172" s="142" t="str">
        <f>IFERROR(VLOOKUP($C172,'NEW MODEL BY SES'!$C$19:$R$242,MATCH('SeS in Retail Sales Areas'!U$7,'NEW MODEL BY SES'!$C$17:$R$17,0),0),"")</f>
        <v/>
      </c>
      <c r="V172" s="140" t="str">
        <f>IFERROR(VLOOKUP($C172,'NEW MODEL BY SES'!$C$19:$R$242,MATCH('SeS in Retail Sales Areas'!V$7,'NEW MODEL BY SES'!$C$17:$R$17,0),0),"")</f>
        <v/>
      </c>
      <c r="W172" s="141" t="str">
        <f>IFERROR(VLOOKUP($C172,'NEW MODEL BY SES'!$C$19:$R$242,MATCH('SeS in Retail Sales Areas'!W$7,'NEW MODEL BY SES'!$C$17:$R$17,0),0),"")</f>
        <v/>
      </c>
      <c r="X172" s="140" t="str">
        <f>IFERROR(VLOOKUP($C172,'NEW MODEL BY SES'!$C$19:$R$242,MATCH('SeS in Retail Sales Areas'!X$7,'NEW MODEL BY SES'!$C$17:$R$17,0),0),"")</f>
        <v/>
      </c>
      <c r="Z172" s="57"/>
    </row>
    <row r="173" spans="1:26">
      <c r="A173" t="s">
        <v>1090</v>
      </c>
      <c r="B173" s="57">
        <v>92</v>
      </c>
      <c r="C173" t="s">
        <v>1105</v>
      </c>
      <c r="D173" t="s">
        <v>40</v>
      </c>
      <c r="E173"/>
      <c r="F173" s="140" t="str">
        <f>IFERROR(VLOOKUP($C173,'NEW MODEL BY SES'!$C$19:$R$242,MATCH('SeS in Retail Sales Areas'!F$7,'NEW MODEL BY SES'!$C$17:$R$17,0),0),"")</f>
        <v/>
      </c>
      <c r="G173" s="140" t="str">
        <f>IFERROR(VLOOKUP($C173,'NEW MODEL BY SES'!$C$19:$R$242,MATCH('SeS in Retail Sales Areas'!G$7,'NEW MODEL BY SES'!$C$17:$R$17,0),0),"")</f>
        <v/>
      </c>
      <c r="H173" s="142" t="str">
        <f>IFERROR(VLOOKUP($C173,'NEW MODEL BY SES'!$C$19:$R$242,MATCH('SeS in Retail Sales Areas'!H$7,'NEW MODEL BY SES'!$C$17:$R$17,0),0),"")</f>
        <v/>
      </c>
      <c r="I173" s="140" t="str">
        <f>IFERROR(VLOOKUP($C173,'NEW MODEL BY SES'!$C$19:$R$242,MATCH('SeS in Retail Sales Areas'!I$7,'NEW MODEL BY SES'!$C$17:$R$17,0),0),"")</f>
        <v/>
      </c>
      <c r="J173" s="142" t="str">
        <f>IFERROR(VLOOKUP($C173,'NEW MODEL BY SES'!$C$19:$R$242,MATCH('SeS in Retail Sales Areas'!J$7,'NEW MODEL BY SES'!$C$17:$R$17,0),0),"")</f>
        <v/>
      </c>
      <c r="K173" s="140" t="str">
        <f>IFERROR(VLOOKUP($C173,'NEW MODEL BY SES'!$C$19:$R$242,MATCH('SeS in Retail Sales Areas'!K$7,'NEW MODEL BY SES'!$C$17:$R$17,0),0),"")</f>
        <v/>
      </c>
      <c r="L173" s="142" t="str">
        <f>IFERROR(VLOOKUP($C173,'NEW MODEL BY SES'!$C$19:$R$242,MATCH('SeS in Retail Sales Areas'!L$7,'NEW MODEL BY SES'!$C$17:$R$17,0),0),"")</f>
        <v/>
      </c>
      <c r="M173" s="140" t="str">
        <f>IFERROR(VLOOKUP($C173,'NEW MODEL BY SES'!$C$19:$R$242,MATCH('SeS in Retail Sales Areas'!M$7,'NEW MODEL BY SES'!$C$17:$R$17,0),0),"")</f>
        <v/>
      </c>
      <c r="N173" s="142" t="str">
        <f>IFERROR(VLOOKUP($C173,'NEW MODEL BY SES'!$C$19:$R$242,MATCH('SeS in Retail Sales Areas'!N$7,'NEW MODEL BY SES'!$C$17:$R$17,0),0),"")</f>
        <v/>
      </c>
      <c r="O173" s="140" t="str">
        <f>IFERROR(VLOOKUP($C173,'NEW MODEL BY SES'!$C$19:$R$242,MATCH('SeS in Retail Sales Areas'!O$7,'NEW MODEL BY SES'!$C$17:$R$17,0),0),"")</f>
        <v/>
      </c>
      <c r="P173" s="142" t="str">
        <f>IFERROR(VLOOKUP($C173,'NEW MODEL BY SES'!$C$19:$R$242,MATCH('SeS in Retail Sales Areas'!P$7,'NEW MODEL BY SES'!$C$17:$R$17,0),0),"")</f>
        <v/>
      </c>
      <c r="Q173" s="140" t="str">
        <f>IFERROR(VLOOKUP($C173,'NEW MODEL BY SES'!$C$19:$R$242,MATCH('SeS in Retail Sales Areas'!Q$7,'NEW MODEL BY SES'!$C$17:$R$17,0),0),"")</f>
        <v/>
      </c>
      <c r="R173" s="142" t="str">
        <f>IFERROR(VLOOKUP($C173,'NEW MODEL BY SES'!$C$19:$R$242,MATCH('SeS in Retail Sales Areas'!R$7,'NEW MODEL BY SES'!$C$17:$R$17,0),0),"")</f>
        <v/>
      </c>
      <c r="S173" s="141" t="str">
        <f>IFERROR(VLOOKUP($C173,'NEW MODEL BY SES'!$C$19:$R$242,MATCH('SeS in Retail Sales Areas'!S$7,'NEW MODEL BY SES'!$C$17:$R$17,0),0),"")</f>
        <v/>
      </c>
      <c r="T173" s="140" t="str">
        <f>IFERROR(VLOOKUP($C173,'NEW MODEL BY SES'!$C$19:$R$242,MATCH('SeS in Retail Sales Areas'!T$7,'NEW MODEL BY SES'!$C$17:$R$17,0),0),"")</f>
        <v/>
      </c>
      <c r="U173" s="142" t="str">
        <f>IFERROR(VLOOKUP($C173,'NEW MODEL BY SES'!$C$19:$R$242,MATCH('SeS in Retail Sales Areas'!U$7,'NEW MODEL BY SES'!$C$17:$R$17,0),0),"")</f>
        <v/>
      </c>
      <c r="V173" s="140" t="str">
        <f>IFERROR(VLOOKUP($C173,'NEW MODEL BY SES'!$C$19:$R$242,MATCH('SeS in Retail Sales Areas'!V$7,'NEW MODEL BY SES'!$C$17:$R$17,0),0),"")</f>
        <v/>
      </c>
      <c r="W173" s="141" t="str">
        <f>IFERROR(VLOOKUP($C173,'NEW MODEL BY SES'!$C$19:$R$242,MATCH('SeS in Retail Sales Areas'!W$7,'NEW MODEL BY SES'!$C$17:$R$17,0),0),"")</f>
        <v/>
      </c>
      <c r="X173" s="140" t="str">
        <f>IFERROR(VLOOKUP($C173,'NEW MODEL BY SES'!$C$19:$R$242,MATCH('SeS in Retail Sales Areas'!X$7,'NEW MODEL BY SES'!$C$17:$R$17,0),0),"")</f>
        <v/>
      </c>
      <c r="Z173" s="57"/>
    </row>
    <row r="174" spans="1:26">
      <c r="A174" t="s">
        <v>1090</v>
      </c>
      <c r="B174" s="57">
        <v>88</v>
      </c>
      <c r="C174" t="s">
        <v>1106</v>
      </c>
      <c r="D174" t="s">
        <v>40</v>
      </c>
      <c r="E174"/>
      <c r="F174" s="140" t="str">
        <f>IFERROR(VLOOKUP($C174,'NEW MODEL BY SES'!$C$19:$R$242,MATCH('SeS in Retail Sales Areas'!F$7,'NEW MODEL BY SES'!$C$17:$R$17,0),0),"")</f>
        <v/>
      </c>
      <c r="G174" s="140" t="str">
        <f>IFERROR(VLOOKUP($C174,'NEW MODEL BY SES'!$C$19:$R$242,MATCH('SeS in Retail Sales Areas'!G$7,'NEW MODEL BY SES'!$C$17:$R$17,0),0),"")</f>
        <v/>
      </c>
      <c r="H174" s="142" t="str">
        <f>IFERROR(VLOOKUP($C174,'NEW MODEL BY SES'!$C$19:$R$242,MATCH('SeS in Retail Sales Areas'!H$7,'NEW MODEL BY SES'!$C$17:$R$17,0),0),"")</f>
        <v/>
      </c>
      <c r="I174" s="140" t="str">
        <f>IFERROR(VLOOKUP($C174,'NEW MODEL BY SES'!$C$19:$R$242,MATCH('SeS in Retail Sales Areas'!I$7,'NEW MODEL BY SES'!$C$17:$R$17,0),0),"")</f>
        <v/>
      </c>
      <c r="J174" s="142" t="str">
        <f>IFERROR(VLOOKUP($C174,'NEW MODEL BY SES'!$C$19:$R$242,MATCH('SeS in Retail Sales Areas'!J$7,'NEW MODEL BY SES'!$C$17:$R$17,0),0),"")</f>
        <v/>
      </c>
      <c r="K174" s="140" t="str">
        <f>IFERROR(VLOOKUP($C174,'NEW MODEL BY SES'!$C$19:$R$242,MATCH('SeS in Retail Sales Areas'!K$7,'NEW MODEL BY SES'!$C$17:$R$17,0),0),"")</f>
        <v/>
      </c>
      <c r="L174" s="142" t="str">
        <f>IFERROR(VLOOKUP($C174,'NEW MODEL BY SES'!$C$19:$R$242,MATCH('SeS in Retail Sales Areas'!L$7,'NEW MODEL BY SES'!$C$17:$R$17,0),0),"")</f>
        <v/>
      </c>
      <c r="M174" s="140" t="str">
        <f>IFERROR(VLOOKUP($C174,'NEW MODEL BY SES'!$C$19:$R$242,MATCH('SeS in Retail Sales Areas'!M$7,'NEW MODEL BY SES'!$C$17:$R$17,0),0),"")</f>
        <v/>
      </c>
      <c r="N174" s="142" t="str">
        <f>IFERROR(VLOOKUP($C174,'NEW MODEL BY SES'!$C$19:$R$242,MATCH('SeS in Retail Sales Areas'!N$7,'NEW MODEL BY SES'!$C$17:$R$17,0),0),"")</f>
        <v/>
      </c>
      <c r="O174" s="140" t="str">
        <f>IFERROR(VLOOKUP($C174,'NEW MODEL BY SES'!$C$19:$R$242,MATCH('SeS in Retail Sales Areas'!O$7,'NEW MODEL BY SES'!$C$17:$R$17,0),0),"")</f>
        <v/>
      </c>
      <c r="P174" s="142" t="str">
        <f>IFERROR(VLOOKUP($C174,'NEW MODEL BY SES'!$C$19:$R$242,MATCH('SeS in Retail Sales Areas'!P$7,'NEW MODEL BY SES'!$C$17:$R$17,0),0),"")</f>
        <v/>
      </c>
      <c r="Q174" s="140" t="str">
        <f>IFERROR(VLOOKUP($C174,'NEW MODEL BY SES'!$C$19:$R$242,MATCH('SeS in Retail Sales Areas'!Q$7,'NEW MODEL BY SES'!$C$17:$R$17,0),0),"")</f>
        <v/>
      </c>
      <c r="R174" s="142" t="str">
        <f>IFERROR(VLOOKUP($C174,'NEW MODEL BY SES'!$C$19:$R$242,MATCH('SeS in Retail Sales Areas'!R$7,'NEW MODEL BY SES'!$C$17:$R$17,0),0),"")</f>
        <v/>
      </c>
      <c r="S174" s="141" t="str">
        <f>IFERROR(VLOOKUP($C174,'NEW MODEL BY SES'!$C$19:$R$242,MATCH('SeS in Retail Sales Areas'!S$7,'NEW MODEL BY SES'!$C$17:$R$17,0),0),"")</f>
        <v/>
      </c>
      <c r="T174" s="140" t="str">
        <f>IFERROR(VLOOKUP($C174,'NEW MODEL BY SES'!$C$19:$R$242,MATCH('SeS in Retail Sales Areas'!T$7,'NEW MODEL BY SES'!$C$17:$R$17,0),0),"")</f>
        <v/>
      </c>
      <c r="U174" s="142" t="str">
        <f>IFERROR(VLOOKUP($C174,'NEW MODEL BY SES'!$C$19:$R$242,MATCH('SeS in Retail Sales Areas'!U$7,'NEW MODEL BY SES'!$C$17:$R$17,0),0),"")</f>
        <v/>
      </c>
      <c r="V174" s="140" t="str">
        <f>IFERROR(VLOOKUP($C174,'NEW MODEL BY SES'!$C$19:$R$242,MATCH('SeS in Retail Sales Areas'!V$7,'NEW MODEL BY SES'!$C$17:$R$17,0),0),"")</f>
        <v/>
      </c>
      <c r="W174" s="141" t="str">
        <f>IFERROR(VLOOKUP($C174,'NEW MODEL BY SES'!$C$19:$R$242,MATCH('SeS in Retail Sales Areas'!W$7,'NEW MODEL BY SES'!$C$17:$R$17,0),0),"")</f>
        <v/>
      </c>
      <c r="X174" s="140" t="str">
        <f>IFERROR(VLOOKUP($C174,'NEW MODEL BY SES'!$C$19:$R$242,MATCH('SeS in Retail Sales Areas'!X$7,'NEW MODEL BY SES'!$C$17:$R$17,0),0),"")</f>
        <v/>
      </c>
      <c r="Z174" s="146"/>
    </row>
    <row r="175" spans="1:26">
      <c r="A175" t="s">
        <v>1090</v>
      </c>
      <c r="B175" s="57">
        <v>82</v>
      </c>
      <c r="C175" t="s">
        <v>1107</v>
      </c>
      <c r="D175" t="s">
        <v>40</v>
      </c>
      <c r="E175"/>
      <c r="F175" s="140" t="str">
        <f>IFERROR(VLOOKUP($C175,'NEW MODEL BY SES'!$C$19:$R$242,MATCH('SeS in Retail Sales Areas'!F$7,'NEW MODEL BY SES'!$C$17:$R$17,0),0),"")</f>
        <v/>
      </c>
      <c r="G175" s="140" t="str">
        <f>IFERROR(VLOOKUP($C175,'NEW MODEL BY SES'!$C$19:$R$242,MATCH('SeS in Retail Sales Areas'!G$7,'NEW MODEL BY SES'!$C$17:$R$17,0),0),"")</f>
        <v/>
      </c>
      <c r="H175" s="142" t="str">
        <f>IFERROR(VLOOKUP($C175,'NEW MODEL BY SES'!$C$19:$R$242,MATCH('SeS in Retail Sales Areas'!H$7,'NEW MODEL BY SES'!$C$17:$R$17,0),0),"")</f>
        <v/>
      </c>
      <c r="I175" s="140" t="str">
        <f>IFERROR(VLOOKUP($C175,'NEW MODEL BY SES'!$C$19:$R$242,MATCH('SeS in Retail Sales Areas'!I$7,'NEW MODEL BY SES'!$C$17:$R$17,0),0),"")</f>
        <v/>
      </c>
      <c r="J175" s="142" t="str">
        <f>IFERROR(VLOOKUP($C175,'NEW MODEL BY SES'!$C$19:$R$242,MATCH('SeS in Retail Sales Areas'!J$7,'NEW MODEL BY SES'!$C$17:$R$17,0),0),"")</f>
        <v/>
      </c>
      <c r="K175" s="140" t="str">
        <f>IFERROR(VLOOKUP($C175,'NEW MODEL BY SES'!$C$19:$R$242,MATCH('SeS in Retail Sales Areas'!K$7,'NEW MODEL BY SES'!$C$17:$R$17,0),0),"")</f>
        <v/>
      </c>
      <c r="L175" s="142" t="str">
        <f>IFERROR(VLOOKUP($C175,'NEW MODEL BY SES'!$C$19:$R$242,MATCH('SeS in Retail Sales Areas'!L$7,'NEW MODEL BY SES'!$C$17:$R$17,0),0),"")</f>
        <v/>
      </c>
      <c r="M175" s="140" t="str">
        <f>IFERROR(VLOOKUP($C175,'NEW MODEL BY SES'!$C$19:$R$242,MATCH('SeS in Retail Sales Areas'!M$7,'NEW MODEL BY SES'!$C$17:$R$17,0),0),"")</f>
        <v/>
      </c>
      <c r="N175" s="142" t="str">
        <f>IFERROR(VLOOKUP($C175,'NEW MODEL BY SES'!$C$19:$R$242,MATCH('SeS in Retail Sales Areas'!N$7,'NEW MODEL BY SES'!$C$17:$R$17,0),0),"")</f>
        <v/>
      </c>
      <c r="O175" s="140" t="str">
        <f>IFERROR(VLOOKUP($C175,'NEW MODEL BY SES'!$C$19:$R$242,MATCH('SeS in Retail Sales Areas'!O$7,'NEW MODEL BY SES'!$C$17:$R$17,0),0),"")</f>
        <v/>
      </c>
      <c r="P175" s="142" t="str">
        <f>IFERROR(VLOOKUP($C175,'NEW MODEL BY SES'!$C$19:$R$242,MATCH('SeS in Retail Sales Areas'!P$7,'NEW MODEL BY SES'!$C$17:$R$17,0),0),"")</f>
        <v/>
      </c>
      <c r="Q175" s="140" t="str">
        <f>IFERROR(VLOOKUP($C175,'NEW MODEL BY SES'!$C$19:$R$242,MATCH('SeS in Retail Sales Areas'!Q$7,'NEW MODEL BY SES'!$C$17:$R$17,0),0),"")</f>
        <v/>
      </c>
      <c r="R175" s="142" t="str">
        <f>IFERROR(VLOOKUP($C175,'NEW MODEL BY SES'!$C$19:$R$242,MATCH('SeS in Retail Sales Areas'!R$7,'NEW MODEL BY SES'!$C$17:$R$17,0),0),"")</f>
        <v/>
      </c>
      <c r="S175" s="141" t="str">
        <f>IFERROR(VLOOKUP($C175,'NEW MODEL BY SES'!$C$19:$R$242,MATCH('SeS in Retail Sales Areas'!S$7,'NEW MODEL BY SES'!$C$17:$R$17,0),0),"")</f>
        <v/>
      </c>
      <c r="T175" s="140" t="str">
        <f>IFERROR(VLOOKUP($C175,'NEW MODEL BY SES'!$C$19:$R$242,MATCH('SeS in Retail Sales Areas'!T$7,'NEW MODEL BY SES'!$C$17:$R$17,0),0),"")</f>
        <v/>
      </c>
      <c r="U175" s="142" t="str">
        <f>IFERROR(VLOOKUP($C175,'NEW MODEL BY SES'!$C$19:$R$242,MATCH('SeS in Retail Sales Areas'!U$7,'NEW MODEL BY SES'!$C$17:$R$17,0),0),"")</f>
        <v/>
      </c>
      <c r="V175" s="140" t="str">
        <f>IFERROR(VLOOKUP($C175,'NEW MODEL BY SES'!$C$19:$R$242,MATCH('SeS in Retail Sales Areas'!V$7,'NEW MODEL BY SES'!$C$17:$R$17,0),0),"")</f>
        <v/>
      </c>
      <c r="W175" s="141" t="str">
        <f>IFERROR(VLOOKUP($C175,'NEW MODEL BY SES'!$C$19:$R$242,MATCH('SeS in Retail Sales Areas'!W$7,'NEW MODEL BY SES'!$C$17:$R$17,0),0),"")</f>
        <v/>
      </c>
      <c r="X175" s="140" t="str">
        <f>IFERROR(VLOOKUP($C175,'NEW MODEL BY SES'!$C$19:$R$242,MATCH('SeS in Retail Sales Areas'!X$7,'NEW MODEL BY SES'!$C$17:$R$17,0),0),"")</f>
        <v/>
      </c>
      <c r="Z175" s="57"/>
    </row>
    <row r="176" spans="1:26">
      <c r="A176" t="s">
        <v>1090</v>
      </c>
      <c r="B176" s="57">
        <v>82</v>
      </c>
      <c r="C176" t="s">
        <v>1108</v>
      </c>
      <c r="D176" t="s">
        <v>40</v>
      </c>
      <c r="E176"/>
      <c r="F176" s="140" t="str">
        <f>IFERROR(VLOOKUP($C176,'NEW MODEL BY SES'!$C$19:$R$242,MATCH('SeS in Retail Sales Areas'!F$7,'NEW MODEL BY SES'!$C$17:$R$17,0),0),"")</f>
        <v/>
      </c>
      <c r="G176" s="140" t="str">
        <f>IFERROR(VLOOKUP($C176,'NEW MODEL BY SES'!$C$19:$R$242,MATCH('SeS in Retail Sales Areas'!G$7,'NEW MODEL BY SES'!$C$17:$R$17,0),0),"")</f>
        <v/>
      </c>
      <c r="H176" s="142" t="str">
        <f>IFERROR(VLOOKUP($C176,'NEW MODEL BY SES'!$C$19:$R$242,MATCH('SeS in Retail Sales Areas'!H$7,'NEW MODEL BY SES'!$C$17:$R$17,0),0),"")</f>
        <v/>
      </c>
      <c r="I176" s="140" t="str">
        <f>IFERROR(VLOOKUP($C176,'NEW MODEL BY SES'!$C$19:$R$242,MATCH('SeS in Retail Sales Areas'!I$7,'NEW MODEL BY SES'!$C$17:$R$17,0),0),"")</f>
        <v/>
      </c>
      <c r="J176" s="142" t="str">
        <f>IFERROR(VLOOKUP($C176,'NEW MODEL BY SES'!$C$19:$R$242,MATCH('SeS in Retail Sales Areas'!J$7,'NEW MODEL BY SES'!$C$17:$R$17,0),0),"")</f>
        <v/>
      </c>
      <c r="K176" s="140" t="str">
        <f>IFERROR(VLOOKUP($C176,'NEW MODEL BY SES'!$C$19:$R$242,MATCH('SeS in Retail Sales Areas'!K$7,'NEW MODEL BY SES'!$C$17:$R$17,0),0),"")</f>
        <v/>
      </c>
      <c r="L176" s="142" t="str">
        <f>IFERROR(VLOOKUP($C176,'NEW MODEL BY SES'!$C$19:$R$242,MATCH('SeS in Retail Sales Areas'!L$7,'NEW MODEL BY SES'!$C$17:$R$17,0),0),"")</f>
        <v/>
      </c>
      <c r="M176" s="140" t="str">
        <f>IFERROR(VLOOKUP($C176,'NEW MODEL BY SES'!$C$19:$R$242,MATCH('SeS in Retail Sales Areas'!M$7,'NEW MODEL BY SES'!$C$17:$R$17,0),0),"")</f>
        <v/>
      </c>
      <c r="N176" s="142" t="str">
        <f>IFERROR(VLOOKUP($C176,'NEW MODEL BY SES'!$C$19:$R$242,MATCH('SeS in Retail Sales Areas'!N$7,'NEW MODEL BY SES'!$C$17:$R$17,0),0),"")</f>
        <v/>
      </c>
      <c r="O176" s="140" t="str">
        <f>IFERROR(VLOOKUP($C176,'NEW MODEL BY SES'!$C$19:$R$242,MATCH('SeS in Retail Sales Areas'!O$7,'NEW MODEL BY SES'!$C$17:$R$17,0),0),"")</f>
        <v/>
      </c>
      <c r="P176" s="142" t="str">
        <f>IFERROR(VLOOKUP($C176,'NEW MODEL BY SES'!$C$19:$R$242,MATCH('SeS in Retail Sales Areas'!P$7,'NEW MODEL BY SES'!$C$17:$R$17,0),0),"")</f>
        <v/>
      </c>
      <c r="Q176" s="140" t="str">
        <f>IFERROR(VLOOKUP($C176,'NEW MODEL BY SES'!$C$19:$R$242,MATCH('SeS in Retail Sales Areas'!Q$7,'NEW MODEL BY SES'!$C$17:$R$17,0),0),"")</f>
        <v/>
      </c>
      <c r="R176" s="142" t="str">
        <f>IFERROR(VLOOKUP($C176,'NEW MODEL BY SES'!$C$19:$R$242,MATCH('SeS in Retail Sales Areas'!R$7,'NEW MODEL BY SES'!$C$17:$R$17,0),0),"")</f>
        <v/>
      </c>
      <c r="S176" s="141" t="str">
        <f>IFERROR(VLOOKUP($C176,'NEW MODEL BY SES'!$C$19:$R$242,MATCH('SeS in Retail Sales Areas'!S$7,'NEW MODEL BY SES'!$C$17:$R$17,0),0),"")</f>
        <v/>
      </c>
      <c r="T176" s="140" t="str">
        <f>IFERROR(VLOOKUP($C176,'NEW MODEL BY SES'!$C$19:$R$242,MATCH('SeS in Retail Sales Areas'!T$7,'NEW MODEL BY SES'!$C$17:$R$17,0),0),"")</f>
        <v/>
      </c>
      <c r="U176" s="142" t="str">
        <f>IFERROR(VLOOKUP($C176,'NEW MODEL BY SES'!$C$19:$R$242,MATCH('SeS in Retail Sales Areas'!U$7,'NEW MODEL BY SES'!$C$17:$R$17,0),0),"")</f>
        <v/>
      </c>
      <c r="V176" s="140" t="str">
        <f>IFERROR(VLOOKUP($C176,'NEW MODEL BY SES'!$C$19:$R$242,MATCH('SeS in Retail Sales Areas'!V$7,'NEW MODEL BY SES'!$C$17:$R$17,0),0),"")</f>
        <v/>
      </c>
      <c r="W176" s="141" t="str">
        <f>IFERROR(VLOOKUP($C176,'NEW MODEL BY SES'!$C$19:$R$242,MATCH('SeS in Retail Sales Areas'!W$7,'NEW MODEL BY SES'!$C$17:$R$17,0),0),"")</f>
        <v/>
      </c>
      <c r="X176" s="140" t="str">
        <f>IFERROR(VLOOKUP($C176,'NEW MODEL BY SES'!$C$19:$R$242,MATCH('SeS in Retail Sales Areas'!X$7,'NEW MODEL BY SES'!$C$17:$R$17,0),0),"")</f>
        <v/>
      </c>
      <c r="Z176" s="57"/>
    </row>
    <row r="177" spans="1:26">
      <c r="A177" t="s">
        <v>1090</v>
      </c>
      <c r="B177" s="57">
        <v>78</v>
      </c>
      <c r="C177" t="s">
        <v>1109</v>
      </c>
      <c r="D177" t="s">
        <v>44</v>
      </c>
      <c r="E177"/>
      <c r="F177" s="140" t="str">
        <f>IFERROR(VLOOKUP($C177,'NEW MODEL BY SES'!$C$19:$R$242,MATCH('SeS in Retail Sales Areas'!F$7,'NEW MODEL BY SES'!$C$17:$R$17,0),0),"")</f>
        <v/>
      </c>
      <c r="G177" s="140" t="str">
        <f>IFERROR(VLOOKUP($C177,'NEW MODEL BY SES'!$C$19:$R$242,MATCH('SeS in Retail Sales Areas'!G$7,'NEW MODEL BY SES'!$C$17:$R$17,0),0),"")</f>
        <v/>
      </c>
      <c r="H177" s="142" t="str">
        <f>IFERROR(VLOOKUP($C177,'NEW MODEL BY SES'!$C$19:$R$242,MATCH('SeS in Retail Sales Areas'!H$7,'NEW MODEL BY SES'!$C$17:$R$17,0),0),"")</f>
        <v/>
      </c>
      <c r="I177" s="140" t="str">
        <f>IFERROR(VLOOKUP($C177,'NEW MODEL BY SES'!$C$19:$R$242,MATCH('SeS in Retail Sales Areas'!I$7,'NEW MODEL BY SES'!$C$17:$R$17,0),0),"")</f>
        <v/>
      </c>
      <c r="J177" s="142" t="str">
        <f>IFERROR(VLOOKUP($C177,'NEW MODEL BY SES'!$C$19:$R$242,MATCH('SeS in Retail Sales Areas'!J$7,'NEW MODEL BY SES'!$C$17:$R$17,0),0),"")</f>
        <v/>
      </c>
      <c r="K177" s="140" t="str">
        <f>IFERROR(VLOOKUP($C177,'NEW MODEL BY SES'!$C$19:$R$242,MATCH('SeS in Retail Sales Areas'!K$7,'NEW MODEL BY SES'!$C$17:$R$17,0),0),"")</f>
        <v/>
      </c>
      <c r="L177" s="142" t="str">
        <f>IFERROR(VLOOKUP($C177,'NEW MODEL BY SES'!$C$19:$R$242,MATCH('SeS in Retail Sales Areas'!L$7,'NEW MODEL BY SES'!$C$17:$R$17,0),0),"")</f>
        <v/>
      </c>
      <c r="M177" s="140" t="str">
        <f>IFERROR(VLOOKUP($C177,'NEW MODEL BY SES'!$C$19:$R$242,MATCH('SeS in Retail Sales Areas'!M$7,'NEW MODEL BY SES'!$C$17:$R$17,0),0),"")</f>
        <v/>
      </c>
      <c r="N177" s="142" t="str">
        <f>IFERROR(VLOOKUP($C177,'NEW MODEL BY SES'!$C$19:$R$242,MATCH('SeS in Retail Sales Areas'!N$7,'NEW MODEL BY SES'!$C$17:$R$17,0),0),"")</f>
        <v/>
      </c>
      <c r="O177" s="140" t="str">
        <f>IFERROR(VLOOKUP($C177,'NEW MODEL BY SES'!$C$19:$R$242,MATCH('SeS in Retail Sales Areas'!O$7,'NEW MODEL BY SES'!$C$17:$R$17,0),0),"")</f>
        <v/>
      </c>
      <c r="P177" s="142" t="str">
        <f>IFERROR(VLOOKUP($C177,'NEW MODEL BY SES'!$C$19:$R$242,MATCH('SeS in Retail Sales Areas'!P$7,'NEW MODEL BY SES'!$C$17:$R$17,0),0),"")</f>
        <v/>
      </c>
      <c r="Q177" s="140" t="str">
        <f>IFERROR(VLOOKUP($C177,'NEW MODEL BY SES'!$C$19:$R$242,MATCH('SeS in Retail Sales Areas'!Q$7,'NEW MODEL BY SES'!$C$17:$R$17,0),0),"")</f>
        <v/>
      </c>
      <c r="R177" s="142" t="str">
        <f>IFERROR(VLOOKUP($C177,'NEW MODEL BY SES'!$C$19:$R$242,MATCH('SeS in Retail Sales Areas'!R$7,'NEW MODEL BY SES'!$C$17:$R$17,0),0),"")</f>
        <v/>
      </c>
      <c r="S177" s="141" t="str">
        <f>IFERROR(VLOOKUP($C177,'NEW MODEL BY SES'!$C$19:$R$242,MATCH('SeS in Retail Sales Areas'!S$7,'NEW MODEL BY SES'!$C$17:$R$17,0),0),"")</f>
        <v/>
      </c>
      <c r="T177" s="140" t="str">
        <f>IFERROR(VLOOKUP($C177,'NEW MODEL BY SES'!$C$19:$R$242,MATCH('SeS in Retail Sales Areas'!T$7,'NEW MODEL BY SES'!$C$17:$R$17,0),0),"")</f>
        <v/>
      </c>
      <c r="U177" s="142" t="str">
        <f>IFERROR(VLOOKUP($C177,'NEW MODEL BY SES'!$C$19:$R$242,MATCH('SeS in Retail Sales Areas'!U$7,'NEW MODEL BY SES'!$C$17:$R$17,0),0),"")</f>
        <v/>
      </c>
      <c r="V177" s="140" t="str">
        <f>IFERROR(VLOOKUP($C177,'NEW MODEL BY SES'!$C$19:$R$242,MATCH('SeS in Retail Sales Areas'!V$7,'NEW MODEL BY SES'!$C$17:$R$17,0),0),"")</f>
        <v/>
      </c>
      <c r="W177" s="141" t="str">
        <f>IFERROR(VLOOKUP($C177,'NEW MODEL BY SES'!$C$19:$R$242,MATCH('SeS in Retail Sales Areas'!W$7,'NEW MODEL BY SES'!$C$17:$R$17,0),0),"")</f>
        <v/>
      </c>
      <c r="X177" s="140" t="str">
        <f>IFERROR(VLOOKUP($C177,'NEW MODEL BY SES'!$C$19:$R$242,MATCH('SeS in Retail Sales Areas'!X$7,'NEW MODEL BY SES'!$C$17:$R$17,0),0),"")</f>
        <v/>
      </c>
      <c r="Z177" s="57"/>
    </row>
    <row r="178" spans="1:26">
      <c r="A178" t="s">
        <v>1090</v>
      </c>
      <c r="B178" s="57">
        <v>78</v>
      </c>
      <c r="C178" t="s">
        <v>1110</v>
      </c>
      <c r="D178" t="s">
        <v>44</v>
      </c>
      <c r="E178"/>
      <c r="F178" s="140" t="str">
        <f>IFERROR(VLOOKUP($C178,'NEW MODEL BY SES'!$C$19:$R$242,MATCH('SeS in Retail Sales Areas'!F$7,'NEW MODEL BY SES'!$C$17:$R$17,0),0),"")</f>
        <v/>
      </c>
      <c r="G178" s="140" t="str">
        <f>IFERROR(VLOOKUP($C178,'NEW MODEL BY SES'!$C$19:$R$242,MATCH('SeS in Retail Sales Areas'!G$7,'NEW MODEL BY SES'!$C$17:$R$17,0),0),"")</f>
        <v/>
      </c>
      <c r="H178" s="142" t="str">
        <f>IFERROR(VLOOKUP($C178,'NEW MODEL BY SES'!$C$19:$R$242,MATCH('SeS in Retail Sales Areas'!H$7,'NEW MODEL BY SES'!$C$17:$R$17,0),0),"")</f>
        <v/>
      </c>
      <c r="I178" s="140" t="str">
        <f>IFERROR(VLOOKUP($C178,'NEW MODEL BY SES'!$C$19:$R$242,MATCH('SeS in Retail Sales Areas'!I$7,'NEW MODEL BY SES'!$C$17:$R$17,0),0),"")</f>
        <v/>
      </c>
      <c r="J178" s="142" t="str">
        <f>IFERROR(VLOOKUP($C178,'NEW MODEL BY SES'!$C$19:$R$242,MATCH('SeS in Retail Sales Areas'!J$7,'NEW MODEL BY SES'!$C$17:$R$17,0),0),"")</f>
        <v/>
      </c>
      <c r="K178" s="140" t="str">
        <f>IFERROR(VLOOKUP($C178,'NEW MODEL BY SES'!$C$19:$R$242,MATCH('SeS in Retail Sales Areas'!K$7,'NEW MODEL BY SES'!$C$17:$R$17,0),0),"")</f>
        <v/>
      </c>
      <c r="L178" s="142" t="str">
        <f>IFERROR(VLOOKUP($C178,'NEW MODEL BY SES'!$C$19:$R$242,MATCH('SeS in Retail Sales Areas'!L$7,'NEW MODEL BY SES'!$C$17:$R$17,0),0),"")</f>
        <v/>
      </c>
      <c r="M178" s="140" t="str">
        <f>IFERROR(VLOOKUP($C178,'NEW MODEL BY SES'!$C$19:$R$242,MATCH('SeS in Retail Sales Areas'!M$7,'NEW MODEL BY SES'!$C$17:$R$17,0),0),"")</f>
        <v/>
      </c>
      <c r="N178" s="142" t="str">
        <f>IFERROR(VLOOKUP($C178,'NEW MODEL BY SES'!$C$19:$R$242,MATCH('SeS in Retail Sales Areas'!N$7,'NEW MODEL BY SES'!$C$17:$R$17,0),0),"")</f>
        <v/>
      </c>
      <c r="O178" s="140" t="str">
        <f>IFERROR(VLOOKUP($C178,'NEW MODEL BY SES'!$C$19:$R$242,MATCH('SeS in Retail Sales Areas'!O$7,'NEW MODEL BY SES'!$C$17:$R$17,0),0),"")</f>
        <v/>
      </c>
      <c r="P178" s="142" t="str">
        <f>IFERROR(VLOOKUP($C178,'NEW MODEL BY SES'!$C$19:$R$242,MATCH('SeS in Retail Sales Areas'!P$7,'NEW MODEL BY SES'!$C$17:$R$17,0),0),"")</f>
        <v/>
      </c>
      <c r="Q178" s="140" t="str">
        <f>IFERROR(VLOOKUP($C178,'NEW MODEL BY SES'!$C$19:$R$242,MATCH('SeS in Retail Sales Areas'!Q$7,'NEW MODEL BY SES'!$C$17:$R$17,0),0),"")</f>
        <v/>
      </c>
      <c r="R178" s="142" t="str">
        <f>IFERROR(VLOOKUP($C178,'NEW MODEL BY SES'!$C$19:$R$242,MATCH('SeS in Retail Sales Areas'!R$7,'NEW MODEL BY SES'!$C$17:$R$17,0),0),"")</f>
        <v/>
      </c>
      <c r="S178" s="141" t="str">
        <f>IFERROR(VLOOKUP($C178,'NEW MODEL BY SES'!$C$19:$R$242,MATCH('SeS in Retail Sales Areas'!S$7,'NEW MODEL BY SES'!$C$17:$R$17,0),0),"")</f>
        <v/>
      </c>
      <c r="T178" s="140" t="str">
        <f>IFERROR(VLOOKUP($C178,'NEW MODEL BY SES'!$C$19:$R$242,MATCH('SeS in Retail Sales Areas'!T$7,'NEW MODEL BY SES'!$C$17:$R$17,0),0),"")</f>
        <v/>
      </c>
      <c r="U178" s="142" t="str">
        <f>IFERROR(VLOOKUP($C178,'NEW MODEL BY SES'!$C$19:$R$242,MATCH('SeS in Retail Sales Areas'!U$7,'NEW MODEL BY SES'!$C$17:$R$17,0),0),"")</f>
        <v/>
      </c>
      <c r="V178" s="140" t="str">
        <f>IFERROR(VLOOKUP($C178,'NEW MODEL BY SES'!$C$19:$R$242,MATCH('SeS in Retail Sales Areas'!V$7,'NEW MODEL BY SES'!$C$17:$R$17,0),0),"")</f>
        <v/>
      </c>
      <c r="W178" s="141" t="str">
        <f>IFERROR(VLOOKUP($C178,'NEW MODEL BY SES'!$C$19:$R$242,MATCH('SeS in Retail Sales Areas'!W$7,'NEW MODEL BY SES'!$C$17:$R$17,0),0),"")</f>
        <v/>
      </c>
      <c r="X178" s="140" t="str">
        <f>IFERROR(VLOOKUP($C178,'NEW MODEL BY SES'!$C$19:$R$242,MATCH('SeS in Retail Sales Areas'!X$7,'NEW MODEL BY SES'!$C$17:$R$17,0),0),"")</f>
        <v/>
      </c>
      <c r="Z178" s="57"/>
    </row>
    <row r="179" spans="1:26">
      <c r="A179" t="s">
        <v>1090</v>
      </c>
      <c r="B179" s="57">
        <v>67</v>
      </c>
      <c r="C179" t="s">
        <v>1111</v>
      </c>
      <c r="D179" t="s">
        <v>44</v>
      </c>
      <c r="E179"/>
      <c r="F179" s="140" t="str">
        <f>IFERROR(VLOOKUP($C179,'NEW MODEL BY SES'!$C$19:$R$242,MATCH('SeS in Retail Sales Areas'!F$7,'NEW MODEL BY SES'!$C$17:$R$17,0),0),"")</f>
        <v/>
      </c>
      <c r="G179" s="140" t="str">
        <f>IFERROR(VLOOKUP($C179,'NEW MODEL BY SES'!$C$19:$R$242,MATCH('SeS in Retail Sales Areas'!G$7,'NEW MODEL BY SES'!$C$17:$R$17,0),0),"")</f>
        <v/>
      </c>
      <c r="H179" s="142" t="str">
        <f>IFERROR(VLOOKUP($C179,'NEW MODEL BY SES'!$C$19:$R$242,MATCH('SeS in Retail Sales Areas'!H$7,'NEW MODEL BY SES'!$C$17:$R$17,0),0),"")</f>
        <v/>
      </c>
      <c r="I179" s="140" t="str">
        <f>IFERROR(VLOOKUP($C179,'NEW MODEL BY SES'!$C$19:$R$242,MATCH('SeS in Retail Sales Areas'!I$7,'NEW MODEL BY SES'!$C$17:$R$17,0),0),"")</f>
        <v/>
      </c>
      <c r="J179" s="142" t="str">
        <f>IFERROR(VLOOKUP($C179,'NEW MODEL BY SES'!$C$19:$R$242,MATCH('SeS in Retail Sales Areas'!J$7,'NEW MODEL BY SES'!$C$17:$R$17,0),0),"")</f>
        <v/>
      </c>
      <c r="K179" s="140" t="str">
        <f>IFERROR(VLOOKUP($C179,'NEW MODEL BY SES'!$C$19:$R$242,MATCH('SeS in Retail Sales Areas'!K$7,'NEW MODEL BY SES'!$C$17:$R$17,0),0),"")</f>
        <v/>
      </c>
      <c r="L179" s="142" t="str">
        <f>IFERROR(VLOOKUP($C179,'NEW MODEL BY SES'!$C$19:$R$242,MATCH('SeS in Retail Sales Areas'!L$7,'NEW MODEL BY SES'!$C$17:$R$17,0),0),"")</f>
        <v/>
      </c>
      <c r="M179" s="140" t="str">
        <f>IFERROR(VLOOKUP($C179,'NEW MODEL BY SES'!$C$19:$R$242,MATCH('SeS in Retail Sales Areas'!M$7,'NEW MODEL BY SES'!$C$17:$R$17,0),0),"")</f>
        <v/>
      </c>
      <c r="N179" s="142" t="str">
        <f>IFERROR(VLOOKUP($C179,'NEW MODEL BY SES'!$C$19:$R$242,MATCH('SeS in Retail Sales Areas'!N$7,'NEW MODEL BY SES'!$C$17:$R$17,0),0),"")</f>
        <v/>
      </c>
      <c r="O179" s="140" t="str">
        <f>IFERROR(VLOOKUP($C179,'NEW MODEL BY SES'!$C$19:$R$242,MATCH('SeS in Retail Sales Areas'!O$7,'NEW MODEL BY SES'!$C$17:$R$17,0),0),"")</f>
        <v/>
      </c>
      <c r="P179" s="142" t="str">
        <f>IFERROR(VLOOKUP($C179,'NEW MODEL BY SES'!$C$19:$R$242,MATCH('SeS in Retail Sales Areas'!P$7,'NEW MODEL BY SES'!$C$17:$R$17,0),0),"")</f>
        <v/>
      </c>
      <c r="Q179" s="140" t="str">
        <f>IFERROR(VLOOKUP($C179,'NEW MODEL BY SES'!$C$19:$R$242,MATCH('SeS in Retail Sales Areas'!Q$7,'NEW MODEL BY SES'!$C$17:$R$17,0),0),"")</f>
        <v/>
      </c>
      <c r="R179" s="142" t="str">
        <f>IFERROR(VLOOKUP($C179,'NEW MODEL BY SES'!$C$19:$R$242,MATCH('SeS in Retail Sales Areas'!R$7,'NEW MODEL BY SES'!$C$17:$R$17,0),0),"")</f>
        <v/>
      </c>
      <c r="S179" s="141" t="str">
        <f>IFERROR(VLOOKUP($C179,'NEW MODEL BY SES'!$C$19:$R$242,MATCH('SeS in Retail Sales Areas'!S$7,'NEW MODEL BY SES'!$C$17:$R$17,0),0),"")</f>
        <v/>
      </c>
      <c r="T179" s="140" t="str">
        <f>IFERROR(VLOOKUP($C179,'NEW MODEL BY SES'!$C$19:$R$242,MATCH('SeS in Retail Sales Areas'!T$7,'NEW MODEL BY SES'!$C$17:$R$17,0),0),"")</f>
        <v/>
      </c>
      <c r="U179" s="142" t="str">
        <f>IFERROR(VLOOKUP($C179,'NEW MODEL BY SES'!$C$19:$R$242,MATCH('SeS in Retail Sales Areas'!U$7,'NEW MODEL BY SES'!$C$17:$R$17,0),0),"")</f>
        <v/>
      </c>
      <c r="V179" s="140" t="str">
        <f>IFERROR(VLOOKUP($C179,'NEW MODEL BY SES'!$C$19:$R$242,MATCH('SeS in Retail Sales Areas'!V$7,'NEW MODEL BY SES'!$C$17:$R$17,0),0),"")</f>
        <v/>
      </c>
      <c r="W179" s="141" t="str">
        <f>IFERROR(VLOOKUP($C179,'NEW MODEL BY SES'!$C$19:$R$242,MATCH('SeS in Retail Sales Areas'!W$7,'NEW MODEL BY SES'!$C$17:$R$17,0),0),"")</f>
        <v/>
      </c>
      <c r="X179" s="140" t="str">
        <f>IFERROR(VLOOKUP($C179,'NEW MODEL BY SES'!$C$19:$R$242,MATCH('SeS in Retail Sales Areas'!X$7,'NEW MODEL BY SES'!$C$17:$R$17,0),0),"")</f>
        <v/>
      </c>
      <c r="Z179" s="57"/>
    </row>
    <row r="180" spans="1:26">
      <c r="A180" t="s">
        <v>1090</v>
      </c>
      <c r="B180" s="57">
        <v>63</v>
      </c>
      <c r="C180" t="s">
        <v>1112</v>
      </c>
      <c r="D180" t="s">
        <v>44</v>
      </c>
      <c r="E180"/>
      <c r="F180" s="140" t="str">
        <f>IFERROR(VLOOKUP($C180,'NEW MODEL BY SES'!$C$19:$R$242,MATCH('SeS in Retail Sales Areas'!F$7,'NEW MODEL BY SES'!$C$17:$R$17,0),0),"")</f>
        <v/>
      </c>
      <c r="G180" s="140" t="str">
        <f>IFERROR(VLOOKUP($C180,'NEW MODEL BY SES'!$C$19:$R$242,MATCH('SeS in Retail Sales Areas'!G$7,'NEW MODEL BY SES'!$C$17:$R$17,0),0),"")</f>
        <v/>
      </c>
      <c r="H180" s="142" t="str">
        <f>IFERROR(VLOOKUP($C180,'NEW MODEL BY SES'!$C$19:$R$242,MATCH('SeS in Retail Sales Areas'!H$7,'NEW MODEL BY SES'!$C$17:$R$17,0),0),"")</f>
        <v/>
      </c>
      <c r="I180" s="140" t="str">
        <f>IFERROR(VLOOKUP($C180,'NEW MODEL BY SES'!$C$19:$R$242,MATCH('SeS in Retail Sales Areas'!I$7,'NEW MODEL BY SES'!$C$17:$R$17,0),0),"")</f>
        <v/>
      </c>
      <c r="J180" s="142" t="str">
        <f>IFERROR(VLOOKUP($C180,'NEW MODEL BY SES'!$C$19:$R$242,MATCH('SeS in Retail Sales Areas'!J$7,'NEW MODEL BY SES'!$C$17:$R$17,0),0),"")</f>
        <v/>
      </c>
      <c r="K180" s="140" t="str">
        <f>IFERROR(VLOOKUP($C180,'NEW MODEL BY SES'!$C$19:$R$242,MATCH('SeS in Retail Sales Areas'!K$7,'NEW MODEL BY SES'!$C$17:$R$17,0),0),"")</f>
        <v/>
      </c>
      <c r="L180" s="142" t="str">
        <f>IFERROR(VLOOKUP($C180,'NEW MODEL BY SES'!$C$19:$R$242,MATCH('SeS in Retail Sales Areas'!L$7,'NEW MODEL BY SES'!$C$17:$R$17,0),0),"")</f>
        <v/>
      </c>
      <c r="M180" s="140" t="str">
        <f>IFERROR(VLOOKUP($C180,'NEW MODEL BY SES'!$C$19:$R$242,MATCH('SeS in Retail Sales Areas'!M$7,'NEW MODEL BY SES'!$C$17:$R$17,0),0),"")</f>
        <v/>
      </c>
      <c r="N180" s="142" t="str">
        <f>IFERROR(VLOOKUP($C180,'NEW MODEL BY SES'!$C$19:$R$242,MATCH('SeS in Retail Sales Areas'!N$7,'NEW MODEL BY SES'!$C$17:$R$17,0),0),"")</f>
        <v/>
      </c>
      <c r="O180" s="140" t="str">
        <f>IFERROR(VLOOKUP($C180,'NEW MODEL BY SES'!$C$19:$R$242,MATCH('SeS in Retail Sales Areas'!O$7,'NEW MODEL BY SES'!$C$17:$R$17,0),0),"")</f>
        <v/>
      </c>
      <c r="P180" s="142" t="str">
        <f>IFERROR(VLOOKUP($C180,'NEW MODEL BY SES'!$C$19:$R$242,MATCH('SeS in Retail Sales Areas'!P$7,'NEW MODEL BY SES'!$C$17:$R$17,0),0),"")</f>
        <v/>
      </c>
      <c r="Q180" s="140" t="str">
        <f>IFERROR(VLOOKUP($C180,'NEW MODEL BY SES'!$C$19:$R$242,MATCH('SeS in Retail Sales Areas'!Q$7,'NEW MODEL BY SES'!$C$17:$R$17,0),0),"")</f>
        <v/>
      </c>
      <c r="R180" s="142" t="str">
        <f>IFERROR(VLOOKUP($C180,'NEW MODEL BY SES'!$C$19:$R$242,MATCH('SeS in Retail Sales Areas'!R$7,'NEW MODEL BY SES'!$C$17:$R$17,0),0),"")</f>
        <v/>
      </c>
      <c r="S180" s="141" t="str">
        <f>IFERROR(VLOOKUP($C180,'NEW MODEL BY SES'!$C$19:$R$242,MATCH('SeS in Retail Sales Areas'!S$7,'NEW MODEL BY SES'!$C$17:$R$17,0),0),"")</f>
        <v/>
      </c>
      <c r="T180" s="140" t="str">
        <f>IFERROR(VLOOKUP($C180,'NEW MODEL BY SES'!$C$19:$R$242,MATCH('SeS in Retail Sales Areas'!T$7,'NEW MODEL BY SES'!$C$17:$R$17,0),0),"")</f>
        <v/>
      </c>
      <c r="U180" s="142" t="str">
        <f>IFERROR(VLOOKUP($C180,'NEW MODEL BY SES'!$C$19:$R$242,MATCH('SeS in Retail Sales Areas'!U$7,'NEW MODEL BY SES'!$C$17:$R$17,0),0),"")</f>
        <v/>
      </c>
      <c r="V180" s="140" t="str">
        <f>IFERROR(VLOOKUP($C180,'NEW MODEL BY SES'!$C$19:$R$242,MATCH('SeS in Retail Sales Areas'!V$7,'NEW MODEL BY SES'!$C$17:$R$17,0),0),"")</f>
        <v/>
      </c>
      <c r="W180" s="141" t="str">
        <f>IFERROR(VLOOKUP($C180,'NEW MODEL BY SES'!$C$19:$R$242,MATCH('SeS in Retail Sales Areas'!W$7,'NEW MODEL BY SES'!$C$17:$R$17,0),0),"")</f>
        <v/>
      </c>
      <c r="X180" s="140" t="str">
        <f>IFERROR(VLOOKUP($C180,'NEW MODEL BY SES'!$C$19:$R$242,MATCH('SeS in Retail Sales Areas'!X$7,'NEW MODEL BY SES'!$C$17:$R$17,0),0),"")</f>
        <v/>
      </c>
      <c r="Z180" s="57"/>
    </row>
    <row r="181" spans="1:26">
      <c r="A181" t="s">
        <v>1090</v>
      </c>
      <c r="B181" s="57">
        <v>62</v>
      </c>
      <c r="C181" t="s">
        <v>1113</v>
      </c>
      <c r="D181" t="s">
        <v>44</v>
      </c>
      <c r="E181"/>
      <c r="F181" s="140" t="str">
        <f>IFERROR(VLOOKUP($C181,'NEW MODEL BY SES'!$C$19:$R$242,MATCH('SeS in Retail Sales Areas'!F$7,'NEW MODEL BY SES'!$C$17:$R$17,0),0),"")</f>
        <v/>
      </c>
      <c r="G181" s="140" t="str">
        <f>IFERROR(VLOOKUP($C181,'NEW MODEL BY SES'!$C$19:$R$242,MATCH('SeS in Retail Sales Areas'!G$7,'NEW MODEL BY SES'!$C$17:$R$17,0),0),"")</f>
        <v/>
      </c>
      <c r="H181" s="142" t="str">
        <f>IFERROR(VLOOKUP($C181,'NEW MODEL BY SES'!$C$19:$R$242,MATCH('SeS in Retail Sales Areas'!H$7,'NEW MODEL BY SES'!$C$17:$R$17,0),0),"")</f>
        <v/>
      </c>
      <c r="I181" s="140" t="str">
        <f>IFERROR(VLOOKUP($C181,'NEW MODEL BY SES'!$C$19:$R$242,MATCH('SeS in Retail Sales Areas'!I$7,'NEW MODEL BY SES'!$C$17:$R$17,0),0),"")</f>
        <v/>
      </c>
      <c r="J181" s="142" t="str">
        <f>IFERROR(VLOOKUP($C181,'NEW MODEL BY SES'!$C$19:$R$242,MATCH('SeS in Retail Sales Areas'!J$7,'NEW MODEL BY SES'!$C$17:$R$17,0),0),"")</f>
        <v/>
      </c>
      <c r="K181" s="140" t="str">
        <f>IFERROR(VLOOKUP($C181,'NEW MODEL BY SES'!$C$19:$R$242,MATCH('SeS in Retail Sales Areas'!K$7,'NEW MODEL BY SES'!$C$17:$R$17,0),0),"")</f>
        <v/>
      </c>
      <c r="L181" s="142" t="str">
        <f>IFERROR(VLOOKUP($C181,'NEW MODEL BY SES'!$C$19:$R$242,MATCH('SeS in Retail Sales Areas'!L$7,'NEW MODEL BY SES'!$C$17:$R$17,0),0),"")</f>
        <v/>
      </c>
      <c r="M181" s="140" t="str">
        <f>IFERROR(VLOOKUP($C181,'NEW MODEL BY SES'!$C$19:$R$242,MATCH('SeS in Retail Sales Areas'!M$7,'NEW MODEL BY SES'!$C$17:$R$17,0),0),"")</f>
        <v/>
      </c>
      <c r="N181" s="142" t="str">
        <f>IFERROR(VLOOKUP($C181,'NEW MODEL BY SES'!$C$19:$R$242,MATCH('SeS in Retail Sales Areas'!N$7,'NEW MODEL BY SES'!$C$17:$R$17,0),0),"")</f>
        <v/>
      </c>
      <c r="O181" s="140" t="str">
        <f>IFERROR(VLOOKUP($C181,'NEW MODEL BY SES'!$C$19:$R$242,MATCH('SeS in Retail Sales Areas'!O$7,'NEW MODEL BY SES'!$C$17:$R$17,0),0),"")</f>
        <v/>
      </c>
      <c r="P181" s="142" t="str">
        <f>IFERROR(VLOOKUP($C181,'NEW MODEL BY SES'!$C$19:$R$242,MATCH('SeS in Retail Sales Areas'!P$7,'NEW MODEL BY SES'!$C$17:$R$17,0),0),"")</f>
        <v/>
      </c>
      <c r="Q181" s="140" t="str">
        <f>IFERROR(VLOOKUP($C181,'NEW MODEL BY SES'!$C$19:$R$242,MATCH('SeS in Retail Sales Areas'!Q$7,'NEW MODEL BY SES'!$C$17:$R$17,0),0),"")</f>
        <v/>
      </c>
      <c r="R181" s="142" t="str">
        <f>IFERROR(VLOOKUP($C181,'NEW MODEL BY SES'!$C$19:$R$242,MATCH('SeS in Retail Sales Areas'!R$7,'NEW MODEL BY SES'!$C$17:$R$17,0),0),"")</f>
        <v/>
      </c>
      <c r="S181" s="141" t="str">
        <f>IFERROR(VLOOKUP($C181,'NEW MODEL BY SES'!$C$19:$R$242,MATCH('SeS in Retail Sales Areas'!S$7,'NEW MODEL BY SES'!$C$17:$R$17,0),0),"")</f>
        <v/>
      </c>
      <c r="T181" s="140" t="str">
        <f>IFERROR(VLOOKUP($C181,'NEW MODEL BY SES'!$C$19:$R$242,MATCH('SeS in Retail Sales Areas'!T$7,'NEW MODEL BY SES'!$C$17:$R$17,0),0),"")</f>
        <v/>
      </c>
      <c r="U181" s="142" t="str">
        <f>IFERROR(VLOOKUP($C181,'NEW MODEL BY SES'!$C$19:$R$242,MATCH('SeS in Retail Sales Areas'!U$7,'NEW MODEL BY SES'!$C$17:$R$17,0),0),"")</f>
        <v/>
      </c>
      <c r="V181" s="140" t="str">
        <f>IFERROR(VLOOKUP($C181,'NEW MODEL BY SES'!$C$19:$R$242,MATCH('SeS in Retail Sales Areas'!V$7,'NEW MODEL BY SES'!$C$17:$R$17,0),0),"")</f>
        <v/>
      </c>
      <c r="W181" s="141" t="str">
        <f>IFERROR(VLOOKUP($C181,'NEW MODEL BY SES'!$C$19:$R$242,MATCH('SeS in Retail Sales Areas'!W$7,'NEW MODEL BY SES'!$C$17:$R$17,0),0),"")</f>
        <v/>
      </c>
      <c r="X181" s="140" t="str">
        <f>IFERROR(VLOOKUP($C181,'NEW MODEL BY SES'!$C$19:$R$242,MATCH('SeS in Retail Sales Areas'!X$7,'NEW MODEL BY SES'!$C$17:$R$17,0),0),"")</f>
        <v/>
      </c>
      <c r="Z181" s="57"/>
    </row>
    <row r="182" spans="1:26">
      <c r="A182" t="s">
        <v>1090</v>
      </c>
      <c r="B182" s="57">
        <v>59</v>
      </c>
      <c r="C182" t="s">
        <v>1114</v>
      </c>
      <c r="D182" t="s">
        <v>44</v>
      </c>
      <c r="E182"/>
      <c r="F182" s="140" t="str">
        <f>IFERROR(VLOOKUP($C182,'NEW MODEL BY SES'!$C$19:$R$242,MATCH('SeS in Retail Sales Areas'!F$7,'NEW MODEL BY SES'!$C$17:$R$17,0),0),"")</f>
        <v/>
      </c>
      <c r="G182" s="140" t="str">
        <f>IFERROR(VLOOKUP($C182,'NEW MODEL BY SES'!$C$19:$R$242,MATCH('SeS in Retail Sales Areas'!G$7,'NEW MODEL BY SES'!$C$17:$R$17,0),0),"")</f>
        <v/>
      </c>
      <c r="H182" s="142" t="str">
        <f>IFERROR(VLOOKUP($C182,'NEW MODEL BY SES'!$C$19:$R$242,MATCH('SeS in Retail Sales Areas'!H$7,'NEW MODEL BY SES'!$C$17:$R$17,0),0),"")</f>
        <v/>
      </c>
      <c r="I182" s="140" t="str">
        <f>IFERROR(VLOOKUP($C182,'NEW MODEL BY SES'!$C$19:$R$242,MATCH('SeS in Retail Sales Areas'!I$7,'NEW MODEL BY SES'!$C$17:$R$17,0),0),"")</f>
        <v/>
      </c>
      <c r="J182" s="142" t="str">
        <f>IFERROR(VLOOKUP($C182,'NEW MODEL BY SES'!$C$19:$R$242,MATCH('SeS in Retail Sales Areas'!J$7,'NEW MODEL BY SES'!$C$17:$R$17,0),0),"")</f>
        <v/>
      </c>
      <c r="K182" s="140" t="str">
        <f>IFERROR(VLOOKUP($C182,'NEW MODEL BY SES'!$C$19:$R$242,MATCH('SeS in Retail Sales Areas'!K$7,'NEW MODEL BY SES'!$C$17:$R$17,0),0),"")</f>
        <v/>
      </c>
      <c r="L182" s="142" t="str">
        <f>IFERROR(VLOOKUP($C182,'NEW MODEL BY SES'!$C$19:$R$242,MATCH('SeS in Retail Sales Areas'!L$7,'NEW MODEL BY SES'!$C$17:$R$17,0),0),"")</f>
        <v/>
      </c>
      <c r="M182" s="140" t="str">
        <f>IFERROR(VLOOKUP($C182,'NEW MODEL BY SES'!$C$19:$R$242,MATCH('SeS in Retail Sales Areas'!M$7,'NEW MODEL BY SES'!$C$17:$R$17,0),0),"")</f>
        <v/>
      </c>
      <c r="N182" s="142" t="str">
        <f>IFERROR(VLOOKUP($C182,'NEW MODEL BY SES'!$C$19:$R$242,MATCH('SeS in Retail Sales Areas'!N$7,'NEW MODEL BY SES'!$C$17:$R$17,0),0),"")</f>
        <v/>
      </c>
      <c r="O182" s="140" t="str">
        <f>IFERROR(VLOOKUP($C182,'NEW MODEL BY SES'!$C$19:$R$242,MATCH('SeS in Retail Sales Areas'!O$7,'NEW MODEL BY SES'!$C$17:$R$17,0),0),"")</f>
        <v/>
      </c>
      <c r="P182" s="142" t="str">
        <f>IFERROR(VLOOKUP($C182,'NEW MODEL BY SES'!$C$19:$R$242,MATCH('SeS in Retail Sales Areas'!P$7,'NEW MODEL BY SES'!$C$17:$R$17,0),0),"")</f>
        <v/>
      </c>
      <c r="Q182" s="140" t="str">
        <f>IFERROR(VLOOKUP($C182,'NEW MODEL BY SES'!$C$19:$R$242,MATCH('SeS in Retail Sales Areas'!Q$7,'NEW MODEL BY SES'!$C$17:$R$17,0),0),"")</f>
        <v/>
      </c>
      <c r="R182" s="142" t="str">
        <f>IFERROR(VLOOKUP($C182,'NEW MODEL BY SES'!$C$19:$R$242,MATCH('SeS in Retail Sales Areas'!R$7,'NEW MODEL BY SES'!$C$17:$R$17,0),0),"")</f>
        <v/>
      </c>
      <c r="S182" s="141" t="str">
        <f>IFERROR(VLOOKUP($C182,'NEW MODEL BY SES'!$C$19:$R$242,MATCH('SeS in Retail Sales Areas'!S$7,'NEW MODEL BY SES'!$C$17:$R$17,0),0),"")</f>
        <v/>
      </c>
      <c r="T182" s="140" t="str">
        <f>IFERROR(VLOOKUP($C182,'NEW MODEL BY SES'!$C$19:$R$242,MATCH('SeS in Retail Sales Areas'!T$7,'NEW MODEL BY SES'!$C$17:$R$17,0),0),"")</f>
        <v/>
      </c>
      <c r="U182" s="142" t="str">
        <f>IFERROR(VLOOKUP($C182,'NEW MODEL BY SES'!$C$19:$R$242,MATCH('SeS in Retail Sales Areas'!U$7,'NEW MODEL BY SES'!$C$17:$R$17,0),0),"")</f>
        <v/>
      </c>
      <c r="V182" s="140" t="str">
        <f>IFERROR(VLOOKUP($C182,'NEW MODEL BY SES'!$C$19:$R$242,MATCH('SeS in Retail Sales Areas'!V$7,'NEW MODEL BY SES'!$C$17:$R$17,0),0),"")</f>
        <v/>
      </c>
      <c r="W182" s="141" t="str">
        <f>IFERROR(VLOOKUP($C182,'NEW MODEL BY SES'!$C$19:$R$242,MATCH('SeS in Retail Sales Areas'!W$7,'NEW MODEL BY SES'!$C$17:$R$17,0),0),"")</f>
        <v/>
      </c>
      <c r="X182" s="140" t="str">
        <f>IFERROR(VLOOKUP($C182,'NEW MODEL BY SES'!$C$19:$R$242,MATCH('SeS in Retail Sales Areas'!X$7,'NEW MODEL BY SES'!$C$17:$R$17,0),0),"")</f>
        <v/>
      </c>
      <c r="Z182" s="57"/>
    </row>
    <row r="183" spans="1:26">
      <c r="A183" t="s">
        <v>1090</v>
      </c>
      <c r="B183" s="57">
        <v>59</v>
      </c>
      <c r="C183" t="s">
        <v>1115</v>
      </c>
      <c r="D183" t="s">
        <v>44</v>
      </c>
      <c r="E183"/>
      <c r="F183" s="140" t="str">
        <f>IFERROR(VLOOKUP($C183,'NEW MODEL BY SES'!$C$19:$R$242,MATCH('SeS in Retail Sales Areas'!F$7,'NEW MODEL BY SES'!$C$17:$R$17,0),0),"")</f>
        <v/>
      </c>
      <c r="G183" s="140" t="str">
        <f>IFERROR(VLOOKUP($C183,'NEW MODEL BY SES'!$C$19:$R$242,MATCH('SeS in Retail Sales Areas'!G$7,'NEW MODEL BY SES'!$C$17:$R$17,0),0),"")</f>
        <v/>
      </c>
      <c r="H183" s="142" t="str">
        <f>IFERROR(VLOOKUP($C183,'NEW MODEL BY SES'!$C$19:$R$242,MATCH('SeS in Retail Sales Areas'!H$7,'NEW MODEL BY SES'!$C$17:$R$17,0),0),"")</f>
        <v/>
      </c>
      <c r="I183" s="140" t="str">
        <f>IFERROR(VLOOKUP($C183,'NEW MODEL BY SES'!$C$19:$R$242,MATCH('SeS in Retail Sales Areas'!I$7,'NEW MODEL BY SES'!$C$17:$R$17,0),0),"")</f>
        <v/>
      </c>
      <c r="J183" s="142" t="str">
        <f>IFERROR(VLOOKUP($C183,'NEW MODEL BY SES'!$C$19:$R$242,MATCH('SeS in Retail Sales Areas'!J$7,'NEW MODEL BY SES'!$C$17:$R$17,0),0),"")</f>
        <v/>
      </c>
      <c r="K183" s="140" t="str">
        <f>IFERROR(VLOOKUP($C183,'NEW MODEL BY SES'!$C$19:$R$242,MATCH('SeS in Retail Sales Areas'!K$7,'NEW MODEL BY SES'!$C$17:$R$17,0),0),"")</f>
        <v/>
      </c>
      <c r="L183" s="142" t="str">
        <f>IFERROR(VLOOKUP($C183,'NEW MODEL BY SES'!$C$19:$R$242,MATCH('SeS in Retail Sales Areas'!L$7,'NEW MODEL BY SES'!$C$17:$R$17,0),0),"")</f>
        <v/>
      </c>
      <c r="M183" s="140" t="str">
        <f>IFERROR(VLOOKUP($C183,'NEW MODEL BY SES'!$C$19:$R$242,MATCH('SeS in Retail Sales Areas'!M$7,'NEW MODEL BY SES'!$C$17:$R$17,0),0),"")</f>
        <v/>
      </c>
      <c r="N183" s="142" t="str">
        <f>IFERROR(VLOOKUP($C183,'NEW MODEL BY SES'!$C$19:$R$242,MATCH('SeS in Retail Sales Areas'!N$7,'NEW MODEL BY SES'!$C$17:$R$17,0),0),"")</f>
        <v/>
      </c>
      <c r="O183" s="140" t="str">
        <f>IFERROR(VLOOKUP($C183,'NEW MODEL BY SES'!$C$19:$R$242,MATCH('SeS in Retail Sales Areas'!O$7,'NEW MODEL BY SES'!$C$17:$R$17,0),0),"")</f>
        <v/>
      </c>
      <c r="P183" s="142" t="str">
        <f>IFERROR(VLOOKUP($C183,'NEW MODEL BY SES'!$C$19:$R$242,MATCH('SeS in Retail Sales Areas'!P$7,'NEW MODEL BY SES'!$C$17:$R$17,0),0),"")</f>
        <v/>
      </c>
      <c r="Q183" s="140" t="str">
        <f>IFERROR(VLOOKUP($C183,'NEW MODEL BY SES'!$C$19:$R$242,MATCH('SeS in Retail Sales Areas'!Q$7,'NEW MODEL BY SES'!$C$17:$R$17,0),0),"")</f>
        <v/>
      </c>
      <c r="R183" s="142" t="str">
        <f>IFERROR(VLOOKUP($C183,'NEW MODEL BY SES'!$C$19:$R$242,MATCH('SeS in Retail Sales Areas'!R$7,'NEW MODEL BY SES'!$C$17:$R$17,0),0),"")</f>
        <v/>
      </c>
      <c r="S183" s="141" t="str">
        <f>IFERROR(VLOOKUP($C183,'NEW MODEL BY SES'!$C$19:$R$242,MATCH('SeS in Retail Sales Areas'!S$7,'NEW MODEL BY SES'!$C$17:$R$17,0),0),"")</f>
        <v/>
      </c>
      <c r="T183" s="140" t="str">
        <f>IFERROR(VLOOKUP($C183,'NEW MODEL BY SES'!$C$19:$R$242,MATCH('SeS in Retail Sales Areas'!T$7,'NEW MODEL BY SES'!$C$17:$R$17,0),0),"")</f>
        <v/>
      </c>
      <c r="U183" s="142" t="str">
        <f>IFERROR(VLOOKUP($C183,'NEW MODEL BY SES'!$C$19:$R$242,MATCH('SeS in Retail Sales Areas'!U$7,'NEW MODEL BY SES'!$C$17:$R$17,0),0),"")</f>
        <v/>
      </c>
      <c r="V183" s="140" t="str">
        <f>IFERROR(VLOOKUP($C183,'NEW MODEL BY SES'!$C$19:$R$242,MATCH('SeS in Retail Sales Areas'!V$7,'NEW MODEL BY SES'!$C$17:$R$17,0),0),"")</f>
        <v/>
      </c>
      <c r="W183" s="141" t="str">
        <f>IFERROR(VLOOKUP($C183,'NEW MODEL BY SES'!$C$19:$R$242,MATCH('SeS in Retail Sales Areas'!W$7,'NEW MODEL BY SES'!$C$17:$R$17,0),0),"")</f>
        <v/>
      </c>
      <c r="X183" s="140" t="str">
        <f>IFERROR(VLOOKUP($C183,'NEW MODEL BY SES'!$C$19:$R$242,MATCH('SeS in Retail Sales Areas'!X$7,'NEW MODEL BY SES'!$C$17:$R$17,0),0),"")</f>
        <v/>
      </c>
      <c r="Z183" s="57"/>
    </row>
    <row r="184" spans="1:26">
      <c r="A184" t="s">
        <v>1090</v>
      </c>
      <c r="B184" s="57">
        <v>55</v>
      </c>
      <c r="C184" t="s">
        <v>1116</v>
      </c>
      <c r="D184" t="s">
        <v>44</v>
      </c>
      <c r="E184"/>
      <c r="F184" s="140" t="str">
        <f>IFERROR(VLOOKUP($C184,'NEW MODEL BY SES'!$C$19:$R$242,MATCH('SeS in Retail Sales Areas'!F$7,'NEW MODEL BY SES'!$C$17:$R$17,0),0),"")</f>
        <v/>
      </c>
      <c r="G184" s="140" t="str">
        <f>IFERROR(VLOOKUP($C184,'NEW MODEL BY SES'!$C$19:$R$242,MATCH('SeS in Retail Sales Areas'!G$7,'NEW MODEL BY SES'!$C$17:$R$17,0),0),"")</f>
        <v/>
      </c>
      <c r="H184" s="142" t="str">
        <f>IFERROR(VLOOKUP($C184,'NEW MODEL BY SES'!$C$19:$R$242,MATCH('SeS in Retail Sales Areas'!H$7,'NEW MODEL BY SES'!$C$17:$R$17,0),0),"")</f>
        <v/>
      </c>
      <c r="I184" s="140" t="str">
        <f>IFERROR(VLOOKUP($C184,'NEW MODEL BY SES'!$C$19:$R$242,MATCH('SeS in Retail Sales Areas'!I$7,'NEW MODEL BY SES'!$C$17:$R$17,0),0),"")</f>
        <v/>
      </c>
      <c r="J184" s="142" t="str">
        <f>IFERROR(VLOOKUP($C184,'NEW MODEL BY SES'!$C$19:$R$242,MATCH('SeS in Retail Sales Areas'!J$7,'NEW MODEL BY SES'!$C$17:$R$17,0),0),"")</f>
        <v/>
      </c>
      <c r="K184" s="140" t="str">
        <f>IFERROR(VLOOKUP($C184,'NEW MODEL BY SES'!$C$19:$R$242,MATCH('SeS in Retail Sales Areas'!K$7,'NEW MODEL BY SES'!$C$17:$R$17,0),0),"")</f>
        <v/>
      </c>
      <c r="L184" s="142" t="str">
        <f>IFERROR(VLOOKUP($C184,'NEW MODEL BY SES'!$C$19:$R$242,MATCH('SeS in Retail Sales Areas'!L$7,'NEW MODEL BY SES'!$C$17:$R$17,0),0),"")</f>
        <v/>
      </c>
      <c r="M184" s="140" t="str">
        <f>IFERROR(VLOOKUP($C184,'NEW MODEL BY SES'!$C$19:$R$242,MATCH('SeS in Retail Sales Areas'!M$7,'NEW MODEL BY SES'!$C$17:$R$17,0),0),"")</f>
        <v/>
      </c>
      <c r="N184" s="142" t="str">
        <f>IFERROR(VLOOKUP($C184,'NEW MODEL BY SES'!$C$19:$R$242,MATCH('SeS in Retail Sales Areas'!N$7,'NEW MODEL BY SES'!$C$17:$R$17,0),0),"")</f>
        <v/>
      </c>
      <c r="O184" s="140" t="str">
        <f>IFERROR(VLOOKUP($C184,'NEW MODEL BY SES'!$C$19:$R$242,MATCH('SeS in Retail Sales Areas'!O$7,'NEW MODEL BY SES'!$C$17:$R$17,0),0),"")</f>
        <v/>
      </c>
      <c r="P184" s="142" t="str">
        <f>IFERROR(VLOOKUP($C184,'NEW MODEL BY SES'!$C$19:$R$242,MATCH('SeS in Retail Sales Areas'!P$7,'NEW MODEL BY SES'!$C$17:$R$17,0),0),"")</f>
        <v/>
      </c>
      <c r="Q184" s="140" t="str">
        <f>IFERROR(VLOOKUP($C184,'NEW MODEL BY SES'!$C$19:$R$242,MATCH('SeS in Retail Sales Areas'!Q$7,'NEW MODEL BY SES'!$C$17:$R$17,0),0),"")</f>
        <v/>
      </c>
      <c r="R184" s="142" t="str">
        <f>IFERROR(VLOOKUP($C184,'NEW MODEL BY SES'!$C$19:$R$242,MATCH('SeS in Retail Sales Areas'!R$7,'NEW MODEL BY SES'!$C$17:$R$17,0),0),"")</f>
        <v/>
      </c>
      <c r="S184" s="141" t="str">
        <f>IFERROR(VLOOKUP($C184,'NEW MODEL BY SES'!$C$19:$R$242,MATCH('SeS in Retail Sales Areas'!S$7,'NEW MODEL BY SES'!$C$17:$R$17,0),0),"")</f>
        <v/>
      </c>
      <c r="T184" s="140" t="str">
        <f>IFERROR(VLOOKUP($C184,'NEW MODEL BY SES'!$C$19:$R$242,MATCH('SeS in Retail Sales Areas'!T$7,'NEW MODEL BY SES'!$C$17:$R$17,0),0),"")</f>
        <v/>
      </c>
      <c r="U184" s="142" t="str">
        <f>IFERROR(VLOOKUP($C184,'NEW MODEL BY SES'!$C$19:$R$242,MATCH('SeS in Retail Sales Areas'!U$7,'NEW MODEL BY SES'!$C$17:$R$17,0),0),"")</f>
        <v/>
      </c>
      <c r="V184" s="140" t="str">
        <f>IFERROR(VLOOKUP($C184,'NEW MODEL BY SES'!$C$19:$R$242,MATCH('SeS in Retail Sales Areas'!V$7,'NEW MODEL BY SES'!$C$17:$R$17,0),0),"")</f>
        <v/>
      </c>
      <c r="W184" s="141" t="str">
        <f>IFERROR(VLOOKUP($C184,'NEW MODEL BY SES'!$C$19:$R$242,MATCH('SeS in Retail Sales Areas'!W$7,'NEW MODEL BY SES'!$C$17:$R$17,0),0),"")</f>
        <v/>
      </c>
      <c r="X184" s="140" t="str">
        <f>IFERROR(VLOOKUP($C184,'NEW MODEL BY SES'!$C$19:$R$242,MATCH('SeS in Retail Sales Areas'!X$7,'NEW MODEL BY SES'!$C$17:$R$17,0),0),"")</f>
        <v/>
      </c>
      <c r="Z184" s="57"/>
    </row>
    <row r="185" spans="1:26">
      <c r="A185" t="s">
        <v>1090</v>
      </c>
      <c r="B185" s="57">
        <v>54</v>
      </c>
      <c r="C185" t="s">
        <v>1117</v>
      </c>
      <c r="D185" t="s">
        <v>44</v>
      </c>
      <c r="E185"/>
      <c r="F185" s="140" t="str">
        <f>IFERROR(VLOOKUP($C185,'NEW MODEL BY SES'!$C$19:$R$242,MATCH('SeS in Retail Sales Areas'!F$7,'NEW MODEL BY SES'!$C$17:$R$17,0),0),"")</f>
        <v/>
      </c>
      <c r="G185" s="140" t="str">
        <f>IFERROR(VLOOKUP($C185,'NEW MODEL BY SES'!$C$19:$R$242,MATCH('SeS in Retail Sales Areas'!G$7,'NEW MODEL BY SES'!$C$17:$R$17,0),0),"")</f>
        <v/>
      </c>
      <c r="H185" s="142" t="str">
        <f>IFERROR(VLOOKUP($C185,'NEW MODEL BY SES'!$C$19:$R$242,MATCH('SeS in Retail Sales Areas'!H$7,'NEW MODEL BY SES'!$C$17:$R$17,0),0),"")</f>
        <v/>
      </c>
      <c r="I185" s="140" t="str">
        <f>IFERROR(VLOOKUP($C185,'NEW MODEL BY SES'!$C$19:$R$242,MATCH('SeS in Retail Sales Areas'!I$7,'NEW MODEL BY SES'!$C$17:$R$17,0),0),"")</f>
        <v/>
      </c>
      <c r="J185" s="142" t="str">
        <f>IFERROR(VLOOKUP($C185,'NEW MODEL BY SES'!$C$19:$R$242,MATCH('SeS in Retail Sales Areas'!J$7,'NEW MODEL BY SES'!$C$17:$R$17,0),0),"")</f>
        <v/>
      </c>
      <c r="K185" s="140" t="str">
        <f>IFERROR(VLOOKUP($C185,'NEW MODEL BY SES'!$C$19:$R$242,MATCH('SeS in Retail Sales Areas'!K$7,'NEW MODEL BY SES'!$C$17:$R$17,0),0),"")</f>
        <v/>
      </c>
      <c r="L185" s="142" t="str">
        <f>IFERROR(VLOOKUP($C185,'NEW MODEL BY SES'!$C$19:$R$242,MATCH('SeS in Retail Sales Areas'!L$7,'NEW MODEL BY SES'!$C$17:$R$17,0),0),"")</f>
        <v/>
      </c>
      <c r="M185" s="140" t="str">
        <f>IFERROR(VLOOKUP($C185,'NEW MODEL BY SES'!$C$19:$R$242,MATCH('SeS in Retail Sales Areas'!M$7,'NEW MODEL BY SES'!$C$17:$R$17,0),0),"")</f>
        <v/>
      </c>
      <c r="N185" s="142" t="str">
        <f>IFERROR(VLOOKUP($C185,'NEW MODEL BY SES'!$C$19:$R$242,MATCH('SeS in Retail Sales Areas'!N$7,'NEW MODEL BY SES'!$C$17:$R$17,0),0),"")</f>
        <v/>
      </c>
      <c r="O185" s="140" t="str">
        <f>IFERROR(VLOOKUP($C185,'NEW MODEL BY SES'!$C$19:$R$242,MATCH('SeS in Retail Sales Areas'!O$7,'NEW MODEL BY SES'!$C$17:$R$17,0),0),"")</f>
        <v/>
      </c>
      <c r="P185" s="142" t="str">
        <f>IFERROR(VLOOKUP($C185,'NEW MODEL BY SES'!$C$19:$R$242,MATCH('SeS in Retail Sales Areas'!P$7,'NEW MODEL BY SES'!$C$17:$R$17,0),0),"")</f>
        <v/>
      </c>
      <c r="Q185" s="140" t="str">
        <f>IFERROR(VLOOKUP($C185,'NEW MODEL BY SES'!$C$19:$R$242,MATCH('SeS in Retail Sales Areas'!Q$7,'NEW MODEL BY SES'!$C$17:$R$17,0),0),"")</f>
        <v/>
      </c>
      <c r="R185" s="142" t="str">
        <f>IFERROR(VLOOKUP($C185,'NEW MODEL BY SES'!$C$19:$R$242,MATCH('SeS in Retail Sales Areas'!R$7,'NEW MODEL BY SES'!$C$17:$R$17,0),0),"")</f>
        <v/>
      </c>
      <c r="S185" s="141" t="str">
        <f>IFERROR(VLOOKUP($C185,'NEW MODEL BY SES'!$C$19:$R$242,MATCH('SeS in Retail Sales Areas'!S$7,'NEW MODEL BY SES'!$C$17:$R$17,0),0),"")</f>
        <v/>
      </c>
      <c r="T185" s="140" t="str">
        <f>IFERROR(VLOOKUP($C185,'NEW MODEL BY SES'!$C$19:$R$242,MATCH('SeS in Retail Sales Areas'!T$7,'NEW MODEL BY SES'!$C$17:$R$17,0),0),"")</f>
        <v/>
      </c>
      <c r="U185" s="142" t="str">
        <f>IFERROR(VLOOKUP($C185,'NEW MODEL BY SES'!$C$19:$R$242,MATCH('SeS in Retail Sales Areas'!U$7,'NEW MODEL BY SES'!$C$17:$R$17,0),0),"")</f>
        <v/>
      </c>
      <c r="V185" s="140" t="str">
        <f>IFERROR(VLOOKUP($C185,'NEW MODEL BY SES'!$C$19:$R$242,MATCH('SeS in Retail Sales Areas'!V$7,'NEW MODEL BY SES'!$C$17:$R$17,0),0),"")</f>
        <v/>
      </c>
      <c r="W185" s="141" t="str">
        <f>IFERROR(VLOOKUP($C185,'NEW MODEL BY SES'!$C$19:$R$242,MATCH('SeS in Retail Sales Areas'!W$7,'NEW MODEL BY SES'!$C$17:$R$17,0),0),"")</f>
        <v/>
      </c>
      <c r="X185" s="140" t="str">
        <f>IFERROR(VLOOKUP($C185,'NEW MODEL BY SES'!$C$19:$R$242,MATCH('SeS in Retail Sales Areas'!X$7,'NEW MODEL BY SES'!$C$17:$R$17,0),0),"")</f>
        <v/>
      </c>
      <c r="Z185" s="57"/>
    </row>
    <row r="186" spans="1:26">
      <c r="A186" t="s">
        <v>1090</v>
      </c>
      <c r="B186" s="57">
        <v>52</v>
      </c>
      <c r="C186" t="s">
        <v>1118</v>
      </c>
      <c r="D186" t="s">
        <v>44</v>
      </c>
      <c r="E186"/>
      <c r="F186" s="140" t="str">
        <f>IFERROR(VLOOKUP($C186,'NEW MODEL BY SES'!$C$19:$R$242,MATCH('SeS in Retail Sales Areas'!F$7,'NEW MODEL BY SES'!$C$17:$R$17,0),0),"")</f>
        <v/>
      </c>
      <c r="G186" s="140" t="str">
        <f>IFERROR(VLOOKUP($C186,'NEW MODEL BY SES'!$C$19:$R$242,MATCH('SeS in Retail Sales Areas'!G$7,'NEW MODEL BY SES'!$C$17:$R$17,0),0),"")</f>
        <v/>
      </c>
      <c r="H186" s="142" t="str">
        <f>IFERROR(VLOOKUP($C186,'NEW MODEL BY SES'!$C$19:$R$242,MATCH('SeS in Retail Sales Areas'!H$7,'NEW MODEL BY SES'!$C$17:$R$17,0),0),"")</f>
        <v/>
      </c>
      <c r="I186" s="140" t="str">
        <f>IFERROR(VLOOKUP($C186,'NEW MODEL BY SES'!$C$19:$R$242,MATCH('SeS in Retail Sales Areas'!I$7,'NEW MODEL BY SES'!$C$17:$R$17,0),0),"")</f>
        <v/>
      </c>
      <c r="J186" s="142" t="str">
        <f>IFERROR(VLOOKUP($C186,'NEW MODEL BY SES'!$C$19:$R$242,MATCH('SeS in Retail Sales Areas'!J$7,'NEW MODEL BY SES'!$C$17:$R$17,0),0),"")</f>
        <v/>
      </c>
      <c r="K186" s="140" t="str">
        <f>IFERROR(VLOOKUP($C186,'NEW MODEL BY SES'!$C$19:$R$242,MATCH('SeS in Retail Sales Areas'!K$7,'NEW MODEL BY SES'!$C$17:$R$17,0),0),"")</f>
        <v/>
      </c>
      <c r="L186" s="142" t="str">
        <f>IFERROR(VLOOKUP($C186,'NEW MODEL BY SES'!$C$19:$R$242,MATCH('SeS in Retail Sales Areas'!L$7,'NEW MODEL BY SES'!$C$17:$R$17,0),0),"")</f>
        <v/>
      </c>
      <c r="M186" s="140" t="str">
        <f>IFERROR(VLOOKUP($C186,'NEW MODEL BY SES'!$C$19:$R$242,MATCH('SeS in Retail Sales Areas'!M$7,'NEW MODEL BY SES'!$C$17:$R$17,0),0),"")</f>
        <v/>
      </c>
      <c r="N186" s="142" t="str">
        <f>IFERROR(VLOOKUP($C186,'NEW MODEL BY SES'!$C$19:$R$242,MATCH('SeS in Retail Sales Areas'!N$7,'NEW MODEL BY SES'!$C$17:$R$17,0),0),"")</f>
        <v/>
      </c>
      <c r="O186" s="140" t="str">
        <f>IFERROR(VLOOKUP($C186,'NEW MODEL BY SES'!$C$19:$R$242,MATCH('SeS in Retail Sales Areas'!O$7,'NEW MODEL BY SES'!$C$17:$R$17,0),0),"")</f>
        <v/>
      </c>
      <c r="P186" s="142" t="str">
        <f>IFERROR(VLOOKUP($C186,'NEW MODEL BY SES'!$C$19:$R$242,MATCH('SeS in Retail Sales Areas'!P$7,'NEW MODEL BY SES'!$C$17:$R$17,0),0),"")</f>
        <v/>
      </c>
      <c r="Q186" s="140" t="str">
        <f>IFERROR(VLOOKUP($C186,'NEW MODEL BY SES'!$C$19:$R$242,MATCH('SeS in Retail Sales Areas'!Q$7,'NEW MODEL BY SES'!$C$17:$R$17,0),0),"")</f>
        <v/>
      </c>
      <c r="R186" s="142" t="str">
        <f>IFERROR(VLOOKUP($C186,'NEW MODEL BY SES'!$C$19:$R$242,MATCH('SeS in Retail Sales Areas'!R$7,'NEW MODEL BY SES'!$C$17:$R$17,0),0),"")</f>
        <v/>
      </c>
      <c r="S186" s="141" t="str">
        <f>IFERROR(VLOOKUP($C186,'NEW MODEL BY SES'!$C$19:$R$242,MATCH('SeS in Retail Sales Areas'!S$7,'NEW MODEL BY SES'!$C$17:$R$17,0),0),"")</f>
        <v/>
      </c>
      <c r="T186" s="140" t="str">
        <f>IFERROR(VLOOKUP($C186,'NEW MODEL BY SES'!$C$19:$R$242,MATCH('SeS in Retail Sales Areas'!T$7,'NEW MODEL BY SES'!$C$17:$R$17,0),0),"")</f>
        <v/>
      </c>
      <c r="U186" s="142" t="str">
        <f>IFERROR(VLOOKUP($C186,'NEW MODEL BY SES'!$C$19:$R$242,MATCH('SeS in Retail Sales Areas'!U$7,'NEW MODEL BY SES'!$C$17:$R$17,0),0),"")</f>
        <v/>
      </c>
      <c r="V186" s="140" t="str">
        <f>IFERROR(VLOOKUP($C186,'NEW MODEL BY SES'!$C$19:$R$242,MATCH('SeS in Retail Sales Areas'!V$7,'NEW MODEL BY SES'!$C$17:$R$17,0),0),"")</f>
        <v/>
      </c>
      <c r="W186" s="141" t="str">
        <f>IFERROR(VLOOKUP($C186,'NEW MODEL BY SES'!$C$19:$R$242,MATCH('SeS in Retail Sales Areas'!W$7,'NEW MODEL BY SES'!$C$17:$R$17,0),0),"")</f>
        <v/>
      </c>
      <c r="X186" s="140" t="str">
        <f>IFERROR(VLOOKUP($C186,'NEW MODEL BY SES'!$C$19:$R$242,MATCH('SeS in Retail Sales Areas'!X$7,'NEW MODEL BY SES'!$C$17:$R$17,0),0),"")</f>
        <v/>
      </c>
      <c r="Z186" s="57"/>
    </row>
    <row r="187" spans="1:26">
      <c r="A187" t="s">
        <v>1090</v>
      </c>
      <c r="B187" s="57">
        <v>52</v>
      </c>
      <c r="C187" t="s">
        <v>1119</v>
      </c>
      <c r="D187" t="s">
        <v>44</v>
      </c>
      <c r="E187"/>
      <c r="F187" s="140" t="str">
        <f>IFERROR(VLOOKUP($C187,'NEW MODEL BY SES'!$C$19:$R$242,MATCH('SeS in Retail Sales Areas'!F$7,'NEW MODEL BY SES'!$C$17:$R$17,0),0),"")</f>
        <v/>
      </c>
      <c r="G187" s="140" t="str">
        <f>IFERROR(VLOOKUP($C187,'NEW MODEL BY SES'!$C$19:$R$242,MATCH('SeS in Retail Sales Areas'!G$7,'NEW MODEL BY SES'!$C$17:$R$17,0),0),"")</f>
        <v/>
      </c>
      <c r="H187" s="142" t="str">
        <f>IFERROR(VLOOKUP($C187,'NEW MODEL BY SES'!$C$19:$R$242,MATCH('SeS in Retail Sales Areas'!H$7,'NEW MODEL BY SES'!$C$17:$R$17,0),0),"")</f>
        <v/>
      </c>
      <c r="I187" s="140" t="str">
        <f>IFERROR(VLOOKUP($C187,'NEW MODEL BY SES'!$C$19:$R$242,MATCH('SeS in Retail Sales Areas'!I$7,'NEW MODEL BY SES'!$C$17:$R$17,0),0),"")</f>
        <v/>
      </c>
      <c r="J187" s="142" t="str">
        <f>IFERROR(VLOOKUP($C187,'NEW MODEL BY SES'!$C$19:$R$242,MATCH('SeS in Retail Sales Areas'!J$7,'NEW MODEL BY SES'!$C$17:$R$17,0),0),"")</f>
        <v/>
      </c>
      <c r="K187" s="140" t="str">
        <f>IFERROR(VLOOKUP($C187,'NEW MODEL BY SES'!$C$19:$R$242,MATCH('SeS in Retail Sales Areas'!K$7,'NEW MODEL BY SES'!$C$17:$R$17,0),0),"")</f>
        <v/>
      </c>
      <c r="L187" s="142" t="str">
        <f>IFERROR(VLOOKUP($C187,'NEW MODEL BY SES'!$C$19:$R$242,MATCH('SeS in Retail Sales Areas'!L$7,'NEW MODEL BY SES'!$C$17:$R$17,0),0),"")</f>
        <v/>
      </c>
      <c r="M187" s="140" t="str">
        <f>IFERROR(VLOOKUP($C187,'NEW MODEL BY SES'!$C$19:$R$242,MATCH('SeS in Retail Sales Areas'!M$7,'NEW MODEL BY SES'!$C$17:$R$17,0),0),"")</f>
        <v/>
      </c>
      <c r="N187" s="142" t="str">
        <f>IFERROR(VLOOKUP($C187,'NEW MODEL BY SES'!$C$19:$R$242,MATCH('SeS in Retail Sales Areas'!N$7,'NEW MODEL BY SES'!$C$17:$R$17,0),0),"")</f>
        <v/>
      </c>
      <c r="O187" s="140" t="str">
        <f>IFERROR(VLOOKUP($C187,'NEW MODEL BY SES'!$C$19:$R$242,MATCH('SeS in Retail Sales Areas'!O$7,'NEW MODEL BY SES'!$C$17:$R$17,0),0),"")</f>
        <v/>
      </c>
      <c r="P187" s="142" t="str">
        <f>IFERROR(VLOOKUP($C187,'NEW MODEL BY SES'!$C$19:$R$242,MATCH('SeS in Retail Sales Areas'!P$7,'NEW MODEL BY SES'!$C$17:$R$17,0),0),"")</f>
        <v/>
      </c>
      <c r="Q187" s="140" t="str">
        <f>IFERROR(VLOOKUP($C187,'NEW MODEL BY SES'!$C$19:$R$242,MATCH('SeS in Retail Sales Areas'!Q$7,'NEW MODEL BY SES'!$C$17:$R$17,0),0),"")</f>
        <v/>
      </c>
      <c r="R187" s="142" t="str">
        <f>IFERROR(VLOOKUP($C187,'NEW MODEL BY SES'!$C$19:$R$242,MATCH('SeS in Retail Sales Areas'!R$7,'NEW MODEL BY SES'!$C$17:$R$17,0),0),"")</f>
        <v/>
      </c>
      <c r="S187" s="141" t="str">
        <f>IFERROR(VLOOKUP($C187,'NEW MODEL BY SES'!$C$19:$R$242,MATCH('SeS in Retail Sales Areas'!S$7,'NEW MODEL BY SES'!$C$17:$R$17,0),0),"")</f>
        <v/>
      </c>
      <c r="T187" s="140" t="str">
        <f>IFERROR(VLOOKUP($C187,'NEW MODEL BY SES'!$C$19:$R$242,MATCH('SeS in Retail Sales Areas'!T$7,'NEW MODEL BY SES'!$C$17:$R$17,0),0),"")</f>
        <v/>
      </c>
      <c r="U187" s="142" t="str">
        <f>IFERROR(VLOOKUP($C187,'NEW MODEL BY SES'!$C$19:$R$242,MATCH('SeS in Retail Sales Areas'!U$7,'NEW MODEL BY SES'!$C$17:$R$17,0),0),"")</f>
        <v/>
      </c>
      <c r="V187" s="140" t="str">
        <f>IFERROR(VLOOKUP($C187,'NEW MODEL BY SES'!$C$19:$R$242,MATCH('SeS in Retail Sales Areas'!V$7,'NEW MODEL BY SES'!$C$17:$R$17,0),0),"")</f>
        <v/>
      </c>
      <c r="W187" s="141" t="str">
        <f>IFERROR(VLOOKUP($C187,'NEW MODEL BY SES'!$C$19:$R$242,MATCH('SeS in Retail Sales Areas'!W$7,'NEW MODEL BY SES'!$C$17:$R$17,0),0),"")</f>
        <v/>
      </c>
      <c r="X187" s="140" t="str">
        <f>IFERROR(VLOOKUP($C187,'NEW MODEL BY SES'!$C$19:$R$242,MATCH('SeS in Retail Sales Areas'!X$7,'NEW MODEL BY SES'!$C$17:$R$17,0),0),"")</f>
        <v/>
      </c>
      <c r="Z187" s="57"/>
    </row>
    <row r="188" spans="1:26">
      <c r="A188" t="s">
        <v>1120</v>
      </c>
      <c r="B188" s="57">
        <v>180</v>
      </c>
      <c r="C188" t="s">
        <v>1121</v>
      </c>
      <c r="D188" t="s">
        <v>33</v>
      </c>
      <c r="E188"/>
      <c r="F188" s="140" t="str">
        <f>IFERROR(VLOOKUP($C188,'NEW MODEL BY SES'!$C$19:$R$242,MATCH('SeS in Retail Sales Areas'!F$7,'NEW MODEL BY SES'!$C$17:$R$17,0),0),"")</f>
        <v/>
      </c>
      <c r="G188" s="140" t="str">
        <f>IFERROR(VLOOKUP($C188,'NEW MODEL BY SES'!$C$19:$R$242,MATCH('SeS in Retail Sales Areas'!G$7,'NEW MODEL BY SES'!$C$17:$R$17,0),0),"")</f>
        <v/>
      </c>
      <c r="H188" s="142" t="str">
        <f>IFERROR(VLOOKUP($C188,'NEW MODEL BY SES'!$C$19:$R$242,MATCH('SeS in Retail Sales Areas'!H$7,'NEW MODEL BY SES'!$C$17:$R$17,0),0),"")</f>
        <v/>
      </c>
      <c r="I188" s="140" t="str">
        <f>IFERROR(VLOOKUP($C188,'NEW MODEL BY SES'!$C$19:$R$242,MATCH('SeS in Retail Sales Areas'!I$7,'NEW MODEL BY SES'!$C$17:$R$17,0),0),"")</f>
        <v/>
      </c>
      <c r="J188" s="142" t="str">
        <f>IFERROR(VLOOKUP($C188,'NEW MODEL BY SES'!$C$19:$R$242,MATCH('SeS in Retail Sales Areas'!J$7,'NEW MODEL BY SES'!$C$17:$R$17,0),0),"")</f>
        <v/>
      </c>
      <c r="K188" s="140" t="str">
        <f>IFERROR(VLOOKUP($C188,'NEW MODEL BY SES'!$C$19:$R$242,MATCH('SeS in Retail Sales Areas'!K$7,'NEW MODEL BY SES'!$C$17:$R$17,0),0),"")</f>
        <v/>
      </c>
      <c r="L188" s="142" t="str">
        <f>IFERROR(VLOOKUP($C188,'NEW MODEL BY SES'!$C$19:$R$242,MATCH('SeS in Retail Sales Areas'!L$7,'NEW MODEL BY SES'!$C$17:$R$17,0),0),"")</f>
        <v/>
      </c>
      <c r="M188" s="140" t="str">
        <f>IFERROR(VLOOKUP($C188,'NEW MODEL BY SES'!$C$19:$R$242,MATCH('SeS in Retail Sales Areas'!M$7,'NEW MODEL BY SES'!$C$17:$R$17,0),0),"")</f>
        <v/>
      </c>
      <c r="N188" s="142" t="str">
        <f>IFERROR(VLOOKUP($C188,'NEW MODEL BY SES'!$C$19:$R$242,MATCH('SeS in Retail Sales Areas'!N$7,'NEW MODEL BY SES'!$C$17:$R$17,0),0),"")</f>
        <v/>
      </c>
      <c r="O188" s="140" t="str">
        <f>IFERROR(VLOOKUP($C188,'NEW MODEL BY SES'!$C$19:$R$242,MATCH('SeS in Retail Sales Areas'!O$7,'NEW MODEL BY SES'!$C$17:$R$17,0),0),"")</f>
        <v/>
      </c>
      <c r="P188" s="142" t="str">
        <f>IFERROR(VLOOKUP($C188,'NEW MODEL BY SES'!$C$19:$R$242,MATCH('SeS in Retail Sales Areas'!P$7,'NEW MODEL BY SES'!$C$17:$R$17,0),0),"")</f>
        <v/>
      </c>
      <c r="Q188" s="140" t="str">
        <f>IFERROR(VLOOKUP($C188,'NEW MODEL BY SES'!$C$19:$R$242,MATCH('SeS in Retail Sales Areas'!Q$7,'NEW MODEL BY SES'!$C$17:$R$17,0),0),"")</f>
        <v/>
      </c>
      <c r="R188" s="142" t="str">
        <f>IFERROR(VLOOKUP($C188,'NEW MODEL BY SES'!$C$19:$R$242,MATCH('SeS in Retail Sales Areas'!R$7,'NEW MODEL BY SES'!$C$17:$R$17,0),0),"")</f>
        <v/>
      </c>
      <c r="S188" s="141" t="str">
        <f>IFERROR(VLOOKUP($C188,'NEW MODEL BY SES'!$C$19:$R$242,MATCH('SeS in Retail Sales Areas'!S$7,'NEW MODEL BY SES'!$C$17:$R$17,0),0),"")</f>
        <v/>
      </c>
      <c r="T188" s="140" t="str">
        <f>IFERROR(VLOOKUP($C188,'NEW MODEL BY SES'!$C$19:$R$242,MATCH('SeS in Retail Sales Areas'!T$7,'NEW MODEL BY SES'!$C$17:$R$17,0),0),"")</f>
        <v/>
      </c>
      <c r="U188" s="142" t="str">
        <f>IFERROR(VLOOKUP($C188,'NEW MODEL BY SES'!$C$19:$R$242,MATCH('SeS in Retail Sales Areas'!U$7,'NEW MODEL BY SES'!$C$17:$R$17,0),0),"")</f>
        <v/>
      </c>
      <c r="V188" s="140" t="str">
        <f>IFERROR(VLOOKUP($C188,'NEW MODEL BY SES'!$C$19:$R$242,MATCH('SeS in Retail Sales Areas'!V$7,'NEW MODEL BY SES'!$C$17:$R$17,0),0),"")</f>
        <v/>
      </c>
      <c r="W188" s="141" t="str">
        <f>IFERROR(VLOOKUP($C188,'NEW MODEL BY SES'!$C$19:$R$242,MATCH('SeS in Retail Sales Areas'!W$7,'NEW MODEL BY SES'!$C$17:$R$17,0),0),"")</f>
        <v/>
      </c>
      <c r="X188" s="140" t="str">
        <f>IFERROR(VLOOKUP($C188,'NEW MODEL BY SES'!$C$19:$R$242,MATCH('SeS in Retail Sales Areas'!X$7,'NEW MODEL BY SES'!$C$17:$R$17,0),0),"")</f>
        <v/>
      </c>
      <c r="Z188" s="57"/>
    </row>
    <row r="189" spans="1:26">
      <c r="A189" t="s">
        <v>1120</v>
      </c>
      <c r="B189" s="57">
        <v>180</v>
      </c>
      <c r="C189" t="s">
        <v>1122</v>
      </c>
      <c r="D189" t="s">
        <v>33</v>
      </c>
      <c r="E189"/>
      <c r="F189" s="140" t="str">
        <f>IFERROR(VLOOKUP($C189,'NEW MODEL BY SES'!$C$19:$R$242,MATCH('SeS in Retail Sales Areas'!F$7,'NEW MODEL BY SES'!$C$17:$R$17,0),0),"")</f>
        <v/>
      </c>
      <c r="G189" s="140" t="str">
        <f>IFERROR(VLOOKUP($C189,'NEW MODEL BY SES'!$C$19:$R$242,MATCH('SeS in Retail Sales Areas'!G$7,'NEW MODEL BY SES'!$C$17:$R$17,0),0),"")</f>
        <v/>
      </c>
      <c r="H189" s="142" t="str">
        <f>IFERROR(VLOOKUP($C189,'NEW MODEL BY SES'!$C$19:$R$242,MATCH('SeS in Retail Sales Areas'!H$7,'NEW MODEL BY SES'!$C$17:$R$17,0),0),"")</f>
        <v/>
      </c>
      <c r="I189" s="140" t="str">
        <f>IFERROR(VLOOKUP($C189,'NEW MODEL BY SES'!$C$19:$R$242,MATCH('SeS in Retail Sales Areas'!I$7,'NEW MODEL BY SES'!$C$17:$R$17,0),0),"")</f>
        <v/>
      </c>
      <c r="J189" s="142" t="str">
        <f>IFERROR(VLOOKUP($C189,'NEW MODEL BY SES'!$C$19:$R$242,MATCH('SeS in Retail Sales Areas'!J$7,'NEW MODEL BY SES'!$C$17:$R$17,0),0),"")</f>
        <v/>
      </c>
      <c r="K189" s="140" t="str">
        <f>IFERROR(VLOOKUP($C189,'NEW MODEL BY SES'!$C$19:$R$242,MATCH('SeS in Retail Sales Areas'!K$7,'NEW MODEL BY SES'!$C$17:$R$17,0),0),"")</f>
        <v/>
      </c>
      <c r="L189" s="142" t="str">
        <f>IFERROR(VLOOKUP($C189,'NEW MODEL BY SES'!$C$19:$R$242,MATCH('SeS in Retail Sales Areas'!L$7,'NEW MODEL BY SES'!$C$17:$R$17,0),0),"")</f>
        <v/>
      </c>
      <c r="M189" s="140" t="str">
        <f>IFERROR(VLOOKUP($C189,'NEW MODEL BY SES'!$C$19:$R$242,MATCH('SeS in Retail Sales Areas'!M$7,'NEW MODEL BY SES'!$C$17:$R$17,0),0),"")</f>
        <v/>
      </c>
      <c r="N189" s="142" t="str">
        <f>IFERROR(VLOOKUP($C189,'NEW MODEL BY SES'!$C$19:$R$242,MATCH('SeS in Retail Sales Areas'!N$7,'NEW MODEL BY SES'!$C$17:$R$17,0),0),"")</f>
        <v/>
      </c>
      <c r="O189" s="140" t="str">
        <f>IFERROR(VLOOKUP($C189,'NEW MODEL BY SES'!$C$19:$R$242,MATCH('SeS in Retail Sales Areas'!O$7,'NEW MODEL BY SES'!$C$17:$R$17,0),0),"")</f>
        <v/>
      </c>
      <c r="P189" s="142" t="str">
        <f>IFERROR(VLOOKUP($C189,'NEW MODEL BY SES'!$C$19:$R$242,MATCH('SeS in Retail Sales Areas'!P$7,'NEW MODEL BY SES'!$C$17:$R$17,0),0),"")</f>
        <v/>
      </c>
      <c r="Q189" s="140" t="str">
        <f>IFERROR(VLOOKUP($C189,'NEW MODEL BY SES'!$C$19:$R$242,MATCH('SeS in Retail Sales Areas'!Q$7,'NEW MODEL BY SES'!$C$17:$R$17,0),0),"")</f>
        <v/>
      </c>
      <c r="R189" s="142" t="str">
        <f>IFERROR(VLOOKUP($C189,'NEW MODEL BY SES'!$C$19:$R$242,MATCH('SeS in Retail Sales Areas'!R$7,'NEW MODEL BY SES'!$C$17:$R$17,0),0),"")</f>
        <v/>
      </c>
      <c r="S189" s="141" t="str">
        <f>IFERROR(VLOOKUP($C189,'NEW MODEL BY SES'!$C$19:$R$242,MATCH('SeS in Retail Sales Areas'!S$7,'NEW MODEL BY SES'!$C$17:$R$17,0),0),"")</f>
        <v/>
      </c>
      <c r="T189" s="140" t="str">
        <f>IFERROR(VLOOKUP($C189,'NEW MODEL BY SES'!$C$19:$R$242,MATCH('SeS in Retail Sales Areas'!T$7,'NEW MODEL BY SES'!$C$17:$R$17,0),0),"")</f>
        <v/>
      </c>
      <c r="U189" s="142" t="str">
        <f>IFERROR(VLOOKUP($C189,'NEW MODEL BY SES'!$C$19:$R$242,MATCH('SeS in Retail Sales Areas'!U$7,'NEW MODEL BY SES'!$C$17:$R$17,0),0),"")</f>
        <v/>
      </c>
      <c r="V189" s="140" t="str">
        <f>IFERROR(VLOOKUP($C189,'NEW MODEL BY SES'!$C$19:$R$242,MATCH('SeS in Retail Sales Areas'!V$7,'NEW MODEL BY SES'!$C$17:$R$17,0),0),"")</f>
        <v/>
      </c>
      <c r="W189" s="141" t="str">
        <f>IFERROR(VLOOKUP($C189,'NEW MODEL BY SES'!$C$19:$R$242,MATCH('SeS in Retail Sales Areas'!W$7,'NEW MODEL BY SES'!$C$17:$R$17,0),0),"")</f>
        <v/>
      </c>
      <c r="X189" s="140" t="str">
        <f>IFERROR(VLOOKUP($C189,'NEW MODEL BY SES'!$C$19:$R$242,MATCH('SeS in Retail Sales Areas'!X$7,'NEW MODEL BY SES'!$C$17:$R$17,0),0),"")</f>
        <v/>
      </c>
      <c r="Z189" s="57"/>
    </row>
    <row r="190" spans="1:26">
      <c r="A190" t="s">
        <v>1120</v>
      </c>
      <c r="B190" s="57">
        <v>173</v>
      </c>
      <c r="C190" t="s">
        <v>1123</v>
      </c>
      <c r="D190" t="s">
        <v>33</v>
      </c>
      <c r="E190"/>
      <c r="F190" s="140" t="str">
        <f>IFERROR(VLOOKUP($C190,'NEW MODEL BY SES'!$C$19:$R$242,MATCH('SeS in Retail Sales Areas'!F$7,'NEW MODEL BY SES'!$C$17:$R$17,0),0),"")</f>
        <v/>
      </c>
      <c r="G190" s="140" t="str">
        <f>IFERROR(VLOOKUP($C190,'NEW MODEL BY SES'!$C$19:$R$242,MATCH('SeS in Retail Sales Areas'!G$7,'NEW MODEL BY SES'!$C$17:$R$17,0),0),"")</f>
        <v/>
      </c>
      <c r="H190" s="142" t="str">
        <f>IFERROR(VLOOKUP($C190,'NEW MODEL BY SES'!$C$19:$R$242,MATCH('SeS in Retail Sales Areas'!H$7,'NEW MODEL BY SES'!$C$17:$R$17,0),0),"")</f>
        <v/>
      </c>
      <c r="I190" s="140" t="str">
        <f>IFERROR(VLOOKUP($C190,'NEW MODEL BY SES'!$C$19:$R$242,MATCH('SeS in Retail Sales Areas'!I$7,'NEW MODEL BY SES'!$C$17:$R$17,0),0),"")</f>
        <v/>
      </c>
      <c r="J190" s="142" t="str">
        <f>IFERROR(VLOOKUP($C190,'NEW MODEL BY SES'!$C$19:$R$242,MATCH('SeS in Retail Sales Areas'!J$7,'NEW MODEL BY SES'!$C$17:$R$17,0),0),"")</f>
        <v/>
      </c>
      <c r="K190" s="140" t="str">
        <f>IFERROR(VLOOKUP($C190,'NEW MODEL BY SES'!$C$19:$R$242,MATCH('SeS in Retail Sales Areas'!K$7,'NEW MODEL BY SES'!$C$17:$R$17,0),0),"")</f>
        <v/>
      </c>
      <c r="L190" s="142" t="str">
        <f>IFERROR(VLOOKUP($C190,'NEW MODEL BY SES'!$C$19:$R$242,MATCH('SeS in Retail Sales Areas'!L$7,'NEW MODEL BY SES'!$C$17:$R$17,0),0),"")</f>
        <v/>
      </c>
      <c r="M190" s="140" t="str">
        <f>IFERROR(VLOOKUP($C190,'NEW MODEL BY SES'!$C$19:$R$242,MATCH('SeS in Retail Sales Areas'!M$7,'NEW MODEL BY SES'!$C$17:$R$17,0),0),"")</f>
        <v/>
      </c>
      <c r="N190" s="142" t="str">
        <f>IFERROR(VLOOKUP($C190,'NEW MODEL BY SES'!$C$19:$R$242,MATCH('SeS in Retail Sales Areas'!N$7,'NEW MODEL BY SES'!$C$17:$R$17,0),0),"")</f>
        <v/>
      </c>
      <c r="O190" s="140" t="str">
        <f>IFERROR(VLOOKUP($C190,'NEW MODEL BY SES'!$C$19:$R$242,MATCH('SeS in Retail Sales Areas'!O$7,'NEW MODEL BY SES'!$C$17:$R$17,0),0),"")</f>
        <v/>
      </c>
      <c r="P190" s="142" t="str">
        <f>IFERROR(VLOOKUP($C190,'NEW MODEL BY SES'!$C$19:$R$242,MATCH('SeS in Retail Sales Areas'!P$7,'NEW MODEL BY SES'!$C$17:$R$17,0),0),"")</f>
        <v/>
      </c>
      <c r="Q190" s="140" t="str">
        <f>IFERROR(VLOOKUP($C190,'NEW MODEL BY SES'!$C$19:$R$242,MATCH('SeS in Retail Sales Areas'!Q$7,'NEW MODEL BY SES'!$C$17:$R$17,0),0),"")</f>
        <v/>
      </c>
      <c r="R190" s="142" t="str">
        <f>IFERROR(VLOOKUP($C190,'NEW MODEL BY SES'!$C$19:$R$242,MATCH('SeS in Retail Sales Areas'!R$7,'NEW MODEL BY SES'!$C$17:$R$17,0),0),"")</f>
        <v/>
      </c>
      <c r="S190" s="141" t="str">
        <f>IFERROR(VLOOKUP($C190,'NEW MODEL BY SES'!$C$19:$R$242,MATCH('SeS in Retail Sales Areas'!S$7,'NEW MODEL BY SES'!$C$17:$R$17,0),0),"")</f>
        <v/>
      </c>
      <c r="T190" s="140" t="str">
        <f>IFERROR(VLOOKUP($C190,'NEW MODEL BY SES'!$C$19:$R$242,MATCH('SeS in Retail Sales Areas'!T$7,'NEW MODEL BY SES'!$C$17:$R$17,0),0),"")</f>
        <v/>
      </c>
      <c r="U190" s="142" t="str">
        <f>IFERROR(VLOOKUP($C190,'NEW MODEL BY SES'!$C$19:$R$242,MATCH('SeS in Retail Sales Areas'!U$7,'NEW MODEL BY SES'!$C$17:$R$17,0),0),"")</f>
        <v/>
      </c>
      <c r="V190" s="140" t="str">
        <f>IFERROR(VLOOKUP($C190,'NEW MODEL BY SES'!$C$19:$R$242,MATCH('SeS in Retail Sales Areas'!V$7,'NEW MODEL BY SES'!$C$17:$R$17,0),0),"")</f>
        <v/>
      </c>
      <c r="W190" s="141" t="str">
        <f>IFERROR(VLOOKUP($C190,'NEW MODEL BY SES'!$C$19:$R$242,MATCH('SeS in Retail Sales Areas'!W$7,'NEW MODEL BY SES'!$C$17:$R$17,0),0),"")</f>
        <v/>
      </c>
      <c r="X190" s="140" t="str">
        <f>IFERROR(VLOOKUP($C190,'NEW MODEL BY SES'!$C$19:$R$242,MATCH('SeS in Retail Sales Areas'!X$7,'NEW MODEL BY SES'!$C$17:$R$17,0),0),"")</f>
        <v/>
      </c>
      <c r="Z190" s="57"/>
    </row>
    <row r="191" spans="1:26">
      <c r="A191" t="s">
        <v>1120</v>
      </c>
      <c r="B191" s="57">
        <v>170</v>
      </c>
      <c r="C191" t="s">
        <v>1124</v>
      </c>
      <c r="D191" t="s">
        <v>33</v>
      </c>
      <c r="E191"/>
      <c r="F191" s="140" t="str">
        <f>IFERROR(VLOOKUP($C191,'NEW MODEL BY SES'!$C$19:$R$242,MATCH('SeS in Retail Sales Areas'!F$7,'NEW MODEL BY SES'!$C$17:$R$17,0),0),"")</f>
        <v/>
      </c>
      <c r="G191" s="140" t="str">
        <f>IFERROR(VLOOKUP($C191,'NEW MODEL BY SES'!$C$19:$R$242,MATCH('SeS in Retail Sales Areas'!G$7,'NEW MODEL BY SES'!$C$17:$R$17,0),0),"")</f>
        <v/>
      </c>
      <c r="H191" s="142" t="str">
        <f>IFERROR(VLOOKUP($C191,'NEW MODEL BY SES'!$C$19:$R$242,MATCH('SeS in Retail Sales Areas'!H$7,'NEW MODEL BY SES'!$C$17:$R$17,0),0),"")</f>
        <v/>
      </c>
      <c r="I191" s="140" t="str">
        <f>IFERROR(VLOOKUP($C191,'NEW MODEL BY SES'!$C$19:$R$242,MATCH('SeS in Retail Sales Areas'!I$7,'NEW MODEL BY SES'!$C$17:$R$17,0),0),"")</f>
        <v/>
      </c>
      <c r="J191" s="142" t="str">
        <f>IFERROR(VLOOKUP($C191,'NEW MODEL BY SES'!$C$19:$R$242,MATCH('SeS in Retail Sales Areas'!J$7,'NEW MODEL BY SES'!$C$17:$R$17,0),0),"")</f>
        <v/>
      </c>
      <c r="K191" s="140" t="str">
        <f>IFERROR(VLOOKUP($C191,'NEW MODEL BY SES'!$C$19:$R$242,MATCH('SeS in Retail Sales Areas'!K$7,'NEW MODEL BY SES'!$C$17:$R$17,0),0),"")</f>
        <v/>
      </c>
      <c r="L191" s="142" t="str">
        <f>IFERROR(VLOOKUP($C191,'NEW MODEL BY SES'!$C$19:$R$242,MATCH('SeS in Retail Sales Areas'!L$7,'NEW MODEL BY SES'!$C$17:$R$17,0),0),"")</f>
        <v/>
      </c>
      <c r="M191" s="140" t="str">
        <f>IFERROR(VLOOKUP($C191,'NEW MODEL BY SES'!$C$19:$R$242,MATCH('SeS in Retail Sales Areas'!M$7,'NEW MODEL BY SES'!$C$17:$R$17,0),0),"")</f>
        <v/>
      </c>
      <c r="N191" s="142" t="str">
        <f>IFERROR(VLOOKUP($C191,'NEW MODEL BY SES'!$C$19:$R$242,MATCH('SeS in Retail Sales Areas'!N$7,'NEW MODEL BY SES'!$C$17:$R$17,0),0),"")</f>
        <v/>
      </c>
      <c r="O191" s="140" t="str">
        <f>IFERROR(VLOOKUP($C191,'NEW MODEL BY SES'!$C$19:$R$242,MATCH('SeS in Retail Sales Areas'!O$7,'NEW MODEL BY SES'!$C$17:$R$17,0),0),"")</f>
        <v/>
      </c>
      <c r="P191" s="142" t="str">
        <f>IFERROR(VLOOKUP($C191,'NEW MODEL BY SES'!$C$19:$R$242,MATCH('SeS in Retail Sales Areas'!P$7,'NEW MODEL BY SES'!$C$17:$R$17,0),0),"")</f>
        <v/>
      </c>
      <c r="Q191" s="140" t="str">
        <f>IFERROR(VLOOKUP($C191,'NEW MODEL BY SES'!$C$19:$R$242,MATCH('SeS in Retail Sales Areas'!Q$7,'NEW MODEL BY SES'!$C$17:$R$17,0),0),"")</f>
        <v/>
      </c>
      <c r="R191" s="142" t="str">
        <f>IFERROR(VLOOKUP($C191,'NEW MODEL BY SES'!$C$19:$R$242,MATCH('SeS in Retail Sales Areas'!R$7,'NEW MODEL BY SES'!$C$17:$R$17,0),0),"")</f>
        <v/>
      </c>
      <c r="S191" s="141" t="str">
        <f>IFERROR(VLOOKUP($C191,'NEW MODEL BY SES'!$C$19:$R$242,MATCH('SeS in Retail Sales Areas'!S$7,'NEW MODEL BY SES'!$C$17:$R$17,0),0),"")</f>
        <v/>
      </c>
      <c r="T191" s="140" t="str">
        <f>IFERROR(VLOOKUP($C191,'NEW MODEL BY SES'!$C$19:$R$242,MATCH('SeS in Retail Sales Areas'!T$7,'NEW MODEL BY SES'!$C$17:$R$17,0),0),"")</f>
        <v/>
      </c>
      <c r="U191" s="142" t="str">
        <f>IFERROR(VLOOKUP($C191,'NEW MODEL BY SES'!$C$19:$R$242,MATCH('SeS in Retail Sales Areas'!U$7,'NEW MODEL BY SES'!$C$17:$R$17,0),0),"")</f>
        <v/>
      </c>
      <c r="V191" s="140" t="str">
        <f>IFERROR(VLOOKUP($C191,'NEW MODEL BY SES'!$C$19:$R$242,MATCH('SeS in Retail Sales Areas'!V$7,'NEW MODEL BY SES'!$C$17:$R$17,0),0),"")</f>
        <v/>
      </c>
      <c r="W191" s="141" t="str">
        <f>IFERROR(VLOOKUP($C191,'NEW MODEL BY SES'!$C$19:$R$242,MATCH('SeS in Retail Sales Areas'!W$7,'NEW MODEL BY SES'!$C$17:$R$17,0),0),"")</f>
        <v/>
      </c>
      <c r="X191" s="140" t="str">
        <f>IFERROR(VLOOKUP($C191,'NEW MODEL BY SES'!$C$19:$R$242,MATCH('SeS in Retail Sales Areas'!X$7,'NEW MODEL BY SES'!$C$17:$R$17,0),0),"")</f>
        <v/>
      </c>
      <c r="Z191" s="57"/>
    </row>
    <row r="192" spans="1:26">
      <c r="A192" t="s">
        <v>1120</v>
      </c>
      <c r="B192" s="57">
        <v>168</v>
      </c>
      <c r="C192" t="s">
        <v>1125</v>
      </c>
      <c r="D192" t="s">
        <v>33</v>
      </c>
      <c r="E192"/>
      <c r="F192" s="140" t="str">
        <f>IFERROR(VLOOKUP($C192,'NEW MODEL BY SES'!$C$19:$R$242,MATCH('SeS in Retail Sales Areas'!F$7,'NEW MODEL BY SES'!$C$17:$R$17,0),0),"")</f>
        <v/>
      </c>
      <c r="G192" s="140" t="str">
        <f>IFERROR(VLOOKUP($C192,'NEW MODEL BY SES'!$C$19:$R$242,MATCH('SeS in Retail Sales Areas'!G$7,'NEW MODEL BY SES'!$C$17:$R$17,0),0),"")</f>
        <v/>
      </c>
      <c r="H192" s="142" t="str">
        <f>IFERROR(VLOOKUP($C192,'NEW MODEL BY SES'!$C$19:$R$242,MATCH('SeS in Retail Sales Areas'!H$7,'NEW MODEL BY SES'!$C$17:$R$17,0),0),"")</f>
        <v/>
      </c>
      <c r="I192" s="140" t="str">
        <f>IFERROR(VLOOKUP($C192,'NEW MODEL BY SES'!$C$19:$R$242,MATCH('SeS in Retail Sales Areas'!I$7,'NEW MODEL BY SES'!$C$17:$R$17,0),0),"")</f>
        <v/>
      </c>
      <c r="J192" s="142" t="str">
        <f>IFERROR(VLOOKUP($C192,'NEW MODEL BY SES'!$C$19:$R$242,MATCH('SeS in Retail Sales Areas'!J$7,'NEW MODEL BY SES'!$C$17:$R$17,0),0),"")</f>
        <v/>
      </c>
      <c r="K192" s="140" t="str">
        <f>IFERROR(VLOOKUP($C192,'NEW MODEL BY SES'!$C$19:$R$242,MATCH('SeS in Retail Sales Areas'!K$7,'NEW MODEL BY SES'!$C$17:$R$17,0),0),"")</f>
        <v/>
      </c>
      <c r="L192" s="142" t="str">
        <f>IFERROR(VLOOKUP($C192,'NEW MODEL BY SES'!$C$19:$R$242,MATCH('SeS in Retail Sales Areas'!L$7,'NEW MODEL BY SES'!$C$17:$R$17,0),0),"")</f>
        <v/>
      </c>
      <c r="M192" s="140" t="str">
        <f>IFERROR(VLOOKUP($C192,'NEW MODEL BY SES'!$C$19:$R$242,MATCH('SeS in Retail Sales Areas'!M$7,'NEW MODEL BY SES'!$C$17:$R$17,0),0),"")</f>
        <v/>
      </c>
      <c r="N192" s="142" t="str">
        <f>IFERROR(VLOOKUP($C192,'NEW MODEL BY SES'!$C$19:$R$242,MATCH('SeS in Retail Sales Areas'!N$7,'NEW MODEL BY SES'!$C$17:$R$17,0),0),"")</f>
        <v/>
      </c>
      <c r="O192" s="140" t="str">
        <f>IFERROR(VLOOKUP($C192,'NEW MODEL BY SES'!$C$19:$R$242,MATCH('SeS in Retail Sales Areas'!O$7,'NEW MODEL BY SES'!$C$17:$R$17,0),0),"")</f>
        <v/>
      </c>
      <c r="P192" s="142" t="str">
        <f>IFERROR(VLOOKUP($C192,'NEW MODEL BY SES'!$C$19:$R$242,MATCH('SeS in Retail Sales Areas'!P$7,'NEW MODEL BY SES'!$C$17:$R$17,0),0),"")</f>
        <v/>
      </c>
      <c r="Q192" s="140" t="str">
        <f>IFERROR(VLOOKUP($C192,'NEW MODEL BY SES'!$C$19:$R$242,MATCH('SeS in Retail Sales Areas'!Q$7,'NEW MODEL BY SES'!$C$17:$R$17,0),0),"")</f>
        <v/>
      </c>
      <c r="R192" s="142" t="str">
        <f>IFERROR(VLOOKUP($C192,'NEW MODEL BY SES'!$C$19:$R$242,MATCH('SeS in Retail Sales Areas'!R$7,'NEW MODEL BY SES'!$C$17:$R$17,0),0),"")</f>
        <v/>
      </c>
      <c r="S192" s="141" t="str">
        <f>IFERROR(VLOOKUP($C192,'NEW MODEL BY SES'!$C$19:$R$242,MATCH('SeS in Retail Sales Areas'!S$7,'NEW MODEL BY SES'!$C$17:$R$17,0),0),"")</f>
        <v/>
      </c>
      <c r="T192" s="140" t="str">
        <f>IFERROR(VLOOKUP($C192,'NEW MODEL BY SES'!$C$19:$R$242,MATCH('SeS in Retail Sales Areas'!T$7,'NEW MODEL BY SES'!$C$17:$R$17,0),0),"")</f>
        <v/>
      </c>
      <c r="U192" s="142" t="str">
        <f>IFERROR(VLOOKUP($C192,'NEW MODEL BY SES'!$C$19:$R$242,MATCH('SeS in Retail Sales Areas'!U$7,'NEW MODEL BY SES'!$C$17:$R$17,0),0),"")</f>
        <v/>
      </c>
      <c r="V192" s="140" t="str">
        <f>IFERROR(VLOOKUP($C192,'NEW MODEL BY SES'!$C$19:$R$242,MATCH('SeS in Retail Sales Areas'!V$7,'NEW MODEL BY SES'!$C$17:$R$17,0),0),"")</f>
        <v/>
      </c>
      <c r="W192" s="141" t="str">
        <f>IFERROR(VLOOKUP($C192,'NEW MODEL BY SES'!$C$19:$R$242,MATCH('SeS in Retail Sales Areas'!W$7,'NEW MODEL BY SES'!$C$17:$R$17,0),0),"")</f>
        <v/>
      </c>
      <c r="X192" s="140" t="str">
        <f>IFERROR(VLOOKUP($C192,'NEW MODEL BY SES'!$C$19:$R$242,MATCH('SeS in Retail Sales Areas'!X$7,'NEW MODEL BY SES'!$C$17:$R$17,0),0),"")</f>
        <v/>
      </c>
      <c r="Z192" s="57"/>
    </row>
    <row r="193" spans="1:26">
      <c r="A193" t="s">
        <v>1120</v>
      </c>
      <c r="B193" s="57">
        <v>159</v>
      </c>
      <c r="C193" t="s">
        <v>1126</v>
      </c>
      <c r="D193" t="s">
        <v>38</v>
      </c>
      <c r="E193"/>
      <c r="F193" s="140" t="str">
        <f>IFERROR(VLOOKUP($C193,'NEW MODEL BY SES'!$C$19:$R$242,MATCH('SeS in Retail Sales Areas'!F$7,'NEW MODEL BY SES'!$C$17:$R$17,0),0),"")</f>
        <v/>
      </c>
      <c r="G193" s="140" t="str">
        <f>IFERROR(VLOOKUP($C193,'NEW MODEL BY SES'!$C$19:$R$242,MATCH('SeS in Retail Sales Areas'!G$7,'NEW MODEL BY SES'!$C$17:$R$17,0),0),"")</f>
        <v/>
      </c>
      <c r="H193" s="142" t="str">
        <f>IFERROR(VLOOKUP($C193,'NEW MODEL BY SES'!$C$19:$R$242,MATCH('SeS in Retail Sales Areas'!H$7,'NEW MODEL BY SES'!$C$17:$R$17,0),0),"")</f>
        <v/>
      </c>
      <c r="I193" s="140" t="str">
        <f>IFERROR(VLOOKUP($C193,'NEW MODEL BY SES'!$C$19:$R$242,MATCH('SeS in Retail Sales Areas'!I$7,'NEW MODEL BY SES'!$C$17:$R$17,0),0),"")</f>
        <v/>
      </c>
      <c r="J193" s="142" t="str">
        <f>IFERROR(VLOOKUP($C193,'NEW MODEL BY SES'!$C$19:$R$242,MATCH('SeS in Retail Sales Areas'!J$7,'NEW MODEL BY SES'!$C$17:$R$17,0),0),"")</f>
        <v/>
      </c>
      <c r="K193" s="140" t="str">
        <f>IFERROR(VLOOKUP($C193,'NEW MODEL BY SES'!$C$19:$R$242,MATCH('SeS in Retail Sales Areas'!K$7,'NEW MODEL BY SES'!$C$17:$R$17,0),0),"")</f>
        <v/>
      </c>
      <c r="L193" s="142" t="str">
        <f>IFERROR(VLOOKUP($C193,'NEW MODEL BY SES'!$C$19:$R$242,MATCH('SeS in Retail Sales Areas'!L$7,'NEW MODEL BY SES'!$C$17:$R$17,0),0),"")</f>
        <v/>
      </c>
      <c r="M193" s="140" t="str">
        <f>IFERROR(VLOOKUP($C193,'NEW MODEL BY SES'!$C$19:$R$242,MATCH('SeS in Retail Sales Areas'!M$7,'NEW MODEL BY SES'!$C$17:$R$17,0),0),"")</f>
        <v/>
      </c>
      <c r="N193" s="142" t="str">
        <f>IFERROR(VLOOKUP($C193,'NEW MODEL BY SES'!$C$19:$R$242,MATCH('SeS in Retail Sales Areas'!N$7,'NEW MODEL BY SES'!$C$17:$R$17,0),0),"")</f>
        <v/>
      </c>
      <c r="O193" s="140" t="str">
        <f>IFERROR(VLOOKUP($C193,'NEW MODEL BY SES'!$C$19:$R$242,MATCH('SeS in Retail Sales Areas'!O$7,'NEW MODEL BY SES'!$C$17:$R$17,0),0),"")</f>
        <v/>
      </c>
      <c r="P193" s="142" t="str">
        <f>IFERROR(VLOOKUP($C193,'NEW MODEL BY SES'!$C$19:$R$242,MATCH('SeS in Retail Sales Areas'!P$7,'NEW MODEL BY SES'!$C$17:$R$17,0),0),"")</f>
        <v/>
      </c>
      <c r="Q193" s="140" t="str">
        <f>IFERROR(VLOOKUP($C193,'NEW MODEL BY SES'!$C$19:$R$242,MATCH('SeS in Retail Sales Areas'!Q$7,'NEW MODEL BY SES'!$C$17:$R$17,0),0),"")</f>
        <v/>
      </c>
      <c r="R193" s="142" t="str">
        <f>IFERROR(VLOOKUP($C193,'NEW MODEL BY SES'!$C$19:$R$242,MATCH('SeS in Retail Sales Areas'!R$7,'NEW MODEL BY SES'!$C$17:$R$17,0),0),"")</f>
        <v/>
      </c>
      <c r="S193" s="141" t="str">
        <f>IFERROR(VLOOKUP($C193,'NEW MODEL BY SES'!$C$19:$R$242,MATCH('SeS in Retail Sales Areas'!S$7,'NEW MODEL BY SES'!$C$17:$R$17,0),0),"")</f>
        <v/>
      </c>
      <c r="T193" s="140" t="str">
        <f>IFERROR(VLOOKUP($C193,'NEW MODEL BY SES'!$C$19:$R$242,MATCH('SeS in Retail Sales Areas'!T$7,'NEW MODEL BY SES'!$C$17:$R$17,0),0),"")</f>
        <v/>
      </c>
      <c r="U193" s="142" t="str">
        <f>IFERROR(VLOOKUP($C193,'NEW MODEL BY SES'!$C$19:$R$242,MATCH('SeS in Retail Sales Areas'!U$7,'NEW MODEL BY SES'!$C$17:$R$17,0),0),"")</f>
        <v/>
      </c>
      <c r="V193" s="140" t="str">
        <f>IFERROR(VLOOKUP($C193,'NEW MODEL BY SES'!$C$19:$R$242,MATCH('SeS in Retail Sales Areas'!V$7,'NEW MODEL BY SES'!$C$17:$R$17,0),0),"")</f>
        <v/>
      </c>
      <c r="W193" s="141" t="str">
        <f>IFERROR(VLOOKUP($C193,'NEW MODEL BY SES'!$C$19:$R$242,MATCH('SeS in Retail Sales Areas'!W$7,'NEW MODEL BY SES'!$C$17:$R$17,0),0),"")</f>
        <v/>
      </c>
      <c r="X193" s="140" t="str">
        <f>IFERROR(VLOOKUP($C193,'NEW MODEL BY SES'!$C$19:$R$242,MATCH('SeS in Retail Sales Areas'!X$7,'NEW MODEL BY SES'!$C$17:$R$17,0),0),"")</f>
        <v/>
      </c>
      <c r="Z193" s="57"/>
    </row>
    <row r="194" spans="1:26">
      <c r="A194" t="s">
        <v>1120</v>
      </c>
      <c r="B194" s="57">
        <v>152</v>
      </c>
      <c r="C194" t="s">
        <v>1127</v>
      </c>
      <c r="D194" t="s">
        <v>38</v>
      </c>
      <c r="E194"/>
      <c r="F194" s="140" t="str">
        <f>IFERROR(VLOOKUP($C194,'NEW MODEL BY SES'!$C$19:$R$242,MATCH('SeS in Retail Sales Areas'!F$7,'NEW MODEL BY SES'!$C$17:$R$17,0),0),"")</f>
        <v/>
      </c>
      <c r="G194" s="140" t="str">
        <f>IFERROR(VLOOKUP($C194,'NEW MODEL BY SES'!$C$19:$R$242,MATCH('SeS in Retail Sales Areas'!G$7,'NEW MODEL BY SES'!$C$17:$R$17,0),0),"")</f>
        <v/>
      </c>
      <c r="H194" s="142" t="str">
        <f>IFERROR(VLOOKUP($C194,'NEW MODEL BY SES'!$C$19:$R$242,MATCH('SeS in Retail Sales Areas'!H$7,'NEW MODEL BY SES'!$C$17:$R$17,0),0),"")</f>
        <v/>
      </c>
      <c r="I194" s="140" t="str">
        <f>IFERROR(VLOOKUP($C194,'NEW MODEL BY SES'!$C$19:$R$242,MATCH('SeS in Retail Sales Areas'!I$7,'NEW MODEL BY SES'!$C$17:$R$17,0),0),"")</f>
        <v/>
      </c>
      <c r="J194" s="142" t="str">
        <f>IFERROR(VLOOKUP($C194,'NEW MODEL BY SES'!$C$19:$R$242,MATCH('SeS in Retail Sales Areas'!J$7,'NEW MODEL BY SES'!$C$17:$R$17,0),0),"")</f>
        <v/>
      </c>
      <c r="K194" s="140" t="str">
        <f>IFERROR(VLOOKUP($C194,'NEW MODEL BY SES'!$C$19:$R$242,MATCH('SeS in Retail Sales Areas'!K$7,'NEW MODEL BY SES'!$C$17:$R$17,0),0),"")</f>
        <v/>
      </c>
      <c r="L194" s="142" t="str">
        <f>IFERROR(VLOOKUP($C194,'NEW MODEL BY SES'!$C$19:$R$242,MATCH('SeS in Retail Sales Areas'!L$7,'NEW MODEL BY SES'!$C$17:$R$17,0),0),"")</f>
        <v/>
      </c>
      <c r="M194" s="140" t="str">
        <f>IFERROR(VLOOKUP($C194,'NEW MODEL BY SES'!$C$19:$R$242,MATCH('SeS in Retail Sales Areas'!M$7,'NEW MODEL BY SES'!$C$17:$R$17,0),0),"")</f>
        <v/>
      </c>
      <c r="N194" s="142" t="str">
        <f>IFERROR(VLOOKUP($C194,'NEW MODEL BY SES'!$C$19:$R$242,MATCH('SeS in Retail Sales Areas'!N$7,'NEW MODEL BY SES'!$C$17:$R$17,0),0),"")</f>
        <v/>
      </c>
      <c r="O194" s="140" t="str">
        <f>IFERROR(VLOOKUP($C194,'NEW MODEL BY SES'!$C$19:$R$242,MATCH('SeS in Retail Sales Areas'!O$7,'NEW MODEL BY SES'!$C$17:$R$17,0),0),"")</f>
        <v/>
      </c>
      <c r="P194" s="142" t="str">
        <f>IFERROR(VLOOKUP($C194,'NEW MODEL BY SES'!$C$19:$R$242,MATCH('SeS in Retail Sales Areas'!P$7,'NEW MODEL BY SES'!$C$17:$R$17,0),0),"")</f>
        <v/>
      </c>
      <c r="Q194" s="140" t="str">
        <f>IFERROR(VLOOKUP($C194,'NEW MODEL BY SES'!$C$19:$R$242,MATCH('SeS in Retail Sales Areas'!Q$7,'NEW MODEL BY SES'!$C$17:$R$17,0),0),"")</f>
        <v/>
      </c>
      <c r="R194" s="142" t="str">
        <f>IFERROR(VLOOKUP($C194,'NEW MODEL BY SES'!$C$19:$R$242,MATCH('SeS in Retail Sales Areas'!R$7,'NEW MODEL BY SES'!$C$17:$R$17,0),0),"")</f>
        <v/>
      </c>
      <c r="S194" s="141" t="str">
        <f>IFERROR(VLOOKUP($C194,'NEW MODEL BY SES'!$C$19:$R$242,MATCH('SeS in Retail Sales Areas'!S$7,'NEW MODEL BY SES'!$C$17:$R$17,0),0),"")</f>
        <v/>
      </c>
      <c r="T194" s="140" t="str">
        <f>IFERROR(VLOOKUP($C194,'NEW MODEL BY SES'!$C$19:$R$242,MATCH('SeS in Retail Sales Areas'!T$7,'NEW MODEL BY SES'!$C$17:$R$17,0),0),"")</f>
        <v/>
      </c>
      <c r="U194" s="142" t="str">
        <f>IFERROR(VLOOKUP($C194,'NEW MODEL BY SES'!$C$19:$R$242,MATCH('SeS in Retail Sales Areas'!U$7,'NEW MODEL BY SES'!$C$17:$R$17,0),0),"")</f>
        <v/>
      </c>
      <c r="V194" s="140" t="str">
        <f>IFERROR(VLOOKUP($C194,'NEW MODEL BY SES'!$C$19:$R$242,MATCH('SeS in Retail Sales Areas'!V$7,'NEW MODEL BY SES'!$C$17:$R$17,0),0),"")</f>
        <v/>
      </c>
      <c r="W194" s="141" t="str">
        <f>IFERROR(VLOOKUP($C194,'NEW MODEL BY SES'!$C$19:$R$242,MATCH('SeS in Retail Sales Areas'!W$7,'NEW MODEL BY SES'!$C$17:$R$17,0),0),"")</f>
        <v/>
      </c>
      <c r="X194" s="140" t="str">
        <f>IFERROR(VLOOKUP($C194,'NEW MODEL BY SES'!$C$19:$R$242,MATCH('SeS in Retail Sales Areas'!X$7,'NEW MODEL BY SES'!$C$17:$R$17,0),0),"")</f>
        <v/>
      </c>
      <c r="Z194" s="57"/>
    </row>
    <row r="195" spans="1:26">
      <c r="A195" t="s">
        <v>1120</v>
      </c>
      <c r="B195" s="57">
        <v>124</v>
      </c>
      <c r="C195" t="s">
        <v>1128</v>
      </c>
      <c r="D195" t="s">
        <v>38</v>
      </c>
      <c r="E195"/>
      <c r="F195" s="140" t="str">
        <f>IFERROR(VLOOKUP($C195,'NEW MODEL BY SES'!$C$19:$R$242,MATCH('SeS in Retail Sales Areas'!F$7,'NEW MODEL BY SES'!$C$17:$R$17,0),0),"")</f>
        <v/>
      </c>
      <c r="G195" s="140" t="str">
        <f>IFERROR(VLOOKUP($C195,'NEW MODEL BY SES'!$C$19:$R$242,MATCH('SeS in Retail Sales Areas'!G$7,'NEW MODEL BY SES'!$C$17:$R$17,0),0),"")</f>
        <v/>
      </c>
      <c r="H195" s="142" t="str">
        <f>IFERROR(VLOOKUP($C195,'NEW MODEL BY SES'!$C$19:$R$242,MATCH('SeS in Retail Sales Areas'!H$7,'NEW MODEL BY SES'!$C$17:$R$17,0),0),"")</f>
        <v/>
      </c>
      <c r="I195" s="140" t="str">
        <f>IFERROR(VLOOKUP($C195,'NEW MODEL BY SES'!$C$19:$R$242,MATCH('SeS in Retail Sales Areas'!I$7,'NEW MODEL BY SES'!$C$17:$R$17,0),0),"")</f>
        <v/>
      </c>
      <c r="J195" s="142" t="str">
        <f>IFERROR(VLOOKUP($C195,'NEW MODEL BY SES'!$C$19:$R$242,MATCH('SeS in Retail Sales Areas'!J$7,'NEW MODEL BY SES'!$C$17:$R$17,0),0),"")</f>
        <v/>
      </c>
      <c r="K195" s="140" t="str">
        <f>IFERROR(VLOOKUP($C195,'NEW MODEL BY SES'!$C$19:$R$242,MATCH('SeS in Retail Sales Areas'!K$7,'NEW MODEL BY SES'!$C$17:$R$17,0),0),"")</f>
        <v/>
      </c>
      <c r="L195" s="142" t="str">
        <f>IFERROR(VLOOKUP($C195,'NEW MODEL BY SES'!$C$19:$R$242,MATCH('SeS in Retail Sales Areas'!L$7,'NEW MODEL BY SES'!$C$17:$R$17,0),0),"")</f>
        <v/>
      </c>
      <c r="M195" s="140" t="str">
        <f>IFERROR(VLOOKUP($C195,'NEW MODEL BY SES'!$C$19:$R$242,MATCH('SeS in Retail Sales Areas'!M$7,'NEW MODEL BY SES'!$C$17:$R$17,0),0),"")</f>
        <v/>
      </c>
      <c r="N195" s="142" t="str">
        <f>IFERROR(VLOOKUP($C195,'NEW MODEL BY SES'!$C$19:$R$242,MATCH('SeS in Retail Sales Areas'!N$7,'NEW MODEL BY SES'!$C$17:$R$17,0),0),"")</f>
        <v/>
      </c>
      <c r="O195" s="140" t="str">
        <f>IFERROR(VLOOKUP($C195,'NEW MODEL BY SES'!$C$19:$R$242,MATCH('SeS in Retail Sales Areas'!O$7,'NEW MODEL BY SES'!$C$17:$R$17,0),0),"")</f>
        <v/>
      </c>
      <c r="P195" s="142" t="str">
        <f>IFERROR(VLOOKUP($C195,'NEW MODEL BY SES'!$C$19:$R$242,MATCH('SeS in Retail Sales Areas'!P$7,'NEW MODEL BY SES'!$C$17:$R$17,0),0),"")</f>
        <v/>
      </c>
      <c r="Q195" s="140" t="str">
        <f>IFERROR(VLOOKUP($C195,'NEW MODEL BY SES'!$C$19:$R$242,MATCH('SeS in Retail Sales Areas'!Q$7,'NEW MODEL BY SES'!$C$17:$R$17,0),0),"")</f>
        <v/>
      </c>
      <c r="R195" s="142" t="str">
        <f>IFERROR(VLOOKUP($C195,'NEW MODEL BY SES'!$C$19:$R$242,MATCH('SeS in Retail Sales Areas'!R$7,'NEW MODEL BY SES'!$C$17:$R$17,0),0),"")</f>
        <v/>
      </c>
      <c r="S195" s="141" t="str">
        <f>IFERROR(VLOOKUP($C195,'NEW MODEL BY SES'!$C$19:$R$242,MATCH('SeS in Retail Sales Areas'!S$7,'NEW MODEL BY SES'!$C$17:$R$17,0),0),"")</f>
        <v/>
      </c>
      <c r="T195" s="140" t="str">
        <f>IFERROR(VLOOKUP($C195,'NEW MODEL BY SES'!$C$19:$R$242,MATCH('SeS in Retail Sales Areas'!T$7,'NEW MODEL BY SES'!$C$17:$R$17,0),0),"")</f>
        <v/>
      </c>
      <c r="U195" s="142" t="str">
        <f>IFERROR(VLOOKUP($C195,'NEW MODEL BY SES'!$C$19:$R$242,MATCH('SeS in Retail Sales Areas'!U$7,'NEW MODEL BY SES'!$C$17:$R$17,0),0),"")</f>
        <v/>
      </c>
      <c r="V195" s="140" t="str">
        <f>IFERROR(VLOOKUP($C195,'NEW MODEL BY SES'!$C$19:$R$242,MATCH('SeS in Retail Sales Areas'!V$7,'NEW MODEL BY SES'!$C$17:$R$17,0),0),"")</f>
        <v/>
      </c>
      <c r="W195" s="141" t="str">
        <f>IFERROR(VLOOKUP($C195,'NEW MODEL BY SES'!$C$19:$R$242,MATCH('SeS in Retail Sales Areas'!W$7,'NEW MODEL BY SES'!$C$17:$R$17,0),0),"")</f>
        <v/>
      </c>
      <c r="X195" s="140" t="str">
        <f>IFERROR(VLOOKUP($C195,'NEW MODEL BY SES'!$C$19:$R$242,MATCH('SeS in Retail Sales Areas'!X$7,'NEW MODEL BY SES'!$C$17:$R$17,0),0),"")</f>
        <v/>
      </c>
      <c r="Z195" s="57"/>
    </row>
    <row r="196" spans="1:26">
      <c r="A196" t="s">
        <v>1120</v>
      </c>
      <c r="B196" s="57">
        <v>123</v>
      </c>
      <c r="C196" t="s">
        <v>1129</v>
      </c>
      <c r="D196" t="s">
        <v>40</v>
      </c>
      <c r="E196"/>
      <c r="F196" s="140" t="str">
        <f>IFERROR(VLOOKUP($C196,'NEW MODEL BY SES'!$C$19:$R$242,MATCH('SeS in Retail Sales Areas'!F$7,'NEW MODEL BY SES'!$C$17:$R$17,0),0),"")</f>
        <v/>
      </c>
      <c r="G196" s="140" t="str">
        <f>IFERROR(VLOOKUP($C196,'NEW MODEL BY SES'!$C$19:$R$242,MATCH('SeS in Retail Sales Areas'!G$7,'NEW MODEL BY SES'!$C$17:$R$17,0),0),"")</f>
        <v/>
      </c>
      <c r="H196" s="142" t="str">
        <f>IFERROR(VLOOKUP($C196,'NEW MODEL BY SES'!$C$19:$R$242,MATCH('SeS in Retail Sales Areas'!H$7,'NEW MODEL BY SES'!$C$17:$R$17,0),0),"")</f>
        <v/>
      </c>
      <c r="I196" s="140" t="str">
        <f>IFERROR(VLOOKUP($C196,'NEW MODEL BY SES'!$C$19:$R$242,MATCH('SeS in Retail Sales Areas'!I$7,'NEW MODEL BY SES'!$C$17:$R$17,0),0),"")</f>
        <v/>
      </c>
      <c r="J196" s="142" t="str">
        <f>IFERROR(VLOOKUP($C196,'NEW MODEL BY SES'!$C$19:$R$242,MATCH('SeS in Retail Sales Areas'!J$7,'NEW MODEL BY SES'!$C$17:$R$17,0),0),"")</f>
        <v/>
      </c>
      <c r="K196" s="140" t="str">
        <f>IFERROR(VLOOKUP($C196,'NEW MODEL BY SES'!$C$19:$R$242,MATCH('SeS in Retail Sales Areas'!K$7,'NEW MODEL BY SES'!$C$17:$R$17,0),0),"")</f>
        <v/>
      </c>
      <c r="L196" s="142" t="str">
        <f>IFERROR(VLOOKUP($C196,'NEW MODEL BY SES'!$C$19:$R$242,MATCH('SeS in Retail Sales Areas'!L$7,'NEW MODEL BY SES'!$C$17:$R$17,0),0),"")</f>
        <v/>
      </c>
      <c r="M196" s="140" t="str">
        <f>IFERROR(VLOOKUP($C196,'NEW MODEL BY SES'!$C$19:$R$242,MATCH('SeS in Retail Sales Areas'!M$7,'NEW MODEL BY SES'!$C$17:$R$17,0),0),"")</f>
        <v/>
      </c>
      <c r="N196" s="142" t="str">
        <f>IFERROR(VLOOKUP($C196,'NEW MODEL BY SES'!$C$19:$R$242,MATCH('SeS in Retail Sales Areas'!N$7,'NEW MODEL BY SES'!$C$17:$R$17,0),0),"")</f>
        <v/>
      </c>
      <c r="O196" s="140" t="str">
        <f>IFERROR(VLOOKUP($C196,'NEW MODEL BY SES'!$C$19:$R$242,MATCH('SeS in Retail Sales Areas'!O$7,'NEW MODEL BY SES'!$C$17:$R$17,0),0),"")</f>
        <v/>
      </c>
      <c r="P196" s="142" t="str">
        <f>IFERROR(VLOOKUP($C196,'NEW MODEL BY SES'!$C$19:$R$242,MATCH('SeS in Retail Sales Areas'!P$7,'NEW MODEL BY SES'!$C$17:$R$17,0),0),"")</f>
        <v/>
      </c>
      <c r="Q196" s="140" t="str">
        <f>IFERROR(VLOOKUP($C196,'NEW MODEL BY SES'!$C$19:$R$242,MATCH('SeS in Retail Sales Areas'!Q$7,'NEW MODEL BY SES'!$C$17:$R$17,0),0),"")</f>
        <v/>
      </c>
      <c r="R196" s="142" t="str">
        <f>IFERROR(VLOOKUP($C196,'NEW MODEL BY SES'!$C$19:$R$242,MATCH('SeS in Retail Sales Areas'!R$7,'NEW MODEL BY SES'!$C$17:$R$17,0),0),"")</f>
        <v/>
      </c>
      <c r="S196" s="141" t="str">
        <f>IFERROR(VLOOKUP($C196,'NEW MODEL BY SES'!$C$19:$R$242,MATCH('SeS in Retail Sales Areas'!S$7,'NEW MODEL BY SES'!$C$17:$R$17,0),0),"")</f>
        <v/>
      </c>
      <c r="T196" s="140" t="str">
        <f>IFERROR(VLOOKUP($C196,'NEW MODEL BY SES'!$C$19:$R$242,MATCH('SeS in Retail Sales Areas'!T$7,'NEW MODEL BY SES'!$C$17:$R$17,0),0),"")</f>
        <v/>
      </c>
      <c r="U196" s="142" t="str">
        <f>IFERROR(VLOOKUP($C196,'NEW MODEL BY SES'!$C$19:$R$242,MATCH('SeS in Retail Sales Areas'!U$7,'NEW MODEL BY SES'!$C$17:$R$17,0),0),"")</f>
        <v/>
      </c>
      <c r="V196" s="140" t="str">
        <f>IFERROR(VLOOKUP($C196,'NEW MODEL BY SES'!$C$19:$R$242,MATCH('SeS in Retail Sales Areas'!V$7,'NEW MODEL BY SES'!$C$17:$R$17,0),0),"")</f>
        <v/>
      </c>
      <c r="W196" s="141" t="str">
        <f>IFERROR(VLOOKUP($C196,'NEW MODEL BY SES'!$C$19:$R$242,MATCH('SeS in Retail Sales Areas'!W$7,'NEW MODEL BY SES'!$C$17:$R$17,0),0),"")</f>
        <v/>
      </c>
      <c r="X196" s="140" t="str">
        <f>IFERROR(VLOOKUP($C196,'NEW MODEL BY SES'!$C$19:$R$242,MATCH('SeS in Retail Sales Areas'!X$7,'NEW MODEL BY SES'!$C$17:$R$17,0),0),"")</f>
        <v/>
      </c>
      <c r="Z196" s="57"/>
    </row>
    <row r="197" spans="1:26">
      <c r="A197" t="s">
        <v>1120</v>
      </c>
      <c r="B197" s="57">
        <v>119</v>
      </c>
      <c r="C197" t="s">
        <v>1130</v>
      </c>
      <c r="D197" t="s">
        <v>40</v>
      </c>
      <c r="E197"/>
      <c r="F197" s="140" t="str">
        <f>IFERROR(VLOOKUP($C197,'NEW MODEL BY SES'!$C$19:$R$242,MATCH('SeS in Retail Sales Areas'!F$7,'NEW MODEL BY SES'!$C$17:$R$17,0),0),"")</f>
        <v/>
      </c>
      <c r="G197" s="140" t="str">
        <f>IFERROR(VLOOKUP($C197,'NEW MODEL BY SES'!$C$19:$R$242,MATCH('SeS in Retail Sales Areas'!G$7,'NEW MODEL BY SES'!$C$17:$R$17,0),0),"")</f>
        <v/>
      </c>
      <c r="H197" s="142" t="str">
        <f>IFERROR(VLOOKUP($C197,'NEW MODEL BY SES'!$C$19:$R$242,MATCH('SeS in Retail Sales Areas'!H$7,'NEW MODEL BY SES'!$C$17:$R$17,0),0),"")</f>
        <v/>
      </c>
      <c r="I197" s="140" t="str">
        <f>IFERROR(VLOOKUP($C197,'NEW MODEL BY SES'!$C$19:$R$242,MATCH('SeS in Retail Sales Areas'!I$7,'NEW MODEL BY SES'!$C$17:$R$17,0),0),"")</f>
        <v/>
      </c>
      <c r="J197" s="142" t="str">
        <f>IFERROR(VLOOKUP($C197,'NEW MODEL BY SES'!$C$19:$R$242,MATCH('SeS in Retail Sales Areas'!J$7,'NEW MODEL BY SES'!$C$17:$R$17,0),0),"")</f>
        <v/>
      </c>
      <c r="K197" s="140" t="str">
        <f>IFERROR(VLOOKUP($C197,'NEW MODEL BY SES'!$C$19:$R$242,MATCH('SeS in Retail Sales Areas'!K$7,'NEW MODEL BY SES'!$C$17:$R$17,0),0),"")</f>
        <v/>
      </c>
      <c r="L197" s="142" t="str">
        <f>IFERROR(VLOOKUP($C197,'NEW MODEL BY SES'!$C$19:$R$242,MATCH('SeS in Retail Sales Areas'!L$7,'NEW MODEL BY SES'!$C$17:$R$17,0),0),"")</f>
        <v/>
      </c>
      <c r="M197" s="140" t="str">
        <f>IFERROR(VLOOKUP($C197,'NEW MODEL BY SES'!$C$19:$R$242,MATCH('SeS in Retail Sales Areas'!M$7,'NEW MODEL BY SES'!$C$17:$R$17,0),0),"")</f>
        <v/>
      </c>
      <c r="N197" s="142" t="str">
        <f>IFERROR(VLOOKUP($C197,'NEW MODEL BY SES'!$C$19:$R$242,MATCH('SeS in Retail Sales Areas'!N$7,'NEW MODEL BY SES'!$C$17:$R$17,0),0),"")</f>
        <v/>
      </c>
      <c r="O197" s="140" t="str">
        <f>IFERROR(VLOOKUP($C197,'NEW MODEL BY SES'!$C$19:$R$242,MATCH('SeS in Retail Sales Areas'!O$7,'NEW MODEL BY SES'!$C$17:$R$17,0),0),"")</f>
        <v/>
      </c>
      <c r="P197" s="142" t="str">
        <f>IFERROR(VLOOKUP($C197,'NEW MODEL BY SES'!$C$19:$R$242,MATCH('SeS in Retail Sales Areas'!P$7,'NEW MODEL BY SES'!$C$17:$R$17,0),0),"")</f>
        <v/>
      </c>
      <c r="Q197" s="140" t="str">
        <f>IFERROR(VLOOKUP($C197,'NEW MODEL BY SES'!$C$19:$R$242,MATCH('SeS in Retail Sales Areas'!Q$7,'NEW MODEL BY SES'!$C$17:$R$17,0),0),"")</f>
        <v/>
      </c>
      <c r="R197" s="142" t="str">
        <f>IFERROR(VLOOKUP($C197,'NEW MODEL BY SES'!$C$19:$R$242,MATCH('SeS in Retail Sales Areas'!R$7,'NEW MODEL BY SES'!$C$17:$R$17,0),0),"")</f>
        <v/>
      </c>
      <c r="S197" s="141" t="str">
        <f>IFERROR(VLOOKUP($C197,'NEW MODEL BY SES'!$C$19:$R$242,MATCH('SeS in Retail Sales Areas'!S$7,'NEW MODEL BY SES'!$C$17:$R$17,0),0),"")</f>
        <v/>
      </c>
      <c r="T197" s="140" t="str">
        <f>IFERROR(VLOOKUP($C197,'NEW MODEL BY SES'!$C$19:$R$242,MATCH('SeS in Retail Sales Areas'!T$7,'NEW MODEL BY SES'!$C$17:$R$17,0),0),"")</f>
        <v/>
      </c>
      <c r="U197" s="142" t="str">
        <f>IFERROR(VLOOKUP($C197,'NEW MODEL BY SES'!$C$19:$R$242,MATCH('SeS in Retail Sales Areas'!U$7,'NEW MODEL BY SES'!$C$17:$R$17,0),0),"")</f>
        <v/>
      </c>
      <c r="V197" s="140" t="str">
        <f>IFERROR(VLOOKUP($C197,'NEW MODEL BY SES'!$C$19:$R$242,MATCH('SeS in Retail Sales Areas'!V$7,'NEW MODEL BY SES'!$C$17:$R$17,0),0),"")</f>
        <v/>
      </c>
      <c r="W197" s="141" t="str">
        <f>IFERROR(VLOOKUP($C197,'NEW MODEL BY SES'!$C$19:$R$242,MATCH('SeS in Retail Sales Areas'!W$7,'NEW MODEL BY SES'!$C$17:$R$17,0),0),"")</f>
        <v/>
      </c>
      <c r="X197" s="140" t="str">
        <f>IFERROR(VLOOKUP($C197,'NEW MODEL BY SES'!$C$19:$R$242,MATCH('SeS in Retail Sales Areas'!X$7,'NEW MODEL BY SES'!$C$17:$R$17,0),0),"")</f>
        <v/>
      </c>
      <c r="Z197" s="57"/>
    </row>
    <row r="198" spans="1:26">
      <c r="A198" t="s">
        <v>1120</v>
      </c>
      <c r="B198" s="57">
        <v>112</v>
      </c>
      <c r="C198" t="s">
        <v>1131</v>
      </c>
      <c r="D198" t="s">
        <v>40</v>
      </c>
      <c r="E198"/>
      <c r="F198" s="140" t="str">
        <f>IFERROR(VLOOKUP($C198,'NEW MODEL BY SES'!$C$19:$R$242,MATCH('SeS in Retail Sales Areas'!F$7,'NEW MODEL BY SES'!$C$17:$R$17,0),0),"")</f>
        <v/>
      </c>
      <c r="G198" s="140" t="str">
        <f>IFERROR(VLOOKUP($C198,'NEW MODEL BY SES'!$C$19:$R$242,MATCH('SeS in Retail Sales Areas'!G$7,'NEW MODEL BY SES'!$C$17:$R$17,0),0),"")</f>
        <v/>
      </c>
      <c r="H198" s="142" t="str">
        <f>IFERROR(VLOOKUP($C198,'NEW MODEL BY SES'!$C$19:$R$242,MATCH('SeS in Retail Sales Areas'!H$7,'NEW MODEL BY SES'!$C$17:$R$17,0),0),"")</f>
        <v/>
      </c>
      <c r="I198" s="140" t="str">
        <f>IFERROR(VLOOKUP($C198,'NEW MODEL BY SES'!$C$19:$R$242,MATCH('SeS in Retail Sales Areas'!I$7,'NEW MODEL BY SES'!$C$17:$R$17,0),0),"")</f>
        <v/>
      </c>
      <c r="J198" s="142" t="str">
        <f>IFERROR(VLOOKUP($C198,'NEW MODEL BY SES'!$C$19:$R$242,MATCH('SeS in Retail Sales Areas'!J$7,'NEW MODEL BY SES'!$C$17:$R$17,0),0),"")</f>
        <v/>
      </c>
      <c r="K198" s="140" t="str">
        <f>IFERROR(VLOOKUP($C198,'NEW MODEL BY SES'!$C$19:$R$242,MATCH('SeS in Retail Sales Areas'!K$7,'NEW MODEL BY SES'!$C$17:$R$17,0),0),"")</f>
        <v/>
      </c>
      <c r="L198" s="142" t="str">
        <f>IFERROR(VLOOKUP($C198,'NEW MODEL BY SES'!$C$19:$R$242,MATCH('SeS in Retail Sales Areas'!L$7,'NEW MODEL BY SES'!$C$17:$R$17,0),0),"")</f>
        <v/>
      </c>
      <c r="M198" s="140" t="str">
        <f>IFERROR(VLOOKUP($C198,'NEW MODEL BY SES'!$C$19:$R$242,MATCH('SeS in Retail Sales Areas'!M$7,'NEW MODEL BY SES'!$C$17:$R$17,0),0),"")</f>
        <v/>
      </c>
      <c r="N198" s="142" t="str">
        <f>IFERROR(VLOOKUP($C198,'NEW MODEL BY SES'!$C$19:$R$242,MATCH('SeS in Retail Sales Areas'!N$7,'NEW MODEL BY SES'!$C$17:$R$17,0),0),"")</f>
        <v/>
      </c>
      <c r="O198" s="140" t="str">
        <f>IFERROR(VLOOKUP($C198,'NEW MODEL BY SES'!$C$19:$R$242,MATCH('SeS in Retail Sales Areas'!O$7,'NEW MODEL BY SES'!$C$17:$R$17,0),0),"")</f>
        <v/>
      </c>
      <c r="P198" s="142" t="str">
        <f>IFERROR(VLOOKUP($C198,'NEW MODEL BY SES'!$C$19:$R$242,MATCH('SeS in Retail Sales Areas'!P$7,'NEW MODEL BY SES'!$C$17:$R$17,0),0),"")</f>
        <v/>
      </c>
      <c r="Q198" s="140" t="str">
        <f>IFERROR(VLOOKUP($C198,'NEW MODEL BY SES'!$C$19:$R$242,MATCH('SeS in Retail Sales Areas'!Q$7,'NEW MODEL BY SES'!$C$17:$R$17,0),0),"")</f>
        <v/>
      </c>
      <c r="R198" s="142" t="str">
        <f>IFERROR(VLOOKUP($C198,'NEW MODEL BY SES'!$C$19:$R$242,MATCH('SeS in Retail Sales Areas'!R$7,'NEW MODEL BY SES'!$C$17:$R$17,0),0),"")</f>
        <v/>
      </c>
      <c r="S198" s="141" t="str">
        <f>IFERROR(VLOOKUP($C198,'NEW MODEL BY SES'!$C$19:$R$242,MATCH('SeS in Retail Sales Areas'!S$7,'NEW MODEL BY SES'!$C$17:$R$17,0),0),"")</f>
        <v/>
      </c>
      <c r="T198" s="140" t="str">
        <f>IFERROR(VLOOKUP($C198,'NEW MODEL BY SES'!$C$19:$R$242,MATCH('SeS in Retail Sales Areas'!T$7,'NEW MODEL BY SES'!$C$17:$R$17,0),0),"")</f>
        <v/>
      </c>
      <c r="U198" s="142" t="str">
        <f>IFERROR(VLOOKUP($C198,'NEW MODEL BY SES'!$C$19:$R$242,MATCH('SeS in Retail Sales Areas'!U$7,'NEW MODEL BY SES'!$C$17:$R$17,0),0),"")</f>
        <v/>
      </c>
      <c r="V198" s="140" t="str">
        <f>IFERROR(VLOOKUP($C198,'NEW MODEL BY SES'!$C$19:$R$242,MATCH('SeS in Retail Sales Areas'!V$7,'NEW MODEL BY SES'!$C$17:$R$17,0),0),"")</f>
        <v/>
      </c>
      <c r="W198" s="141" t="str">
        <f>IFERROR(VLOOKUP($C198,'NEW MODEL BY SES'!$C$19:$R$242,MATCH('SeS in Retail Sales Areas'!W$7,'NEW MODEL BY SES'!$C$17:$R$17,0),0),"")</f>
        <v/>
      </c>
      <c r="X198" s="140" t="str">
        <f>IFERROR(VLOOKUP($C198,'NEW MODEL BY SES'!$C$19:$R$242,MATCH('SeS in Retail Sales Areas'!X$7,'NEW MODEL BY SES'!$C$17:$R$17,0),0),"")</f>
        <v/>
      </c>
      <c r="Z198" s="57"/>
    </row>
    <row r="199" spans="1:26">
      <c r="A199" t="s">
        <v>1120</v>
      </c>
      <c r="B199" s="57">
        <v>107</v>
      </c>
      <c r="C199" t="s">
        <v>1132</v>
      </c>
      <c r="D199" t="s">
        <v>40</v>
      </c>
      <c r="E199"/>
      <c r="F199" s="140" t="str">
        <f>IFERROR(VLOOKUP($C199,'NEW MODEL BY SES'!$C$19:$R$242,MATCH('SeS in Retail Sales Areas'!F$7,'NEW MODEL BY SES'!$C$17:$R$17,0),0),"")</f>
        <v/>
      </c>
      <c r="G199" s="140" t="str">
        <f>IFERROR(VLOOKUP($C199,'NEW MODEL BY SES'!$C$19:$R$242,MATCH('SeS in Retail Sales Areas'!G$7,'NEW MODEL BY SES'!$C$17:$R$17,0),0),"")</f>
        <v/>
      </c>
      <c r="H199" s="142" t="str">
        <f>IFERROR(VLOOKUP($C199,'NEW MODEL BY SES'!$C$19:$R$242,MATCH('SeS in Retail Sales Areas'!H$7,'NEW MODEL BY SES'!$C$17:$R$17,0),0),"")</f>
        <v/>
      </c>
      <c r="I199" s="140" t="str">
        <f>IFERROR(VLOOKUP($C199,'NEW MODEL BY SES'!$C$19:$R$242,MATCH('SeS in Retail Sales Areas'!I$7,'NEW MODEL BY SES'!$C$17:$R$17,0),0),"")</f>
        <v/>
      </c>
      <c r="J199" s="142" t="str">
        <f>IFERROR(VLOOKUP($C199,'NEW MODEL BY SES'!$C$19:$R$242,MATCH('SeS in Retail Sales Areas'!J$7,'NEW MODEL BY SES'!$C$17:$R$17,0),0),"")</f>
        <v/>
      </c>
      <c r="K199" s="140" t="str">
        <f>IFERROR(VLOOKUP($C199,'NEW MODEL BY SES'!$C$19:$R$242,MATCH('SeS in Retail Sales Areas'!K$7,'NEW MODEL BY SES'!$C$17:$R$17,0),0),"")</f>
        <v/>
      </c>
      <c r="L199" s="142" t="str">
        <f>IFERROR(VLOOKUP($C199,'NEW MODEL BY SES'!$C$19:$R$242,MATCH('SeS in Retail Sales Areas'!L$7,'NEW MODEL BY SES'!$C$17:$R$17,0),0),"")</f>
        <v/>
      </c>
      <c r="M199" s="140" t="str">
        <f>IFERROR(VLOOKUP($C199,'NEW MODEL BY SES'!$C$19:$R$242,MATCH('SeS in Retail Sales Areas'!M$7,'NEW MODEL BY SES'!$C$17:$R$17,0),0),"")</f>
        <v/>
      </c>
      <c r="N199" s="142" t="str">
        <f>IFERROR(VLOOKUP($C199,'NEW MODEL BY SES'!$C$19:$R$242,MATCH('SeS in Retail Sales Areas'!N$7,'NEW MODEL BY SES'!$C$17:$R$17,0),0),"")</f>
        <v/>
      </c>
      <c r="O199" s="140" t="str">
        <f>IFERROR(VLOOKUP($C199,'NEW MODEL BY SES'!$C$19:$R$242,MATCH('SeS in Retail Sales Areas'!O$7,'NEW MODEL BY SES'!$C$17:$R$17,0),0),"")</f>
        <v/>
      </c>
      <c r="P199" s="142" t="str">
        <f>IFERROR(VLOOKUP($C199,'NEW MODEL BY SES'!$C$19:$R$242,MATCH('SeS in Retail Sales Areas'!P$7,'NEW MODEL BY SES'!$C$17:$R$17,0),0),"")</f>
        <v/>
      </c>
      <c r="Q199" s="140" t="str">
        <f>IFERROR(VLOOKUP($C199,'NEW MODEL BY SES'!$C$19:$R$242,MATCH('SeS in Retail Sales Areas'!Q$7,'NEW MODEL BY SES'!$C$17:$R$17,0),0),"")</f>
        <v/>
      </c>
      <c r="R199" s="142" t="str">
        <f>IFERROR(VLOOKUP($C199,'NEW MODEL BY SES'!$C$19:$R$242,MATCH('SeS in Retail Sales Areas'!R$7,'NEW MODEL BY SES'!$C$17:$R$17,0),0),"")</f>
        <v/>
      </c>
      <c r="S199" s="141" t="str">
        <f>IFERROR(VLOOKUP($C199,'NEW MODEL BY SES'!$C$19:$R$242,MATCH('SeS in Retail Sales Areas'!S$7,'NEW MODEL BY SES'!$C$17:$R$17,0),0),"")</f>
        <v/>
      </c>
      <c r="T199" s="140" t="str">
        <f>IFERROR(VLOOKUP($C199,'NEW MODEL BY SES'!$C$19:$R$242,MATCH('SeS in Retail Sales Areas'!T$7,'NEW MODEL BY SES'!$C$17:$R$17,0),0),"")</f>
        <v/>
      </c>
      <c r="U199" s="142" t="str">
        <f>IFERROR(VLOOKUP($C199,'NEW MODEL BY SES'!$C$19:$R$242,MATCH('SeS in Retail Sales Areas'!U$7,'NEW MODEL BY SES'!$C$17:$R$17,0),0),"")</f>
        <v/>
      </c>
      <c r="V199" s="140" t="str">
        <f>IFERROR(VLOOKUP($C199,'NEW MODEL BY SES'!$C$19:$R$242,MATCH('SeS in Retail Sales Areas'!V$7,'NEW MODEL BY SES'!$C$17:$R$17,0),0),"")</f>
        <v/>
      </c>
      <c r="W199" s="141" t="str">
        <f>IFERROR(VLOOKUP($C199,'NEW MODEL BY SES'!$C$19:$R$242,MATCH('SeS in Retail Sales Areas'!W$7,'NEW MODEL BY SES'!$C$17:$R$17,0),0),"")</f>
        <v/>
      </c>
      <c r="X199" s="140" t="str">
        <f>IFERROR(VLOOKUP($C199,'NEW MODEL BY SES'!$C$19:$R$242,MATCH('SeS in Retail Sales Areas'!X$7,'NEW MODEL BY SES'!$C$17:$R$17,0),0),"")</f>
        <v/>
      </c>
      <c r="Z199" s="57"/>
    </row>
    <row r="200" spans="1:26">
      <c r="A200" t="s">
        <v>1120</v>
      </c>
      <c r="B200" s="57">
        <v>105</v>
      </c>
      <c r="C200" t="s">
        <v>1133</v>
      </c>
      <c r="D200" t="s">
        <v>40</v>
      </c>
      <c r="E200"/>
      <c r="F200" s="140" t="str">
        <f>IFERROR(VLOOKUP($C200,'NEW MODEL BY SES'!$C$19:$R$242,MATCH('SeS in Retail Sales Areas'!F$7,'NEW MODEL BY SES'!$C$17:$R$17,0),0),"")</f>
        <v/>
      </c>
      <c r="G200" s="140" t="str">
        <f>IFERROR(VLOOKUP($C200,'NEW MODEL BY SES'!$C$19:$R$242,MATCH('SeS in Retail Sales Areas'!G$7,'NEW MODEL BY SES'!$C$17:$R$17,0),0),"")</f>
        <v/>
      </c>
      <c r="H200" s="142" t="str">
        <f>IFERROR(VLOOKUP($C200,'NEW MODEL BY SES'!$C$19:$R$242,MATCH('SeS in Retail Sales Areas'!H$7,'NEW MODEL BY SES'!$C$17:$R$17,0),0),"")</f>
        <v/>
      </c>
      <c r="I200" s="140" t="str">
        <f>IFERROR(VLOOKUP($C200,'NEW MODEL BY SES'!$C$19:$R$242,MATCH('SeS in Retail Sales Areas'!I$7,'NEW MODEL BY SES'!$C$17:$R$17,0),0),"")</f>
        <v/>
      </c>
      <c r="J200" s="142" t="str">
        <f>IFERROR(VLOOKUP($C200,'NEW MODEL BY SES'!$C$19:$R$242,MATCH('SeS in Retail Sales Areas'!J$7,'NEW MODEL BY SES'!$C$17:$R$17,0),0),"")</f>
        <v/>
      </c>
      <c r="K200" s="140" t="str">
        <f>IFERROR(VLOOKUP($C200,'NEW MODEL BY SES'!$C$19:$R$242,MATCH('SeS in Retail Sales Areas'!K$7,'NEW MODEL BY SES'!$C$17:$R$17,0),0),"")</f>
        <v/>
      </c>
      <c r="L200" s="142" t="str">
        <f>IFERROR(VLOOKUP($C200,'NEW MODEL BY SES'!$C$19:$R$242,MATCH('SeS in Retail Sales Areas'!L$7,'NEW MODEL BY SES'!$C$17:$R$17,0),0),"")</f>
        <v/>
      </c>
      <c r="M200" s="140" t="str">
        <f>IFERROR(VLOOKUP($C200,'NEW MODEL BY SES'!$C$19:$R$242,MATCH('SeS in Retail Sales Areas'!M$7,'NEW MODEL BY SES'!$C$17:$R$17,0),0),"")</f>
        <v/>
      </c>
      <c r="N200" s="142" t="str">
        <f>IFERROR(VLOOKUP($C200,'NEW MODEL BY SES'!$C$19:$R$242,MATCH('SeS in Retail Sales Areas'!N$7,'NEW MODEL BY SES'!$C$17:$R$17,0),0),"")</f>
        <v/>
      </c>
      <c r="O200" s="140" t="str">
        <f>IFERROR(VLOOKUP($C200,'NEW MODEL BY SES'!$C$19:$R$242,MATCH('SeS in Retail Sales Areas'!O$7,'NEW MODEL BY SES'!$C$17:$R$17,0),0),"")</f>
        <v/>
      </c>
      <c r="P200" s="142" t="str">
        <f>IFERROR(VLOOKUP($C200,'NEW MODEL BY SES'!$C$19:$R$242,MATCH('SeS in Retail Sales Areas'!P$7,'NEW MODEL BY SES'!$C$17:$R$17,0),0),"")</f>
        <v/>
      </c>
      <c r="Q200" s="140" t="str">
        <f>IFERROR(VLOOKUP($C200,'NEW MODEL BY SES'!$C$19:$R$242,MATCH('SeS in Retail Sales Areas'!Q$7,'NEW MODEL BY SES'!$C$17:$R$17,0),0),"")</f>
        <v/>
      </c>
      <c r="R200" s="142" t="str">
        <f>IFERROR(VLOOKUP($C200,'NEW MODEL BY SES'!$C$19:$R$242,MATCH('SeS in Retail Sales Areas'!R$7,'NEW MODEL BY SES'!$C$17:$R$17,0),0),"")</f>
        <v/>
      </c>
      <c r="S200" s="141" t="str">
        <f>IFERROR(VLOOKUP($C200,'NEW MODEL BY SES'!$C$19:$R$242,MATCH('SeS in Retail Sales Areas'!S$7,'NEW MODEL BY SES'!$C$17:$R$17,0),0),"")</f>
        <v/>
      </c>
      <c r="T200" s="140" t="str">
        <f>IFERROR(VLOOKUP($C200,'NEW MODEL BY SES'!$C$19:$R$242,MATCH('SeS in Retail Sales Areas'!T$7,'NEW MODEL BY SES'!$C$17:$R$17,0),0),"")</f>
        <v/>
      </c>
      <c r="U200" s="142" t="str">
        <f>IFERROR(VLOOKUP($C200,'NEW MODEL BY SES'!$C$19:$R$242,MATCH('SeS in Retail Sales Areas'!U$7,'NEW MODEL BY SES'!$C$17:$R$17,0),0),"")</f>
        <v/>
      </c>
      <c r="V200" s="140" t="str">
        <f>IFERROR(VLOOKUP($C200,'NEW MODEL BY SES'!$C$19:$R$242,MATCH('SeS in Retail Sales Areas'!V$7,'NEW MODEL BY SES'!$C$17:$R$17,0),0),"")</f>
        <v/>
      </c>
      <c r="W200" s="141" t="str">
        <f>IFERROR(VLOOKUP($C200,'NEW MODEL BY SES'!$C$19:$R$242,MATCH('SeS in Retail Sales Areas'!W$7,'NEW MODEL BY SES'!$C$17:$R$17,0),0),"")</f>
        <v/>
      </c>
      <c r="X200" s="140" t="str">
        <f>IFERROR(VLOOKUP($C200,'NEW MODEL BY SES'!$C$19:$R$242,MATCH('SeS in Retail Sales Areas'!X$7,'NEW MODEL BY SES'!$C$17:$R$17,0),0),"")</f>
        <v/>
      </c>
      <c r="Z200" s="57"/>
    </row>
    <row r="201" spans="1:26">
      <c r="A201" t="s">
        <v>1120</v>
      </c>
      <c r="B201" s="57">
        <v>102</v>
      </c>
      <c r="C201" t="s">
        <v>1134</v>
      </c>
      <c r="D201" t="s">
        <v>40</v>
      </c>
      <c r="E201"/>
      <c r="F201" s="140" t="str">
        <f>IFERROR(VLOOKUP($C201,'NEW MODEL BY SES'!$C$19:$R$242,MATCH('SeS in Retail Sales Areas'!F$7,'NEW MODEL BY SES'!$C$17:$R$17,0),0),"")</f>
        <v/>
      </c>
      <c r="G201" s="140" t="str">
        <f>IFERROR(VLOOKUP($C201,'NEW MODEL BY SES'!$C$19:$R$242,MATCH('SeS in Retail Sales Areas'!G$7,'NEW MODEL BY SES'!$C$17:$R$17,0),0),"")</f>
        <v/>
      </c>
      <c r="H201" s="142" t="str">
        <f>IFERROR(VLOOKUP($C201,'NEW MODEL BY SES'!$C$19:$R$242,MATCH('SeS in Retail Sales Areas'!H$7,'NEW MODEL BY SES'!$C$17:$R$17,0),0),"")</f>
        <v/>
      </c>
      <c r="I201" s="140" t="str">
        <f>IFERROR(VLOOKUP($C201,'NEW MODEL BY SES'!$C$19:$R$242,MATCH('SeS in Retail Sales Areas'!I$7,'NEW MODEL BY SES'!$C$17:$R$17,0),0),"")</f>
        <v/>
      </c>
      <c r="J201" s="142" t="str">
        <f>IFERROR(VLOOKUP($C201,'NEW MODEL BY SES'!$C$19:$R$242,MATCH('SeS in Retail Sales Areas'!J$7,'NEW MODEL BY SES'!$C$17:$R$17,0),0),"")</f>
        <v/>
      </c>
      <c r="K201" s="140" t="str">
        <f>IFERROR(VLOOKUP($C201,'NEW MODEL BY SES'!$C$19:$R$242,MATCH('SeS in Retail Sales Areas'!K$7,'NEW MODEL BY SES'!$C$17:$R$17,0),0),"")</f>
        <v/>
      </c>
      <c r="L201" s="142" t="str">
        <f>IFERROR(VLOOKUP($C201,'NEW MODEL BY SES'!$C$19:$R$242,MATCH('SeS in Retail Sales Areas'!L$7,'NEW MODEL BY SES'!$C$17:$R$17,0),0),"")</f>
        <v/>
      </c>
      <c r="M201" s="140" t="str">
        <f>IFERROR(VLOOKUP($C201,'NEW MODEL BY SES'!$C$19:$R$242,MATCH('SeS in Retail Sales Areas'!M$7,'NEW MODEL BY SES'!$C$17:$R$17,0),0),"")</f>
        <v/>
      </c>
      <c r="N201" s="142" t="str">
        <f>IFERROR(VLOOKUP($C201,'NEW MODEL BY SES'!$C$19:$R$242,MATCH('SeS in Retail Sales Areas'!N$7,'NEW MODEL BY SES'!$C$17:$R$17,0),0),"")</f>
        <v/>
      </c>
      <c r="O201" s="140" t="str">
        <f>IFERROR(VLOOKUP($C201,'NEW MODEL BY SES'!$C$19:$R$242,MATCH('SeS in Retail Sales Areas'!O$7,'NEW MODEL BY SES'!$C$17:$R$17,0),0),"")</f>
        <v/>
      </c>
      <c r="P201" s="142" t="str">
        <f>IFERROR(VLOOKUP($C201,'NEW MODEL BY SES'!$C$19:$R$242,MATCH('SeS in Retail Sales Areas'!P$7,'NEW MODEL BY SES'!$C$17:$R$17,0),0),"")</f>
        <v/>
      </c>
      <c r="Q201" s="140" t="str">
        <f>IFERROR(VLOOKUP($C201,'NEW MODEL BY SES'!$C$19:$R$242,MATCH('SeS in Retail Sales Areas'!Q$7,'NEW MODEL BY SES'!$C$17:$R$17,0),0),"")</f>
        <v/>
      </c>
      <c r="R201" s="142" t="str">
        <f>IFERROR(VLOOKUP($C201,'NEW MODEL BY SES'!$C$19:$R$242,MATCH('SeS in Retail Sales Areas'!R$7,'NEW MODEL BY SES'!$C$17:$R$17,0),0),"")</f>
        <v/>
      </c>
      <c r="S201" s="141" t="str">
        <f>IFERROR(VLOOKUP($C201,'NEW MODEL BY SES'!$C$19:$R$242,MATCH('SeS in Retail Sales Areas'!S$7,'NEW MODEL BY SES'!$C$17:$R$17,0),0),"")</f>
        <v/>
      </c>
      <c r="T201" s="140" t="str">
        <f>IFERROR(VLOOKUP($C201,'NEW MODEL BY SES'!$C$19:$R$242,MATCH('SeS in Retail Sales Areas'!T$7,'NEW MODEL BY SES'!$C$17:$R$17,0),0),"")</f>
        <v/>
      </c>
      <c r="U201" s="142" t="str">
        <f>IFERROR(VLOOKUP($C201,'NEW MODEL BY SES'!$C$19:$R$242,MATCH('SeS in Retail Sales Areas'!U$7,'NEW MODEL BY SES'!$C$17:$R$17,0),0),"")</f>
        <v/>
      </c>
      <c r="V201" s="140" t="str">
        <f>IFERROR(VLOOKUP($C201,'NEW MODEL BY SES'!$C$19:$R$242,MATCH('SeS in Retail Sales Areas'!V$7,'NEW MODEL BY SES'!$C$17:$R$17,0),0),"")</f>
        <v/>
      </c>
      <c r="W201" s="141" t="str">
        <f>IFERROR(VLOOKUP($C201,'NEW MODEL BY SES'!$C$19:$R$242,MATCH('SeS in Retail Sales Areas'!W$7,'NEW MODEL BY SES'!$C$17:$R$17,0),0),"")</f>
        <v/>
      </c>
      <c r="X201" s="140" t="str">
        <f>IFERROR(VLOOKUP($C201,'NEW MODEL BY SES'!$C$19:$R$242,MATCH('SeS in Retail Sales Areas'!X$7,'NEW MODEL BY SES'!$C$17:$R$17,0),0),"")</f>
        <v/>
      </c>
      <c r="Z201" s="57"/>
    </row>
    <row r="202" spans="1:26">
      <c r="A202" t="s">
        <v>1120</v>
      </c>
      <c r="B202" s="57">
        <v>97</v>
      </c>
      <c r="C202" t="s">
        <v>1135</v>
      </c>
      <c r="D202" t="s">
        <v>40</v>
      </c>
      <c r="E202"/>
      <c r="F202" s="140" t="str">
        <f>IFERROR(VLOOKUP($C202,'NEW MODEL BY SES'!$C$19:$R$242,MATCH('SeS in Retail Sales Areas'!F$7,'NEW MODEL BY SES'!$C$17:$R$17,0),0),"")</f>
        <v/>
      </c>
      <c r="G202" s="140" t="str">
        <f>IFERROR(VLOOKUP($C202,'NEW MODEL BY SES'!$C$19:$R$242,MATCH('SeS in Retail Sales Areas'!G$7,'NEW MODEL BY SES'!$C$17:$R$17,0),0),"")</f>
        <v/>
      </c>
      <c r="H202" s="142" t="str">
        <f>IFERROR(VLOOKUP($C202,'NEW MODEL BY SES'!$C$19:$R$242,MATCH('SeS in Retail Sales Areas'!H$7,'NEW MODEL BY SES'!$C$17:$R$17,0),0),"")</f>
        <v/>
      </c>
      <c r="I202" s="140" t="str">
        <f>IFERROR(VLOOKUP($C202,'NEW MODEL BY SES'!$C$19:$R$242,MATCH('SeS in Retail Sales Areas'!I$7,'NEW MODEL BY SES'!$C$17:$R$17,0),0),"")</f>
        <v/>
      </c>
      <c r="J202" s="142" t="str">
        <f>IFERROR(VLOOKUP($C202,'NEW MODEL BY SES'!$C$19:$R$242,MATCH('SeS in Retail Sales Areas'!J$7,'NEW MODEL BY SES'!$C$17:$R$17,0),0),"")</f>
        <v/>
      </c>
      <c r="K202" s="140" t="str">
        <f>IFERROR(VLOOKUP($C202,'NEW MODEL BY SES'!$C$19:$R$242,MATCH('SeS in Retail Sales Areas'!K$7,'NEW MODEL BY SES'!$C$17:$R$17,0),0),"")</f>
        <v/>
      </c>
      <c r="L202" s="142" t="str">
        <f>IFERROR(VLOOKUP($C202,'NEW MODEL BY SES'!$C$19:$R$242,MATCH('SeS in Retail Sales Areas'!L$7,'NEW MODEL BY SES'!$C$17:$R$17,0),0),"")</f>
        <v/>
      </c>
      <c r="M202" s="140" t="str">
        <f>IFERROR(VLOOKUP($C202,'NEW MODEL BY SES'!$C$19:$R$242,MATCH('SeS in Retail Sales Areas'!M$7,'NEW MODEL BY SES'!$C$17:$R$17,0),0),"")</f>
        <v/>
      </c>
      <c r="N202" s="142" t="str">
        <f>IFERROR(VLOOKUP($C202,'NEW MODEL BY SES'!$C$19:$R$242,MATCH('SeS in Retail Sales Areas'!N$7,'NEW MODEL BY SES'!$C$17:$R$17,0),0),"")</f>
        <v/>
      </c>
      <c r="O202" s="140" t="str">
        <f>IFERROR(VLOOKUP($C202,'NEW MODEL BY SES'!$C$19:$R$242,MATCH('SeS in Retail Sales Areas'!O$7,'NEW MODEL BY SES'!$C$17:$R$17,0),0),"")</f>
        <v/>
      </c>
      <c r="P202" s="142" t="str">
        <f>IFERROR(VLOOKUP($C202,'NEW MODEL BY SES'!$C$19:$R$242,MATCH('SeS in Retail Sales Areas'!P$7,'NEW MODEL BY SES'!$C$17:$R$17,0),0),"")</f>
        <v/>
      </c>
      <c r="Q202" s="140" t="str">
        <f>IFERROR(VLOOKUP($C202,'NEW MODEL BY SES'!$C$19:$R$242,MATCH('SeS in Retail Sales Areas'!Q$7,'NEW MODEL BY SES'!$C$17:$R$17,0),0),"")</f>
        <v/>
      </c>
      <c r="R202" s="142" t="str">
        <f>IFERROR(VLOOKUP($C202,'NEW MODEL BY SES'!$C$19:$R$242,MATCH('SeS in Retail Sales Areas'!R$7,'NEW MODEL BY SES'!$C$17:$R$17,0),0),"")</f>
        <v/>
      </c>
      <c r="S202" s="141" t="str">
        <f>IFERROR(VLOOKUP($C202,'NEW MODEL BY SES'!$C$19:$R$242,MATCH('SeS in Retail Sales Areas'!S$7,'NEW MODEL BY SES'!$C$17:$R$17,0),0),"")</f>
        <v/>
      </c>
      <c r="T202" s="140" t="str">
        <f>IFERROR(VLOOKUP($C202,'NEW MODEL BY SES'!$C$19:$R$242,MATCH('SeS in Retail Sales Areas'!T$7,'NEW MODEL BY SES'!$C$17:$R$17,0),0),"")</f>
        <v/>
      </c>
      <c r="U202" s="142" t="str">
        <f>IFERROR(VLOOKUP($C202,'NEW MODEL BY SES'!$C$19:$R$242,MATCH('SeS in Retail Sales Areas'!U$7,'NEW MODEL BY SES'!$C$17:$R$17,0),0),"")</f>
        <v/>
      </c>
      <c r="V202" s="140" t="str">
        <f>IFERROR(VLOOKUP($C202,'NEW MODEL BY SES'!$C$19:$R$242,MATCH('SeS in Retail Sales Areas'!V$7,'NEW MODEL BY SES'!$C$17:$R$17,0),0),"")</f>
        <v/>
      </c>
      <c r="W202" s="141" t="str">
        <f>IFERROR(VLOOKUP($C202,'NEW MODEL BY SES'!$C$19:$R$242,MATCH('SeS in Retail Sales Areas'!W$7,'NEW MODEL BY SES'!$C$17:$R$17,0),0),"")</f>
        <v/>
      </c>
      <c r="X202" s="140" t="str">
        <f>IFERROR(VLOOKUP($C202,'NEW MODEL BY SES'!$C$19:$R$242,MATCH('SeS in Retail Sales Areas'!X$7,'NEW MODEL BY SES'!$C$17:$R$17,0),0),"")</f>
        <v/>
      </c>
      <c r="Z202" s="57"/>
    </row>
    <row r="203" spans="1:26">
      <c r="A203" t="s">
        <v>1120</v>
      </c>
      <c r="B203" s="57">
        <v>88</v>
      </c>
      <c r="C203" t="s">
        <v>1136</v>
      </c>
      <c r="D203" t="s">
        <v>40</v>
      </c>
      <c r="E203"/>
      <c r="F203" s="140" t="str">
        <f>IFERROR(VLOOKUP($C203,'NEW MODEL BY SES'!$C$19:$R$242,MATCH('SeS in Retail Sales Areas'!F$7,'NEW MODEL BY SES'!$C$17:$R$17,0),0),"")</f>
        <v/>
      </c>
      <c r="G203" s="140" t="str">
        <f>IFERROR(VLOOKUP($C203,'NEW MODEL BY SES'!$C$19:$R$242,MATCH('SeS in Retail Sales Areas'!G$7,'NEW MODEL BY SES'!$C$17:$R$17,0),0),"")</f>
        <v/>
      </c>
      <c r="H203" s="142" t="str">
        <f>IFERROR(VLOOKUP($C203,'NEW MODEL BY SES'!$C$19:$R$242,MATCH('SeS in Retail Sales Areas'!H$7,'NEW MODEL BY SES'!$C$17:$R$17,0),0),"")</f>
        <v/>
      </c>
      <c r="I203" s="140" t="str">
        <f>IFERROR(VLOOKUP($C203,'NEW MODEL BY SES'!$C$19:$R$242,MATCH('SeS in Retail Sales Areas'!I$7,'NEW MODEL BY SES'!$C$17:$R$17,0),0),"")</f>
        <v/>
      </c>
      <c r="J203" s="142" t="str">
        <f>IFERROR(VLOOKUP($C203,'NEW MODEL BY SES'!$C$19:$R$242,MATCH('SeS in Retail Sales Areas'!J$7,'NEW MODEL BY SES'!$C$17:$R$17,0),0),"")</f>
        <v/>
      </c>
      <c r="K203" s="140" t="str">
        <f>IFERROR(VLOOKUP($C203,'NEW MODEL BY SES'!$C$19:$R$242,MATCH('SeS in Retail Sales Areas'!K$7,'NEW MODEL BY SES'!$C$17:$R$17,0),0),"")</f>
        <v/>
      </c>
      <c r="L203" s="142" t="str">
        <f>IFERROR(VLOOKUP($C203,'NEW MODEL BY SES'!$C$19:$R$242,MATCH('SeS in Retail Sales Areas'!L$7,'NEW MODEL BY SES'!$C$17:$R$17,0),0),"")</f>
        <v/>
      </c>
      <c r="M203" s="140" t="str">
        <f>IFERROR(VLOOKUP($C203,'NEW MODEL BY SES'!$C$19:$R$242,MATCH('SeS in Retail Sales Areas'!M$7,'NEW MODEL BY SES'!$C$17:$R$17,0),0),"")</f>
        <v/>
      </c>
      <c r="N203" s="142" t="str">
        <f>IFERROR(VLOOKUP($C203,'NEW MODEL BY SES'!$C$19:$R$242,MATCH('SeS in Retail Sales Areas'!N$7,'NEW MODEL BY SES'!$C$17:$R$17,0),0),"")</f>
        <v/>
      </c>
      <c r="O203" s="140" t="str">
        <f>IFERROR(VLOOKUP($C203,'NEW MODEL BY SES'!$C$19:$R$242,MATCH('SeS in Retail Sales Areas'!O$7,'NEW MODEL BY SES'!$C$17:$R$17,0),0),"")</f>
        <v/>
      </c>
      <c r="P203" s="142" t="str">
        <f>IFERROR(VLOOKUP($C203,'NEW MODEL BY SES'!$C$19:$R$242,MATCH('SeS in Retail Sales Areas'!P$7,'NEW MODEL BY SES'!$C$17:$R$17,0),0),"")</f>
        <v/>
      </c>
      <c r="Q203" s="140" t="str">
        <f>IFERROR(VLOOKUP($C203,'NEW MODEL BY SES'!$C$19:$R$242,MATCH('SeS in Retail Sales Areas'!Q$7,'NEW MODEL BY SES'!$C$17:$R$17,0),0),"")</f>
        <v/>
      </c>
      <c r="R203" s="142" t="str">
        <f>IFERROR(VLOOKUP($C203,'NEW MODEL BY SES'!$C$19:$R$242,MATCH('SeS in Retail Sales Areas'!R$7,'NEW MODEL BY SES'!$C$17:$R$17,0),0),"")</f>
        <v/>
      </c>
      <c r="S203" s="141" t="str">
        <f>IFERROR(VLOOKUP($C203,'NEW MODEL BY SES'!$C$19:$R$242,MATCH('SeS in Retail Sales Areas'!S$7,'NEW MODEL BY SES'!$C$17:$R$17,0),0),"")</f>
        <v/>
      </c>
      <c r="T203" s="140" t="str">
        <f>IFERROR(VLOOKUP($C203,'NEW MODEL BY SES'!$C$19:$R$242,MATCH('SeS in Retail Sales Areas'!T$7,'NEW MODEL BY SES'!$C$17:$R$17,0),0),"")</f>
        <v/>
      </c>
      <c r="U203" s="142" t="str">
        <f>IFERROR(VLOOKUP($C203,'NEW MODEL BY SES'!$C$19:$R$242,MATCH('SeS in Retail Sales Areas'!U$7,'NEW MODEL BY SES'!$C$17:$R$17,0),0),"")</f>
        <v/>
      </c>
      <c r="V203" s="140" t="str">
        <f>IFERROR(VLOOKUP($C203,'NEW MODEL BY SES'!$C$19:$R$242,MATCH('SeS in Retail Sales Areas'!V$7,'NEW MODEL BY SES'!$C$17:$R$17,0),0),"")</f>
        <v/>
      </c>
      <c r="W203" s="141" t="str">
        <f>IFERROR(VLOOKUP($C203,'NEW MODEL BY SES'!$C$19:$R$242,MATCH('SeS in Retail Sales Areas'!W$7,'NEW MODEL BY SES'!$C$17:$R$17,0),0),"")</f>
        <v/>
      </c>
      <c r="X203" s="140" t="str">
        <f>IFERROR(VLOOKUP($C203,'NEW MODEL BY SES'!$C$19:$R$242,MATCH('SeS in Retail Sales Areas'!X$7,'NEW MODEL BY SES'!$C$17:$R$17,0),0),"")</f>
        <v/>
      </c>
      <c r="Z203" s="57"/>
    </row>
    <row r="204" spans="1:26">
      <c r="A204" t="s">
        <v>1120</v>
      </c>
      <c r="B204" s="57">
        <v>87</v>
      </c>
      <c r="C204" t="s">
        <v>1137</v>
      </c>
      <c r="D204" t="s">
        <v>40</v>
      </c>
      <c r="E204"/>
      <c r="F204" s="140" t="str">
        <f>IFERROR(VLOOKUP($C204,'NEW MODEL BY SES'!$C$19:$R$242,MATCH('SeS in Retail Sales Areas'!F$7,'NEW MODEL BY SES'!$C$17:$R$17,0),0),"")</f>
        <v/>
      </c>
      <c r="G204" s="140" t="str">
        <f>IFERROR(VLOOKUP($C204,'NEW MODEL BY SES'!$C$19:$R$242,MATCH('SeS in Retail Sales Areas'!G$7,'NEW MODEL BY SES'!$C$17:$R$17,0),0),"")</f>
        <v/>
      </c>
      <c r="H204" s="142" t="str">
        <f>IFERROR(VLOOKUP($C204,'NEW MODEL BY SES'!$C$19:$R$242,MATCH('SeS in Retail Sales Areas'!H$7,'NEW MODEL BY SES'!$C$17:$R$17,0),0),"")</f>
        <v/>
      </c>
      <c r="I204" s="140" t="str">
        <f>IFERROR(VLOOKUP($C204,'NEW MODEL BY SES'!$C$19:$R$242,MATCH('SeS in Retail Sales Areas'!I$7,'NEW MODEL BY SES'!$C$17:$R$17,0),0),"")</f>
        <v/>
      </c>
      <c r="J204" s="142" t="str">
        <f>IFERROR(VLOOKUP($C204,'NEW MODEL BY SES'!$C$19:$R$242,MATCH('SeS in Retail Sales Areas'!J$7,'NEW MODEL BY SES'!$C$17:$R$17,0),0),"")</f>
        <v/>
      </c>
      <c r="K204" s="140" t="str">
        <f>IFERROR(VLOOKUP($C204,'NEW MODEL BY SES'!$C$19:$R$242,MATCH('SeS in Retail Sales Areas'!K$7,'NEW MODEL BY SES'!$C$17:$R$17,0),0),"")</f>
        <v/>
      </c>
      <c r="L204" s="142" t="str">
        <f>IFERROR(VLOOKUP($C204,'NEW MODEL BY SES'!$C$19:$R$242,MATCH('SeS in Retail Sales Areas'!L$7,'NEW MODEL BY SES'!$C$17:$R$17,0),0),"")</f>
        <v/>
      </c>
      <c r="M204" s="140" t="str">
        <f>IFERROR(VLOOKUP($C204,'NEW MODEL BY SES'!$C$19:$R$242,MATCH('SeS in Retail Sales Areas'!M$7,'NEW MODEL BY SES'!$C$17:$R$17,0),0),"")</f>
        <v/>
      </c>
      <c r="N204" s="142" t="str">
        <f>IFERROR(VLOOKUP($C204,'NEW MODEL BY SES'!$C$19:$R$242,MATCH('SeS in Retail Sales Areas'!N$7,'NEW MODEL BY SES'!$C$17:$R$17,0),0),"")</f>
        <v/>
      </c>
      <c r="O204" s="140" t="str">
        <f>IFERROR(VLOOKUP($C204,'NEW MODEL BY SES'!$C$19:$R$242,MATCH('SeS in Retail Sales Areas'!O$7,'NEW MODEL BY SES'!$C$17:$R$17,0),0),"")</f>
        <v/>
      </c>
      <c r="P204" s="142" t="str">
        <f>IFERROR(VLOOKUP($C204,'NEW MODEL BY SES'!$C$19:$R$242,MATCH('SeS in Retail Sales Areas'!P$7,'NEW MODEL BY SES'!$C$17:$R$17,0),0),"")</f>
        <v/>
      </c>
      <c r="Q204" s="140" t="str">
        <f>IFERROR(VLOOKUP($C204,'NEW MODEL BY SES'!$C$19:$R$242,MATCH('SeS in Retail Sales Areas'!Q$7,'NEW MODEL BY SES'!$C$17:$R$17,0),0),"")</f>
        <v/>
      </c>
      <c r="R204" s="142" t="str">
        <f>IFERROR(VLOOKUP($C204,'NEW MODEL BY SES'!$C$19:$R$242,MATCH('SeS in Retail Sales Areas'!R$7,'NEW MODEL BY SES'!$C$17:$R$17,0),0),"")</f>
        <v/>
      </c>
      <c r="S204" s="141" t="str">
        <f>IFERROR(VLOOKUP($C204,'NEW MODEL BY SES'!$C$19:$R$242,MATCH('SeS in Retail Sales Areas'!S$7,'NEW MODEL BY SES'!$C$17:$R$17,0),0),"")</f>
        <v/>
      </c>
      <c r="T204" s="140" t="str">
        <f>IFERROR(VLOOKUP($C204,'NEW MODEL BY SES'!$C$19:$R$242,MATCH('SeS in Retail Sales Areas'!T$7,'NEW MODEL BY SES'!$C$17:$R$17,0),0),"")</f>
        <v/>
      </c>
      <c r="U204" s="142" t="str">
        <f>IFERROR(VLOOKUP($C204,'NEW MODEL BY SES'!$C$19:$R$242,MATCH('SeS in Retail Sales Areas'!U$7,'NEW MODEL BY SES'!$C$17:$R$17,0),0),"")</f>
        <v/>
      </c>
      <c r="V204" s="140" t="str">
        <f>IFERROR(VLOOKUP($C204,'NEW MODEL BY SES'!$C$19:$R$242,MATCH('SeS in Retail Sales Areas'!V$7,'NEW MODEL BY SES'!$C$17:$R$17,0),0),"")</f>
        <v/>
      </c>
      <c r="W204" s="141" t="str">
        <f>IFERROR(VLOOKUP($C204,'NEW MODEL BY SES'!$C$19:$R$242,MATCH('SeS in Retail Sales Areas'!W$7,'NEW MODEL BY SES'!$C$17:$R$17,0),0),"")</f>
        <v/>
      </c>
      <c r="X204" s="140" t="str">
        <f>IFERROR(VLOOKUP($C204,'NEW MODEL BY SES'!$C$19:$R$242,MATCH('SeS in Retail Sales Areas'!X$7,'NEW MODEL BY SES'!$C$17:$R$17,0),0),"")</f>
        <v/>
      </c>
      <c r="Z204" s="57"/>
    </row>
    <row r="205" spans="1:26">
      <c r="A205" t="s">
        <v>1120</v>
      </c>
      <c r="B205" s="57">
        <v>78</v>
      </c>
      <c r="C205" t="s">
        <v>1138</v>
      </c>
      <c r="D205" t="s">
        <v>44</v>
      </c>
      <c r="E205"/>
      <c r="F205" s="140" t="str">
        <f>IFERROR(VLOOKUP($C205,'NEW MODEL BY SES'!$C$19:$R$242,MATCH('SeS in Retail Sales Areas'!F$7,'NEW MODEL BY SES'!$C$17:$R$17,0),0),"")</f>
        <v/>
      </c>
      <c r="G205" s="140" t="str">
        <f>IFERROR(VLOOKUP($C205,'NEW MODEL BY SES'!$C$19:$R$242,MATCH('SeS in Retail Sales Areas'!G$7,'NEW MODEL BY SES'!$C$17:$R$17,0),0),"")</f>
        <v/>
      </c>
      <c r="H205" s="142" t="str">
        <f>IFERROR(VLOOKUP($C205,'NEW MODEL BY SES'!$C$19:$R$242,MATCH('SeS in Retail Sales Areas'!H$7,'NEW MODEL BY SES'!$C$17:$R$17,0),0),"")</f>
        <v/>
      </c>
      <c r="I205" s="140" t="str">
        <f>IFERROR(VLOOKUP($C205,'NEW MODEL BY SES'!$C$19:$R$242,MATCH('SeS in Retail Sales Areas'!I$7,'NEW MODEL BY SES'!$C$17:$R$17,0),0),"")</f>
        <v/>
      </c>
      <c r="J205" s="142" t="str">
        <f>IFERROR(VLOOKUP($C205,'NEW MODEL BY SES'!$C$19:$R$242,MATCH('SeS in Retail Sales Areas'!J$7,'NEW MODEL BY SES'!$C$17:$R$17,0),0),"")</f>
        <v/>
      </c>
      <c r="K205" s="140" t="str">
        <f>IFERROR(VLOOKUP($C205,'NEW MODEL BY SES'!$C$19:$R$242,MATCH('SeS in Retail Sales Areas'!K$7,'NEW MODEL BY SES'!$C$17:$R$17,0),0),"")</f>
        <v/>
      </c>
      <c r="L205" s="142" t="str">
        <f>IFERROR(VLOOKUP($C205,'NEW MODEL BY SES'!$C$19:$R$242,MATCH('SeS in Retail Sales Areas'!L$7,'NEW MODEL BY SES'!$C$17:$R$17,0),0),"")</f>
        <v/>
      </c>
      <c r="M205" s="140" t="str">
        <f>IFERROR(VLOOKUP($C205,'NEW MODEL BY SES'!$C$19:$R$242,MATCH('SeS in Retail Sales Areas'!M$7,'NEW MODEL BY SES'!$C$17:$R$17,0),0),"")</f>
        <v/>
      </c>
      <c r="N205" s="142" t="str">
        <f>IFERROR(VLOOKUP($C205,'NEW MODEL BY SES'!$C$19:$R$242,MATCH('SeS in Retail Sales Areas'!N$7,'NEW MODEL BY SES'!$C$17:$R$17,0),0),"")</f>
        <v/>
      </c>
      <c r="O205" s="140" t="str">
        <f>IFERROR(VLOOKUP($C205,'NEW MODEL BY SES'!$C$19:$R$242,MATCH('SeS in Retail Sales Areas'!O$7,'NEW MODEL BY SES'!$C$17:$R$17,0),0),"")</f>
        <v/>
      </c>
      <c r="P205" s="142" t="str">
        <f>IFERROR(VLOOKUP($C205,'NEW MODEL BY SES'!$C$19:$R$242,MATCH('SeS in Retail Sales Areas'!P$7,'NEW MODEL BY SES'!$C$17:$R$17,0),0),"")</f>
        <v/>
      </c>
      <c r="Q205" s="140" t="str">
        <f>IFERROR(VLOOKUP($C205,'NEW MODEL BY SES'!$C$19:$R$242,MATCH('SeS in Retail Sales Areas'!Q$7,'NEW MODEL BY SES'!$C$17:$R$17,0),0),"")</f>
        <v/>
      </c>
      <c r="R205" s="142" t="str">
        <f>IFERROR(VLOOKUP($C205,'NEW MODEL BY SES'!$C$19:$R$242,MATCH('SeS in Retail Sales Areas'!R$7,'NEW MODEL BY SES'!$C$17:$R$17,0),0),"")</f>
        <v/>
      </c>
      <c r="S205" s="141" t="str">
        <f>IFERROR(VLOOKUP($C205,'NEW MODEL BY SES'!$C$19:$R$242,MATCH('SeS in Retail Sales Areas'!S$7,'NEW MODEL BY SES'!$C$17:$R$17,0),0),"")</f>
        <v/>
      </c>
      <c r="T205" s="140" t="str">
        <f>IFERROR(VLOOKUP($C205,'NEW MODEL BY SES'!$C$19:$R$242,MATCH('SeS in Retail Sales Areas'!T$7,'NEW MODEL BY SES'!$C$17:$R$17,0),0),"")</f>
        <v/>
      </c>
      <c r="U205" s="142" t="str">
        <f>IFERROR(VLOOKUP($C205,'NEW MODEL BY SES'!$C$19:$R$242,MATCH('SeS in Retail Sales Areas'!U$7,'NEW MODEL BY SES'!$C$17:$R$17,0),0),"")</f>
        <v/>
      </c>
      <c r="V205" s="140" t="str">
        <f>IFERROR(VLOOKUP($C205,'NEW MODEL BY SES'!$C$19:$R$242,MATCH('SeS in Retail Sales Areas'!V$7,'NEW MODEL BY SES'!$C$17:$R$17,0),0),"")</f>
        <v/>
      </c>
      <c r="W205" s="141" t="str">
        <f>IFERROR(VLOOKUP($C205,'NEW MODEL BY SES'!$C$19:$R$242,MATCH('SeS in Retail Sales Areas'!W$7,'NEW MODEL BY SES'!$C$17:$R$17,0),0),"")</f>
        <v/>
      </c>
      <c r="X205" s="140" t="str">
        <f>IFERROR(VLOOKUP($C205,'NEW MODEL BY SES'!$C$19:$R$242,MATCH('SeS in Retail Sales Areas'!X$7,'NEW MODEL BY SES'!$C$17:$R$17,0),0),"")</f>
        <v/>
      </c>
      <c r="Z205" s="57"/>
    </row>
    <row r="206" spans="1:26">
      <c r="A206" t="s">
        <v>1120</v>
      </c>
      <c r="B206" s="57">
        <v>67</v>
      </c>
      <c r="C206" t="s">
        <v>1139</v>
      </c>
      <c r="D206" t="s">
        <v>44</v>
      </c>
      <c r="E206"/>
      <c r="F206" s="140" t="str">
        <f>IFERROR(VLOOKUP($C206,'NEW MODEL BY SES'!$C$19:$R$242,MATCH('SeS in Retail Sales Areas'!F$7,'NEW MODEL BY SES'!$C$17:$R$17,0),0),"")</f>
        <v/>
      </c>
      <c r="G206" s="140" t="str">
        <f>IFERROR(VLOOKUP($C206,'NEW MODEL BY SES'!$C$19:$R$242,MATCH('SeS in Retail Sales Areas'!G$7,'NEW MODEL BY SES'!$C$17:$R$17,0),0),"")</f>
        <v/>
      </c>
      <c r="H206" s="142" t="str">
        <f>IFERROR(VLOOKUP($C206,'NEW MODEL BY SES'!$C$19:$R$242,MATCH('SeS in Retail Sales Areas'!H$7,'NEW MODEL BY SES'!$C$17:$R$17,0),0),"")</f>
        <v/>
      </c>
      <c r="I206" s="140" t="str">
        <f>IFERROR(VLOOKUP($C206,'NEW MODEL BY SES'!$C$19:$R$242,MATCH('SeS in Retail Sales Areas'!I$7,'NEW MODEL BY SES'!$C$17:$R$17,0),0),"")</f>
        <v/>
      </c>
      <c r="J206" s="142" t="str">
        <f>IFERROR(VLOOKUP($C206,'NEW MODEL BY SES'!$C$19:$R$242,MATCH('SeS in Retail Sales Areas'!J$7,'NEW MODEL BY SES'!$C$17:$R$17,0),0),"")</f>
        <v/>
      </c>
      <c r="K206" s="140" t="str">
        <f>IFERROR(VLOOKUP($C206,'NEW MODEL BY SES'!$C$19:$R$242,MATCH('SeS in Retail Sales Areas'!K$7,'NEW MODEL BY SES'!$C$17:$R$17,0),0),"")</f>
        <v/>
      </c>
      <c r="L206" s="142" t="str">
        <f>IFERROR(VLOOKUP($C206,'NEW MODEL BY SES'!$C$19:$R$242,MATCH('SeS in Retail Sales Areas'!L$7,'NEW MODEL BY SES'!$C$17:$R$17,0),0),"")</f>
        <v/>
      </c>
      <c r="M206" s="140" t="str">
        <f>IFERROR(VLOOKUP($C206,'NEW MODEL BY SES'!$C$19:$R$242,MATCH('SeS in Retail Sales Areas'!M$7,'NEW MODEL BY SES'!$C$17:$R$17,0),0),"")</f>
        <v/>
      </c>
      <c r="N206" s="142" t="str">
        <f>IFERROR(VLOOKUP($C206,'NEW MODEL BY SES'!$C$19:$R$242,MATCH('SeS in Retail Sales Areas'!N$7,'NEW MODEL BY SES'!$C$17:$R$17,0),0),"")</f>
        <v/>
      </c>
      <c r="O206" s="140" t="str">
        <f>IFERROR(VLOOKUP($C206,'NEW MODEL BY SES'!$C$19:$R$242,MATCH('SeS in Retail Sales Areas'!O$7,'NEW MODEL BY SES'!$C$17:$R$17,0),0),"")</f>
        <v/>
      </c>
      <c r="P206" s="142" t="str">
        <f>IFERROR(VLOOKUP($C206,'NEW MODEL BY SES'!$C$19:$R$242,MATCH('SeS in Retail Sales Areas'!P$7,'NEW MODEL BY SES'!$C$17:$R$17,0),0),"")</f>
        <v/>
      </c>
      <c r="Q206" s="140" t="str">
        <f>IFERROR(VLOOKUP($C206,'NEW MODEL BY SES'!$C$19:$R$242,MATCH('SeS in Retail Sales Areas'!Q$7,'NEW MODEL BY SES'!$C$17:$R$17,0),0),"")</f>
        <v/>
      </c>
      <c r="R206" s="142" t="str">
        <f>IFERROR(VLOOKUP($C206,'NEW MODEL BY SES'!$C$19:$R$242,MATCH('SeS in Retail Sales Areas'!R$7,'NEW MODEL BY SES'!$C$17:$R$17,0),0),"")</f>
        <v/>
      </c>
      <c r="S206" s="141" t="str">
        <f>IFERROR(VLOOKUP($C206,'NEW MODEL BY SES'!$C$19:$R$242,MATCH('SeS in Retail Sales Areas'!S$7,'NEW MODEL BY SES'!$C$17:$R$17,0),0),"")</f>
        <v/>
      </c>
      <c r="T206" s="140" t="str">
        <f>IFERROR(VLOOKUP($C206,'NEW MODEL BY SES'!$C$19:$R$242,MATCH('SeS in Retail Sales Areas'!T$7,'NEW MODEL BY SES'!$C$17:$R$17,0),0),"")</f>
        <v/>
      </c>
      <c r="U206" s="142" t="str">
        <f>IFERROR(VLOOKUP($C206,'NEW MODEL BY SES'!$C$19:$R$242,MATCH('SeS in Retail Sales Areas'!U$7,'NEW MODEL BY SES'!$C$17:$R$17,0),0),"")</f>
        <v/>
      </c>
      <c r="V206" s="140" t="str">
        <f>IFERROR(VLOOKUP($C206,'NEW MODEL BY SES'!$C$19:$R$242,MATCH('SeS in Retail Sales Areas'!V$7,'NEW MODEL BY SES'!$C$17:$R$17,0),0),"")</f>
        <v/>
      </c>
      <c r="W206" s="141" t="str">
        <f>IFERROR(VLOOKUP($C206,'NEW MODEL BY SES'!$C$19:$R$242,MATCH('SeS in Retail Sales Areas'!W$7,'NEW MODEL BY SES'!$C$17:$R$17,0),0),"")</f>
        <v/>
      </c>
      <c r="X206" s="140" t="str">
        <f>IFERROR(VLOOKUP($C206,'NEW MODEL BY SES'!$C$19:$R$242,MATCH('SeS in Retail Sales Areas'!X$7,'NEW MODEL BY SES'!$C$17:$R$17,0),0),"")</f>
        <v/>
      </c>
      <c r="Z206" s="57"/>
    </row>
    <row r="207" spans="1:26">
      <c r="A207" t="s">
        <v>1120</v>
      </c>
      <c r="B207" s="57">
        <v>64</v>
      </c>
      <c r="C207" t="s">
        <v>1140</v>
      </c>
      <c r="D207" t="s">
        <v>44</v>
      </c>
      <c r="E207"/>
      <c r="F207" s="140" t="str">
        <f>IFERROR(VLOOKUP($C207,'NEW MODEL BY SES'!$C$19:$R$242,MATCH('SeS in Retail Sales Areas'!F$7,'NEW MODEL BY SES'!$C$17:$R$17,0),0),"")</f>
        <v/>
      </c>
      <c r="G207" s="140" t="str">
        <f>IFERROR(VLOOKUP($C207,'NEW MODEL BY SES'!$C$19:$R$242,MATCH('SeS in Retail Sales Areas'!G$7,'NEW MODEL BY SES'!$C$17:$R$17,0),0),"")</f>
        <v/>
      </c>
      <c r="H207" s="142" t="str">
        <f>IFERROR(VLOOKUP($C207,'NEW MODEL BY SES'!$C$19:$R$242,MATCH('SeS in Retail Sales Areas'!H$7,'NEW MODEL BY SES'!$C$17:$R$17,0),0),"")</f>
        <v/>
      </c>
      <c r="I207" s="140" t="str">
        <f>IFERROR(VLOOKUP($C207,'NEW MODEL BY SES'!$C$19:$R$242,MATCH('SeS in Retail Sales Areas'!I$7,'NEW MODEL BY SES'!$C$17:$R$17,0),0),"")</f>
        <v/>
      </c>
      <c r="J207" s="142" t="str">
        <f>IFERROR(VLOOKUP($C207,'NEW MODEL BY SES'!$C$19:$R$242,MATCH('SeS in Retail Sales Areas'!J$7,'NEW MODEL BY SES'!$C$17:$R$17,0),0),"")</f>
        <v/>
      </c>
      <c r="K207" s="140" t="str">
        <f>IFERROR(VLOOKUP($C207,'NEW MODEL BY SES'!$C$19:$R$242,MATCH('SeS in Retail Sales Areas'!K$7,'NEW MODEL BY SES'!$C$17:$R$17,0),0),"")</f>
        <v/>
      </c>
      <c r="L207" s="142" t="str">
        <f>IFERROR(VLOOKUP($C207,'NEW MODEL BY SES'!$C$19:$R$242,MATCH('SeS in Retail Sales Areas'!L$7,'NEW MODEL BY SES'!$C$17:$R$17,0),0),"")</f>
        <v/>
      </c>
      <c r="M207" s="140" t="str">
        <f>IFERROR(VLOOKUP($C207,'NEW MODEL BY SES'!$C$19:$R$242,MATCH('SeS in Retail Sales Areas'!M$7,'NEW MODEL BY SES'!$C$17:$R$17,0),0),"")</f>
        <v/>
      </c>
      <c r="N207" s="142" t="str">
        <f>IFERROR(VLOOKUP($C207,'NEW MODEL BY SES'!$C$19:$R$242,MATCH('SeS in Retail Sales Areas'!N$7,'NEW MODEL BY SES'!$C$17:$R$17,0),0),"")</f>
        <v/>
      </c>
      <c r="O207" s="140" t="str">
        <f>IFERROR(VLOOKUP($C207,'NEW MODEL BY SES'!$C$19:$R$242,MATCH('SeS in Retail Sales Areas'!O$7,'NEW MODEL BY SES'!$C$17:$R$17,0),0),"")</f>
        <v/>
      </c>
      <c r="P207" s="142" t="str">
        <f>IFERROR(VLOOKUP($C207,'NEW MODEL BY SES'!$C$19:$R$242,MATCH('SeS in Retail Sales Areas'!P$7,'NEW MODEL BY SES'!$C$17:$R$17,0),0),"")</f>
        <v/>
      </c>
      <c r="Q207" s="140" t="str">
        <f>IFERROR(VLOOKUP($C207,'NEW MODEL BY SES'!$C$19:$R$242,MATCH('SeS in Retail Sales Areas'!Q$7,'NEW MODEL BY SES'!$C$17:$R$17,0),0),"")</f>
        <v/>
      </c>
      <c r="R207" s="142" t="str">
        <f>IFERROR(VLOOKUP($C207,'NEW MODEL BY SES'!$C$19:$R$242,MATCH('SeS in Retail Sales Areas'!R$7,'NEW MODEL BY SES'!$C$17:$R$17,0),0),"")</f>
        <v/>
      </c>
      <c r="S207" s="141" t="str">
        <f>IFERROR(VLOOKUP($C207,'NEW MODEL BY SES'!$C$19:$R$242,MATCH('SeS in Retail Sales Areas'!S$7,'NEW MODEL BY SES'!$C$17:$R$17,0),0),"")</f>
        <v/>
      </c>
      <c r="T207" s="140" t="str">
        <f>IFERROR(VLOOKUP($C207,'NEW MODEL BY SES'!$C$19:$R$242,MATCH('SeS in Retail Sales Areas'!T$7,'NEW MODEL BY SES'!$C$17:$R$17,0),0),"")</f>
        <v/>
      </c>
      <c r="U207" s="142" t="str">
        <f>IFERROR(VLOOKUP($C207,'NEW MODEL BY SES'!$C$19:$R$242,MATCH('SeS in Retail Sales Areas'!U$7,'NEW MODEL BY SES'!$C$17:$R$17,0),0),"")</f>
        <v/>
      </c>
      <c r="V207" s="140" t="str">
        <f>IFERROR(VLOOKUP($C207,'NEW MODEL BY SES'!$C$19:$R$242,MATCH('SeS in Retail Sales Areas'!V$7,'NEW MODEL BY SES'!$C$17:$R$17,0),0),"")</f>
        <v/>
      </c>
      <c r="W207" s="141" t="str">
        <f>IFERROR(VLOOKUP($C207,'NEW MODEL BY SES'!$C$19:$R$242,MATCH('SeS in Retail Sales Areas'!W$7,'NEW MODEL BY SES'!$C$17:$R$17,0),0),"")</f>
        <v/>
      </c>
      <c r="X207" s="140" t="str">
        <f>IFERROR(VLOOKUP($C207,'NEW MODEL BY SES'!$C$19:$R$242,MATCH('SeS in Retail Sales Areas'!X$7,'NEW MODEL BY SES'!$C$17:$R$17,0),0),"")</f>
        <v/>
      </c>
      <c r="Z207" s="57"/>
    </row>
    <row r="208" spans="1:26">
      <c r="A208" t="s">
        <v>1120</v>
      </c>
      <c r="B208" s="57">
        <v>58</v>
      </c>
      <c r="C208" t="s">
        <v>1141</v>
      </c>
      <c r="D208" t="s">
        <v>44</v>
      </c>
      <c r="E208"/>
      <c r="F208" s="140" t="str">
        <f>IFERROR(VLOOKUP($C208,'NEW MODEL BY SES'!$C$19:$R$242,MATCH('SeS in Retail Sales Areas'!F$7,'NEW MODEL BY SES'!$C$17:$R$17,0),0),"")</f>
        <v/>
      </c>
      <c r="G208" s="140" t="str">
        <f>IFERROR(VLOOKUP($C208,'NEW MODEL BY SES'!$C$19:$R$242,MATCH('SeS in Retail Sales Areas'!G$7,'NEW MODEL BY SES'!$C$17:$R$17,0),0),"")</f>
        <v/>
      </c>
      <c r="H208" s="142" t="str">
        <f>IFERROR(VLOOKUP($C208,'NEW MODEL BY SES'!$C$19:$R$242,MATCH('SeS in Retail Sales Areas'!H$7,'NEW MODEL BY SES'!$C$17:$R$17,0),0),"")</f>
        <v/>
      </c>
      <c r="I208" s="140" t="str">
        <f>IFERROR(VLOOKUP($C208,'NEW MODEL BY SES'!$C$19:$R$242,MATCH('SeS in Retail Sales Areas'!I$7,'NEW MODEL BY SES'!$C$17:$R$17,0),0),"")</f>
        <v/>
      </c>
      <c r="J208" s="142" t="str">
        <f>IFERROR(VLOOKUP($C208,'NEW MODEL BY SES'!$C$19:$R$242,MATCH('SeS in Retail Sales Areas'!J$7,'NEW MODEL BY SES'!$C$17:$R$17,0),0),"")</f>
        <v/>
      </c>
      <c r="K208" s="140" t="str">
        <f>IFERROR(VLOOKUP($C208,'NEW MODEL BY SES'!$C$19:$R$242,MATCH('SeS in Retail Sales Areas'!K$7,'NEW MODEL BY SES'!$C$17:$R$17,0),0),"")</f>
        <v/>
      </c>
      <c r="L208" s="142" t="str">
        <f>IFERROR(VLOOKUP($C208,'NEW MODEL BY SES'!$C$19:$R$242,MATCH('SeS in Retail Sales Areas'!L$7,'NEW MODEL BY SES'!$C$17:$R$17,0),0),"")</f>
        <v/>
      </c>
      <c r="M208" s="140" t="str">
        <f>IFERROR(VLOOKUP($C208,'NEW MODEL BY SES'!$C$19:$R$242,MATCH('SeS in Retail Sales Areas'!M$7,'NEW MODEL BY SES'!$C$17:$R$17,0),0),"")</f>
        <v/>
      </c>
      <c r="N208" s="142" t="str">
        <f>IFERROR(VLOOKUP($C208,'NEW MODEL BY SES'!$C$19:$R$242,MATCH('SeS in Retail Sales Areas'!N$7,'NEW MODEL BY SES'!$C$17:$R$17,0),0),"")</f>
        <v/>
      </c>
      <c r="O208" s="140" t="str">
        <f>IFERROR(VLOOKUP($C208,'NEW MODEL BY SES'!$C$19:$R$242,MATCH('SeS in Retail Sales Areas'!O$7,'NEW MODEL BY SES'!$C$17:$R$17,0),0),"")</f>
        <v/>
      </c>
      <c r="P208" s="142" t="str">
        <f>IFERROR(VLOOKUP($C208,'NEW MODEL BY SES'!$C$19:$R$242,MATCH('SeS in Retail Sales Areas'!P$7,'NEW MODEL BY SES'!$C$17:$R$17,0),0),"")</f>
        <v/>
      </c>
      <c r="Q208" s="140" t="str">
        <f>IFERROR(VLOOKUP($C208,'NEW MODEL BY SES'!$C$19:$R$242,MATCH('SeS in Retail Sales Areas'!Q$7,'NEW MODEL BY SES'!$C$17:$R$17,0),0),"")</f>
        <v/>
      </c>
      <c r="R208" s="142" t="str">
        <f>IFERROR(VLOOKUP($C208,'NEW MODEL BY SES'!$C$19:$R$242,MATCH('SeS in Retail Sales Areas'!R$7,'NEW MODEL BY SES'!$C$17:$R$17,0),0),"")</f>
        <v/>
      </c>
      <c r="S208" s="141" t="str">
        <f>IFERROR(VLOOKUP($C208,'NEW MODEL BY SES'!$C$19:$R$242,MATCH('SeS in Retail Sales Areas'!S$7,'NEW MODEL BY SES'!$C$17:$R$17,0),0),"")</f>
        <v/>
      </c>
      <c r="T208" s="140" t="str">
        <f>IFERROR(VLOOKUP($C208,'NEW MODEL BY SES'!$C$19:$R$242,MATCH('SeS in Retail Sales Areas'!T$7,'NEW MODEL BY SES'!$C$17:$R$17,0),0),"")</f>
        <v/>
      </c>
      <c r="U208" s="142" t="str">
        <f>IFERROR(VLOOKUP($C208,'NEW MODEL BY SES'!$C$19:$R$242,MATCH('SeS in Retail Sales Areas'!U$7,'NEW MODEL BY SES'!$C$17:$R$17,0),0),"")</f>
        <v/>
      </c>
      <c r="V208" s="140" t="str">
        <f>IFERROR(VLOOKUP($C208,'NEW MODEL BY SES'!$C$19:$R$242,MATCH('SeS in Retail Sales Areas'!V$7,'NEW MODEL BY SES'!$C$17:$R$17,0),0),"")</f>
        <v/>
      </c>
      <c r="W208" s="141" t="str">
        <f>IFERROR(VLOOKUP($C208,'NEW MODEL BY SES'!$C$19:$R$242,MATCH('SeS in Retail Sales Areas'!W$7,'NEW MODEL BY SES'!$C$17:$R$17,0),0),"")</f>
        <v/>
      </c>
      <c r="X208" s="140" t="str">
        <f>IFERROR(VLOOKUP($C208,'NEW MODEL BY SES'!$C$19:$R$242,MATCH('SeS in Retail Sales Areas'!X$7,'NEW MODEL BY SES'!$C$17:$R$17,0),0),"")</f>
        <v/>
      </c>
      <c r="Z208" s="57"/>
    </row>
    <row r="209" spans="1:26">
      <c r="A209" t="s">
        <v>1120</v>
      </c>
      <c r="B209" s="57">
        <v>53</v>
      </c>
      <c r="C209" t="s">
        <v>1142</v>
      </c>
      <c r="D209" t="s">
        <v>44</v>
      </c>
      <c r="E209"/>
      <c r="F209" s="140" t="str">
        <f>IFERROR(VLOOKUP($C209,'NEW MODEL BY SES'!$C$19:$R$242,MATCH('SeS in Retail Sales Areas'!F$7,'NEW MODEL BY SES'!$C$17:$R$17,0),0),"")</f>
        <v/>
      </c>
      <c r="G209" s="140" t="str">
        <f>IFERROR(VLOOKUP($C209,'NEW MODEL BY SES'!$C$19:$R$242,MATCH('SeS in Retail Sales Areas'!G$7,'NEW MODEL BY SES'!$C$17:$R$17,0),0),"")</f>
        <v/>
      </c>
      <c r="H209" s="142" t="str">
        <f>IFERROR(VLOOKUP($C209,'NEW MODEL BY SES'!$C$19:$R$242,MATCH('SeS in Retail Sales Areas'!H$7,'NEW MODEL BY SES'!$C$17:$R$17,0),0),"")</f>
        <v/>
      </c>
      <c r="I209" s="140" t="str">
        <f>IFERROR(VLOOKUP($C209,'NEW MODEL BY SES'!$C$19:$R$242,MATCH('SeS in Retail Sales Areas'!I$7,'NEW MODEL BY SES'!$C$17:$R$17,0),0),"")</f>
        <v/>
      </c>
      <c r="J209" s="142" t="str">
        <f>IFERROR(VLOOKUP($C209,'NEW MODEL BY SES'!$C$19:$R$242,MATCH('SeS in Retail Sales Areas'!J$7,'NEW MODEL BY SES'!$C$17:$R$17,0),0),"")</f>
        <v/>
      </c>
      <c r="K209" s="140" t="str">
        <f>IFERROR(VLOOKUP($C209,'NEW MODEL BY SES'!$C$19:$R$242,MATCH('SeS in Retail Sales Areas'!K$7,'NEW MODEL BY SES'!$C$17:$R$17,0),0),"")</f>
        <v/>
      </c>
      <c r="L209" s="142" t="str">
        <f>IFERROR(VLOOKUP($C209,'NEW MODEL BY SES'!$C$19:$R$242,MATCH('SeS in Retail Sales Areas'!L$7,'NEW MODEL BY SES'!$C$17:$R$17,0),0),"")</f>
        <v/>
      </c>
      <c r="M209" s="140" t="str">
        <f>IFERROR(VLOOKUP($C209,'NEW MODEL BY SES'!$C$19:$R$242,MATCH('SeS in Retail Sales Areas'!M$7,'NEW MODEL BY SES'!$C$17:$R$17,0),0),"")</f>
        <v/>
      </c>
      <c r="N209" s="142" t="str">
        <f>IFERROR(VLOOKUP($C209,'NEW MODEL BY SES'!$C$19:$R$242,MATCH('SeS in Retail Sales Areas'!N$7,'NEW MODEL BY SES'!$C$17:$R$17,0),0),"")</f>
        <v/>
      </c>
      <c r="O209" s="140" t="str">
        <f>IFERROR(VLOOKUP($C209,'NEW MODEL BY SES'!$C$19:$R$242,MATCH('SeS in Retail Sales Areas'!O$7,'NEW MODEL BY SES'!$C$17:$R$17,0),0),"")</f>
        <v/>
      </c>
      <c r="P209" s="142" t="str">
        <f>IFERROR(VLOOKUP($C209,'NEW MODEL BY SES'!$C$19:$R$242,MATCH('SeS in Retail Sales Areas'!P$7,'NEW MODEL BY SES'!$C$17:$R$17,0),0),"")</f>
        <v/>
      </c>
      <c r="Q209" s="140" t="str">
        <f>IFERROR(VLOOKUP($C209,'NEW MODEL BY SES'!$C$19:$R$242,MATCH('SeS in Retail Sales Areas'!Q$7,'NEW MODEL BY SES'!$C$17:$R$17,0),0),"")</f>
        <v/>
      </c>
      <c r="R209" s="142" t="str">
        <f>IFERROR(VLOOKUP($C209,'NEW MODEL BY SES'!$C$19:$R$242,MATCH('SeS in Retail Sales Areas'!R$7,'NEW MODEL BY SES'!$C$17:$R$17,0),0),"")</f>
        <v/>
      </c>
      <c r="S209" s="141" t="str">
        <f>IFERROR(VLOOKUP($C209,'NEW MODEL BY SES'!$C$19:$R$242,MATCH('SeS in Retail Sales Areas'!S$7,'NEW MODEL BY SES'!$C$17:$R$17,0),0),"")</f>
        <v/>
      </c>
      <c r="T209" s="140" t="str">
        <f>IFERROR(VLOOKUP($C209,'NEW MODEL BY SES'!$C$19:$R$242,MATCH('SeS in Retail Sales Areas'!T$7,'NEW MODEL BY SES'!$C$17:$R$17,0),0),"")</f>
        <v/>
      </c>
      <c r="U209" s="142" t="str">
        <f>IFERROR(VLOOKUP($C209,'NEW MODEL BY SES'!$C$19:$R$242,MATCH('SeS in Retail Sales Areas'!U$7,'NEW MODEL BY SES'!$C$17:$R$17,0),0),"")</f>
        <v/>
      </c>
      <c r="V209" s="140" t="str">
        <f>IFERROR(VLOOKUP($C209,'NEW MODEL BY SES'!$C$19:$R$242,MATCH('SeS in Retail Sales Areas'!V$7,'NEW MODEL BY SES'!$C$17:$R$17,0),0),"")</f>
        <v/>
      </c>
      <c r="W209" s="141" t="str">
        <f>IFERROR(VLOOKUP($C209,'NEW MODEL BY SES'!$C$19:$R$242,MATCH('SeS in Retail Sales Areas'!W$7,'NEW MODEL BY SES'!$C$17:$R$17,0),0),"")</f>
        <v/>
      </c>
      <c r="X209" s="140" t="str">
        <f>IFERROR(VLOOKUP($C209,'NEW MODEL BY SES'!$C$19:$R$242,MATCH('SeS in Retail Sales Areas'!X$7,'NEW MODEL BY SES'!$C$17:$R$17,0),0),"")</f>
        <v/>
      </c>
      <c r="Z209" s="57"/>
    </row>
    <row r="210" spans="1:26">
      <c r="A210" t="s">
        <v>1120</v>
      </c>
      <c r="B210" s="57">
        <v>47</v>
      </c>
      <c r="C210" t="s">
        <v>1143</v>
      </c>
      <c r="D210" t="s">
        <v>44</v>
      </c>
      <c r="E210"/>
      <c r="F210" s="140" t="str">
        <f>IFERROR(VLOOKUP($C210,'NEW MODEL BY SES'!$C$19:$R$242,MATCH('SeS in Retail Sales Areas'!F$7,'NEW MODEL BY SES'!$C$17:$R$17,0),0),"")</f>
        <v/>
      </c>
      <c r="G210" s="140" t="str">
        <f>IFERROR(VLOOKUP($C210,'NEW MODEL BY SES'!$C$19:$R$242,MATCH('SeS in Retail Sales Areas'!G$7,'NEW MODEL BY SES'!$C$17:$R$17,0),0),"")</f>
        <v/>
      </c>
      <c r="H210" s="142" t="str">
        <f>IFERROR(VLOOKUP($C210,'NEW MODEL BY SES'!$C$19:$R$242,MATCH('SeS in Retail Sales Areas'!H$7,'NEW MODEL BY SES'!$C$17:$R$17,0),0),"")</f>
        <v/>
      </c>
      <c r="I210" s="140" t="str">
        <f>IFERROR(VLOOKUP($C210,'NEW MODEL BY SES'!$C$19:$R$242,MATCH('SeS in Retail Sales Areas'!I$7,'NEW MODEL BY SES'!$C$17:$R$17,0),0),"")</f>
        <v/>
      </c>
      <c r="J210" s="142" t="str">
        <f>IFERROR(VLOOKUP($C210,'NEW MODEL BY SES'!$C$19:$R$242,MATCH('SeS in Retail Sales Areas'!J$7,'NEW MODEL BY SES'!$C$17:$R$17,0),0),"")</f>
        <v/>
      </c>
      <c r="K210" s="140" t="str">
        <f>IFERROR(VLOOKUP($C210,'NEW MODEL BY SES'!$C$19:$R$242,MATCH('SeS in Retail Sales Areas'!K$7,'NEW MODEL BY SES'!$C$17:$R$17,0),0),"")</f>
        <v/>
      </c>
      <c r="L210" s="142" t="str">
        <f>IFERROR(VLOOKUP($C210,'NEW MODEL BY SES'!$C$19:$R$242,MATCH('SeS in Retail Sales Areas'!L$7,'NEW MODEL BY SES'!$C$17:$R$17,0),0),"")</f>
        <v/>
      </c>
      <c r="M210" s="140" t="str">
        <f>IFERROR(VLOOKUP($C210,'NEW MODEL BY SES'!$C$19:$R$242,MATCH('SeS in Retail Sales Areas'!M$7,'NEW MODEL BY SES'!$C$17:$R$17,0),0),"")</f>
        <v/>
      </c>
      <c r="N210" s="142" t="str">
        <f>IFERROR(VLOOKUP($C210,'NEW MODEL BY SES'!$C$19:$R$242,MATCH('SeS in Retail Sales Areas'!N$7,'NEW MODEL BY SES'!$C$17:$R$17,0),0),"")</f>
        <v/>
      </c>
      <c r="O210" s="140" t="str">
        <f>IFERROR(VLOOKUP($C210,'NEW MODEL BY SES'!$C$19:$R$242,MATCH('SeS in Retail Sales Areas'!O$7,'NEW MODEL BY SES'!$C$17:$R$17,0),0),"")</f>
        <v/>
      </c>
      <c r="P210" s="142" t="str">
        <f>IFERROR(VLOOKUP($C210,'NEW MODEL BY SES'!$C$19:$R$242,MATCH('SeS in Retail Sales Areas'!P$7,'NEW MODEL BY SES'!$C$17:$R$17,0),0),"")</f>
        <v/>
      </c>
      <c r="Q210" s="140" t="str">
        <f>IFERROR(VLOOKUP($C210,'NEW MODEL BY SES'!$C$19:$R$242,MATCH('SeS in Retail Sales Areas'!Q$7,'NEW MODEL BY SES'!$C$17:$R$17,0),0),"")</f>
        <v/>
      </c>
      <c r="R210" s="142" t="str">
        <f>IFERROR(VLOOKUP($C210,'NEW MODEL BY SES'!$C$19:$R$242,MATCH('SeS in Retail Sales Areas'!R$7,'NEW MODEL BY SES'!$C$17:$R$17,0),0),"")</f>
        <v/>
      </c>
      <c r="S210" s="141" t="str">
        <f>IFERROR(VLOOKUP($C210,'NEW MODEL BY SES'!$C$19:$R$242,MATCH('SeS in Retail Sales Areas'!S$7,'NEW MODEL BY SES'!$C$17:$R$17,0),0),"")</f>
        <v/>
      </c>
      <c r="T210" s="140" t="str">
        <f>IFERROR(VLOOKUP($C210,'NEW MODEL BY SES'!$C$19:$R$242,MATCH('SeS in Retail Sales Areas'!T$7,'NEW MODEL BY SES'!$C$17:$R$17,0),0),"")</f>
        <v/>
      </c>
      <c r="U210" s="142" t="str">
        <f>IFERROR(VLOOKUP($C210,'NEW MODEL BY SES'!$C$19:$R$242,MATCH('SeS in Retail Sales Areas'!U$7,'NEW MODEL BY SES'!$C$17:$R$17,0),0),"")</f>
        <v/>
      </c>
      <c r="V210" s="140" t="str">
        <f>IFERROR(VLOOKUP($C210,'NEW MODEL BY SES'!$C$19:$R$242,MATCH('SeS in Retail Sales Areas'!V$7,'NEW MODEL BY SES'!$C$17:$R$17,0),0),"")</f>
        <v/>
      </c>
      <c r="W210" s="141" t="str">
        <f>IFERROR(VLOOKUP($C210,'NEW MODEL BY SES'!$C$19:$R$242,MATCH('SeS in Retail Sales Areas'!W$7,'NEW MODEL BY SES'!$C$17:$R$17,0),0),"")</f>
        <v/>
      </c>
      <c r="X210" s="140" t="str">
        <f>IFERROR(VLOOKUP($C210,'NEW MODEL BY SES'!$C$19:$R$242,MATCH('SeS in Retail Sales Areas'!X$7,'NEW MODEL BY SES'!$C$17:$R$17,0),0),"")</f>
        <v/>
      </c>
      <c r="Z210" s="57"/>
    </row>
    <row r="211" spans="1:26">
      <c r="A211" t="s">
        <v>1120</v>
      </c>
      <c r="B211" s="57">
        <v>47</v>
      </c>
      <c r="C211" t="s">
        <v>1144</v>
      </c>
      <c r="D211" t="s">
        <v>44</v>
      </c>
      <c r="E211"/>
      <c r="F211" s="140" t="str">
        <f>IFERROR(VLOOKUP($C211,'NEW MODEL BY SES'!$C$19:$R$242,MATCH('SeS in Retail Sales Areas'!F$7,'NEW MODEL BY SES'!$C$17:$R$17,0),0),"")</f>
        <v/>
      </c>
      <c r="G211" s="140" t="str">
        <f>IFERROR(VLOOKUP($C211,'NEW MODEL BY SES'!$C$19:$R$242,MATCH('SeS in Retail Sales Areas'!G$7,'NEW MODEL BY SES'!$C$17:$R$17,0),0),"")</f>
        <v/>
      </c>
      <c r="H211" s="142" t="str">
        <f>IFERROR(VLOOKUP($C211,'NEW MODEL BY SES'!$C$19:$R$242,MATCH('SeS in Retail Sales Areas'!H$7,'NEW MODEL BY SES'!$C$17:$R$17,0),0),"")</f>
        <v/>
      </c>
      <c r="I211" s="140" t="str">
        <f>IFERROR(VLOOKUP($C211,'NEW MODEL BY SES'!$C$19:$R$242,MATCH('SeS in Retail Sales Areas'!I$7,'NEW MODEL BY SES'!$C$17:$R$17,0),0),"")</f>
        <v/>
      </c>
      <c r="J211" s="142" t="str">
        <f>IFERROR(VLOOKUP($C211,'NEW MODEL BY SES'!$C$19:$R$242,MATCH('SeS in Retail Sales Areas'!J$7,'NEW MODEL BY SES'!$C$17:$R$17,0),0),"")</f>
        <v/>
      </c>
      <c r="K211" s="140" t="str">
        <f>IFERROR(VLOOKUP($C211,'NEW MODEL BY SES'!$C$19:$R$242,MATCH('SeS in Retail Sales Areas'!K$7,'NEW MODEL BY SES'!$C$17:$R$17,0),0),"")</f>
        <v/>
      </c>
      <c r="L211" s="142" t="str">
        <f>IFERROR(VLOOKUP($C211,'NEW MODEL BY SES'!$C$19:$R$242,MATCH('SeS in Retail Sales Areas'!L$7,'NEW MODEL BY SES'!$C$17:$R$17,0),0),"")</f>
        <v/>
      </c>
      <c r="M211" s="140" t="str">
        <f>IFERROR(VLOOKUP($C211,'NEW MODEL BY SES'!$C$19:$R$242,MATCH('SeS in Retail Sales Areas'!M$7,'NEW MODEL BY SES'!$C$17:$R$17,0),0),"")</f>
        <v/>
      </c>
      <c r="N211" s="142" t="str">
        <f>IFERROR(VLOOKUP($C211,'NEW MODEL BY SES'!$C$19:$R$242,MATCH('SeS in Retail Sales Areas'!N$7,'NEW MODEL BY SES'!$C$17:$R$17,0),0),"")</f>
        <v/>
      </c>
      <c r="O211" s="140" t="str">
        <f>IFERROR(VLOOKUP($C211,'NEW MODEL BY SES'!$C$19:$R$242,MATCH('SeS in Retail Sales Areas'!O$7,'NEW MODEL BY SES'!$C$17:$R$17,0),0),"")</f>
        <v/>
      </c>
      <c r="P211" s="142" t="str">
        <f>IFERROR(VLOOKUP($C211,'NEW MODEL BY SES'!$C$19:$R$242,MATCH('SeS in Retail Sales Areas'!P$7,'NEW MODEL BY SES'!$C$17:$R$17,0),0),"")</f>
        <v/>
      </c>
      <c r="Q211" s="140" t="str">
        <f>IFERROR(VLOOKUP($C211,'NEW MODEL BY SES'!$C$19:$R$242,MATCH('SeS in Retail Sales Areas'!Q$7,'NEW MODEL BY SES'!$C$17:$R$17,0),0),"")</f>
        <v/>
      </c>
      <c r="R211" s="142" t="str">
        <f>IFERROR(VLOOKUP($C211,'NEW MODEL BY SES'!$C$19:$R$242,MATCH('SeS in Retail Sales Areas'!R$7,'NEW MODEL BY SES'!$C$17:$R$17,0),0),"")</f>
        <v/>
      </c>
      <c r="S211" s="141" t="str">
        <f>IFERROR(VLOOKUP($C211,'NEW MODEL BY SES'!$C$19:$R$242,MATCH('SeS in Retail Sales Areas'!S$7,'NEW MODEL BY SES'!$C$17:$R$17,0),0),"")</f>
        <v/>
      </c>
      <c r="T211" s="140" t="str">
        <f>IFERROR(VLOOKUP($C211,'NEW MODEL BY SES'!$C$19:$R$242,MATCH('SeS in Retail Sales Areas'!T$7,'NEW MODEL BY SES'!$C$17:$R$17,0),0),"")</f>
        <v/>
      </c>
      <c r="U211" s="142" t="str">
        <f>IFERROR(VLOOKUP($C211,'NEW MODEL BY SES'!$C$19:$R$242,MATCH('SeS in Retail Sales Areas'!U$7,'NEW MODEL BY SES'!$C$17:$R$17,0),0),"")</f>
        <v/>
      </c>
      <c r="V211" s="140" t="str">
        <f>IFERROR(VLOOKUP($C211,'NEW MODEL BY SES'!$C$19:$R$242,MATCH('SeS in Retail Sales Areas'!V$7,'NEW MODEL BY SES'!$C$17:$R$17,0),0),"")</f>
        <v/>
      </c>
      <c r="W211" s="141" t="str">
        <f>IFERROR(VLOOKUP($C211,'NEW MODEL BY SES'!$C$19:$R$242,MATCH('SeS in Retail Sales Areas'!W$7,'NEW MODEL BY SES'!$C$17:$R$17,0),0),"")</f>
        <v/>
      </c>
      <c r="X211" s="140" t="str">
        <f>IFERROR(VLOOKUP($C211,'NEW MODEL BY SES'!$C$19:$R$242,MATCH('SeS in Retail Sales Areas'!X$7,'NEW MODEL BY SES'!$C$17:$R$17,0),0),"")</f>
        <v/>
      </c>
      <c r="Z211" s="57"/>
    </row>
    <row r="212" spans="1:26">
      <c r="A212" t="s">
        <v>1145</v>
      </c>
      <c r="B212" s="57">
        <v>184</v>
      </c>
      <c r="C212" t="s">
        <v>1146</v>
      </c>
      <c r="D212" t="s">
        <v>33</v>
      </c>
      <c r="E212"/>
      <c r="F212" s="140" t="str">
        <f>IFERROR(VLOOKUP($C212,'NEW MODEL BY SES'!$C$19:$R$242,MATCH('SeS in Retail Sales Areas'!F$7,'NEW MODEL BY SES'!$C$17:$R$17,0),0),"")</f>
        <v/>
      </c>
      <c r="G212" s="140" t="str">
        <f>IFERROR(VLOOKUP($C212,'NEW MODEL BY SES'!$C$19:$R$242,MATCH('SeS in Retail Sales Areas'!G$7,'NEW MODEL BY SES'!$C$17:$R$17,0),0),"")</f>
        <v/>
      </c>
      <c r="H212" s="142" t="str">
        <f>IFERROR(VLOOKUP($C212,'NEW MODEL BY SES'!$C$19:$R$242,MATCH('SeS in Retail Sales Areas'!H$7,'NEW MODEL BY SES'!$C$17:$R$17,0),0),"")</f>
        <v/>
      </c>
      <c r="I212" s="140" t="str">
        <f>IFERROR(VLOOKUP($C212,'NEW MODEL BY SES'!$C$19:$R$242,MATCH('SeS in Retail Sales Areas'!I$7,'NEW MODEL BY SES'!$C$17:$R$17,0),0),"")</f>
        <v/>
      </c>
      <c r="J212" s="142" t="str">
        <f>IFERROR(VLOOKUP($C212,'NEW MODEL BY SES'!$C$19:$R$242,MATCH('SeS in Retail Sales Areas'!J$7,'NEW MODEL BY SES'!$C$17:$R$17,0),0),"")</f>
        <v/>
      </c>
      <c r="K212" s="140" t="str">
        <f>IFERROR(VLOOKUP($C212,'NEW MODEL BY SES'!$C$19:$R$242,MATCH('SeS in Retail Sales Areas'!K$7,'NEW MODEL BY SES'!$C$17:$R$17,0),0),"")</f>
        <v/>
      </c>
      <c r="L212" s="142" t="str">
        <f>IFERROR(VLOOKUP($C212,'NEW MODEL BY SES'!$C$19:$R$242,MATCH('SeS in Retail Sales Areas'!L$7,'NEW MODEL BY SES'!$C$17:$R$17,0),0),"")</f>
        <v/>
      </c>
      <c r="M212" s="140" t="str">
        <f>IFERROR(VLOOKUP($C212,'NEW MODEL BY SES'!$C$19:$R$242,MATCH('SeS in Retail Sales Areas'!M$7,'NEW MODEL BY SES'!$C$17:$R$17,0),0),"")</f>
        <v/>
      </c>
      <c r="N212" s="142" t="str">
        <f>IFERROR(VLOOKUP($C212,'NEW MODEL BY SES'!$C$19:$R$242,MATCH('SeS in Retail Sales Areas'!N$7,'NEW MODEL BY SES'!$C$17:$R$17,0),0),"")</f>
        <v/>
      </c>
      <c r="O212" s="140" t="str">
        <f>IFERROR(VLOOKUP($C212,'NEW MODEL BY SES'!$C$19:$R$242,MATCH('SeS in Retail Sales Areas'!O$7,'NEW MODEL BY SES'!$C$17:$R$17,0),0),"")</f>
        <v/>
      </c>
      <c r="P212" s="142" t="str">
        <f>IFERROR(VLOOKUP($C212,'NEW MODEL BY SES'!$C$19:$R$242,MATCH('SeS in Retail Sales Areas'!P$7,'NEW MODEL BY SES'!$C$17:$R$17,0),0),"")</f>
        <v/>
      </c>
      <c r="Q212" s="140" t="str">
        <f>IFERROR(VLOOKUP($C212,'NEW MODEL BY SES'!$C$19:$R$242,MATCH('SeS in Retail Sales Areas'!Q$7,'NEW MODEL BY SES'!$C$17:$R$17,0),0),"")</f>
        <v/>
      </c>
      <c r="R212" s="142" t="str">
        <f>IFERROR(VLOOKUP($C212,'NEW MODEL BY SES'!$C$19:$R$242,MATCH('SeS in Retail Sales Areas'!R$7,'NEW MODEL BY SES'!$C$17:$R$17,0),0),"")</f>
        <v/>
      </c>
      <c r="S212" s="141" t="str">
        <f>IFERROR(VLOOKUP($C212,'NEW MODEL BY SES'!$C$19:$R$242,MATCH('SeS in Retail Sales Areas'!S$7,'NEW MODEL BY SES'!$C$17:$R$17,0),0),"")</f>
        <v/>
      </c>
      <c r="T212" s="140" t="str">
        <f>IFERROR(VLOOKUP($C212,'NEW MODEL BY SES'!$C$19:$R$242,MATCH('SeS in Retail Sales Areas'!T$7,'NEW MODEL BY SES'!$C$17:$R$17,0),0),"")</f>
        <v/>
      </c>
      <c r="U212" s="142" t="str">
        <f>IFERROR(VLOOKUP($C212,'NEW MODEL BY SES'!$C$19:$R$242,MATCH('SeS in Retail Sales Areas'!U$7,'NEW MODEL BY SES'!$C$17:$R$17,0),0),"")</f>
        <v/>
      </c>
      <c r="V212" s="140" t="str">
        <f>IFERROR(VLOOKUP($C212,'NEW MODEL BY SES'!$C$19:$R$242,MATCH('SeS in Retail Sales Areas'!V$7,'NEW MODEL BY SES'!$C$17:$R$17,0),0),"")</f>
        <v/>
      </c>
      <c r="W212" s="141" t="str">
        <f>IFERROR(VLOOKUP($C212,'NEW MODEL BY SES'!$C$19:$R$242,MATCH('SeS in Retail Sales Areas'!W$7,'NEW MODEL BY SES'!$C$17:$R$17,0),0),"")</f>
        <v/>
      </c>
      <c r="X212" s="140" t="str">
        <f>IFERROR(VLOOKUP($C212,'NEW MODEL BY SES'!$C$19:$R$242,MATCH('SeS in Retail Sales Areas'!X$7,'NEW MODEL BY SES'!$C$17:$R$17,0),0),"")</f>
        <v/>
      </c>
      <c r="Z212" s="57"/>
    </row>
    <row r="213" spans="1:26">
      <c r="A213" t="s">
        <v>1145</v>
      </c>
      <c r="B213" s="57">
        <v>170</v>
      </c>
      <c r="C213" t="s">
        <v>1147</v>
      </c>
      <c r="D213" t="s">
        <v>33</v>
      </c>
      <c r="E213"/>
      <c r="F213" s="140" t="str">
        <f>IFERROR(VLOOKUP($C213,'NEW MODEL BY SES'!$C$19:$R$242,MATCH('SeS in Retail Sales Areas'!F$7,'NEW MODEL BY SES'!$C$17:$R$17,0),0),"")</f>
        <v/>
      </c>
      <c r="G213" s="140" t="str">
        <f>IFERROR(VLOOKUP($C213,'NEW MODEL BY SES'!$C$19:$R$242,MATCH('SeS in Retail Sales Areas'!G$7,'NEW MODEL BY SES'!$C$17:$R$17,0),0),"")</f>
        <v/>
      </c>
      <c r="H213" s="142" t="str">
        <f>IFERROR(VLOOKUP($C213,'NEW MODEL BY SES'!$C$19:$R$242,MATCH('SeS in Retail Sales Areas'!H$7,'NEW MODEL BY SES'!$C$17:$R$17,0),0),"")</f>
        <v/>
      </c>
      <c r="I213" s="140" t="str">
        <f>IFERROR(VLOOKUP($C213,'NEW MODEL BY SES'!$C$19:$R$242,MATCH('SeS in Retail Sales Areas'!I$7,'NEW MODEL BY SES'!$C$17:$R$17,0),0),"")</f>
        <v/>
      </c>
      <c r="J213" s="142" t="str">
        <f>IFERROR(VLOOKUP($C213,'NEW MODEL BY SES'!$C$19:$R$242,MATCH('SeS in Retail Sales Areas'!J$7,'NEW MODEL BY SES'!$C$17:$R$17,0),0),"")</f>
        <v/>
      </c>
      <c r="K213" s="140" t="str">
        <f>IFERROR(VLOOKUP($C213,'NEW MODEL BY SES'!$C$19:$R$242,MATCH('SeS in Retail Sales Areas'!K$7,'NEW MODEL BY SES'!$C$17:$R$17,0),0),"")</f>
        <v/>
      </c>
      <c r="L213" s="142" t="str">
        <f>IFERROR(VLOOKUP($C213,'NEW MODEL BY SES'!$C$19:$R$242,MATCH('SeS in Retail Sales Areas'!L$7,'NEW MODEL BY SES'!$C$17:$R$17,0),0),"")</f>
        <v/>
      </c>
      <c r="M213" s="140" t="str">
        <f>IFERROR(VLOOKUP($C213,'NEW MODEL BY SES'!$C$19:$R$242,MATCH('SeS in Retail Sales Areas'!M$7,'NEW MODEL BY SES'!$C$17:$R$17,0),0),"")</f>
        <v/>
      </c>
      <c r="N213" s="142" t="str">
        <f>IFERROR(VLOOKUP($C213,'NEW MODEL BY SES'!$C$19:$R$242,MATCH('SeS in Retail Sales Areas'!N$7,'NEW MODEL BY SES'!$C$17:$R$17,0),0),"")</f>
        <v/>
      </c>
      <c r="O213" s="140" t="str">
        <f>IFERROR(VLOOKUP($C213,'NEW MODEL BY SES'!$C$19:$R$242,MATCH('SeS in Retail Sales Areas'!O$7,'NEW MODEL BY SES'!$C$17:$R$17,0),0),"")</f>
        <v/>
      </c>
      <c r="P213" s="142" t="str">
        <f>IFERROR(VLOOKUP($C213,'NEW MODEL BY SES'!$C$19:$R$242,MATCH('SeS in Retail Sales Areas'!P$7,'NEW MODEL BY SES'!$C$17:$R$17,0),0),"")</f>
        <v/>
      </c>
      <c r="Q213" s="140" t="str">
        <f>IFERROR(VLOOKUP($C213,'NEW MODEL BY SES'!$C$19:$R$242,MATCH('SeS in Retail Sales Areas'!Q$7,'NEW MODEL BY SES'!$C$17:$R$17,0),0),"")</f>
        <v/>
      </c>
      <c r="R213" s="142" t="str">
        <f>IFERROR(VLOOKUP($C213,'NEW MODEL BY SES'!$C$19:$R$242,MATCH('SeS in Retail Sales Areas'!R$7,'NEW MODEL BY SES'!$C$17:$R$17,0),0),"")</f>
        <v/>
      </c>
      <c r="S213" s="141" t="str">
        <f>IFERROR(VLOOKUP($C213,'NEW MODEL BY SES'!$C$19:$R$242,MATCH('SeS in Retail Sales Areas'!S$7,'NEW MODEL BY SES'!$C$17:$R$17,0),0),"")</f>
        <v/>
      </c>
      <c r="T213" s="140" t="str">
        <f>IFERROR(VLOOKUP($C213,'NEW MODEL BY SES'!$C$19:$R$242,MATCH('SeS in Retail Sales Areas'!T$7,'NEW MODEL BY SES'!$C$17:$R$17,0),0),"")</f>
        <v/>
      </c>
      <c r="U213" s="142" t="str">
        <f>IFERROR(VLOOKUP($C213,'NEW MODEL BY SES'!$C$19:$R$242,MATCH('SeS in Retail Sales Areas'!U$7,'NEW MODEL BY SES'!$C$17:$R$17,0),0),"")</f>
        <v/>
      </c>
      <c r="V213" s="140" t="str">
        <f>IFERROR(VLOOKUP($C213,'NEW MODEL BY SES'!$C$19:$R$242,MATCH('SeS in Retail Sales Areas'!V$7,'NEW MODEL BY SES'!$C$17:$R$17,0),0),"")</f>
        <v/>
      </c>
      <c r="W213" s="141" t="str">
        <f>IFERROR(VLOOKUP($C213,'NEW MODEL BY SES'!$C$19:$R$242,MATCH('SeS in Retail Sales Areas'!W$7,'NEW MODEL BY SES'!$C$17:$R$17,0),0),"")</f>
        <v/>
      </c>
      <c r="X213" s="140" t="str">
        <f>IFERROR(VLOOKUP($C213,'NEW MODEL BY SES'!$C$19:$R$242,MATCH('SeS in Retail Sales Areas'!X$7,'NEW MODEL BY SES'!$C$17:$R$17,0),0),"")</f>
        <v/>
      </c>
      <c r="Z213" s="57"/>
    </row>
    <row r="214" spans="1:26">
      <c r="A214" t="s">
        <v>1145</v>
      </c>
      <c r="B214" s="57">
        <v>158</v>
      </c>
      <c r="C214" t="s">
        <v>1148</v>
      </c>
      <c r="D214" t="s">
        <v>38</v>
      </c>
      <c r="E214"/>
      <c r="F214" s="140" t="str">
        <f>IFERROR(VLOOKUP($C214,'NEW MODEL BY SES'!$C$19:$R$242,MATCH('SeS in Retail Sales Areas'!F$7,'NEW MODEL BY SES'!$C$17:$R$17,0),0),"")</f>
        <v/>
      </c>
      <c r="G214" s="140" t="str">
        <f>IFERROR(VLOOKUP($C214,'NEW MODEL BY SES'!$C$19:$R$242,MATCH('SeS in Retail Sales Areas'!G$7,'NEW MODEL BY SES'!$C$17:$R$17,0),0),"")</f>
        <v/>
      </c>
      <c r="H214" s="142" t="str">
        <f>IFERROR(VLOOKUP($C214,'NEW MODEL BY SES'!$C$19:$R$242,MATCH('SeS in Retail Sales Areas'!H$7,'NEW MODEL BY SES'!$C$17:$R$17,0),0),"")</f>
        <v/>
      </c>
      <c r="I214" s="140" t="str">
        <f>IFERROR(VLOOKUP($C214,'NEW MODEL BY SES'!$C$19:$R$242,MATCH('SeS in Retail Sales Areas'!I$7,'NEW MODEL BY SES'!$C$17:$R$17,0),0),"")</f>
        <v/>
      </c>
      <c r="J214" s="142" t="str">
        <f>IFERROR(VLOOKUP($C214,'NEW MODEL BY SES'!$C$19:$R$242,MATCH('SeS in Retail Sales Areas'!J$7,'NEW MODEL BY SES'!$C$17:$R$17,0),0),"")</f>
        <v/>
      </c>
      <c r="K214" s="140" t="str">
        <f>IFERROR(VLOOKUP($C214,'NEW MODEL BY SES'!$C$19:$R$242,MATCH('SeS in Retail Sales Areas'!K$7,'NEW MODEL BY SES'!$C$17:$R$17,0),0),"")</f>
        <v/>
      </c>
      <c r="L214" s="142" t="str">
        <f>IFERROR(VLOOKUP($C214,'NEW MODEL BY SES'!$C$19:$R$242,MATCH('SeS in Retail Sales Areas'!L$7,'NEW MODEL BY SES'!$C$17:$R$17,0),0),"")</f>
        <v/>
      </c>
      <c r="M214" s="140" t="str">
        <f>IFERROR(VLOOKUP($C214,'NEW MODEL BY SES'!$C$19:$R$242,MATCH('SeS in Retail Sales Areas'!M$7,'NEW MODEL BY SES'!$C$17:$R$17,0),0),"")</f>
        <v/>
      </c>
      <c r="N214" s="142" t="str">
        <f>IFERROR(VLOOKUP($C214,'NEW MODEL BY SES'!$C$19:$R$242,MATCH('SeS in Retail Sales Areas'!N$7,'NEW MODEL BY SES'!$C$17:$R$17,0),0),"")</f>
        <v/>
      </c>
      <c r="O214" s="140" t="str">
        <f>IFERROR(VLOOKUP($C214,'NEW MODEL BY SES'!$C$19:$R$242,MATCH('SeS in Retail Sales Areas'!O$7,'NEW MODEL BY SES'!$C$17:$R$17,0),0),"")</f>
        <v/>
      </c>
      <c r="P214" s="142" t="str">
        <f>IFERROR(VLOOKUP($C214,'NEW MODEL BY SES'!$C$19:$R$242,MATCH('SeS in Retail Sales Areas'!P$7,'NEW MODEL BY SES'!$C$17:$R$17,0),0),"")</f>
        <v/>
      </c>
      <c r="Q214" s="140" t="str">
        <f>IFERROR(VLOOKUP($C214,'NEW MODEL BY SES'!$C$19:$R$242,MATCH('SeS in Retail Sales Areas'!Q$7,'NEW MODEL BY SES'!$C$17:$R$17,0),0),"")</f>
        <v/>
      </c>
      <c r="R214" s="142" t="str">
        <f>IFERROR(VLOOKUP($C214,'NEW MODEL BY SES'!$C$19:$R$242,MATCH('SeS in Retail Sales Areas'!R$7,'NEW MODEL BY SES'!$C$17:$R$17,0),0),"")</f>
        <v/>
      </c>
      <c r="S214" s="141" t="str">
        <f>IFERROR(VLOOKUP($C214,'NEW MODEL BY SES'!$C$19:$R$242,MATCH('SeS in Retail Sales Areas'!S$7,'NEW MODEL BY SES'!$C$17:$R$17,0),0),"")</f>
        <v/>
      </c>
      <c r="T214" s="140" t="str">
        <f>IFERROR(VLOOKUP($C214,'NEW MODEL BY SES'!$C$19:$R$242,MATCH('SeS in Retail Sales Areas'!T$7,'NEW MODEL BY SES'!$C$17:$R$17,0),0),"")</f>
        <v/>
      </c>
      <c r="U214" s="142" t="str">
        <f>IFERROR(VLOOKUP($C214,'NEW MODEL BY SES'!$C$19:$R$242,MATCH('SeS in Retail Sales Areas'!U$7,'NEW MODEL BY SES'!$C$17:$R$17,0),0),"")</f>
        <v/>
      </c>
      <c r="V214" s="140" t="str">
        <f>IFERROR(VLOOKUP($C214,'NEW MODEL BY SES'!$C$19:$R$242,MATCH('SeS in Retail Sales Areas'!V$7,'NEW MODEL BY SES'!$C$17:$R$17,0),0),"")</f>
        <v/>
      </c>
      <c r="W214" s="141" t="str">
        <f>IFERROR(VLOOKUP($C214,'NEW MODEL BY SES'!$C$19:$R$242,MATCH('SeS in Retail Sales Areas'!W$7,'NEW MODEL BY SES'!$C$17:$R$17,0),0),"")</f>
        <v/>
      </c>
      <c r="X214" s="140" t="str">
        <f>IFERROR(VLOOKUP($C214,'NEW MODEL BY SES'!$C$19:$R$242,MATCH('SeS in Retail Sales Areas'!X$7,'NEW MODEL BY SES'!$C$17:$R$17,0),0),"")</f>
        <v/>
      </c>
      <c r="Z214" s="57"/>
    </row>
    <row r="215" spans="1:26">
      <c r="A215" t="s">
        <v>1145</v>
      </c>
      <c r="B215" s="57">
        <v>148</v>
      </c>
      <c r="C215" t="s">
        <v>1149</v>
      </c>
      <c r="D215" t="s">
        <v>38</v>
      </c>
      <c r="E215"/>
      <c r="F215" s="140" t="str">
        <f>IFERROR(VLOOKUP($C215,'NEW MODEL BY SES'!$C$19:$R$242,MATCH('SeS in Retail Sales Areas'!F$7,'NEW MODEL BY SES'!$C$17:$R$17,0),0),"")</f>
        <v/>
      </c>
      <c r="G215" s="140" t="str">
        <f>IFERROR(VLOOKUP($C215,'NEW MODEL BY SES'!$C$19:$R$242,MATCH('SeS in Retail Sales Areas'!G$7,'NEW MODEL BY SES'!$C$17:$R$17,0),0),"")</f>
        <v/>
      </c>
      <c r="H215" s="142" t="str">
        <f>IFERROR(VLOOKUP($C215,'NEW MODEL BY SES'!$C$19:$R$242,MATCH('SeS in Retail Sales Areas'!H$7,'NEW MODEL BY SES'!$C$17:$R$17,0),0),"")</f>
        <v/>
      </c>
      <c r="I215" s="140" t="str">
        <f>IFERROR(VLOOKUP($C215,'NEW MODEL BY SES'!$C$19:$R$242,MATCH('SeS in Retail Sales Areas'!I$7,'NEW MODEL BY SES'!$C$17:$R$17,0),0),"")</f>
        <v/>
      </c>
      <c r="J215" s="142" t="str">
        <f>IFERROR(VLOOKUP($C215,'NEW MODEL BY SES'!$C$19:$R$242,MATCH('SeS in Retail Sales Areas'!J$7,'NEW MODEL BY SES'!$C$17:$R$17,0),0),"")</f>
        <v/>
      </c>
      <c r="K215" s="140" t="str">
        <f>IFERROR(VLOOKUP($C215,'NEW MODEL BY SES'!$C$19:$R$242,MATCH('SeS in Retail Sales Areas'!K$7,'NEW MODEL BY SES'!$C$17:$R$17,0),0),"")</f>
        <v/>
      </c>
      <c r="L215" s="142" t="str">
        <f>IFERROR(VLOOKUP($C215,'NEW MODEL BY SES'!$C$19:$R$242,MATCH('SeS in Retail Sales Areas'!L$7,'NEW MODEL BY SES'!$C$17:$R$17,0),0),"")</f>
        <v/>
      </c>
      <c r="M215" s="140" t="str">
        <f>IFERROR(VLOOKUP($C215,'NEW MODEL BY SES'!$C$19:$R$242,MATCH('SeS in Retail Sales Areas'!M$7,'NEW MODEL BY SES'!$C$17:$R$17,0),0),"")</f>
        <v/>
      </c>
      <c r="N215" s="142" t="str">
        <f>IFERROR(VLOOKUP($C215,'NEW MODEL BY SES'!$C$19:$R$242,MATCH('SeS in Retail Sales Areas'!N$7,'NEW MODEL BY SES'!$C$17:$R$17,0),0),"")</f>
        <v/>
      </c>
      <c r="O215" s="140" t="str">
        <f>IFERROR(VLOOKUP($C215,'NEW MODEL BY SES'!$C$19:$R$242,MATCH('SeS in Retail Sales Areas'!O$7,'NEW MODEL BY SES'!$C$17:$R$17,0),0),"")</f>
        <v/>
      </c>
      <c r="P215" s="142" t="str">
        <f>IFERROR(VLOOKUP($C215,'NEW MODEL BY SES'!$C$19:$R$242,MATCH('SeS in Retail Sales Areas'!P$7,'NEW MODEL BY SES'!$C$17:$R$17,0),0),"")</f>
        <v/>
      </c>
      <c r="Q215" s="140" t="str">
        <f>IFERROR(VLOOKUP($C215,'NEW MODEL BY SES'!$C$19:$R$242,MATCH('SeS in Retail Sales Areas'!Q$7,'NEW MODEL BY SES'!$C$17:$R$17,0),0),"")</f>
        <v/>
      </c>
      <c r="R215" s="142" t="str">
        <f>IFERROR(VLOOKUP($C215,'NEW MODEL BY SES'!$C$19:$R$242,MATCH('SeS in Retail Sales Areas'!R$7,'NEW MODEL BY SES'!$C$17:$R$17,0),0),"")</f>
        <v/>
      </c>
      <c r="S215" s="141" t="str">
        <f>IFERROR(VLOOKUP($C215,'NEW MODEL BY SES'!$C$19:$R$242,MATCH('SeS in Retail Sales Areas'!S$7,'NEW MODEL BY SES'!$C$17:$R$17,0),0),"")</f>
        <v/>
      </c>
      <c r="T215" s="140" t="str">
        <f>IFERROR(VLOOKUP($C215,'NEW MODEL BY SES'!$C$19:$R$242,MATCH('SeS in Retail Sales Areas'!T$7,'NEW MODEL BY SES'!$C$17:$R$17,0),0),"")</f>
        <v/>
      </c>
      <c r="U215" s="142" t="str">
        <f>IFERROR(VLOOKUP($C215,'NEW MODEL BY SES'!$C$19:$R$242,MATCH('SeS in Retail Sales Areas'!U$7,'NEW MODEL BY SES'!$C$17:$R$17,0),0),"")</f>
        <v/>
      </c>
      <c r="V215" s="140" t="str">
        <f>IFERROR(VLOOKUP($C215,'NEW MODEL BY SES'!$C$19:$R$242,MATCH('SeS in Retail Sales Areas'!V$7,'NEW MODEL BY SES'!$C$17:$R$17,0),0),"")</f>
        <v/>
      </c>
      <c r="W215" s="141" t="str">
        <f>IFERROR(VLOOKUP($C215,'NEW MODEL BY SES'!$C$19:$R$242,MATCH('SeS in Retail Sales Areas'!W$7,'NEW MODEL BY SES'!$C$17:$R$17,0),0),"")</f>
        <v/>
      </c>
      <c r="X215" s="140" t="str">
        <f>IFERROR(VLOOKUP($C215,'NEW MODEL BY SES'!$C$19:$R$242,MATCH('SeS in Retail Sales Areas'!X$7,'NEW MODEL BY SES'!$C$17:$R$17,0),0),"")</f>
        <v/>
      </c>
      <c r="Z215" s="57"/>
    </row>
    <row r="216" spans="1:26">
      <c r="A216" t="s">
        <v>1145</v>
      </c>
      <c r="B216" s="57">
        <v>144</v>
      </c>
      <c r="C216" t="s">
        <v>1150</v>
      </c>
      <c r="D216" t="s">
        <v>38</v>
      </c>
      <c r="E216"/>
      <c r="F216" s="140" t="str">
        <f>IFERROR(VLOOKUP($C216,'NEW MODEL BY SES'!$C$19:$R$242,MATCH('SeS in Retail Sales Areas'!F$7,'NEW MODEL BY SES'!$C$17:$R$17,0),0),"")</f>
        <v/>
      </c>
      <c r="G216" s="140" t="str">
        <f>IFERROR(VLOOKUP($C216,'NEW MODEL BY SES'!$C$19:$R$242,MATCH('SeS in Retail Sales Areas'!G$7,'NEW MODEL BY SES'!$C$17:$R$17,0),0),"")</f>
        <v/>
      </c>
      <c r="H216" s="142" t="str">
        <f>IFERROR(VLOOKUP($C216,'NEW MODEL BY SES'!$C$19:$R$242,MATCH('SeS in Retail Sales Areas'!H$7,'NEW MODEL BY SES'!$C$17:$R$17,0),0),"")</f>
        <v/>
      </c>
      <c r="I216" s="140" t="str">
        <f>IFERROR(VLOOKUP($C216,'NEW MODEL BY SES'!$C$19:$R$242,MATCH('SeS in Retail Sales Areas'!I$7,'NEW MODEL BY SES'!$C$17:$R$17,0),0),"")</f>
        <v/>
      </c>
      <c r="J216" s="142" t="str">
        <f>IFERROR(VLOOKUP($C216,'NEW MODEL BY SES'!$C$19:$R$242,MATCH('SeS in Retail Sales Areas'!J$7,'NEW MODEL BY SES'!$C$17:$R$17,0),0),"")</f>
        <v/>
      </c>
      <c r="K216" s="140" t="str">
        <f>IFERROR(VLOOKUP($C216,'NEW MODEL BY SES'!$C$19:$R$242,MATCH('SeS in Retail Sales Areas'!K$7,'NEW MODEL BY SES'!$C$17:$R$17,0),0),"")</f>
        <v/>
      </c>
      <c r="L216" s="142" t="str">
        <f>IFERROR(VLOOKUP($C216,'NEW MODEL BY SES'!$C$19:$R$242,MATCH('SeS in Retail Sales Areas'!L$7,'NEW MODEL BY SES'!$C$17:$R$17,0),0),"")</f>
        <v/>
      </c>
      <c r="M216" s="140" t="str">
        <f>IFERROR(VLOOKUP($C216,'NEW MODEL BY SES'!$C$19:$R$242,MATCH('SeS in Retail Sales Areas'!M$7,'NEW MODEL BY SES'!$C$17:$R$17,0),0),"")</f>
        <v/>
      </c>
      <c r="N216" s="142" t="str">
        <f>IFERROR(VLOOKUP($C216,'NEW MODEL BY SES'!$C$19:$R$242,MATCH('SeS in Retail Sales Areas'!N$7,'NEW MODEL BY SES'!$C$17:$R$17,0),0),"")</f>
        <v/>
      </c>
      <c r="O216" s="140" t="str">
        <f>IFERROR(VLOOKUP($C216,'NEW MODEL BY SES'!$C$19:$R$242,MATCH('SeS in Retail Sales Areas'!O$7,'NEW MODEL BY SES'!$C$17:$R$17,0),0),"")</f>
        <v/>
      </c>
      <c r="P216" s="142" t="str">
        <f>IFERROR(VLOOKUP($C216,'NEW MODEL BY SES'!$C$19:$R$242,MATCH('SeS in Retail Sales Areas'!P$7,'NEW MODEL BY SES'!$C$17:$R$17,0),0),"")</f>
        <v/>
      </c>
      <c r="Q216" s="140" t="str">
        <f>IFERROR(VLOOKUP($C216,'NEW MODEL BY SES'!$C$19:$R$242,MATCH('SeS in Retail Sales Areas'!Q$7,'NEW MODEL BY SES'!$C$17:$R$17,0),0),"")</f>
        <v/>
      </c>
      <c r="R216" s="142" t="str">
        <f>IFERROR(VLOOKUP($C216,'NEW MODEL BY SES'!$C$19:$R$242,MATCH('SeS in Retail Sales Areas'!R$7,'NEW MODEL BY SES'!$C$17:$R$17,0),0),"")</f>
        <v/>
      </c>
      <c r="S216" s="141" t="str">
        <f>IFERROR(VLOOKUP($C216,'NEW MODEL BY SES'!$C$19:$R$242,MATCH('SeS in Retail Sales Areas'!S$7,'NEW MODEL BY SES'!$C$17:$R$17,0),0),"")</f>
        <v/>
      </c>
      <c r="T216" s="140" t="str">
        <f>IFERROR(VLOOKUP($C216,'NEW MODEL BY SES'!$C$19:$R$242,MATCH('SeS in Retail Sales Areas'!T$7,'NEW MODEL BY SES'!$C$17:$R$17,0),0),"")</f>
        <v/>
      </c>
      <c r="U216" s="142" t="str">
        <f>IFERROR(VLOOKUP($C216,'NEW MODEL BY SES'!$C$19:$R$242,MATCH('SeS in Retail Sales Areas'!U$7,'NEW MODEL BY SES'!$C$17:$R$17,0),0),"")</f>
        <v/>
      </c>
      <c r="V216" s="140" t="str">
        <f>IFERROR(VLOOKUP($C216,'NEW MODEL BY SES'!$C$19:$R$242,MATCH('SeS in Retail Sales Areas'!V$7,'NEW MODEL BY SES'!$C$17:$R$17,0),0),"")</f>
        <v/>
      </c>
      <c r="W216" s="141" t="str">
        <f>IFERROR(VLOOKUP($C216,'NEW MODEL BY SES'!$C$19:$R$242,MATCH('SeS in Retail Sales Areas'!W$7,'NEW MODEL BY SES'!$C$17:$R$17,0),0),"")</f>
        <v/>
      </c>
      <c r="X216" s="140" t="str">
        <f>IFERROR(VLOOKUP($C216,'NEW MODEL BY SES'!$C$19:$R$242,MATCH('SeS in Retail Sales Areas'!X$7,'NEW MODEL BY SES'!$C$17:$R$17,0),0),"")</f>
        <v/>
      </c>
      <c r="Z216" s="57"/>
    </row>
    <row r="217" spans="1:26">
      <c r="A217" t="s">
        <v>1145</v>
      </c>
      <c r="B217" s="57">
        <v>128</v>
      </c>
      <c r="C217" t="s">
        <v>1151</v>
      </c>
      <c r="D217" t="s">
        <v>38</v>
      </c>
      <c r="E217"/>
      <c r="F217" s="140" t="str">
        <f>IFERROR(VLOOKUP($C217,'NEW MODEL BY SES'!$C$19:$R$242,MATCH('SeS in Retail Sales Areas'!F$7,'NEW MODEL BY SES'!$C$17:$R$17,0),0),"")</f>
        <v/>
      </c>
      <c r="G217" s="140" t="str">
        <f>IFERROR(VLOOKUP($C217,'NEW MODEL BY SES'!$C$19:$R$242,MATCH('SeS in Retail Sales Areas'!G$7,'NEW MODEL BY SES'!$C$17:$R$17,0),0),"")</f>
        <v/>
      </c>
      <c r="H217" s="142" t="str">
        <f>IFERROR(VLOOKUP($C217,'NEW MODEL BY SES'!$C$19:$R$242,MATCH('SeS in Retail Sales Areas'!H$7,'NEW MODEL BY SES'!$C$17:$R$17,0),0),"")</f>
        <v/>
      </c>
      <c r="I217" s="140" t="str">
        <f>IFERROR(VLOOKUP($C217,'NEW MODEL BY SES'!$C$19:$R$242,MATCH('SeS in Retail Sales Areas'!I$7,'NEW MODEL BY SES'!$C$17:$R$17,0),0),"")</f>
        <v/>
      </c>
      <c r="J217" s="142" t="str">
        <f>IFERROR(VLOOKUP($C217,'NEW MODEL BY SES'!$C$19:$R$242,MATCH('SeS in Retail Sales Areas'!J$7,'NEW MODEL BY SES'!$C$17:$R$17,0),0),"")</f>
        <v/>
      </c>
      <c r="K217" s="140" t="str">
        <f>IFERROR(VLOOKUP($C217,'NEW MODEL BY SES'!$C$19:$R$242,MATCH('SeS in Retail Sales Areas'!K$7,'NEW MODEL BY SES'!$C$17:$R$17,0),0),"")</f>
        <v/>
      </c>
      <c r="L217" s="142" t="str">
        <f>IFERROR(VLOOKUP($C217,'NEW MODEL BY SES'!$C$19:$R$242,MATCH('SeS in Retail Sales Areas'!L$7,'NEW MODEL BY SES'!$C$17:$R$17,0),0),"")</f>
        <v/>
      </c>
      <c r="M217" s="140" t="str">
        <f>IFERROR(VLOOKUP($C217,'NEW MODEL BY SES'!$C$19:$R$242,MATCH('SeS in Retail Sales Areas'!M$7,'NEW MODEL BY SES'!$C$17:$R$17,0),0),"")</f>
        <v/>
      </c>
      <c r="N217" s="142" t="str">
        <f>IFERROR(VLOOKUP($C217,'NEW MODEL BY SES'!$C$19:$R$242,MATCH('SeS in Retail Sales Areas'!N$7,'NEW MODEL BY SES'!$C$17:$R$17,0),0),"")</f>
        <v/>
      </c>
      <c r="O217" s="140" t="str">
        <f>IFERROR(VLOOKUP($C217,'NEW MODEL BY SES'!$C$19:$R$242,MATCH('SeS in Retail Sales Areas'!O$7,'NEW MODEL BY SES'!$C$17:$R$17,0),0),"")</f>
        <v/>
      </c>
      <c r="P217" s="142" t="str">
        <f>IFERROR(VLOOKUP($C217,'NEW MODEL BY SES'!$C$19:$R$242,MATCH('SeS in Retail Sales Areas'!P$7,'NEW MODEL BY SES'!$C$17:$R$17,0),0),"")</f>
        <v/>
      </c>
      <c r="Q217" s="140" t="str">
        <f>IFERROR(VLOOKUP($C217,'NEW MODEL BY SES'!$C$19:$R$242,MATCH('SeS in Retail Sales Areas'!Q$7,'NEW MODEL BY SES'!$C$17:$R$17,0),0),"")</f>
        <v/>
      </c>
      <c r="R217" s="142" t="str">
        <f>IFERROR(VLOOKUP($C217,'NEW MODEL BY SES'!$C$19:$R$242,MATCH('SeS in Retail Sales Areas'!R$7,'NEW MODEL BY SES'!$C$17:$R$17,0),0),"")</f>
        <v/>
      </c>
      <c r="S217" s="141" t="str">
        <f>IFERROR(VLOOKUP($C217,'NEW MODEL BY SES'!$C$19:$R$242,MATCH('SeS in Retail Sales Areas'!S$7,'NEW MODEL BY SES'!$C$17:$R$17,0),0),"")</f>
        <v/>
      </c>
      <c r="T217" s="140" t="str">
        <f>IFERROR(VLOOKUP($C217,'NEW MODEL BY SES'!$C$19:$R$242,MATCH('SeS in Retail Sales Areas'!T$7,'NEW MODEL BY SES'!$C$17:$R$17,0),0),"")</f>
        <v/>
      </c>
      <c r="U217" s="142" t="str">
        <f>IFERROR(VLOOKUP($C217,'NEW MODEL BY SES'!$C$19:$R$242,MATCH('SeS in Retail Sales Areas'!U$7,'NEW MODEL BY SES'!$C$17:$R$17,0),0),"")</f>
        <v/>
      </c>
      <c r="V217" s="140" t="str">
        <f>IFERROR(VLOOKUP($C217,'NEW MODEL BY SES'!$C$19:$R$242,MATCH('SeS in Retail Sales Areas'!V$7,'NEW MODEL BY SES'!$C$17:$R$17,0),0),"")</f>
        <v/>
      </c>
      <c r="W217" s="141" t="str">
        <f>IFERROR(VLOOKUP($C217,'NEW MODEL BY SES'!$C$19:$R$242,MATCH('SeS in Retail Sales Areas'!W$7,'NEW MODEL BY SES'!$C$17:$R$17,0),0),"")</f>
        <v/>
      </c>
      <c r="X217" s="140" t="str">
        <f>IFERROR(VLOOKUP($C217,'NEW MODEL BY SES'!$C$19:$R$242,MATCH('SeS in Retail Sales Areas'!X$7,'NEW MODEL BY SES'!$C$17:$R$17,0),0),"")</f>
        <v/>
      </c>
      <c r="Z217" s="57"/>
    </row>
    <row r="218" spans="1:26">
      <c r="A218" t="s">
        <v>1145</v>
      </c>
      <c r="B218" s="57">
        <v>118</v>
      </c>
      <c r="C218" t="s">
        <v>1152</v>
      </c>
      <c r="D218" t="s">
        <v>40</v>
      </c>
      <c r="E218"/>
      <c r="F218" s="140" t="str">
        <f>IFERROR(VLOOKUP($C218,'NEW MODEL BY SES'!$C$19:$R$242,MATCH('SeS in Retail Sales Areas'!F$7,'NEW MODEL BY SES'!$C$17:$R$17,0),0),"")</f>
        <v/>
      </c>
      <c r="G218" s="140" t="str">
        <f>IFERROR(VLOOKUP($C218,'NEW MODEL BY SES'!$C$19:$R$242,MATCH('SeS in Retail Sales Areas'!G$7,'NEW MODEL BY SES'!$C$17:$R$17,0),0),"")</f>
        <v/>
      </c>
      <c r="H218" s="142" t="str">
        <f>IFERROR(VLOOKUP($C218,'NEW MODEL BY SES'!$C$19:$R$242,MATCH('SeS in Retail Sales Areas'!H$7,'NEW MODEL BY SES'!$C$17:$R$17,0),0),"")</f>
        <v/>
      </c>
      <c r="I218" s="140" t="str">
        <f>IFERROR(VLOOKUP($C218,'NEW MODEL BY SES'!$C$19:$R$242,MATCH('SeS in Retail Sales Areas'!I$7,'NEW MODEL BY SES'!$C$17:$R$17,0),0),"")</f>
        <v/>
      </c>
      <c r="J218" s="142" t="str">
        <f>IFERROR(VLOOKUP($C218,'NEW MODEL BY SES'!$C$19:$R$242,MATCH('SeS in Retail Sales Areas'!J$7,'NEW MODEL BY SES'!$C$17:$R$17,0),0),"")</f>
        <v/>
      </c>
      <c r="K218" s="140" t="str">
        <f>IFERROR(VLOOKUP($C218,'NEW MODEL BY SES'!$C$19:$R$242,MATCH('SeS in Retail Sales Areas'!K$7,'NEW MODEL BY SES'!$C$17:$R$17,0),0),"")</f>
        <v/>
      </c>
      <c r="L218" s="142" t="str">
        <f>IFERROR(VLOOKUP($C218,'NEW MODEL BY SES'!$C$19:$R$242,MATCH('SeS in Retail Sales Areas'!L$7,'NEW MODEL BY SES'!$C$17:$R$17,0),0),"")</f>
        <v/>
      </c>
      <c r="M218" s="140" t="str">
        <f>IFERROR(VLOOKUP($C218,'NEW MODEL BY SES'!$C$19:$R$242,MATCH('SeS in Retail Sales Areas'!M$7,'NEW MODEL BY SES'!$C$17:$R$17,0),0),"")</f>
        <v/>
      </c>
      <c r="N218" s="142" t="str">
        <f>IFERROR(VLOOKUP($C218,'NEW MODEL BY SES'!$C$19:$R$242,MATCH('SeS in Retail Sales Areas'!N$7,'NEW MODEL BY SES'!$C$17:$R$17,0),0),"")</f>
        <v/>
      </c>
      <c r="O218" s="140" t="str">
        <f>IFERROR(VLOOKUP($C218,'NEW MODEL BY SES'!$C$19:$R$242,MATCH('SeS in Retail Sales Areas'!O$7,'NEW MODEL BY SES'!$C$17:$R$17,0),0),"")</f>
        <v/>
      </c>
      <c r="P218" s="142" t="str">
        <f>IFERROR(VLOOKUP($C218,'NEW MODEL BY SES'!$C$19:$R$242,MATCH('SeS in Retail Sales Areas'!P$7,'NEW MODEL BY SES'!$C$17:$R$17,0),0),"")</f>
        <v/>
      </c>
      <c r="Q218" s="140" t="str">
        <f>IFERROR(VLOOKUP($C218,'NEW MODEL BY SES'!$C$19:$R$242,MATCH('SeS in Retail Sales Areas'!Q$7,'NEW MODEL BY SES'!$C$17:$R$17,0),0),"")</f>
        <v/>
      </c>
      <c r="R218" s="142" t="str">
        <f>IFERROR(VLOOKUP($C218,'NEW MODEL BY SES'!$C$19:$R$242,MATCH('SeS in Retail Sales Areas'!R$7,'NEW MODEL BY SES'!$C$17:$R$17,0),0),"")</f>
        <v/>
      </c>
      <c r="S218" s="141" t="str">
        <f>IFERROR(VLOOKUP($C218,'NEW MODEL BY SES'!$C$19:$R$242,MATCH('SeS in Retail Sales Areas'!S$7,'NEW MODEL BY SES'!$C$17:$R$17,0),0),"")</f>
        <v/>
      </c>
      <c r="T218" s="140" t="str">
        <f>IFERROR(VLOOKUP($C218,'NEW MODEL BY SES'!$C$19:$R$242,MATCH('SeS in Retail Sales Areas'!T$7,'NEW MODEL BY SES'!$C$17:$R$17,0),0),"")</f>
        <v/>
      </c>
      <c r="U218" s="142" t="str">
        <f>IFERROR(VLOOKUP($C218,'NEW MODEL BY SES'!$C$19:$R$242,MATCH('SeS in Retail Sales Areas'!U$7,'NEW MODEL BY SES'!$C$17:$R$17,0),0),"")</f>
        <v/>
      </c>
      <c r="V218" s="140" t="str">
        <f>IFERROR(VLOOKUP($C218,'NEW MODEL BY SES'!$C$19:$R$242,MATCH('SeS in Retail Sales Areas'!V$7,'NEW MODEL BY SES'!$C$17:$R$17,0),0),"")</f>
        <v/>
      </c>
      <c r="W218" s="141" t="str">
        <f>IFERROR(VLOOKUP($C218,'NEW MODEL BY SES'!$C$19:$R$242,MATCH('SeS in Retail Sales Areas'!W$7,'NEW MODEL BY SES'!$C$17:$R$17,0),0),"")</f>
        <v/>
      </c>
      <c r="X218" s="140" t="str">
        <f>IFERROR(VLOOKUP($C218,'NEW MODEL BY SES'!$C$19:$R$242,MATCH('SeS in Retail Sales Areas'!X$7,'NEW MODEL BY SES'!$C$17:$R$17,0),0),"")</f>
        <v/>
      </c>
      <c r="Z218" s="57"/>
    </row>
    <row r="219" spans="1:26">
      <c r="A219" t="s">
        <v>1145</v>
      </c>
      <c r="B219" s="57">
        <v>109</v>
      </c>
      <c r="C219" t="s">
        <v>1153</v>
      </c>
      <c r="D219" t="s">
        <v>40</v>
      </c>
      <c r="E219"/>
      <c r="F219" s="140" t="str">
        <f>IFERROR(VLOOKUP($C219,'NEW MODEL BY SES'!$C$19:$R$242,MATCH('SeS in Retail Sales Areas'!F$7,'NEW MODEL BY SES'!$C$17:$R$17,0),0),"")</f>
        <v/>
      </c>
      <c r="G219" s="140" t="str">
        <f>IFERROR(VLOOKUP($C219,'NEW MODEL BY SES'!$C$19:$R$242,MATCH('SeS in Retail Sales Areas'!G$7,'NEW MODEL BY SES'!$C$17:$R$17,0),0),"")</f>
        <v/>
      </c>
      <c r="H219" s="142" t="str">
        <f>IFERROR(VLOOKUP($C219,'NEW MODEL BY SES'!$C$19:$R$242,MATCH('SeS in Retail Sales Areas'!H$7,'NEW MODEL BY SES'!$C$17:$R$17,0),0),"")</f>
        <v/>
      </c>
      <c r="I219" s="140" t="str">
        <f>IFERROR(VLOOKUP($C219,'NEW MODEL BY SES'!$C$19:$R$242,MATCH('SeS in Retail Sales Areas'!I$7,'NEW MODEL BY SES'!$C$17:$R$17,0),0),"")</f>
        <v/>
      </c>
      <c r="J219" s="142" t="str">
        <f>IFERROR(VLOOKUP($C219,'NEW MODEL BY SES'!$C$19:$R$242,MATCH('SeS in Retail Sales Areas'!J$7,'NEW MODEL BY SES'!$C$17:$R$17,0),0),"")</f>
        <v/>
      </c>
      <c r="K219" s="140" t="str">
        <f>IFERROR(VLOOKUP($C219,'NEW MODEL BY SES'!$C$19:$R$242,MATCH('SeS in Retail Sales Areas'!K$7,'NEW MODEL BY SES'!$C$17:$R$17,0),0),"")</f>
        <v/>
      </c>
      <c r="L219" s="142" t="str">
        <f>IFERROR(VLOOKUP($C219,'NEW MODEL BY SES'!$C$19:$R$242,MATCH('SeS in Retail Sales Areas'!L$7,'NEW MODEL BY SES'!$C$17:$R$17,0),0),"")</f>
        <v/>
      </c>
      <c r="M219" s="140" t="str">
        <f>IFERROR(VLOOKUP($C219,'NEW MODEL BY SES'!$C$19:$R$242,MATCH('SeS in Retail Sales Areas'!M$7,'NEW MODEL BY SES'!$C$17:$R$17,0),0),"")</f>
        <v/>
      </c>
      <c r="N219" s="142" t="str">
        <f>IFERROR(VLOOKUP($C219,'NEW MODEL BY SES'!$C$19:$R$242,MATCH('SeS in Retail Sales Areas'!N$7,'NEW MODEL BY SES'!$C$17:$R$17,0),0),"")</f>
        <v/>
      </c>
      <c r="O219" s="140" t="str">
        <f>IFERROR(VLOOKUP($C219,'NEW MODEL BY SES'!$C$19:$R$242,MATCH('SeS in Retail Sales Areas'!O$7,'NEW MODEL BY SES'!$C$17:$R$17,0),0),"")</f>
        <v/>
      </c>
      <c r="P219" s="142" t="str">
        <f>IFERROR(VLOOKUP($C219,'NEW MODEL BY SES'!$C$19:$R$242,MATCH('SeS in Retail Sales Areas'!P$7,'NEW MODEL BY SES'!$C$17:$R$17,0),0),"")</f>
        <v/>
      </c>
      <c r="Q219" s="140" t="str">
        <f>IFERROR(VLOOKUP($C219,'NEW MODEL BY SES'!$C$19:$R$242,MATCH('SeS in Retail Sales Areas'!Q$7,'NEW MODEL BY SES'!$C$17:$R$17,0),0),"")</f>
        <v/>
      </c>
      <c r="R219" s="142" t="str">
        <f>IFERROR(VLOOKUP($C219,'NEW MODEL BY SES'!$C$19:$R$242,MATCH('SeS in Retail Sales Areas'!R$7,'NEW MODEL BY SES'!$C$17:$R$17,0),0),"")</f>
        <v/>
      </c>
      <c r="S219" s="141" t="str">
        <f>IFERROR(VLOOKUP($C219,'NEW MODEL BY SES'!$C$19:$R$242,MATCH('SeS in Retail Sales Areas'!S$7,'NEW MODEL BY SES'!$C$17:$R$17,0),0),"")</f>
        <v/>
      </c>
      <c r="T219" s="140" t="str">
        <f>IFERROR(VLOOKUP($C219,'NEW MODEL BY SES'!$C$19:$R$242,MATCH('SeS in Retail Sales Areas'!T$7,'NEW MODEL BY SES'!$C$17:$R$17,0),0),"")</f>
        <v/>
      </c>
      <c r="U219" s="142" t="str">
        <f>IFERROR(VLOOKUP($C219,'NEW MODEL BY SES'!$C$19:$R$242,MATCH('SeS in Retail Sales Areas'!U$7,'NEW MODEL BY SES'!$C$17:$R$17,0),0),"")</f>
        <v/>
      </c>
      <c r="V219" s="140" t="str">
        <f>IFERROR(VLOOKUP($C219,'NEW MODEL BY SES'!$C$19:$R$242,MATCH('SeS in Retail Sales Areas'!V$7,'NEW MODEL BY SES'!$C$17:$R$17,0),0),"")</f>
        <v/>
      </c>
      <c r="W219" s="141" t="str">
        <f>IFERROR(VLOOKUP($C219,'NEW MODEL BY SES'!$C$19:$R$242,MATCH('SeS in Retail Sales Areas'!W$7,'NEW MODEL BY SES'!$C$17:$R$17,0),0),"")</f>
        <v/>
      </c>
      <c r="X219" s="140" t="str">
        <f>IFERROR(VLOOKUP($C219,'NEW MODEL BY SES'!$C$19:$R$242,MATCH('SeS in Retail Sales Areas'!X$7,'NEW MODEL BY SES'!$C$17:$R$17,0),0),"")</f>
        <v/>
      </c>
      <c r="Z219" s="57"/>
    </row>
    <row r="220" spans="1:26">
      <c r="A220" t="s">
        <v>1145</v>
      </c>
      <c r="B220" s="57">
        <v>109</v>
      </c>
      <c r="C220" t="s">
        <v>1154</v>
      </c>
      <c r="D220" t="s">
        <v>40</v>
      </c>
      <c r="E220"/>
      <c r="F220" s="140" t="str">
        <f>IFERROR(VLOOKUP($C220,'NEW MODEL BY SES'!$C$19:$R$242,MATCH('SeS in Retail Sales Areas'!F$7,'NEW MODEL BY SES'!$C$17:$R$17,0),0),"")</f>
        <v/>
      </c>
      <c r="G220" s="140" t="str">
        <f>IFERROR(VLOOKUP($C220,'NEW MODEL BY SES'!$C$19:$R$242,MATCH('SeS in Retail Sales Areas'!G$7,'NEW MODEL BY SES'!$C$17:$R$17,0),0),"")</f>
        <v/>
      </c>
      <c r="H220" s="142" t="str">
        <f>IFERROR(VLOOKUP($C220,'NEW MODEL BY SES'!$C$19:$R$242,MATCH('SeS in Retail Sales Areas'!H$7,'NEW MODEL BY SES'!$C$17:$R$17,0),0),"")</f>
        <v/>
      </c>
      <c r="I220" s="140" t="str">
        <f>IFERROR(VLOOKUP($C220,'NEW MODEL BY SES'!$C$19:$R$242,MATCH('SeS in Retail Sales Areas'!I$7,'NEW MODEL BY SES'!$C$17:$R$17,0),0),"")</f>
        <v/>
      </c>
      <c r="J220" s="142" t="str">
        <f>IFERROR(VLOOKUP($C220,'NEW MODEL BY SES'!$C$19:$R$242,MATCH('SeS in Retail Sales Areas'!J$7,'NEW MODEL BY SES'!$C$17:$R$17,0),0),"")</f>
        <v/>
      </c>
      <c r="K220" s="140" t="str">
        <f>IFERROR(VLOOKUP($C220,'NEW MODEL BY SES'!$C$19:$R$242,MATCH('SeS in Retail Sales Areas'!K$7,'NEW MODEL BY SES'!$C$17:$R$17,0),0),"")</f>
        <v/>
      </c>
      <c r="L220" s="142" t="str">
        <f>IFERROR(VLOOKUP($C220,'NEW MODEL BY SES'!$C$19:$R$242,MATCH('SeS in Retail Sales Areas'!L$7,'NEW MODEL BY SES'!$C$17:$R$17,0),0),"")</f>
        <v/>
      </c>
      <c r="M220" s="140" t="str">
        <f>IFERROR(VLOOKUP($C220,'NEW MODEL BY SES'!$C$19:$R$242,MATCH('SeS in Retail Sales Areas'!M$7,'NEW MODEL BY SES'!$C$17:$R$17,0),0),"")</f>
        <v/>
      </c>
      <c r="N220" s="142" t="str">
        <f>IFERROR(VLOOKUP($C220,'NEW MODEL BY SES'!$C$19:$R$242,MATCH('SeS in Retail Sales Areas'!N$7,'NEW MODEL BY SES'!$C$17:$R$17,0),0),"")</f>
        <v/>
      </c>
      <c r="O220" s="140" t="str">
        <f>IFERROR(VLOOKUP($C220,'NEW MODEL BY SES'!$C$19:$R$242,MATCH('SeS in Retail Sales Areas'!O$7,'NEW MODEL BY SES'!$C$17:$R$17,0),0),"")</f>
        <v/>
      </c>
      <c r="P220" s="142" t="str">
        <f>IFERROR(VLOOKUP($C220,'NEW MODEL BY SES'!$C$19:$R$242,MATCH('SeS in Retail Sales Areas'!P$7,'NEW MODEL BY SES'!$C$17:$R$17,0),0),"")</f>
        <v/>
      </c>
      <c r="Q220" s="140" t="str">
        <f>IFERROR(VLOOKUP($C220,'NEW MODEL BY SES'!$C$19:$R$242,MATCH('SeS in Retail Sales Areas'!Q$7,'NEW MODEL BY SES'!$C$17:$R$17,0),0),"")</f>
        <v/>
      </c>
      <c r="R220" s="142" t="str">
        <f>IFERROR(VLOOKUP($C220,'NEW MODEL BY SES'!$C$19:$R$242,MATCH('SeS in Retail Sales Areas'!R$7,'NEW MODEL BY SES'!$C$17:$R$17,0),0),"")</f>
        <v/>
      </c>
      <c r="S220" s="141" t="str">
        <f>IFERROR(VLOOKUP($C220,'NEW MODEL BY SES'!$C$19:$R$242,MATCH('SeS in Retail Sales Areas'!S$7,'NEW MODEL BY SES'!$C$17:$R$17,0),0),"")</f>
        <v/>
      </c>
      <c r="T220" s="140" t="str">
        <f>IFERROR(VLOOKUP($C220,'NEW MODEL BY SES'!$C$19:$R$242,MATCH('SeS in Retail Sales Areas'!T$7,'NEW MODEL BY SES'!$C$17:$R$17,0),0),"")</f>
        <v/>
      </c>
      <c r="U220" s="142" t="str">
        <f>IFERROR(VLOOKUP($C220,'NEW MODEL BY SES'!$C$19:$R$242,MATCH('SeS in Retail Sales Areas'!U$7,'NEW MODEL BY SES'!$C$17:$R$17,0),0),"")</f>
        <v/>
      </c>
      <c r="V220" s="140" t="str">
        <f>IFERROR(VLOOKUP($C220,'NEW MODEL BY SES'!$C$19:$R$242,MATCH('SeS in Retail Sales Areas'!V$7,'NEW MODEL BY SES'!$C$17:$R$17,0),0),"")</f>
        <v/>
      </c>
      <c r="W220" s="141" t="str">
        <f>IFERROR(VLOOKUP($C220,'NEW MODEL BY SES'!$C$19:$R$242,MATCH('SeS in Retail Sales Areas'!W$7,'NEW MODEL BY SES'!$C$17:$R$17,0),0),"")</f>
        <v/>
      </c>
      <c r="X220" s="140" t="str">
        <f>IFERROR(VLOOKUP($C220,'NEW MODEL BY SES'!$C$19:$R$242,MATCH('SeS in Retail Sales Areas'!X$7,'NEW MODEL BY SES'!$C$17:$R$17,0),0),"")</f>
        <v/>
      </c>
      <c r="Z220" s="57"/>
    </row>
    <row r="221" spans="1:26">
      <c r="A221" t="s">
        <v>1145</v>
      </c>
      <c r="B221" s="57">
        <v>104</v>
      </c>
      <c r="C221" t="s">
        <v>1155</v>
      </c>
      <c r="D221" t="s">
        <v>40</v>
      </c>
      <c r="E221"/>
      <c r="F221" s="140" t="str">
        <f>IFERROR(VLOOKUP($C221,'NEW MODEL BY SES'!$C$19:$R$242,MATCH('SeS in Retail Sales Areas'!F$7,'NEW MODEL BY SES'!$C$17:$R$17,0),0),"")</f>
        <v/>
      </c>
      <c r="G221" s="140" t="str">
        <f>IFERROR(VLOOKUP($C221,'NEW MODEL BY SES'!$C$19:$R$242,MATCH('SeS in Retail Sales Areas'!G$7,'NEW MODEL BY SES'!$C$17:$R$17,0),0),"")</f>
        <v/>
      </c>
      <c r="H221" s="142" t="str">
        <f>IFERROR(VLOOKUP($C221,'NEW MODEL BY SES'!$C$19:$R$242,MATCH('SeS in Retail Sales Areas'!H$7,'NEW MODEL BY SES'!$C$17:$R$17,0),0),"")</f>
        <v/>
      </c>
      <c r="I221" s="140" t="str">
        <f>IFERROR(VLOOKUP($C221,'NEW MODEL BY SES'!$C$19:$R$242,MATCH('SeS in Retail Sales Areas'!I$7,'NEW MODEL BY SES'!$C$17:$R$17,0),0),"")</f>
        <v/>
      </c>
      <c r="J221" s="142" t="str">
        <f>IFERROR(VLOOKUP($C221,'NEW MODEL BY SES'!$C$19:$R$242,MATCH('SeS in Retail Sales Areas'!J$7,'NEW MODEL BY SES'!$C$17:$R$17,0),0),"")</f>
        <v/>
      </c>
      <c r="K221" s="140" t="str">
        <f>IFERROR(VLOOKUP($C221,'NEW MODEL BY SES'!$C$19:$R$242,MATCH('SeS in Retail Sales Areas'!K$7,'NEW MODEL BY SES'!$C$17:$R$17,0),0),"")</f>
        <v/>
      </c>
      <c r="L221" s="142" t="str">
        <f>IFERROR(VLOOKUP($C221,'NEW MODEL BY SES'!$C$19:$R$242,MATCH('SeS in Retail Sales Areas'!L$7,'NEW MODEL BY SES'!$C$17:$R$17,0),0),"")</f>
        <v/>
      </c>
      <c r="M221" s="140" t="str">
        <f>IFERROR(VLOOKUP($C221,'NEW MODEL BY SES'!$C$19:$R$242,MATCH('SeS in Retail Sales Areas'!M$7,'NEW MODEL BY SES'!$C$17:$R$17,0),0),"")</f>
        <v/>
      </c>
      <c r="N221" s="142" t="str">
        <f>IFERROR(VLOOKUP($C221,'NEW MODEL BY SES'!$C$19:$R$242,MATCH('SeS in Retail Sales Areas'!N$7,'NEW MODEL BY SES'!$C$17:$R$17,0),0),"")</f>
        <v/>
      </c>
      <c r="O221" s="140" t="str">
        <f>IFERROR(VLOOKUP($C221,'NEW MODEL BY SES'!$C$19:$R$242,MATCH('SeS in Retail Sales Areas'!O$7,'NEW MODEL BY SES'!$C$17:$R$17,0),0),"")</f>
        <v/>
      </c>
      <c r="P221" s="142" t="str">
        <f>IFERROR(VLOOKUP($C221,'NEW MODEL BY SES'!$C$19:$R$242,MATCH('SeS in Retail Sales Areas'!P$7,'NEW MODEL BY SES'!$C$17:$R$17,0),0),"")</f>
        <v/>
      </c>
      <c r="Q221" s="140" t="str">
        <f>IFERROR(VLOOKUP($C221,'NEW MODEL BY SES'!$C$19:$R$242,MATCH('SeS in Retail Sales Areas'!Q$7,'NEW MODEL BY SES'!$C$17:$R$17,0),0),"")</f>
        <v/>
      </c>
      <c r="R221" s="142" t="str">
        <f>IFERROR(VLOOKUP($C221,'NEW MODEL BY SES'!$C$19:$R$242,MATCH('SeS in Retail Sales Areas'!R$7,'NEW MODEL BY SES'!$C$17:$R$17,0),0),"")</f>
        <v/>
      </c>
      <c r="S221" s="141" t="str">
        <f>IFERROR(VLOOKUP($C221,'NEW MODEL BY SES'!$C$19:$R$242,MATCH('SeS in Retail Sales Areas'!S$7,'NEW MODEL BY SES'!$C$17:$R$17,0),0),"")</f>
        <v/>
      </c>
      <c r="T221" s="140" t="str">
        <f>IFERROR(VLOOKUP($C221,'NEW MODEL BY SES'!$C$19:$R$242,MATCH('SeS in Retail Sales Areas'!T$7,'NEW MODEL BY SES'!$C$17:$R$17,0),0),"")</f>
        <v/>
      </c>
      <c r="U221" s="142" t="str">
        <f>IFERROR(VLOOKUP($C221,'NEW MODEL BY SES'!$C$19:$R$242,MATCH('SeS in Retail Sales Areas'!U$7,'NEW MODEL BY SES'!$C$17:$R$17,0),0),"")</f>
        <v/>
      </c>
      <c r="V221" s="140" t="str">
        <f>IFERROR(VLOOKUP($C221,'NEW MODEL BY SES'!$C$19:$R$242,MATCH('SeS in Retail Sales Areas'!V$7,'NEW MODEL BY SES'!$C$17:$R$17,0),0),"")</f>
        <v/>
      </c>
      <c r="W221" s="141" t="str">
        <f>IFERROR(VLOOKUP($C221,'NEW MODEL BY SES'!$C$19:$R$242,MATCH('SeS in Retail Sales Areas'!W$7,'NEW MODEL BY SES'!$C$17:$R$17,0),0),"")</f>
        <v/>
      </c>
      <c r="X221" s="140" t="str">
        <f>IFERROR(VLOOKUP($C221,'NEW MODEL BY SES'!$C$19:$R$242,MATCH('SeS in Retail Sales Areas'!X$7,'NEW MODEL BY SES'!$C$17:$R$17,0),0),"")</f>
        <v/>
      </c>
      <c r="Z221" s="57"/>
    </row>
    <row r="222" spans="1:26">
      <c r="A222" t="s">
        <v>1145</v>
      </c>
      <c r="B222" s="57">
        <v>103</v>
      </c>
      <c r="C222" t="s">
        <v>1156</v>
      </c>
      <c r="D222" t="s">
        <v>40</v>
      </c>
      <c r="E222"/>
      <c r="F222" s="140" t="str">
        <f>IFERROR(VLOOKUP($C222,'NEW MODEL BY SES'!$C$19:$R$242,MATCH('SeS in Retail Sales Areas'!F$7,'NEW MODEL BY SES'!$C$17:$R$17,0),0),"")</f>
        <v/>
      </c>
      <c r="G222" s="140" t="str">
        <f>IFERROR(VLOOKUP($C222,'NEW MODEL BY SES'!$C$19:$R$242,MATCH('SeS in Retail Sales Areas'!G$7,'NEW MODEL BY SES'!$C$17:$R$17,0),0),"")</f>
        <v/>
      </c>
      <c r="H222" s="142" t="str">
        <f>IFERROR(VLOOKUP($C222,'NEW MODEL BY SES'!$C$19:$R$242,MATCH('SeS in Retail Sales Areas'!H$7,'NEW MODEL BY SES'!$C$17:$R$17,0),0),"")</f>
        <v/>
      </c>
      <c r="I222" s="140" t="str">
        <f>IFERROR(VLOOKUP($C222,'NEW MODEL BY SES'!$C$19:$R$242,MATCH('SeS in Retail Sales Areas'!I$7,'NEW MODEL BY SES'!$C$17:$R$17,0),0),"")</f>
        <v/>
      </c>
      <c r="J222" s="142" t="str">
        <f>IFERROR(VLOOKUP($C222,'NEW MODEL BY SES'!$C$19:$R$242,MATCH('SeS in Retail Sales Areas'!J$7,'NEW MODEL BY SES'!$C$17:$R$17,0),0),"")</f>
        <v/>
      </c>
      <c r="K222" s="140" t="str">
        <f>IFERROR(VLOOKUP($C222,'NEW MODEL BY SES'!$C$19:$R$242,MATCH('SeS in Retail Sales Areas'!K$7,'NEW MODEL BY SES'!$C$17:$R$17,0),0),"")</f>
        <v/>
      </c>
      <c r="L222" s="142" t="str">
        <f>IFERROR(VLOOKUP($C222,'NEW MODEL BY SES'!$C$19:$R$242,MATCH('SeS in Retail Sales Areas'!L$7,'NEW MODEL BY SES'!$C$17:$R$17,0),0),"")</f>
        <v/>
      </c>
      <c r="M222" s="140" t="str">
        <f>IFERROR(VLOOKUP($C222,'NEW MODEL BY SES'!$C$19:$R$242,MATCH('SeS in Retail Sales Areas'!M$7,'NEW MODEL BY SES'!$C$17:$R$17,0),0),"")</f>
        <v/>
      </c>
      <c r="N222" s="142" t="str">
        <f>IFERROR(VLOOKUP($C222,'NEW MODEL BY SES'!$C$19:$R$242,MATCH('SeS in Retail Sales Areas'!N$7,'NEW MODEL BY SES'!$C$17:$R$17,0),0),"")</f>
        <v/>
      </c>
      <c r="O222" s="140" t="str">
        <f>IFERROR(VLOOKUP($C222,'NEW MODEL BY SES'!$C$19:$R$242,MATCH('SeS in Retail Sales Areas'!O$7,'NEW MODEL BY SES'!$C$17:$R$17,0),0),"")</f>
        <v/>
      </c>
      <c r="P222" s="142" t="str">
        <f>IFERROR(VLOOKUP($C222,'NEW MODEL BY SES'!$C$19:$R$242,MATCH('SeS in Retail Sales Areas'!P$7,'NEW MODEL BY SES'!$C$17:$R$17,0),0),"")</f>
        <v/>
      </c>
      <c r="Q222" s="140" t="str">
        <f>IFERROR(VLOOKUP($C222,'NEW MODEL BY SES'!$C$19:$R$242,MATCH('SeS in Retail Sales Areas'!Q$7,'NEW MODEL BY SES'!$C$17:$R$17,0),0),"")</f>
        <v/>
      </c>
      <c r="R222" s="142" t="str">
        <f>IFERROR(VLOOKUP($C222,'NEW MODEL BY SES'!$C$19:$R$242,MATCH('SeS in Retail Sales Areas'!R$7,'NEW MODEL BY SES'!$C$17:$R$17,0),0),"")</f>
        <v/>
      </c>
      <c r="S222" s="141" t="str">
        <f>IFERROR(VLOOKUP($C222,'NEW MODEL BY SES'!$C$19:$R$242,MATCH('SeS in Retail Sales Areas'!S$7,'NEW MODEL BY SES'!$C$17:$R$17,0),0),"")</f>
        <v/>
      </c>
      <c r="T222" s="140" t="str">
        <f>IFERROR(VLOOKUP($C222,'NEW MODEL BY SES'!$C$19:$R$242,MATCH('SeS in Retail Sales Areas'!T$7,'NEW MODEL BY SES'!$C$17:$R$17,0),0),"")</f>
        <v/>
      </c>
      <c r="U222" s="142" t="str">
        <f>IFERROR(VLOOKUP($C222,'NEW MODEL BY SES'!$C$19:$R$242,MATCH('SeS in Retail Sales Areas'!U$7,'NEW MODEL BY SES'!$C$17:$R$17,0),0),"")</f>
        <v/>
      </c>
      <c r="V222" s="140" t="str">
        <f>IFERROR(VLOOKUP($C222,'NEW MODEL BY SES'!$C$19:$R$242,MATCH('SeS in Retail Sales Areas'!V$7,'NEW MODEL BY SES'!$C$17:$R$17,0),0),"")</f>
        <v/>
      </c>
      <c r="W222" s="141" t="str">
        <f>IFERROR(VLOOKUP($C222,'NEW MODEL BY SES'!$C$19:$R$242,MATCH('SeS in Retail Sales Areas'!W$7,'NEW MODEL BY SES'!$C$17:$R$17,0),0),"")</f>
        <v/>
      </c>
      <c r="X222" s="140" t="str">
        <f>IFERROR(VLOOKUP($C222,'NEW MODEL BY SES'!$C$19:$R$242,MATCH('SeS in Retail Sales Areas'!X$7,'NEW MODEL BY SES'!$C$17:$R$17,0),0),"")</f>
        <v/>
      </c>
      <c r="Z222" s="57"/>
    </row>
    <row r="223" spans="1:26">
      <c r="A223" t="s">
        <v>1145</v>
      </c>
      <c r="B223" s="57">
        <v>99</v>
      </c>
      <c r="C223" t="s">
        <v>1157</v>
      </c>
      <c r="D223" t="s">
        <v>40</v>
      </c>
      <c r="E223"/>
      <c r="F223" s="140" t="str">
        <f>IFERROR(VLOOKUP($C223,'NEW MODEL BY SES'!$C$19:$R$242,MATCH('SeS in Retail Sales Areas'!F$7,'NEW MODEL BY SES'!$C$17:$R$17,0),0),"")</f>
        <v/>
      </c>
      <c r="G223" s="140" t="str">
        <f>IFERROR(VLOOKUP($C223,'NEW MODEL BY SES'!$C$19:$R$242,MATCH('SeS in Retail Sales Areas'!G$7,'NEW MODEL BY SES'!$C$17:$R$17,0),0),"")</f>
        <v/>
      </c>
      <c r="H223" s="142" t="str">
        <f>IFERROR(VLOOKUP($C223,'NEW MODEL BY SES'!$C$19:$R$242,MATCH('SeS in Retail Sales Areas'!H$7,'NEW MODEL BY SES'!$C$17:$R$17,0),0),"")</f>
        <v/>
      </c>
      <c r="I223" s="140" t="str">
        <f>IFERROR(VLOOKUP($C223,'NEW MODEL BY SES'!$C$19:$R$242,MATCH('SeS in Retail Sales Areas'!I$7,'NEW MODEL BY SES'!$C$17:$R$17,0),0),"")</f>
        <v/>
      </c>
      <c r="J223" s="142" t="str">
        <f>IFERROR(VLOOKUP($C223,'NEW MODEL BY SES'!$C$19:$R$242,MATCH('SeS in Retail Sales Areas'!J$7,'NEW MODEL BY SES'!$C$17:$R$17,0),0),"")</f>
        <v/>
      </c>
      <c r="K223" s="140" t="str">
        <f>IFERROR(VLOOKUP($C223,'NEW MODEL BY SES'!$C$19:$R$242,MATCH('SeS in Retail Sales Areas'!K$7,'NEW MODEL BY SES'!$C$17:$R$17,0),0),"")</f>
        <v/>
      </c>
      <c r="L223" s="142" t="str">
        <f>IFERROR(VLOOKUP($C223,'NEW MODEL BY SES'!$C$19:$R$242,MATCH('SeS in Retail Sales Areas'!L$7,'NEW MODEL BY SES'!$C$17:$R$17,0),0),"")</f>
        <v/>
      </c>
      <c r="M223" s="140" t="str">
        <f>IFERROR(VLOOKUP($C223,'NEW MODEL BY SES'!$C$19:$R$242,MATCH('SeS in Retail Sales Areas'!M$7,'NEW MODEL BY SES'!$C$17:$R$17,0),0),"")</f>
        <v/>
      </c>
      <c r="N223" s="142" t="str">
        <f>IFERROR(VLOOKUP($C223,'NEW MODEL BY SES'!$C$19:$R$242,MATCH('SeS in Retail Sales Areas'!N$7,'NEW MODEL BY SES'!$C$17:$R$17,0),0),"")</f>
        <v/>
      </c>
      <c r="O223" s="140" t="str">
        <f>IFERROR(VLOOKUP($C223,'NEW MODEL BY SES'!$C$19:$R$242,MATCH('SeS in Retail Sales Areas'!O$7,'NEW MODEL BY SES'!$C$17:$R$17,0),0),"")</f>
        <v/>
      </c>
      <c r="P223" s="142" t="str">
        <f>IFERROR(VLOOKUP($C223,'NEW MODEL BY SES'!$C$19:$R$242,MATCH('SeS in Retail Sales Areas'!P$7,'NEW MODEL BY SES'!$C$17:$R$17,0),0),"")</f>
        <v/>
      </c>
      <c r="Q223" s="140" t="str">
        <f>IFERROR(VLOOKUP($C223,'NEW MODEL BY SES'!$C$19:$R$242,MATCH('SeS in Retail Sales Areas'!Q$7,'NEW MODEL BY SES'!$C$17:$R$17,0),0),"")</f>
        <v/>
      </c>
      <c r="R223" s="142" t="str">
        <f>IFERROR(VLOOKUP($C223,'NEW MODEL BY SES'!$C$19:$R$242,MATCH('SeS in Retail Sales Areas'!R$7,'NEW MODEL BY SES'!$C$17:$R$17,0),0),"")</f>
        <v/>
      </c>
      <c r="S223" s="141" t="str">
        <f>IFERROR(VLOOKUP($C223,'NEW MODEL BY SES'!$C$19:$R$242,MATCH('SeS in Retail Sales Areas'!S$7,'NEW MODEL BY SES'!$C$17:$R$17,0),0),"")</f>
        <v/>
      </c>
      <c r="T223" s="140" t="str">
        <f>IFERROR(VLOOKUP($C223,'NEW MODEL BY SES'!$C$19:$R$242,MATCH('SeS in Retail Sales Areas'!T$7,'NEW MODEL BY SES'!$C$17:$R$17,0),0),"")</f>
        <v/>
      </c>
      <c r="U223" s="142" t="str">
        <f>IFERROR(VLOOKUP($C223,'NEW MODEL BY SES'!$C$19:$R$242,MATCH('SeS in Retail Sales Areas'!U$7,'NEW MODEL BY SES'!$C$17:$R$17,0),0),"")</f>
        <v/>
      </c>
      <c r="V223" s="140" t="str">
        <f>IFERROR(VLOOKUP($C223,'NEW MODEL BY SES'!$C$19:$R$242,MATCH('SeS in Retail Sales Areas'!V$7,'NEW MODEL BY SES'!$C$17:$R$17,0),0),"")</f>
        <v/>
      </c>
      <c r="W223" s="141" t="str">
        <f>IFERROR(VLOOKUP($C223,'NEW MODEL BY SES'!$C$19:$R$242,MATCH('SeS in Retail Sales Areas'!W$7,'NEW MODEL BY SES'!$C$17:$R$17,0),0),"")</f>
        <v/>
      </c>
      <c r="X223" s="140" t="str">
        <f>IFERROR(VLOOKUP($C223,'NEW MODEL BY SES'!$C$19:$R$242,MATCH('SeS in Retail Sales Areas'!X$7,'NEW MODEL BY SES'!$C$17:$R$17,0),0),"")</f>
        <v/>
      </c>
      <c r="Z223" s="57"/>
    </row>
    <row r="224" spans="1:26">
      <c r="A224" t="s">
        <v>1145</v>
      </c>
      <c r="B224" s="57">
        <v>94</v>
      </c>
      <c r="C224" t="s">
        <v>1158</v>
      </c>
      <c r="D224" t="s">
        <v>40</v>
      </c>
      <c r="E224"/>
      <c r="F224" s="140" t="str">
        <f>IFERROR(VLOOKUP($C224,'NEW MODEL BY SES'!$C$19:$R$242,MATCH('SeS in Retail Sales Areas'!F$7,'NEW MODEL BY SES'!$C$17:$R$17,0),0),"")</f>
        <v/>
      </c>
      <c r="G224" s="140" t="str">
        <f>IFERROR(VLOOKUP($C224,'NEW MODEL BY SES'!$C$19:$R$242,MATCH('SeS in Retail Sales Areas'!G$7,'NEW MODEL BY SES'!$C$17:$R$17,0),0),"")</f>
        <v/>
      </c>
      <c r="H224" s="142" t="str">
        <f>IFERROR(VLOOKUP($C224,'NEW MODEL BY SES'!$C$19:$R$242,MATCH('SeS in Retail Sales Areas'!H$7,'NEW MODEL BY SES'!$C$17:$R$17,0),0),"")</f>
        <v/>
      </c>
      <c r="I224" s="140" t="str">
        <f>IFERROR(VLOOKUP($C224,'NEW MODEL BY SES'!$C$19:$R$242,MATCH('SeS in Retail Sales Areas'!I$7,'NEW MODEL BY SES'!$C$17:$R$17,0),0),"")</f>
        <v/>
      </c>
      <c r="J224" s="142" t="str">
        <f>IFERROR(VLOOKUP($C224,'NEW MODEL BY SES'!$C$19:$R$242,MATCH('SeS in Retail Sales Areas'!J$7,'NEW MODEL BY SES'!$C$17:$R$17,0),0),"")</f>
        <v/>
      </c>
      <c r="K224" s="140" t="str">
        <f>IFERROR(VLOOKUP($C224,'NEW MODEL BY SES'!$C$19:$R$242,MATCH('SeS in Retail Sales Areas'!K$7,'NEW MODEL BY SES'!$C$17:$R$17,0),0),"")</f>
        <v/>
      </c>
      <c r="L224" s="142" t="str">
        <f>IFERROR(VLOOKUP($C224,'NEW MODEL BY SES'!$C$19:$R$242,MATCH('SeS in Retail Sales Areas'!L$7,'NEW MODEL BY SES'!$C$17:$R$17,0),0),"")</f>
        <v/>
      </c>
      <c r="M224" s="140" t="str">
        <f>IFERROR(VLOOKUP($C224,'NEW MODEL BY SES'!$C$19:$R$242,MATCH('SeS in Retail Sales Areas'!M$7,'NEW MODEL BY SES'!$C$17:$R$17,0),0),"")</f>
        <v/>
      </c>
      <c r="N224" s="142" t="str">
        <f>IFERROR(VLOOKUP($C224,'NEW MODEL BY SES'!$C$19:$R$242,MATCH('SeS in Retail Sales Areas'!N$7,'NEW MODEL BY SES'!$C$17:$R$17,0),0),"")</f>
        <v/>
      </c>
      <c r="O224" s="140" t="str">
        <f>IFERROR(VLOOKUP($C224,'NEW MODEL BY SES'!$C$19:$R$242,MATCH('SeS in Retail Sales Areas'!O$7,'NEW MODEL BY SES'!$C$17:$R$17,0),0),"")</f>
        <v/>
      </c>
      <c r="P224" s="142" t="str">
        <f>IFERROR(VLOOKUP($C224,'NEW MODEL BY SES'!$C$19:$R$242,MATCH('SeS in Retail Sales Areas'!P$7,'NEW MODEL BY SES'!$C$17:$R$17,0),0),"")</f>
        <v/>
      </c>
      <c r="Q224" s="140" t="str">
        <f>IFERROR(VLOOKUP($C224,'NEW MODEL BY SES'!$C$19:$R$242,MATCH('SeS in Retail Sales Areas'!Q$7,'NEW MODEL BY SES'!$C$17:$R$17,0),0),"")</f>
        <v/>
      </c>
      <c r="R224" s="142" t="str">
        <f>IFERROR(VLOOKUP($C224,'NEW MODEL BY SES'!$C$19:$R$242,MATCH('SeS in Retail Sales Areas'!R$7,'NEW MODEL BY SES'!$C$17:$R$17,0),0),"")</f>
        <v/>
      </c>
      <c r="S224" s="141" t="str">
        <f>IFERROR(VLOOKUP($C224,'NEW MODEL BY SES'!$C$19:$R$242,MATCH('SeS in Retail Sales Areas'!S$7,'NEW MODEL BY SES'!$C$17:$R$17,0),0),"")</f>
        <v/>
      </c>
      <c r="T224" s="140" t="str">
        <f>IFERROR(VLOOKUP($C224,'NEW MODEL BY SES'!$C$19:$R$242,MATCH('SeS in Retail Sales Areas'!T$7,'NEW MODEL BY SES'!$C$17:$R$17,0),0),"")</f>
        <v/>
      </c>
      <c r="U224" s="142" t="str">
        <f>IFERROR(VLOOKUP($C224,'NEW MODEL BY SES'!$C$19:$R$242,MATCH('SeS in Retail Sales Areas'!U$7,'NEW MODEL BY SES'!$C$17:$R$17,0),0),"")</f>
        <v/>
      </c>
      <c r="V224" s="140" t="str">
        <f>IFERROR(VLOOKUP($C224,'NEW MODEL BY SES'!$C$19:$R$242,MATCH('SeS in Retail Sales Areas'!V$7,'NEW MODEL BY SES'!$C$17:$R$17,0),0),"")</f>
        <v/>
      </c>
      <c r="W224" s="141" t="str">
        <f>IFERROR(VLOOKUP($C224,'NEW MODEL BY SES'!$C$19:$R$242,MATCH('SeS in Retail Sales Areas'!W$7,'NEW MODEL BY SES'!$C$17:$R$17,0),0),"")</f>
        <v/>
      </c>
      <c r="X224" s="140" t="str">
        <f>IFERROR(VLOOKUP($C224,'NEW MODEL BY SES'!$C$19:$R$242,MATCH('SeS in Retail Sales Areas'!X$7,'NEW MODEL BY SES'!$C$17:$R$17,0),0),"")</f>
        <v/>
      </c>
      <c r="Z224" s="57"/>
    </row>
    <row r="225" spans="1:26">
      <c r="A225" t="s">
        <v>1145</v>
      </c>
      <c r="B225" s="57">
        <v>93</v>
      </c>
      <c r="C225" t="s">
        <v>1159</v>
      </c>
      <c r="D225" t="s">
        <v>40</v>
      </c>
      <c r="E225"/>
      <c r="F225" s="140" t="str">
        <f>IFERROR(VLOOKUP($C225,'NEW MODEL BY SES'!$C$19:$R$242,MATCH('SeS in Retail Sales Areas'!F$7,'NEW MODEL BY SES'!$C$17:$R$17,0),0),"")</f>
        <v/>
      </c>
      <c r="G225" s="140" t="str">
        <f>IFERROR(VLOOKUP($C225,'NEW MODEL BY SES'!$C$19:$R$242,MATCH('SeS in Retail Sales Areas'!G$7,'NEW MODEL BY SES'!$C$17:$R$17,0),0),"")</f>
        <v/>
      </c>
      <c r="H225" s="142" t="str">
        <f>IFERROR(VLOOKUP($C225,'NEW MODEL BY SES'!$C$19:$R$242,MATCH('SeS in Retail Sales Areas'!H$7,'NEW MODEL BY SES'!$C$17:$R$17,0),0),"")</f>
        <v/>
      </c>
      <c r="I225" s="140" t="str">
        <f>IFERROR(VLOOKUP($C225,'NEW MODEL BY SES'!$C$19:$R$242,MATCH('SeS in Retail Sales Areas'!I$7,'NEW MODEL BY SES'!$C$17:$R$17,0),0),"")</f>
        <v/>
      </c>
      <c r="J225" s="142" t="str">
        <f>IFERROR(VLOOKUP($C225,'NEW MODEL BY SES'!$C$19:$R$242,MATCH('SeS in Retail Sales Areas'!J$7,'NEW MODEL BY SES'!$C$17:$R$17,0),0),"")</f>
        <v/>
      </c>
      <c r="K225" s="140" t="str">
        <f>IFERROR(VLOOKUP($C225,'NEW MODEL BY SES'!$C$19:$R$242,MATCH('SeS in Retail Sales Areas'!K$7,'NEW MODEL BY SES'!$C$17:$R$17,0),0),"")</f>
        <v/>
      </c>
      <c r="L225" s="142" t="str">
        <f>IFERROR(VLOOKUP($C225,'NEW MODEL BY SES'!$C$19:$R$242,MATCH('SeS in Retail Sales Areas'!L$7,'NEW MODEL BY SES'!$C$17:$R$17,0),0),"")</f>
        <v/>
      </c>
      <c r="M225" s="140" t="str">
        <f>IFERROR(VLOOKUP($C225,'NEW MODEL BY SES'!$C$19:$R$242,MATCH('SeS in Retail Sales Areas'!M$7,'NEW MODEL BY SES'!$C$17:$R$17,0),0),"")</f>
        <v/>
      </c>
      <c r="N225" s="142" t="str">
        <f>IFERROR(VLOOKUP($C225,'NEW MODEL BY SES'!$C$19:$R$242,MATCH('SeS in Retail Sales Areas'!N$7,'NEW MODEL BY SES'!$C$17:$R$17,0),0),"")</f>
        <v/>
      </c>
      <c r="O225" s="140" t="str">
        <f>IFERROR(VLOOKUP($C225,'NEW MODEL BY SES'!$C$19:$R$242,MATCH('SeS in Retail Sales Areas'!O$7,'NEW MODEL BY SES'!$C$17:$R$17,0),0),"")</f>
        <v/>
      </c>
      <c r="P225" s="142" t="str">
        <f>IFERROR(VLOOKUP($C225,'NEW MODEL BY SES'!$C$19:$R$242,MATCH('SeS in Retail Sales Areas'!P$7,'NEW MODEL BY SES'!$C$17:$R$17,0),0),"")</f>
        <v/>
      </c>
      <c r="Q225" s="140" t="str">
        <f>IFERROR(VLOOKUP($C225,'NEW MODEL BY SES'!$C$19:$R$242,MATCH('SeS in Retail Sales Areas'!Q$7,'NEW MODEL BY SES'!$C$17:$R$17,0),0),"")</f>
        <v/>
      </c>
      <c r="R225" s="142" t="str">
        <f>IFERROR(VLOOKUP($C225,'NEW MODEL BY SES'!$C$19:$R$242,MATCH('SeS in Retail Sales Areas'!R$7,'NEW MODEL BY SES'!$C$17:$R$17,0),0),"")</f>
        <v/>
      </c>
      <c r="S225" s="141" t="str">
        <f>IFERROR(VLOOKUP($C225,'NEW MODEL BY SES'!$C$19:$R$242,MATCH('SeS in Retail Sales Areas'!S$7,'NEW MODEL BY SES'!$C$17:$R$17,0),0),"")</f>
        <v/>
      </c>
      <c r="T225" s="140" t="str">
        <f>IFERROR(VLOOKUP($C225,'NEW MODEL BY SES'!$C$19:$R$242,MATCH('SeS in Retail Sales Areas'!T$7,'NEW MODEL BY SES'!$C$17:$R$17,0),0),"")</f>
        <v/>
      </c>
      <c r="U225" s="142" t="str">
        <f>IFERROR(VLOOKUP($C225,'NEW MODEL BY SES'!$C$19:$R$242,MATCH('SeS in Retail Sales Areas'!U$7,'NEW MODEL BY SES'!$C$17:$R$17,0),0),"")</f>
        <v/>
      </c>
      <c r="V225" s="140" t="str">
        <f>IFERROR(VLOOKUP($C225,'NEW MODEL BY SES'!$C$19:$R$242,MATCH('SeS in Retail Sales Areas'!V$7,'NEW MODEL BY SES'!$C$17:$R$17,0),0),"")</f>
        <v/>
      </c>
      <c r="W225" s="141" t="str">
        <f>IFERROR(VLOOKUP($C225,'NEW MODEL BY SES'!$C$19:$R$242,MATCH('SeS in Retail Sales Areas'!W$7,'NEW MODEL BY SES'!$C$17:$R$17,0),0),"")</f>
        <v/>
      </c>
      <c r="X225" s="140" t="str">
        <f>IFERROR(VLOOKUP($C225,'NEW MODEL BY SES'!$C$19:$R$242,MATCH('SeS in Retail Sales Areas'!X$7,'NEW MODEL BY SES'!$C$17:$R$17,0),0),"")</f>
        <v/>
      </c>
      <c r="Z225" s="146"/>
    </row>
    <row r="226" spans="1:26">
      <c r="A226" t="s">
        <v>1145</v>
      </c>
      <c r="B226" s="57">
        <v>89</v>
      </c>
      <c r="C226" t="s">
        <v>1160</v>
      </c>
      <c r="D226" t="s">
        <v>40</v>
      </c>
      <c r="E226"/>
      <c r="F226" s="140" t="str">
        <f>IFERROR(VLOOKUP($C226,'NEW MODEL BY SES'!$C$19:$R$242,MATCH('SeS in Retail Sales Areas'!F$7,'NEW MODEL BY SES'!$C$17:$R$17,0),0),"")</f>
        <v/>
      </c>
      <c r="G226" s="140" t="str">
        <f>IFERROR(VLOOKUP($C226,'NEW MODEL BY SES'!$C$19:$R$242,MATCH('SeS in Retail Sales Areas'!G$7,'NEW MODEL BY SES'!$C$17:$R$17,0),0),"")</f>
        <v/>
      </c>
      <c r="H226" s="142" t="str">
        <f>IFERROR(VLOOKUP($C226,'NEW MODEL BY SES'!$C$19:$R$242,MATCH('SeS in Retail Sales Areas'!H$7,'NEW MODEL BY SES'!$C$17:$R$17,0),0),"")</f>
        <v/>
      </c>
      <c r="I226" s="140" t="str">
        <f>IFERROR(VLOOKUP($C226,'NEW MODEL BY SES'!$C$19:$R$242,MATCH('SeS in Retail Sales Areas'!I$7,'NEW MODEL BY SES'!$C$17:$R$17,0),0),"")</f>
        <v/>
      </c>
      <c r="J226" s="142" t="str">
        <f>IFERROR(VLOOKUP($C226,'NEW MODEL BY SES'!$C$19:$R$242,MATCH('SeS in Retail Sales Areas'!J$7,'NEW MODEL BY SES'!$C$17:$R$17,0),0),"")</f>
        <v/>
      </c>
      <c r="K226" s="140" t="str">
        <f>IFERROR(VLOOKUP($C226,'NEW MODEL BY SES'!$C$19:$R$242,MATCH('SeS in Retail Sales Areas'!K$7,'NEW MODEL BY SES'!$C$17:$R$17,0),0),"")</f>
        <v/>
      </c>
      <c r="L226" s="142" t="str">
        <f>IFERROR(VLOOKUP($C226,'NEW MODEL BY SES'!$C$19:$R$242,MATCH('SeS in Retail Sales Areas'!L$7,'NEW MODEL BY SES'!$C$17:$R$17,0),0),"")</f>
        <v/>
      </c>
      <c r="M226" s="140" t="str">
        <f>IFERROR(VLOOKUP($C226,'NEW MODEL BY SES'!$C$19:$R$242,MATCH('SeS in Retail Sales Areas'!M$7,'NEW MODEL BY SES'!$C$17:$R$17,0),0),"")</f>
        <v/>
      </c>
      <c r="N226" s="142" t="str">
        <f>IFERROR(VLOOKUP($C226,'NEW MODEL BY SES'!$C$19:$R$242,MATCH('SeS in Retail Sales Areas'!N$7,'NEW MODEL BY SES'!$C$17:$R$17,0),0),"")</f>
        <v/>
      </c>
      <c r="O226" s="140" t="str">
        <f>IFERROR(VLOOKUP($C226,'NEW MODEL BY SES'!$C$19:$R$242,MATCH('SeS in Retail Sales Areas'!O$7,'NEW MODEL BY SES'!$C$17:$R$17,0),0),"")</f>
        <v/>
      </c>
      <c r="P226" s="142" t="str">
        <f>IFERROR(VLOOKUP($C226,'NEW MODEL BY SES'!$C$19:$R$242,MATCH('SeS in Retail Sales Areas'!P$7,'NEW MODEL BY SES'!$C$17:$R$17,0),0),"")</f>
        <v/>
      </c>
      <c r="Q226" s="140" t="str">
        <f>IFERROR(VLOOKUP($C226,'NEW MODEL BY SES'!$C$19:$R$242,MATCH('SeS in Retail Sales Areas'!Q$7,'NEW MODEL BY SES'!$C$17:$R$17,0),0),"")</f>
        <v/>
      </c>
      <c r="R226" s="142" t="str">
        <f>IFERROR(VLOOKUP($C226,'NEW MODEL BY SES'!$C$19:$R$242,MATCH('SeS in Retail Sales Areas'!R$7,'NEW MODEL BY SES'!$C$17:$R$17,0),0),"")</f>
        <v/>
      </c>
      <c r="S226" s="141" t="str">
        <f>IFERROR(VLOOKUP($C226,'NEW MODEL BY SES'!$C$19:$R$242,MATCH('SeS in Retail Sales Areas'!S$7,'NEW MODEL BY SES'!$C$17:$R$17,0),0),"")</f>
        <v/>
      </c>
      <c r="T226" s="140" t="str">
        <f>IFERROR(VLOOKUP($C226,'NEW MODEL BY SES'!$C$19:$R$242,MATCH('SeS in Retail Sales Areas'!T$7,'NEW MODEL BY SES'!$C$17:$R$17,0),0),"")</f>
        <v/>
      </c>
      <c r="U226" s="142" t="str">
        <f>IFERROR(VLOOKUP($C226,'NEW MODEL BY SES'!$C$19:$R$242,MATCH('SeS in Retail Sales Areas'!U$7,'NEW MODEL BY SES'!$C$17:$R$17,0),0),"")</f>
        <v/>
      </c>
      <c r="V226" s="140" t="str">
        <f>IFERROR(VLOOKUP($C226,'NEW MODEL BY SES'!$C$19:$R$242,MATCH('SeS in Retail Sales Areas'!V$7,'NEW MODEL BY SES'!$C$17:$R$17,0),0),"")</f>
        <v/>
      </c>
      <c r="W226" s="141" t="str">
        <f>IFERROR(VLOOKUP($C226,'NEW MODEL BY SES'!$C$19:$R$242,MATCH('SeS in Retail Sales Areas'!W$7,'NEW MODEL BY SES'!$C$17:$R$17,0),0),"")</f>
        <v/>
      </c>
      <c r="X226" s="140" t="str">
        <f>IFERROR(VLOOKUP($C226,'NEW MODEL BY SES'!$C$19:$R$242,MATCH('SeS in Retail Sales Areas'!X$7,'NEW MODEL BY SES'!$C$17:$R$17,0),0),"")</f>
        <v/>
      </c>
      <c r="Z226" s="57"/>
    </row>
    <row r="227" spans="1:26">
      <c r="A227" t="s">
        <v>1145</v>
      </c>
      <c r="B227" s="57">
        <v>88</v>
      </c>
      <c r="C227" t="s">
        <v>1161</v>
      </c>
      <c r="D227" t="s">
        <v>40</v>
      </c>
      <c r="E227"/>
      <c r="F227" s="140" t="str">
        <f>IFERROR(VLOOKUP($C227,'NEW MODEL BY SES'!$C$19:$R$242,MATCH('SeS in Retail Sales Areas'!F$7,'NEW MODEL BY SES'!$C$17:$R$17,0),0),"")</f>
        <v/>
      </c>
      <c r="G227" s="140" t="str">
        <f>IFERROR(VLOOKUP($C227,'NEW MODEL BY SES'!$C$19:$R$242,MATCH('SeS in Retail Sales Areas'!G$7,'NEW MODEL BY SES'!$C$17:$R$17,0),0),"")</f>
        <v/>
      </c>
      <c r="H227" s="142" t="str">
        <f>IFERROR(VLOOKUP($C227,'NEW MODEL BY SES'!$C$19:$R$242,MATCH('SeS in Retail Sales Areas'!H$7,'NEW MODEL BY SES'!$C$17:$R$17,0),0),"")</f>
        <v/>
      </c>
      <c r="I227" s="140" t="str">
        <f>IFERROR(VLOOKUP($C227,'NEW MODEL BY SES'!$C$19:$R$242,MATCH('SeS in Retail Sales Areas'!I$7,'NEW MODEL BY SES'!$C$17:$R$17,0),0),"")</f>
        <v/>
      </c>
      <c r="J227" s="142" t="str">
        <f>IFERROR(VLOOKUP($C227,'NEW MODEL BY SES'!$C$19:$R$242,MATCH('SeS in Retail Sales Areas'!J$7,'NEW MODEL BY SES'!$C$17:$R$17,0),0),"")</f>
        <v/>
      </c>
      <c r="K227" s="140" t="str">
        <f>IFERROR(VLOOKUP($C227,'NEW MODEL BY SES'!$C$19:$R$242,MATCH('SeS in Retail Sales Areas'!K$7,'NEW MODEL BY SES'!$C$17:$R$17,0),0),"")</f>
        <v/>
      </c>
      <c r="L227" s="142" t="str">
        <f>IFERROR(VLOOKUP($C227,'NEW MODEL BY SES'!$C$19:$R$242,MATCH('SeS in Retail Sales Areas'!L$7,'NEW MODEL BY SES'!$C$17:$R$17,0),0),"")</f>
        <v/>
      </c>
      <c r="M227" s="140" t="str">
        <f>IFERROR(VLOOKUP($C227,'NEW MODEL BY SES'!$C$19:$R$242,MATCH('SeS in Retail Sales Areas'!M$7,'NEW MODEL BY SES'!$C$17:$R$17,0),0),"")</f>
        <v/>
      </c>
      <c r="N227" s="142" t="str">
        <f>IFERROR(VLOOKUP($C227,'NEW MODEL BY SES'!$C$19:$R$242,MATCH('SeS in Retail Sales Areas'!N$7,'NEW MODEL BY SES'!$C$17:$R$17,0),0),"")</f>
        <v/>
      </c>
      <c r="O227" s="140" t="str">
        <f>IFERROR(VLOOKUP($C227,'NEW MODEL BY SES'!$C$19:$R$242,MATCH('SeS in Retail Sales Areas'!O$7,'NEW MODEL BY SES'!$C$17:$R$17,0),0),"")</f>
        <v/>
      </c>
      <c r="P227" s="142" t="str">
        <f>IFERROR(VLOOKUP($C227,'NEW MODEL BY SES'!$C$19:$R$242,MATCH('SeS in Retail Sales Areas'!P$7,'NEW MODEL BY SES'!$C$17:$R$17,0),0),"")</f>
        <v/>
      </c>
      <c r="Q227" s="140" t="str">
        <f>IFERROR(VLOOKUP($C227,'NEW MODEL BY SES'!$C$19:$R$242,MATCH('SeS in Retail Sales Areas'!Q$7,'NEW MODEL BY SES'!$C$17:$R$17,0),0),"")</f>
        <v/>
      </c>
      <c r="R227" s="142" t="str">
        <f>IFERROR(VLOOKUP($C227,'NEW MODEL BY SES'!$C$19:$R$242,MATCH('SeS in Retail Sales Areas'!R$7,'NEW MODEL BY SES'!$C$17:$R$17,0),0),"")</f>
        <v/>
      </c>
      <c r="S227" s="141" t="str">
        <f>IFERROR(VLOOKUP($C227,'NEW MODEL BY SES'!$C$19:$R$242,MATCH('SeS in Retail Sales Areas'!S$7,'NEW MODEL BY SES'!$C$17:$R$17,0),0),"")</f>
        <v/>
      </c>
      <c r="T227" s="140" t="str">
        <f>IFERROR(VLOOKUP($C227,'NEW MODEL BY SES'!$C$19:$R$242,MATCH('SeS in Retail Sales Areas'!T$7,'NEW MODEL BY SES'!$C$17:$R$17,0),0),"")</f>
        <v/>
      </c>
      <c r="U227" s="142" t="str">
        <f>IFERROR(VLOOKUP($C227,'NEW MODEL BY SES'!$C$19:$R$242,MATCH('SeS in Retail Sales Areas'!U$7,'NEW MODEL BY SES'!$C$17:$R$17,0),0),"")</f>
        <v/>
      </c>
      <c r="V227" s="140" t="str">
        <f>IFERROR(VLOOKUP($C227,'NEW MODEL BY SES'!$C$19:$R$242,MATCH('SeS in Retail Sales Areas'!V$7,'NEW MODEL BY SES'!$C$17:$R$17,0),0),"")</f>
        <v/>
      </c>
      <c r="W227" s="141" t="str">
        <f>IFERROR(VLOOKUP($C227,'NEW MODEL BY SES'!$C$19:$R$242,MATCH('SeS in Retail Sales Areas'!W$7,'NEW MODEL BY SES'!$C$17:$R$17,0),0),"")</f>
        <v/>
      </c>
      <c r="X227" s="140" t="str">
        <f>IFERROR(VLOOKUP($C227,'NEW MODEL BY SES'!$C$19:$R$242,MATCH('SeS in Retail Sales Areas'!X$7,'NEW MODEL BY SES'!$C$17:$R$17,0),0),"")</f>
        <v/>
      </c>
      <c r="Z227" s="57"/>
    </row>
    <row r="228" spans="1:26">
      <c r="A228" t="s">
        <v>1145</v>
      </c>
      <c r="B228" s="57">
        <v>79</v>
      </c>
      <c r="C228" t="s">
        <v>1162</v>
      </c>
      <c r="D228" t="s">
        <v>40</v>
      </c>
      <c r="E228"/>
      <c r="F228" s="140" t="str">
        <f>IFERROR(VLOOKUP($C228,'NEW MODEL BY SES'!$C$19:$R$242,MATCH('SeS in Retail Sales Areas'!F$7,'NEW MODEL BY SES'!$C$17:$R$17,0),0),"")</f>
        <v/>
      </c>
      <c r="G228" s="140" t="str">
        <f>IFERROR(VLOOKUP($C228,'NEW MODEL BY SES'!$C$19:$R$242,MATCH('SeS in Retail Sales Areas'!G$7,'NEW MODEL BY SES'!$C$17:$R$17,0),0),"")</f>
        <v/>
      </c>
      <c r="H228" s="142" t="str">
        <f>IFERROR(VLOOKUP($C228,'NEW MODEL BY SES'!$C$19:$R$242,MATCH('SeS in Retail Sales Areas'!H$7,'NEW MODEL BY SES'!$C$17:$R$17,0),0),"")</f>
        <v/>
      </c>
      <c r="I228" s="140" t="str">
        <f>IFERROR(VLOOKUP($C228,'NEW MODEL BY SES'!$C$19:$R$242,MATCH('SeS in Retail Sales Areas'!I$7,'NEW MODEL BY SES'!$C$17:$R$17,0),0),"")</f>
        <v/>
      </c>
      <c r="J228" s="142" t="str">
        <f>IFERROR(VLOOKUP($C228,'NEW MODEL BY SES'!$C$19:$R$242,MATCH('SeS in Retail Sales Areas'!J$7,'NEW MODEL BY SES'!$C$17:$R$17,0),0),"")</f>
        <v/>
      </c>
      <c r="K228" s="140" t="str">
        <f>IFERROR(VLOOKUP($C228,'NEW MODEL BY SES'!$C$19:$R$242,MATCH('SeS in Retail Sales Areas'!K$7,'NEW MODEL BY SES'!$C$17:$R$17,0),0),"")</f>
        <v/>
      </c>
      <c r="L228" s="142" t="str">
        <f>IFERROR(VLOOKUP($C228,'NEW MODEL BY SES'!$C$19:$R$242,MATCH('SeS in Retail Sales Areas'!L$7,'NEW MODEL BY SES'!$C$17:$R$17,0),0),"")</f>
        <v/>
      </c>
      <c r="M228" s="140" t="str">
        <f>IFERROR(VLOOKUP($C228,'NEW MODEL BY SES'!$C$19:$R$242,MATCH('SeS in Retail Sales Areas'!M$7,'NEW MODEL BY SES'!$C$17:$R$17,0),0),"")</f>
        <v/>
      </c>
      <c r="N228" s="142" t="str">
        <f>IFERROR(VLOOKUP($C228,'NEW MODEL BY SES'!$C$19:$R$242,MATCH('SeS in Retail Sales Areas'!N$7,'NEW MODEL BY SES'!$C$17:$R$17,0),0),"")</f>
        <v/>
      </c>
      <c r="O228" s="140" t="str">
        <f>IFERROR(VLOOKUP($C228,'NEW MODEL BY SES'!$C$19:$R$242,MATCH('SeS in Retail Sales Areas'!O$7,'NEW MODEL BY SES'!$C$17:$R$17,0),0),"")</f>
        <v/>
      </c>
      <c r="P228" s="142" t="str">
        <f>IFERROR(VLOOKUP($C228,'NEW MODEL BY SES'!$C$19:$R$242,MATCH('SeS in Retail Sales Areas'!P$7,'NEW MODEL BY SES'!$C$17:$R$17,0),0),"")</f>
        <v/>
      </c>
      <c r="Q228" s="140" t="str">
        <f>IFERROR(VLOOKUP($C228,'NEW MODEL BY SES'!$C$19:$R$242,MATCH('SeS in Retail Sales Areas'!Q$7,'NEW MODEL BY SES'!$C$17:$R$17,0),0),"")</f>
        <v/>
      </c>
      <c r="R228" s="142" t="str">
        <f>IFERROR(VLOOKUP($C228,'NEW MODEL BY SES'!$C$19:$R$242,MATCH('SeS in Retail Sales Areas'!R$7,'NEW MODEL BY SES'!$C$17:$R$17,0),0),"")</f>
        <v/>
      </c>
      <c r="S228" s="141" t="str">
        <f>IFERROR(VLOOKUP($C228,'NEW MODEL BY SES'!$C$19:$R$242,MATCH('SeS in Retail Sales Areas'!S$7,'NEW MODEL BY SES'!$C$17:$R$17,0),0),"")</f>
        <v/>
      </c>
      <c r="T228" s="140" t="str">
        <f>IFERROR(VLOOKUP($C228,'NEW MODEL BY SES'!$C$19:$R$242,MATCH('SeS in Retail Sales Areas'!T$7,'NEW MODEL BY SES'!$C$17:$R$17,0),0),"")</f>
        <v/>
      </c>
      <c r="U228" s="142" t="str">
        <f>IFERROR(VLOOKUP($C228,'NEW MODEL BY SES'!$C$19:$R$242,MATCH('SeS in Retail Sales Areas'!U$7,'NEW MODEL BY SES'!$C$17:$R$17,0),0),"")</f>
        <v/>
      </c>
      <c r="V228" s="140" t="str">
        <f>IFERROR(VLOOKUP($C228,'NEW MODEL BY SES'!$C$19:$R$242,MATCH('SeS in Retail Sales Areas'!V$7,'NEW MODEL BY SES'!$C$17:$R$17,0),0),"")</f>
        <v/>
      </c>
      <c r="W228" s="141" t="str">
        <f>IFERROR(VLOOKUP($C228,'NEW MODEL BY SES'!$C$19:$R$242,MATCH('SeS in Retail Sales Areas'!W$7,'NEW MODEL BY SES'!$C$17:$R$17,0),0),"")</f>
        <v/>
      </c>
      <c r="X228" s="140" t="str">
        <f>IFERROR(VLOOKUP($C228,'NEW MODEL BY SES'!$C$19:$R$242,MATCH('SeS in Retail Sales Areas'!X$7,'NEW MODEL BY SES'!$C$17:$R$17,0),0),"")</f>
        <v/>
      </c>
      <c r="Z228" s="57"/>
    </row>
    <row r="229" spans="1:26">
      <c r="A229" t="s">
        <v>1145</v>
      </c>
      <c r="B229" s="57">
        <v>77</v>
      </c>
      <c r="C229" t="s">
        <v>1163</v>
      </c>
      <c r="D229" t="s">
        <v>44</v>
      </c>
      <c r="E229"/>
      <c r="F229" s="140" t="str">
        <f>IFERROR(VLOOKUP($C229,'NEW MODEL BY SES'!$C$19:$R$242,MATCH('SeS in Retail Sales Areas'!F$7,'NEW MODEL BY SES'!$C$17:$R$17,0),0),"")</f>
        <v/>
      </c>
      <c r="G229" s="140" t="str">
        <f>IFERROR(VLOOKUP($C229,'NEW MODEL BY SES'!$C$19:$R$242,MATCH('SeS in Retail Sales Areas'!G$7,'NEW MODEL BY SES'!$C$17:$R$17,0),0),"")</f>
        <v/>
      </c>
      <c r="H229" s="142" t="str">
        <f>IFERROR(VLOOKUP($C229,'NEW MODEL BY SES'!$C$19:$R$242,MATCH('SeS in Retail Sales Areas'!H$7,'NEW MODEL BY SES'!$C$17:$R$17,0),0),"")</f>
        <v/>
      </c>
      <c r="I229" s="140" t="str">
        <f>IFERROR(VLOOKUP($C229,'NEW MODEL BY SES'!$C$19:$R$242,MATCH('SeS in Retail Sales Areas'!I$7,'NEW MODEL BY SES'!$C$17:$R$17,0),0),"")</f>
        <v/>
      </c>
      <c r="J229" s="142" t="str">
        <f>IFERROR(VLOOKUP($C229,'NEW MODEL BY SES'!$C$19:$R$242,MATCH('SeS in Retail Sales Areas'!J$7,'NEW MODEL BY SES'!$C$17:$R$17,0),0),"")</f>
        <v/>
      </c>
      <c r="K229" s="140" t="str">
        <f>IFERROR(VLOOKUP($C229,'NEW MODEL BY SES'!$C$19:$R$242,MATCH('SeS in Retail Sales Areas'!K$7,'NEW MODEL BY SES'!$C$17:$R$17,0),0),"")</f>
        <v/>
      </c>
      <c r="L229" s="142" t="str">
        <f>IFERROR(VLOOKUP($C229,'NEW MODEL BY SES'!$C$19:$R$242,MATCH('SeS in Retail Sales Areas'!L$7,'NEW MODEL BY SES'!$C$17:$R$17,0),0),"")</f>
        <v/>
      </c>
      <c r="M229" s="140" t="str">
        <f>IFERROR(VLOOKUP($C229,'NEW MODEL BY SES'!$C$19:$R$242,MATCH('SeS in Retail Sales Areas'!M$7,'NEW MODEL BY SES'!$C$17:$R$17,0),0),"")</f>
        <v/>
      </c>
      <c r="N229" s="142" t="str">
        <f>IFERROR(VLOOKUP($C229,'NEW MODEL BY SES'!$C$19:$R$242,MATCH('SeS in Retail Sales Areas'!N$7,'NEW MODEL BY SES'!$C$17:$R$17,0),0),"")</f>
        <v/>
      </c>
      <c r="O229" s="140" t="str">
        <f>IFERROR(VLOOKUP($C229,'NEW MODEL BY SES'!$C$19:$R$242,MATCH('SeS in Retail Sales Areas'!O$7,'NEW MODEL BY SES'!$C$17:$R$17,0),0),"")</f>
        <v/>
      </c>
      <c r="P229" s="142" t="str">
        <f>IFERROR(VLOOKUP($C229,'NEW MODEL BY SES'!$C$19:$R$242,MATCH('SeS in Retail Sales Areas'!P$7,'NEW MODEL BY SES'!$C$17:$R$17,0),0),"")</f>
        <v/>
      </c>
      <c r="Q229" s="140" t="str">
        <f>IFERROR(VLOOKUP($C229,'NEW MODEL BY SES'!$C$19:$R$242,MATCH('SeS in Retail Sales Areas'!Q$7,'NEW MODEL BY SES'!$C$17:$R$17,0),0),"")</f>
        <v/>
      </c>
      <c r="R229" s="142" t="str">
        <f>IFERROR(VLOOKUP($C229,'NEW MODEL BY SES'!$C$19:$R$242,MATCH('SeS in Retail Sales Areas'!R$7,'NEW MODEL BY SES'!$C$17:$R$17,0),0),"")</f>
        <v/>
      </c>
      <c r="S229" s="141" t="str">
        <f>IFERROR(VLOOKUP($C229,'NEW MODEL BY SES'!$C$19:$R$242,MATCH('SeS in Retail Sales Areas'!S$7,'NEW MODEL BY SES'!$C$17:$R$17,0),0),"")</f>
        <v/>
      </c>
      <c r="T229" s="140" t="str">
        <f>IFERROR(VLOOKUP($C229,'NEW MODEL BY SES'!$C$19:$R$242,MATCH('SeS in Retail Sales Areas'!T$7,'NEW MODEL BY SES'!$C$17:$R$17,0),0),"")</f>
        <v/>
      </c>
      <c r="U229" s="142" t="str">
        <f>IFERROR(VLOOKUP($C229,'NEW MODEL BY SES'!$C$19:$R$242,MATCH('SeS in Retail Sales Areas'!U$7,'NEW MODEL BY SES'!$C$17:$R$17,0),0),"")</f>
        <v/>
      </c>
      <c r="V229" s="140" t="str">
        <f>IFERROR(VLOOKUP($C229,'NEW MODEL BY SES'!$C$19:$R$242,MATCH('SeS in Retail Sales Areas'!V$7,'NEW MODEL BY SES'!$C$17:$R$17,0),0),"")</f>
        <v/>
      </c>
      <c r="W229" s="141" t="str">
        <f>IFERROR(VLOOKUP($C229,'NEW MODEL BY SES'!$C$19:$R$242,MATCH('SeS in Retail Sales Areas'!W$7,'NEW MODEL BY SES'!$C$17:$R$17,0),0),"")</f>
        <v/>
      </c>
      <c r="X229" s="140" t="str">
        <f>IFERROR(VLOOKUP($C229,'NEW MODEL BY SES'!$C$19:$R$242,MATCH('SeS in Retail Sales Areas'!X$7,'NEW MODEL BY SES'!$C$17:$R$17,0),0),"")</f>
        <v/>
      </c>
      <c r="Z229" s="57"/>
    </row>
    <row r="230" spans="1:26">
      <c r="A230" t="s">
        <v>1145</v>
      </c>
      <c r="B230" s="57">
        <v>73</v>
      </c>
      <c r="C230" t="s">
        <v>1164</v>
      </c>
      <c r="D230" t="s">
        <v>44</v>
      </c>
      <c r="E230"/>
      <c r="F230" s="140" t="str">
        <f>IFERROR(VLOOKUP($C230,'NEW MODEL BY SES'!$C$19:$R$242,MATCH('SeS in Retail Sales Areas'!F$7,'NEW MODEL BY SES'!$C$17:$R$17,0),0),"")</f>
        <v/>
      </c>
      <c r="G230" s="140" t="str">
        <f>IFERROR(VLOOKUP($C230,'NEW MODEL BY SES'!$C$19:$R$242,MATCH('SeS in Retail Sales Areas'!G$7,'NEW MODEL BY SES'!$C$17:$R$17,0),0),"")</f>
        <v/>
      </c>
      <c r="H230" s="142" t="str">
        <f>IFERROR(VLOOKUP($C230,'NEW MODEL BY SES'!$C$19:$R$242,MATCH('SeS in Retail Sales Areas'!H$7,'NEW MODEL BY SES'!$C$17:$R$17,0),0),"")</f>
        <v/>
      </c>
      <c r="I230" s="140" t="str">
        <f>IFERROR(VLOOKUP($C230,'NEW MODEL BY SES'!$C$19:$R$242,MATCH('SeS in Retail Sales Areas'!I$7,'NEW MODEL BY SES'!$C$17:$R$17,0),0),"")</f>
        <v/>
      </c>
      <c r="J230" s="142" t="str">
        <f>IFERROR(VLOOKUP($C230,'NEW MODEL BY SES'!$C$19:$R$242,MATCH('SeS in Retail Sales Areas'!J$7,'NEW MODEL BY SES'!$C$17:$R$17,0),0),"")</f>
        <v/>
      </c>
      <c r="K230" s="140" t="str">
        <f>IFERROR(VLOOKUP($C230,'NEW MODEL BY SES'!$C$19:$R$242,MATCH('SeS in Retail Sales Areas'!K$7,'NEW MODEL BY SES'!$C$17:$R$17,0),0),"")</f>
        <v/>
      </c>
      <c r="L230" s="142" t="str">
        <f>IFERROR(VLOOKUP($C230,'NEW MODEL BY SES'!$C$19:$R$242,MATCH('SeS in Retail Sales Areas'!L$7,'NEW MODEL BY SES'!$C$17:$R$17,0),0),"")</f>
        <v/>
      </c>
      <c r="M230" s="140" t="str">
        <f>IFERROR(VLOOKUP($C230,'NEW MODEL BY SES'!$C$19:$R$242,MATCH('SeS in Retail Sales Areas'!M$7,'NEW MODEL BY SES'!$C$17:$R$17,0),0),"")</f>
        <v/>
      </c>
      <c r="N230" s="142" t="str">
        <f>IFERROR(VLOOKUP($C230,'NEW MODEL BY SES'!$C$19:$R$242,MATCH('SeS in Retail Sales Areas'!N$7,'NEW MODEL BY SES'!$C$17:$R$17,0),0),"")</f>
        <v/>
      </c>
      <c r="O230" s="140" t="str">
        <f>IFERROR(VLOOKUP($C230,'NEW MODEL BY SES'!$C$19:$R$242,MATCH('SeS in Retail Sales Areas'!O$7,'NEW MODEL BY SES'!$C$17:$R$17,0),0),"")</f>
        <v/>
      </c>
      <c r="P230" s="142" t="str">
        <f>IFERROR(VLOOKUP($C230,'NEW MODEL BY SES'!$C$19:$R$242,MATCH('SeS in Retail Sales Areas'!P$7,'NEW MODEL BY SES'!$C$17:$R$17,0),0),"")</f>
        <v/>
      </c>
      <c r="Q230" s="140" t="str">
        <f>IFERROR(VLOOKUP($C230,'NEW MODEL BY SES'!$C$19:$R$242,MATCH('SeS in Retail Sales Areas'!Q$7,'NEW MODEL BY SES'!$C$17:$R$17,0),0),"")</f>
        <v/>
      </c>
      <c r="R230" s="142" t="str">
        <f>IFERROR(VLOOKUP($C230,'NEW MODEL BY SES'!$C$19:$R$242,MATCH('SeS in Retail Sales Areas'!R$7,'NEW MODEL BY SES'!$C$17:$R$17,0),0),"")</f>
        <v/>
      </c>
      <c r="S230" s="141" t="str">
        <f>IFERROR(VLOOKUP($C230,'NEW MODEL BY SES'!$C$19:$R$242,MATCH('SeS in Retail Sales Areas'!S$7,'NEW MODEL BY SES'!$C$17:$R$17,0),0),"")</f>
        <v/>
      </c>
      <c r="T230" s="140" t="str">
        <f>IFERROR(VLOOKUP($C230,'NEW MODEL BY SES'!$C$19:$R$242,MATCH('SeS in Retail Sales Areas'!T$7,'NEW MODEL BY SES'!$C$17:$R$17,0),0),"")</f>
        <v/>
      </c>
      <c r="U230" s="142" t="str">
        <f>IFERROR(VLOOKUP($C230,'NEW MODEL BY SES'!$C$19:$R$242,MATCH('SeS in Retail Sales Areas'!U$7,'NEW MODEL BY SES'!$C$17:$R$17,0),0),"")</f>
        <v/>
      </c>
      <c r="V230" s="140" t="str">
        <f>IFERROR(VLOOKUP($C230,'NEW MODEL BY SES'!$C$19:$R$242,MATCH('SeS in Retail Sales Areas'!V$7,'NEW MODEL BY SES'!$C$17:$R$17,0),0),"")</f>
        <v/>
      </c>
      <c r="W230" s="141" t="str">
        <f>IFERROR(VLOOKUP($C230,'NEW MODEL BY SES'!$C$19:$R$242,MATCH('SeS in Retail Sales Areas'!W$7,'NEW MODEL BY SES'!$C$17:$R$17,0),0),"")</f>
        <v/>
      </c>
      <c r="X230" s="140" t="str">
        <f>IFERROR(VLOOKUP($C230,'NEW MODEL BY SES'!$C$19:$R$242,MATCH('SeS in Retail Sales Areas'!X$7,'NEW MODEL BY SES'!$C$17:$R$17,0),0),"")</f>
        <v/>
      </c>
      <c r="Z230" s="57"/>
    </row>
    <row r="231" spans="1:26">
      <c r="A231" t="s">
        <v>1145</v>
      </c>
      <c r="B231" s="57">
        <v>67</v>
      </c>
      <c r="C231" t="s">
        <v>1165</v>
      </c>
      <c r="D231" t="s">
        <v>44</v>
      </c>
      <c r="E231"/>
      <c r="F231" s="140" t="str">
        <f>IFERROR(VLOOKUP($C231,'NEW MODEL BY SES'!$C$19:$R$242,MATCH('SeS in Retail Sales Areas'!F$7,'NEW MODEL BY SES'!$C$17:$R$17,0),0),"")</f>
        <v/>
      </c>
      <c r="G231" s="140" t="str">
        <f>IFERROR(VLOOKUP($C231,'NEW MODEL BY SES'!$C$19:$R$242,MATCH('SeS in Retail Sales Areas'!G$7,'NEW MODEL BY SES'!$C$17:$R$17,0),0),"")</f>
        <v/>
      </c>
      <c r="H231" s="142" t="str">
        <f>IFERROR(VLOOKUP($C231,'NEW MODEL BY SES'!$C$19:$R$242,MATCH('SeS in Retail Sales Areas'!H$7,'NEW MODEL BY SES'!$C$17:$R$17,0),0),"")</f>
        <v/>
      </c>
      <c r="I231" s="140" t="str">
        <f>IFERROR(VLOOKUP($C231,'NEW MODEL BY SES'!$C$19:$R$242,MATCH('SeS in Retail Sales Areas'!I$7,'NEW MODEL BY SES'!$C$17:$R$17,0),0),"")</f>
        <v/>
      </c>
      <c r="J231" s="142" t="str">
        <f>IFERROR(VLOOKUP($C231,'NEW MODEL BY SES'!$C$19:$R$242,MATCH('SeS in Retail Sales Areas'!J$7,'NEW MODEL BY SES'!$C$17:$R$17,0),0),"")</f>
        <v/>
      </c>
      <c r="K231" s="140" t="str">
        <f>IFERROR(VLOOKUP($C231,'NEW MODEL BY SES'!$C$19:$R$242,MATCH('SeS in Retail Sales Areas'!K$7,'NEW MODEL BY SES'!$C$17:$R$17,0),0),"")</f>
        <v/>
      </c>
      <c r="L231" s="142" t="str">
        <f>IFERROR(VLOOKUP($C231,'NEW MODEL BY SES'!$C$19:$R$242,MATCH('SeS in Retail Sales Areas'!L$7,'NEW MODEL BY SES'!$C$17:$R$17,0),0),"")</f>
        <v/>
      </c>
      <c r="M231" s="140" t="str">
        <f>IFERROR(VLOOKUP($C231,'NEW MODEL BY SES'!$C$19:$R$242,MATCH('SeS in Retail Sales Areas'!M$7,'NEW MODEL BY SES'!$C$17:$R$17,0),0),"")</f>
        <v/>
      </c>
      <c r="N231" s="142" t="str">
        <f>IFERROR(VLOOKUP($C231,'NEW MODEL BY SES'!$C$19:$R$242,MATCH('SeS in Retail Sales Areas'!N$7,'NEW MODEL BY SES'!$C$17:$R$17,0),0),"")</f>
        <v/>
      </c>
      <c r="O231" s="140" t="str">
        <f>IFERROR(VLOOKUP($C231,'NEW MODEL BY SES'!$C$19:$R$242,MATCH('SeS in Retail Sales Areas'!O$7,'NEW MODEL BY SES'!$C$17:$R$17,0),0),"")</f>
        <v/>
      </c>
      <c r="P231" s="142" t="str">
        <f>IFERROR(VLOOKUP($C231,'NEW MODEL BY SES'!$C$19:$R$242,MATCH('SeS in Retail Sales Areas'!P$7,'NEW MODEL BY SES'!$C$17:$R$17,0),0),"")</f>
        <v/>
      </c>
      <c r="Q231" s="140" t="str">
        <f>IFERROR(VLOOKUP($C231,'NEW MODEL BY SES'!$C$19:$R$242,MATCH('SeS in Retail Sales Areas'!Q$7,'NEW MODEL BY SES'!$C$17:$R$17,0),0),"")</f>
        <v/>
      </c>
      <c r="R231" s="142" t="str">
        <f>IFERROR(VLOOKUP($C231,'NEW MODEL BY SES'!$C$19:$R$242,MATCH('SeS in Retail Sales Areas'!R$7,'NEW MODEL BY SES'!$C$17:$R$17,0),0),"")</f>
        <v/>
      </c>
      <c r="S231" s="141" t="str">
        <f>IFERROR(VLOOKUP($C231,'NEW MODEL BY SES'!$C$19:$R$242,MATCH('SeS in Retail Sales Areas'!S$7,'NEW MODEL BY SES'!$C$17:$R$17,0),0),"")</f>
        <v/>
      </c>
      <c r="T231" s="140" t="str">
        <f>IFERROR(VLOOKUP($C231,'NEW MODEL BY SES'!$C$19:$R$242,MATCH('SeS in Retail Sales Areas'!T$7,'NEW MODEL BY SES'!$C$17:$R$17,0),0),"")</f>
        <v/>
      </c>
      <c r="U231" s="142" t="str">
        <f>IFERROR(VLOOKUP($C231,'NEW MODEL BY SES'!$C$19:$R$242,MATCH('SeS in Retail Sales Areas'!U$7,'NEW MODEL BY SES'!$C$17:$R$17,0),0),"")</f>
        <v/>
      </c>
      <c r="V231" s="140" t="str">
        <f>IFERROR(VLOOKUP($C231,'NEW MODEL BY SES'!$C$19:$R$242,MATCH('SeS in Retail Sales Areas'!V$7,'NEW MODEL BY SES'!$C$17:$R$17,0),0),"")</f>
        <v/>
      </c>
      <c r="W231" s="141" t="str">
        <f>IFERROR(VLOOKUP($C231,'NEW MODEL BY SES'!$C$19:$R$242,MATCH('SeS in Retail Sales Areas'!W$7,'NEW MODEL BY SES'!$C$17:$R$17,0),0),"")</f>
        <v/>
      </c>
      <c r="X231" s="140" t="str">
        <f>IFERROR(VLOOKUP($C231,'NEW MODEL BY SES'!$C$19:$R$242,MATCH('SeS in Retail Sales Areas'!X$7,'NEW MODEL BY SES'!$C$17:$R$17,0),0),"")</f>
        <v/>
      </c>
      <c r="Z231" s="57"/>
    </row>
    <row r="232" spans="1:26">
      <c r="A232" t="s">
        <v>1145</v>
      </c>
      <c r="B232" s="57">
        <v>63</v>
      </c>
      <c r="C232" t="s">
        <v>1166</v>
      </c>
      <c r="D232" t="s">
        <v>44</v>
      </c>
      <c r="E232"/>
      <c r="F232" s="140" t="str">
        <f>IFERROR(VLOOKUP($C232,'NEW MODEL BY SES'!$C$19:$R$242,MATCH('SeS in Retail Sales Areas'!F$7,'NEW MODEL BY SES'!$C$17:$R$17,0),0),"")</f>
        <v/>
      </c>
      <c r="G232" s="140" t="str">
        <f>IFERROR(VLOOKUP($C232,'NEW MODEL BY SES'!$C$19:$R$242,MATCH('SeS in Retail Sales Areas'!G$7,'NEW MODEL BY SES'!$C$17:$R$17,0),0),"")</f>
        <v/>
      </c>
      <c r="H232" s="142" t="str">
        <f>IFERROR(VLOOKUP($C232,'NEW MODEL BY SES'!$C$19:$R$242,MATCH('SeS in Retail Sales Areas'!H$7,'NEW MODEL BY SES'!$C$17:$R$17,0),0),"")</f>
        <v/>
      </c>
      <c r="I232" s="140" t="str">
        <f>IFERROR(VLOOKUP($C232,'NEW MODEL BY SES'!$C$19:$R$242,MATCH('SeS in Retail Sales Areas'!I$7,'NEW MODEL BY SES'!$C$17:$R$17,0),0),"")</f>
        <v/>
      </c>
      <c r="J232" s="142" t="str">
        <f>IFERROR(VLOOKUP($C232,'NEW MODEL BY SES'!$C$19:$R$242,MATCH('SeS in Retail Sales Areas'!J$7,'NEW MODEL BY SES'!$C$17:$R$17,0),0),"")</f>
        <v/>
      </c>
      <c r="K232" s="140" t="str">
        <f>IFERROR(VLOOKUP($C232,'NEW MODEL BY SES'!$C$19:$R$242,MATCH('SeS in Retail Sales Areas'!K$7,'NEW MODEL BY SES'!$C$17:$R$17,0),0),"")</f>
        <v/>
      </c>
      <c r="L232" s="142" t="str">
        <f>IFERROR(VLOOKUP($C232,'NEW MODEL BY SES'!$C$19:$R$242,MATCH('SeS in Retail Sales Areas'!L$7,'NEW MODEL BY SES'!$C$17:$R$17,0),0),"")</f>
        <v/>
      </c>
      <c r="M232" s="140" t="str">
        <f>IFERROR(VLOOKUP($C232,'NEW MODEL BY SES'!$C$19:$R$242,MATCH('SeS in Retail Sales Areas'!M$7,'NEW MODEL BY SES'!$C$17:$R$17,0),0),"")</f>
        <v/>
      </c>
      <c r="N232" s="142" t="str">
        <f>IFERROR(VLOOKUP($C232,'NEW MODEL BY SES'!$C$19:$R$242,MATCH('SeS in Retail Sales Areas'!N$7,'NEW MODEL BY SES'!$C$17:$R$17,0),0),"")</f>
        <v/>
      </c>
      <c r="O232" s="140" t="str">
        <f>IFERROR(VLOOKUP($C232,'NEW MODEL BY SES'!$C$19:$R$242,MATCH('SeS in Retail Sales Areas'!O$7,'NEW MODEL BY SES'!$C$17:$R$17,0),0),"")</f>
        <v/>
      </c>
      <c r="P232" s="142" t="str">
        <f>IFERROR(VLOOKUP($C232,'NEW MODEL BY SES'!$C$19:$R$242,MATCH('SeS in Retail Sales Areas'!P$7,'NEW MODEL BY SES'!$C$17:$R$17,0),0),"")</f>
        <v/>
      </c>
      <c r="Q232" s="140" t="str">
        <f>IFERROR(VLOOKUP($C232,'NEW MODEL BY SES'!$C$19:$R$242,MATCH('SeS in Retail Sales Areas'!Q$7,'NEW MODEL BY SES'!$C$17:$R$17,0),0),"")</f>
        <v/>
      </c>
      <c r="R232" s="142" t="str">
        <f>IFERROR(VLOOKUP($C232,'NEW MODEL BY SES'!$C$19:$R$242,MATCH('SeS in Retail Sales Areas'!R$7,'NEW MODEL BY SES'!$C$17:$R$17,0),0),"")</f>
        <v/>
      </c>
      <c r="S232" s="141" t="str">
        <f>IFERROR(VLOOKUP($C232,'NEW MODEL BY SES'!$C$19:$R$242,MATCH('SeS in Retail Sales Areas'!S$7,'NEW MODEL BY SES'!$C$17:$R$17,0),0),"")</f>
        <v/>
      </c>
      <c r="T232" s="140" t="str">
        <f>IFERROR(VLOOKUP($C232,'NEW MODEL BY SES'!$C$19:$R$242,MATCH('SeS in Retail Sales Areas'!T$7,'NEW MODEL BY SES'!$C$17:$R$17,0),0),"")</f>
        <v/>
      </c>
      <c r="U232" s="142" t="str">
        <f>IFERROR(VLOOKUP($C232,'NEW MODEL BY SES'!$C$19:$R$242,MATCH('SeS in Retail Sales Areas'!U$7,'NEW MODEL BY SES'!$C$17:$R$17,0),0),"")</f>
        <v/>
      </c>
      <c r="V232" s="140" t="str">
        <f>IFERROR(VLOOKUP($C232,'NEW MODEL BY SES'!$C$19:$R$242,MATCH('SeS in Retail Sales Areas'!V$7,'NEW MODEL BY SES'!$C$17:$R$17,0),0),"")</f>
        <v/>
      </c>
      <c r="W232" s="141" t="str">
        <f>IFERROR(VLOOKUP($C232,'NEW MODEL BY SES'!$C$19:$R$242,MATCH('SeS in Retail Sales Areas'!W$7,'NEW MODEL BY SES'!$C$17:$R$17,0),0),"")</f>
        <v/>
      </c>
      <c r="X232" s="140" t="str">
        <f>IFERROR(VLOOKUP($C232,'NEW MODEL BY SES'!$C$19:$R$242,MATCH('SeS in Retail Sales Areas'!X$7,'NEW MODEL BY SES'!$C$17:$R$17,0),0),"")</f>
        <v/>
      </c>
      <c r="Z232" s="57"/>
    </row>
    <row r="233" spans="1:26">
      <c r="A233" t="s">
        <v>1145</v>
      </c>
      <c r="B233" s="57">
        <v>57</v>
      </c>
      <c r="C233" t="s">
        <v>1167</v>
      </c>
      <c r="D233" t="s">
        <v>44</v>
      </c>
      <c r="E233"/>
      <c r="F233" s="140" t="str">
        <f>IFERROR(VLOOKUP($C233,'NEW MODEL BY SES'!$C$19:$R$242,MATCH('SeS in Retail Sales Areas'!F$7,'NEW MODEL BY SES'!$C$17:$R$17,0),0),"")</f>
        <v/>
      </c>
      <c r="G233" s="140" t="str">
        <f>IFERROR(VLOOKUP($C233,'NEW MODEL BY SES'!$C$19:$R$242,MATCH('SeS in Retail Sales Areas'!G$7,'NEW MODEL BY SES'!$C$17:$R$17,0),0),"")</f>
        <v/>
      </c>
      <c r="H233" s="142" t="str">
        <f>IFERROR(VLOOKUP($C233,'NEW MODEL BY SES'!$C$19:$R$242,MATCH('SeS in Retail Sales Areas'!H$7,'NEW MODEL BY SES'!$C$17:$R$17,0),0),"")</f>
        <v/>
      </c>
      <c r="I233" s="140" t="str">
        <f>IFERROR(VLOOKUP($C233,'NEW MODEL BY SES'!$C$19:$R$242,MATCH('SeS in Retail Sales Areas'!I$7,'NEW MODEL BY SES'!$C$17:$R$17,0),0),"")</f>
        <v/>
      </c>
      <c r="J233" s="142" t="str">
        <f>IFERROR(VLOOKUP($C233,'NEW MODEL BY SES'!$C$19:$R$242,MATCH('SeS in Retail Sales Areas'!J$7,'NEW MODEL BY SES'!$C$17:$R$17,0),0),"")</f>
        <v/>
      </c>
      <c r="K233" s="140" t="str">
        <f>IFERROR(VLOOKUP($C233,'NEW MODEL BY SES'!$C$19:$R$242,MATCH('SeS in Retail Sales Areas'!K$7,'NEW MODEL BY SES'!$C$17:$R$17,0),0),"")</f>
        <v/>
      </c>
      <c r="L233" s="142" t="str">
        <f>IFERROR(VLOOKUP($C233,'NEW MODEL BY SES'!$C$19:$R$242,MATCH('SeS in Retail Sales Areas'!L$7,'NEW MODEL BY SES'!$C$17:$R$17,0),0),"")</f>
        <v/>
      </c>
      <c r="M233" s="140" t="str">
        <f>IFERROR(VLOOKUP($C233,'NEW MODEL BY SES'!$C$19:$R$242,MATCH('SeS in Retail Sales Areas'!M$7,'NEW MODEL BY SES'!$C$17:$R$17,0),0),"")</f>
        <v/>
      </c>
      <c r="N233" s="142" t="str">
        <f>IFERROR(VLOOKUP($C233,'NEW MODEL BY SES'!$C$19:$R$242,MATCH('SeS in Retail Sales Areas'!N$7,'NEW MODEL BY SES'!$C$17:$R$17,0),0),"")</f>
        <v/>
      </c>
      <c r="O233" s="140" t="str">
        <f>IFERROR(VLOOKUP($C233,'NEW MODEL BY SES'!$C$19:$R$242,MATCH('SeS in Retail Sales Areas'!O$7,'NEW MODEL BY SES'!$C$17:$R$17,0),0),"")</f>
        <v/>
      </c>
      <c r="P233" s="142" t="str">
        <f>IFERROR(VLOOKUP($C233,'NEW MODEL BY SES'!$C$19:$R$242,MATCH('SeS in Retail Sales Areas'!P$7,'NEW MODEL BY SES'!$C$17:$R$17,0),0),"")</f>
        <v/>
      </c>
      <c r="Q233" s="140" t="str">
        <f>IFERROR(VLOOKUP($C233,'NEW MODEL BY SES'!$C$19:$R$242,MATCH('SeS in Retail Sales Areas'!Q$7,'NEW MODEL BY SES'!$C$17:$R$17,0),0),"")</f>
        <v/>
      </c>
      <c r="R233" s="142" t="str">
        <f>IFERROR(VLOOKUP($C233,'NEW MODEL BY SES'!$C$19:$R$242,MATCH('SeS in Retail Sales Areas'!R$7,'NEW MODEL BY SES'!$C$17:$R$17,0),0),"")</f>
        <v/>
      </c>
      <c r="S233" s="141" t="str">
        <f>IFERROR(VLOOKUP($C233,'NEW MODEL BY SES'!$C$19:$R$242,MATCH('SeS in Retail Sales Areas'!S$7,'NEW MODEL BY SES'!$C$17:$R$17,0),0),"")</f>
        <v/>
      </c>
      <c r="T233" s="140" t="str">
        <f>IFERROR(VLOOKUP($C233,'NEW MODEL BY SES'!$C$19:$R$242,MATCH('SeS in Retail Sales Areas'!T$7,'NEW MODEL BY SES'!$C$17:$R$17,0),0),"")</f>
        <v/>
      </c>
      <c r="U233" s="142" t="str">
        <f>IFERROR(VLOOKUP($C233,'NEW MODEL BY SES'!$C$19:$R$242,MATCH('SeS in Retail Sales Areas'!U$7,'NEW MODEL BY SES'!$C$17:$R$17,0),0),"")</f>
        <v/>
      </c>
      <c r="V233" s="140" t="str">
        <f>IFERROR(VLOOKUP($C233,'NEW MODEL BY SES'!$C$19:$R$242,MATCH('SeS in Retail Sales Areas'!V$7,'NEW MODEL BY SES'!$C$17:$R$17,0),0),"")</f>
        <v/>
      </c>
      <c r="W233" s="141" t="str">
        <f>IFERROR(VLOOKUP($C233,'NEW MODEL BY SES'!$C$19:$R$242,MATCH('SeS in Retail Sales Areas'!W$7,'NEW MODEL BY SES'!$C$17:$R$17,0),0),"")</f>
        <v/>
      </c>
      <c r="X233" s="140" t="str">
        <f>IFERROR(VLOOKUP($C233,'NEW MODEL BY SES'!$C$19:$R$242,MATCH('SeS in Retail Sales Areas'!X$7,'NEW MODEL BY SES'!$C$17:$R$17,0),0),"")</f>
        <v/>
      </c>
      <c r="Z233" s="57"/>
    </row>
    <row r="234" spans="1:26">
      <c r="A234" t="s">
        <v>1145</v>
      </c>
      <c r="B234" s="57">
        <v>54</v>
      </c>
      <c r="C234" t="s">
        <v>1168</v>
      </c>
      <c r="D234" t="s">
        <v>44</v>
      </c>
      <c r="E234"/>
      <c r="F234" s="140" t="str">
        <f>IFERROR(VLOOKUP($C234,'NEW MODEL BY SES'!$C$19:$R$242,MATCH('SeS in Retail Sales Areas'!F$7,'NEW MODEL BY SES'!$C$17:$R$17,0),0),"")</f>
        <v/>
      </c>
      <c r="G234" s="140" t="str">
        <f>IFERROR(VLOOKUP($C234,'NEW MODEL BY SES'!$C$19:$R$242,MATCH('SeS in Retail Sales Areas'!G$7,'NEW MODEL BY SES'!$C$17:$R$17,0),0),"")</f>
        <v/>
      </c>
      <c r="H234" s="142" t="str">
        <f>IFERROR(VLOOKUP($C234,'NEW MODEL BY SES'!$C$19:$R$242,MATCH('SeS in Retail Sales Areas'!H$7,'NEW MODEL BY SES'!$C$17:$R$17,0),0),"")</f>
        <v/>
      </c>
      <c r="I234" s="140" t="str">
        <f>IFERROR(VLOOKUP($C234,'NEW MODEL BY SES'!$C$19:$R$242,MATCH('SeS in Retail Sales Areas'!I$7,'NEW MODEL BY SES'!$C$17:$R$17,0),0),"")</f>
        <v/>
      </c>
      <c r="J234" s="142" t="str">
        <f>IFERROR(VLOOKUP($C234,'NEW MODEL BY SES'!$C$19:$R$242,MATCH('SeS in Retail Sales Areas'!J$7,'NEW MODEL BY SES'!$C$17:$R$17,0),0),"")</f>
        <v/>
      </c>
      <c r="K234" s="140" t="str">
        <f>IFERROR(VLOOKUP($C234,'NEW MODEL BY SES'!$C$19:$R$242,MATCH('SeS in Retail Sales Areas'!K$7,'NEW MODEL BY SES'!$C$17:$R$17,0),0),"")</f>
        <v/>
      </c>
      <c r="L234" s="142" t="str">
        <f>IFERROR(VLOOKUP($C234,'NEW MODEL BY SES'!$C$19:$R$242,MATCH('SeS in Retail Sales Areas'!L$7,'NEW MODEL BY SES'!$C$17:$R$17,0),0),"")</f>
        <v/>
      </c>
      <c r="M234" s="140" t="str">
        <f>IFERROR(VLOOKUP($C234,'NEW MODEL BY SES'!$C$19:$R$242,MATCH('SeS in Retail Sales Areas'!M$7,'NEW MODEL BY SES'!$C$17:$R$17,0),0),"")</f>
        <v/>
      </c>
      <c r="N234" s="142" t="str">
        <f>IFERROR(VLOOKUP($C234,'NEW MODEL BY SES'!$C$19:$R$242,MATCH('SeS in Retail Sales Areas'!N$7,'NEW MODEL BY SES'!$C$17:$R$17,0),0),"")</f>
        <v/>
      </c>
      <c r="O234" s="140" t="str">
        <f>IFERROR(VLOOKUP($C234,'NEW MODEL BY SES'!$C$19:$R$242,MATCH('SeS in Retail Sales Areas'!O$7,'NEW MODEL BY SES'!$C$17:$R$17,0),0),"")</f>
        <v/>
      </c>
      <c r="P234" s="142" t="str">
        <f>IFERROR(VLOOKUP($C234,'NEW MODEL BY SES'!$C$19:$R$242,MATCH('SeS in Retail Sales Areas'!P$7,'NEW MODEL BY SES'!$C$17:$R$17,0),0),"")</f>
        <v/>
      </c>
      <c r="Q234" s="140" t="str">
        <f>IFERROR(VLOOKUP($C234,'NEW MODEL BY SES'!$C$19:$R$242,MATCH('SeS in Retail Sales Areas'!Q$7,'NEW MODEL BY SES'!$C$17:$R$17,0),0),"")</f>
        <v/>
      </c>
      <c r="R234" s="142" t="str">
        <f>IFERROR(VLOOKUP($C234,'NEW MODEL BY SES'!$C$19:$R$242,MATCH('SeS in Retail Sales Areas'!R$7,'NEW MODEL BY SES'!$C$17:$R$17,0),0),"")</f>
        <v/>
      </c>
      <c r="S234" s="141" t="str">
        <f>IFERROR(VLOOKUP($C234,'NEW MODEL BY SES'!$C$19:$R$242,MATCH('SeS in Retail Sales Areas'!S$7,'NEW MODEL BY SES'!$C$17:$R$17,0),0),"")</f>
        <v/>
      </c>
      <c r="T234" s="140" t="str">
        <f>IFERROR(VLOOKUP($C234,'NEW MODEL BY SES'!$C$19:$R$242,MATCH('SeS in Retail Sales Areas'!T$7,'NEW MODEL BY SES'!$C$17:$R$17,0),0),"")</f>
        <v/>
      </c>
      <c r="U234" s="142" t="str">
        <f>IFERROR(VLOOKUP($C234,'NEW MODEL BY SES'!$C$19:$R$242,MATCH('SeS in Retail Sales Areas'!U$7,'NEW MODEL BY SES'!$C$17:$R$17,0),0),"")</f>
        <v/>
      </c>
      <c r="V234" s="140" t="str">
        <f>IFERROR(VLOOKUP($C234,'NEW MODEL BY SES'!$C$19:$R$242,MATCH('SeS in Retail Sales Areas'!V$7,'NEW MODEL BY SES'!$C$17:$R$17,0),0),"")</f>
        <v/>
      </c>
      <c r="W234" s="141" t="str">
        <f>IFERROR(VLOOKUP($C234,'NEW MODEL BY SES'!$C$19:$R$242,MATCH('SeS in Retail Sales Areas'!W$7,'NEW MODEL BY SES'!$C$17:$R$17,0),0),"")</f>
        <v/>
      </c>
      <c r="X234" s="140" t="str">
        <f>IFERROR(VLOOKUP($C234,'NEW MODEL BY SES'!$C$19:$R$242,MATCH('SeS in Retail Sales Areas'!X$7,'NEW MODEL BY SES'!$C$17:$R$17,0),0),"")</f>
        <v/>
      </c>
      <c r="Z234" s="57"/>
    </row>
    <row r="235" spans="1:26">
      <c r="A235" t="s">
        <v>1145</v>
      </c>
      <c r="B235" s="57">
        <v>53</v>
      </c>
      <c r="C235" t="s">
        <v>1169</v>
      </c>
      <c r="D235" t="s">
        <v>44</v>
      </c>
      <c r="E235"/>
      <c r="F235" s="140" t="str">
        <f>IFERROR(VLOOKUP($C235,'NEW MODEL BY SES'!$C$19:$R$242,MATCH('SeS in Retail Sales Areas'!F$7,'NEW MODEL BY SES'!$C$17:$R$17,0),0),"")</f>
        <v/>
      </c>
      <c r="G235" s="140" t="str">
        <f>IFERROR(VLOOKUP($C235,'NEW MODEL BY SES'!$C$19:$R$242,MATCH('SeS in Retail Sales Areas'!G$7,'NEW MODEL BY SES'!$C$17:$R$17,0),0),"")</f>
        <v/>
      </c>
      <c r="H235" s="142" t="str">
        <f>IFERROR(VLOOKUP($C235,'NEW MODEL BY SES'!$C$19:$R$242,MATCH('SeS in Retail Sales Areas'!H$7,'NEW MODEL BY SES'!$C$17:$R$17,0),0),"")</f>
        <v/>
      </c>
      <c r="I235" s="140" t="str">
        <f>IFERROR(VLOOKUP($C235,'NEW MODEL BY SES'!$C$19:$R$242,MATCH('SeS in Retail Sales Areas'!I$7,'NEW MODEL BY SES'!$C$17:$R$17,0),0),"")</f>
        <v/>
      </c>
      <c r="J235" s="142" t="str">
        <f>IFERROR(VLOOKUP($C235,'NEW MODEL BY SES'!$C$19:$R$242,MATCH('SeS in Retail Sales Areas'!J$7,'NEW MODEL BY SES'!$C$17:$R$17,0),0),"")</f>
        <v/>
      </c>
      <c r="K235" s="140" t="str">
        <f>IFERROR(VLOOKUP($C235,'NEW MODEL BY SES'!$C$19:$R$242,MATCH('SeS in Retail Sales Areas'!K$7,'NEW MODEL BY SES'!$C$17:$R$17,0),0),"")</f>
        <v/>
      </c>
      <c r="L235" s="142" t="str">
        <f>IFERROR(VLOOKUP($C235,'NEW MODEL BY SES'!$C$19:$R$242,MATCH('SeS in Retail Sales Areas'!L$7,'NEW MODEL BY SES'!$C$17:$R$17,0),0),"")</f>
        <v/>
      </c>
      <c r="M235" s="140" t="str">
        <f>IFERROR(VLOOKUP($C235,'NEW MODEL BY SES'!$C$19:$R$242,MATCH('SeS in Retail Sales Areas'!M$7,'NEW MODEL BY SES'!$C$17:$R$17,0),0),"")</f>
        <v/>
      </c>
      <c r="N235" s="142" t="str">
        <f>IFERROR(VLOOKUP($C235,'NEW MODEL BY SES'!$C$19:$R$242,MATCH('SeS in Retail Sales Areas'!N$7,'NEW MODEL BY SES'!$C$17:$R$17,0),0),"")</f>
        <v/>
      </c>
      <c r="O235" s="140" t="str">
        <f>IFERROR(VLOOKUP($C235,'NEW MODEL BY SES'!$C$19:$R$242,MATCH('SeS in Retail Sales Areas'!O$7,'NEW MODEL BY SES'!$C$17:$R$17,0),0),"")</f>
        <v/>
      </c>
      <c r="P235" s="142" t="str">
        <f>IFERROR(VLOOKUP($C235,'NEW MODEL BY SES'!$C$19:$R$242,MATCH('SeS in Retail Sales Areas'!P$7,'NEW MODEL BY SES'!$C$17:$R$17,0),0),"")</f>
        <v/>
      </c>
      <c r="Q235" s="140" t="str">
        <f>IFERROR(VLOOKUP($C235,'NEW MODEL BY SES'!$C$19:$R$242,MATCH('SeS in Retail Sales Areas'!Q$7,'NEW MODEL BY SES'!$C$17:$R$17,0),0),"")</f>
        <v/>
      </c>
      <c r="R235" s="142" t="str">
        <f>IFERROR(VLOOKUP($C235,'NEW MODEL BY SES'!$C$19:$R$242,MATCH('SeS in Retail Sales Areas'!R$7,'NEW MODEL BY SES'!$C$17:$R$17,0),0),"")</f>
        <v/>
      </c>
      <c r="S235" s="141" t="str">
        <f>IFERROR(VLOOKUP($C235,'NEW MODEL BY SES'!$C$19:$R$242,MATCH('SeS in Retail Sales Areas'!S$7,'NEW MODEL BY SES'!$C$17:$R$17,0),0),"")</f>
        <v/>
      </c>
      <c r="T235" s="140" t="str">
        <f>IFERROR(VLOOKUP($C235,'NEW MODEL BY SES'!$C$19:$R$242,MATCH('SeS in Retail Sales Areas'!T$7,'NEW MODEL BY SES'!$C$17:$R$17,0),0),"")</f>
        <v/>
      </c>
      <c r="U235" s="142" t="str">
        <f>IFERROR(VLOOKUP($C235,'NEW MODEL BY SES'!$C$19:$R$242,MATCH('SeS in Retail Sales Areas'!U$7,'NEW MODEL BY SES'!$C$17:$R$17,0),0),"")</f>
        <v/>
      </c>
      <c r="V235" s="140" t="str">
        <f>IFERROR(VLOOKUP($C235,'NEW MODEL BY SES'!$C$19:$R$242,MATCH('SeS in Retail Sales Areas'!V$7,'NEW MODEL BY SES'!$C$17:$R$17,0),0),"")</f>
        <v/>
      </c>
      <c r="W235" s="141" t="str">
        <f>IFERROR(VLOOKUP($C235,'NEW MODEL BY SES'!$C$19:$R$242,MATCH('SeS in Retail Sales Areas'!W$7,'NEW MODEL BY SES'!$C$17:$R$17,0),0),"")</f>
        <v/>
      </c>
      <c r="X235" s="140" t="str">
        <f>IFERROR(VLOOKUP($C235,'NEW MODEL BY SES'!$C$19:$R$242,MATCH('SeS in Retail Sales Areas'!X$7,'NEW MODEL BY SES'!$C$17:$R$17,0),0),"")</f>
        <v/>
      </c>
      <c r="Z235" s="57"/>
    </row>
    <row r="236" spans="1:26">
      <c r="A236" t="s">
        <v>1170</v>
      </c>
      <c r="B236" s="57">
        <v>108</v>
      </c>
      <c r="C236" t="s">
        <v>1171</v>
      </c>
      <c r="D236" t="s">
        <v>40</v>
      </c>
      <c r="E236"/>
      <c r="F236" s="140" t="str">
        <f>IFERROR(VLOOKUP($C236,'NEW MODEL BY SES'!$C$19:$R$242,MATCH('SeS in Retail Sales Areas'!F$7,'NEW MODEL BY SES'!$C$17:$R$17,0),0),"")</f>
        <v/>
      </c>
      <c r="G236" s="140" t="str">
        <f>IFERROR(VLOOKUP($C236,'NEW MODEL BY SES'!$C$19:$R$242,MATCH('SeS in Retail Sales Areas'!G$7,'NEW MODEL BY SES'!$C$17:$R$17,0),0),"")</f>
        <v/>
      </c>
      <c r="H236" s="142" t="str">
        <f>IFERROR(VLOOKUP($C236,'NEW MODEL BY SES'!$C$19:$R$242,MATCH('SeS in Retail Sales Areas'!H$7,'NEW MODEL BY SES'!$C$17:$R$17,0),0),"")</f>
        <v/>
      </c>
      <c r="I236" s="140" t="str">
        <f>IFERROR(VLOOKUP($C236,'NEW MODEL BY SES'!$C$19:$R$242,MATCH('SeS in Retail Sales Areas'!I$7,'NEW MODEL BY SES'!$C$17:$R$17,0),0),"")</f>
        <v/>
      </c>
      <c r="J236" s="142" t="str">
        <f>IFERROR(VLOOKUP($C236,'NEW MODEL BY SES'!$C$19:$R$242,MATCH('SeS in Retail Sales Areas'!J$7,'NEW MODEL BY SES'!$C$17:$R$17,0),0),"")</f>
        <v/>
      </c>
      <c r="K236" s="140" t="str">
        <f>IFERROR(VLOOKUP($C236,'NEW MODEL BY SES'!$C$19:$R$242,MATCH('SeS in Retail Sales Areas'!K$7,'NEW MODEL BY SES'!$C$17:$R$17,0),0),"")</f>
        <v/>
      </c>
      <c r="L236" s="142" t="str">
        <f>IFERROR(VLOOKUP($C236,'NEW MODEL BY SES'!$C$19:$R$242,MATCH('SeS in Retail Sales Areas'!L$7,'NEW MODEL BY SES'!$C$17:$R$17,0),0),"")</f>
        <v/>
      </c>
      <c r="M236" s="140" t="str">
        <f>IFERROR(VLOOKUP($C236,'NEW MODEL BY SES'!$C$19:$R$242,MATCH('SeS in Retail Sales Areas'!M$7,'NEW MODEL BY SES'!$C$17:$R$17,0),0),"")</f>
        <v/>
      </c>
      <c r="N236" s="142" t="str">
        <f>IFERROR(VLOOKUP($C236,'NEW MODEL BY SES'!$C$19:$R$242,MATCH('SeS in Retail Sales Areas'!N$7,'NEW MODEL BY SES'!$C$17:$R$17,0),0),"")</f>
        <v/>
      </c>
      <c r="O236" s="140" t="str">
        <f>IFERROR(VLOOKUP($C236,'NEW MODEL BY SES'!$C$19:$R$242,MATCH('SeS in Retail Sales Areas'!O$7,'NEW MODEL BY SES'!$C$17:$R$17,0),0),"")</f>
        <v/>
      </c>
      <c r="P236" s="142" t="str">
        <f>IFERROR(VLOOKUP($C236,'NEW MODEL BY SES'!$C$19:$R$242,MATCH('SeS in Retail Sales Areas'!P$7,'NEW MODEL BY SES'!$C$17:$R$17,0),0),"")</f>
        <v/>
      </c>
      <c r="Q236" s="140" t="str">
        <f>IFERROR(VLOOKUP($C236,'NEW MODEL BY SES'!$C$19:$R$242,MATCH('SeS in Retail Sales Areas'!Q$7,'NEW MODEL BY SES'!$C$17:$R$17,0),0),"")</f>
        <v/>
      </c>
      <c r="R236" s="142" t="str">
        <f>IFERROR(VLOOKUP($C236,'NEW MODEL BY SES'!$C$19:$R$242,MATCH('SeS in Retail Sales Areas'!R$7,'NEW MODEL BY SES'!$C$17:$R$17,0),0),"")</f>
        <v/>
      </c>
      <c r="S236" s="141" t="str">
        <f>IFERROR(VLOOKUP($C236,'NEW MODEL BY SES'!$C$19:$R$242,MATCH('SeS in Retail Sales Areas'!S$7,'NEW MODEL BY SES'!$C$17:$R$17,0),0),"")</f>
        <v/>
      </c>
      <c r="T236" s="140" t="str">
        <f>IFERROR(VLOOKUP($C236,'NEW MODEL BY SES'!$C$19:$R$242,MATCH('SeS in Retail Sales Areas'!T$7,'NEW MODEL BY SES'!$C$17:$R$17,0),0),"")</f>
        <v/>
      </c>
      <c r="U236" s="142" t="str">
        <f>IFERROR(VLOOKUP($C236,'NEW MODEL BY SES'!$C$19:$R$242,MATCH('SeS in Retail Sales Areas'!U$7,'NEW MODEL BY SES'!$C$17:$R$17,0),0),"")</f>
        <v/>
      </c>
      <c r="V236" s="140" t="str">
        <f>IFERROR(VLOOKUP($C236,'NEW MODEL BY SES'!$C$19:$R$242,MATCH('SeS in Retail Sales Areas'!V$7,'NEW MODEL BY SES'!$C$17:$R$17,0),0),"")</f>
        <v/>
      </c>
      <c r="W236" s="141" t="str">
        <f>IFERROR(VLOOKUP($C236,'NEW MODEL BY SES'!$C$19:$R$242,MATCH('SeS in Retail Sales Areas'!W$7,'NEW MODEL BY SES'!$C$17:$R$17,0),0),"")</f>
        <v/>
      </c>
      <c r="X236" s="140" t="str">
        <f>IFERROR(VLOOKUP($C236,'NEW MODEL BY SES'!$C$19:$R$242,MATCH('SeS in Retail Sales Areas'!X$7,'NEW MODEL BY SES'!$C$17:$R$17,0),0),"")</f>
        <v/>
      </c>
      <c r="Z236" s="57"/>
    </row>
    <row r="237" spans="1:26">
      <c r="A237" t="s">
        <v>1170</v>
      </c>
      <c r="B237" s="57">
        <v>87</v>
      </c>
      <c r="C237" t="s">
        <v>1172</v>
      </c>
      <c r="D237" t="s">
        <v>40</v>
      </c>
      <c r="E237"/>
      <c r="F237" s="140" t="str">
        <f>IFERROR(VLOOKUP($C237,'NEW MODEL BY SES'!$C$19:$R$242,MATCH('SeS in Retail Sales Areas'!F$7,'NEW MODEL BY SES'!$C$17:$R$17,0),0),"")</f>
        <v/>
      </c>
      <c r="G237" s="140" t="str">
        <f>IFERROR(VLOOKUP($C237,'NEW MODEL BY SES'!$C$19:$R$242,MATCH('SeS in Retail Sales Areas'!G$7,'NEW MODEL BY SES'!$C$17:$R$17,0),0),"")</f>
        <v/>
      </c>
      <c r="H237" s="142" t="str">
        <f>IFERROR(VLOOKUP($C237,'NEW MODEL BY SES'!$C$19:$R$242,MATCH('SeS in Retail Sales Areas'!H$7,'NEW MODEL BY SES'!$C$17:$R$17,0),0),"")</f>
        <v/>
      </c>
      <c r="I237" s="140" t="str">
        <f>IFERROR(VLOOKUP($C237,'NEW MODEL BY SES'!$C$19:$R$242,MATCH('SeS in Retail Sales Areas'!I$7,'NEW MODEL BY SES'!$C$17:$R$17,0),0),"")</f>
        <v/>
      </c>
      <c r="J237" s="142" t="str">
        <f>IFERROR(VLOOKUP($C237,'NEW MODEL BY SES'!$C$19:$R$242,MATCH('SeS in Retail Sales Areas'!J$7,'NEW MODEL BY SES'!$C$17:$R$17,0),0),"")</f>
        <v/>
      </c>
      <c r="K237" s="140" t="str">
        <f>IFERROR(VLOOKUP($C237,'NEW MODEL BY SES'!$C$19:$R$242,MATCH('SeS in Retail Sales Areas'!K$7,'NEW MODEL BY SES'!$C$17:$R$17,0),0),"")</f>
        <v/>
      </c>
      <c r="L237" s="142" t="str">
        <f>IFERROR(VLOOKUP($C237,'NEW MODEL BY SES'!$C$19:$R$242,MATCH('SeS in Retail Sales Areas'!L$7,'NEW MODEL BY SES'!$C$17:$R$17,0),0),"")</f>
        <v/>
      </c>
      <c r="M237" s="140" t="str">
        <f>IFERROR(VLOOKUP($C237,'NEW MODEL BY SES'!$C$19:$R$242,MATCH('SeS in Retail Sales Areas'!M$7,'NEW MODEL BY SES'!$C$17:$R$17,0),0),"")</f>
        <v/>
      </c>
      <c r="N237" s="142" t="str">
        <f>IFERROR(VLOOKUP($C237,'NEW MODEL BY SES'!$C$19:$R$242,MATCH('SeS in Retail Sales Areas'!N$7,'NEW MODEL BY SES'!$C$17:$R$17,0),0),"")</f>
        <v/>
      </c>
      <c r="O237" s="140" t="str">
        <f>IFERROR(VLOOKUP($C237,'NEW MODEL BY SES'!$C$19:$R$242,MATCH('SeS in Retail Sales Areas'!O$7,'NEW MODEL BY SES'!$C$17:$R$17,0),0),"")</f>
        <v/>
      </c>
      <c r="P237" s="142" t="str">
        <f>IFERROR(VLOOKUP($C237,'NEW MODEL BY SES'!$C$19:$R$242,MATCH('SeS in Retail Sales Areas'!P$7,'NEW MODEL BY SES'!$C$17:$R$17,0),0),"")</f>
        <v/>
      </c>
      <c r="Q237" s="140" t="str">
        <f>IFERROR(VLOOKUP($C237,'NEW MODEL BY SES'!$C$19:$R$242,MATCH('SeS in Retail Sales Areas'!Q$7,'NEW MODEL BY SES'!$C$17:$R$17,0),0),"")</f>
        <v/>
      </c>
      <c r="R237" s="142" t="str">
        <f>IFERROR(VLOOKUP($C237,'NEW MODEL BY SES'!$C$19:$R$242,MATCH('SeS in Retail Sales Areas'!R$7,'NEW MODEL BY SES'!$C$17:$R$17,0),0),"")</f>
        <v/>
      </c>
      <c r="S237" s="141" t="str">
        <f>IFERROR(VLOOKUP($C237,'NEW MODEL BY SES'!$C$19:$R$242,MATCH('SeS in Retail Sales Areas'!S$7,'NEW MODEL BY SES'!$C$17:$R$17,0),0),"")</f>
        <v/>
      </c>
      <c r="T237" s="140" t="str">
        <f>IFERROR(VLOOKUP($C237,'NEW MODEL BY SES'!$C$19:$R$242,MATCH('SeS in Retail Sales Areas'!T$7,'NEW MODEL BY SES'!$C$17:$R$17,0),0),"")</f>
        <v/>
      </c>
      <c r="U237" s="142" t="str">
        <f>IFERROR(VLOOKUP($C237,'NEW MODEL BY SES'!$C$19:$R$242,MATCH('SeS in Retail Sales Areas'!U$7,'NEW MODEL BY SES'!$C$17:$R$17,0),0),"")</f>
        <v/>
      </c>
      <c r="V237" s="140" t="str">
        <f>IFERROR(VLOOKUP($C237,'NEW MODEL BY SES'!$C$19:$R$242,MATCH('SeS in Retail Sales Areas'!V$7,'NEW MODEL BY SES'!$C$17:$R$17,0),0),"")</f>
        <v/>
      </c>
      <c r="W237" s="141" t="str">
        <f>IFERROR(VLOOKUP($C237,'NEW MODEL BY SES'!$C$19:$R$242,MATCH('SeS in Retail Sales Areas'!W$7,'NEW MODEL BY SES'!$C$17:$R$17,0),0),"")</f>
        <v/>
      </c>
      <c r="X237" s="140" t="str">
        <f>IFERROR(VLOOKUP($C237,'NEW MODEL BY SES'!$C$19:$R$242,MATCH('SeS in Retail Sales Areas'!X$7,'NEW MODEL BY SES'!$C$17:$R$17,0),0),"")</f>
        <v/>
      </c>
      <c r="Z237" s="57"/>
    </row>
    <row r="238" spans="1:26">
      <c r="A238" t="s">
        <v>1170</v>
      </c>
      <c r="B238" s="57">
        <v>62</v>
      </c>
      <c r="C238" t="s">
        <v>1173</v>
      </c>
      <c r="D238" t="s">
        <v>44</v>
      </c>
      <c r="E238"/>
      <c r="F238" s="140" t="str">
        <f>IFERROR(VLOOKUP($C238,'NEW MODEL BY SES'!$C$19:$R$242,MATCH('SeS in Retail Sales Areas'!F$7,'NEW MODEL BY SES'!$C$17:$R$17,0),0),"")</f>
        <v/>
      </c>
      <c r="G238" s="140" t="str">
        <f>IFERROR(VLOOKUP($C238,'NEW MODEL BY SES'!$C$19:$R$242,MATCH('SeS in Retail Sales Areas'!G$7,'NEW MODEL BY SES'!$C$17:$R$17,0),0),"")</f>
        <v/>
      </c>
      <c r="H238" s="142" t="str">
        <f>IFERROR(VLOOKUP($C238,'NEW MODEL BY SES'!$C$19:$R$242,MATCH('SeS in Retail Sales Areas'!H$7,'NEW MODEL BY SES'!$C$17:$R$17,0),0),"")</f>
        <v/>
      </c>
      <c r="I238" s="140" t="str">
        <f>IFERROR(VLOOKUP($C238,'NEW MODEL BY SES'!$C$19:$R$242,MATCH('SeS in Retail Sales Areas'!I$7,'NEW MODEL BY SES'!$C$17:$R$17,0),0),"")</f>
        <v/>
      </c>
      <c r="J238" s="142" t="str">
        <f>IFERROR(VLOOKUP($C238,'NEW MODEL BY SES'!$C$19:$R$242,MATCH('SeS in Retail Sales Areas'!J$7,'NEW MODEL BY SES'!$C$17:$R$17,0),0),"")</f>
        <v/>
      </c>
      <c r="K238" s="140" t="str">
        <f>IFERROR(VLOOKUP($C238,'NEW MODEL BY SES'!$C$19:$R$242,MATCH('SeS in Retail Sales Areas'!K$7,'NEW MODEL BY SES'!$C$17:$R$17,0),0),"")</f>
        <v/>
      </c>
      <c r="L238" s="142" t="str">
        <f>IFERROR(VLOOKUP($C238,'NEW MODEL BY SES'!$C$19:$R$242,MATCH('SeS in Retail Sales Areas'!L$7,'NEW MODEL BY SES'!$C$17:$R$17,0),0),"")</f>
        <v/>
      </c>
      <c r="M238" s="140" t="str">
        <f>IFERROR(VLOOKUP($C238,'NEW MODEL BY SES'!$C$19:$R$242,MATCH('SeS in Retail Sales Areas'!M$7,'NEW MODEL BY SES'!$C$17:$R$17,0),0),"")</f>
        <v/>
      </c>
      <c r="N238" s="142" t="str">
        <f>IFERROR(VLOOKUP($C238,'NEW MODEL BY SES'!$C$19:$R$242,MATCH('SeS in Retail Sales Areas'!N$7,'NEW MODEL BY SES'!$C$17:$R$17,0),0),"")</f>
        <v/>
      </c>
      <c r="O238" s="140" t="str">
        <f>IFERROR(VLOOKUP($C238,'NEW MODEL BY SES'!$C$19:$R$242,MATCH('SeS in Retail Sales Areas'!O$7,'NEW MODEL BY SES'!$C$17:$R$17,0),0),"")</f>
        <v/>
      </c>
      <c r="P238" s="142" t="str">
        <f>IFERROR(VLOOKUP($C238,'NEW MODEL BY SES'!$C$19:$R$242,MATCH('SeS in Retail Sales Areas'!P$7,'NEW MODEL BY SES'!$C$17:$R$17,0),0),"")</f>
        <v/>
      </c>
      <c r="Q238" s="140" t="str">
        <f>IFERROR(VLOOKUP($C238,'NEW MODEL BY SES'!$C$19:$R$242,MATCH('SeS in Retail Sales Areas'!Q$7,'NEW MODEL BY SES'!$C$17:$R$17,0),0),"")</f>
        <v/>
      </c>
      <c r="R238" s="142" t="str">
        <f>IFERROR(VLOOKUP($C238,'NEW MODEL BY SES'!$C$19:$R$242,MATCH('SeS in Retail Sales Areas'!R$7,'NEW MODEL BY SES'!$C$17:$R$17,0),0),"")</f>
        <v/>
      </c>
      <c r="S238" s="141" t="str">
        <f>IFERROR(VLOOKUP($C238,'NEW MODEL BY SES'!$C$19:$R$242,MATCH('SeS in Retail Sales Areas'!S$7,'NEW MODEL BY SES'!$C$17:$R$17,0),0),"")</f>
        <v/>
      </c>
      <c r="T238" s="140" t="str">
        <f>IFERROR(VLOOKUP($C238,'NEW MODEL BY SES'!$C$19:$R$242,MATCH('SeS in Retail Sales Areas'!T$7,'NEW MODEL BY SES'!$C$17:$R$17,0),0),"")</f>
        <v/>
      </c>
      <c r="U238" s="142" t="str">
        <f>IFERROR(VLOOKUP($C238,'NEW MODEL BY SES'!$C$19:$R$242,MATCH('SeS in Retail Sales Areas'!U$7,'NEW MODEL BY SES'!$C$17:$R$17,0),0),"")</f>
        <v/>
      </c>
      <c r="V238" s="140" t="str">
        <f>IFERROR(VLOOKUP($C238,'NEW MODEL BY SES'!$C$19:$R$242,MATCH('SeS in Retail Sales Areas'!V$7,'NEW MODEL BY SES'!$C$17:$R$17,0),0),"")</f>
        <v/>
      </c>
      <c r="W238" s="141" t="str">
        <f>IFERROR(VLOOKUP($C238,'NEW MODEL BY SES'!$C$19:$R$242,MATCH('SeS in Retail Sales Areas'!W$7,'NEW MODEL BY SES'!$C$17:$R$17,0),0),"")</f>
        <v/>
      </c>
      <c r="X238" s="140" t="str">
        <f>IFERROR(VLOOKUP($C238,'NEW MODEL BY SES'!$C$19:$R$242,MATCH('SeS in Retail Sales Areas'!X$7,'NEW MODEL BY SES'!$C$17:$R$17,0),0),"")</f>
        <v/>
      </c>
      <c r="Z238" s="57"/>
    </row>
    <row r="239" spans="1:26">
      <c r="A239" t="s">
        <v>1174</v>
      </c>
      <c r="B239" s="57">
        <v>179</v>
      </c>
      <c r="C239" t="s">
        <v>1175</v>
      </c>
      <c r="D239" t="s">
        <v>33</v>
      </c>
      <c r="E239"/>
      <c r="F239" s="140" t="str">
        <f>IFERROR(VLOOKUP($C239,'NEW MODEL BY SES'!$C$19:$R$242,MATCH('SeS in Retail Sales Areas'!F$7,'NEW MODEL BY SES'!$C$17:$R$17,0),0),"")</f>
        <v/>
      </c>
      <c r="G239" s="140" t="str">
        <f>IFERROR(VLOOKUP($C239,'NEW MODEL BY SES'!$C$19:$R$242,MATCH('SeS in Retail Sales Areas'!G$7,'NEW MODEL BY SES'!$C$17:$R$17,0),0),"")</f>
        <v/>
      </c>
      <c r="H239" s="142" t="str">
        <f>IFERROR(VLOOKUP($C239,'NEW MODEL BY SES'!$C$19:$R$242,MATCH('SeS in Retail Sales Areas'!H$7,'NEW MODEL BY SES'!$C$17:$R$17,0),0),"")</f>
        <v/>
      </c>
      <c r="I239" s="140" t="str">
        <f>IFERROR(VLOOKUP($C239,'NEW MODEL BY SES'!$C$19:$R$242,MATCH('SeS in Retail Sales Areas'!I$7,'NEW MODEL BY SES'!$C$17:$R$17,0),0),"")</f>
        <v/>
      </c>
      <c r="J239" s="142" t="str">
        <f>IFERROR(VLOOKUP($C239,'NEW MODEL BY SES'!$C$19:$R$242,MATCH('SeS in Retail Sales Areas'!J$7,'NEW MODEL BY SES'!$C$17:$R$17,0),0),"")</f>
        <v/>
      </c>
      <c r="K239" s="140" t="str">
        <f>IFERROR(VLOOKUP($C239,'NEW MODEL BY SES'!$C$19:$R$242,MATCH('SeS in Retail Sales Areas'!K$7,'NEW MODEL BY SES'!$C$17:$R$17,0),0),"")</f>
        <v/>
      </c>
      <c r="L239" s="142" t="str">
        <f>IFERROR(VLOOKUP($C239,'NEW MODEL BY SES'!$C$19:$R$242,MATCH('SeS in Retail Sales Areas'!L$7,'NEW MODEL BY SES'!$C$17:$R$17,0),0),"")</f>
        <v/>
      </c>
      <c r="M239" s="140" t="str">
        <f>IFERROR(VLOOKUP($C239,'NEW MODEL BY SES'!$C$19:$R$242,MATCH('SeS in Retail Sales Areas'!M$7,'NEW MODEL BY SES'!$C$17:$R$17,0),0),"")</f>
        <v/>
      </c>
      <c r="N239" s="142" t="str">
        <f>IFERROR(VLOOKUP($C239,'NEW MODEL BY SES'!$C$19:$R$242,MATCH('SeS in Retail Sales Areas'!N$7,'NEW MODEL BY SES'!$C$17:$R$17,0),0),"")</f>
        <v/>
      </c>
      <c r="O239" s="140" t="str">
        <f>IFERROR(VLOOKUP($C239,'NEW MODEL BY SES'!$C$19:$R$242,MATCH('SeS in Retail Sales Areas'!O$7,'NEW MODEL BY SES'!$C$17:$R$17,0),0),"")</f>
        <v/>
      </c>
      <c r="P239" s="142" t="str">
        <f>IFERROR(VLOOKUP($C239,'NEW MODEL BY SES'!$C$19:$R$242,MATCH('SeS in Retail Sales Areas'!P$7,'NEW MODEL BY SES'!$C$17:$R$17,0),0),"")</f>
        <v/>
      </c>
      <c r="Q239" s="140" t="str">
        <f>IFERROR(VLOOKUP($C239,'NEW MODEL BY SES'!$C$19:$R$242,MATCH('SeS in Retail Sales Areas'!Q$7,'NEW MODEL BY SES'!$C$17:$R$17,0),0),"")</f>
        <v/>
      </c>
      <c r="R239" s="142" t="str">
        <f>IFERROR(VLOOKUP($C239,'NEW MODEL BY SES'!$C$19:$R$242,MATCH('SeS in Retail Sales Areas'!R$7,'NEW MODEL BY SES'!$C$17:$R$17,0),0),"")</f>
        <v/>
      </c>
      <c r="S239" s="141" t="str">
        <f>IFERROR(VLOOKUP($C239,'NEW MODEL BY SES'!$C$19:$R$242,MATCH('SeS in Retail Sales Areas'!S$7,'NEW MODEL BY SES'!$C$17:$R$17,0),0),"")</f>
        <v/>
      </c>
      <c r="T239" s="140" t="str">
        <f>IFERROR(VLOOKUP($C239,'NEW MODEL BY SES'!$C$19:$R$242,MATCH('SeS in Retail Sales Areas'!T$7,'NEW MODEL BY SES'!$C$17:$R$17,0),0),"")</f>
        <v/>
      </c>
      <c r="U239" s="142" t="str">
        <f>IFERROR(VLOOKUP($C239,'NEW MODEL BY SES'!$C$19:$R$242,MATCH('SeS in Retail Sales Areas'!U$7,'NEW MODEL BY SES'!$C$17:$R$17,0),0),"")</f>
        <v/>
      </c>
      <c r="V239" s="140" t="str">
        <f>IFERROR(VLOOKUP($C239,'NEW MODEL BY SES'!$C$19:$R$242,MATCH('SeS in Retail Sales Areas'!V$7,'NEW MODEL BY SES'!$C$17:$R$17,0),0),"")</f>
        <v/>
      </c>
      <c r="W239" s="141" t="str">
        <f>IFERROR(VLOOKUP($C239,'NEW MODEL BY SES'!$C$19:$R$242,MATCH('SeS in Retail Sales Areas'!W$7,'NEW MODEL BY SES'!$C$17:$R$17,0),0),"")</f>
        <v/>
      </c>
      <c r="X239" s="140" t="str">
        <f>IFERROR(VLOOKUP($C239,'NEW MODEL BY SES'!$C$19:$R$242,MATCH('SeS in Retail Sales Areas'!X$7,'NEW MODEL BY SES'!$C$17:$R$17,0),0),"")</f>
        <v/>
      </c>
      <c r="Z239" s="57"/>
    </row>
    <row r="240" spans="1:26">
      <c r="A240" t="s">
        <v>1174</v>
      </c>
      <c r="B240" s="57">
        <v>168</v>
      </c>
      <c r="C240" t="s">
        <v>1176</v>
      </c>
      <c r="D240" t="s">
        <v>33</v>
      </c>
      <c r="E240"/>
      <c r="F240" s="140" t="str">
        <f>IFERROR(VLOOKUP($C240,'NEW MODEL BY SES'!$C$19:$R$242,MATCH('SeS in Retail Sales Areas'!F$7,'NEW MODEL BY SES'!$C$17:$R$17,0),0),"")</f>
        <v/>
      </c>
      <c r="G240" s="140" t="str">
        <f>IFERROR(VLOOKUP($C240,'NEW MODEL BY SES'!$C$19:$R$242,MATCH('SeS in Retail Sales Areas'!G$7,'NEW MODEL BY SES'!$C$17:$R$17,0),0),"")</f>
        <v/>
      </c>
      <c r="H240" s="142" t="str">
        <f>IFERROR(VLOOKUP($C240,'NEW MODEL BY SES'!$C$19:$R$242,MATCH('SeS in Retail Sales Areas'!H$7,'NEW MODEL BY SES'!$C$17:$R$17,0),0),"")</f>
        <v/>
      </c>
      <c r="I240" s="140" t="str">
        <f>IFERROR(VLOOKUP($C240,'NEW MODEL BY SES'!$C$19:$R$242,MATCH('SeS in Retail Sales Areas'!I$7,'NEW MODEL BY SES'!$C$17:$R$17,0),0),"")</f>
        <v/>
      </c>
      <c r="J240" s="142" t="str">
        <f>IFERROR(VLOOKUP($C240,'NEW MODEL BY SES'!$C$19:$R$242,MATCH('SeS in Retail Sales Areas'!J$7,'NEW MODEL BY SES'!$C$17:$R$17,0),0),"")</f>
        <v/>
      </c>
      <c r="K240" s="140" t="str">
        <f>IFERROR(VLOOKUP($C240,'NEW MODEL BY SES'!$C$19:$R$242,MATCH('SeS in Retail Sales Areas'!K$7,'NEW MODEL BY SES'!$C$17:$R$17,0),0),"")</f>
        <v/>
      </c>
      <c r="L240" s="142" t="str">
        <f>IFERROR(VLOOKUP($C240,'NEW MODEL BY SES'!$C$19:$R$242,MATCH('SeS in Retail Sales Areas'!L$7,'NEW MODEL BY SES'!$C$17:$R$17,0),0),"")</f>
        <v/>
      </c>
      <c r="M240" s="140" t="str">
        <f>IFERROR(VLOOKUP($C240,'NEW MODEL BY SES'!$C$19:$R$242,MATCH('SeS in Retail Sales Areas'!M$7,'NEW MODEL BY SES'!$C$17:$R$17,0),0),"")</f>
        <v/>
      </c>
      <c r="N240" s="142" t="str">
        <f>IFERROR(VLOOKUP($C240,'NEW MODEL BY SES'!$C$19:$R$242,MATCH('SeS in Retail Sales Areas'!N$7,'NEW MODEL BY SES'!$C$17:$R$17,0),0),"")</f>
        <v/>
      </c>
      <c r="O240" s="140" t="str">
        <f>IFERROR(VLOOKUP($C240,'NEW MODEL BY SES'!$C$19:$R$242,MATCH('SeS in Retail Sales Areas'!O$7,'NEW MODEL BY SES'!$C$17:$R$17,0),0),"")</f>
        <v/>
      </c>
      <c r="P240" s="142" t="str">
        <f>IFERROR(VLOOKUP($C240,'NEW MODEL BY SES'!$C$19:$R$242,MATCH('SeS in Retail Sales Areas'!P$7,'NEW MODEL BY SES'!$C$17:$R$17,0),0),"")</f>
        <v/>
      </c>
      <c r="Q240" s="140" t="str">
        <f>IFERROR(VLOOKUP($C240,'NEW MODEL BY SES'!$C$19:$R$242,MATCH('SeS in Retail Sales Areas'!Q$7,'NEW MODEL BY SES'!$C$17:$R$17,0),0),"")</f>
        <v/>
      </c>
      <c r="R240" s="142" t="str">
        <f>IFERROR(VLOOKUP($C240,'NEW MODEL BY SES'!$C$19:$R$242,MATCH('SeS in Retail Sales Areas'!R$7,'NEW MODEL BY SES'!$C$17:$R$17,0),0),"")</f>
        <v/>
      </c>
      <c r="S240" s="141" t="str">
        <f>IFERROR(VLOOKUP($C240,'NEW MODEL BY SES'!$C$19:$R$242,MATCH('SeS in Retail Sales Areas'!S$7,'NEW MODEL BY SES'!$C$17:$R$17,0),0),"")</f>
        <v/>
      </c>
      <c r="T240" s="140" t="str">
        <f>IFERROR(VLOOKUP($C240,'NEW MODEL BY SES'!$C$19:$R$242,MATCH('SeS in Retail Sales Areas'!T$7,'NEW MODEL BY SES'!$C$17:$R$17,0),0),"")</f>
        <v/>
      </c>
      <c r="U240" s="142" t="str">
        <f>IFERROR(VLOOKUP($C240,'NEW MODEL BY SES'!$C$19:$R$242,MATCH('SeS in Retail Sales Areas'!U$7,'NEW MODEL BY SES'!$C$17:$R$17,0),0),"")</f>
        <v/>
      </c>
      <c r="V240" s="140" t="str">
        <f>IFERROR(VLOOKUP($C240,'NEW MODEL BY SES'!$C$19:$R$242,MATCH('SeS in Retail Sales Areas'!V$7,'NEW MODEL BY SES'!$C$17:$R$17,0),0),"")</f>
        <v/>
      </c>
      <c r="W240" s="141" t="str">
        <f>IFERROR(VLOOKUP($C240,'NEW MODEL BY SES'!$C$19:$R$242,MATCH('SeS in Retail Sales Areas'!W$7,'NEW MODEL BY SES'!$C$17:$R$17,0),0),"")</f>
        <v/>
      </c>
      <c r="X240" s="140" t="str">
        <f>IFERROR(VLOOKUP($C240,'NEW MODEL BY SES'!$C$19:$R$242,MATCH('SeS in Retail Sales Areas'!X$7,'NEW MODEL BY SES'!$C$17:$R$17,0),0),"")</f>
        <v/>
      </c>
      <c r="Z240" s="57"/>
    </row>
    <row r="241" spans="1:26">
      <c r="A241" t="s">
        <v>1174</v>
      </c>
      <c r="B241" s="57">
        <v>168</v>
      </c>
      <c r="C241" t="s">
        <v>1177</v>
      </c>
      <c r="D241" t="s">
        <v>33</v>
      </c>
      <c r="E241"/>
      <c r="F241" s="140" t="str">
        <f>IFERROR(VLOOKUP($C241,'NEW MODEL BY SES'!$C$19:$R$242,MATCH('SeS in Retail Sales Areas'!F$7,'NEW MODEL BY SES'!$C$17:$R$17,0),0),"")</f>
        <v/>
      </c>
      <c r="G241" s="140" t="str">
        <f>IFERROR(VLOOKUP($C241,'NEW MODEL BY SES'!$C$19:$R$242,MATCH('SeS in Retail Sales Areas'!G$7,'NEW MODEL BY SES'!$C$17:$R$17,0),0),"")</f>
        <v/>
      </c>
      <c r="H241" s="142" t="str">
        <f>IFERROR(VLOOKUP($C241,'NEW MODEL BY SES'!$C$19:$R$242,MATCH('SeS in Retail Sales Areas'!H$7,'NEW MODEL BY SES'!$C$17:$R$17,0),0),"")</f>
        <v/>
      </c>
      <c r="I241" s="140" t="str">
        <f>IFERROR(VLOOKUP($C241,'NEW MODEL BY SES'!$C$19:$R$242,MATCH('SeS in Retail Sales Areas'!I$7,'NEW MODEL BY SES'!$C$17:$R$17,0),0),"")</f>
        <v/>
      </c>
      <c r="J241" s="142" t="str">
        <f>IFERROR(VLOOKUP($C241,'NEW MODEL BY SES'!$C$19:$R$242,MATCH('SeS in Retail Sales Areas'!J$7,'NEW MODEL BY SES'!$C$17:$R$17,0),0),"")</f>
        <v/>
      </c>
      <c r="K241" s="140" t="str">
        <f>IFERROR(VLOOKUP($C241,'NEW MODEL BY SES'!$C$19:$R$242,MATCH('SeS in Retail Sales Areas'!K$7,'NEW MODEL BY SES'!$C$17:$R$17,0),0),"")</f>
        <v/>
      </c>
      <c r="L241" s="142" t="str">
        <f>IFERROR(VLOOKUP($C241,'NEW MODEL BY SES'!$C$19:$R$242,MATCH('SeS in Retail Sales Areas'!L$7,'NEW MODEL BY SES'!$C$17:$R$17,0),0),"")</f>
        <v/>
      </c>
      <c r="M241" s="140" t="str">
        <f>IFERROR(VLOOKUP($C241,'NEW MODEL BY SES'!$C$19:$R$242,MATCH('SeS in Retail Sales Areas'!M$7,'NEW MODEL BY SES'!$C$17:$R$17,0),0),"")</f>
        <v/>
      </c>
      <c r="N241" s="142" t="str">
        <f>IFERROR(VLOOKUP($C241,'NEW MODEL BY SES'!$C$19:$R$242,MATCH('SeS in Retail Sales Areas'!N$7,'NEW MODEL BY SES'!$C$17:$R$17,0),0),"")</f>
        <v/>
      </c>
      <c r="O241" s="140" t="str">
        <f>IFERROR(VLOOKUP($C241,'NEW MODEL BY SES'!$C$19:$R$242,MATCH('SeS in Retail Sales Areas'!O$7,'NEW MODEL BY SES'!$C$17:$R$17,0),0),"")</f>
        <v/>
      </c>
      <c r="P241" s="142" t="str">
        <f>IFERROR(VLOOKUP($C241,'NEW MODEL BY SES'!$C$19:$R$242,MATCH('SeS in Retail Sales Areas'!P$7,'NEW MODEL BY SES'!$C$17:$R$17,0),0),"")</f>
        <v/>
      </c>
      <c r="Q241" s="140" t="str">
        <f>IFERROR(VLOOKUP($C241,'NEW MODEL BY SES'!$C$19:$R$242,MATCH('SeS in Retail Sales Areas'!Q$7,'NEW MODEL BY SES'!$C$17:$R$17,0),0),"")</f>
        <v/>
      </c>
      <c r="R241" s="142" t="str">
        <f>IFERROR(VLOOKUP($C241,'NEW MODEL BY SES'!$C$19:$R$242,MATCH('SeS in Retail Sales Areas'!R$7,'NEW MODEL BY SES'!$C$17:$R$17,0),0),"")</f>
        <v/>
      </c>
      <c r="S241" s="141" t="str">
        <f>IFERROR(VLOOKUP($C241,'NEW MODEL BY SES'!$C$19:$R$242,MATCH('SeS in Retail Sales Areas'!S$7,'NEW MODEL BY SES'!$C$17:$R$17,0),0),"")</f>
        <v/>
      </c>
      <c r="T241" s="140" t="str">
        <f>IFERROR(VLOOKUP($C241,'NEW MODEL BY SES'!$C$19:$R$242,MATCH('SeS in Retail Sales Areas'!T$7,'NEW MODEL BY SES'!$C$17:$R$17,0),0),"")</f>
        <v/>
      </c>
      <c r="U241" s="142" t="str">
        <f>IFERROR(VLOOKUP($C241,'NEW MODEL BY SES'!$C$19:$R$242,MATCH('SeS in Retail Sales Areas'!U$7,'NEW MODEL BY SES'!$C$17:$R$17,0),0),"")</f>
        <v/>
      </c>
      <c r="V241" s="140" t="str">
        <f>IFERROR(VLOOKUP($C241,'NEW MODEL BY SES'!$C$19:$R$242,MATCH('SeS in Retail Sales Areas'!V$7,'NEW MODEL BY SES'!$C$17:$R$17,0),0),"")</f>
        <v/>
      </c>
      <c r="W241" s="141" t="str">
        <f>IFERROR(VLOOKUP($C241,'NEW MODEL BY SES'!$C$19:$R$242,MATCH('SeS in Retail Sales Areas'!W$7,'NEW MODEL BY SES'!$C$17:$R$17,0),0),"")</f>
        <v/>
      </c>
      <c r="X241" s="140" t="str">
        <f>IFERROR(VLOOKUP($C241,'NEW MODEL BY SES'!$C$19:$R$242,MATCH('SeS in Retail Sales Areas'!X$7,'NEW MODEL BY SES'!$C$17:$R$17,0),0),"")</f>
        <v/>
      </c>
      <c r="Z241" s="57"/>
    </row>
    <row r="242" spans="1:26">
      <c r="A242" t="s">
        <v>1174</v>
      </c>
      <c r="B242" s="57">
        <v>163</v>
      </c>
      <c r="C242" t="s">
        <v>1178</v>
      </c>
      <c r="D242" t="s">
        <v>38</v>
      </c>
      <c r="E242"/>
      <c r="F242" s="140" t="str">
        <f>IFERROR(VLOOKUP($C242,'NEW MODEL BY SES'!$C$19:$R$242,MATCH('SeS in Retail Sales Areas'!F$7,'NEW MODEL BY SES'!$C$17:$R$17,0),0),"")</f>
        <v/>
      </c>
      <c r="G242" s="140" t="str">
        <f>IFERROR(VLOOKUP($C242,'NEW MODEL BY SES'!$C$19:$R$242,MATCH('SeS in Retail Sales Areas'!G$7,'NEW MODEL BY SES'!$C$17:$R$17,0),0),"")</f>
        <v/>
      </c>
      <c r="H242" s="142" t="str">
        <f>IFERROR(VLOOKUP($C242,'NEW MODEL BY SES'!$C$19:$R$242,MATCH('SeS in Retail Sales Areas'!H$7,'NEW MODEL BY SES'!$C$17:$R$17,0),0),"")</f>
        <v/>
      </c>
      <c r="I242" s="140" t="str">
        <f>IFERROR(VLOOKUP($C242,'NEW MODEL BY SES'!$C$19:$R$242,MATCH('SeS in Retail Sales Areas'!I$7,'NEW MODEL BY SES'!$C$17:$R$17,0),0),"")</f>
        <v/>
      </c>
      <c r="J242" s="142" t="str">
        <f>IFERROR(VLOOKUP($C242,'NEW MODEL BY SES'!$C$19:$R$242,MATCH('SeS in Retail Sales Areas'!J$7,'NEW MODEL BY SES'!$C$17:$R$17,0),0),"")</f>
        <v/>
      </c>
      <c r="K242" s="140" t="str">
        <f>IFERROR(VLOOKUP($C242,'NEW MODEL BY SES'!$C$19:$R$242,MATCH('SeS in Retail Sales Areas'!K$7,'NEW MODEL BY SES'!$C$17:$R$17,0),0),"")</f>
        <v/>
      </c>
      <c r="L242" s="142" t="str">
        <f>IFERROR(VLOOKUP($C242,'NEW MODEL BY SES'!$C$19:$R$242,MATCH('SeS in Retail Sales Areas'!L$7,'NEW MODEL BY SES'!$C$17:$R$17,0),0),"")</f>
        <v/>
      </c>
      <c r="M242" s="140" t="str">
        <f>IFERROR(VLOOKUP($C242,'NEW MODEL BY SES'!$C$19:$R$242,MATCH('SeS in Retail Sales Areas'!M$7,'NEW MODEL BY SES'!$C$17:$R$17,0),0),"")</f>
        <v/>
      </c>
      <c r="N242" s="142" t="str">
        <f>IFERROR(VLOOKUP($C242,'NEW MODEL BY SES'!$C$19:$R$242,MATCH('SeS in Retail Sales Areas'!N$7,'NEW MODEL BY SES'!$C$17:$R$17,0),0),"")</f>
        <v/>
      </c>
      <c r="O242" s="140" t="str">
        <f>IFERROR(VLOOKUP($C242,'NEW MODEL BY SES'!$C$19:$R$242,MATCH('SeS in Retail Sales Areas'!O$7,'NEW MODEL BY SES'!$C$17:$R$17,0),0),"")</f>
        <v/>
      </c>
      <c r="P242" s="142" t="str">
        <f>IFERROR(VLOOKUP($C242,'NEW MODEL BY SES'!$C$19:$R$242,MATCH('SeS in Retail Sales Areas'!P$7,'NEW MODEL BY SES'!$C$17:$R$17,0),0),"")</f>
        <v/>
      </c>
      <c r="Q242" s="140" t="str">
        <f>IFERROR(VLOOKUP($C242,'NEW MODEL BY SES'!$C$19:$R$242,MATCH('SeS in Retail Sales Areas'!Q$7,'NEW MODEL BY SES'!$C$17:$R$17,0),0),"")</f>
        <v/>
      </c>
      <c r="R242" s="142" t="str">
        <f>IFERROR(VLOOKUP($C242,'NEW MODEL BY SES'!$C$19:$R$242,MATCH('SeS in Retail Sales Areas'!R$7,'NEW MODEL BY SES'!$C$17:$R$17,0),0),"")</f>
        <v/>
      </c>
      <c r="S242" s="141" t="str">
        <f>IFERROR(VLOOKUP($C242,'NEW MODEL BY SES'!$C$19:$R$242,MATCH('SeS in Retail Sales Areas'!S$7,'NEW MODEL BY SES'!$C$17:$R$17,0),0),"")</f>
        <v/>
      </c>
      <c r="T242" s="140" t="str">
        <f>IFERROR(VLOOKUP($C242,'NEW MODEL BY SES'!$C$19:$R$242,MATCH('SeS in Retail Sales Areas'!T$7,'NEW MODEL BY SES'!$C$17:$R$17,0),0),"")</f>
        <v/>
      </c>
      <c r="U242" s="142" t="str">
        <f>IFERROR(VLOOKUP($C242,'NEW MODEL BY SES'!$C$19:$R$242,MATCH('SeS in Retail Sales Areas'!U$7,'NEW MODEL BY SES'!$C$17:$R$17,0),0),"")</f>
        <v/>
      </c>
      <c r="V242" s="140" t="str">
        <f>IFERROR(VLOOKUP($C242,'NEW MODEL BY SES'!$C$19:$R$242,MATCH('SeS in Retail Sales Areas'!V$7,'NEW MODEL BY SES'!$C$17:$R$17,0),0),"")</f>
        <v/>
      </c>
      <c r="W242" s="141" t="str">
        <f>IFERROR(VLOOKUP($C242,'NEW MODEL BY SES'!$C$19:$R$242,MATCH('SeS in Retail Sales Areas'!W$7,'NEW MODEL BY SES'!$C$17:$R$17,0),0),"")</f>
        <v/>
      </c>
      <c r="X242" s="140" t="str">
        <f>IFERROR(VLOOKUP($C242,'NEW MODEL BY SES'!$C$19:$R$242,MATCH('SeS in Retail Sales Areas'!X$7,'NEW MODEL BY SES'!$C$17:$R$17,0),0),"")</f>
        <v/>
      </c>
      <c r="Z242" s="57"/>
    </row>
    <row r="243" spans="1:26">
      <c r="A243" t="s">
        <v>1174</v>
      </c>
      <c r="B243" s="57">
        <v>153</v>
      </c>
      <c r="C243" t="s">
        <v>1179</v>
      </c>
      <c r="D243" t="s">
        <v>38</v>
      </c>
      <c r="E243"/>
      <c r="F243" s="140" t="str">
        <f>IFERROR(VLOOKUP($C243,'NEW MODEL BY SES'!$C$19:$R$242,MATCH('SeS in Retail Sales Areas'!F$7,'NEW MODEL BY SES'!$C$17:$R$17,0),0),"")</f>
        <v/>
      </c>
      <c r="G243" s="140" t="str">
        <f>IFERROR(VLOOKUP($C243,'NEW MODEL BY SES'!$C$19:$R$242,MATCH('SeS in Retail Sales Areas'!G$7,'NEW MODEL BY SES'!$C$17:$R$17,0),0),"")</f>
        <v/>
      </c>
      <c r="H243" s="142" t="str">
        <f>IFERROR(VLOOKUP($C243,'NEW MODEL BY SES'!$C$19:$R$242,MATCH('SeS in Retail Sales Areas'!H$7,'NEW MODEL BY SES'!$C$17:$R$17,0),0),"")</f>
        <v/>
      </c>
      <c r="I243" s="140" t="str">
        <f>IFERROR(VLOOKUP($C243,'NEW MODEL BY SES'!$C$19:$R$242,MATCH('SeS in Retail Sales Areas'!I$7,'NEW MODEL BY SES'!$C$17:$R$17,0),0),"")</f>
        <v/>
      </c>
      <c r="J243" s="142" t="str">
        <f>IFERROR(VLOOKUP($C243,'NEW MODEL BY SES'!$C$19:$R$242,MATCH('SeS in Retail Sales Areas'!J$7,'NEW MODEL BY SES'!$C$17:$R$17,0),0),"")</f>
        <v/>
      </c>
      <c r="K243" s="140" t="str">
        <f>IFERROR(VLOOKUP($C243,'NEW MODEL BY SES'!$C$19:$R$242,MATCH('SeS in Retail Sales Areas'!K$7,'NEW MODEL BY SES'!$C$17:$R$17,0),0),"")</f>
        <v/>
      </c>
      <c r="L243" s="142" t="str">
        <f>IFERROR(VLOOKUP($C243,'NEW MODEL BY SES'!$C$19:$R$242,MATCH('SeS in Retail Sales Areas'!L$7,'NEW MODEL BY SES'!$C$17:$R$17,0),0),"")</f>
        <v/>
      </c>
      <c r="M243" s="140" t="str">
        <f>IFERROR(VLOOKUP($C243,'NEW MODEL BY SES'!$C$19:$R$242,MATCH('SeS in Retail Sales Areas'!M$7,'NEW MODEL BY SES'!$C$17:$R$17,0),0),"")</f>
        <v/>
      </c>
      <c r="N243" s="142" t="str">
        <f>IFERROR(VLOOKUP($C243,'NEW MODEL BY SES'!$C$19:$R$242,MATCH('SeS in Retail Sales Areas'!N$7,'NEW MODEL BY SES'!$C$17:$R$17,0),0),"")</f>
        <v/>
      </c>
      <c r="O243" s="140" t="str">
        <f>IFERROR(VLOOKUP($C243,'NEW MODEL BY SES'!$C$19:$R$242,MATCH('SeS in Retail Sales Areas'!O$7,'NEW MODEL BY SES'!$C$17:$R$17,0),0),"")</f>
        <v/>
      </c>
      <c r="P243" s="142" t="str">
        <f>IFERROR(VLOOKUP($C243,'NEW MODEL BY SES'!$C$19:$R$242,MATCH('SeS in Retail Sales Areas'!P$7,'NEW MODEL BY SES'!$C$17:$R$17,0),0),"")</f>
        <v/>
      </c>
      <c r="Q243" s="140" t="str">
        <f>IFERROR(VLOOKUP($C243,'NEW MODEL BY SES'!$C$19:$R$242,MATCH('SeS in Retail Sales Areas'!Q$7,'NEW MODEL BY SES'!$C$17:$R$17,0),0),"")</f>
        <v/>
      </c>
      <c r="R243" s="142" t="str">
        <f>IFERROR(VLOOKUP($C243,'NEW MODEL BY SES'!$C$19:$R$242,MATCH('SeS in Retail Sales Areas'!R$7,'NEW MODEL BY SES'!$C$17:$R$17,0),0),"")</f>
        <v/>
      </c>
      <c r="S243" s="141" t="str">
        <f>IFERROR(VLOOKUP($C243,'NEW MODEL BY SES'!$C$19:$R$242,MATCH('SeS in Retail Sales Areas'!S$7,'NEW MODEL BY SES'!$C$17:$R$17,0),0),"")</f>
        <v/>
      </c>
      <c r="T243" s="140" t="str">
        <f>IFERROR(VLOOKUP($C243,'NEW MODEL BY SES'!$C$19:$R$242,MATCH('SeS in Retail Sales Areas'!T$7,'NEW MODEL BY SES'!$C$17:$R$17,0),0),"")</f>
        <v/>
      </c>
      <c r="U243" s="142" t="str">
        <f>IFERROR(VLOOKUP($C243,'NEW MODEL BY SES'!$C$19:$R$242,MATCH('SeS in Retail Sales Areas'!U$7,'NEW MODEL BY SES'!$C$17:$R$17,0),0),"")</f>
        <v/>
      </c>
      <c r="V243" s="140" t="str">
        <f>IFERROR(VLOOKUP($C243,'NEW MODEL BY SES'!$C$19:$R$242,MATCH('SeS in Retail Sales Areas'!V$7,'NEW MODEL BY SES'!$C$17:$R$17,0),0),"")</f>
        <v/>
      </c>
      <c r="W243" s="141" t="str">
        <f>IFERROR(VLOOKUP($C243,'NEW MODEL BY SES'!$C$19:$R$242,MATCH('SeS in Retail Sales Areas'!W$7,'NEW MODEL BY SES'!$C$17:$R$17,0),0),"")</f>
        <v/>
      </c>
      <c r="X243" s="140" t="str">
        <f>IFERROR(VLOOKUP($C243,'NEW MODEL BY SES'!$C$19:$R$242,MATCH('SeS in Retail Sales Areas'!X$7,'NEW MODEL BY SES'!$C$17:$R$17,0),0),"")</f>
        <v/>
      </c>
      <c r="Z243" s="57"/>
    </row>
    <row r="244" spans="1:26">
      <c r="A244" t="s">
        <v>1174</v>
      </c>
      <c r="B244" s="57">
        <v>138</v>
      </c>
      <c r="C244" t="s">
        <v>1180</v>
      </c>
      <c r="D244" t="s">
        <v>38</v>
      </c>
      <c r="E244"/>
      <c r="F244" s="140" t="str">
        <f>IFERROR(VLOOKUP($C244,'NEW MODEL BY SES'!$C$19:$R$242,MATCH('SeS in Retail Sales Areas'!F$7,'NEW MODEL BY SES'!$C$17:$R$17,0),0),"")</f>
        <v/>
      </c>
      <c r="G244" s="140" t="str">
        <f>IFERROR(VLOOKUP($C244,'NEW MODEL BY SES'!$C$19:$R$242,MATCH('SeS in Retail Sales Areas'!G$7,'NEW MODEL BY SES'!$C$17:$R$17,0),0),"")</f>
        <v/>
      </c>
      <c r="H244" s="142" t="str">
        <f>IFERROR(VLOOKUP($C244,'NEW MODEL BY SES'!$C$19:$R$242,MATCH('SeS in Retail Sales Areas'!H$7,'NEW MODEL BY SES'!$C$17:$R$17,0),0),"")</f>
        <v/>
      </c>
      <c r="I244" s="140" t="str">
        <f>IFERROR(VLOOKUP($C244,'NEW MODEL BY SES'!$C$19:$R$242,MATCH('SeS in Retail Sales Areas'!I$7,'NEW MODEL BY SES'!$C$17:$R$17,0),0),"")</f>
        <v/>
      </c>
      <c r="J244" s="142" t="str">
        <f>IFERROR(VLOOKUP($C244,'NEW MODEL BY SES'!$C$19:$R$242,MATCH('SeS in Retail Sales Areas'!J$7,'NEW MODEL BY SES'!$C$17:$R$17,0),0),"")</f>
        <v/>
      </c>
      <c r="K244" s="140" t="str">
        <f>IFERROR(VLOOKUP($C244,'NEW MODEL BY SES'!$C$19:$R$242,MATCH('SeS in Retail Sales Areas'!K$7,'NEW MODEL BY SES'!$C$17:$R$17,0),0),"")</f>
        <v/>
      </c>
      <c r="L244" s="142" t="str">
        <f>IFERROR(VLOOKUP($C244,'NEW MODEL BY SES'!$C$19:$R$242,MATCH('SeS in Retail Sales Areas'!L$7,'NEW MODEL BY SES'!$C$17:$R$17,0),0),"")</f>
        <v/>
      </c>
      <c r="M244" s="140" t="str">
        <f>IFERROR(VLOOKUP($C244,'NEW MODEL BY SES'!$C$19:$R$242,MATCH('SeS in Retail Sales Areas'!M$7,'NEW MODEL BY SES'!$C$17:$R$17,0),0),"")</f>
        <v/>
      </c>
      <c r="N244" s="142" t="str">
        <f>IFERROR(VLOOKUP($C244,'NEW MODEL BY SES'!$C$19:$R$242,MATCH('SeS in Retail Sales Areas'!N$7,'NEW MODEL BY SES'!$C$17:$R$17,0),0),"")</f>
        <v/>
      </c>
      <c r="O244" s="140" t="str">
        <f>IFERROR(VLOOKUP($C244,'NEW MODEL BY SES'!$C$19:$R$242,MATCH('SeS in Retail Sales Areas'!O$7,'NEW MODEL BY SES'!$C$17:$R$17,0),0),"")</f>
        <v/>
      </c>
      <c r="P244" s="142" t="str">
        <f>IFERROR(VLOOKUP($C244,'NEW MODEL BY SES'!$C$19:$R$242,MATCH('SeS in Retail Sales Areas'!P$7,'NEW MODEL BY SES'!$C$17:$R$17,0),0),"")</f>
        <v/>
      </c>
      <c r="Q244" s="140" t="str">
        <f>IFERROR(VLOOKUP($C244,'NEW MODEL BY SES'!$C$19:$R$242,MATCH('SeS in Retail Sales Areas'!Q$7,'NEW MODEL BY SES'!$C$17:$R$17,0),0),"")</f>
        <v/>
      </c>
      <c r="R244" s="142" t="str">
        <f>IFERROR(VLOOKUP($C244,'NEW MODEL BY SES'!$C$19:$R$242,MATCH('SeS in Retail Sales Areas'!R$7,'NEW MODEL BY SES'!$C$17:$R$17,0),0),"")</f>
        <v/>
      </c>
      <c r="S244" s="141" t="str">
        <f>IFERROR(VLOOKUP($C244,'NEW MODEL BY SES'!$C$19:$R$242,MATCH('SeS in Retail Sales Areas'!S$7,'NEW MODEL BY SES'!$C$17:$R$17,0),0),"")</f>
        <v/>
      </c>
      <c r="T244" s="140" t="str">
        <f>IFERROR(VLOOKUP($C244,'NEW MODEL BY SES'!$C$19:$R$242,MATCH('SeS in Retail Sales Areas'!T$7,'NEW MODEL BY SES'!$C$17:$R$17,0),0),"")</f>
        <v/>
      </c>
      <c r="U244" s="142" t="str">
        <f>IFERROR(VLOOKUP($C244,'NEW MODEL BY SES'!$C$19:$R$242,MATCH('SeS in Retail Sales Areas'!U$7,'NEW MODEL BY SES'!$C$17:$R$17,0),0),"")</f>
        <v/>
      </c>
      <c r="V244" s="140" t="str">
        <f>IFERROR(VLOOKUP($C244,'NEW MODEL BY SES'!$C$19:$R$242,MATCH('SeS in Retail Sales Areas'!V$7,'NEW MODEL BY SES'!$C$17:$R$17,0),0),"")</f>
        <v/>
      </c>
      <c r="W244" s="141" t="str">
        <f>IFERROR(VLOOKUP($C244,'NEW MODEL BY SES'!$C$19:$R$242,MATCH('SeS in Retail Sales Areas'!W$7,'NEW MODEL BY SES'!$C$17:$R$17,0),0),"")</f>
        <v/>
      </c>
      <c r="X244" s="140" t="str">
        <f>IFERROR(VLOOKUP($C244,'NEW MODEL BY SES'!$C$19:$R$242,MATCH('SeS in Retail Sales Areas'!X$7,'NEW MODEL BY SES'!$C$17:$R$17,0),0),"")</f>
        <v/>
      </c>
      <c r="Z244" s="57"/>
    </row>
    <row r="245" spans="1:26">
      <c r="A245" t="s">
        <v>1174</v>
      </c>
      <c r="B245" s="57">
        <v>133</v>
      </c>
      <c r="C245" t="s">
        <v>1181</v>
      </c>
      <c r="D245" t="s">
        <v>38</v>
      </c>
      <c r="E245"/>
      <c r="F245" s="140" t="str">
        <f>IFERROR(VLOOKUP($C245,'NEW MODEL BY SES'!$C$19:$R$242,MATCH('SeS in Retail Sales Areas'!F$7,'NEW MODEL BY SES'!$C$17:$R$17,0),0),"")</f>
        <v/>
      </c>
      <c r="G245" s="140" t="str">
        <f>IFERROR(VLOOKUP($C245,'NEW MODEL BY SES'!$C$19:$R$242,MATCH('SeS in Retail Sales Areas'!G$7,'NEW MODEL BY SES'!$C$17:$R$17,0),0),"")</f>
        <v/>
      </c>
      <c r="H245" s="142" t="str">
        <f>IFERROR(VLOOKUP($C245,'NEW MODEL BY SES'!$C$19:$R$242,MATCH('SeS in Retail Sales Areas'!H$7,'NEW MODEL BY SES'!$C$17:$R$17,0),0),"")</f>
        <v/>
      </c>
      <c r="I245" s="140" t="str">
        <f>IFERROR(VLOOKUP($C245,'NEW MODEL BY SES'!$C$19:$R$242,MATCH('SeS in Retail Sales Areas'!I$7,'NEW MODEL BY SES'!$C$17:$R$17,0),0),"")</f>
        <v/>
      </c>
      <c r="J245" s="142" t="str">
        <f>IFERROR(VLOOKUP($C245,'NEW MODEL BY SES'!$C$19:$R$242,MATCH('SeS in Retail Sales Areas'!J$7,'NEW MODEL BY SES'!$C$17:$R$17,0),0),"")</f>
        <v/>
      </c>
      <c r="K245" s="140" t="str">
        <f>IFERROR(VLOOKUP($C245,'NEW MODEL BY SES'!$C$19:$R$242,MATCH('SeS in Retail Sales Areas'!K$7,'NEW MODEL BY SES'!$C$17:$R$17,0),0),"")</f>
        <v/>
      </c>
      <c r="L245" s="142" t="str">
        <f>IFERROR(VLOOKUP($C245,'NEW MODEL BY SES'!$C$19:$R$242,MATCH('SeS in Retail Sales Areas'!L$7,'NEW MODEL BY SES'!$C$17:$R$17,0),0),"")</f>
        <v/>
      </c>
      <c r="M245" s="140" t="str">
        <f>IFERROR(VLOOKUP($C245,'NEW MODEL BY SES'!$C$19:$R$242,MATCH('SeS in Retail Sales Areas'!M$7,'NEW MODEL BY SES'!$C$17:$R$17,0),0),"")</f>
        <v/>
      </c>
      <c r="N245" s="142" t="str">
        <f>IFERROR(VLOOKUP($C245,'NEW MODEL BY SES'!$C$19:$R$242,MATCH('SeS in Retail Sales Areas'!N$7,'NEW MODEL BY SES'!$C$17:$R$17,0),0),"")</f>
        <v/>
      </c>
      <c r="O245" s="140" t="str">
        <f>IFERROR(VLOOKUP($C245,'NEW MODEL BY SES'!$C$19:$R$242,MATCH('SeS in Retail Sales Areas'!O$7,'NEW MODEL BY SES'!$C$17:$R$17,0),0),"")</f>
        <v/>
      </c>
      <c r="P245" s="142" t="str">
        <f>IFERROR(VLOOKUP($C245,'NEW MODEL BY SES'!$C$19:$R$242,MATCH('SeS in Retail Sales Areas'!P$7,'NEW MODEL BY SES'!$C$17:$R$17,0),0),"")</f>
        <v/>
      </c>
      <c r="Q245" s="140" t="str">
        <f>IFERROR(VLOOKUP($C245,'NEW MODEL BY SES'!$C$19:$R$242,MATCH('SeS in Retail Sales Areas'!Q$7,'NEW MODEL BY SES'!$C$17:$R$17,0),0),"")</f>
        <v/>
      </c>
      <c r="R245" s="142" t="str">
        <f>IFERROR(VLOOKUP($C245,'NEW MODEL BY SES'!$C$19:$R$242,MATCH('SeS in Retail Sales Areas'!R$7,'NEW MODEL BY SES'!$C$17:$R$17,0),0),"")</f>
        <v/>
      </c>
      <c r="S245" s="141" t="str">
        <f>IFERROR(VLOOKUP($C245,'NEW MODEL BY SES'!$C$19:$R$242,MATCH('SeS in Retail Sales Areas'!S$7,'NEW MODEL BY SES'!$C$17:$R$17,0),0),"")</f>
        <v/>
      </c>
      <c r="T245" s="140" t="str">
        <f>IFERROR(VLOOKUP($C245,'NEW MODEL BY SES'!$C$19:$R$242,MATCH('SeS in Retail Sales Areas'!T$7,'NEW MODEL BY SES'!$C$17:$R$17,0),0),"")</f>
        <v/>
      </c>
      <c r="U245" s="142" t="str">
        <f>IFERROR(VLOOKUP($C245,'NEW MODEL BY SES'!$C$19:$R$242,MATCH('SeS in Retail Sales Areas'!U$7,'NEW MODEL BY SES'!$C$17:$R$17,0),0),"")</f>
        <v/>
      </c>
      <c r="V245" s="140" t="str">
        <f>IFERROR(VLOOKUP($C245,'NEW MODEL BY SES'!$C$19:$R$242,MATCH('SeS in Retail Sales Areas'!V$7,'NEW MODEL BY SES'!$C$17:$R$17,0),0),"")</f>
        <v/>
      </c>
      <c r="W245" s="141" t="str">
        <f>IFERROR(VLOOKUP($C245,'NEW MODEL BY SES'!$C$19:$R$242,MATCH('SeS in Retail Sales Areas'!W$7,'NEW MODEL BY SES'!$C$17:$R$17,0),0),"")</f>
        <v/>
      </c>
      <c r="X245" s="140" t="str">
        <f>IFERROR(VLOOKUP($C245,'NEW MODEL BY SES'!$C$19:$R$242,MATCH('SeS in Retail Sales Areas'!X$7,'NEW MODEL BY SES'!$C$17:$R$17,0),0),"")</f>
        <v/>
      </c>
      <c r="Z245" s="57"/>
    </row>
    <row r="246" spans="1:26">
      <c r="A246" t="s">
        <v>1174</v>
      </c>
      <c r="B246" s="57">
        <v>117</v>
      </c>
      <c r="C246" t="s">
        <v>1182</v>
      </c>
      <c r="D246" t="s">
        <v>40</v>
      </c>
      <c r="E246"/>
      <c r="F246" s="140" t="str">
        <f>IFERROR(VLOOKUP($C246,'NEW MODEL BY SES'!$C$19:$R$242,MATCH('SeS in Retail Sales Areas'!F$7,'NEW MODEL BY SES'!$C$17:$R$17,0),0),"")</f>
        <v/>
      </c>
      <c r="G246" s="140" t="str">
        <f>IFERROR(VLOOKUP($C246,'NEW MODEL BY SES'!$C$19:$R$242,MATCH('SeS in Retail Sales Areas'!G$7,'NEW MODEL BY SES'!$C$17:$R$17,0),0),"")</f>
        <v/>
      </c>
      <c r="H246" s="142" t="str">
        <f>IFERROR(VLOOKUP($C246,'NEW MODEL BY SES'!$C$19:$R$242,MATCH('SeS in Retail Sales Areas'!H$7,'NEW MODEL BY SES'!$C$17:$R$17,0),0),"")</f>
        <v/>
      </c>
      <c r="I246" s="140" t="str">
        <f>IFERROR(VLOOKUP($C246,'NEW MODEL BY SES'!$C$19:$R$242,MATCH('SeS in Retail Sales Areas'!I$7,'NEW MODEL BY SES'!$C$17:$R$17,0),0),"")</f>
        <v/>
      </c>
      <c r="J246" s="142" t="str">
        <f>IFERROR(VLOOKUP($C246,'NEW MODEL BY SES'!$C$19:$R$242,MATCH('SeS in Retail Sales Areas'!J$7,'NEW MODEL BY SES'!$C$17:$R$17,0),0),"")</f>
        <v/>
      </c>
      <c r="K246" s="140" t="str">
        <f>IFERROR(VLOOKUP($C246,'NEW MODEL BY SES'!$C$19:$R$242,MATCH('SeS in Retail Sales Areas'!K$7,'NEW MODEL BY SES'!$C$17:$R$17,0),0),"")</f>
        <v/>
      </c>
      <c r="L246" s="142" t="str">
        <f>IFERROR(VLOOKUP($C246,'NEW MODEL BY SES'!$C$19:$R$242,MATCH('SeS in Retail Sales Areas'!L$7,'NEW MODEL BY SES'!$C$17:$R$17,0),0),"")</f>
        <v/>
      </c>
      <c r="M246" s="140" t="str">
        <f>IFERROR(VLOOKUP($C246,'NEW MODEL BY SES'!$C$19:$R$242,MATCH('SeS in Retail Sales Areas'!M$7,'NEW MODEL BY SES'!$C$17:$R$17,0),0),"")</f>
        <v/>
      </c>
      <c r="N246" s="142" t="str">
        <f>IFERROR(VLOOKUP($C246,'NEW MODEL BY SES'!$C$19:$R$242,MATCH('SeS in Retail Sales Areas'!N$7,'NEW MODEL BY SES'!$C$17:$R$17,0),0),"")</f>
        <v/>
      </c>
      <c r="O246" s="140" t="str">
        <f>IFERROR(VLOOKUP($C246,'NEW MODEL BY SES'!$C$19:$R$242,MATCH('SeS in Retail Sales Areas'!O$7,'NEW MODEL BY SES'!$C$17:$R$17,0),0),"")</f>
        <v/>
      </c>
      <c r="P246" s="142" t="str">
        <f>IFERROR(VLOOKUP($C246,'NEW MODEL BY SES'!$C$19:$R$242,MATCH('SeS in Retail Sales Areas'!P$7,'NEW MODEL BY SES'!$C$17:$R$17,0),0),"")</f>
        <v/>
      </c>
      <c r="Q246" s="140" t="str">
        <f>IFERROR(VLOOKUP($C246,'NEW MODEL BY SES'!$C$19:$R$242,MATCH('SeS in Retail Sales Areas'!Q$7,'NEW MODEL BY SES'!$C$17:$R$17,0),0),"")</f>
        <v/>
      </c>
      <c r="R246" s="142" t="str">
        <f>IFERROR(VLOOKUP($C246,'NEW MODEL BY SES'!$C$19:$R$242,MATCH('SeS in Retail Sales Areas'!R$7,'NEW MODEL BY SES'!$C$17:$R$17,0),0),"")</f>
        <v/>
      </c>
      <c r="S246" s="141" t="str">
        <f>IFERROR(VLOOKUP($C246,'NEW MODEL BY SES'!$C$19:$R$242,MATCH('SeS in Retail Sales Areas'!S$7,'NEW MODEL BY SES'!$C$17:$R$17,0),0),"")</f>
        <v/>
      </c>
      <c r="T246" s="140" t="str">
        <f>IFERROR(VLOOKUP($C246,'NEW MODEL BY SES'!$C$19:$R$242,MATCH('SeS in Retail Sales Areas'!T$7,'NEW MODEL BY SES'!$C$17:$R$17,0),0),"")</f>
        <v/>
      </c>
      <c r="U246" s="142" t="str">
        <f>IFERROR(VLOOKUP($C246,'NEW MODEL BY SES'!$C$19:$R$242,MATCH('SeS in Retail Sales Areas'!U$7,'NEW MODEL BY SES'!$C$17:$R$17,0),0),"")</f>
        <v/>
      </c>
      <c r="V246" s="140" t="str">
        <f>IFERROR(VLOOKUP($C246,'NEW MODEL BY SES'!$C$19:$R$242,MATCH('SeS in Retail Sales Areas'!V$7,'NEW MODEL BY SES'!$C$17:$R$17,0),0),"")</f>
        <v/>
      </c>
      <c r="W246" s="141" t="str">
        <f>IFERROR(VLOOKUP($C246,'NEW MODEL BY SES'!$C$19:$R$242,MATCH('SeS in Retail Sales Areas'!W$7,'NEW MODEL BY SES'!$C$17:$R$17,0),0),"")</f>
        <v/>
      </c>
      <c r="X246" s="140" t="str">
        <f>IFERROR(VLOOKUP($C246,'NEW MODEL BY SES'!$C$19:$R$242,MATCH('SeS in Retail Sales Areas'!X$7,'NEW MODEL BY SES'!$C$17:$R$17,0),0),"")</f>
        <v/>
      </c>
      <c r="Z246" s="57"/>
    </row>
    <row r="247" spans="1:26">
      <c r="A247" t="s">
        <v>1174</v>
      </c>
      <c r="B247" s="57">
        <v>105</v>
      </c>
      <c r="C247" t="s">
        <v>1183</v>
      </c>
      <c r="D247" t="s">
        <v>40</v>
      </c>
      <c r="E247"/>
      <c r="F247" s="140" t="str">
        <f>IFERROR(VLOOKUP($C247,'NEW MODEL BY SES'!$C$19:$R$242,MATCH('SeS in Retail Sales Areas'!F$7,'NEW MODEL BY SES'!$C$17:$R$17,0),0),"")</f>
        <v/>
      </c>
      <c r="G247" s="140" t="str">
        <f>IFERROR(VLOOKUP($C247,'NEW MODEL BY SES'!$C$19:$R$242,MATCH('SeS in Retail Sales Areas'!G$7,'NEW MODEL BY SES'!$C$17:$R$17,0),0),"")</f>
        <v/>
      </c>
      <c r="H247" s="142" t="str">
        <f>IFERROR(VLOOKUP($C247,'NEW MODEL BY SES'!$C$19:$R$242,MATCH('SeS in Retail Sales Areas'!H$7,'NEW MODEL BY SES'!$C$17:$R$17,0),0),"")</f>
        <v/>
      </c>
      <c r="I247" s="140" t="str">
        <f>IFERROR(VLOOKUP($C247,'NEW MODEL BY SES'!$C$19:$R$242,MATCH('SeS in Retail Sales Areas'!I$7,'NEW MODEL BY SES'!$C$17:$R$17,0),0),"")</f>
        <v/>
      </c>
      <c r="J247" s="142" t="str">
        <f>IFERROR(VLOOKUP($C247,'NEW MODEL BY SES'!$C$19:$R$242,MATCH('SeS in Retail Sales Areas'!J$7,'NEW MODEL BY SES'!$C$17:$R$17,0),0),"")</f>
        <v/>
      </c>
      <c r="K247" s="140" t="str">
        <f>IFERROR(VLOOKUP($C247,'NEW MODEL BY SES'!$C$19:$R$242,MATCH('SeS in Retail Sales Areas'!K$7,'NEW MODEL BY SES'!$C$17:$R$17,0),0),"")</f>
        <v/>
      </c>
      <c r="L247" s="142" t="str">
        <f>IFERROR(VLOOKUP($C247,'NEW MODEL BY SES'!$C$19:$R$242,MATCH('SeS in Retail Sales Areas'!L$7,'NEW MODEL BY SES'!$C$17:$R$17,0),0),"")</f>
        <v/>
      </c>
      <c r="M247" s="140" t="str">
        <f>IFERROR(VLOOKUP($C247,'NEW MODEL BY SES'!$C$19:$R$242,MATCH('SeS in Retail Sales Areas'!M$7,'NEW MODEL BY SES'!$C$17:$R$17,0),0),"")</f>
        <v/>
      </c>
      <c r="N247" s="142" t="str">
        <f>IFERROR(VLOOKUP($C247,'NEW MODEL BY SES'!$C$19:$R$242,MATCH('SeS in Retail Sales Areas'!N$7,'NEW MODEL BY SES'!$C$17:$R$17,0),0),"")</f>
        <v/>
      </c>
      <c r="O247" s="140" t="str">
        <f>IFERROR(VLOOKUP($C247,'NEW MODEL BY SES'!$C$19:$R$242,MATCH('SeS in Retail Sales Areas'!O$7,'NEW MODEL BY SES'!$C$17:$R$17,0),0),"")</f>
        <v/>
      </c>
      <c r="P247" s="142" t="str">
        <f>IFERROR(VLOOKUP($C247,'NEW MODEL BY SES'!$C$19:$R$242,MATCH('SeS in Retail Sales Areas'!P$7,'NEW MODEL BY SES'!$C$17:$R$17,0),0),"")</f>
        <v/>
      </c>
      <c r="Q247" s="140" t="str">
        <f>IFERROR(VLOOKUP($C247,'NEW MODEL BY SES'!$C$19:$R$242,MATCH('SeS in Retail Sales Areas'!Q$7,'NEW MODEL BY SES'!$C$17:$R$17,0),0),"")</f>
        <v/>
      </c>
      <c r="R247" s="142" t="str">
        <f>IFERROR(VLOOKUP($C247,'NEW MODEL BY SES'!$C$19:$R$242,MATCH('SeS in Retail Sales Areas'!R$7,'NEW MODEL BY SES'!$C$17:$R$17,0),0),"")</f>
        <v/>
      </c>
      <c r="S247" s="141" t="str">
        <f>IFERROR(VLOOKUP($C247,'NEW MODEL BY SES'!$C$19:$R$242,MATCH('SeS in Retail Sales Areas'!S$7,'NEW MODEL BY SES'!$C$17:$R$17,0),0),"")</f>
        <v/>
      </c>
      <c r="T247" s="140" t="str">
        <f>IFERROR(VLOOKUP($C247,'NEW MODEL BY SES'!$C$19:$R$242,MATCH('SeS in Retail Sales Areas'!T$7,'NEW MODEL BY SES'!$C$17:$R$17,0),0),"")</f>
        <v/>
      </c>
      <c r="U247" s="142" t="str">
        <f>IFERROR(VLOOKUP($C247,'NEW MODEL BY SES'!$C$19:$R$242,MATCH('SeS in Retail Sales Areas'!U$7,'NEW MODEL BY SES'!$C$17:$R$17,0),0),"")</f>
        <v/>
      </c>
      <c r="V247" s="140" t="str">
        <f>IFERROR(VLOOKUP($C247,'NEW MODEL BY SES'!$C$19:$R$242,MATCH('SeS in Retail Sales Areas'!V$7,'NEW MODEL BY SES'!$C$17:$R$17,0),0),"")</f>
        <v/>
      </c>
      <c r="W247" s="141" t="str">
        <f>IFERROR(VLOOKUP($C247,'NEW MODEL BY SES'!$C$19:$R$242,MATCH('SeS in Retail Sales Areas'!W$7,'NEW MODEL BY SES'!$C$17:$R$17,0),0),"")</f>
        <v/>
      </c>
      <c r="X247" s="140" t="str">
        <f>IFERROR(VLOOKUP($C247,'NEW MODEL BY SES'!$C$19:$R$242,MATCH('SeS in Retail Sales Areas'!X$7,'NEW MODEL BY SES'!$C$17:$R$17,0),0),"")</f>
        <v/>
      </c>
      <c r="Z247" s="57"/>
    </row>
    <row r="248" spans="1:26">
      <c r="A248" t="s">
        <v>1174</v>
      </c>
      <c r="B248" s="57">
        <v>98</v>
      </c>
      <c r="C248" t="s">
        <v>1184</v>
      </c>
      <c r="D248" t="s">
        <v>40</v>
      </c>
      <c r="E248"/>
      <c r="F248" s="140" t="str">
        <f>IFERROR(VLOOKUP($C248,'NEW MODEL BY SES'!$C$19:$R$242,MATCH('SeS in Retail Sales Areas'!F$7,'NEW MODEL BY SES'!$C$17:$R$17,0),0),"")</f>
        <v/>
      </c>
      <c r="G248" s="140" t="str">
        <f>IFERROR(VLOOKUP($C248,'NEW MODEL BY SES'!$C$19:$R$242,MATCH('SeS in Retail Sales Areas'!G$7,'NEW MODEL BY SES'!$C$17:$R$17,0),0),"")</f>
        <v/>
      </c>
      <c r="H248" s="142" t="str">
        <f>IFERROR(VLOOKUP($C248,'NEW MODEL BY SES'!$C$19:$R$242,MATCH('SeS in Retail Sales Areas'!H$7,'NEW MODEL BY SES'!$C$17:$R$17,0),0),"")</f>
        <v/>
      </c>
      <c r="I248" s="140" t="str">
        <f>IFERROR(VLOOKUP($C248,'NEW MODEL BY SES'!$C$19:$R$242,MATCH('SeS in Retail Sales Areas'!I$7,'NEW MODEL BY SES'!$C$17:$R$17,0),0),"")</f>
        <v/>
      </c>
      <c r="J248" s="142" t="str">
        <f>IFERROR(VLOOKUP($C248,'NEW MODEL BY SES'!$C$19:$R$242,MATCH('SeS in Retail Sales Areas'!J$7,'NEW MODEL BY SES'!$C$17:$R$17,0),0),"")</f>
        <v/>
      </c>
      <c r="K248" s="140" t="str">
        <f>IFERROR(VLOOKUP($C248,'NEW MODEL BY SES'!$C$19:$R$242,MATCH('SeS in Retail Sales Areas'!K$7,'NEW MODEL BY SES'!$C$17:$R$17,0),0),"")</f>
        <v/>
      </c>
      <c r="L248" s="142" t="str">
        <f>IFERROR(VLOOKUP($C248,'NEW MODEL BY SES'!$C$19:$R$242,MATCH('SeS in Retail Sales Areas'!L$7,'NEW MODEL BY SES'!$C$17:$R$17,0),0),"")</f>
        <v/>
      </c>
      <c r="M248" s="140" t="str">
        <f>IFERROR(VLOOKUP($C248,'NEW MODEL BY SES'!$C$19:$R$242,MATCH('SeS in Retail Sales Areas'!M$7,'NEW MODEL BY SES'!$C$17:$R$17,0),0),"")</f>
        <v/>
      </c>
      <c r="N248" s="142" t="str">
        <f>IFERROR(VLOOKUP($C248,'NEW MODEL BY SES'!$C$19:$R$242,MATCH('SeS in Retail Sales Areas'!N$7,'NEW MODEL BY SES'!$C$17:$R$17,0),0),"")</f>
        <v/>
      </c>
      <c r="O248" s="140" t="str">
        <f>IFERROR(VLOOKUP($C248,'NEW MODEL BY SES'!$C$19:$R$242,MATCH('SeS in Retail Sales Areas'!O$7,'NEW MODEL BY SES'!$C$17:$R$17,0),0),"")</f>
        <v/>
      </c>
      <c r="P248" s="142" t="str">
        <f>IFERROR(VLOOKUP($C248,'NEW MODEL BY SES'!$C$19:$R$242,MATCH('SeS in Retail Sales Areas'!P$7,'NEW MODEL BY SES'!$C$17:$R$17,0),0),"")</f>
        <v/>
      </c>
      <c r="Q248" s="140" t="str">
        <f>IFERROR(VLOOKUP($C248,'NEW MODEL BY SES'!$C$19:$R$242,MATCH('SeS in Retail Sales Areas'!Q$7,'NEW MODEL BY SES'!$C$17:$R$17,0),0),"")</f>
        <v/>
      </c>
      <c r="R248" s="142" t="str">
        <f>IFERROR(VLOOKUP($C248,'NEW MODEL BY SES'!$C$19:$R$242,MATCH('SeS in Retail Sales Areas'!R$7,'NEW MODEL BY SES'!$C$17:$R$17,0),0),"")</f>
        <v/>
      </c>
      <c r="S248" s="141" t="str">
        <f>IFERROR(VLOOKUP($C248,'NEW MODEL BY SES'!$C$19:$R$242,MATCH('SeS in Retail Sales Areas'!S$7,'NEW MODEL BY SES'!$C$17:$R$17,0),0),"")</f>
        <v/>
      </c>
      <c r="T248" s="140" t="str">
        <f>IFERROR(VLOOKUP($C248,'NEW MODEL BY SES'!$C$19:$R$242,MATCH('SeS in Retail Sales Areas'!T$7,'NEW MODEL BY SES'!$C$17:$R$17,0),0),"")</f>
        <v/>
      </c>
      <c r="U248" s="142" t="str">
        <f>IFERROR(VLOOKUP($C248,'NEW MODEL BY SES'!$C$19:$R$242,MATCH('SeS in Retail Sales Areas'!U$7,'NEW MODEL BY SES'!$C$17:$R$17,0),0),"")</f>
        <v/>
      </c>
      <c r="V248" s="140" t="str">
        <f>IFERROR(VLOOKUP($C248,'NEW MODEL BY SES'!$C$19:$R$242,MATCH('SeS in Retail Sales Areas'!V$7,'NEW MODEL BY SES'!$C$17:$R$17,0),0),"")</f>
        <v/>
      </c>
      <c r="W248" s="141" t="str">
        <f>IFERROR(VLOOKUP($C248,'NEW MODEL BY SES'!$C$19:$R$242,MATCH('SeS in Retail Sales Areas'!W$7,'NEW MODEL BY SES'!$C$17:$R$17,0),0),"")</f>
        <v/>
      </c>
      <c r="X248" s="140" t="str">
        <f>IFERROR(VLOOKUP($C248,'NEW MODEL BY SES'!$C$19:$R$242,MATCH('SeS in Retail Sales Areas'!X$7,'NEW MODEL BY SES'!$C$17:$R$17,0),0),"")</f>
        <v/>
      </c>
      <c r="Z248" s="57"/>
    </row>
    <row r="249" spans="1:26">
      <c r="A249" t="s">
        <v>1174</v>
      </c>
      <c r="B249" s="57">
        <v>94</v>
      </c>
      <c r="C249" t="s">
        <v>1185</v>
      </c>
      <c r="D249" t="s">
        <v>40</v>
      </c>
      <c r="E249"/>
      <c r="F249" s="140" t="str">
        <f>IFERROR(VLOOKUP($C249,'NEW MODEL BY SES'!$C$19:$R$242,MATCH('SeS in Retail Sales Areas'!F$7,'NEW MODEL BY SES'!$C$17:$R$17,0),0),"")</f>
        <v/>
      </c>
      <c r="G249" s="140" t="str">
        <f>IFERROR(VLOOKUP($C249,'NEW MODEL BY SES'!$C$19:$R$242,MATCH('SeS in Retail Sales Areas'!G$7,'NEW MODEL BY SES'!$C$17:$R$17,0),0),"")</f>
        <v/>
      </c>
      <c r="H249" s="142" t="str">
        <f>IFERROR(VLOOKUP($C249,'NEW MODEL BY SES'!$C$19:$R$242,MATCH('SeS in Retail Sales Areas'!H$7,'NEW MODEL BY SES'!$C$17:$R$17,0),0),"")</f>
        <v/>
      </c>
      <c r="I249" s="140" t="str">
        <f>IFERROR(VLOOKUP($C249,'NEW MODEL BY SES'!$C$19:$R$242,MATCH('SeS in Retail Sales Areas'!I$7,'NEW MODEL BY SES'!$C$17:$R$17,0),0),"")</f>
        <v/>
      </c>
      <c r="J249" s="142" t="str">
        <f>IFERROR(VLOOKUP($C249,'NEW MODEL BY SES'!$C$19:$R$242,MATCH('SeS in Retail Sales Areas'!J$7,'NEW MODEL BY SES'!$C$17:$R$17,0),0),"")</f>
        <v/>
      </c>
      <c r="K249" s="140" t="str">
        <f>IFERROR(VLOOKUP($C249,'NEW MODEL BY SES'!$C$19:$R$242,MATCH('SeS in Retail Sales Areas'!K$7,'NEW MODEL BY SES'!$C$17:$R$17,0),0),"")</f>
        <v/>
      </c>
      <c r="L249" s="142" t="str">
        <f>IFERROR(VLOOKUP($C249,'NEW MODEL BY SES'!$C$19:$R$242,MATCH('SeS in Retail Sales Areas'!L$7,'NEW MODEL BY SES'!$C$17:$R$17,0),0),"")</f>
        <v/>
      </c>
      <c r="M249" s="140" t="str">
        <f>IFERROR(VLOOKUP($C249,'NEW MODEL BY SES'!$C$19:$R$242,MATCH('SeS in Retail Sales Areas'!M$7,'NEW MODEL BY SES'!$C$17:$R$17,0),0),"")</f>
        <v/>
      </c>
      <c r="N249" s="142" t="str">
        <f>IFERROR(VLOOKUP($C249,'NEW MODEL BY SES'!$C$19:$R$242,MATCH('SeS in Retail Sales Areas'!N$7,'NEW MODEL BY SES'!$C$17:$R$17,0),0),"")</f>
        <v/>
      </c>
      <c r="O249" s="140" t="str">
        <f>IFERROR(VLOOKUP($C249,'NEW MODEL BY SES'!$C$19:$R$242,MATCH('SeS in Retail Sales Areas'!O$7,'NEW MODEL BY SES'!$C$17:$R$17,0),0),"")</f>
        <v/>
      </c>
      <c r="P249" s="142" t="str">
        <f>IFERROR(VLOOKUP($C249,'NEW MODEL BY SES'!$C$19:$R$242,MATCH('SeS in Retail Sales Areas'!P$7,'NEW MODEL BY SES'!$C$17:$R$17,0),0),"")</f>
        <v/>
      </c>
      <c r="Q249" s="140" t="str">
        <f>IFERROR(VLOOKUP($C249,'NEW MODEL BY SES'!$C$19:$R$242,MATCH('SeS in Retail Sales Areas'!Q$7,'NEW MODEL BY SES'!$C$17:$R$17,0),0),"")</f>
        <v/>
      </c>
      <c r="R249" s="142" t="str">
        <f>IFERROR(VLOOKUP($C249,'NEW MODEL BY SES'!$C$19:$R$242,MATCH('SeS in Retail Sales Areas'!R$7,'NEW MODEL BY SES'!$C$17:$R$17,0),0),"")</f>
        <v/>
      </c>
      <c r="S249" s="141" t="str">
        <f>IFERROR(VLOOKUP($C249,'NEW MODEL BY SES'!$C$19:$R$242,MATCH('SeS in Retail Sales Areas'!S$7,'NEW MODEL BY SES'!$C$17:$R$17,0),0),"")</f>
        <v/>
      </c>
      <c r="T249" s="140" t="str">
        <f>IFERROR(VLOOKUP($C249,'NEW MODEL BY SES'!$C$19:$R$242,MATCH('SeS in Retail Sales Areas'!T$7,'NEW MODEL BY SES'!$C$17:$R$17,0),0),"")</f>
        <v/>
      </c>
      <c r="U249" s="142" t="str">
        <f>IFERROR(VLOOKUP($C249,'NEW MODEL BY SES'!$C$19:$R$242,MATCH('SeS in Retail Sales Areas'!U$7,'NEW MODEL BY SES'!$C$17:$R$17,0),0),"")</f>
        <v/>
      </c>
      <c r="V249" s="140" t="str">
        <f>IFERROR(VLOOKUP($C249,'NEW MODEL BY SES'!$C$19:$R$242,MATCH('SeS in Retail Sales Areas'!V$7,'NEW MODEL BY SES'!$C$17:$R$17,0),0),"")</f>
        <v/>
      </c>
      <c r="W249" s="141" t="str">
        <f>IFERROR(VLOOKUP($C249,'NEW MODEL BY SES'!$C$19:$R$242,MATCH('SeS in Retail Sales Areas'!W$7,'NEW MODEL BY SES'!$C$17:$R$17,0),0),"")</f>
        <v/>
      </c>
      <c r="X249" s="140" t="str">
        <f>IFERROR(VLOOKUP($C249,'NEW MODEL BY SES'!$C$19:$R$242,MATCH('SeS in Retail Sales Areas'!X$7,'NEW MODEL BY SES'!$C$17:$R$17,0),0),"")</f>
        <v/>
      </c>
      <c r="Z249" s="57"/>
    </row>
    <row r="250" spans="1:26">
      <c r="A250" t="s">
        <v>1174</v>
      </c>
      <c r="B250" s="57">
        <v>92</v>
      </c>
      <c r="C250" t="s">
        <v>1186</v>
      </c>
      <c r="D250" t="s">
        <v>40</v>
      </c>
      <c r="E250"/>
      <c r="F250" s="140" t="str">
        <f>IFERROR(VLOOKUP($C250,'NEW MODEL BY SES'!$C$19:$R$242,MATCH('SeS in Retail Sales Areas'!F$7,'NEW MODEL BY SES'!$C$17:$R$17,0),0),"")</f>
        <v/>
      </c>
      <c r="G250" s="140" t="str">
        <f>IFERROR(VLOOKUP($C250,'NEW MODEL BY SES'!$C$19:$R$242,MATCH('SeS in Retail Sales Areas'!G$7,'NEW MODEL BY SES'!$C$17:$R$17,0),0),"")</f>
        <v/>
      </c>
      <c r="H250" s="142" t="str">
        <f>IFERROR(VLOOKUP($C250,'NEW MODEL BY SES'!$C$19:$R$242,MATCH('SeS in Retail Sales Areas'!H$7,'NEW MODEL BY SES'!$C$17:$R$17,0),0),"")</f>
        <v/>
      </c>
      <c r="I250" s="140" t="str">
        <f>IFERROR(VLOOKUP($C250,'NEW MODEL BY SES'!$C$19:$R$242,MATCH('SeS in Retail Sales Areas'!I$7,'NEW MODEL BY SES'!$C$17:$R$17,0),0),"")</f>
        <v/>
      </c>
      <c r="J250" s="142" t="str">
        <f>IFERROR(VLOOKUP($C250,'NEW MODEL BY SES'!$C$19:$R$242,MATCH('SeS in Retail Sales Areas'!J$7,'NEW MODEL BY SES'!$C$17:$R$17,0),0),"")</f>
        <v/>
      </c>
      <c r="K250" s="140" t="str">
        <f>IFERROR(VLOOKUP($C250,'NEW MODEL BY SES'!$C$19:$R$242,MATCH('SeS in Retail Sales Areas'!K$7,'NEW MODEL BY SES'!$C$17:$R$17,0),0),"")</f>
        <v/>
      </c>
      <c r="L250" s="142" t="str">
        <f>IFERROR(VLOOKUP($C250,'NEW MODEL BY SES'!$C$19:$R$242,MATCH('SeS in Retail Sales Areas'!L$7,'NEW MODEL BY SES'!$C$17:$R$17,0),0),"")</f>
        <v/>
      </c>
      <c r="M250" s="140" t="str">
        <f>IFERROR(VLOOKUP($C250,'NEW MODEL BY SES'!$C$19:$R$242,MATCH('SeS in Retail Sales Areas'!M$7,'NEW MODEL BY SES'!$C$17:$R$17,0),0),"")</f>
        <v/>
      </c>
      <c r="N250" s="142" t="str">
        <f>IFERROR(VLOOKUP($C250,'NEW MODEL BY SES'!$C$19:$R$242,MATCH('SeS in Retail Sales Areas'!N$7,'NEW MODEL BY SES'!$C$17:$R$17,0),0),"")</f>
        <v/>
      </c>
      <c r="O250" s="140" t="str">
        <f>IFERROR(VLOOKUP($C250,'NEW MODEL BY SES'!$C$19:$R$242,MATCH('SeS in Retail Sales Areas'!O$7,'NEW MODEL BY SES'!$C$17:$R$17,0),0),"")</f>
        <v/>
      </c>
      <c r="P250" s="142" t="str">
        <f>IFERROR(VLOOKUP($C250,'NEW MODEL BY SES'!$C$19:$R$242,MATCH('SeS in Retail Sales Areas'!P$7,'NEW MODEL BY SES'!$C$17:$R$17,0),0),"")</f>
        <v/>
      </c>
      <c r="Q250" s="140" t="str">
        <f>IFERROR(VLOOKUP($C250,'NEW MODEL BY SES'!$C$19:$R$242,MATCH('SeS in Retail Sales Areas'!Q$7,'NEW MODEL BY SES'!$C$17:$R$17,0),0),"")</f>
        <v/>
      </c>
      <c r="R250" s="142" t="str">
        <f>IFERROR(VLOOKUP($C250,'NEW MODEL BY SES'!$C$19:$R$242,MATCH('SeS in Retail Sales Areas'!R$7,'NEW MODEL BY SES'!$C$17:$R$17,0),0),"")</f>
        <v/>
      </c>
      <c r="S250" s="141" t="str">
        <f>IFERROR(VLOOKUP($C250,'NEW MODEL BY SES'!$C$19:$R$242,MATCH('SeS in Retail Sales Areas'!S$7,'NEW MODEL BY SES'!$C$17:$R$17,0),0),"")</f>
        <v/>
      </c>
      <c r="T250" s="140" t="str">
        <f>IFERROR(VLOOKUP($C250,'NEW MODEL BY SES'!$C$19:$R$242,MATCH('SeS in Retail Sales Areas'!T$7,'NEW MODEL BY SES'!$C$17:$R$17,0),0),"")</f>
        <v/>
      </c>
      <c r="U250" s="142" t="str">
        <f>IFERROR(VLOOKUP($C250,'NEW MODEL BY SES'!$C$19:$R$242,MATCH('SeS in Retail Sales Areas'!U$7,'NEW MODEL BY SES'!$C$17:$R$17,0),0),"")</f>
        <v/>
      </c>
      <c r="V250" s="140" t="str">
        <f>IFERROR(VLOOKUP($C250,'NEW MODEL BY SES'!$C$19:$R$242,MATCH('SeS in Retail Sales Areas'!V$7,'NEW MODEL BY SES'!$C$17:$R$17,0),0),"")</f>
        <v/>
      </c>
      <c r="W250" s="141" t="str">
        <f>IFERROR(VLOOKUP($C250,'NEW MODEL BY SES'!$C$19:$R$242,MATCH('SeS in Retail Sales Areas'!W$7,'NEW MODEL BY SES'!$C$17:$R$17,0),0),"")</f>
        <v/>
      </c>
      <c r="X250" s="140" t="str">
        <f>IFERROR(VLOOKUP($C250,'NEW MODEL BY SES'!$C$19:$R$242,MATCH('SeS in Retail Sales Areas'!X$7,'NEW MODEL BY SES'!$C$17:$R$17,0),0),"")</f>
        <v/>
      </c>
      <c r="Z250" s="57"/>
    </row>
    <row r="251" spans="1:26">
      <c r="A251" t="s">
        <v>1174</v>
      </c>
      <c r="B251" s="57">
        <v>87</v>
      </c>
      <c r="C251" t="s">
        <v>1187</v>
      </c>
      <c r="D251" t="s">
        <v>40</v>
      </c>
      <c r="E251"/>
      <c r="F251" s="140" t="str">
        <f>IFERROR(VLOOKUP($C251,'NEW MODEL BY SES'!$C$19:$R$242,MATCH('SeS in Retail Sales Areas'!F$7,'NEW MODEL BY SES'!$C$17:$R$17,0),0),"")</f>
        <v/>
      </c>
      <c r="G251" s="140" t="str">
        <f>IFERROR(VLOOKUP($C251,'NEW MODEL BY SES'!$C$19:$R$242,MATCH('SeS in Retail Sales Areas'!G$7,'NEW MODEL BY SES'!$C$17:$R$17,0),0),"")</f>
        <v/>
      </c>
      <c r="H251" s="142" t="str">
        <f>IFERROR(VLOOKUP($C251,'NEW MODEL BY SES'!$C$19:$R$242,MATCH('SeS in Retail Sales Areas'!H$7,'NEW MODEL BY SES'!$C$17:$R$17,0),0),"")</f>
        <v/>
      </c>
      <c r="I251" s="140" t="str">
        <f>IFERROR(VLOOKUP($C251,'NEW MODEL BY SES'!$C$19:$R$242,MATCH('SeS in Retail Sales Areas'!I$7,'NEW MODEL BY SES'!$C$17:$R$17,0),0),"")</f>
        <v/>
      </c>
      <c r="J251" s="142" t="str">
        <f>IFERROR(VLOOKUP($C251,'NEW MODEL BY SES'!$C$19:$R$242,MATCH('SeS in Retail Sales Areas'!J$7,'NEW MODEL BY SES'!$C$17:$R$17,0),0),"")</f>
        <v/>
      </c>
      <c r="K251" s="140" t="str">
        <f>IFERROR(VLOOKUP($C251,'NEW MODEL BY SES'!$C$19:$R$242,MATCH('SeS in Retail Sales Areas'!K$7,'NEW MODEL BY SES'!$C$17:$R$17,0),0),"")</f>
        <v/>
      </c>
      <c r="L251" s="142" t="str">
        <f>IFERROR(VLOOKUP($C251,'NEW MODEL BY SES'!$C$19:$R$242,MATCH('SeS in Retail Sales Areas'!L$7,'NEW MODEL BY SES'!$C$17:$R$17,0),0),"")</f>
        <v/>
      </c>
      <c r="M251" s="140" t="str">
        <f>IFERROR(VLOOKUP($C251,'NEW MODEL BY SES'!$C$19:$R$242,MATCH('SeS in Retail Sales Areas'!M$7,'NEW MODEL BY SES'!$C$17:$R$17,0),0),"")</f>
        <v/>
      </c>
      <c r="N251" s="142" t="str">
        <f>IFERROR(VLOOKUP($C251,'NEW MODEL BY SES'!$C$19:$R$242,MATCH('SeS in Retail Sales Areas'!N$7,'NEW MODEL BY SES'!$C$17:$R$17,0),0),"")</f>
        <v/>
      </c>
      <c r="O251" s="140" t="str">
        <f>IFERROR(VLOOKUP($C251,'NEW MODEL BY SES'!$C$19:$R$242,MATCH('SeS in Retail Sales Areas'!O$7,'NEW MODEL BY SES'!$C$17:$R$17,0),0),"")</f>
        <v/>
      </c>
      <c r="P251" s="142" t="str">
        <f>IFERROR(VLOOKUP($C251,'NEW MODEL BY SES'!$C$19:$R$242,MATCH('SeS in Retail Sales Areas'!P$7,'NEW MODEL BY SES'!$C$17:$R$17,0),0),"")</f>
        <v/>
      </c>
      <c r="Q251" s="140" t="str">
        <f>IFERROR(VLOOKUP($C251,'NEW MODEL BY SES'!$C$19:$R$242,MATCH('SeS in Retail Sales Areas'!Q$7,'NEW MODEL BY SES'!$C$17:$R$17,0),0),"")</f>
        <v/>
      </c>
      <c r="R251" s="142" t="str">
        <f>IFERROR(VLOOKUP($C251,'NEW MODEL BY SES'!$C$19:$R$242,MATCH('SeS in Retail Sales Areas'!R$7,'NEW MODEL BY SES'!$C$17:$R$17,0),0),"")</f>
        <v/>
      </c>
      <c r="S251" s="141" t="str">
        <f>IFERROR(VLOOKUP($C251,'NEW MODEL BY SES'!$C$19:$R$242,MATCH('SeS in Retail Sales Areas'!S$7,'NEW MODEL BY SES'!$C$17:$R$17,0),0),"")</f>
        <v/>
      </c>
      <c r="T251" s="140" t="str">
        <f>IFERROR(VLOOKUP($C251,'NEW MODEL BY SES'!$C$19:$R$242,MATCH('SeS in Retail Sales Areas'!T$7,'NEW MODEL BY SES'!$C$17:$R$17,0),0),"")</f>
        <v/>
      </c>
      <c r="U251" s="142" t="str">
        <f>IFERROR(VLOOKUP($C251,'NEW MODEL BY SES'!$C$19:$R$242,MATCH('SeS in Retail Sales Areas'!U$7,'NEW MODEL BY SES'!$C$17:$R$17,0),0),"")</f>
        <v/>
      </c>
      <c r="V251" s="140" t="str">
        <f>IFERROR(VLOOKUP($C251,'NEW MODEL BY SES'!$C$19:$R$242,MATCH('SeS in Retail Sales Areas'!V$7,'NEW MODEL BY SES'!$C$17:$R$17,0),0),"")</f>
        <v/>
      </c>
      <c r="W251" s="141" t="str">
        <f>IFERROR(VLOOKUP($C251,'NEW MODEL BY SES'!$C$19:$R$242,MATCH('SeS in Retail Sales Areas'!W$7,'NEW MODEL BY SES'!$C$17:$R$17,0),0),"")</f>
        <v/>
      </c>
      <c r="X251" s="140" t="str">
        <f>IFERROR(VLOOKUP($C251,'NEW MODEL BY SES'!$C$19:$R$242,MATCH('SeS in Retail Sales Areas'!X$7,'NEW MODEL BY SES'!$C$17:$R$17,0),0),"")</f>
        <v/>
      </c>
      <c r="Z251" s="57"/>
    </row>
    <row r="252" spans="1:26">
      <c r="A252" t="s">
        <v>1174</v>
      </c>
      <c r="B252" s="57">
        <v>82</v>
      </c>
      <c r="C252" t="s">
        <v>1188</v>
      </c>
      <c r="D252" t="s">
        <v>40</v>
      </c>
      <c r="E252"/>
      <c r="F252" s="140" t="str">
        <f>IFERROR(VLOOKUP($C252,'NEW MODEL BY SES'!$C$19:$R$242,MATCH('SeS in Retail Sales Areas'!F$7,'NEW MODEL BY SES'!$C$17:$R$17,0),0),"")</f>
        <v/>
      </c>
      <c r="G252" s="140" t="str">
        <f>IFERROR(VLOOKUP($C252,'NEW MODEL BY SES'!$C$19:$R$242,MATCH('SeS in Retail Sales Areas'!G$7,'NEW MODEL BY SES'!$C$17:$R$17,0),0),"")</f>
        <v/>
      </c>
      <c r="H252" s="142" t="str">
        <f>IFERROR(VLOOKUP($C252,'NEW MODEL BY SES'!$C$19:$R$242,MATCH('SeS in Retail Sales Areas'!H$7,'NEW MODEL BY SES'!$C$17:$R$17,0),0),"")</f>
        <v/>
      </c>
      <c r="I252" s="140" t="str">
        <f>IFERROR(VLOOKUP($C252,'NEW MODEL BY SES'!$C$19:$R$242,MATCH('SeS in Retail Sales Areas'!I$7,'NEW MODEL BY SES'!$C$17:$R$17,0),0),"")</f>
        <v/>
      </c>
      <c r="J252" s="142" t="str">
        <f>IFERROR(VLOOKUP($C252,'NEW MODEL BY SES'!$C$19:$R$242,MATCH('SeS in Retail Sales Areas'!J$7,'NEW MODEL BY SES'!$C$17:$R$17,0),0),"")</f>
        <v/>
      </c>
      <c r="K252" s="140" t="str">
        <f>IFERROR(VLOOKUP($C252,'NEW MODEL BY SES'!$C$19:$R$242,MATCH('SeS in Retail Sales Areas'!K$7,'NEW MODEL BY SES'!$C$17:$R$17,0),0),"")</f>
        <v/>
      </c>
      <c r="L252" s="142" t="str">
        <f>IFERROR(VLOOKUP($C252,'NEW MODEL BY SES'!$C$19:$R$242,MATCH('SeS in Retail Sales Areas'!L$7,'NEW MODEL BY SES'!$C$17:$R$17,0),0),"")</f>
        <v/>
      </c>
      <c r="M252" s="140" t="str">
        <f>IFERROR(VLOOKUP($C252,'NEW MODEL BY SES'!$C$19:$R$242,MATCH('SeS in Retail Sales Areas'!M$7,'NEW MODEL BY SES'!$C$17:$R$17,0),0),"")</f>
        <v/>
      </c>
      <c r="N252" s="142" t="str">
        <f>IFERROR(VLOOKUP($C252,'NEW MODEL BY SES'!$C$19:$R$242,MATCH('SeS in Retail Sales Areas'!N$7,'NEW MODEL BY SES'!$C$17:$R$17,0),0),"")</f>
        <v/>
      </c>
      <c r="O252" s="140" t="str">
        <f>IFERROR(VLOOKUP($C252,'NEW MODEL BY SES'!$C$19:$R$242,MATCH('SeS in Retail Sales Areas'!O$7,'NEW MODEL BY SES'!$C$17:$R$17,0),0),"")</f>
        <v/>
      </c>
      <c r="P252" s="142" t="str">
        <f>IFERROR(VLOOKUP($C252,'NEW MODEL BY SES'!$C$19:$R$242,MATCH('SeS in Retail Sales Areas'!P$7,'NEW MODEL BY SES'!$C$17:$R$17,0),0),"")</f>
        <v/>
      </c>
      <c r="Q252" s="140" t="str">
        <f>IFERROR(VLOOKUP($C252,'NEW MODEL BY SES'!$C$19:$R$242,MATCH('SeS in Retail Sales Areas'!Q$7,'NEW MODEL BY SES'!$C$17:$R$17,0),0),"")</f>
        <v/>
      </c>
      <c r="R252" s="142" t="str">
        <f>IFERROR(VLOOKUP($C252,'NEW MODEL BY SES'!$C$19:$R$242,MATCH('SeS in Retail Sales Areas'!R$7,'NEW MODEL BY SES'!$C$17:$R$17,0),0),"")</f>
        <v/>
      </c>
      <c r="S252" s="141" t="str">
        <f>IFERROR(VLOOKUP($C252,'NEW MODEL BY SES'!$C$19:$R$242,MATCH('SeS in Retail Sales Areas'!S$7,'NEW MODEL BY SES'!$C$17:$R$17,0),0),"")</f>
        <v/>
      </c>
      <c r="T252" s="140" t="str">
        <f>IFERROR(VLOOKUP($C252,'NEW MODEL BY SES'!$C$19:$R$242,MATCH('SeS in Retail Sales Areas'!T$7,'NEW MODEL BY SES'!$C$17:$R$17,0),0),"")</f>
        <v/>
      </c>
      <c r="U252" s="142" t="str">
        <f>IFERROR(VLOOKUP($C252,'NEW MODEL BY SES'!$C$19:$R$242,MATCH('SeS in Retail Sales Areas'!U$7,'NEW MODEL BY SES'!$C$17:$R$17,0),0),"")</f>
        <v/>
      </c>
      <c r="V252" s="140" t="str">
        <f>IFERROR(VLOOKUP($C252,'NEW MODEL BY SES'!$C$19:$R$242,MATCH('SeS in Retail Sales Areas'!V$7,'NEW MODEL BY SES'!$C$17:$R$17,0),0),"")</f>
        <v/>
      </c>
      <c r="W252" s="141" t="str">
        <f>IFERROR(VLOOKUP($C252,'NEW MODEL BY SES'!$C$19:$R$242,MATCH('SeS in Retail Sales Areas'!W$7,'NEW MODEL BY SES'!$C$17:$R$17,0),0),"")</f>
        <v/>
      </c>
      <c r="X252" s="140" t="str">
        <f>IFERROR(VLOOKUP($C252,'NEW MODEL BY SES'!$C$19:$R$242,MATCH('SeS in Retail Sales Areas'!X$7,'NEW MODEL BY SES'!$C$17:$R$17,0),0),"")</f>
        <v/>
      </c>
      <c r="Z252" s="57"/>
    </row>
    <row r="253" spans="1:26">
      <c r="A253" t="s">
        <v>1174</v>
      </c>
      <c r="B253" s="57">
        <v>78</v>
      </c>
      <c r="C253" t="s">
        <v>1189</v>
      </c>
      <c r="D253" t="s">
        <v>44</v>
      </c>
      <c r="E253"/>
      <c r="F253" s="140" t="str">
        <f>IFERROR(VLOOKUP($C253,'NEW MODEL BY SES'!$C$19:$R$242,MATCH('SeS in Retail Sales Areas'!F$7,'NEW MODEL BY SES'!$C$17:$R$17,0),0),"")</f>
        <v/>
      </c>
      <c r="G253" s="140" t="str">
        <f>IFERROR(VLOOKUP($C253,'NEW MODEL BY SES'!$C$19:$R$242,MATCH('SeS in Retail Sales Areas'!G$7,'NEW MODEL BY SES'!$C$17:$R$17,0),0),"")</f>
        <v/>
      </c>
      <c r="H253" s="142" t="str">
        <f>IFERROR(VLOOKUP($C253,'NEW MODEL BY SES'!$C$19:$R$242,MATCH('SeS in Retail Sales Areas'!H$7,'NEW MODEL BY SES'!$C$17:$R$17,0),0),"")</f>
        <v/>
      </c>
      <c r="I253" s="140" t="str">
        <f>IFERROR(VLOOKUP($C253,'NEW MODEL BY SES'!$C$19:$R$242,MATCH('SeS in Retail Sales Areas'!I$7,'NEW MODEL BY SES'!$C$17:$R$17,0),0),"")</f>
        <v/>
      </c>
      <c r="J253" s="142" t="str">
        <f>IFERROR(VLOOKUP($C253,'NEW MODEL BY SES'!$C$19:$R$242,MATCH('SeS in Retail Sales Areas'!J$7,'NEW MODEL BY SES'!$C$17:$R$17,0),0),"")</f>
        <v/>
      </c>
      <c r="K253" s="140" t="str">
        <f>IFERROR(VLOOKUP($C253,'NEW MODEL BY SES'!$C$19:$R$242,MATCH('SeS in Retail Sales Areas'!K$7,'NEW MODEL BY SES'!$C$17:$R$17,0),0),"")</f>
        <v/>
      </c>
      <c r="L253" s="142" t="str">
        <f>IFERROR(VLOOKUP($C253,'NEW MODEL BY SES'!$C$19:$R$242,MATCH('SeS in Retail Sales Areas'!L$7,'NEW MODEL BY SES'!$C$17:$R$17,0),0),"")</f>
        <v/>
      </c>
      <c r="M253" s="140" t="str">
        <f>IFERROR(VLOOKUP($C253,'NEW MODEL BY SES'!$C$19:$R$242,MATCH('SeS in Retail Sales Areas'!M$7,'NEW MODEL BY SES'!$C$17:$R$17,0),0),"")</f>
        <v/>
      </c>
      <c r="N253" s="142" t="str">
        <f>IFERROR(VLOOKUP($C253,'NEW MODEL BY SES'!$C$19:$R$242,MATCH('SeS in Retail Sales Areas'!N$7,'NEW MODEL BY SES'!$C$17:$R$17,0),0),"")</f>
        <v/>
      </c>
      <c r="O253" s="140" t="str">
        <f>IFERROR(VLOOKUP($C253,'NEW MODEL BY SES'!$C$19:$R$242,MATCH('SeS in Retail Sales Areas'!O$7,'NEW MODEL BY SES'!$C$17:$R$17,0),0),"")</f>
        <v/>
      </c>
      <c r="P253" s="142" t="str">
        <f>IFERROR(VLOOKUP($C253,'NEW MODEL BY SES'!$C$19:$R$242,MATCH('SeS in Retail Sales Areas'!P$7,'NEW MODEL BY SES'!$C$17:$R$17,0),0),"")</f>
        <v/>
      </c>
      <c r="Q253" s="140" t="str">
        <f>IFERROR(VLOOKUP($C253,'NEW MODEL BY SES'!$C$19:$R$242,MATCH('SeS in Retail Sales Areas'!Q$7,'NEW MODEL BY SES'!$C$17:$R$17,0),0),"")</f>
        <v/>
      </c>
      <c r="R253" s="142" t="str">
        <f>IFERROR(VLOOKUP($C253,'NEW MODEL BY SES'!$C$19:$R$242,MATCH('SeS in Retail Sales Areas'!R$7,'NEW MODEL BY SES'!$C$17:$R$17,0),0),"")</f>
        <v/>
      </c>
      <c r="S253" s="141" t="str">
        <f>IFERROR(VLOOKUP($C253,'NEW MODEL BY SES'!$C$19:$R$242,MATCH('SeS in Retail Sales Areas'!S$7,'NEW MODEL BY SES'!$C$17:$R$17,0),0),"")</f>
        <v/>
      </c>
      <c r="T253" s="140" t="str">
        <f>IFERROR(VLOOKUP($C253,'NEW MODEL BY SES'!$C$19:$R$242,MATCH('SeS in Retail Sales Areas'!T$7,'NEW MODEL BY SES'!$C$17:$R$17,0),0),"")</f>
        <v/>
      </c>
      <c r="U253" s="142" t="str">
        <f>IFERROR(VLOOKUP($C253,'NEW MODEL BY SES'!$C$19:$R$242,MATCH('SeS in Retail Sales Areas'!U$7,'NEW MODEL BY SES'!$C$17:$R$17,0),0),"")</f>
        <v/>
      </c>
      <c r="V253" s="140" t="str">
        <f>IFERROR(VLOOKUP($C253,'NEW MODEL BY SES'!$C$19:$R$242,MATCH('SeS in Retail Sales Areas'!V$7,'NEW MODEL BY SES'!$C$17:$R$17,0),0),"")</f>
        <v/>
      </c>
      <c r="W253" s="141" t="str">
        <f>IFERROR(VLOOKUP($C253,'NEW MODEL BY SES'!$C$19:$R$242,MATCH('SeS in Retail Sales Areas'!W$7,'NEW MODEL BY SES'!$C$17:$R$17,0),0),"")</f>
        <v/>
      </c>
      <c r="X253" s="140" t="str">
        <f>IFERROR(VLOOKUP($C253,'NEW MODEL BY SES'!$C$19:$R$242,MATCH('SeS in Retail Sales Areas'!X$7,'NEW MODEL BY SES'!$C$17:$R$17,0),0),"")</f>
        <v/>
      </c>
      <c r="Z253" s="57"/>
    </row>
    <row r="254" spans="1:26">
      <c r="A254" t="s">
        <v>1174</v>
      </c>
      <c r="B254" s="57">
        <v>73</v>
      </c>
      <c r="C254" t="s">
        <v>1190</v>
      </c>
      <c r="D254" t="s">
        <v>44</v>
      </c>
      <c r="E254"/>
      <c r="F254" s="140" t="str">
        <f>IFERROR(VLOOKUP($C254,'NEW MODEL BY SES'!$C$19:$R$242,MATCH('SeS in Retail Sales Areas'!F$7,'NEW MODEL BY SES'!$C$17:$R$17,0),0),"")</f>
        <v/>
      </c>
      <c r="G254" s="140" t="str">
        <f>IFERROR(VLOOKUP($C254,'NEW MODEL BY SES'!$C$19:$R$242,MATCH('SeS in Retail Sales Areas'!G$7,'NEW MODEL BY SES'!$C$17:$R$17,0),0),"")</f>
        <v/>
      </c>
      <c r="H254" s="142" t="str">
        <f>IFERROR(VLOOKUP($C254,'NEW MODEL BY SES'!$C$19:$R$242,MATCH('SeS in Retail Sales Areas'!H$7,'NEW MODEL BY SES'!$C$17:$R$17,0),0),"")</f>
        <v/>
      </c>
      <c r="I254" s="140" t="str">
        <f>IFERROR(VLOOKUP($C254,'NEW MODEL BY SES'!$C$19:$R$242,MATCH('SeS in Retail Sales Areas'!I$7,'NEW MODEL BY SES'!$C$17:$R$17,0),0),"")</f>
        <v/>
      </c>
      <c r="J254" s="142" t="str">
        <f>IFERROR(VLOOKUP($C254,'NEW MODEL BY SES'!$C$19:$R$242,MATCH('SeS in Retail Sales Areas'!J$7,'NEW MODEL BY SES'!$C$17:$R$17,0),0),"")</f>
        <v/>
      </c>
      <c r="K254" s="140" t="str">
        <f>IFERROR(VLOOKUP($C254,'NEW MODEL BY SES'!$C$19:$R$242,MATCH('SeS in Retail Sales Areas'!K$7,'NEW MODEL BY SES'!$C$17:$R$17,0),0),"")</f>
        <v/>
      </c>
      <c r="L254" s="142" t="str">
        <f>IFERROR(VLOOKUP($C254,'NEW MODEL BY SES'!$C$19:$R$242,MATCH('SeS in Retail Sales Areas'!L$7,'NEW MODEL BY SES'!$C$17:$R$17,0),0),"")</f>
        <v/>
      </c>
      <c r="M254" s="140" t="str">
        <f>IFERROR(VLOOKUP($C254,'NEW MODEL BY SES'!$C$19:$R$242,MATCH('SeS in Retail Sales Areas'!M$7,'NEW MODEL BY SES'!$C$17:$R$17,0),0),"")</f>
        <v/>
      </c>
      <c r="N254" s="142" t="str">
        <f>IFERROR(VLOOKUP($C254,'NEW MODEL BY SES'!$C$19:$R$242,MATCH('SeS in Retail Sales Areas'!N$7,'NEW MODEL BY SES'!$C$17:$R$17,0),0),"")</f>
        <v/>
      </c>
      <c r="O254" s="140" t="str">
        <f>IFERROR(VLOOKUP($C254,'NEW MODEL BY SES'!$C$19:$R$242,MATCH('SeS in Retail Sales Areas'!O$7,'NEW MODEL BY SES'!$C$17:$R$17,0),0),"")</f>
        <v/>
      </c>
      <c r="P254" s="142" t="str">
        <f>IFERROR(VLOOKUP($C254,'NEW MODEL BY SES'!$C$19:$R$242,MATCH('SeS in Retail Sales Areas'!P$7,'NEW MODEL BY SES'!$C$17:$R$17,0),0),"")</f>
        <v/>
      </c>
      <c r="Q254" s="140" t="str">
        <f>IFERROR(VLOOKUP($C254,'NEW MODEL BY SES'!$C$19:$R$242,MATCH('SeS in Retail Sales Areas'!Q$7,'NEW MODEL BY SES'!$C$17:$R$17,0),0),"")</f>
        <v/>
      </c>
      <c r="R254" s="142" t="str">
        <f>IFERROR(VLOOKUP($C254,'NEW MODEL BY SES'!$C$19:$R$242,MATCH('SeS in Retail Sales Areas'!R$7,'NEW MODEL BY SES'!$C$17:$R$17,0),0),"")</f>
        <v/>
      </c>
      <c r="S254" s="141" t="str">
        <f>IFERROR(VLOOKUP($C254,'NEW MODEL BY SES'!$C$19:$R$242,MATCH('SeS in Retail Sales Areas'!S$7,'NEW MODEL BY SES'!$C$17:$R$17,0),0),"")</f>
        <v/>
      </c>
      <c r="T254" s="140" t="str">
        <f>IFERROR(VLOOKUP($C254,'NEW MODEL BY SES'!$C$19:$R$242,MATCH('SeS in Retail Sales Areas'!T$7,'NEW MODEL BY SES'!$C$17:$R$17,0),0),"")</f>
        <v/>
      </c>
      <c r="U254" s="142" t="str">
        <f>IFERROR(VLOOKUP($C254,'NEW MODEL BY SES'!$C$19:$R$242,MATCH('SeS in Retail Sales Areas'!U$7,'NEW MODEL BY SES'!$C$17:$R$17,0),0),"")</f>
        <v/>
      </c>
      <c r="V254" s="140" t="str">
        <f>IFERROR(VLOOKUP($C254,'NEW MODEL BY SES'!$C$19:$R$242,MATCH('SeS in Retail Sales Areas'!V$7,'NEW MODEL BY SES'!$C$17:$R$17,0),0),"")</f>
        <v/>
      </c>
      <c r="W254" s="141" t="str">
        <f>IFERROR(VLOOKUP($C254,'NEW MODEL BY SES'!$C$19:$R$242,MATCH('SeS in Retail Sales Areas'!W$7,'NEW MODEL BY SES'!$C$17:$R$17,0),0),"")</f>
        <v/>
      </c>
      <c r="X254" s="140" t="str">
        <f>IFERROR(VLOOKUP($C254,'NEW MODEL BY SES'!$C$19:$R$242,MATCH('SeS in Retail Sales Areas'!X$7,'NEW MODEL BY SES'!$C$17:$R$17,0),0),"")</f>
        <v/>
      </c>
      <c r="Z254" s="57"/>
    </row>
    <row r="255" spans="1:26">
      <c r="A255" t="s">
        <v>1174</v>
      </c>
      <c r="B255" s="57">
        <v>72</v>
      </c>
      <c r="C255" t="s">
        <v>1191</v>
      </c>
      <c r="D255" t="s">
        <v>44</v>
      </c>
      <c r="E255"/>
      <c r="F255" s="140" t="str">
        <f>IFERROR(VLOOKUP($C255,'NEW MODEL BY SES'!$C$19:$R$242,MATCH('SeS in Retail Sales Areas'!F$7,'NEW MODEL BY SES'!$C$17:$R$17,0),0),"")</f>
        <v/>
      </c>
      <c r="G255" s="140" t="str">
        <f>IFERROR(VLOOKUP($C255,'NEW MODEL BY SES'!$C$19:$R$242,MATCH('SeS in Retail Sales Areas'!G$7,'NEW MODEL BY SES'!$C$17:$R$17,0),0),"")</f>
        <v/>
      </c>
      <c r="H255" s="142" t="str">
        <f>IFERROR(VLOOKUP($C255,'NEW MODEL BY SES'!$C$19:$R$242,MATCH('SeS in Retail Sales Areas'!H$7,'NEW MODEL BY SES'!$C$17:$R$17,0),0),"")</f>
        <v/>
      </c>
      <c r="I255" s="140" t="str">
        <f>IFERROR(VLOOKUP($C255,'NEW MODEL BY SES'!$C$19:$R$242,MATCH('SeS in Retail Sales Areas'!I$7,'NEW MODEL BY SES'!$C$17:$R$17,0),0),"")</f>
        <v/>
      </c>
      <c r="J255" s="142" t="str">
        <f>IFERROR(VLOOKUP($C255,'NEW MODEL BY SES'!$C$19:$R$242,MATCH('SeS in Retail Sales Areas'!J$7,'NEW MODEL BY SES'!$C$17:$R$17,0),0),"")</f>
        <v/>
      </c>
      <c r="K255" s="140" t="str">
        <f>IFERROR(VLOOKUP($C255,'NEW MODEL BY SES'!$C$19:$R$242,MATCH('SeS in Retail Sales Areas'!K$7,'NEW MODEL BY SES'!$C$17:$R$17,0),0),"")</f>
        <v/>
      </c>
      <c r="L255" s="142" t="str">
        <f>IFERROR(VLOOKUP($C255,'NEW MODEL BY SES'!$C$19:$R$242,MATCH('SeS in Retail Sales Areas'!L$7,'NEW MODEL BY SES'!$C$17:$R$17,0),0),"")</f>
        <v/>
      </c>
      <c r="M255" s="140" t="str">
        <f>IFERROR(VLOOKUP($C255,'NEW MODEL BY SES'!$C$19:$R$242,MATCH('SeS in Retail Sales Areas'!M$7,'NEW MODEL BY SES'!$C$17:$R$17,0),0),"")</f>
        <v/>
      </c>
      <c r="N255" s="142" t="str">
        <f>IFERROR(VLOOKUP($C255,'NEW MODEL BY SES'!$C$19:$R$242,MATCH('SeS in Retail Sales Areas'!N$7,'NEW MODEL BY SES'!$C$17:$R$17,0),0),"")</f>
        <v/>
      </c>
      <c r="O255" s="140" t="str">
        <f>IFERROR(VLOOKUP($C255,'NEW MODEL BY SES'!$C$19:$R$242,MATCH('SeS in Retail Sales Areas'!O$7,'NEW MODEL BY SES'!$C$17:$R$17,0),0),"")</f>
        <v/>
      </c>
      <c r="P255" s="142" t="str">
        <f>IFERROR(VLOOKUP($C255,'NEW MODEL BY SES'!$C$19:$R$242,MATCH('SeS in Retail Sales Areas'!P$7,'NEW MODEL BY SES'!$C$17:$R$17,0),0),"")</f>
        <v/>
      </c>
      <c r="Q255" s="140" t="str">
        <f>IFERROR(VLOOKUP($C255,'NEW MODEL BY SES'!$C$19:$R$242,MATCH('SeS in Retail Sales Areas'!Q$7,'NEW MODEL BY SES'!$C$17:$R$17,0),0),"")</f>
        <v/>
      </c>
      <c r="R255" s="142" t="str">
        <f>IFERROR(VLOOKUP($C255,'NEW MODEL BY SES'!$C$19:$R$242,MATCH('SeS in Retail Sales Areas'!R$7,'NEW MODEL BY SES'!$C$17:$R$17,0),0),"")</f>
        <v/>
      </c>
      <c r="S255" s="141" t="str">
        <f>IFERROR(VLOOKUP($C255,'NEW MODEL BY SES'!$C$19:$R$242,MATCH('SeS in Retail Sales Areas'!S$7,'NEW MODEL BY SES'!$C$17:$R$17,0),0),"")</f>
        <v/>
      </c>
      <c r="T255" s="140" t="str">
        <f>IFERROR(VLOOKUP($C255,'NEW MODEL BY SES'!$C$19:$R$242,MATCH('SeS in Retail Sales Areas'!T$7,'NEW MODEL BY SES'!$C$17:$R$17,0),0),"")</f>
        <v/>
      </c>
      <c r="U255" s="142" t="str">
        <f>IFERROR(VLOOKUP($C255,'NEW MODEL BY SES'!$C$19:$R$242,MATCH('SeS in Retail Sales Areas'!U$7,'NEW MODEL BY SES'!$C$17:$R$17,0),0),"")</f>
        <v/>
      </c>
      <c r="V255" s="140" t="str">
        <f>IFERROR(VLOOKUP($C255,'NEW MODEL BY SES'!$C$19:$R$242,MATCH('SeS in Retail Sales Areas'!V$7,'NEW MODEL BY SES'!$C$17:$R$17,0),0),"")</f>
        <v/>
      </c>
      <c r="W255" s="141" t="str">
        <f>IFERROR(VLOOKUP($C255,'NEW MODEL BY SES'!$C$19:$R$242,MATCH('SeS in Retail Sales Areas'!W$7,'NEW MODEL BY SES'!$C$17:$R$17,0),0),"")</f>
        <v/>
      </c>
      <c r="X255" s="140" t="str">
        <f>IFERROR(VLOOKUP($C255,'NEW MODEL BY SES'!$C$19:$R$242,MATCH('SeS in Retail Sales Areas'!X$7,'NEW MODEL BY SES'!$C$17:$R$17,0),0),"")</f>
        <v/>
      </c>
      <c r="Z255" s="57"/>
    </row>
    <row r="256" spans="1:26">
      <c r="A256" t="s">
        <v>1174</v>
      </c>
      <c r="B256" s="57">
        <v>72</v>
      </c>
      <c r="C256" t="s">
        <v>1192</v>
      </c>
      <c r="D256" t="s">
        <v>44</v>
      </c>
      <c r="E256"/>
      <c r="F256" s="140" t="str">
        <f>IFERROR(VLOOKUP($C256,'NEW MODEL BY SES'!$C$19:$R$242,MATCH('SeS in Retail Sales Areas'!F$7,'NEW MODEL BY SES'!$C$17:$R$17,0),0),"")</f>
        <v/>
      </c>
      <c r="G256" s="140" t="str">
        <f>IFERROR(VLOOKUP($C256,'NEW MODEL BY SES'!$C$19:$R$242,MATCH('SeS in Retail Sales Areas'!G$7,'NEW MODEL BY SES'!$C$17:$R$17,0),0),"")</f>
        <v/>
      </c>
      <c r="H256" s="142" t="str">
        <f>IFERROR(VLOOKUP($C256,'NEW MODEL BY SES'!$C$19:$R$242,MATCH('SeS in Retail Sales Areas'!H$7,'NEW MODEL BY SES'!$C$17:$R$17,0),0),"")</f>
        <v/>
      </c>
      <c r="I256" s="140" t="str">
        <f>IFERROR(VLOOKUP($C256,'NEW MODEL BY SES'!$C$19:$R$242,MATCH('SeS in Retail Sales Areas'!I$7,'NEW MODEL BY SES'!$C$17:$R$17,0),0),"")</f>
        <v/>
      </c>
      <c r="J256" s="142" t="str">
        <f>IFERROR(VLOOKUP($C256,'NEW MODEL BY SES'!$C$19:$R$242,MATCH('SeS in Retail Sales Areas'!J$7,'NEW MODEL BY SES'!$C$17:$R$17,0),0),"")</f>
        <v/>
      </c>
      <c r="K256" s="140" t="str">
        <f>IFERROR(VLOOKUP($C256,'NEW MODEL BY SES'!$C$19:$R$242,MATCH('SeS in Retail Sales Areas'!K$7,'NEW MODEL BY SES'!$C$17:$R$17,0),0),"")</f>
        <v/>
      </c>
      <c r="L256" s="142" t="str">
        <f>IFERROR(VLOOKUP($C256,'NEW MODEL BY SES'!$C$19:$R$242,MATCH('SeS in Retail Sales Areas'!L$7,'NEW MODEL BY SES'!$C$17:$R$17,0),0),"")</f>
        <v/>
      </c>
      <c r="M256" s="140" t="str">
        <f>IFERROR(VLOOKUP($C256,'NEW MODEL BY SES'!$C$19:$R$242,MATCH('SeS in Retail Sales Areas'!M$7,'NEW MODEL BY SES'!$C$17:$R$17,0),0),"")</f>
        <v/>
      </c>
      <c r="N256" s="142" t="str">
        <f>IFERROR(VLOOKUP($C256,'NEW MODEL BY SES'!$C$19:$R$242,MATCH('SeS in Retail Sales Areas'!N$7,'NEW MODEL BY SES'!$C$17:$R$17,0),0),"")</f>
        <v/>
      </c>
      <c r="O256" s="140" t="str">
        <f>IFERROR(VLOOKUP($C256,'NEW MODEL BY SES'!$C$19:$R$242,MATCH('SeS in Retail Sales Areas'!O$7,'NEW MODEL BY SES'!$C$17:$R$17,0),0),"")</f>
        <v/>
      </c>
      <c r="P256" s="142" t="str">
        <f>IFERROR(VLOOKUP($C256,'NEW MODEL BY SES'!$C$19:$R$242,MATCH('SeS in Retail Sales Areas'!P$7,'NEW MODEL BY SES'!$C$17:$R$17,0),0),"")</f>
        <v/>
      </c>
      <c r="Q256" s="140" t="str">
        <f>IFERROR(VLOOKUP($C256,'NEW MODEL BY SES'!$C$19:$R$242,MATCH('SeS in Retail Sales Areas'!Q$7,'NEW MODEL BY SES'!$C$17:$R$17,0),0),"")</f>
        <v/>
      </c>
      <c r="R256" s="142" t="str">
        <f>IFERROR(VLOOKUP($C256,'NEW MODEL BY SES'!$C$19:$R$242,MATCH('SeS in Retail Sales Areas'!R$7,'NEW MODEL BY SES'!$C$17:$R$17,0),0),"")</f>
        <v/>
      </c>
      <c r="S256" s="141" t="str">
        <f>IFERROR(VLOOKUP($C256,'NEW MODEL BY SES'!$C$19:$R$242,MATCH('SeS in Retail Sales Areas'!S$7,'NEW MODEL BY SES'!$C$17:$R$17,0),0),"")</f>
        <v/>
      </c>
      <c r="T256" s="140" t="str">
        <f>IFERROR(VLOOKUP($C256,'NEW MODEL BY SES'!$C$19:$R$242,MATCH('SeS in Retail Sales Areas'!T$7,'NEW MODEL BY SES'!$C$17:$R$17,0),0),"")</f>
        <v/>
      </c>
      <c r="U256" s="142" t="str">
        <f>IFERROR(VLOOKUP($C256,'NEW MODEL BY SES'!$C$19:$R$242,MATCH('SeS in Retail Sales Areas'!U$7,'NEW MODEL BY SES'!$C$17:$R$17,0),0),"")</f>
        <v/>
      </c>
      <c r="V256" s="140" t="str">
        <f>IFERROR(VLOOKUP($C256,'NEW MODEL BY SES'!$C$19:$R$242,MATCH('SeS in Retail Sales Areas'!V$7,'NEW MODEL BY SES'!$C$17:$R$17,0),0),"")</f>
        <v/>
      </c>
      <c r="W256" s="141" t="str">
        <f>IFERROR(VLOOKUP($C256,'NEW MODEL BY SES'!$C$19:$R$242,MATCH('SeS in Retail Sales Areas'!W$7,'NEW MODEL BY SES'!$C$17:$R$17,0),0),"")</f>
        <v/>
      </c>
      <c r="X256" s="140" t="str">
        <f>IFERROR(VLOOKUP($C256,'NEW MODEL BY SES'!$C$19:$R$242,MATCH('SeS in Retail Sales Areas'!X$7,'NEW MODEL BY SES'!$C$17:$R$17,0),0),"")</f>
        <v/>
      </c>
      <c r="Z256" s="57"/>
    </row>
    <row r="257" spans="1:26">
      <c r="A257" t="s">
        <v>1174</v>
      </c>
      <c r="B257" s="57">
        <v>67</v>
      </c>
      <c r="C257" t="s">
        <v>1193</v>
      </c>
      <c r="D257" t="s">
        <v>44</v>
      </c>
      <c r="E257"/>
      <c r="F257" s="140" t="str">
        <f>IFERROR(VLOOKUP($C257,'NEW MODEL BY SES'!$C$19:$R$242,MATCH('SeS in Retail Sales Areas'!F$7,'NEW MODEL BY SES'!$C$17:$R$17,0),0),"")</f>
        <v/>
      </c>
      <c r="G257" s="140" t="str">
        <f>IFERROR(VLOOKUP($C257,'NEW MODEL BY SES'!$C$19:$R$242,MATCH('SeS in Retail Sales Areas'!G$7,'NEW MODEL BY SES'!$C$17:$R$17,0),0),"")</f>
        <v/>
      </c>
      <c r="H257" s="142" t="str">
        <f>IFERROR(VLOOKUP($C257,'NEW MODEL BY SES'!$C$19:$R$242,MATCH('SeS in Retail Sales Areas'!H$7,'NEW MODEL BY SES'!$C$17:$R$17,0),0),"")</f>
        <v/>
      </c>
      <c r="I257" s="140" t="str">
        <f>IFERROR(VLOOKUP($C257,'NEW MODEL BY SES'!$C$19:$R$242,MATCH('SeS in Retail Sales Areas'!I$7,'NEW MODEL BY SES'!$C$17:$R$17,0),0),"")</f>
        <v/>
      </c>
      <c r="J257" s="142" t="str">
        <f>IFERROR(VLOOKUP($C257,'NEW MODEL BY SES'!$C$19:$R$242,MATCH('SeS in Retail Sales Areas'!J$7,'NEW MODEL BY SES'!$C$17:$R$17,0),0),"")</f>
        <v/>
      </c>
      <c r="K257" s="140" t="str">
        <f>IFERROR(VLOOKUP($C257,'NEW MODEL BY SES'!$C$19:$R$242,MATCH('SeS in Retail Sales Areas'!K$7,'NEW MODEL BY SES'!$C$17:$R$17,0),0),"")</f>
        <v/>
      </c>
      <c r="L257" s="142" t="str">
        <f>IFERROR(VLOOKUP($C257,'NEW MODEL BY SES'!$C$19:$R$242,MATCH('SeS in Retail Sales Areas'!L$7,'NEW MODEL BY SES'!$C$17:$R$17,0),0),"")</f>
        <v/>
      </c>
      <c r="M257" s="140" t="str">
        <f>IFERROR(VLOOKUP($C257,'NEW MODEL BY SES'!$C$19:$R$242,MATCH('SeS in Retail Sales Areas'!M$7,'NEW MODEL BY SES'!$C$17:$R$17,0),0),"")</f>
        <v/>
      </c>
      <c r="N257" s="142" t="str">
        <f>IFERROR(VLOOKUP($C257,'NEW MODEL BY SES'!$C$19:$R$242,MATCH('SeS in Retail Sales Areas'!N$7,'NEW MODEL BY SES'!$C$17:$R$17,0),0),"")</f>
        <v/>
      </c>
      <c r="O257" s="140" t="str">
        <f>IFERROR(VLOOKUP($C257,'NEW MODEL BY SES'!$C$19:$R$242,MATCH('SeS in Retail Sales Areas'!O$7,'NEW MODEL BY SES'!$C$17:$R$17,0),0),"")</f>
        <v/>
      </c>
      <c r="P257" s="142" t="str">
        <f>IFERROR(VLOOKUP($C257,'NEW MODEL BY SES'!$C$19:$R$242,MATCH('SeS in Retail Sales Areas'!P$7,'NEW MODEL BY SES'!$C$17:$R$17,0),0),"")</f>
        <v/>
      </c>
      <c r="Q257" s="140" t="str">
        <f>IFERROR(VLOOKUP($C257,'NEW MODEL BY SES'!$C$19:$R$242,MATCH('SeS in Retail Sales Areas'!Q$7,'NEW MODEL BY SES'!$C$17:$R$17,0),0),"")</f>
        <v/>
      </c>
      <c r="R257" s="142" t="str">
        <f>IFERROR(VLOOKUP($C257,'NEW MODEL BY SES'!$C$19:$R$242,MATCH('SeS in Retail Sales Areas'!R$7,'NEW MODEL BY SES'!$C$17:$R$17,0),0),"")</f>
        <v/>
      </c>
      <c r="S257" s="141" t="str">
        <f>IFERROR(VLOOKUP($C257,'NEW MODEL BY SES'!$C$19:$R$242,MATCH('SeS in Retail Sales Areas'!S$7,'NEW MODEL BY SES'!$C$17:$R$17,0),0),"")</f>
        <v/>
      </c>
      <c r="T257" s="140" t="str">
        <f>IFERROR(VLOOKUP($C257,'NEW MODEL BY SES'!$C$19:$R$242,MATCH('SeS in Retail Sales Areas'!T$7,'NEW MODEL BY SES'!$C$17:$R$17,0),0),"")</f>
        <v/>
      </c>
      <c r="U257" s="142" t="str">
        <f>IFERROR(VLOOKUP($C257,'NEW MODEL BY SES'!$C$19:$R$242,MATCH('SeS in Retail Sales Areas'!U$7,'NEW MODEL BY SES'!$C$17:$R$17,0),0),"")</f>
        <v/>
      </c>
      <c r="V257" s="140" t="str">
        <f>IFERROR(VLOOKUP($C257,'NEW MODEL BY SES'!$C$19:$R$242,MATCH('SeS in Retail Sales Areas'!V$7,'NEW MODEL BY SES'!$C$17:$R$17,0),0),"")</f>
        <v/>
      </c>
      <c r="W257" s="141" t="str">
        <f>IFERROR(VLOOKUP($C257,'NEW MODEL BY SES'!$C$19:$R$242,MATCH('SeS in Retail Sales Areas'!W$7,'NEW MODEL BY SES'!$C$17:$R$17,0),0),"")</f>
        <v/>
      </c>
      <c r="X257" s="140" t="str">
        <f>IFERROR(VLOOKUP($C257,'NEW MODEL BY SES'!$C$19:$R$242,MATCH('SeS in Retail Sales Areas'!X$7,'NEW MODEL BY SES'!$C$17:$R$17,0),0),"")</f>
        <v/>
      </c>
      <c r="Z257" s="57"/>
    </row>
    <row r="258" spans="1:26">
      <c r="A258" t="s">
        <v>1174</v>
      </c>
      <c r="B258" s="57">
        <v>63</v>
      </c>
      <c r="C258" t="s">
        <v>1194</v>
      </c>
      <c r="D258" t="s">
        <v>44</v>
      </c>
      <c r="E258"/>
      <c r="F258" s="140" t="str">
        <f>IFERROR(VLOOKUP($C258,'NEW MODEL BY SES'!$C$19:$R$242,MATCH('SeS in Retail Sales Areas'!F$7,'NEW MODEL BY SES'!$C$17:$R$17,0),0),"")</f>
        <v/>
      </c>
      <c r="G258" s="140" t="str">
        <f>IFERROR(VLOOKUP($C258,'NEW MODEL BY SES'!$C$19:$R$242,MATCH('SeS in Retail Sales Areas'!G$7,'NEW MODEL BY SES'!$C$17:$R$17,0),0),"")</f>
        <v/>
      </c>
      <c r="H258" s="142" t="str">
        <f>IFERROR(VLOOKUP($C258,'NEW MODEL BY SES'!$C$19:$R$242,MATCH('SeS in Retail Sales Areas'!H$7,'NEW MODEL BY SES'!$C$17:$R$17,0),0),"")</f>
        <v/>
      </c>
      <c r="I258" s="140" t="str">
        <f>IFERROR(VLOOKUP($C258,'NEW MODEL BY SES'!$C$19:$R$242,MATCH('SeS in Retail Sales Areas'!I$7,'NEW MODEL BY SES'!$C$17:$R$17,0),0),"")</f>
        <v/>
      </c>
      <c r="J258" s="142" t="str">
        <f>IFERROR(VLOOKUP($C258,'NEW MODEL BY SES'!$C$19:$R$242,MATCH('SeS in Retail Sales Areas'!J$7,'NEW MODEL BY SES'!$C$17:$R$17,0),0),"")</f>
        <v/>
      </c>
      <c r="K258" s="140" t="str">
        <f>IFERROR(VLOOKUP($C258,'NEW MODEL BY SES'!$C$19:$R$242,MATCH('SeS in Retail Sales Areas'!K$7,'NEW MODEL BY SES'!$C$17:$R$17,0),0),"")</f>
        <v/>
      </c>
      <c r="L258" s="142" t="str">
        <f>IFERROR(VLOOKUP($C258,'NEW MODEL BY SES'!$C$19:$R$242,MATCH('SeS in Retail Sales Areas'!L$7,'NEW MODEL BY SES'!$C$17:$R$17,0),0),"")</f>
        <v/>
      </c>
      <c r="M258" s="140" t="str">
        <f>IFERROR(VLOOKUP($C258,'NEW MODEL BY SES'!$C$19:$R$242,MATCH('SeS in Retail Sales Areas'!M$7,'NEW MODEL BY SES'!$C$17:$R$17,0),0),"")</f>
        <v/>
      </c>
      <c r="N258" s="142" t="str">
        <f>IFERROR(VLOOKUP($C258,'NEW MODEL BY SES'!$C$19:$R$242,MATCH('SeS in Retail Sales Areas'!N$7,'NEW MODEL BY SES'!$C$17:$R$17,0),0),"")</f>
        <v/>
      </c>
      <c r="O258" s="140" t="str">
        <f>IFERROR(VLOOKUP($C258,'NEW MODEL BY SES'!$C$19:$R$242,MATCH('SeS in Retail Sales Areas'!O$7,'NEW MODEL BY SES'!$C$17:$R$17,0),0),"")</f>
        <v/>
      </c>
      <c r="P258" s="142" t="str">
        <f>IFERROR(VLOOKUP($C258,'NEW MODEL BY SES'!$C$19:$R$242,MATCH('SeS in Retail Sales Areas'!P$7,'NEW MODEL BY SES'!$C$17:$R$17,0),0),"")</f>
        <v/>
      </c>
      <c r="Q258" s="140" t="str">
        <f>IFERROR(VLOOKUP($C258,'NEW MODEL BY SES'!$C$19:$R$242,MATCH('SeS in Retail Sales Areas'!Q$7,'NEW MODEL BY SES'!$C$17:$R$17,0),0),"")</f>
        <v/>
      </c>
      <c r="R258" s="142" t="str">
        <f>IFERROR(VLOOKUP($C258,'NEW MODEL BY SES'!$C$19:$R$242,MATCH('SeS in Retail Sales Areas'!R$7,'NEW MODEL BY SES'!$C$17:$R$17,0),0),"")</f>
        <v/>
      </c>
      <c r="S258" s="141" t="str">
        <f>IFERROR(VLOOKUP($C258,'NEW MODEL BY SES'!$C$19:$R$242,MATCH('SeS in Retail Sales Areas'!S$7,'NEW MODEL BY SES'!$C$17:$R$17,0),0),"")</f>
        <v/>
      </c>
      <c r="T258" s="140" t="str">
        <f>IFERROR(VLOOKUP($C258,'NEW MODEL BY SES'!$C$19:$R$242,MATCH('SeS in Retail Sales Areas'!T$7,'NEW MODEL BY SES'!$C$17:$R$17,0),0),"")</f>
        <v/>
      </c>
      <c r="U258" s="142" t="str">
        <f>IFERROR(VLOOKUP($C258,'NEW MODEL BY SES'!$C$19:$R$242,MATCH('SeS in Retail Sales Areas'!U$7,'NEW MODEL BY SES'!$C$17:$R$17,0),0),"")</f>
        <v/>
      </c>
      <c r="V258" s="140" t="str">
        <f>IFERROR(VLOOKUP($C258,'NEW MODEL BY SES'!$C$19:$R$242,MATCH('SeS in Retail Sales Areas'!V$7,'NEW MODEL BY SES'!$C$17:$R$17,0),0),"")</f>
        <v/>
      </c>
      <c r="W258" s="141" t="str">
        <f>IFERROR(VLOOKUP($C258,'NEW MODEL BY SES'!$C$19:$R$242,MATCH('SeS in Retail Sales Areas'!W$7,'NEW MODEL BY SES'!$C$17:$R$17,0),0),"")</f>
        <v/>
      </c>
      <c r="X258" s="140" t="str">
        <f>IFERROR(VLOOKUP($C258,'NEW MODEL BY SES'!$C$19:$R$242,MATCH('SeS in Retail Sales Areas'!X$7,'NEW MODEL BY SES'!$C$17:$R$17,0),0),"")</f>
        <v/>
      </c>
      <c r="Z258" s="57"/>
    </row>
    <row r="259" spans="1:26">
      <c r="A259" t="s">
        <v>1174</v>
      </c>
      <c r="B259" s="57">
        <v>58</v>
      </c>
      <c r="C259" t="s">
        <v>1195</v>
      </c>
      <c r="D259" t="s">
        <v>44</v>
      </c>
      <c r="E259"/>
      <c r="F259" s="140" t="str">
        <f>IFERROR(VLOOKUP($C259,'NEW MODEL BY SES'!$C$19:$R$242,MATCH('SeS in Retail Sales Areas'!F$7,'NEW MODEL BY SES'!$C$17:$R$17,0),0),"")</f>
        <v/>
      </c>
      <c r="G259" s="140" t="str">
        <f>IFERROR(VLOOKUP($C259,'NEW MODEL BY SES'!$C$19:$R$242,MATCH('SeS in Retail Sales Areas'!G$7,'NEW MODEL BY SES'!$C$17:$R$17,0),0),"")</f>
        <v/>
      </c>
      <c r="H259" s="142" t="str">
        <f>IFERROR(VLOOKUP($C259,'NEW MODEL BY SES'!$C$19:$R$242,MATCH('SeS in Retail Sales Areas'!H$7,'NEW MODEL BY SES'!$C$17:$R$17,0),0),"")</f>
        <v/>
      </c>
      <c r="I259" s="140" t="str">
        <f>IFERROR(VLOOKUP($C259,'NEW MODEL BY SES'!$C$19:$R$242,MATCH('SeS in Retail Sales Areas'!I$7,'NEW MODEL BY SES'!$C$17:$R$17,0),0),"")</f>
        <v/>
      </c>
      <c r="J259" s="142" t="str">
        <f>IFERROR(VLOOKUP($C259,'NEW MODEL BY SES'!$C$19:$R$242,MATCH('SeS in Retail Sales Areas'!J$7,'NEW MODEL BY SES'!$C$17:$R$17,0),0),"")</f>
        <v/>
      </c>
      <c r="K259" s="140" t="str">
        <f>IFERROR(VLOOKUP($C259,'NEW MODEL BY SES'!$C$19:$R$242,MATCH('SeS in Retail Sales Areas'!K$7,'NEW MODEL BY SES'!$C$17:$R$17,0),0),"")</f>
        <v/>
      </c>
      <c r="L259" s="142" t="str">
        <f>IFERROR(VLOOKUP($C259,'NEW MODEL BY SES'!$C$19:$R$242,MATCH('SeS in Retail Sales Areas'!L$7,'NEW MODEL BY SES'!$C$17:$R$17,0),0),"")</f>
        <v/>
      </c>
      <c r="M259" s="140" t="str">
        <f>IFERROR(VLOOKUP($C259,'NEW MODEL BY SES'!$C$19:$R$242,MATCH('SeS in Retail Sales Areas'!M$7,'NEW MODEL BY SES'!$C$17:$R$17,0),0),"")</f>
        <v/>
      </c>
      <c r="N259" s="142" t="str">
        <f>IFERROR(VLOOKUP($C259,'NEW MODEL BY SES'!$C$19:$R$242,MATCH('SeS in Retail Sales Areas'!N$7,'NEW MODEL BY SES'!$C$17:$R$17,0),0),"")</f>
        <v/>
      </c>
      <c r="O259" s="140" t="str">
        <f>IFERROR(VLOOKUP($C259,'NEW MODEL BY SES'!$C$19:$R$242,MATCH('SeS in Retail Sales Areas'!O$7,'NEW MODEL BY SES'!$C$17:$R$17,0),0),"")</f>
        <v/>
      </c>
      <c r="P259" s="142" t="str">
        <f>IFERROR(VLOOKUP($C259,'NEW MODEL BY SES'!$C$19:$R$242,MATCH('SeS in Retail Sales Areas'!P$7,'NEW MODEL BY SES'!$C$17:$R$17,0),0),"")</f>
        <v/>
      </c>
      <c r="Q259" s="140" t="str">
        <f>IFERROR(VLOOKUP($C259,'NEW MODEL BY SES'!$C$19:$R$242,MATCH('SeS in Retail Sales Areas'!Q$7,'NEW MODEL BY SES'!$C$17:$R$17,0),0),"")</f>
        <v/>
      </c>
      <c r="R259" s="142" t="str">
        <f>IFERROR(VLOOKUP($C259,'NEW MODEL BY SES'!$C$19:$R$242,MATCH('SeS in Retail Sales Areas'!R$7,'NEW MODEL BY SES'!$C$17:$R$17,0),0),"")</f>
        <v/>
      </c>
      <c r="S259" s="141" t="str">
        <f>IFERROR(VLOOKUP($C259,'NEW MODEL BY SES'!$C$19:$R$242,MATCH('SeS in Retail Sales Areas'!S$7,'NEW MODEL BY SES'!$C$17:$R$17,0),0),"")</f>
        <v/>
      </c>
      <c r="T259" s="140" t="str">
        <f>IFERROR(VLOOKUP($C259,'NEW MODEL BY SES'!$C$19:$R$242,MATCH('SeS in Retail Sales Areas'!T$7,'NEW MODEL BY SES'!$C$17:$R$17,0),0),"")</f>
        <v/>
      </c>
      <c r="U259" s="142" t="str">
        <f>IFERROR(VLOOKUP($C259,'NEW MODEL BY SES'!$C$19:$R$242,MATCH('SeS in Retail Sales Areas'!U$7,'NEW MODEL BY SES'!$C$17:$R$17,0),0),"")</f>
        <v/>
      </c>
      <c r="V259" s="140" t="str">
        <f>IFERROR(VLOOKUP($C259,'NEW MODEL BY SES'!$C$19:$R$242,MATCH('SeS in Retail Sales Areas'!V$7,'NEW MODEL BY SES'!$C$17:$R$17,0),0),"")</f>
        <v/>
      </c>
      <c r="W259" s="141" t="str">
        <f>IFERROR(VLOOKUP($C259,'NEW MODEL BY SES'!$C$19:$R$242,MATCH('SeS in Retail Sales Areas'!W$7,'NEW MODEL BY SES'!$C$17:$R$17,0),0),"")</f>
        <v/>
      </c>
      <c r="X259" s="140" t="str">
        <f>IFERROR(VLOOKUP($C259,'NEW MODEL BY SES'!$C$19:$R$242,MATCH('SeS in Retail Sales Areas'!X$7,'NEW MODEL BY SES'!$C$17:$R$17,0),0),"")</f>
        <v/>
      </c>
      <c r="Z259" s="57"/>
    </row>
    <row r="260" spans="1:26">
      <c r="A260" t="s">
        <v>1174</v>
      </c>
      <c r="B260" s="57">
        <v>58</v>
      </c>
      <c r="C260" t="s">
        <v>1196</v>
      </c>
      <c r="D260" t="s">
        <v>44</v>
      </c>
      <c r="E260"/>
      <c r="F260" s="140" t="str">
        <f>IFERROR(VLOOKUP($C260,'NEW MODEL BY SES'!$C$19:$R$242,MATCH('SeS in Retail Sales Areas'!F$7,'NEW MODEL BY SES'!$C$17:$R$17,0),0),"")</f>
        <v/>
      </c>
      <c r="G260" s="140" t="str">
        <f>IFERROR(VLOOKUP($C260,'NEW MODEL BY SES'!$C$19:$R$242,MATCH('SeS in Retail Sales Areas'!G$7,'NEW MODEL BY SES'!$C$17:$R$17,0),0),"")</f>
        <v/>
      </c>
      <c r="H260" s="142" t="str">
        <f>IFERROR(VLOOKUP($C260,'NEW MODEL BY SES'!$C$19:$R$242,MATCH('SeS in Retail Sales Areas'!H$7,'NEW MODEL BY SES'!$C$17:$R$17,0),0),"")</f>
        <v/>
      </c>
      <c r="I260" s="140" t="str">
        <f>IFERROR(VLOOKUP($C260,'NEW MODEL BY SES'!$C$19:$R$242,MATCH('SeS in Retail Sales Areas'!I$7,'NEW MODEL BY SES'!$C$17:$R$17,0),0),"")</f>
        <v/>
      </c>
      <c r="J260" s="142" t="str">
        <f>IFERROR(VLOOKUP($C260,'NEW MODEL BY SES'!$C$19:$R$242,MATCH('SeS in Retail Sales Areas'!J$7,'NEW MODEL BY SES'!$C$17:$R$17,0),0),"")</f>
        <v/>
      </c>
      <c r="K260" s="140" t="str">
        <f>IFERROR(VLOOKUP($C260,'NEW MODEL BY SES'!$C$19:$R$242,MATCH('SeS in Retail Sales Areas'!K$7,'NEW MODEL BY SES'!$C$17:$R$17,0),0),"")</f>
        <v/>
      </c>
      <c r="L260" s="142" t="str">
        <f>IFERROR(VLOOKUP($C260,'NEW MODEL BY SES'!$C$19:$R$242,MATCH('SeS in Retail Sales Areas'!L$7,'NEW MODEL BY SES'!$C$17:$R$17,0),0),"")</f>
        <v/>
      </c>
      <c r="M260" s="140" t="str">
        <f>IFERROR(VLOOKUP($C260,'NEW MODEL BY SES'!$C$19:$R$242,MATCH('SeS in Retail Sales Areas'!M$7,'NEW MODEL BY SES'!$C$17:$R$17,0),0),"")</f>
        <v/>
      </c>
      <c r="N260" s="142" t="str">
        <f>IFERROR(VLOOKUP($C260,'NEW MODEL BY SES'!$C$19:$R$242,MATCH('SeS in Retail Sales Areas'!N$7,'NEW MODEL BY SES'!$C$17:$R$17,0),0),"")</f>
        <v/>
      </c>
      <c r="O260" s="140" t="str">
        <f>IFERROR(VLOOKUP($C260,'NEW MODEL BY SES'!$C$19:$R$242,MATCH('SeS in Retail Sales Areas'!O$7,'NEW MODEL BY SES'!$C$17:$R$17,0),0),"")</f>
        <v/>
      </c>
      <c r="P260" s="142" t="str">
        <f>IFERROR(VLOOKUP($C260,'NEW MODEL BY SES'!$C$19:$R$242,MATCH('SeS in Retail Sales Areas'!P$7,'NEW MODEL BY SES'!$C$17:$R$17,0),0),"")</f>
        <v/>
      </c>
      <c r="Q260" s="140" t="str">
        <f>IFERROR(VLOOKUP($C260,'NEW MODEL BY SES'!$C$19:$R$242,MATCH('SeS in Retail Sales Areas'!Q$7,'NEW MODEL BY SES'!$C$17:$R$17,0),0),"")</f>
        <v/>
      </c>
      <c r="R260" s="142" t="str">
        <f>IFERROR(VLOOKUP($C260,'NEW MODEL BY SES'!$C$19:$R$242,MATCH('SeS in Retail Sales Areas'!R$7,'NEW MODEL BY SES'!$C$17:$R$17,0),0),"")</f>
        <v/>
      </c>
      <c r="S260" s="141" t="str">
        <f>IFERROR(VLOOKUP($C260,'NEW MODEL BY SES'!$C$19:$R$242,MATCH('SeS in Retail Sales Areas'!S$7,'NEW MODEL BY SES'!$C$17:$R$17,0),0),"")</f>
        <v/>
      </c>
      <c r="T260" s="140" t="str">
        <f>IFERROR(VLOOKUP($C260,'NEW MODEL BY SES'!$C$19:$R$242,MATCH('SeS in Retail Sales Areas'!T$7,'NEW MODEL BY SES'!$C$17:$R$17,0),0),"")</f>
        <v/>
      </c>
      <c r="U260" s="142" t="str">
        <f>IFERROR(VLOOKUP($C260,'NEW MODEL BY SES'!$C$19:$R$242,MATCH('SeS in Retail Sales Areas'!U$7,'NEW MODEL BY SES'!$C$17:$R$17,0),0),"")</f>
        <v/>
      </c>
      <c r="V260" s="140" t="str">
        <f>IFERROR(VLOOKUP($C260,'NEW MODEL BY SES'!$C$19:$R$242,MATCH('SeS in Retail Sales Areas'!V$7,'NEW MODEL BY SES'!$C$17:$R$17,0),0),"")</f>
        <v/>
      </c>
      <c r="W260" s="141" t="str">
        <f>IFERROR(VLOOKUP($C260,'NEW MODEL BY SES'!$C$19:$R$242,MATCH('SeS in Retail Sales Areas'!W$7,'NEW MODEL BY SES'!$C$17:$R$17,0),0),"")</f>
        <v/>
      </c>
      <c r="X260" s="140" t="str">
        <f>IFERROR(VLOOKUP($C260,'NEW MODEL BY SES'!$C$19:$R$242,MATCH('SeS in Retail Sales Areas'!X$7,'NEW MODEL BY SES'!$C$17:$R$17,0),0),"")</f>
        <v/>
      </c>
      <c r="Z260" s="57"/>
    </row>
    <row r="261" spans="1:26">
      <c r="A261" t="s">
        <v>1174</v>
      </c>
      <c r="B261" s="57">
        <v>57</v>
      </c>
      <c r="C261" t="s">
        <v>1197</v>
      </c>
      <c r="D261" t="s">
        <v>44</v>
      </c>
      <c r="E261"/>
      <c r="F261" s="140" t="str">
        <f>IFERROR(VLOOKUP($C261,'NEW MODEL BY SES'!$C$19:$R$242,MATCH('SeS in Retail Sales Areas'!F$7,'NEW MODEL BY SES'!$C$17:$R$17,0),0),"")</f>
        <v/>
      </c>
      <c r="G261" s="140" t="str">
        <f>IFERROR(VLOOKUP($C261,'NEW MODEL BY SES'!$C$19:$R$242,MATCH('SeS in Retail Sales Areas'!G$7,'NEW MODEL BY SES'!$C$17:$R$17,0),0),"")</f>
        <v/>
      </c>
      <c r="H261" s="142" t="str">
        <f>IFERROR(VLOOKUP($C261,'NEW MODEL BY SES'!$C$19:$R$242,MATCH('SeS in Retail Sales Areas'!H$7,'NEW MODEL BY SES'!$C$17:$R$17,0),0),"")</f>
        <v/>
      </c>
      <c r="I261" s="140" t="str">
        <f>IFERROR(VLOOKUP($C261,'NEW MODEL BY SES'!$C$19:$R$242,MATCH('SeS in Retail Sales Areas'!I$7,'NEW MODEL BY SES'!$C$17:$R$17,0),0),"")</f>
        <v/>
      </c>
      <c r="J261" s="142" t="str">
        <f>IFERROR(VLOOKUP($C261,'NEW MODEL BY SES'!$C$19:$R$242,MATCH('SeS in Retail Sales Areas'!J$7,'NEW MODEL BY SES'!$C$17:$R$17,0),0),"")</f>
        <v/>
      </c>
      <c r="K261" s="140" t="str">
        <f>IFERROR(VLOOKUP($C261,'NEW MODEL BY SES'!$C$19:$R$242,MATCH('SeS in Retail Sales Areas'!K$7,'NEW MODEL BY SES'!$C$17:$R$17,0),0),"")</f>
        <v/>
      </c>
      <c r="L261" s="142" t="str">
        <f>IFERROR(VLOOKUP($C261,'NEW MODEL BY SES'!$C$19:$R$242,MATCH('SeS in Retail Sales Areas'!L$7,'NEW MODEL BY SES'!$C$17:$R$17,0),0),"")</f>
        <v/>
      </c>
      <c r="M261" s="140" t="str">
        <f>IFERROR(VLOOKUP($C261,'NEW MODEL BY SES'!$C$19:$R$242,MATCH('SeS in Retail Sales Areas'!M$7,'NEW MODEL BY SES'!$C$17:$R$17,0),0),"")</f>
        <v/>
      </c>
      <c r="N261" s="142" t="str">
        <f>IFERROR(VLOOKUP($C261,'NEW MODEL BY SES'!$C$19:$R$242,MATCH('SeS in Retail Sales Areas'!N$7,'NEW MODEL BY SES'!$C$17:$R$17,0),0),"")</f>
        <v/>
      </c>
      <c r="O261" s="140" t="str">
        <f>IFERROR(VLOOKUP($C261,'NEW MODEL BY SES'!$C$19:$R$242,MATCH('SeS in Retail Sales Areas'!O$7,'NEW MODEL BY SES'!$C$17:$R$17,0),0),"")</f>
        <v/>
      </c>
      <c r="P261" s="142" t="str">
        <f>IFERROR(VLOOKUP($C261,'NEW MODEL BY SES'!$C$19:$R$242,MATCH('SeS in Retail Sales Areas'!P$7,'NEW MODEL BY SES'!$C$17:$R$17,0),0),"")</f>
        <v/>
      </c>
      <c r="Q261" s="140" t="str">
        <f>IFERROR(VLOOKUP($C261,'NEW MODEL BY SES'!$C$19:$R$242,MATCH('SeS in Retail Sales Areas'!Q$7,'NEW MODEL BY SES'!$C$17:$R$17,0),0),"")</f>
        <v/>
      </c>
      <c r="R261" s="142" t="str">
        <f>IFERROR(VLOOKUP($C261,'NEW MODEL BY SES'!$C$19:$R$242,MATCH('SeS in Retail Sales Areas'!R$7,'NEW MODEL BY SES'!$C$17:$R$17,0),0),"")</f>
        <v/>
      </c>
      <c r="S261" s="141" t="str">
        <f>IFERROR(VLOOKUP($C261,'NEW MODEL BY SES'!$C$19:$R$242,MATCH('SeS in Retail Sales Areas'!S$7,'NEW MODEL BY SES'!$C$17:$R$17,0),0),"")</f>
        <v/>
      </c>
      <c r="T261" s="140" t="str">
        <f>IFERROR(VLOOKUP($C261,'NEW MODEL BY SES'!$C$19:$R$242,MATCH('SeS in Retail Sales Areas'!T$7,'NEW MODEL BY SES'!$C$17:$R$17,0),0),"")</f>
        <v/>
      </c>
      <c r="U261" s="142" t="str">
        <f>IFERROR(VLOOKUP($C261,'NEW MODEL BY SES'!$C$19:$R$242,MATCH('SeS in Retail Sales Areas'!U$7,'NEW MODEL BY SES'!$C$17:$R$17,0),0),"")</f>
        <v/>
      </c>
      <c r="V261" s="140" t="str">
        <f>IFERROR(VLOOKUP($C261,'NEW MODEL BY SES'!$C$19:$R$242,MATCH('SeS in Retail Sales Areas'!V$7,'NEW MODEL BY SES'!$C$17:$R$17,0),0),"")</f>
        <v/>
      </c>
      <c r="W261" s="141" t="str">
        <f>IFERROR(VLOOKUP($C261,'NEW MODEL BY SES'!$C$19:$R$242,MATCH('SeS in Retail Sales Areas'!W$7,'NEW MODEL BY SES'!$C$17:$R$17,0),0),"")</f>
        <v/>
      </c>
      <c r="X261" s="140" t="str">
        <f>IFERROR(VLOOKUP($C261,'NEW MODEL BY SES'!$C$19:$R$242,MATCH('SeS in Retail Sales Areas'!X$7,'NEW MODEL BY SES'!$C$17:$R$17,0),0),"")</f>
        <v/>
      </c>
      <c r="Z261" s="57"/>
    </row>
    <row r="262" spans="1:26">
      <c r="A262" t="s">
        <v>1174</v>
      </c>
      <c r="B262" s="57">
        <v>57</v>
      </c>
      <c r="C262" t="s">
        <v>1198</v>
      </c>
      <c r="D262" t="s">
        <v>44</v>
      </c>
      <c r="E262"/>
      <c r="F262" s="140" t="str">
        <f>IFERROR(VLOOKUP($C262,'NEW MODEL BY SES'!$C$19:$R$242,MATCH('SeS in Retail Sales Areas'!F$7,'NEW MODEL BY SES'!$C$17:$R$17,0),0),"")</f>
        <v/>
      </c>
      <c r="G262" s="140" t="str">
        <f>IFERROR(VLOOKUP($C262,'NEW MODEL BY SES'!$C$19:$R$242,MATCH('SeS in Retail Sales Areas'!G$7,'NEW MODEL BY SES'!$C$17:$R$17,0),0),"")</f>
        <v/>
      </c>
      <c r="H262" s="142" t="str">
        <f>IFERROR(VLOOKUP($C262,'NEW MODEL BY SES'!$C$19:$R$242,MATCH('SeS in Retail Sales Areas'!H$7,'NEW MODEL BY SES'!$C$17:$R$17,0),0),"")</f>
        <v/>
      </c>
      <c r="I262" s="140" t="str">
        <f>IFERROR(VLOOKUP($C262,'NEW MODEL BY SES'!$C$19:$R$242,MATCH('SeS in Retail Sales Areas'!I$7,'NEW MODEL BY SES'!$C$17:$R$17,0),0),"")</f>
        <v/>
      </c>
      <c r="J262" s="142" t="str">
        <f>IFERROR(VLOOKUP($C262,'NEW MODEL BY SES'!$C$19:$R$242,MATCH('SeS in Retail Sales Areas'!J$7,'NEW MODEL BY SES'!$C$17:$R$17,0),0),"")</f>
        <v/>
      </c>
      <c r="K262" s="140" t="str">
        <f>IFERROR(VLOOKUP($C262,'NEW MODEL BY SES'!$C$19:$R$242,MATCH('SeS in Retail Sales Areas'!K$7,'NEW MODEL BY SES'!$C$17:$R$17,0),0),"")</f>
        <v/>
      </c>
      <c r="L262" s="142" t="str">
        <f>IFERROR(VLOOKUP($C262,'NEW MODEL BY SES'!$C$19:$R$242,MATCH('SeS in Retail Sales Areas'!L$7,'NEW MODEL BY SES'!$C$17:$R$17,0),0),"")</f>
        <v/>
      </c>
      <c r="M262" s="140" t="str">
        <f>IFERROR(VLOOKUP($C262,'NEW MODEL BY SES'!$C$19:$R$242,MATCH('SeS in Retail Sales Areas'!M$7,'NEW MODEL BY SES'!$C$17:$R$17,0),0),"")</f>
        <v/>
      </c>
      <c r="N262" s="142" t="str">
        <f>IFERROR(VLOOKUP($C262,'NEW MODEL BY SES'!$C$19:$R$242,MATCH('SeS in Retail Sales Areas'!N$7,'NEW MODEL BY SES'!$C$17:$R$17,0),0),"")</f>
        <v/>
      </c>
      <c r="O262" s="140" t="str">
        <f>IFERROR(VLOOKUP($C262,'NEW MODEL BY SES'!$C$19:$R$242,MATCH('SeS in Retail Sales Areas'!O$7,'NEW MODEL BY SES'!$C$17:$R$17,0),0),"")</f>
        <v/>
      </c>
      <c r="P262" s="142" t="str">
        <f>IFERROR(VLOOKUP($C262,'NEW MODEL BY SES'!$C$19:$R$242,MATCH('SeS in Retail Sales Areas'!P$7,'NEW MODEL BY SES'!$C$17:$R$17,0),0),"")</f>
        <v/>
      </c>
      <c r="Q262" s="140" t="str">
        <f>IFERROR(VLOOKUP($C262,'NEW MODEL BY SES'!$C$19:$R$242,MATCH('SeS in Retail Sales Areas'!Q$7,'NEW MODEL BY SES'!$C$17:$R$17,0),0),"")</f>
        <v/>
      </c>
      <c r="R262" s="142" t="str">
        <f>IFERROR(VLOOKUP($C262,'NEW MODEL BY SES'!$C$19:$R$242,MATCH('SeS in Retail Sales Areas'!R$7,'NEW MODEL BY SES'!$C$17:$R$17,0),0),"")</f>
        <v/>
      </c>
      <c r="S262" s="141" t="str">
        <f>IFERROR(VLOOKUP($C262,'NEW MODEL BY SES'!$C$19:$R$242,MATCH('SeS in Retail Sales Areas'!S$7,'NEW MODEL BY SES'!$C$17:$R$17,0),0),"")</f>
        <v/>
      </c>
      <c r="T262" s="140" t="str">
        <f>IFERROR(VLOOKUP($C262,'NEW MODEL BY SES'!$C$19:$R$242,MATCH('SeS in Retail Sales Areas'!T$7,'NEW MODEL BY SES'!$C$17:$R$17,0),0),"")</f>
        <v/>
      </c>
      <c r="U262" s="142" t="str">
        <f>IFERROR(VLOOKUP($C262,'NEW MODEL BY SES'!$C$19:$R$242,MATCH('SeS in Retail Sales Areas'!U$7,'NEW MODEL BY SES'!$C$17:$R$17,0),0),"")</f>
        <v/>
      </c>
      <c r="V262" s="140" t="str">
        <f>IFERROR(VLOOKUP($C262,'NEW MODEL BY SES'!$C$19:$R$242,MATCH('SeS in Retail Sales Areas'!V$7,'NEW MODEL BY SES'!$C$17:$R$17,0),0),"")</f>
        <v/>
      </c>
      <c r="W262" s="141" t="str">
        <f>IFERROR(VLOOKUP($C262,'NEW MODEL BY SES'!$C$19:$R$242,MATCH('SeS in Retail Sales Areas'!W$7,'NEW MODEL BY SES'!$C$17:$R$17,0),0),"")</f>
        <v/>
      </c>
      <c r="X262" s="140" t="str">
        <f>IFERROR(VLOOKUP($C262,'NEW MODEL BY SES'!$C$19:$R$242,MATCH('SeS in Retail Sales Areas'!X$7,'NEW MODEL BY SES'!$C$17:$R$17,0),0),"")</f>
        <v/>
      </c>
      <c r="Z262" s="57"/>
    </row>
    <row r="263" spans="1:26">
      <c r="A263" t="s">
        <v>1174</v>
      </c>
      <c r="B263" s="57">
        <v>53</v>
      </c>
      <c r="C263" t="s">
        <v>1199</v>
      </c>
      <c r="D263" t="s">
        <v>44</v>
      </c>
      <c r="E263"/>
      <c r="F263" s="140" t="str">
        <f>IFERROR(VLOOKUP($C263,'NEW MODEL BY SES'!$C$19:$R$242,MATCH('SeS in Retail Sales Areas'!F$7,'NEW MODEL BY SES'!$C$17:$R$17,0),0),"")</f>
        <v/>
      </c>
      <c r="G263" s="140" t="str">
        <f>IFERROR(VLOOKUP($C263,'NEW MODEL BY SES'!$C$19:$R$242,MATCH('SeS in Retail Sales Areas'!G$7,'NEW MODEL BY SES'!$C$17:$R$17,0),0),"")</f>
        <v/>
      </c>
      <c r="H263" s="142" t="str">
        <f>IFERROR(VLOOKUP($C263,'NEW MODEL BY SES'!$C$19:$R$242,MATCH('SeS in Retail Sales Areas'!H$7,'NEW MODEL BY SES'!$C$17:$R$17,0),0),"")</f>
        <v/>
      </c>
      <c r="I263" s="140" t="str">
        <f>IFERROR(VLOOKUP($C263,'NEW MODEL BY SES'!$C$19:$R$242,MATCH('SeS in Retail Sales Areas'!I$7,'NEW MODEL BY SES'!$C$17:$R$17,0),0),"")</f>
        <v/>
      </c>
      <c r="J263" s="142" t="str">
        <f>IFERROR(VLOOKUP($C263,'NEW MODEL BY SES'!$C$19:$R$242,MATCH('SeS in Retail Sales Areas'!J$7,'NEW MODEL BY SES'!$C$17:$R$17,0),0),"")</f>
        <v/>
      </c>
      <c r="K263" s="140" t="str">
        <f>IFERROR(VLOOKUP($C263,'NEW MODEL BY SES'!$C$19:$R$242,MATCH('SeS in Retail Sales Areas'!K$7,'NEW MODEL BY SES'!$C$17:$R$17,0),0),"")</f>
        <v/>
      </c>
      <c r="L263" s="142" t="str">
        <f>IFERROR(VLOOKUP($C263,'NEW MODEL BY SES'!$C$19:$R$242,MATCH('SeS in Retail Sales Areas'!L$7,'NEW MODEL BY SES'!$C$17:$R$17,0),0),"")</f>
        <v/>
      </c>
      <c r="M263" s="140" t="str">
        <f>IFERROR(VLOOKUP($C263,'NEW MODEL BY SES'!$C$19:$R$242,MATCH('SeS in Retail Sales Areas'!M$7,'NEW MODEL BY SES'!$C$17:$R$17,0),0),"")</f>
        <v/>
      </c>
      <c r="N263" s="142" t="str">
        <f>IFERROR(VLOOKUP($C263,'NEW MODEL BY SES'!$C$19:$R$242,MATCH('SeS in Retail Sales Areas'!N$7,'NEW MODEL BY SES'!$C$17:$R$17,0),0),"")</f>
        <v/>
      </c>
      <c r="O263" s="140" t="str">
        <f>IFERROR(VLOOKUP($C263,'NEW MODEL BY SES'!$C$19:$R$242,MATCH('SeS in Retail Sales Areas'!O$7,'NEW MODEL BY SES'!$C$17:$R$17,0),0),"")</f>
        <v/>
      </c>
      <c r="P263" s="142" t="str">
        <f>IFERROR(VLOOKUP($C263,'NEW MODEL BY SES'!$C$19:$R$242,MATCH('SeS in Retail Sales Areas'!P$7,'NEW MODEL BY SES'!$C$17:$R$17,0),0),"")</f>
        <v/>
      </c>
      <c r="Q263" s="140" t="str">
        <f>IFERROR(VLOOKUP($C263,'NEW MODEL BY SES'!$C$19:$R$242,MATCH('SeS in Retail Sales Areas'!Q$7,'NEW MODEL BY SES'!$C$17:$R$17,0),0),"")</f>
        <v/>
      </c>
      <c r="R263" s="142" t="str">
        <f>IFERROR(VLOOKUP($C263,'NEW MODEL BY SES'!$C$19:$R$242,MATCH('SeS in Retail Sales Areas'!R$7,'NEW MODEL BY SES'!$C$17:$R$17,0),0),"")</f>
        <v/>
      </c>
      <c r="S263" s="141" t="str">
        <f>IFERROR(VLOOKUP($C263,'NEW MODEL BY SES'!$C$19:$R$242,MATCH('SeS in Retail Sales Areas'!S$7,'NEW MODEL BY SES'!$C$17:$R$17,0),0),"")</f>
        <v/>
      </c>
      <c r="T263" s="140" t="str">
        <f>IFERROR(VLOOKUP($C263,'NEW MODEL BY SES'!$C$19:$R$242,MATCH('SeS in Retail Sales Areas'!T$7,'NEW MODEL BY SES'!$C$17:$R$17,0),0),"")</f>
        <v/>
      </c>
      <c r="U263" s="142" t="str">
        <f>IFERROR(VLOOKUP($C263,'NEW MODEL BY SES'!$C$19:$R$242,MATCH('SeS in Retail Sales Areas'!U$7,'NEW MODEL BY SES'!$C$17:$R$17,0),0),"")</f>
        <v/>
      </c>
      <c r="V263" s="140" t="str">
        <f>IFERROR(VLOOKUP($C263,'NEW MODEL BY SES'!$C$19:$R$242,MATCH('SeS in Retail Sales Areas'!V$7,'NEW MODEL BY SES'!$C$17:$R$17,0),0),"")</f>
        <v/>
      </c>
      <c r="W263" s="141" t="str">
        <f>IFERROR(VLOOKUP($C263,'NEW MODEL BY SES'!$C$19:$R$242,MATCH('SeS in Retail Sales Areas'!W$7,'NEW MODEL BY SES'!$C$17:$R$17,0),0),"")</f>
        <v/>
      </c>
      <c r="X263" s="140" t="str">
        <f>IFERROR(VLOOKUP($C263,'NEW MODEL BY SES'!$C$19:$R$242,MATCH('SeS in Retail Sales Areas'!X$7,'NEW MODEL BY SES'!$C$17:$R$17,0),0),"")</f>
        <v/>
      </c>
      <c r="Z263" s="57"/>
    </row>
    <row r="264" spans="1:26">
      <c r="A264" t="s">
        <v>1174</v>
      </c>
      <c r="B264" s="57">
        <v>48</v>
      </c>
      <c r="C264" t="s">
        <v>1200</v>
      </c>
      <c r="D264" t="s">
        <v>44</v>
      </c>
      <c r="E264"/>
      <c r="F264" s="140" t="str">
        <f>IFERROR(VLOOKUP($C264,'NEW MODEL BY SES'!$C$19:$R$242,MATCH('SeS in Retail Sales Areas'!F$7,'NEW MODEL BY SES'!$C$17:$R$17,0),0),"")</f>
        <v/>
      </c>
      <c r="G264" s="140" t="str">
        <f>IFERROR(VLOOKUP($C264,'NEW MODEL BY SES'!$C$19:$R$242,MATCH('SeS in Retail Sales Areas'!G$7,'NEW MODEL BY SES'!$C$17:$R$17,0),0),"")</f>
        <v/>
      </c>
      <c r="H264" s="142" t="str">
        <f>IFERROR(VLOOKUP($C264,'NEW MODEL BY SES'!$C$19:$R$242,MATCH('SeS in Retail Sales Areas'!H$7,'NEW MODEL BY SES'!$C$17:$R$17,0),0),"")</f>
        <v/>
      </c>
      <c r="I264" s="140" t="str">
        <f>IFERROR(VLOOKUP($C264,'NEW MODEL BY SES'!$C$19:$R$242,MATCH('SeS in Retail Sales Areas'!I$7,'NEW MODEL BY SES'!$C$17:$R$17,0),0),"")</f>
        <v/>
      </c>
      <c r="J264" s="142" t="str">
        <f>IFERROR(VLOOKUP($C264,'NEW MODEL BY SES'!$C$19:$R$242,MATCH('SeS in Retail Sales Areas'!J$7,'NEW MODEL BY SES'!$C$17:$R$17,0),0),"")</f>
        <v/>
      </c>
      <c r="K264" s="140" t="str">
        <f>IFERROR(VLOOKUP($C264,'NEW MODEL BY SES'!$C$19:$R$242,MATCH('SeS in Retail Sales Areas'!K$7,'NEW MODEL BY SES'!$C$17:$R$17,0),0),"")</f>
        <v/>
      </c>
      <c r="L264" s="142" t="str">
        <f>IFERROR(VLOOKUP($C264,'NEW MODEL BY SES'!$C$19:$R$242,MATCH('SeS in Retail Sales Areas'!L$7,'NEW MODEL BY SES'!$C$17:$R$17,0),0),"")</f>
        <v/>
      </c>
      <c r="M264" s="140" t="str">
        <f>IFERROR(VLOOKUP($C264,'NEW MODEL BY SES'!$C$19:$R$242,MATCH('SeS in Retail Sales Areas'!M$7,'NEW MODEL BY SES'!$C$17:$R$17,0),0),"")</f>
        <v/>
      </c>
      <c r="N264" s="142" t="str">
        <f>IFERROR(VLOOKUP($C264,'NEW MODEL BY SES'!$C$19:$R$242,MATCH('SeS in Retail Sales Areas'!N$7,'NEW MODEL BY SES'!$C$17:$R$17,0),0),"")</f>
        <v/>
      </c>
      <c r="O264" s="140" t="str">
        <f>IFERROR(VLOOKUP($C264,'NEW MODEL BY SES'!$C$19:$R$242,MATCH('SeS in Retail Sales Areas'!O$7,'NEW MODEL BY SES'!$C$17:$R$17,0),0),"")</f>
        <v/>
      </c>
      <c r="P264" s="142" t="str">
        <f>IFERROR(VLOOKUP($C264,'NEW MODEL BY SES'!$C$19:$R$242,MATCH('SeS in Retail Sales Areas'!P$7,'NEW MODEL BY SES'!$C$17:$R$17,0),0),"")</f>
        <v/>
      </c>
      <c r="Q264" s="140" t="str">
        <f>IFERROR(VLOOKUP($C264,'NEW MODEL BY SES'!$C$19:$R$242,MATCH('SeS in Retail Sales Areas'!Q$7,'NEW MODEL BY SES'!$C$17:$R$17,0),0),"")</f>
        <v/>
      </c>
      <c r="R264" s="142" t="str">
        <f>IFERROR(VLOOKUP($C264,'NEW MODEL BY SES'!$C$19:$R$242,MATCH('SeS in Retail Sales Areas'!R$7,'NEW MODEL BY SES'!$C$17:$R$17,0),0),"")</f>
        <v/>
      </c>
      <c r="S264" s="141" t="str">
        <f>IFERROR(VLOOKUP($C264,'NEW MODEL BY SES'!$C$19:$R$242,MATCH('SeS in Retail Sales Areas'!S$7,'NEW MODEL BY SES'!$C$17:$R$17,0),0),"")</f>
        <v/>
      </c>
      <c r="T264" s="140" t="str">
        <f>IFERROR(VLOOKUP($C264,'NEW MODEL BY SES'!$C$19:$R$242,MATCH('SeS in Retail Sales Areas'!T$7,'NEW MODEL BY SES'!$C$17:$R$17,0),0),"")</f>
        <v/>
      </c>
      <c r="U264" s="142" t="str">
        <f>IFERROR(VLOOKUP($C264,'NEW MODEL BY SES'!$C$19:$R$242,MATCH('SeS in Retail Sales Areas'!U$7,'NEW MODEL BY SES'!$C$17:$R$17,0),0),"")</f>
        <v/>
      </c>
      <c r="V264" s="140" t="str">
        <f>IFERROR(VLOOKUP($C264,'NEW MODEL BY SES'!$C$19:$R$242,MATCH('SeS in Retail Sales Areas'!V$7,'NEW MODEL BY SES'!$C$17:$R$17,0),0),"")</f>
        <v/>
      </c>
      <c r="W264" s="141" t="str">
        <f>IFERROR(VLOOKUP($C264,'NEW MODEL BY SES'!$C$19:$R$242,MATCH('SeS in Retail Sales Areas'!W$7,'NEW MODEL BY SES'!$C$17:$R$17,0),0),"")</f>
        <v/>
      </c>
      <c r="X264" s="140" t="str">
        <f>IFERROR(VLOOKUP($C264,'NEW MODEL BY SES'!$C$19:$R$242,MATCH('SeS in Retail Sales Areas'!X$7,'NEW MODEL BY SES'!$C$17:$R$17,0),0),"")</f>
        <v/>
      </c>
      <c r="Z264" s="57"/>
    </row>
    <row r="265" spans="1:26">
      <c r="A265" t="s">
        <v>1201</v>
      </c>
      <c r="B265" s="57">
        <v>194</v>
      </c>
      <c r="C265" t="s">
        <v>1202</v>
      </c>
      <c r="D265" t="s">
        <v>33</v>
      </c>
      <c r="E265"/>
      <c r="F265" s="140" t="str">
        <f>IFERROR(VLOOKUP($C265,'NEW MODEL BY SES'!$C$19:$R$242,MATCH('SeS in Retail Sales Areas'!F$7,'NEW MODEL BY SES'!$C$17:$R$17,0),0),"")</f>
        <v/>
      </c>
      <c r="G265" s="140" t="str">
        <f>IFERROR(VLOOKUP($C265,'NEW MODEL BY SES'!$C$19:$R$242,MATCH('SeS in Retail Sales Areas'!G$7,'NEW MODEL BY SES'!$C$17:$R$17,0),0),"")</f>
        <v/>
      </c>
      <c r="H265" s="142" t="str">
        <f>IFERROR(VLOOKUP($C265,'NEW MODEL BY SES'!$C$19:$R$242,MATCH('SeS in Retail Sales Areas'!H$7,'NEW MODEL BY SES'!$C$17:$R$17,0),0),"")</f>
        <v/>
      </c>
      <c r="I265" s="140" t="str">
        <f>IFERROR(VLOOKUP($C265,'NEW MODEL BY SES'!$C$19:$R$242,MATCH('SeS in Retail Sales Areas'!I$7,'NEW MODEL BY SES'!$C$17:$R$17,0),0),"")</f>
        <v/>
      </c>
      <c r="J265" s="142" t="str">
        <f>IFERROR(VLOOKUP($C265,'NEW MODEL BY SES'!$C$19:$R$242,MATCH('SeS in Retail Sales Areas'!J$7,'NEW MODEL BY SES'!$C$17:$R$17,0),0),"")</f>
        <v/>
      </c>
      <c r="K265" s="140" t="str">
        <f>IFERROR(VLOOKUP($C265,'NEW MODEL BY SES'!$C$19:$R$242,MATCH('SeS in Retail Sales Areas'!K$7,'NEW MODEL BY SES'!$C$17:$R$17,0),0),"")</f>
        <v/>
      </c>
      <c r="L265" s="142" t="str">
        <f>IFERROR(VLOOKUP($C265,'NEW MODEL BY SES'!$C$19:$R$242,MATCH('SeS in Retail Sales Areas'!L$7,'NEW MODEL BY SES'!$C$17:$R$17,0),0),"")</f>
        <v/>
      </c>
      <c r="M265" s="140" t="str">
        <f>IFERROR(VLOOKUP($C265,'NEW MODEL BY SES'!$C$19:$R$242,MATCH('SeS in Retail Sales Areas'!M$7,'NEW MODEL BY SES'!$C$17:$R$17,0),0),"")</f>
        <v/>
      </c>
      <c r="N265" s="142" t="str">
        <f>IFERROR(VLOOKUP($C265,'NEW MODEL BY SES'!$C$19:$R$242,MATCH('SeS in Retail Sales Areas'!N$7,'NEW MODEL BY SES'!$C$17:$R$17,0),0),"")</f>
        <v/>
      </c>
      <c r="O265" s="140" t="str">
        <f>IFERROR(VLOOKUP($C265,'NEW MODEL BY SES'!$C$19:$R$242,MATCH('SeS in Retail Sales Areas'!O$7,'NEW MODEL BY SES'!$C$17:$R$17,0),0),"")</f>
        <v/>
      </c>
      <c r="P265" s="142" t="str">
        <f>IFERROR(VLOOKUP($C265,'NEW MODEL BY SES'!$C$19:$R$242,MATCH('SeS in Retail Sales Areas'!P$7,'NEW MODEL BY SES'!$C$17:$R$17,0),0),"")</f>
        <v/>
      </c>
      <c r="Q265" s="140" t="str">
        <f>IFERROR(VLOOKUP($C265,'NEW MODEL BY SES'!$C$19:$R$242,MATCH('SeS in Retail Sales Areas'!Q$7,'NEW MODEL BY SES'!$C$17:$R$17,0),0),"")</f>
        <v/>
      </c>
      <c r="R265" s="142" t="str">
        <f>IFERROR(VLOOKUP($C265,'NEW MODEL BY SES'!$C$19:$R$242,MATCH('SeS in Retail Sales Areas'!R$7,'NEW MODEL BY SES'!$C$17:$R$17,0),0),"")</f>
        <v/>
      </c>
      <c r="S265" s="141" t="str">
        <f>IFERROR(VLOOKUP($C265,'NEW MODEL BY SES'!$C$19:$R$242,MATCH('SeS in Retail Sales Areas'!S$7,'NEW MODEL BY SES'!$C$17:$R$17,0),0),"")</f>
        <v/>
      </c>
      <c r="T265" s="140" t="str">
        <f>IFERROR(VLOOKUP($C265,'NEW MODEL BY SES'!$C$19:$R$242,MATCH('SeS in Retail Sales Areas'!T$7,'NEW MODEL BY SES'!$C$17:$R$17,0),0),"")</f>
        <v/>
      </c>
      <c r="U265" s="142" t="str">
        <f>IFERROR(VLOOKUP($C265,'NEW MODEL BY SES'!$C$19:$R$242,MATCH('SeS in Retail Sales Areas'!U$7,'NEW MODEL BY SES'!$C$17:$R$17,0),0),"")</f>
        <v/>
      </c>
      <c r="V265" s="140" t="str">
        <f>IFERROR(VLOOKUP($C265,'NEW MODEL BY SES'!$C$19:$R$242,MATCH('SeS in Retail Sales Areas'!V$7,'NEW MODEL BY SES'!$C$17:$R$17,0),0),"")</f>
        <v/>
      </c>
      <c r="W265" s="141" t="str">
        <f>IFERROR(VLOOKUP($C265,'NEW MODEL BY SES'!$C$19:$R$242,MATCH('SeS in Retail Sales Areas'!W$7,'NEW MODEL BY SES'!$C$17:$R$17,0),0),"")</f>
        <v/>
      </c>
      <c r="X265" s="140" t="str">
        <f>IFERROR(VLOOKUP($C265,'NEW MODEL BY SES'!$C$19:$R$242,MATCH('SeS in Retail Sales Areas'!X$7,'NEW MODEL BY SES'!$C$17:$R$17,0),0),"")</f>
        <v/>
      </c>
      <c r="Z265" s="57"/>
    </row>
    <row r="266" spans="1:26">
      <c r="A266" t="s">
        <v>1201</v>
      </c>
      <c r="B266" s="57">
        <v>145</v>
      </c>
      <c r="C266" t="s">
        <v>1203</v>
      </c>
      <c r="D266" t="s">
        <v>38</v>
      </c>
      <c r="E266"/>
      <c r="F266" s="140" t="str">
        <f>IFERROR(VLOOKUP($C266,'NEW MODEL BY SES'!$C$19:$R$242,MATCH('SeS in Retail Sales Areas'!F$7,'NEW MODEL BY SES'!$C$17:$R$17,0),0),"")</f>
        <v/>
      </c>
      <c r="G266" s="140" t="str">
        <f>IFERROR(VLOOKUP($C266,'NEW MODEL BY SES'!$C$19:$R$242,MATCH('SeS in Retail Sales Areas'!G$7,'NEW MODEL BY SES'!$C$17:$R$17,0),0),"")</f>
        <v/>
      </c>
      <c r="H266" s="142" t="str">
        <f>IFERROR(VLOOKUP($C266,'NEW MODEL BY SES'!$C$19:$R$242,MATCH('SeS in Retail Sales Areas'!H$7,'NEW MODEL BY SES'!$C$17:$R$17,0),0),"")</f>
        <v/>
      </c>
      <c r="I266" s="140" t="str">
        <f>IFERROR(VLOOKUP($C266,'NEW MODEL BY SES'!$C$19:$R$242,MATCH('SeS in Retail Sales Areas'!I$7,'NEW MODEL BY SES'!$C$17:$R$17,0),0),"")</f>
        <v/>
      </c>
      <c r="J266" s="142" t="str">
        <f>IFERROR(VLOOKUP($C266,'NEW MODEL BY SES'!$C$19:$R$242,MATCH('SeS in Retail Sales Areas'!J$7,'NEW MODEL BY SES'!$C$17:$R$17,0),0),"")</f>
        <v/>
      </c>
      <c r="K266" s="140" t="str">
        <f>IFERROR(VLOOKUP($C266,'NEW MODEL BY SES'!$C$19:$R$242,MATCH('SeS in Retail Sales Areas'!K$7,'NEW MODEL BY SES'!$C$17:$R$17,0),0),"")</f>
        <v/>
      </c>
      <c r="L266" s="142" t="str">
        <f>IFERROR(VLOOKUP($C266,'NEW MODEL BY SES'!$C$19:$R$242,MATCH('SeS in Retail Sales Areas'!L$7,'NEW MODEL BY SES'!$C$17:$R$17,0),0),"")</f>
        <v/>
      </c>
      <c r="M266" s="140" t="str">
        <f>IFERROR(VLOOKUP($C266,'NEW MODEL BY SES'!$C$19:$R$242,MATCH('SeS in Retail Sales Areas'!M$7,'NEW MODEL BY SES'!$C$17:$R$17,0),0),"")</f>
        <v/>
      </c>
      <c r="N266" s="142" t="str">
        <f>IFERROR(VLOOKUP($C266,'NEW MODEL BY SES'!$C$19:$R$242,MATCH('SeS in Retail Sales Areas'!N$7,'NEW MODEL BY SES'!$C$17:$R$17,0),0),"")</f>
        <v/>
      </c>
      <c r="O266" s="140" t="str">
        <f>IFERROR(VLOOKUP($C266,'NEW MODEL BY SES'!$C$19:$R$242,MATCH('SeS in Retail Sales Areas'!O$7,'NEW MODEL BY SES'!$C$17:$R$17,0),0),"")</f>
        <v/>
      </c>
      <c r="P266" s="142" t="str">
        <f>IFERROR(VLOOKUP($C266,'NEW MODEL BY SES'!$C$19:$R$242,MATCH('SeS in Retail Sales Areas'!P$7,'NEW MODEL BY SES'!$C$17:$R$17,0),0),"")</f>
        <v/>
      </c>
      <c r="Q266" s="140" t="str">
        <f>IFERROR(VLOOKUP($C266,'NEW MODEL BY SES'!$C$19:$R$242,MATCH('SeS in Retail Sales Areas'!Q$7,'NEW MODEL BY SES'!$C$17:$R$17,0),0),"")</f>
        <v/>
      </c>
      <c r="R266" s="142" t="str">
        <f>IFERROR(VLOOKUP($C266,'NEW MODEL BY SES'!$C$19:$R$242,MATCH('SeS in Retail Sales Areas'!R$7,'NEW MODEL BY SES'!$C$17:$R$17,0),0),"")</f>
        <v/>
      </c>
      <c r="S266" s="141" t="str">
        <f>IFERROR(VLOOKUP($C266,'NEW MODEL BY SES'!$C$19:$R$242,MATCH('SeS in Retail Sales Areas'!S$7,'NEW MODEL BY SES'!$C$17:$R$17,0),0),"")</f>
        <v/>
      </c>
      <c r="T266" s="140" t="str">
        <f>IFERROR(VLOOKUP($C266,'NEW MODEL BY SES'!$C$19:$R$242,MATCH('SeS in Retail Sales Areas'!T$7,'NEW MODEL BY SES'!$C$17:$R$17,0),0),"")</f>
        <v/>
      </c>
      <c r="U266" s="142" t="str">
        <f>IFERROR(VLOOKUP($C266,'NEW MODEL BY SES'!$C$19:$R$242,MATCH('SeS in Retail Sales Areas'!U$7,'NEW MODEL BY SES'!$C$17:$R$17,0),0),"")</f>
        <v/>
      </c>
      <c r="V266" s="140" t="str">
        <f>IFERROR(VLOOKUP($C266,'NEW MODEL BY SES'!$C$19:$R$242,MATCH('SeS in Retail Sales Areas'!V$7,'NEW MODEL BY SES'!$C$17:$R$17,0),0),"")</f>
        <v/>
      </c>
      <c r="W266" s="141" t="str">
        <f>IFERROR(VLOOKUP($C266,'NEW MODEL BY SES'!$C$19:$R$242,MATCH('SeS in Retail Sales Areas'!W$7,'NEW MODEL BY SES'!$C$17:$R$17,0),0),"")</f>
        <v/>
      </c>
      <c r="X266" s="140" t="str">
        <f>IFERROR(VLOOKUP($C266,'NEW MODEL BY SES'!$C$19:$R$242,MATCH('SeS in Retail Sales Areas'!X$7,'NEW MODEL BY SES'!$C$17:$R$17,0),0),"")</f>
        <v/>
      </c>
      <c r="Z266" s="57"/>
    </row>
    <row r="267" spans="1:26">
      <c r="A267" t="s">
        <v>1201</v>
      </c>
      <c r="B267" s="57">
        <v>143</v>
      </c>
      <c r="C267" t="s">
        <v>1204</v>
      </c>
      <c r="D267" t="s">
        <v>38</v>
      </c>
      <c r="E267"/>
      <c r="F267" s="140" t="str">
        <f>IFERROR(VLOOKUP($C267,'NEW MODEL BY SES'!$C$19:$R$242,MATCH('SeS in Retail Sales Areas'!F$7,'NEW MODEL BY SES'!$C$17:$R$17,0),0),"")</f>
        <v/>
      </c>
      <c r="G267" s="140" t="str">
        <f>IFERROR(VLOOKUP($C267,'NEW MODEL BY SES'!$C$19:$R$242,MATCH('SeS in Retail Sales Areas'!G$7,'NEW MODEL BY SES'!$C$17:$R$17,0),0),"")</f>
        <v/>
      </c>
      <c r="H267" s="142" t="str">
        <f>IFERROR(VLOOKUP($C267,'NEW MODEL BY SES'!$C$19:$R$242,MATCH('SeS in Retail Sales Areas'!H$7,'NEW MODEL BY SES'!$C$17:$R$17,0),0),"")</f>
        <v/>
      </c>
      <c r="I267" s="140" t="str">
        <f>IFERROR(VLOOKUP($C267,'NEW MODEL BY SES'!$C$19:$R$242,MATCH('SeS in Retail Sales Areas'!I$7,'NEW MODEL BY SES'!$C$17:$R$17,0),0),"")</f>
        <v/>
      </c>
      <c r="J267" s="142" t="str">
        <f>IFERROR(VLOOKUP($C267,'NEW MODEL BY SES'!$C$19:$R$242,MATCH('SeS in Retail Sales Areas'!J$7,'NEW MODEL BY SES'!$C$17:$R$17,0),0),"")</f>
        <v/>
      </c>
      <c r="K267" s="140" t="str">
        <f>IFERROR(VLOOKUP($C267,'NEW MODEL BY SES'!$C$19:$R$242,MATCH('SeS in Retail Sales Areas'!K$7,'NEW MODEL BY SES'!$C$17:$R$17,0),0),"")</f>
        <v/>
      </c>
      <c r="L267" s="142" t="str">
        <f>IFERROR(VLOOKUP($C267,'NEW MODEL BY SES'!$C$19:$R$242,MATCH('SeS in Retail Sales Areas'!L$7,'NEW MODEL BY SES'!$C$17:$R$17,0),0),"")</f>
        <v/>
      </c>
      <c r="M267" s="140" t="str">
        <f>IFERROR(VLOOKUP($C267,'NEW MODEL BY SES'!$C$19:$R$242,MATCH('SeS in Retail Sales Areas'!M$7,'NEW MODEL BY SES'!$C$17:$R$17,0),0),"")</f>
        <v/>
      </c>
      <c r="N267" s="142" t="str">
        <f>IFERROR(VLOOKUP($C267,'NEW MODEL BY SES'!$C$19:$R$242,MATCH('SeS in Retail Sales Areas'!N$7,'NEW MODEL BY SES'!$C$17:$R$17,0),0),"")</f>
        <v/>
      </c>
      <c r="O267" s="140" t="str">
        <f>IFERROR(VLOOKUP($C267,'NEW MODEL BY SES'!$C$19:$R$242,MATCH('SeS in Retail Sales Areas'!O$7,'NEW MODEL BY SES'!$C$17:$R$17,0),0),"")</f>
        <v/>
      </c>
      <c r="P267" s="142" t="str">
        <f>IFERROR(VLOOKUP($C267,'NEW MODEL BY SES'!$C$19:$R$242,MATCH('SeS in Retail Sales Areas'!P$7,'NEW MODEL BY SES'!$C$17:$R$17,0),0),"")</f>
        <v/>
      </c>
      <c r="Q267" s="140" t="str">
        <f>IFERROR(VLOOKUP($C267,'NEW MODEL BY SES'!$C$19:$R$242,MATCH('SeS in Retail Sales Areas'!Q$7,'NEW MODEL BY SES'!$C$17:$R$17,0),0),"")</f>
        <v/>
      </c>
      <c r="R267" s="142" t="str">
        <f>IFERROR(VLOOKUP($C267,'NEW MODEL BY SES'!$C$19:$R$242,MATCH('SeS in Retail Sales Areas'!R$7,'NEW MODEL BY SES'!$C$17:$R$17,0),0),"")</f>
        <v/>
      </c>
      <c r="S267" s="141" t="str">
        <f>IFERROR(VLOOKUP($C267,'NEW MODEL BY SES'!$C$19:$R$242,MATCH('SeS in Retail Sales Areas'!S$7,'NEW MODEL BY SES'!$C$17:$R$17,0),0),"")</f>
        <v/>
      </c>
      <c r="T267" s="140" t="str">
        <f>IFERROR(VLOOKUP($C267,'NEW MODEL BY SES'!$C$19:$R$242,MATCH('SeS in Retail Sales Areas'!T$7,'NEW MODEL BY SES'!$C$17:$R$17,0),0),"")</f>
        <v/>
      </c>
      <c r="U267" s="142" t="str">
        <f>IFERROR(VLOOKUP($C267,'NEW MODEL BY SES'!$C$19:$R$242,MATCH('SeS in Retail Sales Areas'!U$7,'NEW MODEL BY SES'!$C$17:$R$17,0),0),"")</f>
        <v/>
      </c>
      <c r="V267" s="140" t="str">
        <f>IFERROR(VLOOKUP($C267,'NEW MODEL BY SES'!$C$19:$R$242,MATCH('SeS in Retail Sales Areas'!V$7,'NEW MODEL BY SES'!$C$17:$R$17,0),0),"")</f>
        <v/>
      </c>
      <c r="W267" s="141" t="str">
        <f>IFERROR(VLOOKUP($C267,'NEW MODEL BY SES'!$C$19:$R$242,MATCH('SeS in Retail Sales Areas'!W$7,'NEW MODEL BY SES'!$C$17:$R$17,0),0),"")</f>
        <v/>
      </c>
      <c r="X267" s="140" t="str">
        <f>IFERROR(VLOOKUP($C267,'NEW MODEL BY SES'!$C$19:$R$242,MATCH('SeS in Retail Sales Areas'!X$7,'NEW MODEL BY SES'!$C$17:$R$17,0),0),"")</f>
        <v/>
      </c>
      <c r="Z267" s="57"/>
    </row>
    <row r="268" spans="1:26">
      <c r="A268" t="s">
        <v>1201</v>
      </c>
      <c r="B268" s="57">
        <v>143</v>
      </c>
      <c r="C268" t="s">
        <v>1205</v>
      </c>
      <c r="D268" t="s">
        <v>38</v>
      </c>
      <c r="E268"/>
      <c r="F268" s="140" t="str">
        <f>IFERROR(VLOOKUP($C268,'NEW MODEL BY SES'!$C$19:$R$242,MATCH('SeS in Retail Sales Areas'!F$7,'NEW MODEL BY SES'!$C$17:$R$17,0),0),"")</f>
        <v/>
      </c>
      <c r="G268" s="140" t="str">
        <f>IFERROR(VLOOKUP($C268,'NEW MODEL BY SES'!$C$19:$R$242,MATCH('SeS in Retail Sales Areas'!G$7,'NEW MODEL BY SES'!$C$17:$R$17,0),0),"")</f>
        <v/>
      </c>
      <c r="H268" s="142" t="str">
        <f>IFERROR(VLOOKUP($C268,'NEW MODEL BY SES'!$C$19:$R$242,MATCH('SeS in Retail Sales Areas'!H$7,'NEW MODEL BY SES'!$C$17:$R$17,0),0),"")</f>
        <v/>
      </c>
      <c r="I268" s="140" t="str">
        <f>IFERROR(VLOOKUP($C268,'NEW MODEL BY SES'!$C$19:$R$242,MATCH('SeS in Retail Sales Areas'!I$7,'NEW MODEL BY SES'!$C$17:$R$17,0),0),"")</f>
        <v/>
      </c>
      <c r="J268" s="142" t="str">
        <f>IFERROR(VLOOKUP($C268,'NEW MODEL BY SES'!$C$19:$R$242,MATCH('SeS in Retail Sales Areas'!J$7,'NEW MODEL BY SES'!$C$17:$R$17,0),0),"")</f>
        <v/>
      </c>
      <c r="K268" s="140" t="str">
        <f>IFERROR(VLOOKUP($C268,'NEW MODEL BY SES'!$C$19:$R$242,MATCH('SeS in Retail Sales Areas'!K$7,'NEW MODEL BY SES'!$C$17:$R$17,0),0),"")</f>
        <v/>
      </c>
      <c r="L268" s="142" t="str">
        <f>IFERROR(VLOOKUP($C268,'NEW MODEL BY SES'!$C$19:$R$242,MATCH('SeS in Retail Sales Areas'!L$7,'NEW MODEL BY SES'!$C$17:$R$17,0),0),"")</f>
        <v/>
      </c>
      <c r="M268" s="140" t="str">
        <f>IFERROR(VLOOKUP($C268,'NEW MODEL BY SES'!$C$19:$R$242,MATCH('SeS in Retail Sales Areas'!M$7,'NEW MODEL BY SES'!$C$17:$R$17,0),0),"")</f>
        <v/>
      </c>
      <c r="N268" s="142" t="str">
        <f>IFERROR(VLOOKUP($C268,'NEW MODEL BY SES'!$C$19:$R$242,MATCH('SeS in Retail Sales Areas'!N$7,'NEW MODEL BY SES'!$C$17:$R$17,0),0),"")</f>
        <v/>
      </c>
      <c r="O268" s="140" t="str">
        <f>IFERROR(VLOOKUP($C268,'NEW MODEL BY SES'!$C$19:$R$242,MATCH('SeS in Retail Sales Areas'!O$7,'NEW MODEL BY SES'!$C$17:$R$17,0),0),"")</f>
        <v/>
      </c>
      <c r="P268" s="142" t="str">
        <f>IFERROR(VLOOKUP($C268,'NEW MODEL BY SES'!$C$19:$R$242,MATCH('SeS in Retail Sales Areas'!P$7,'NEW MODEL BY SES'!$C$17:$R$17,0),0),"")</f>
        <v/>
      </c>
      <c r="Q268" s="140" t="str">
        <f>IFERROR(VLOOKUP($C268,'NEW MODEL BY SES'!$C$19:$R$242,MATCH('SeS in Retail Sales Areas'!Q$7,'NEW MODEL BY SES'!$C$17:$R$17,0),0),"")</f>
        <v/>
      </c>
      <c r="R268" s="142" t="str">
        <f>IFERROR(VLOOKUP($C268,'NEW MODEL BY SES'!$C$19:$R$242,MATCH('SeS in Retail Sales Areas'!R$7,'NEW MODEL BY SES'!$C$17:$R$17,0),0),"")</f>
        <v/>
      </c>
      <c r="S268" s="141" t="str">
        <f>IFERROR(VLOOKUP($C268,'NEW MODEL BY SES'!$C$19:$R$242,MATCH('SeS in Retail Sales Areas'!S$7,'NEW MODEL BY SES'!$C$17:$R$17,0),0),"")</f>
        <v/>
      </c>
      <c r="T268" s="140" t="str">
        <f>IFERROR(VLOOKUP($C268,'NEW MODEL BY SES'!$C$19:$R$242,MATCH('SeS in Retail Sales Areas'!T$7,'NEW MODEL BY SES'!$C$17:$R$17,0),0),"")</f>
        <v/>
      </c>
      <c r="U268" s="142" t="str">
        <f>IFERROR(VLOOKUP($C268,'NEW MODEL BY SES'!$C$19:$R$242,MATCH('SeS in Retail Sales Areas'!U$7,'NEW MODEL BY SES'!$C$17:$R$17,0),0),"")</f>
        <v/>
      </c>
      <c r="V268" s="140" t="str">
        <f>IFERROR(VLOOKUP($C268,'NEW MODEL BY SES'!$C$19:$R$242,MATCH('SeS in Retail Sales Areas'!V$7,'NEW MODEL BY SES'!$C$17:$R$17,0),0),"")</f>
        <v/>
      </c>
      <c r="W268" s="141" t="str">
        <f>IFERROR(VLOOKUP($C268,'NEW MODEL BY SES'!$C$19:$R$242,MATCH('SeS in Retail Sales Areas'!W$7,'NEW MODEL BY SES'!$C$17:$R$17,0),0),"")</f>
        <v/>
      </c>
      <c r="X268" s="140" t="str">
        <f>IFERROR(VLOOKUP($C268,'NEW MODEL BY SES'!$C$19:$R$242,MATCH('SeS in Retail Sales Areas'!X$7,'NEW MODEL BY SES'!$C$17:$R$17,0),0),"")</f>
        <v/>
      </c>
      <c r="Z268" s="57"/>
    </row>
    <row r="269" spans="1:26">
      <c r="A269" t="s">
        <v>1201</v>
      </c>
      <c r="B269" s="57">
        <v>127</v>
      </c>
      <c r="C269" t="s">
        <v>1206</v>
      </c>
      <c r="D269" t="s">
        <v>38</v>
      </c>
      <c r="E269"/>
      <c r="F269" s="140" t="str">
        <f>IFERROR(VLOOKUP($C269,'NEW MODEL BY SES'!$C$19:$R$242,MATCH('SeS in Retail Sales Areas'!F$7,'NEW MODEL BY SES'!$C$17:$R$17,0),0),"")</f>
        <v/>
      </c>
      <c r="G269" s="140" t="str">
        <f>IFERROR(VLOOKUP($C269,'NEW MODEL BY SES'!$C$19:$R$242,MATCH('SeS in Retail Sales Areas'!G$7,'NEW MODEL BY SES'!$C$17:$R$17,0),0),"")</f>
        <v/>
      </c>
      <c r="H269" s="142" t="str">
        <f>IFERROR(VLOOKUP($C269,'NEW MODEL BY SES'!$C$19:$R$242,MATCH('SeS in Retail Sales Areas'!H$7,'NEW MODEL BY SES'!$C$17:$R$17,0),0),"")</f>
        <v/>
      </c>
      <c r="I269" s="140" t="str">
        <f>IFERROR(VLOOKUP($C269,'NEW MODEL BY SES'!$C$19:$R$242,MATCH('SeS in Retail Sales Areas'!I$7,'NEW MODEL BY SES'!$C$17:$R$17,0),0),"")</f>
        <v/>
      </c>
      <c r="J269" s="142" t="str">
        <f>IFERROR(VLOOKUP($C269,'NEW MODEL BY SES'!$C$19:$R$242,MATCH('SeS in Retail Sales Areas'!J$7,'NEW MODEL BY SES'!$C$17:$R$17,0),0),"")</f>
        <v/>
      </c>
      <c r="K269" s="140" t="str">
        <f>IFERROR(VLOOKUP($C269,'NEW MODEL BY SES'!$C$19:$R$242,MATCH('SeS in Retail Sales Areas'!K$7,'NEW MODEL BY SES'!$C$17:$R$17,0),0),"")</f>
        <v/>
      </c>
      <c r="L269" s="142" t="str">
        <f>IFERROR(VLOOKUP($C269,'NEW MODEL BY SES'!$C$19:$R$242,MATCH('SeS in Retail Sales Areas'!L$7,'NEW MODEL BY SES'!$C$17:$R$17,0),0),"")</f>
        <v/>
      </c>
      <c r="M269" s="140" t="str">
        <f>IFERROR(VLOOKUP($C269,'NEW MODEL BY SES'!$C$19:$R$242,MATCH('SeS in Retail Sales Areas'!M$7,'NEW MODEL BY SES'!$C$17:$R$17,0),0),"")</f>
        <v/>
      </c>
      <c r="N269" s="142" t="str">
        <f>IFERROR(VLOOKUP($C269,'NEW MODEL BY SES'!$C$19:$R$242,MATCH('SeS in Retail Sales Areas'!N$7,'NEW MODEL BY SES'!$C$17:$R$17,0),0),"")</f>
        <v/>
      </c>
      <c r="O269" s="140" t="str">
        <f>IFERROR(VLOOKUP($C269,'NEW MODEL BY SES'!$C$19:$R$242,MATCH('SeS in Retail Sales Areas'!O$7,'NEW MODEL BY SES'!$C$17:$R$17,0),0),"")</f>
        <v/>
      </c>
      <c r="P269" s="142" t="str">
        <f>IFERROR(VLOOKUP($C269,'NEW MODEL BY SES'!$C$19:$R$242,MATCH('SeS in Retail Sales Areas'!P$7,'NEW MODEL BY SES'!$C$17:$R$17,0),0),"")</f>
        <v/>
      </c>
      <c r="Q269" s="140" t="str">
        <f>IFERROR(VLOOKUP($C269,'NEW MODEL BY SES'!$C$19:$R$242,MATCH('SeS in Retail Sales Areas'!Q$7,'NEW MODEL BY SES'!$C$17:$R$17,0),0),"")</f>
        <v/>
      </c>
      <c r="R269" s="142" t="str">
        <f>IFERROR(VLOOKUP($C269,'NEW MODEL BY SES'!$C$19:$R$242,MATCH('SeS in Retail Sales Areas'!R$7,'NEW MODEL BY SES'!$C$17:$R$17,0),0),"")</f>
        <v/>
      </c>
      <c r="S269" s="141" t="str">
        <f>IFERROR(VLOOKUP($C269,'NEW MODEL BY SES'!$C$19:$R$242,MATCH('SeS in Retail Sales Areas'!S$7,'NEW MODEL BY SES'!$C$17:$R$17,0),0),"")</f>
        <v/>
      </c>
      <c r="T269" s="140" t="str">
        <f>IFERROR(VLOOKUP($C269,'NEW MODEL BY SES'!$C$19:$R$242,MATCH('SeS in Retail Sales Areas'!T$7,'NEW MODEL BY SES'!$C$17:$R$17,0),0),"")</f>
        <v/>
      </c>
      <c r="U269" s="142" t="str">
        <f>IFERROR(VLOOKUP($C269,'NEW MODEL BY SES'!$C$19:$R$242,MATCH('SeS in Retail Sales Areas'!U$7,'NEW MODEL BY SES'!$C$17:$R$17,0),0),"")</f>
        <v/>
      </c>
      <c r="V269" s="140" t="str">
        <f>IFERROR(VLOOKUP($C269,'NEW MODEL BY SES'!$C$19:$R$242,MATCH('SeS in Retail Sales Areas'!V$7,'NEW MODEL BY SES'!$C$17:$R$17,0),0),"")</f>
        <v/>
      </c>
      <c r="W269" s="141" t="str">
        <f>IFERROR(VLOOKUP($C269,'NEW MODEL BY SES'!$C$19:$R$242,MATCH('SeS in Retail Sales Areas'!W$7,'NEW MODEL BY SES'!$C$17:$R$17,0),0),"")</f>
        <v/>
      </c>
      <c r="X269" s="140" t="str">
        <f>IFERROR(VLOOKUP($C269,'NEW MODEL BY SES'!$C$19:$R$242,MATCH('SeS in Retail Sales Areas'!X$7,'NEW MODEL BY SES'!$C$17:$R$17,0),0),"")</f>
        <v/>
      </c>
      <c r="Z269" s="57"/>
    </row>
    <row r="270" spans="1:26">
      <c r="A270" t="s">
        <v>1201</v>
      </c>
      <c r="B270" s="57">
        <v>124</v>
      </c>
      <c r="C270" t="s">
        <v>1207</v>
      </c>
      <c r="D270" t="s">
        <v>38</v>
      </c>
      <c r="E270"/>
      <c r="F270" s="140" t="str">
        <f>IFERROR(VLOOKUP($C270,'NEW MODEL BY SES'!$C$19:$R$242,MATCH('SeS in Retail Sales Areas'!F$7,'NEW MODEL BY SES'!$C$17:$R$17,0),0),"")</f>
        <v/>
      </c>
      <c r="G270" s="140" t="str">
        <f>IFERROR(VLOOKUP($C270,'NEW MODEL BY SES'!$C$19:$R$242,MATCH('SeS in Retail Sales Areas'!G$7,'NEW MODEL BY SES'!$C$17:$R$17,0),0),"")</f>
        <v/>
      </c>
      <c r="H270" s="142" t="str">
        <f>IFERROR(VLOOKUP($C270,'NEW MODEL BY SES'!$C$19:$R$242,MATCH('SeS in Retail Sales Areas'!H$7,'NEW MODEL BY SES'!$C$17:$R$17,0),0),"")</f>
        <v/>
      </c>
      <c r="I270" s="140" t="str">
        <f>IFERROR(VLOOKUP($C270,'NEW MODEL BY SES'!$C$19:$R$242,MATCH('SeS in Retail Sales Areas'!I$7,'NEW MODEL BY SES'!$C$17:$R$17,0),0),"")</f>
        <v/>
      </c>
      <c r="J270" s="142" t="str">
        <f>IFERROR(VLOOKUP($C270,'NEW MODEL BY SES'!$C$19:$R$242,MATCH('SeS in Retail Sales Areas'!J$7,'NEW MODEL BY SES'!$C$17:$R$17,0),0),"")</f>
        <v/>
      </c>
      <c r="K270" s="140" t="str">
        <f>IFERROR(VLOOKUP($C270,'NEW MODEL BY SES'!$C$19:$R$242,MATCH('SeS in Retail Sales Areas'!K$7,'NEW MODEL BY SES'!$C$17:$R$17,0),0),"")</f>
        <v/>
      </c>
      <c r="L270" s="142" t="str">
        <f>IFERROR(VLOOKUP($C270,'NEW MODEL BY SES'!$C$19:$R$242,MATCH('SeS in Retail Sales Areas'!L$7,'NEW MODEL BY SES'!$C$17:$R$17,0),0),"")</f>
        <v/>
      </c>
      <c r="M270" s="140" t="str">
        <f>IFERROR(VLOOKUP($C270,'NEW MODEL BY SES'!$C$19:$R$242,MATCH('SeS in Retail Sales Areas'!M$7,'NEW MODEL BY SES'!$C$17:$R$17,0),0),"")</f>
        <v/>
      </c>
      <c r="N270" s="142" t="str">
        <f>IFERROR(VLOOKUP($C270,'NEW MODEL BY SES'!$C$19:$R$242,MATCH('SeS in Retail Sales Areas'!N$7,'NEW MODEL BY SES'!$C$17:$R$17,0),0),"")</f>
        <v/>
      </c>
      <c r="O270" s="140" t="str">
        <f>IFERROR(VLOOKUP($C270,'NEW MODEL BY SES'!$C$19:$R$242,MATCH('SeS in Retail Sales Areas'!O$7,'NEW MODEL BY SES'!$C$17:$R$17,0),0),"")</f>
        <v/>
      </c>
      <c r="P270" s="142" t="str">
        <f>IFERROR(VLOOKUP($C270,'NEW MODEL BY SES'!$C$19:$R$242,MATCH('SeS in Retail Sales Areas'!P$7,'NEW MODEL BY SES'!$C$17:$R$17,0),0),"")</f>
        <v/>
      </c>
      <c r="Q270" s="140" t="str">
        <f>IFERROR(VLOOKUP($C270,'NEW MODEL BY SES'!$C$19:$R$242,MATCH('SeS in Retail Sales Areas'!Q$7,'NEW MODEL BY SES'!$C$17:$R$17,0),0),"")</f>
        <v/>
      </c>
      <c r="R270" s="142" t="str">
        <f>IFERROR(VLOOKUP($C270,'NEW MODEL BY SES'!$C$19:$R$242,MATCH('SeS in Retail Sales Areas'!R$7,'NEW MODEL BY SES'!$C$17:$R$17,0),0),"")</f>
        <v/>
      </c>
      <c r="S270" s="141" t="str">
        <f>IFERROR(VLOOKUP($C270,'NEW MODEL BY SES'!$C$19:$R$242,MATCH('SeS in Retail Sales Areas'!S$7,'NEW MODEL BY SES'!$C$17:$R$17,0),0),"")</f>
        <v/>
      </c>
      <c r="T270" s="140" t="str">
        <f>IFERROR(VLOOKUP($C270,'NEW MODEL BY SES'!$C$19:$R$242,MATCH('SeS in Retail Sales Areas'!T$7,'NEW MODEL BY SES'!$C$17:$R$17,0),0),"")</f>
        <v/>
      </c>
      <c r="U270" s="142" t="str">
        <f>IFERROR(VLOOKUP($C270,'NEW MODEL BY SES'!$C$19:$R$242,MATCH('SeS in Retail Sales Areas'!U$7,'NEW MODEL BY SES'!$C$17:$R$17,0),0),"")</f>
        <v/>
      </c>
      <c r="V270" s="140" t="str">
        <f>IFERROR(VLOOKUP($C270,'NEW MODEL BY SES'!$C$19:$R$242,MATCH('SeS in Retail Sales Areas'!V$7,'NEW MODEL BY SES'!$C$17:$R$17,0),0),"")</f>
        <v/>
      </c>
      <c r="W270" s="141" t="str">
        <f>IFERROR(VLOOKUP($C270,'NEW MODEL BY SES'!$C$19:$R$242,MATCH('SeS in Retail Sales Areas'!W$7,'NEW MODEL BY SES'!$C$17:$R$17,0),0),"")</f>
        <v/>
      </c>
      <c r="X270" s="140" t="str">
        <f>IFERROR(VLOOKUP($C270,'NEW MODEL BY SES'!$C$19:$R$242,MATCH('SeS in Retail Sales Areas'!X$7,'NEW MODEL BY SES'!$C$17:$R$17,0),0),"")</f>
        <v/>
      </c>
      <c r="Z270" s="57"/>
    </row>
    <row r="271" spans="1:26">
      <c r="A271" t="s">
        <v>1201</v>
      </c>
      <c r="B271" s="57">
        <v>112</v>
      </c>
      <c r="C271" t="s">
        <v>1208</v>
      </c>
      <c r="D271" t="s">
        <v>40</v>
      </c>
      <c r="E271"/>
      <c r="F271" s="140" t="str">
        <f>IFERROR(VLOOKUP($C271,'NEW MODEL BY SES'!$C$19:$R$242,MATCH('SeS in Retail Sales Areas'!F$7,'NEW MODEL BY SES'!$C$17:$R$17,0),0),"")</f>
        <v/>
      </c>
      <c r="G271" s="140" t="str">
        <f>IFERROR(VLOOKUP($C271,'NEW MODEL BY SES'!$C$19:$R$242,MATCH('SeS in Retail Sales Areas'!G$7,'NEW MODEL BY SES'!$C$17:$R$17,0),0),"")</f>
        <v/>
      </c>
      <c r="H271" s="142" t="str">
        <f>IFERROR(VLOOKUP($C271,'NEW MODEL BY SES'!$C$19:$R$242,MATCH('SeS in Retail Sales Areas'!H$7,'NEW MODEL BY SES'!$C$17:$R$17,0),0),"")</f>
        <v/>
      </c>
      <c r="I271" s="140" t="str">
        <f>IFERROR(VLOOKUP($C271,'NEW MODEL BY SES'!$C$19:$R$242,MATCH('SeS in Retail Sales Areas'!I$7,'NEW MODEL BY SES'!$C$17:$R$17,0),0),"")</f>
        <v/>
      </c>
      <c r="J271" s="142" t="str">
        <f>IFERROR(VLOOKUP($C271,'NEW MODEL BY SES'!$C$19:$R$242,MATCH('SeS in Retail Sales Areas'!J$7,'NEW MODEL BY SES'!$C$17:$R$17,0),0),"")</f>
        <v/>
      </c>
      <c r="K271" s="140" t="str">
        <f>IFERROR(VLOOKUP($C271,'NEW MODEL BY SES'!$C$19:$R$242,MATCH('SeS in Retail Sales Areas'!K$7,'NEW MODEL BY SES'!$C$17:$R$17,0),0),"")</f>
        <v/>
      </c>
      <c r="L271" s="142" t="str">
        <f>IFERROR(VLOOKUP($C271,'NEW MODEL BY SES'!$C$19:$R$242,MATCH('SeS in Retail Sales Areas'!L$7,'NEW MODEL BY SES'!$C$17:$R$17,0),0),"")</f>
        <v/>
      </c>
      <c r="M271" s="140" t="str">
        <f>IFERROR(VLOOKUP($C271,'NEW MODEL BY SES'!$C$19:$R$242,MATCH('SeS in Retail Sales Areas'!M$7,'NEW MODEL BY SES'!$C$17:$R$17,0),0),"")</f>
        <v/>
      </c>
      <c r="N271" s="142" t="str">
        <f>IFERROR(VLOOKUP($C271,'NEW MODEL BY SES'!$C$19:$R$242,MATCH('SeS in Retail Sales Areas'!N$7,'NEW MODEL BY SES'!$C$17:$R$17,0),0),"")</f>
        <v/>
      </c>
      <c r="O271" s="140" t="str">
        <f>IFERROR(VLOOKUP($C271,'NEW MODEL BY SES'!$C$19:$R$242,MATCH('SeS in Retail Sales Areas'!O$7,'NEW MODEL BY SES'!$C$17:$R$17,0),0),"")</f>
        <v/>
      </c>
      <c r="P271" s="142" t="str">
        <f>IFERROR(VLOOKUP($C271,'NEW MODEL BY SES'!$C$19:$R$242,MATCH('SeS in Retail Sales Areas'!P$7,'NEW MODEL BY SES'!$C$17:$R$17,0),0),"")</f>
        <v/>
      </c>
      <c r="Q271" s="140" t="str">
        <f>IFERROR(VLOOKUP($C271,'NEW MODEL BY SES'!$C$19:$R$242,MATCH('SeS in Retail Sales Areas'!Q$7,'NEW MODEL BY SES'!$C$17:$R$17,0),0),"")</f>
        <v/>
      </c>
      <c r="R271" s="142" t="str">
        <f>IFERROR(VLOOKUP($C271,'NEW MODEL BY SES'!$C$19:$R$242,MATCH('SeS in Retail Sales Areas'!R$7,'NEW MODEL BY SES'!$C$17:$R$17,0),0),"")</f>
        <v/>
      </c>
      <c r="S271" s="141" t="str">
        <f>IFERROR(VLOOKUP($C271,'NEW MODEL BY SES'!$C$19:$R$242,MATCH('SeS in Retail Sales Areas'!S$7,'NEW MODEL BY SES'!$C$17:$R$17,0),0),"")</f>
        <v/>
      </c>
      <c r="T271" s="140" t="str">
        <f>IFERROR(VLOOKUP($C271,'NEW MODEL BY SES'!$C$19:$R$242,MATCH('SeS in Retail Sales Areas'!T$7,'NEW MODEL BY SES'!$C$17:$R$17,0),0),"")</f>
        <v/>
      </c>
      <c r="U271" s="142" t="str">
        <f>IFERROR(VLOOKUP($C271,'NEW MODEL BY SES'!$C$19:$R$242,MATCH('SeS in Retail Sales Areas'!U$7,'NEW MODEL BY SES'!$C$17:$R$17,0),0),"")</f>
        <v/>
      </c>
      <c r="V271" s="140" t="str">
        <f>IFERROR(VLOOKUP($C271,'NEW MODEL BY SES'!$C$19:$R$242,MATCH('SeS in Retail Sales Areas'!V$7,'NEW MODEL BY SES'!$C$17:$R$17,0),0),"")</f>
        <v/>
      </c>
      <c r="W271" s="141" t="str">
        <f>IFERROR(VLOOKUP($C271,'NEW MODEL BY SES'!$C$19:$R$242,MATCH('SeS in Retail Sales Areas'!W$7,'NEW MODEL BY SES'!$C$17:$R$17,0),0),"")</f>
        <v/>
      </c>
      <c r="X271" s="140" t="str">
        <f>IFERROR(VLOOKUP($C271,'NEW MODEL BY SES'!$C$19:$R$242,MATCH('SeS in Retail Sales Areas'!X$7,'NEW MODEL BY SES'!$C$17:$R$17,0),0),"")</f>
        <v/>
      </c>
      <c r="Z271" s="57"/>
    </row>
    <row r="272" spans="1:26">
      <c r="A272" t="s">
        <v>1201</v>
      </c>
      <c r="B272" s="57">
        <v>103</v>
      </c>
      <c r="C272" t="s">
        <v>1209</v>
      </c>
      <c r="D272" t="s">
        <v>40</v>
      </c>
      <c r="E272"/>
      <c r="F272" s="140" t="str">
        <f>IFERROR(VLOOKUP($C272,'NEW MODEL BY SES'!$C$19:$R$242,MATCH('SeS in Retail Sales Areas'!F$7,'NEW MODEL BY SES'!$C$17:$R$17,0),0),"")</f>
        <v/>
      </c>
      <c r="G272" s="140" t="str">
        <f>IFERROR(VLOOKUP($C272,'NEW MODEL BY SES'!$C$19:$R$242,MATCH('SeS in Retail Sales Areas'!G$7,'NEW MODEL BY SES'!$C$17:$R$17,0),0),"")</f>
        <v/>
      </c>
      <c r="H272" s="142" t="str">
        <f>IFERROR(VLOOKUP($C272,'NEW MODEL BY SES'!$C$19:$R$242,MATCH('SeS in Retail Sales Areas'!H$7,'NEW MODEL BY SES'!$C$17:$R$17,0),0),"")</f>
        <v/>
      </c>
      <c r="I272" s="140" t="str">
        <f>IFERROR(VLOOKUP($C272,'NEW MODEL BY SES'!$C$19:$R$242,MATCH('SeS in Retail Sales Areas'!I$7,'NEW MODEL BY SES'!$C$17:$R$17,0),0),"")</f>
        <v/>
      </c>
      <c r="J272" s="142" t="str">
        <f>IFERROR(VLOOKUP($C272,'NEW MODEL BY SES'!$C$19:$R$242,MATCH('SeS in Retail Sales Areas'!J$7,'NEW MODEL BY SES'!$C$17:$R$17,0),0),"")</f>
        <v/>
      </c>
      <c r="K272" s="140" t="str">
        <f>IFERROR(VLOOKUP($C272,'NEW MODEL BY SES'!$C$19:$R$242,MATCH('SeS in Retail Sales Areas'!K$7,'NEW MODEL BY SES'!$C$17:$R$17,0),0),"")</f>
        <v/>
      </c>
      <c r="L272" s="142" t="str">
        <f>IFERROR(VLOOKUP($C272,'NEW MODEL BY SES'!$C$19:$R$242,MATCH('SeS in Retail Sales Areas'!L$7,'NEW MODEL BY SES'!$C$17:$R$17,0),0),"")</f>
        <v/>
      </c>
      <c r="M272" s="140" t="str">
        <f>IFERROR(VLOOKUP($C272,'NEW MODEL BY SES'!$C$19:$R$242,MATCH('SeS in Retail Sales Areas'!M$7,'NEW MODEL BY SES'!$C$17:$R$17,0),0),"")</f>
        <v/>
      </c>
      <c r="N272" s="142" t="str">
        <f>IFERROR(VLOOKUP($C272,'NEW MODEL BY SES'!$C$19:$R$242,MATCH('SeS in Retail Sales Areas'!N$7,'NEW MODEL BY SES'!$C$17:$R$17,0),0),"")</f>
        <v/>
      </c>
      <c r="O272" s="140" t="str">
        <f>IFERROR(VLOOKUP($C272,'NEW MODEL BY SES'!$C$19:$R$242,MATCH('SeS in Retail Sales Areas'!O$7,'NEW MODEL BY SES'!$C$17:$R$17,0),0),"")</f>
        <v/>
      </c>
      <c r="P272" s="142" t="str">
        <f>IFERROR(VLOOKUP($C272,'NEW MODEL BY SES'!$C$19:$R$242,MATCH('SeS in Retail Sales Areas'!P$7,'NEW MODEL BY SES'!$C$17:$R$17,0),0),"")</f>
        <v/>
      </c>
      <c r="Q272" s="140" t="str">
        <f>IFERROR(VLOOKUP($C272,'NEW MODEL BY SES'!$C$19:$R$242,MATCH('SeS in Retail Sales Areas'!Q$7,'NEW MODEL BY SES'!$C$17:$R$17,0),0),"")</f>
        <v/>
      </c>
      <c r="R272" s="142" t="str">
        <f>IFERROR(VLOOKUP($C272,'NEW MODEL BY SES'!$C$19:$R$242,MATCH('SeS in Retail Sales Areas'!R$7,'NEW MODEL BY SES'!$C$17:$R$17,0),0),"")</f>
        <v/>
      </c>
      <c r="S272" s="141" t="str">
        <f>IFERROR(VLOOKUP($C272,'NEW MODEL BY SES'!$C$19:$R$242,MATCH('SeS in Retail Sales Areas'!S$7,'NEW MODEL BY SES'!$C$17:$R$17,0),0),"")</f>
        <v/>
      </c>
      <c r="T272" s="140" t="str">
        <f>IFERROR(VLOOKUP($C272,'NEW MODEL BY SES'!$C$19:$R$242,MATCH('SeS in Retail Sales Areas'!T$7,'NEW MODEL BY SES'!$C$17:$R$17,0),0),"")</f>
        <v/>
      </c>
      <c r="U272" s="142" t="str">
        <f>IFERROR(VLOOKUP($C272,'NEW MODEL BY SES'!$C$19:$R$242,MATCH('SeS in Retail Sales Areas'!U$7,'NEW MODEL BY SES'!$C$17:$R$17,0),0),"")</f>
        <v/>
      </c>
      <c r="V272" s="140" t="str">
        <f>IFERROR(VLOOKUP($C272,'NEW MODEL BY SES'!$C$19:$R$242,MATCH('SeS in Retail Sales Areas'!V$7,'NEW MODEL BY SES'!$C$17:$R$17,0),0),"")</f>
        <v/>
      </c>
      <c r="W272" s="141" t="str">
        <f>IFERROR(VLOOKUP($C272,'NEW MODEL BY SES'!$C$19:$R$242,MATCH('SeS in Retail Sales Areas'!W$7,'NEW MODEL BY SES'!$C$17:$R$17,0),0),"")</f>
        <v/>
      </c>
      <c r="X272" s="140" t="str">
        <f>IFERROR(VLOOKUP($C272,'NEW MODEL BY SES'!$C$19:$R$242,MATCH('SeS in Retail Sales Areas'!X$7,'NEW MODEL BY SES'!$C$17:$R$17,0),0),"")</f>
        <v/>
      </c>
      <c r="Z272" s="57"/>
    </row>
    <row r="273" spans="1:26">
      <c r="A273" t="s">
        <v>1201</v>
      </c>
      <c r="B273" s="57">
        <v>102</v>
      </c>
      <c r="C273" t="s">
        <v>1210</v>
      </c>
      <c r="D273" t="s">
        <v>40</v>
      </c>
      <c r="E273"/>
      <c r="F273" s="140" t="str">
        <f>IFERROR(VLOOKUP($C273,'NEW MODEL BY SES'!$C$19:$R$242,MATCH('SeS in Retail Sales Areas'!F$7,'NEW MODEL BY SES'!$C$17:$R$17,0),0),"")</f>
        <v/>
      </c>
      <c r="G273" s="140" t="str">
        <f>IFERROR(VLOOKUP($C273,'NEW MODEL BY SES'!$C$19:$R$242,MATCH('SeS in Retail Sales Areas'!G$7,'NEW MODEL BY SES'!$C$17:$R$17,0),0),"")</f>
        <v/>
      </c>
      <c r="H273" s="142" t="str">
        <f>IFERROR(VLOOKUP($C273,'NEW MODEL BY SES'!$C$19:$R$242,MATCH('SeS in Retail Sales Areas'!H$7,'NEW MODEL BY SES'!$C$17:$R$17,0),0),"")</f>
        <v/>
      </c>
      <c r="I273" s="140" t="str">
        <f>IFERROR(VLOOKUP($C273,'NEW MODEL BY SES'!$C$19:$R$242,MATCH('SeS in Retail Sales Areas'!I$7,'NEW MODEL BY SES'!$C$17:$R$17,0),0),"")</f>
        <v/>
      </c>
      <c r="J273" s="142" t="str">
        <f>IFERROR(VLOOKUP($C273,'NEW MODEL BY SES'!$C$19:$R$242,MATCH('SeS in Retail Sales Areas'!J$7,'NEW MODEL BY SES'!$C$17:$R$17,0),0),"")</f>
        <v/>
      </c>
      <c r="K273" s="140" t="str">
        <f>IFERROR(VLOOKUP($C273,'NEW MODEL BY SES'!$C$19:$R$242,MATCH('SeS in Retail Sales Areas'!K$7,'NEW MODEL BY SES'!$C$17:$R$17,0),0),"")</f>
        <v/>
      </c>
      <c r="L273" s="142" t="str">
        <f>IFERROR(VLOOKUP($C273,'NEW MODEL BY SES'!$C$19:$R$242,MATCH('SeS in Retail Sales Areas'!L$7,'NEW MODEL BY SES'!$C$17:$R$17,0),0),"")</f>
        <v/>
      </c>
      <c r="M273" s="140" t="str">
        <f>IFERROR(VLOOKUP($C273,'NEW MODEL BY SES'!$C$19:$R$242,MATCH('SeS in Retail Sales Areas'!M$7,'NEW MODEL BY SES'!$C$17:$R$17,0),0),"")</f>
        <v/>
      </c>
      <c r="N273" s="142" t="str">
        <f>IFERROR(VLOOKUP($C273,'NEW MODEL BY SES'!$C$19:$R$242,MATCH('SeS in Retail Sales Areas'!N$7,'NEW MODEL BY SES'!$C$17:$R$17,0),0),"")</f>
        <v/>
      </c>
      <c r="O273" s="140" t="str">
        <f>IFERROR(VLOOKUP($C273,'NEW MODEL BY SES'!$C$19:$R$242,MATCH('SeS in Retail Sales Areas'!O$7,'NEW MODEL BY SES'!$C$17:$R$17,0),0),"")</f>
        <v/>
      </c>
      <c r="P273" s="142" t="str">
        <f>IFERROR(VLOOKUP($C273,'NEW MODEL BY SES'!$C$19:$R$242,MATCH('SeS in Retail Sales Areas'!P$7,'NEW MODEL BY SES'!$C$17:$R$17,0),0),"")</f>
        <v/>
      </c>
      <c r="Q273" s="140" t="str">
        <f>IFERROR(VLOOKUP($C273,'NEW MODEL BY SES'!$C$19:$R$242,MATCH('SeS in Retail Sales Areas'!Q$7,'NEW MODEL BY SES'!$C$17:$R$17,0),0),"")</f>
        <v/>
      </c>
      <c r="R273" s="142" t="str">
        <f>IFERROR(VLOOKUP($C273,'NEW MODEL BY SES'!$C$19:$R$242,MATCH('SeS in Retail Sales Areas'!R$7,'NEW MODEL BY SES'!$C$17:$R$17,0),0),"")</f>
        <v/>
      </c>
      <c r="S273" s="141" t="str">
        <f>IFERROR(VLOOKUP($C273,'NEW MODEL BY SES'!$C$19:$R$242,MATCH('SeS in Retail Sales Areas'!S$7,'NEW MODEL BY SES'!$C$17:$R$17,0),0),"")</f>
        <v/>
      </c>
      <c r="T273" s="140" t="str">
        <f>IFERROR(VLOOKUP($C273,'NEW MODEL BY SES'!$C$19:$R$242,MATCH('SeS in Retail Sales Areas'!T$7,'NEW MODEL BY SES'!$C$17:$R$17,0),0),"")</f>
        <v/>
      </c>
      <c r="U273" s="142" t="str">
        <f>IFERROR(VLOOKUP($C273,'NEW MODEL BY SES'!$C$19:$R$242,MATCH('SeS in Retail Sales Areas'!U$7,'NEW MODEL BY SES'!$C$17:$R$17,0),0),"")</f>
        <v/>
      </c>
      <c r="V273" s="140" t="str">
        <f>IFERROR(VLOOKUP($C273,'NEW MODEL BY SES'!$C$19:$R$242,MATCH('SeS in Retail Sales Areas'!V$7,'NEW MODEL BY SES'!$C$17:$R$17,0),0),"")</f>
        <v/>
      </c>
      <c r="W273" s="141" t="str">
        <f>IFERROR(VLOOKUP($C273,'NEW MODEL BY SES'!$C$19:$R$242,MATCH('SeS in Retail Sales Areas'!W$7,'NEW MODEL BY SES'!$C$17:$R$17,0),0),"")</f>
        <v/>
      </c>
      <c r="X273" s="140" t="str">
        <f>IFERROR(VLOOKUP($C273,'NEW MODEL BY SES'!$C$19:$R$242,MATCH('SeS in Retail Sales Areas'!X$7,'NEW MODEL BY SES'!$C$17:$R$17,0),0),"")</f>
        <v/>
      </c>
      <c r="Z273" s="57"/>
    </row>
    <row r="274" spans="1:26">
      <c r="A274" t="s">
        <v>1201</v>
      </c>
      <c r="B274" s="57">
        <v>99</v>
      </c>
      <c r="C274" t="s">
        <v>1211</v>
      </c>
      <c r="D274" t="s">
        <v>40</v>
      </c>
      <c r="E274"/>
      <c r="F274" s="140" t="str">
        <f>IFERROR(VLOOKUP($C274,'NEW MODEL BY SES'!$C$19:$R$242,MATCH('SeS in Retail Sales Areas'!F$7,'NEW MODEL BY SES'!$C$17:$R$17,0),0),"")</f>
        <v/>
      </c>
      <c r="G274" s="140" t="str">
        <f>IFERROR(VLOOKUP($C274,'NEW MODEL BY SES'!$C$19:$R$242,MATCH('SeS in Retail Sales Areas'!G$7,'NEW MODEL BY SES'!$C$17:$R$17,0),0),"")</f>
        <v/>
      </c>
      <c r="H274" s="142" t="str">
        <f>IFERROR(VLOOKUP($C274,'NEW MODEL BY SES'!$C$19:$R$242,MATCH('SeS in Retail Sales Areas'!H$7,'NEW MODEL BY SES'!$C$17:$R$17,0),0),"")</f>
        <v/>
      </c>
      <c r="I274" s="140" t="str">
        <f>IFERROR(VLOOKUP($C274,'NEW MODEL BY SES'!$C$19:$R$242,MATCH('SeS in Retail Sales Areas'!I$7,'NEW MODEL BY SES'!$C$17:$R$17,0),0),"")</f>
        <v/>
      </c>
      <c r="J274" s="142" t="str">
        <f>IFERROR(VLOOKUP($C274,'NEW MODEL BY SES'!$C$19:$R$242,MATCH('SeS in Retail Sales Areas'!J$7,'NEW MODEL BY SES'!$C$17:$R$17,0),0),"")</f>
        <v/>
      </c>
      <c r="K274" s="140" t="str">
        <f>IFERROR(VLOOKUP($C274,'NEW MODEL BY SES'!$C$19:$R$242,MATCH('SeS in Retail Sales Areas'!K$7,'NEW MODEL BY SES'!$C$17:$R$17,0),0),"")</f>
        <v/>
      </c>
      <c r="L274" s="142" t="str">
        <f>IFERROR(VLOOKUP($C274,'NEW MODEL BY SES'!$C$19:$R$242,MATCH('SeS in Retail Sales Areas'!L$7,'NEW MODEL BY SES'!$C$17:$R$17,0),0),"")</f>
        <v/>
      </c>
      <c r="M274" s="140" t="str">
        <f>IFERROR(VLOOKUP($C274,'NEW MODEL BY SES'!$C$19:$R$242,MATCH('SeS in Retail Sales Areas'!M$7,'NEW MODEL BY SES'!$C$17:$R$17,0),0),"")</f>
        <v/>
      </c>
      <c r="N274" s="142" t="str">
        <f>IFERROR(VLOOKUP($C274,'NEW MODEL BY SES'!$C$19:$R$242,MATCH('SeS in Retail Sales Areas'!N$7,'NEW MODEL BY SES'!$C$17:$R$17,0),0),"")</f>
        <v/>
      </c>
      <c r="O274" s="140" t="str">
        <f>IFERROR(VLOOKUP($C274,'NEW MODEL BY SES'!$C$19:$R$242,MATCH('SeS in Retail Sales Areas'!O$7,'NEW MODEL BY SES'!$C$17:$R$17,0),0),"")</f>
        <v/>
      </c>
      <c r="P274" s="142" t="str">
        <f>IFERROR(VLOOKUP($C274,'NEW MODEL BY SES'!$C$19:$R$242,MATCH('SeS in Retail Sales Areas'!P$7,'NEW MODEL BY SES'!$C$17:$R$17,0),0),"")</f>
        <v/>
      </c>
      <c r="Q274" s="140" t="str">
        <f>IFERROR(VLOOKUP($C274,'NEW MODEL BY SES'!$C$19:$R$242,MATCH('SeS in Retail Sales Areas'!Q$7,'NEW MODEL BY SES'!$C$17:$R$17,0),0),"")</f>
        <v/>
      </c>
      <c r="R274" s="142" t="str">
        <f>IFERROR(VLOOKUP($C274,'NEW MODEL BY SES'!$C$19:$R$242,MATCH('SeS in Retail Sales Areas'!R$7,'NEW MODEL BY SES'!$C$17:$R$17,0),0),"")</f>
        <v/>
      </c>
      <c r="S274" s="141" t="str">
        <f>IFERROR(VLOOKUP($C274,'NEW MODEL BY SES'!$C$19:$R$242,MATCH('SeS in Retail Sales Areas'!S$7,'NEW MODEL BY SES'!$C$17:$R$17,0),0),"")</f>
        <v/>
      </c>
      <c r="T274" s="140" t="str">
        <f>IFERROR(VLOOKUP($C274,'NEW MODEL BY SES'!$C$19:$R$242,MATCH('SeS in Retail Sales Areas'!T$7,'NEW MODEL BY SES'!$C$17:$R$17,0),0),"")</f>
        <v/>
      </c>
      <c r="U274" s="142" t="str">
        <f>IFERROR(VLOOKUP($C274,'NEW MODEL BY SES'!$C$19:$R$242,MATCH('SeS in Retail Sales Areas'!U$7,'NEW MODEL BY SES'!$C$17:$R$17,0),0),"")</f>
        <v/>
      </c>
      <c r="V274" s="140" t="str">
        <f>IFERROR(VLOOKUP($C274,'NEW MODEL BY SES'!$C$19:$R$242,MATCH('SeS in Retail Sales Areas'!V$7,'NEW MODEL BY SES'!$C$17:$R$17,0),0),"")</f>
        <v/>
      </c>
      <c r="W274" s="141" t="str">
        <f>IFERROR(VLOOKUP($C274,'NEW MODEL BY SES'!$C$19:$R$242,MATCH('SeS in Retail Sales Areas'!W$7,'NEW MODEL BY SES'!$C$17:$R$17,0),0),"")</f>
        <v/>
      </c>
      <c r="X274" s="140" t="str">
        <f>IFERROR(VLOOKUP($C274,'NEW MODEL BY SES'!$C$19:$R$242,MATCH('SeS in Retail Sales Areas'!X$7,'NEW MODEL BY SES'!$C$17:$R$17,0),0),"")</f>
        <v/>
      </c>
      <c r="Z274" s="57"/>
    </row>
    <row r="275" spans="1:26">
      <c r="A275" t="s">
        <v>1201</v>
      </c>
      <c r="B275" s="57">
        <v>97</v>
      </c>
      <c r="C275" t="s">
        <v>1212</v>
      </c>
      <c r="D275" t="s">
        <v>40</v>
      </c>
      <c r="E275"/>
      <c r="F275" s="140" t="str">
        <f>IFERROR(VLOOKUP($C275,'NEW MODEL BY SES'!$C$19:$R$242,MATCH('SeS in Retail Sales Areas'!F$7,'NEW MODEL BY SES'!$C$17:$R$17,0),0),"")</f>
        <v/>
      </c>
      <c r="G275" s="140" t="str">
        <f>IFERROR(VLOOKUP($C275,'NEW MODEL BY SES'!$C$19:$R$242,MATCH('SeS in Retail Sales Areas'!G$7,'NEW MODEL BY SES'!$C$17:$R$17,0),0),"")</f>
        <v/>
      </c>
      <c r="H275" s="142" t="str">
        <f>IFERROR(VLOOKUP($C275,'NEW MODEL BY SES'!$C$19:$R$242,MATCH('SeS in Retail Sales Areas'!H$7,'NEW MODEL BY SES'!$C$17:$R$17,0),0),"")</f>
        <v/>
      </c>
      <c r="I275" s="140" t="str">
        <f>IFERROR(VLOOKUP($C275,'NEW MODEL BY SES'!$C$19:$R$242,MATCH('SeS in Retail Sales Areas'!I$7,'NEW MODEL BY SES'!$C$17:$R$17,0),0),"")</f>
        <v/>
      </c>
      <c r="J275" s="142" t="str">
        <f>IFERROR(VLOOKUP($C275,'NEW MODEL BY SES'!$C$19:$R$242,MATCH('SeS in Retail Sales Areas'!J$7,'NEW MODEL BY SES'!$C$17:$R$17,0),0),"")</f>
        <v/>
      </c>
      <c r="K275" s="140" t="str">
        <f>IFERROR(VLOOKUP($C275,'NEW MODEL BY SES'!$C$19:$R$242,MATCH('SeS in Retail Sales Areas'!K$7,'NEW MODEL BY SES'!$C$17:$R$17,0),0),"")</f>
        <v/>
      </c>
      <c r="L275" s="142" t="str">
        <f>IFERROR(VLOOKUP($C275,'NEW MODEL BY SES'!$C$19:$R$242,MATCH('SeS in Retail Sales Areas'!L$7,'NEW MODEL BY SES'!$C$17:$R$17,0),0),"")</f>
        <v/>
      </c>
      <c r="M275" s="140" t="str">
        <f>IFERROR(VLOOKUP($C275,'NEW MODEL BY SES'!$C$19:$R$242,MATCH('SeS in Retail Sales Areas'!M$7,'NEW MODEL BY SES'!$C$17:$R$17,0),0),"")</f>
        <v/>
      </c>
      <c r="N275" s="142" t="str">
        <f>IFERROR(VLOOKUP($C275,'NEW MODEL BY SES'!$C$19:$R$242,MATCH('SeS in Retail Sales Areas'!N$7,'NEW MODEL BY SES'!$C$17:$R$17,0),0),"")</f>
        <v/>
      </c>
      <c r="O275" s="140" t="str">
        <f>IFERROR(VLOOKUP($C275,'NEW MODEL BY SES'!$C$19:$R$242,MATCH('SeS in Retail Sales Areas'!O$7,'NEW MODEL BY SES'!$C$17:$R$17,0),0),"")</f>
        <v/>
      </c>
      <c r="P275" s="142" t="str">
        <f>IFERROR(VLOOKUP($C275,'NEW MODEL BY SES'!$C$19:$R$242,MATCH('SeS in Retail Sales Areas'!P$7,'NEW MODEL BY SES'!$C$17:$R$17,0),0),"")</f>
        <v/>
      </c>
      <c r="Q275" s="140" t="str">
        <f>IFERROR(VLOOKUP($C275,'NEW MODEL BY SES'!$C$19:$R$242,MATCH('SeS in Retail Sales Areas'!Q$7,'NEW MODEL BY SES'!$C$17:$R$17,0),0),"")</f>
        <v/>
      </c>
      <c r="R275" s="142" t="str">
        <f>IFERROR(VLOOKUP($C275,'NEW MODEL BY SES'!$C$19:$R$242,MATCH('SeS in Retail Sales Areas'!R$7,'NEW MODEL BY SES'!$C$17:$R$17,0),0),"")</f>
        <v/>
      </c>
      <c r="S275" s="141" t="str">
        <f>IFERROR(VLOOKUP($C275,'NEW MODEL BY SES'!$C$19:$R$242,MATCH('SeS in Retail Sales Areas'!S$7,'NEW MODEL BY SES'!$C$17:$R$17,0),0),"")</f>
        <v/>
      </c>
      <c r="T275" s="140" t="str">
        <f>IFERROR(VLOOKUP($C275,'NEW MODEL BY SES'!$C$19:$R$242,MATCH('SeS in Retail Sales Areas'!T$7,'NEW MODEL BY SES'!$C$17:$R$17,0),0),"")</f>
        <v/>
      </c>
      <c r="U275" s="142" t="str">
        <f>IFERROR(VLOOKUP($C275,'NEW MODEL BY SES'!$C$19:$R$242,MATCH('SeS in Retail Sales Areas'!U$7,'NEW MODEL BY SES'!$C$17:$R$17,0),0),"")</f>
        <v/>
      </c>
      <c r="V275" s="140" t="str">
        <f>IFERROR(VLOOKUP($C275,'NEW MODEL BY SES'!$C$19:$R$242,MATCH('SeS in Retail Sales Areas'!V$7,'NEW MODEL BY SES'!$C$17:$R$17,0),0),"")</f>
        <v/>
      </c>
      <c r="W275" s="141" t="str">
        <f>IFERROR(VLOOKUP($C275,'NEW MODEL BY SES'!$C$19:$R$242,MATCH('SeS in Retail Sales Areas'!W$7,'NEW MODEL BY SES'!$C$17:$R$17,0),0),"")</f>
        <v/>
      </c>
      <c r="X275" s="140" t="str">
        <f>IFERROR(VLOOKUP($C275,'NEW MODEL BY SES'!$C$19:$R$242,MATCH('SeS in Retail Sales Areas'!X$7,'NEW MODEL BY SES'!$C$17:$R$17,0),0),"")</f>
        <v/>
      </c>
      <c r="Z275" s="57"/>
    </row>
    <row r="276" spans="1:26">
      <c r="A276" t="s">
        <v>1201</v>
      </c>
      <c r="B276" s="57">
        <v>97</v>
      </c>
      <c r="C276" t="s">
        <v>1213</v>
      </c>
      <c r="D276" t="s">
        <v>40</v>
      </c>
      <c r="E276"/>
      <c r="F276" s="140" t="str">
        <f>IFERROR(VLOOKUP($C276,'NEW MODEL BY SES'!$C$19:$R$242,MATCH('SeS in Retail Sales Areas'!F$7,'NEW MODEL BY SES'!$C$17:$R$17,0),0),"")</f>
        <v/>
      </c>
      <c r="G276" s="140" t="str">
        <f>IFERROR(VLOOKUP($C276,'NEW MODEL BY SES'!$C$19:$R$242,MATCH('SeS in Retail Sales Areas'!G$7,'NEW MODEL BY SES'!$C$17:$R$17,0),0),"")</f>
        <v/>
      </c>
      <c r="H276" s="142" t="str">
        <f>IFERROR(VLOOKUP($C276,'NEW MODEL BY SES'!$C$19:$R$242,MATCH('SeS in Retail Sales Areas'!H$7,'NEW MODEL BY SES'!$C$17:$R$17,0),0),"")</f>
        <v/>
      </c>
      <c r="I276" s="140" t="str">
        <f>IFERROR(VLOOKUP($C276,'NEW MODEL BY SES'!$C$19:$R$242,MATCH('SeS in Retail Sales Areas'!I$7,'NEW MODEL BY SES'!$C$17:$R$17,0),0),"")</f>
        <v/>
      </c>
      <c r="J276" s="142" t="str">
        <f>IFERROR(VLOOKUP($C276,'NEW MODEL BY SES'!$C$19:$R$242,MATCH('SeS in Retail Sales Areas'!J$7,'NEW MODEL BY SES'!$C$17:$R$17,0),0),"")</f>
        <v/>
      </c>
      <c r="K276" s="140" t="str">
        <f>IFERROR(VLOOKUP($C276,'NEW MODEL BY SES'!$C$19:$R$242,MATCH('SeS in Retail Sales Areas'!K$7,'NEW MODEL BY SES'!$C$17:$R$17,0),0),"")</f>
        <v/>
      </c>
      <c r="L276" s="142" t="str">
        <f>IFERROR(VLOOKUP($C276,'NEW MODEL BY SES'!$C$19:$R$242,MATCH('SeS in Retail Sales Areas'!L$7,'NEW MODEL BY SES'!$C$17:$R$17,0),0),"")</f>
        <v/>
      </c>
      <c r="M276" s="140" t="str">
        <f>IFERROR(VLOOKUP($C276,'NEW MODEL BY SES'!$C$19:$R$242,MATCH('SeS in Retail Sales Areas'!M$7,'NEW MODEL BY SES'!$C$17:$R$17,0),0),"")</f>
        <v/>
      </c>
      <c r="N276" s="142" t="str">
        <f>IFERROR(VLOOKUP($C276,'NEW MODEL BY SES'!$C$19:$R$242,MATCH('SeS in Retail Sales Areas'!N$7,'NEW MODEL BY SES'!$C$17:$R$17,0),0),"")</f>
        <v/>
      </c>
      <c r="O276" s="140" t="str">
        <f>IFERROR(VLOOKUP($C276,'NEW MODEL BY SES'!$C$19:$R$242,MATCH('SeS in Retail Sales Areas'!O$7,'NEW MODEL BY SES'!$C$17:$R$17,0),0),"")</f>
        <v/>
      </c>
      <c r="P276" s="142" t="str">
        <f>IFERROR(VLOOKUP($C276,'NEW MODEL BY SES'!$C$19:$R$242,MATCH('SeS in Retail Sales Areas'!P$7,'NEW MODEL BY SES'!$C$17:$R$17,0),0),"")</f>
        <v/>
      </c>
      <c r="Q276" s="140" t="str">
        <f>IFERROR(VLOOKUP($C276,'NEW MODEL BY SES'!$C$19:$R$242,MATCH('SeS in Retail Sales Areas'!Q$7,'NEW MODEL BY SES'!$C$17:$R$17,0),0),"")</f>
        <v/>
      </c>
      <c r="R276" s="142" t="str">
        <f>IFERROR(VLOOKUP($C276,'NEW MODEL BY SES'!$C$19:$R$242,MATCH('SeS in Retail Sales Areas'!R$7,'NEW MODEL BY SES'!$C$17:$R$17,0),0),"")</f>
        <v/>
      </c>
      <c r="S276" s="141" t="str">
        <f>IFERROR(VLOOKUP($C276,'NEW MODEL BY SES'!$C$19:$R$242,MATCH('SeS in Retail Sales Areas'!S$7,'NEW MODEL BY SES'!$C$17:$R$17,0),0),"")</f>
        <v/>
      </c>
      <c r="T276" s="140" t="str">
        <f>IFERROR(VLOOKUP($C276,'NEW MODEL BY SES'!$C$19:$R$242,MATCH('SeS in Retail Sales Areas'!T$7,'NEW MODEL BY SES'!$C$17:$R$17,0),0),"")</f>
        <v/>
      </c>
      <c r="U276" s="142" t="str">
        <f>IFERROR(VLOOKUP($C276,'NEW MODEL BY SES'!$C$19:$R$242,MATCH('SeS in Retail Sales Areas'!U$7,'NEW MODEL BY SES'!$C$17:$R$17,0),0),"")</f>
        <v/>
      </c>
      <c r="V276" s="140" t="str">
        <f>IFERROR(VLOOKUP($C276,'NEW MODEL BY SES'!$C$19:$R$242,MATCH('SeS in Retail Sales Areas'!V$7,'NEW MODEL BY SES'!$C$17:$R$17,0),0),"")</f>
        <v/>
      </c>
      <c r="W276" s="141" t="str">
        <f>IFERROR(VLOOKUP($C276,'NEW MODEL BY SES'!$C$19:$R$242,MATCH('SeS in Retail Sales Areas'!W$7,'NEW MODEL BY SES'!$C$17:$R$17,0),0),"")</f>
        <v/>
      </c>
      <c r="X276" s="140" t="str">
        <f>IFERROR(VLOOKUP($C276,'NEW MODEL BY SES'!$C$19:$R$242,MATCH('SeS in Retail Sales Areas'!X$7,'NEW MODEL BY SES'!$C$17:$R$17,0),0),"")</f>
        <v/>
      </c>
      <c r="Z276" s="57"/>
    </row>
    <row r="277" spans="1:26">
      <c r="A277" t="s">
        <v>1201</v>
      </c>
      <c r="B277" s="57">
        <v>87</v>
      </c>
      <c r="C277" t="s">
        <v>1214</v>
      </c>
      <c r="D277" t="s">
        <v>40</v>
      </c>
      <c r="E277"/>
      <c r="F277" s="140" t="str">
        <f>IFERROR(VLOOKUP($C277,'NEW MODEL BY SES'!$C$19:$R$242,MATCH('SeS in Retail Sales Areas'!F$7,'NEW MODEL BY SES'!$C$17:$R$17,0),0),"")</f>
        <v/>
      </c>
      <c r="G277" s="140" t="str">
        <f>IFERROR(VLOOKUP($C277,'NEW MODEL BY SES'!$C$19:$R$242,MATCH('SeS in Retail Sales Areas'!G$7,'NEW MODEL BY SES'!$C$17:$R$17,0),0),"")</f>
        <v/>
      </c>
      <c r="H277" s="142" t="str">
        <f>IFERROR(VLOOKUP($C277,'NEW MODEL BY SES'!$C$19:$R$242,MATCH('SeS in Retail Sales Areas'!H$7,'NEW MODEL BY SES'!$C$17:$R$17,0),0),"")</f>
        <v/>
      </c>
      <c r="I277" s="140" t="str">
        <f>IFERROR(VLOOKUP($C277,'NEW MODEL BY SES'!$C$19:$R$242,MATCH('SeS in Retail Sales Areas'!I$7,'NEW MODEL BY SES'!$C$17:$R$17,0),0),"")</f>
        <v/>
      </c>
      <c r="J277" s="142" t="str">
        <f>IFERROR(VLOOKUP($C277,'NEW MODEL BY SES'!$C$19:$R$242,MATCH('SeS in Retail Sales Areas'!J$7,'NEW MODEL BY SES'!$C$17:$R$17,0),0),"")</f>
        <v/>
      </c>
      <c r="K277" s="140" t="str">
        <f>IFERROR(VLOOKUP($C277,'NEW MODEL BY SES'!$C$19:$R$242,MATCH('SeS in Retail Sales Areas'!K$7,'NEW MODEL BY SES'!$C$17:$R$17,0),0),"")</f>
        <v/>
      </c>
      <c r="L277" s="142" t="str">
        <f>IFERROR(VLOOKUP($C277,'NEW MODEL BY SES'!$C$19:$R$242,MATCH('SeS in Retail Sales Areas'!L$7,'NEW MODEL BY SES'!$C$17:$R$17,0),0),"")</f>
        <v/>
      </c>
      <c r="M277" s="140" t="str">
        <f>IFERROR(VLOOKUP($C277,'NEW MODEL BY SES'!$C$19:$R$242,MATCH('SeS in Retail Sales Areas'!M$7,'NEW MODEL BY SES'!$C$17:$R$17,0),0),"")</f>
        <v/>
      </c>
      <c r="N277" s="142" t="str">
        <f>IFERROR(VLOOKUP($C277,'NEW MODEL BY SES'!$C$19:$R$242,MATCH('SeS in Retail Sales Areas'!N$7,'NEW MODEL BY SES'!$C$17:$R$17,0),0),"")</f>
        <v/>
      </c>
      <c r="O277" s="140" t="str">
        <f>IFERROR(VLOOKUP($C277,'NEW MODEL BY SES'!$C$19:$R$242,MATCH('SeS in Retail Sales Areas'!O$7,'NEW MODEL BY SES'!$C$17:$R$17,0),0),"")</f>
        <v/>
      </c>
      <c r="P277" s="142" t="str">
        <f>IFERROR(VLOOKUP($C277,'NEW MODEL BY SES'!$C$19:$R$242,MATCH('SeS in Retail Sales Areas'!P$7,'NEW MODEL BY SES'!$C$17:$R$17,0),0),"")</f>
        <v/>
      </c>
      <c r="Q277" s="140" t="str">
        <f>IFERROR(VLOOKUP($C277,'NEW MODEL BY SES'!$C$19:$R$242,MATCH('SeS in Retail Sales Areas'!Q$7,'NEW MODEL BY SES'!$C$17:$R$17,0),0),"")</f>
        <v/>
      </c>
      <c r="R277" s="142" t="str">
        <f>IFERROR(VLOOKUP($C277,'NEW MODEL BY SES'!$C$19:$R$242,MATCH('SeS in Retail Sales Areas'!R$7,'NEW MODEL BY SES'!$C$17:$R$17,0),0),"")</f>
        <v/>
      </c>
      <c r="S277" s="141" t="str">
        <f>IFERROR(VLOOKUP($C277,'NEW MODEL BY SES'!$C$19:$R$242,MATCH('SeS in Retail Sales Areas'!S$7,'NEW MODEL BY SES'!$C$17:$R$17,0),0),"")</f>
        <v/>
      </c>
      <c r="T277" s="140" t="str">
        <f>IFERROR(VLOOKUP($C277,'NEW MODEL BY SES'!$C$19:$R$242,MATCH('SeS in Retail Sales Areas'!T$7,'NEW MODEL BY SES'!$C$17:$R$17,0),0),"")</f>
        <v/>
      </c>
      <c r="U277" s="142" t="str">
        <f>IFERROR(VLOOKUP($C277,'NEW MODEL BY SES'!$C$19:$R$242,MATCH('SeS in Retail Sales Areas'!U$7,'NEW MODEL BY SES'!$C$17:$R$17,0),0),"")</f>
        <v/>
      </c>
      <c r="V277" s="140" t="str">
        <f>IFERROR(VLOOKUP($C277,'NEW MODEL BY SES'!$C$19:$R$242,MATCH('SeS in Retail Sales Areas'!V$7,'NEW MODEL BY SES'!$C$17:$R$17,0),0),"")</f>
        <v/>
      </c>
      <c r="W277" s="141" t="str">
        <f>IFERROR(VLOOKUP($C277,'NEW MODEL BY SES'!$C$19:$R$242,MATCH('SeS in Retail Sales Areas'!W$7,'NEW MODEL BY SES'!$C$17:$R$17,0),0),"")</f>
        <v/>
      </c>
      <c r="X277" s="140" t="str">
        <f>IFERROR(VLOOKUP($C277,'NEW MODEL BY SES'!$C$19:$R$242,MATCH('SeS in Retail Sales Areas'!X$7,'NEW MODEL BY SES'!$C$17:$R$17,0),0),"")</f>
        <v/>
      </c>
      <c r="Z277" s="57"/>
    </row>
    <row r="278" spans="1:26">
      <c r="A278" t="s">
        <v>1201</v>
      </c>
      <c r="B278" s="57">
        <v>83</v>
      </c>
      <c r="C278" t="s">
        <v>1215</v>
      </c>
      <c r="D278" t="s">
        <v>40</v>
      </c>
      <c r="E278"/>
      <c r="F278" s="140" t="str">
        <f>IFERROR(VLOOKUP($C278,'NEW MODEL BY SES'!$C$19:$R$242,MATCH('SeS in Retail Sales Areas'!F$7,'NEW MODEL BY SES'!$C$17:$R$17,0),0),"")</f>
        <v/>
      </c>
      <c r="G278" s="140" t="str">
        <f>IFERROR(VLOOKUP($C278,'NEW MODEL BY SES'!$C$19:$R$242,MATCH('SeS in Retail Sales Areas'!G$7,'NEW MODEL BY SES'!$C$17:$R$17,0),0),"")</f>
        <v/>
      </c>
      <c r="H278" s="142" t="str">
        <f>IFERROR(VLOOKUP($C278,'NEW MODEL BY SES'!$C$19:$R$242,MATCH('SeS in Retail Sales Areas'!H$7,'NEW MODEL BY SES'!$C$17:$R$17,0),0),"")</f>
        <v/>
      </c>
      <c r="I278" s="140" t="str">
        <f>IFERROR(VLOOKUP($C278,'NEW MODEL BY SES'!$C$19:$R$242,MATCH('SeS in Retail Sales Areas'!I$7,'NEW MODEL BY SES'!$C$17:$R$17,0),0),"")</f>
        <v/>
      </c>
      <c r="J278" s="142" t="str">
        <f>IFERROR(VLOOKUP($C278,'NEW MODEL BY SES'!$C$19:$R$242,MATCH('SeS in Retail Sales Areas'!J$7,'NEW MODEL BY SES'!$C$17:$R$17,0),0),"")</f>
        <v/>
      </c>
      <c r="K278" s="140" t="str">
        <f>IFERROR(VLOOKUP($C278,'NEW MODEL BY SES'!$C$19:$R$242,MATCH('SeS in Retail Sales Areas'!K$7,'NEW MODEL BY SES'!$C$17:$R$17,0),0),"")</f>
        <v/>
      </c>
      <c r="L278" s="142" t="str">
        <f>IFERROR(VLOOKUP($C278,'NEW MODEL BY SES'!$C$19:$R$242,MATCH('SeS in Retail Sales Areas'!L$7,'NEW MODEL BY SES'!$C$17:$R$17,0),0),"")</f>
        <v/>
      </c>
      <c r="M278" s="140" t="str">
        <f>IFERROR(VLOOKUP($C278,'NEW MODEL BY SES'!$C$19:$R$242,MATCH('SeS in Retail Sales Areas'!M$7,'NEW MODEL BY SES'!$C$17:$R$17,0),0),"")</f>
        <v/>
      </c>
      <c r="N278" s="142" t="str">
        <f>IFERROR(VLOOKUP($C278,'NEW MODEL BY SES'!$C$19:$R$242,MATCH('SeS in Retail Sales Areas'!N$7,'NEW MODEL BY SES'!$C$17:$R$17,0),0),"")</f>
        <v/>
      </c>
      <c r="O278" s="140" t="str">
        <f>IFERROR(VLOOKUP($C278,'NEW MODEL BY SES'!$C$19:$R$242,MATCH('SeS in Retail Sales Areas'!O$7,'NEW MODEL BY SES'!$C$17:$R$17,0),0),"")</f>
        <v/>
      </c>
      <c r="P278" s="142" t="str">
        <f>IFERROR(VLOOKUP($C278,'NEW MODEL BY SES'!$C$19:$R$242,MATCH('SeS in Retail Sales Areas'!P$7,'NEW MODEL BY SES'!$C$17:$R$17,0),0),"")</f>
        <v/>
      </c>
      <c r="Q278" s="140" t="str">
        <f>IFERROR(VLOOKUP($C278,'NEW MODEL BY SES'!$C$19:$R$242,MATCH('SeS in Retail Sales Areas'!Q$7,'NEW MODEL BY SES'!$C$17:$R$17,0),0),"")</f>
        <v/>
      </c>
      <c r="R278" s="142" t="str">
        <f>IFERROR(VLOOKUP($C278,'NEW MODEL BY SES'!$C$19:$R$242,MATCH('SeS in Retail Sales Areas'!R$7,'NEW MODEL BY SES'!$C$17:$R$17,0),0),"")</f>
        <v/>
      </c>
      <c r="S278" s="141" t="str">
        <f>IFERROR(VLOOKUP($C278,'NEW MODEL BY SES'!$C$19:$R$242,MATCH('SeS in Retail Sales Areas'!S$7,'NEW MODEL BY SES'!$C$17:$R$17,0),0),"")</f>
        <v/>
      </c>
      <c r="T278" s="140" t="str">
        <f>IFERROR(VLOOKUP($C278,'NEW MODEL BY SES'!$C$19:$R$242,MATCH('SeS in Retail Sales Areas'!T$7,'NEW MODEL BY SES'!$C$17:$R$17,0),0),"")</f>
        <v/>
      </c>
      <c r="U278" s="142" t="str">
        <f>IFERROR(VLOOKUP($C278,'NEW MODEL BY SES'!$C$19:$R$242,MATCH('SeS in Retail Sales Areas'!U$7,'NEW MODEL BY SES'!$C$17:$R$17,0),0),"")</f>
        <v/>
      </c>
      <c r="V278" s="140" t="str">
        <f>IFERROR(VLOOKUP($C278,'NEW MODEL BY SES'!$C$19:$R$242,MATCH('SeS in Retail Sales Areas'!V$7,'NEW MODEL BY SES'!$C$17:$R$17,0),0),"")</f>
        <v/>
      </c>
      <c r="W278" s="141" t="str">
        <f>IFERROR(VLOOKUP($C278,'NEW MODEL BY SES'!$C$19:$R$242,MATCH('SeS in Retail Sales Areas'!W$7,'NEW MODEL BY SES'!$C$17:$R$17,0),0),"")</f>
        <v/>
      </c>
      <c r="X278" s="140" t="str">
        <f>IFERROR(VLOOKUP($C278,'NEW MODEL BY SES'!$C$19:$R$242,MATCH('SeS in Retail Sales Areas'!X$7,'NEW MODEL BY SES'!$C$17:$R$17,0),0),"")</f>
        <v/>
      </c>
      <c r="Z278" s="57"/>
    </row>
    <row r="279" spans="1:26">
      <c r="A279" t="s">
        <v>1201</v>
      </c>
      <c r="B279" s="57">
        <v>73</v>
      </c>
      <c r="C279" t="s">
        <v>1216</v>
      </c>
      <c r="D279" t="s">
        <v>44</v>
      </c>
      <c r="E279"/>
      <c r="F279" s="140" t="str">
        <f>IFERROR(VLOOKUP($C279,'NEW MODEL BY SES'!$C$19:$R$242,MATCH('SeS in Retail Sales Areas'!F$7,'NEW MODEL BY SES'!$C$17:$R$17,0),0),"")</f>
        <v/>
      </c>
      <c r="G279" s="140" t="str">
        <f>IFERROR(VLOOKUP($C279,'NEW MODEL BY SES'!$C$19:$R$242,MATCH('SeS in Retail Sales Areas'!G$7,'NEW MODEL BY SES'!$C$17:$R$17,0),0),"")</f>
        <v/>
      </c>
      <c r="H279" s="142" t="str">
        <f>IFERROR(VLOOKUP($C279,'NEW MODEL BY SES'!$C$19:$R$242,MATCH('SeS in Retail Sales Areas'!H$7,'NEW MODEL BY SES'!$C$17:$R$17,0),0),"")</f>
        <v/>
      </c>
      <c r="I279" s="140" t="str">
        <f>IFERROR(VLOOKUP($C279,'NEW MODEL BY SES'!$C$19:$R$242,MATCH('SeS in Retail Sales Areas'!I$7,'NEW MODEL BY SES'!$C$17:$R$17,0),0),"")</f>
        <v/>
      </c>
      <c r="J279" s="142" t="str">
        <f>IFERROR(VLOOKUP($C279,'NEW MODEL BY SES'!$C$19:$R$242,MATCH('SeS in Retail Sales Areas'!J$7,'NEW MODEL BY SES'!$C$17:$R$17,0),0),"")</f>
        <v/>
      </c>
      <c r="K279" s="140" t="str">
        <f>IFERROR(VLOOKUP($C279,'NEW MODEL BY SES'!$C$19:$R$242,MATCH('SeS in Retail Sales Areas'!K$7,'NEW MODEL BY SES'!$C$17:$R$17,0),0),"")</f>
        <v/>
      </c>
      <c r="L279" s="142" t="str">
        <f>IFERROR(VLOOKUP($C279,'NEW MODEL BY SES'!$C$19:$R$242,MATCH('SeS in Retail Sales Areas'!L$7,'NEW MODEL BY SES'!$C$17:$R$17,0),0),"")</f>
        <v/>
      </c>
      <c r="M279" s="140" t="str">
        <f>IFERROR(VLOOKUP($C279,'NEW MODEL BY SES'!$C$19:$R$242,MATCH('SeS in Retail Sales Areas'!M$7,'NEW MODEL BY SES'!$C$17:$R$17,0),0),"")</f>
        <v/>
      </c>
      <c r="N279" s="142" t="str">
        <f>IFERROR(VLOOKUP($C279,'NEW MODEL BY SES'!$C$19:$R$242,MATCH('SeS in Retail Sales Areas'!N$7,'NEW MODEL BY SES'!$C$17:$R$17,0),0),"")</f>
        <v/>
      </c>
      <c r="O279" s="140" t="str">
        <f>IFERROR(VLOOKUP($C279,'NEW MODEL BY SES'!$C$19:$R$242,MATCH('SeS in Retail Sales Areas'!O$7,'NEW MODEL BY SES'!$C$17:$R$17,0),0),"")</f>
        <v/>
      </c>
      <c r="P279" s="142" t="str">
        <f>IFERROR(VLOOKUP($C279,'NEW MODEL BY SES'!$C$19:$R$242,MATCH('SeS in Retail Sales Areas'!P$7,'NEW MODEL BY SES'!$C$17:$R$17,0),0),"")</f>
        <v/>
      </c>
      <c r="Q279" s="140" t="str">
        <f>IFERROR(VLOOKUP($C279,'NEW MODEL BY SES'!$C$19:$R$242,MATCH('SeS in Retail Sales Areas'!Q$7,'NEW MODEL BY SES'!$C$17:$R$17,0),0),"")</f>
        <v/>
      </c>
      <c r="R279" s="142" t="str">
        <f>IFERROR(VLOOKUP($C279,'NEW MODEL BY SES'!$C$19:$R$242,MATCH('SeS in Retail Sales Areas'!R$7,'NEW MODEL BY SES'!$C$17:$R$17,0),0),"")</f>
        <v/>
      </c>
      <c r="S279" s="141" t="str">
        <f>IFERROR(VLOOKUP($C279,'NEW MODEL BY SES'!$C$19:$R$242,MATCH('SeS in Retail Sales Areas'!S$7,'NEW MODEL BY SES'!$C$17:$R$17,0),0),"")</f>
        <v/>
      </c>
      <c r="T279" s="140" t="str">
        <f>IFERROR(VLOOKUP($C279,'NEW MODEL BY SES'!$C$19:$R$242,MATCH('SeS in Retail Sales Areas'!T$7,'NEW MODEL BY SES'!$C$17:$R$17,0),0),"")</f>
        <v/>
      </c>
      <c r="U279" s="142" t="str">
        <f>IFERROR(VLOOKUP($C279,'NEW MODEL BY SES'!$C$19:$R$242,MATCH('SeS in Retail Sales Areas'!U$7,'NEW MODEL BY SES'!$C$17:$R$17,0),0),"")</f>
        <v/>
      </c>
      <c r="V279" s="140" t="str">
        <f>IFERROR(VLOOKUP($C279,'NEW MODEL BY SES'!$C$19:$R$242,MATCH('SeS in Retail Sales Areas'!V$7,'NEW MODEL BY SES'!$C$17:$R$17,0),0),"")</f>
        <v/>
      </c>
      <c r="W279" s="141" t="str">
        <f>IFERROR(VLOOKUP($C279,'NEW MODEL BY SES'!$C$19:$R$242,MATCH('SeS in Retail Sales Areas'!W$7,'NEW MODEL BY SES'!$C$17:$R$17,0),0),"")</f>
        <v/>
      </c>
      <c r="X279" s="140" t="str">
        <f>IFERROR(VLOOKUP($C279,'NEW MODEL BY SES'!$C$19:$R$242,MATCH('SeS in Retail Sales Areas'!X$7,'NEW MODEL BY SES'!$C$17:$R$17,0),0),"")</f>
        <v/>
      </c>
      <c r="Z279" s="57"/>
    </row>
    <row r="280" spans="1:26">
      <c r="A280" t="s">
        <v>1201</v>
      </c>
      <c r="B280" s="57">
        <v>72</v>
      </c>
      <c r="C280" t="s">
        <v>1217</v>
      </c>
      <c r="D280" t="s">
        <v>44</v>
      </c>
      <c r="E280"/>
      <c r="F280" s="140" t="str">
        <f>IFERROR(VLOOKUP($C280,'NEW MODEL BY SES'!$C$19:$R$242,MATCH('SeS in Retail Sales Areas'!F$7,'NEW MODEL BY SES'!$C$17:$R$17,0),0),"")</f>
        <v/>
      </c>
      <c r="G280" s="140" t="str">
        <f>IFERROR(VLOOKUP($C280,'NEW MODEL BY SES'!$C$19:$R$242,MATCH('SeS in Retail Sales Areas'!G$7,'NEW MODEL BY SES'!$C$17:$R$17,0),0),"")</f>
        <v/>
      </c>
      <c r="H280" s="142" t="str">
        <f>IFERROR(VLOOKUP($C280,'NEW MODEL BY SES'!$C$19:$R$242,MATCH('SeS in Retail Sales Areas'!H$7,'NEW MODEL BY SES'!$C$17:$R$17,0),0),"")</f>
        <v/>
      </c>
      <c r="I280" s="140" t="str">
        <f>IFERROR(VLOOKUP($C280,'NEW MODEL BY SES'!$C$19:$R$242,MATCH('SeS in Retail Sales Areas'!I$7,'NEW MODEL BY SES'!$C$17:$R$17,0),0),"")</f>
        <v/>
      </c>
      <c r="J280" s="142" t="str">
        <f>IFERROR(VLOOKUP($C280,'NEW MODEL BY SES'!$C$19:$R$242,MATCH('SeS in Retail Sales Areas'!J$7,'NEW MODEL BY SES'!$C$17:$R$17,0),0),"")</f>
        <v/>
      </c>
      <c r="K280" s="140" t="str">
        <f>IFERROR(VLOOKUP($C280,'NEW MODEL BY SES'!$C$19:$R$242,MATCH('SeS in Retail Sales Areas'!K$7,'NEW MODEL BY SES'!$C$17:$R$17,0),0),"")</f>
        <v/>
      </c>
      <c r="L280" s="142" t="str">
        <f>IFERROR(VLOOKUP($C280,'NEW MODEL BY SES'!$C$19:$R$242,MATCH('SeS in Retail Sales Areas'!L$7,'NEW MODEL BY SES'!$C$17:$R$17,0),0),"")</f>
        <v/>
      </c>
      <c r="M280" s="140" t="str">
        <f>IFERROR(VLOOKUP($C280,'NEW MODEL BY SES'!$C$19:$R$242,MATCH('SeS in Retail Sales Areas'!M$7,'NEW MODEL BY SES'!$C$17:$R$17,0),0),"")</f>
        <v/>
      </c>
      <c r="N280" s="142" t="str">
        <f>IFERROR(VLOOKUP($C280,'NEW MODEL BY SES'!$C$19:$R$242,MATCH('SeS in Retail Sales Areas'!N$7,'NEW MODEL BY SES'!$C$17:$R$17,0),0),"")</f>
        <v/>
      </c>
      <c r="O280" s="140" t="str">
        <f>IFERROR(VLOOKUP($C280,'NEW MODEL BY SES'!$C$19:$R$242,MATCH('SeS in Retail Sales Areas'!O$7,'NEW MODEL BY SES'!$C$17:$R$17,0),0),"")</f>
        <v/>
      </c>
      <c r="P280" s="142" t="str">
        <f>IFERROR(VLOOKUP($C280,'NEW MODEL BY SES'!$C$19:$R$242,MATCH('SeS in Retail Sales Areas'!P$7,'NEW MODEL BY SES'!$C$17:$R$17,0),0),"")</f>
        <v/>
      </c>
      <c r="Q280" s="140" t="str">
        <f>IFERROR(VLOOKUP($C280,'NEW MODEL BY SES'!$C$19:$R$242,MATCH('SeS in Retail Sales Areas'!Q$7,'NEW MODEL BY SES'!$C$17:$R$17,0),0),"")</f>
        <v/>
      </c>
      <c r="R280" s="142" t="str">
        <f>IFERROR(VLOOKUP($C280,'NEW MODEL BY SES'!$C$19:$R$242,MATCH('SeS in Retail Sales Areas'!R$7,'NEW MODEL BY SES'!$C$17:$R$17,0),0),"")</f>
        <v/>
      </c>
      <c r="S280" s="141" t="str">
        <f>IFERROR(VLOOKUP($C280,'NEW MODEL BY SES'!$C$19:$R$242,MATCH('SeS in Retail Sales Areas'!S$7,'NEW MODEL BY SES'!$C$17:$R$17,0),0),"")</f>
        <v/>
      </c>
      <c r="T280" s="140" t="str">
        <f>IFERROR(VLOOKUP($C280,'NEW MODEL BY SES'!$C$19:$R$242,MATCH('SeS in Retail Sales Areas'!T$7,'NEW MODEL BY SES'!$C$17:$R$17,0),0),"")</f>
        <v/>
      </c>
      <c r="U280" s="142" t="str">
        <f>IFERROR(VLOOKUP($C280,'NEW MODEL BY SES'!$C$19:$R$242,MATCH('SeS in Retail Sales Areas'!U$7,'NEW MODEL BY SES'!$C$17:$R$17,0),0),"")</f>
        <v/>
      </c>
      <c r="V280" s="140" t="str">
        <f>IFERROR(VLOOKUP($C280,'NEW MODEL BY SES'!$C$19:$R$242,MATCH('SeS in Retail Sales Areas'!V$7,'NEW MODEL BY SES'!$C$17:$R$17,0),0),"")</f>
        <v/>
      </c>
      <c r="W280" s="141" t="str">
        <f>IFERROR(VLOOKUP($C280,'NEW MODEL BY SES'!$C$19:$R$242,MATCH('SeS in Retail Sales Areas'!W$7,'NEW MODEL BY SES'!$C$17:$R$17,0),0),"")</f>
        <v/>
      </c>
      <c r="X280" s="140" t="str">
        <f>IFERROR(VLOOKUP($C280,'NEW MODEL BY SES'!$C$19:$R$242,MATCH('SeS in Retail Sales Areas'!X$7,'NEW MODEL BY SES'!$C$17:$R$17,0),0),"")</f>
        <v/>
      </c>
      <c r="Z280" s="57"/>
    </row>
    <row r="281" spans="1:26">
      <c r="A281" t="s">
        <v>1201</v>
      </c>
      <c r="B281" s="57">
        <v>63</v>
      </c>
      <c r="C281" t="s">
        <v>1218</v>
      </c>
      <c r="D281" t="s">
        <v>44</v>
      </c>
      <c r="E281"/>
      <c r="F281" s="140" t="str">
        <f>IFERROR(VLOOKUP($C281,'NEW MODEL BY SES'!$C$19:$R$242,MATCH('SeS in Retail Sales Areas'!F$7,'NEW MODEL BY SES'!$C$17:$R$17,0),0),"")</f>
        <v/>
      </c>
      <c r="G281" s="140" t="str">
        <f>IFERROR(VLOOKUP($C281,'NEW MODEL BY SES'!$C$19:$R$242,MATCH('SeS in Retail Sales Areas'!G$7,'NEW MODEL BY SES'!$C$17:$R$17,0),0),"")</f>
        <v/>
      </c>
      <c r="H281" s="142" t="str">
        <f>IFERROR(VLOOKUP($C281,'NEW MODEL BY SES'!$C$19:$R$242,MATCH('SeS in Retail Sales Areas'!H$7,'NEW MODEL BY SES'!$C$17:$R$17,0),0),"")</f>
        <v/>
      </c>
      <c r="I281" s="140" t="str">
        <f>IFERROR(VLOOKUP($C281,'NEW MODEL BY SES'!$C$19:$R$242,MATCH('SeS in Retail Sales Areas'!I$7,'NEW MODEL BY SES'!$C$17:$R$17,0),0),"")</f>
        <v/>
      </c>
      <c r="J281" s="142" t="str">
        <f>IFERROR(VLOOKUP($C281,'NEW MODEL BY SES'!$C$19:$R$242,MATCH('SeS in Retail Sales Areas'!J$7,'NEW MODEL BY SES'!$C$17:$R$17,0),0),"")</f>
        <v/>
      </c>
      <c r="K281" s="140" t="str">
        <f>IFERROR(VLOOKUP($C281,'NEW MODEL BY SES'!$C$19:$R$242,MATCH('SeS in Retail Sales Areas'!K$7,'NEW MODEL BY SES'!$C$17:$R$17,0),0),"")</f>
        <v/>
      </c>
      <c r="L281" s="142" t="str">
        <f>IFERROR(VLOOKUP($C281,'NEW MODEL BY SES'!$C$19:$R$242,MATCH('SeS in Retail Sales Areas'!L$7,'NEW MODEL BY SES'!$C$17:$R$17,0),0),"")</f>
        <v/>
      </c>
      <c r="M281" s="140" t="str">
        <f>IFERROR(VLOOKUP($C281,'NEW MODEL BY SES'!$C$19:$R$242,MATCH('SeS in Retail Sales Areas'!M$7,'NEW MODEL BY SES'!$C$17:$R$17,0),0),"")</f>
        <v/>
      </c>
      <c r="N281" s="142" t="str">
        <f>IFERROR(VLOOKUP($C281,'NEW MODEL BY SES'!$C$19:$R$242,MATCH('SeS in Retail Sales Areas'!N$7,'NEW MODEL BY SES'!$C$17:$R$17,0),0),"")</f>
        <v/>
      </c>
      <c r="O281" s="140" t="str">
        <f>IFERROR(VLOOKUP($C281,'NEW MODEL BY SES'!$C$19:$R$242,MATCH('SeS in Retail Sales Areas'!O$7,'NEW MODEL BY SES'!$C$17:$R$17,0),0),"")</f>
        <v/>
      </c>
      <c r="P281" s="142" t="str">
        <f>IFERROR(VLOOKUP($C281,'NEW MODEL BY SES'!$C$19:$R$242,MATCH('SeS in Retail Sales Areas'!P$7,'NEW MODEL BY SES'!$C$17:$R$17,0),0),"")</f>
        <v/>
      </c>
      <c r="Q281" s="140" t="str">
        <f>IFERROR(VLOOKUP($C281,'NEW MODEL BY SES'!$C$19:$R$242,MATCH('SeS in Retail Sales Areas'!Q$7,'NEW MODEL BY SES'!$C$17:$R$17,0),0),"")</f>
        <v/>
      </c>
      <c r="R281" s="142" t="str">
        <f>IFERROR(VLOOKUP($C281,'NEW MODEL BY SES'!$C$19:$R$242,MATCH('SeS in Retail Sales Areas'!R$7,'NEW MODEL BY SES'!$C$17:$R$17,0),0),"")</f>
        <v/>
      </c>
      <c r="S281" s="141" t="str">
        <f>IFERROR(VLOOKUP($C281,'NEW MODEL BY SES'!$C$19:$R$242,MATCH('SeS in Retail Sales Areas'!S$7,'NEW MODEL BY SES'!$C$17:$R$17,0),0),"")</f>
        <v/>
      </c>
      <c r="T281" s="140" t="str">
        <f>IFERROR(VLOOKUP($C281,'NEW MODEL BY SES'!$C$19:$R$242,MATCH('SeS in Retail Sales Areas'!T$7,'NEW MODEL BY SES'!$C$17:$R$17,0),0),"")</f>
        <v/>
      </c>
      <c r="U281" s="142" t="str">
        <f>IFERROR(VLOOKUP($C281,'NEW MODEL BY SES'!$C$19:$R$242,MATCH('SeS in Retail Sales Areas'!U$7,'NEW MODEL BY SES'!$C$17:$R$17,0),0),"")</f>
        <v/>
      </c>
      <c r="V281" s="140" t="str">
        <f>IFERROR(VLOOKUP($C281,'NEW MODEL BY SES'!$C$19:$R$242,MATCH('SeS in Retail Sales Areas'!V$7,'NEW MODEL BY SES'!$C$17:$R$17,0),0),"")</f>
        <v/>
      </c>
      <c r="W281" s="141" t="str">
        <f>IFERROR(VLOOKUP($C281,'NEW MODEL BY SES'!$C$19:$R$242,MATCH('SeS in Retail Sales Areas'!W$7,'NEW MODEL BY SES'!$C$17:$R$17,0),0),"")</f>
        <v/>
      </c>
      <c r="X281" s="140" t="str">
        <f>IFERROR(VLOOKUP($C281,'NEW MODEL BY SES'!$C$19:$R$242,MATCH('SeS in Retail Sales Areas'!X$7,'NEW MODEL BY SES'!$C$17:$R$17,0),0),"")</f>
        <v/>
      </c>
      <c r="Z281" s="57"/>
    </row>
    <row r="282" spans="1:26">
      <c r="A282" t="s">
        <v>1201</v>
      </c>
      <c r="B282" s="57">
        <v>63</v>
      </c>
      <c r="C282" t="s">
        <v>1219</v>
      </c>
      <c r="D282" t="s">
        <v>44</v>
      </c>
      <c r="E282"/>
      <c r="F282" s="140" t="str">
        <f>IFERROR(VLOOKUP($C282,'NEW MODEL BY SES'!$C$19:$R$242,MATCH('SeS in Retail Sales Areas'!F$7,'NEW MODEL BY SES'!$C$17:$R$17,0),0),"")</f>
        <v/>
      </c>
      <c r="G282" s="140" t="str">
        <f>IFERROR(VLOOKUP($C282,'NEW MODEL BY SES'!$C$19:$R$242,MATCH('SeS in Retail Sales Areas'!G$7,'NEW MODEL BY SES'!$C$17:$R$17,0),0),"")</f>
        <v/>
      </c>
      <c r="H282" s="142" t="str">
        <f>IFERROR(VLOOKUP($C282,'NEW MODEL BY SES'!$C$19:$R$242,MATCH('SeS in Retail Sales Areas'!H$7,'NEW MODEL BY SES'!$C$17:$R$17,0),0),"")</f>
        <v/>
      </c>
      <c r="I282" s="140" t="str">
        <f>IFERROR(VLOOKUP($C282,'NEW MODEL BY SES'!$C$19:$R$242,MATCH('SeS in Retail Sales Areas'!I$7,'NEW MODEL BY SES'!$C$17:$R$17,0),0),"")</f>
        <v/>
      </c>
      <c r="J282" s="142" t="str">
        <f>IFERROR(VLOOKUP($C282,'NEW MODEL BY SES'!$C$19:$R$242,MATCH('SeS in Retail Sales Areas'!J$7,'NEW MODEL BY SES'!$C$17:$R$17,0),0),"")</f>
        <v/>
      </c>
      <c r="K282" s="140" t="str">
        <f>IFERROR(VLOOKUP($C282,'NEW MODEL BY SES'!$C$19:$R$242,MATCH('SeS in Retail Sales Areas'!K$7,'NEW MODEL BY SES'!$C$17:$R$17,0),0),"")</f>
        <v/>
      </c>
      <c r="L282" s="142" t="str">
        <f>IFERROR(VLOOKUP($C282,'NEW MODEL BY SES'!$C$19:$R$242,MATCH('SeS in Retail Sales Areas'!L$7,'NEW MODEL BY SES'!$C$17:$R$17,0),0),"")</f>
        <v/>
      </c>
      <c r="M282" s="140" t="str">
        <f>IFERROR(VLOOKUP($C282,'NEW MODEL BY SES'!$C$19:$R$242,MATCH('SeS in Retail Sales Areas'!M$7,'NEW MODEL BY SES'!$C$17:$R$17,0),0),"")</f>
        <v/>
      </c>
      <c r="N282" s="142" t="str">
        <f>IFERROR(VLOOKUP($C282,'NEW MODEL BY SES'!$C$19:$R$242,MATCH('SeS in Retail Sales Areas'!N$7,'NEW MODEL BY SES'!$C$17:$R$17,0),0),"")</f>
        <v/>
      </c>
      <c r="O282" s="140" t="str">
        <f>IFERROR(VLOOKUP($C282,'NEW MODEL BY SES'!$C$19:$R$242,MATCH('SeS in Retail Sales Areas'!O$7,'NEW MODEL BY SES'!$C$17:$R$17,0),0),"")</f>
        <v/>
      </c>
      <c r="P282" s="142" t="str">
        <f>IFERROR(VLOOKUP($C282,'NEW MODEL BY SES'!$C$19:$R$242,MATCH('SeS in Retail Sales Areas'!P$7,'NEW MODEL BY SES'!$C$17:$R$17,0),0),"")</f>
        <v/>
      </c>
      <c r="Q282" s="140" t="str">
        <f>IFERROR(VLOOKUP($C282,'NEW MODEL BY SES'!$C$19:$R$242,MATCH('SeS in Retail Sales Areas'!Q$7,'NEW MODEL BY SES'!$C$17:$R$17,0),0),"")</f>
        <v/>
      </c>
      <c r="R282" s="142" t="str">
        <f>IFERROR(VLOOKUP($C282,'NEW MODEL BY SES'!$C$19:$R$242,MATCH('SeS in Retail Sales Areas'!R$7,'NEW MODEL BY SES'!$C$17:$R$17,0),0),"")</f>
        <v/>
      </c>
      <c r="S282" s="141" t="str">
        <f>IFERROR(VLOOKUP($C282,'NEW MODEL BY SES'!$C$19:$R$242,MATCH('SeS in Retail Sales Areas'!S$7,'NEW MODEL BY SES'!$C$17:$R$17,0),0),"")</f>
        <v/>
      </c>
      <c r="T282" s="140" t="str">
        <f>IFERROR(VLOOKUP($C282,'NEW MODEL BY SES'!$C$19:$R$242,MATCH('SeS in Retail Sales Areas'!T$7,'NEW MODEL BY SES'!$C$17:$R$17,0),0),"")</f>
        <v/>
      </c>
      <c r="U282" s="142" t="str">
        <f>IFERROR(VLOOKUP($C282,'NEW MODEL BY SES'!$C$19:$R$242,MATCH('SeS in Retail Sales Areas'!U$7,'NEW MODEL BY SES'!$C$17:$R$17,0),0),"")</f>
        <v/>
      </c>
      <c r="V282" s="140" t="str">
        <f>IFERROR(VLOOKUP($C282,'NEW MODEL BY SES'!$C$19:$R$242,MATCH('SeS in Retail Sales Areas'!V$7,'NEW MODEL BY SES'!$C$17:$R$17,0),0),"")</f>
        <v/>
      </c>
      <c r="W282" s="141" t="str">
        <f>IFERROR(VLOOKUP($C282,'NEW MODEL BY SES'!$C$19:$R$242,MATCH('SeS in Retail Sales Areas'!W$7,'NEW MODEL BY SES'!$C$17:$R$17,0),0),"")</f>
        <v/>
      </c>
      <c r="X282" s="140" t="str">
        <f>IFERROR(VLOOKUP($C282,'NEW MODEL BY SES'!$C$19:$R$242,MATCH('SeS in Retail Sales Areas'!X$7,'NEW MODEL BY SES'!$C$17:$R$17,0),0),"")</f>
        <v/>
      </c>
      <c r="Z282" s="57"/>
    </row>
    <row r="283" spans="1:26">
      <c r="A283" t="s">
        <v>1201</v>
      </c>
      <c r="B283" s="57">
        <v>62</v>
      </c>
      <c r="C283" t="s">
        <v>1220</v>
      </c>
      <c r="D283" t="s">
        <v>44</v>
      </c>
      <c r="E283"/>
      <c r="F283" s="140" t="str">
        <f>IFERROR(VLOOKUP($C283,'NEW MODEL BY SES'!$C$19:$R$242,MATCH('SeS in Retail Sales Areas'!F$7,'NEW MODEL BY SES'!$C$17:$R$17,0),0),"")</f>
        <v/>
      </c>
      <c r="G283" s="140" t="str">
        <f>IFERROR(VLOOKUP($C283,'NEW MODEL BY SES'!$C$19:$R$242,MATCH('SeS in Retail Sales Areas'!G$7,'NEW MODEL BY SES'!$C$17:$R$17,0),0),"")</f>
        <v/>
      </c>
      <c r="H283" s="142" t="str">
        <f>IFERROR(VLOOKUP($C283,'NEW MODEL BY SES'!$C$19:$R$242,MATCH('SeS in Retail Sales Areas'!H$7,'NEW MODEL BY SES'!$C$17:$R$17,0),0),"")</f>
        <v/>
      </c>
      <c r="I283" s="140" t="str">
        <f>IFERROR(VLOOKUP($C283,'NEW MODEL BY SES'!$C$19:$R$242,MATCH('SeS in Retail Sales Areas'!I$7,'NEW MODEL BY SES'!$C$17:$R$17,0),0),"")</f>
        <v/>
      </c>
      <c r="J283" s="142" t="str">
        <f>IFERROR(VLOOKUP($C283,'NEW MODEL BY SES'!$C$19:$R$242,MATCH('SeS in Retail Sales Areas'!J$7,'NEW MODEL BY SES'!$C$17:$R$17,0),0),"")</f>
        <v/>
      </c>
      <c r="K283" s="140" t="str">
        <f>IFERROR(VLOOKUP($C283,'NEW MODEL BY SES'!$C$19:$R$242,MATCH('SeS in Retail Sales Areas'!K$7,'NEW MODEL BY SES'!$C$17:$R$17,0),0),"")</f>
        <v/>
      </c>
      <c r="L283" s="142" t="str">
        <f>IFERROR(VLOOKUP($C283,'NEW MODEL BY SES'!$C$19:$R$242,MATCH('SeS in Retail Sales Areas'!L$7,'NEW MODEL BY SES'!$C$17:$R$17,0),0),"")</f>
        <v/>
      </c>
      <c r="M283" s="140" t="str">
        <f>IFERROR(VLOOKUP($C283,'NEW MODEL BY SES'!$C$19:$R$242,MATCH('SeS in Retail Sales Areas'!M$7,'NEW MODEL BY SES'!$C$17:$R$17,0),0),"")</f>
        <v/>
      </c>
      <c r="N283" s="142" t="str">
        <f>IFERROR(VLOOKUP($C283,'NEW MODEL BY SES'!$C$19:$R$242,MATCH('SeS in Retail Sales Areas'!N$7,'NEW MODEL BY SES'!$C$17:$R$17,0),0),"")</f>
        <v/>
      </c>
      <c r="O283" s="140" t="str">
        <f>IFERROR(VLOOKUP($C283,'NEW MODEL BY SES'!$C$19:$R$242,MATCH('SeS in Retail Sales Areas'!O$7,'NEW MODEL BY SES'!$C$17:$R$17,0),0),"")</f>
        <v/>
      </c>
      <c r="P283" s="142" t="str">
        <f>IFERROR(VLOOKUP($C283,'NEW MODEL BY SES'!$C$19:$R$242,MATCH('SeS in Retail Sales Areas'!P$7,'NEW MODEL BY SES'!$C$17:$R$17,0),0),"")</f>
        <v/>
      </c>
      <c r="Q283" s="140" t="str">
        <f>IFERROR(VLOOKUP($C283,'NEW MODEL BY SES'!$C$19:$R$242,MATCH('SeS in Retail Sales Areas'!Q$7,'NEW MODEL BY SES'!$C$17:$R$17,0),0),"")</f>
        <v/>
      </c>
      <c r="R283" s="142" t="str">
        <f>IFERROR(VLOOKUP($C283,'NEW MODEL BY SES'!$C$19:$R$242,MATCH('SeS in Retail Sales Areas'!R$7,'NEW MODEL BY SES'!$C$17:$R$17,0),0),"")</f>
        <v/>
      </c>
      <c r="S283" s="141" t="str">
        <f>IFERROR(VLOOKUP($C283,'NEW MODEL BY SES'!$C$19:$R$242,MATCH('SeS in Retail Sales Areas'!S$7,'NEW MODEL BY SES'!$C$17:$R$17,0),0),"")</f>
        <v/>
      </c>
      <c r="T283" s="140" t="str">
        <f>IFERROR(VLOOKUP($C283,'NEW MODEL BY SES'!$C$19:$R$242,MATCH('SeS in Retail Sales Areas'!T$7,'NEW MODEL BY SES'!$C$17:$R$17,0),0),"")</f>
        <v/>
      </c>
      <c r="U283" s="142" t="str">
        <f>IFERROR(VLOOKUP($C283,'NEW MODEL BY SES'!$C$19:$R$242,MATCH('SeS in Retail Sales Areas'!U$7,'NEW MODEL BY SES'!$C$17:$R$17,0),0),"")</f>
        <v/>
      </c>
      <c r="V283" s="140" t="str">
        <f>IFERROR(VLOOKUP($C283,'NEW MODEL BY SES'!$C$19:$R$242,MATCH('SeS in Retail Sales Areas'!V$7,'NEW MODEL BY SES'!$C$17:$R$17,0),0),"")</f>
        <v/>
      </c>
      <c r="W283" s="141" t="str">
        <f>IFERROR(VLOOKUP($C283,'NEW MODEL BY SES'!$C$19:$R$242,MATCH('SeS in Retail Sales Areas'!W$7,'NEW MODEL BY SES'!$C$17:$R$17,0),0),"")</f>
        <v/>
      </c>
      <c r="X283" s="140" t="str">
        <f>IFERROR(VLOOKUP($C283,'NEW MODEL BY SES'!$C$19:$R$242,MATCH('SeS in Retail Sales Areas'!X$7,'NEW MODEL BY SES'!$C$17:$R$17,0),0),"")</f>
        <v/>
      </c>
      <c r="Z283" s="57"/>
    </row>
    <row r="284" spans="1:26">
      <c r="A284" t="s">
        <v>1201</v>
      </c>
      <c r="B284" s="57">
        <v>59</v>
      </c>
      <c r="C284" t="s">
        <v>1221</v>
      </c>
      <c r="D284" t="s">
        <v>44</v>
      </c>
      <c r="E284"/>
      <c r="F284" s="140" t="str">
        <f>IFERROR(VLOOKUP($C284,'NEW MODEL BY SES'!$C$19:$R$242,MATCH('SeS in Retail Sales Areas'!F$7,'NEW MODEL BY SES'!$C$17:$R$17,0),0),"")</f>
        <v/>
      </c>
      <c r="G284" s="140" t="str">
        <f>IFERROR(VLOOKUP($C284,'NEW MODEL BY SES'!$C$19:$R$242,MATCH('SeS in Retail Sales Areas'!G$7,'NEW MODEL BY SES'!$C$17:$R$17,0),0),"")</f>
        <v/>
      </c>
      <c r="H284" s="142" t="str">
        <f>IFERROR(VLOOKUP($C284,'NEW MODEL BY SES'!$C$19:$R$242,MATCH('SeS in Retail Sales Areas'!H$7,'NEW MODEL BY SES'!$C$17:$R$17,0),0),"")</f>
        <v/>
      </c>
      <c r="I284" s="140" t="str">
        <f>IFERROR(VLOOKUP($C284,'NEW MODEL BY SES'!$C$19:$R$242,MATCH('SeS in Retail Sales Areas'!I$7,'NEW MODEL BY SES'!$C$17:$R$17,0),0),"")</f>
        <v/>
      </c>
      <c r="J284" s="142" t="str">
        <f>IFERROR(VLOOKUP($C284,'NEW MODEL BY SES'!$C$19:$R$242,MATCH('SeS in Retail Sales Areas'!J$7,'NEW MODEL BY SES'!$C$17:$R$17,0),0),"")</f>
        <v/>
      </c>
      <c r="K284" s="140" t="str">
        <f>IFERROR(VLOOKUP($C284,'NEW MODEL BY SES'!$C$19:$R$242,MATCH('SeS in Retail Sales Areas'!K$7,'NEW MODEL BY SES'!$C$17:$R$17,0),0),"")</f>
        <v/>
      </c>
      <c r="L284" s="142" t="str">
        <f>IFERROR(VLOOKUP($C284,'NEW MODEL BY SES'!$C$19:$R$242,MATCH('SeS in Retail Sales Areas'!L$7,'NEW MODEL BY SES'!$C$17:$R$17,0),0),"")</f>
        <v/>
      </c>
      <c r="M284" s="140" t="str">
        <f>IFERROR(VLOOKUP($C284,'NEW MODEL BY SES'!$C$19:$R$242,MATCH('SeS in Retail Sales Areas'!M$7,'NEW MODEL BY SES'!$C$17:$R$17,0),0),"")</f>
        <v/>
      </c>
      <c r="N284" s="142" t="str">
        <f>IFERROR(VLOOKUP($C284,'NEW MODEL BY SES'!$C$19:$R$242,MATCH('SeS in Retail Sales Areas'!N$7,'NEW MODEL BY SES'!$C$17:$R$17,0),0),"")</f>
        <v/>
      </c>
      <c r="O284" s="140" t="str">
        <f>IFERROR(VLOOKUP($C284,'NEW MODEL BY SES'!$C$19:$R$242,MATCH('SeS in Retail Sales Areas'!O$7,'NEW MODEL BY SES'!$C$17:$R$17,0),0),"")</f>
        <v/>
      </c>
      <c r="P284" s="142" t="str">
        <f>IFERROR(VLOOKUP($C284,'NEW MODEL BY SES'!$C$19:$R$242,MATCH('SeS in Retail Sales Areas'!P$7,'NEW MODEL BY SES'!$C$17:$R$17,0),0),"")</f>
        <v/>
      </c>
      <c r="Q284" s="140" t="str">
        <f>IFERROR(VLOOKUP($C284,'NEW MODEL BY SES'!$C$19:$R$242,MATCH('SeS in Retail Sales Areas'!Q$7,'NEW MODEL BY SES'!$C$17:$R$17,0),0),"")</f>
        <v/>
      </c>
      <c r="R284" s="142" t="str">
        <f>IFERROR(VLOOKUP($C284,'NEW MODEL BY SES'!$C$19:$R$242,MATCH('SeS in Retail Sales Areas'!R$7,'NEW MODEL BY SES'!$C$17:$R$17,0),0),"")</f>
        <v/>
      </c>
      <c r="S284" s="141" t="str">
        <f>IFERROR(VLOOKUP($C284,'NEW MODEL BY SES'!$C$19:$R$242,MATCH('SeS in Retail Sales Areas'!S$7,'NEW MODEL BY SES'!$C$17:$R$17,0),0),"")</f>
        <v/>
      </c>
      <c r="T284" s="140" t="str">
        <f>IFERROR(VLOOKUP($C284,'NEW MODEL BY SES'!$C$19:$R$242,MATCH('SeS in Retail Sales Areas'!T$7,'NEW MODEL BY SES'!$C$17:$R$17,0),0),"")</f>
        <v/>
      </c>
      <c r="U284" s="142" t="str">
        <f>IFERROR(VLOOKUP($C284,'NEW MODEL BY SES'!$C$19:$R$242,MATCH('SeS in Retail Sales Areas'!U$7,'NEW MODEL BY SES'!$C$17:$R$17,0),0),"")</f>
        <v/>
      </c>
      <c r="V284" s="140" t="str">
        <f>IFERROR(VLOOKUP($C284,'NEW MODEL BY SES'!$C$19:$R$242,MATCH('SeS in Retail Sales Areas'!V$7,'NEW MODEL BY SES'!$C$17:$R$17,0),0),"")</f>
        <v/>
      </c>
      <c r="W284" s="141" t="str">
        <f>IFERROR(VLOOKUP($C284,'NEW MODEL BY SES'!$C$19:$R$242,MATCH('SeS in Retail Sales Areas'!W$7,'NEW MODEL BY SES'!$C$17:$R$17,0),0),"")</f>
        <v/>
      </c>
      <c r="X284" s="140" t="str">
        <f>IFERROR(VLOOKUP($C284,'NEW MODEL BY SES'!$C$19:$R$242,MATCH('SeS in Retail Sales Areas'!X$7,'NEW MODEL BY SES'!$C$17:$R$17,0),0),"")</f>
        <v/>
      </c>
      <c r="Z284" s="57"/>
    </row>
    <row r="285" spans="1:26">
      <c r="A285" t="s">
        <v>1201</v>
      </c>
      <c r="B285" s="57">
        <v>58</v>
      </c>
      <c r="C285" t="s">
        <v>1222</v>
      </c>
      <c r="D285" t="s">
        <v>44</v>
      </c>
      <c r="E285"/>
      <c r="F285" s="140" t="str">
        <f>IFERROR(VLOOKUP($C285,'NEW MODEL BY SES'!$C$19:$R$242,MATCH('SeS in Retail Sales Areas'!F$7,'NEW MODEL BY SES'!$C$17:$R$17,0),0),"")</f>
        <v/>
      </c>
      <c r="G285" s="140" t="str">
        <f>IFERROR(VLOOKUP($C285,'NEW MODEL BY SES'!$C$19:$R$242,MATCH('SeS in Retail Sales Areas'!G$7,'NEW MODEL BY SES'!$C$17:$R$17,0),0),"")</f>
        <v/>
      </c>
      <c r="H285" s="142" t="str">
        <f>IFERROR(VLOOKUP($C285,'NEW MODEL BY SES'!$C$19:$R$242,MATCH('SeS in Retail Sales Areas'!H$7,'NEW MODEL BY SES'!$C$17:$R$17,0),0),"")</f>
        <v/>
      </c>
      <c r="I285" s="140" t="str">
        <f>IFERROR(VLOOKUP($C285,'NEW MODEL BY SES'!$C$19:$R$242,MATCH('SeS in Retail Sales Areas'!I$7,'NEW MODEL BY SES'!$C$17:$R$17,0),0),"")</f>
        <v/>
      </c>
      <c r="J285" s="142" t="str">
        <f>IFERROR(VLOOKUP($C285,'NEW MODEL BY SES'!$C$19:$R$242,MATCH('SeS in Retail Sales Areas'!J$7,'NEW MODEL BY SES'!$C$17:$R$17,0),0),"")</f>
        <v/>
      </c>
      <c r="K285" s="140" t="str">
        <f>IFERROR(VLOOKUP($C285,'NEW MODEL BY SES'!$C$19:$R$242,MATCH('SeS in Retail Sales Areas'!K$7,'NEW MODEL BY SES'!$C$17:$R$17,0),0),"")</f>
        <v/>
      </c>
      <c r="L285" s="142" t="str">
        <f>IFERROR(VLOOKUP($C285,'NEW MODEL BY SES'!$C$19:$R$242,MATCH('SeS in Retail Sales Areas'!L$7,'NEW MODEL BY SES'!$C$17:$R$17,0),0),"")</f>
        <v/>
      </c>
      <c r="M285" s="140" t="str">
        <f>IFERROR(VLOOKUP($C285,'NEW MODEL BY SES'!$C$19:$R$242,MATCH('SeS in Retail Sales Areas'!M$7,'NEW MODEL BY SES'!$C$17:$R$17,0),0),"")</f>
        <v/>
      </c>
      <c r="N285" s="142" t="str">
        <f>IFERROR(VLOOKUP($C285,'NEW MODEL BY SES'!$C$19:$R$242,MATCH('SeS in Retail Sales Areas'!N$7,'NEW MODEL BY SES'!$C$17:$R$17,0),0),"")</f>
        <v/>
      </c>
      <c r="O285" s="140" t="str">
        <f>IFERROR(VLOOKUP($C285,'NEW MODEL BY SES'!$C$19:$R$242,MATCH('SeS in Retail Sales Areas'!O$7,'NEW MODEL BY SES'!$C$17:$R$17,0),0),"")</f>
        <v/>
      </c>
      <c r="P285" s="142" t="str">
        <f>IFERROR(VLOOKUP($C285,'NEW MODEL BY SES'!$C$19:$R$242,MATCH('SeS in Retail Sales Areas'!P$7,'NEW MODEL BY SES'!$C$17:$R$17,0),0),"")</f>
        <v/>
      </c>
      <c r="Q285" s="140" t="str">
        <f>IFERROR(VLOOKUP($C285,'NEW MODEL BY SES'!$C$19:$R$242,MATCH('SeS in Retail Sales Areas'!Q$7,'NEW MODEL BY SES'!$C$17:$R$17,0),0),"")</f>
        <v/>
      </c>
      <c r="R285" s="142" t="str">
        <f>IFERROR(VLOOKUP($C285,'NEW MODEL BY SES'!$C$19:$R$242,MATCH('SeS in Retail Sales Areas'!R$7,'NEW MODEL BY SES'!$C$17:$R$17,0),0),"")</f>
        <v/>
      </c>
      <c r="S285" s="141" t="str">
        <f>IFERROR(VLOOKUP($C285,'NEW MODEL BY SES'!$C$19:$R$242,MATCH('SeS in Retail Sales Areas'!S$7,'NEW MODEL BY SES'!$C$17:$R$17,0),0),"")</f>
        <v/>
      </c>
      <c r="T285" s="140" t="str">
        <f>IFERROR(VLOOKUP($C285,'NEW MODEL BY SES'!$C$19:$R$242,MATCH('SeS in Retail Sales Areas'!T$7,'NEW MODEL BY SES'!$C$17:$R$17,0),0),"")</f>
        <v/>
      </c>
      <c r="U285" s="142" t="str">
        <f>IFERROR(VLOOKUP($C285,'NEW MODEL BY SES'!$C$19:$R$242,MATCH('SeS in Retail Sales Areas'!U$7,'NEW MODEL BY SES'!$C$17:$R$17,0),0),"")</f>
        <v/>
      </c>
      <c r="V285" s="140" t="str">
        <f>IFERROR(VLOOKUP($C285,'NEW MODEL BY SES'!$C$19:$R$242,MATCH('SeS in Retail Sales Areas'!V$7,'NEW MODEL BY SES'!$C$17:$R$17,0),0),"")</f>
        <v/>
      </c>
      <c r="W285" s="141" t="str">
        <f>IFERROR(VLOOKUP($C285,'NEW MODEL BY SES'!$C$19:$R$242,MATCH('SeS in Retail Sales Areas'!W$7,'NEW MODEL BY SES'!$C$17:$R$17,0),0),"")</f>
        <v/>
      </c>
      <c r="X285" s="140" t="str">
        <f>IFERROR(VLOOKUP($C285,'NEW MODEL BY SES'!$C$19:$R$242,MATCH('SeS in Retail Sales Areas'!X$7,'NEW MODEL BY SES'!$C$17:$R$17,0),0),"")</f>
        <v/>
      </c>
      <c r="Z285" s="57"/>
    </row>
    <row r="286" spans="1:26">
      <c r="A286" t="s">
        <v>1201</v>
      </c>
      <c r="B286" s="57">
        <v>57</v>
      </c>
      <c r="C286" t="s">
        <v>1223</v>
      </c>
      <c r="D286" t="s">
        <v>44</v>
      </c>
      <c r="E286"/>
      <c r="F286" s="140" t="str">
        <f>IFERROR(VLOOKUP($C286,'NEW MODEL BY SES'!$C$19:$R$242,MATCH('SeS in Retail Sales Areas'!F$7,'NEW MODEL BY SES'!$C$17:$R$17,0),0),"")</f>
        <v/>
      </c>
      <c r="G286" s="140" t="str">
        <f>IFERROR(VLOOKUP($C286,'NEW MODEL BY SES'!$C$19:$R$242,MATCH('SeS in Retail Sales Areas'!G$7,'NEW MODEL BY SES'!$C$17:$R$17,0),0),"")</f>
        <v/>
      </c>
      <c r="H286" s="142" t="str">
        <f>IFERROR(VLOOKUP($C286,'NEW MODEL BY SES'!$C$19:$R$242,MATCH('SeS in Retail Sales Areas'!H$7,'NEW MODEL BY SES'!$C$17:$R$17,0),0),"")</f>
        <v/>
      </c>
      <c r="I286" s="140" t="str">
        <f>IFERROR(VLOOKUP($C286,'NEW MODEL BY SES'!$C$19:$R$242,MATCH('SeS in Retail Sales Areas'!I$7,'NEW MODEL BY SES'!$C$17:$R$17,0),0),"")</f>
        <v/>
      </c>
      <c r="J286" s="142" t="str">
        <f>IFERROR(VLOOKUP($C286,'NEW MODEL BY SES'!$C$19:$R$242,MATCH('SeS in Retail Sales Areas'!J$7,'NEW MODEL BY SES'!$C$17:$R$17,0),0),"")</f>
        <v/>
      </c>
      <c r="K286" s="140" t="str">
        <f>IFERROR(VLOOKUP($C286,'NEW MODEL BY SES'!$C$19:$R$242,MATCH('SeS in Retail Sales Areas'!K$7,'NEW MODEL BY SES'!$C$17:$R$17,0),0),"")</f>
        <v/>
      </c>
      <c r="L286" s="142" t="str">
        <f>IFERROR(VLOOKUP($C286,'NEW MODEL BY SES'!$C$19:$R$242,MATCH('SeS in Retail Sales Areas'!L$7,'NEW MODEL BY SES'!$C$17:$R$17,0),0),"")</f>
        <v/>
      </c>
      <c r="M286" s="140" t="str">
        <f>IFERROR(VLOOKUP($C286,'NEW MODEL BY SES'!$C$19:$R$242,MATCH('SeS in Retail Sales Areas'!M$7,'NEW MODEL BY SES'!$C$17:$R$17,0),0),"")</f>
        <v/>
      </c>
      <c r="N286" s="142" t="str">
        <f>IFERROR(VLOOKUP($C286,'NEW MODEL BY SES'!$C$19:$R$242,MATCH('SeS in Retail Sales Areas'!N$7,'NEW MODEL BY SES'!$C$17:$R$17,0),0),"")</f>
        <v/>
      </c>
      <c r="O286" s="140" t="str">
        <f>IFERROR(VLOOKUP($C286,'NEW MODEL BY SES'!$C$19:$R$242,MATCH('SeS in Retail Sales Areas'!O$7,'NEW MODEL BY SES'!$C$17:$R$17,0),0),"")</f>
        <v/>
      </c>
      <c r="P286" s="142" t="str">
        <f>IFERROR(VLOOKUP($C286,'NEW MODEL BY SES'!$C$19:$R$242,MATCH('SeS in Retail Sales Areas'!P$7,'NEW MODEL BY SES'!$C$17:$R$17,0),0),"")</f>
        <v/>
      </c>
      <c r="Q286" s="140" t="str">
        <f>IFERROR(VLOOKUP($C286,'NEW MODEL BY SES'!$C$19:$R$242,MATCH('SeS in Retail Sales Areas'!Q$7,'NEW MODEL BY SES'!$C$17:$R$17,0),0),"")</f>
        <v/>
      </c>
      <c r="R286" s="142" t="str">
        <f>IFERROR(VLOOKUP($C286,'NEW MODEL BY SES'!$C$19:$R$242,MATCH('SeS in Retail Sales Areas'!R$7,'NEW MODEL BY SES'!$C$17:$R$17,0),0),"")</f>
        <v/>
      </c>
      <c r="S286" s="141" t="str">
        <f>IFERROR(VLOOKUP($C286,'NEW MODEL BY SES'!$C$19:$R$242,MATCH('SeS in Retail Sales Areas'!S$7,'NEW MODEL BY SES'!$C$17:$R$17,0),0),"")</f>
        <v/>
      </c>
      <c r="T286" s="140" t="str">
        <f>IFERROR(VLOOKUP($C286,'NEW MODEL BY SES'!$C$19:$R$242,MATCH('SeS in Retail Sales Areas'!T$7,'NEW MODEL BY SES'!$C$17:$R$17,0),0),"")</f>
        <v/>
      </c>
      <c r="U286" s="142" t="str">
        <f>IFERROR(VLOOKUP($C286,'NEW MODEL BY SES'!$C$19:$R$242,MATCH('SeS in Retail Sales Areas'!U$7,'NEW MODEL BY SES'!$C$17:$R$17,0),0),"")</f>
        <v/>
      </c>
      <c r="V286" s="140" t="str">
        <f>IFERROR(VLOOKUP($C286,'NEW MODEL BY SES'!$C$19:$R$242,MATCH('SeS in Retail Sales Areas'!V$7,'NEW MODEL BY SES'!$C$17:$R$17,0),0),"")</f>
        <v/>
      </c>
      <c r="W286" s="141" t="str">
        <f>IFERROR(VLOOKUP($C286,'NEW MODEL BY SES'!$C$19:$R$242,MATCH('SeS in Retail Sales Areas'!W$7,'NEW MODEL BY SES'!$C$17:$R$17,0),0),"")</f>
        <v/>
      </c>
      <c r="X286" s="140" t="str">
        <f>IFERROR(VLOOKUP($C286,'NEW MODEL BY SES'!$C$19:$R$242,MATCH('SeS in Retail Sales Areas'!X$7,'NEW MODEL BY SES'!$C$17:$R$17,0),0),"")</f>
        <v/>
      </c>
      <c r="Z286" s="57"/>
    </row>
    <row r="287" spans="1:26">
      <c r="A287" t="s">
        <v>1201</v>
      </c>
      <c r="B287" s="57">
        <v>57</v>
      </c>
      <c r="C287" t="s">
        <v>1224</v>
      </c>
      <c r="D287" t="s">
        <v>44</v>
      </c>
      <c r="E287"/>
      <c r="F287" s="140" t="str">
        <f>IFERROR(VLOOKUP($C287,'NEW MODEL BY SES'!$C$19:$R$242,MATCH('SeS in Retail Sales Areas'!F$7,'NEW MODEL BY SES'!$C$17:$R$17,0),0),"")</f>
        <v/>
      </c>
      <c r="G287" s="140" t="str">
        <f>IFERROR(VLOOKUP($C287,'NEW MODEL BY SES'!$C$19:$R$242,MATCH('SeS in Retail Sales Areas'!G$7,'NEW MODEL BY SES'!$C$17:$R$17,0),0),"")</f>
        <v/>
      </c>
      <c r="H287" s="142" t="str">
        <f>IFERROR(VLOOKUP($C287,'NEW MODEL BY SES'!$C$19:$R$242,MATCH('SeS in Retail Sales Areas'!H$7,'NEW MODEL BY SES'!$C$17:$R$17,0),0),"")</f>
        <v/>
      </c>
      <c r="I287" s="140" t="str">
        <f>IFERROR(VLOOKUP($C287,'NEW MODEL BY SES'!$C$19:$R$242,MATCH('SeS in Retail Sales Areas'!I$7,'NEW MODEL BY SES'!$C$17:$R$17,0),0),"")</f>
        <v/>
      </c>
      <c r="J287" s="142" t="str">
        <f>IFERROR(VLOOKUP($C287,'NEW MODEL BY SES'!$C$19:$R$242,MATCH('SeS in Retail Sales Areas'!J$7,'NEW MODEL BY SES'!$C$17:$R$17,0),0),"")</f>
        <v/>
      </c>
      <c r="K287" s="140" t="str">
        <f>IFERROR(VLOOKUP($C287,'NEW MODEL BY SES'!$C$19:$R$242,MATCH('SeS in Retail Sales Areas'!K$7,'NEW MODEL BY SES'!$C$17:$R$17,0),0),"")</f>
        <v/>
      </c>
      <c r="L287" s="142" t="str">
        <f>IFERROR(VLOOKUP($C287,'NEW MODEL BY SES'!$C$19:$R$242,MATCH('SeS in Retail Sales Areas'!L$7,'NEW MODEL BY SES'!$C$17:$R$17,0),0),"")</f>
        <v/>
      </c>
      <c r="M287" s="140" t="str">
        <f>IFERROR(VLOOKUP($C287,'NEW MODEL BY SES'!$C$19:$R$242,MATCH('SeS in Retail Sales Areas'!M$7,'NEW MODEL BY SES'!$C$17:$R$17,0),0),"")</f>
        <v/>
      </c>
      <c r="N287" s="142" t="str">
        <f>IFERROR(VLOOKUP($C287,'NEW MODEL BY SES'!$C$19:$R$242,MATCH('SeS in Retail Sales Areas'!N$7,'NEW MODEL BY SES'!$C$17:$R$17,0),0),"")</f>
        <v/>
      </c>
      <c r="O287" s="140" t="str">
        <f>IFERROR(VLOOKUP($C287,'NEW MODEL BY SES'!$C$19:$R$242,MATCH('SeS in Retail Sales Areas'!O$7,'NEW MODEL BY SES'!$C$17:$R$17,0),0),"")</f>
        <v/>
      </c>
      <c r="P287" s="142" t="str">
        <f>IFERROR(VLOOKUP($C287,'NEW MODEL BY SES'!$C$19:$R$242,MATCH('SeS in Retail Sales Areas'!P$7,'NEW MODEL BY SES'!$C$17:$R$17,0),0),"")</f>
        <v/>
      </c>
      <c r="Q287" s="140" t="str">
        <f>IFERROR(VLOOKUP($C287,'NEW MODEL BY SES'!$C$19:$R$242,MATCH('SeS in Retail Sales Areas'!Q$7,'NEW MODEL BY SES'!$C$17:$R$17,0),0),"")</f>
        <v/>
      </c>
      <c r="R287" s="142" t="str">
        <f>IFERROR(VLOOKUP($C287,'NEW MODEL BY SES'!$C$19:$R$242,MATCH('SeS in Retail Sales Areas'!R$7,'NEW MODEL BY SES'!$C$17:$R$17,0),0),"")</f>
        <v/>
      </c>
      <c r="S287" s="141" t="str">
        <f>IFERROR(VLOOKUP($C287,'NEW MODEL BY SES'!$C$19:$R$242,MATCH('SeS in Retail Sales Areas'!S$7,'NEW MODEL BY SES'!$C$17:$R$17,0),0),"")</f>
        <v/>
      </c>
      <c r="T287" s="140" t="str">
        <f>IFERROR(VLOOKUP($C287,'NEW MODEL BY SES'!$C$19:$R$242,MATCH('SeS in Retail Sales Areas'!T$7,'NEW MODEL BY SES'!$C$17:$R$17,0),0),"")</f>
        <v/>
      </c>
      <c r="U287" s="142" t="str">
        <f>IFERROR(VLOOKUP($C287,'NEW MODEL BY SES'!$C$19:$R$242,MATCH('SeS in Retail Sales Areas'!U$7,'NEW MODEL BY SES'!$C$17:$R$17,0),0),"")</f>
        <v/>
      </c>
      <c r="V287" s="140" t="str">
        <f>IFERROR(VLOOKUP($C287,'NEW MODEL BY SES'!$C$19:$R$242,MATCH('SeS in Retail Sales Areas'!V$7,'NEW MODEL BY SES'!$C$17:$R$17,0),0),"")</f>
        <v/>
      </c>
      <c r="W287" s="141" t="str">
        <f>IFERROR(VLOOKUP($C287,'NEW MODEL BY SES'!$C$19:$R$242,MATCH('SeS in Retail Sales Areas'!W$7,'NEW MODEL BY SES'!$C$17:$R$17,0),0),"")</f>
        <v/>
      </c>
      <c r="X287" s="140" t="str">
        <f>IFERROR(VLOOKUP($C287,'NEW MODEL BY SES'!$C$19:$R$242,MATCH('SeS in Retail Sales Areas'!X$7,'NEW MODEL BY SES'!$C$17:$R$17,0),0),"")</f>
        <v/>
      </c>
      <c r="Z287" s="57"/>
    </row>
    <row r="288" spans="1:26">
      <c r="A288" t="s">
        <v>1201</v>
      </c>
      <c r="B288" s="57">
        <v>52</v>
      </c>
      <c r="C288" t="s">
        <v>1225</v>
      </c>
      <c r="D288" t="s">
        <v>44</v>
      </c>
      <c r="E288"/>
      <c r="F288" s="140" t="str">
        <f>IFERROR(VLOOKUP($C288,'NEW MODEL BY SES'!$C$19:$R$242,MATCH('SeS in Retail Sales Areas'!F$7,'NEW MODEL BY SES'!$C$17:$R$17,0),0),"")</f>
        <v/>
      </c>
      <c r="G288" s="140" t="str">
        <f>IFERROR(VLOOKUP($C288,'NEW MODEL BY SES'!$C$19:$R$242,MATCH('SeS in Retail Sales Areas'!G$7,'NEW MODEL BY SES'!$C$17:$R$17,0),0),"")</f>
        <v/>
      </c>
      <c r="H288" s="142" t="str">
        <f>IFERROR(VLOOKUP($C288,'NEW MODEL BY SES'!$C$19:$R$242,MATCH('SeS in Retail Sales Areas'!H$7,'NEW MODEL BY SES'!$C$17:$R$17,0),0),"")</f>
        <v/>
      </c>
      <c r="I288" s="140" t="str">
        <f>IFERROR(VLOOKUP($C288,'NEW MODEL BY SES'!$C$19:$R$242,MATCH('SeS in Retail Sales Areas'!I$7,'NEW MODEL BY SES'!$C$17:$R$17,0),0),"")</f>
        <v/>
      </c>
      <c r="J288" s="142" t="str">
        <f>IFERROR(VLOOKUP($C288,'NEW MODEL BY SES'!$C$19:$R$242,MATCH('SeS in Retail Sales Areas'!J$7,'NEW MODEL BY SES'!$C$17:$R$17,0),0),"")</f>
        <v/>
      </c>
      <c r="K288" s="140" t="str">
        <f>IFERROR(VLOOKUP($C288,'NEW MODEL BY SES'!$C$19:$R$242,MATCH('SeS in Retail Sales Areas'!K$7,'NEW MODEL BY SES'!$C$17:$R$17,0),0),"")</f>
        <v/>
      </c>
      <c r="L288" s="142" t="str">
        <f>IFERROR(VLOOKUP($C288,'NEW MODEL BY SES'!$C$19:$R$242,MATCH('SeS in Retail Sales Areas'!L$7,'NEW MODEL BY SES'!$C$17:$R$17,0),0),"")</f>
        <v/>
      </c>
      <c r="M288" s="140" t="str">
        <f>IFERROR(VLOOKUP($C288,'NEW MODEL BY SES'!$C$19:$R$242,MATCH('SeS in Retail Sales Areas'!M$7,'NEW MODEL BY SES'!$C$17:$R$17,0),0),"")</f>
        <v/>
      </c>
      <c r="N288" s="142" t="str">
        <f>IFERROR(VLOOKUP($C288,'NEW MODEL BY SES'!$C$19:$R$242,MATCH('SeS in Retail Sales Areas'!N$7,'NEW MODEL BY SES'!$C$17:$R$17,0),0),"")</f>
        <v/>
      </c>
      <c r="O288" s="140" t="str">
        <f>IFERROR(VLOOKUP($C288,'NEW MODEL BY SES'!$C$19:$R$242,MATCH('SeS in Retail Sales Areas'!O$7,'NEW MODEL BY SES'!$C$17:$R$17,0),0),"")</f>
        <v/>
      </c>
      <c r="P288" s="142" t="str">
        <f>IFERROR(VLOOKUP($C288,'NEW MODEL BY SES'!$C$19:$R$242,MATCH('SeS in Retail Sales Areas'!P$7,'NEW MODEL BY SES'!$C$17:$R$17,0),0),"")</f>
        <v/>
      </c>
      <c r="Q288" s="140" t="str">
        <f>IFERROR(VLOOKUP($C288,'NEW MODEL BY SES'!$C$19:$R$242,MATCH('SeS in Retail Sales Areas'!Q$7,'NEW MODEL BY SES'!$C$17:$R$17,0),0),"")</f>
        <v/>
      </c>
      <c r="R288" s="142" t="str">
        <f>IFERROR(VLOOKUP($C288,'NEW MODEL BY SES'!$C$19:$R$242,MATCH('SeS in Retail Sales Areas'!R$7,'NEW MODEL BY SES'!$C$17:$R$17,0),0),"")</f>
        <v/>
      </c>
      <c r="S288" s="141" t="str">
        <f>IFERROR(VLOOKUP($C288,'NEW MODEL BY SES'!$C$19:$R$242,MATCH('SeS in Retail Sales Areas'!S$7,'NEW MODEL BY SES'!$C$17:$R$17,0),0),"")</f>
        <v/>
      </c>
      <c r="T288" s="140" t="str">
        <f>IFERROR(VLOOKUP($C288,'NEW MODEL BY SES'!$C$19:$R$242,MATCH('SeS in Retail Sales Areas'!T$7,'NEW MODEL BY SES'!$C$17:$R$17,0),0),"")</f>
        <v/>
      </c>
      <c r="U288" s="142" t="str">
        <f>IFERROR(VLOOKUP($C288,'NEW MODEL BY SES'!$C$19:$R$242,MATCH('SeS in Retail Sales Areas'!U$7,'NEW MODEL BY SES'!$C$17:$R$17,0),0),"")</f>
        <v/>
      </c>
      <c r="V288" s="140" t="str">
        <f>IFERROR(VLOOKUP($C288,'NEW MODEL BY SES'!$C$19:$R$242,MATCH('SeS in Retail Sales Areas'!V$7,'NEW MODEL BY SES'!$C$17:$R$17,0),0),"")</f>
        <v/>
      </c>
      <c r="W288" s="141" t="str">
        <f>IFERROR(VLOOKUP($C288,'NEW MODEL BY SES'!$C$19:$R$242,MATCH('SeS in Retail Sales Areas'!W$7,'NEW MODEL BY SES'!$C$17:$R$17,0),0),"")</f>
        <v/>
      </c>
      <c r="X288" s="140" t="str">
        <f>IFERROR(VLOOKUP($C288,'NEW MODEL BY SES'!$C$19:$R$242,MATCH('SeS in Retail Sales Areas'!X$7,'NEW MODEL BY SES'!$C$17:$R$17,0),0),"")</f>
        <v/>
      </c>
      <c r="Z288" s="57"/>
    </row>
    <row r="289" spans="1:26">
      <c r="A289" t="s">
        <v>1201</v>
      </c>
      <c r="B289" s="57">
        <v>52</v>
      </c>
      <c r="C289" t="s">
        <v>1226</v>
      </c>
      <c r="D289" t="s">
        <v>44</v>
      </c>
      <c r="E289"/>
      <c r="F289" s="140" t="str">
        <f>IFERROR(VLOOKUP($C289,'NEW MODEL BY SES'!$C$19:$R$242,MATCH('SeS in Retail Sales Areas'!F$7,'NEW MODEL BY SES'!$C$17:$R$17,0),0),"")</f>
        <v/>
      </c>
      <c r="G289" s="140" t="str">
        <f>IFERROR(VLOOKUP($C289,'NEW MODEL BY SES'!$C$19:$R$242,MATCH('SeS in Retail Sales Areas'!G$7,'NEW MODEL BY SES'!$C$17:$R$17,0),0),"")</f>
        <v/>
      </c>
      <c r="H289" s="142" t="str">
        <f>IFERROR(VLOOKUP($C289,'NEW MODEL BY SES'!$C$19:$R$242,MATCH('SeS in Retail Sales Areas'!H$7,'NEW MODEL BY SES'!$C$17:$R$17,0),0),"")</f>
        <v/>
      </c>
      <c r="I289" s="140" t="str">
        <f>IFERROR(VLOOKUP($C289,'NEW MODEL BY SES'!$C$19:$R$242,MATCH('SeS in Retail Sales Areas'!I$7,'NEW MODEL BY SES'!$C$17:$R$17,0),0),"")</f>
        <v/>
      </c>
      <c r="J289" s="142" t="str">
        <f>IFERROR(VLOOKUP($C289,'NEW MODEL BY SES'!$C$19:$R$242,MATCH('SeS in Retail Sales Areas'!J$7,'NEW MODEL BY SES'!$C$17:$R$17,0),0),"")</f>
        <v/>
      </c>
      <c r="K289" s="140" t="str">
        <f>IFERROR(VLOOKUP($C289,'NEW MODEL BY SES'!$C$19:$R$242,MATCH('SeS in Retail Sales Areas'!K$7,'NEW MODEL BY SES'!$C$17:$R$17,0),0),"")</f>
        <v/>
      </c>
      <c r="L289" s="142" t="str">
        <f>IFERROR(VLOOKUP($C289,'NEW MODEL BY SES'!$C$19:$R$242,MATCH('SeS in Retail Sales Areas'!L$7,'NEW MODEL BY SES'!$C$17:$R$17,0),0),"")</f>
        <v/>
      </c>
      <c r="M289" s="140" t="str">
        <f>IFERROR(VLOOKUP($C289,'NEW MODEL BY SES'!$C$19:$R$242,MATCH('SeS in Retail Sales Areas'!M$7,'NEW MODEL BY SES'!$C$17:$R$17,0),0),"")</f>
        <v/>
      </c>
      <c r="N289" s="142" t="str">
        <f>IFERROR(VLOOKUP($C289,'NEW MODEL BY SES'!$C$19:$R$242,MATCH('SeS in Retail Sales Areas'!N$7,'NEW MODEL BY SES'!$C$17:$R$17,0),0),"")</f>
        <v/>
      </c>
      <c r="O289" s="140" t="str">
        <f>IFERROR(VLOOKUP($C289,'NEW MODEL BY SES'!$C$19:$R$242,MATCH('SeS in Retail Sales Areas'!O$7,'NEW MODEL BY SES'!$C$17:$R$17,0),0),"")</f>
        <v/>
      </c>
      <c r="P289" s="142" t="str">
        <f>IFERROR(VLOOKUP($C289,'NEW MODEL BY SES'!$C$19:$R$242,MATCH('SeS in Retail Sales Areas'!P$7,'NEW MODEL BY SES'!$C$17:$R$17,0),0),"")</f>
        <v/>
      </c>
      <c r="Q289" s="140" t="str">
        <f>IFERROR(VLOOKUP($C289,'NEW MODEL BY SES'!$C$19:$R$242,MATCH('SeS in Retail Sales Areas'!Q$7,'NEW MODEL BY SES'!$C$17:$R$17,0),0),"")</f>
        <v/>
      </c>
      <c r="R289" s="142" t="str">
        <f>IFERROR(VLOOKUP($C289,'NEW MODEL BY SES'!$C$19:$R$242,MATCH('SeS in Retail Sales Areas'!R$7,'NEW MODEL BY SES'!$C$17:$R$17,0),0),"")</f>
        <v/>
      </c>
      <c r="S289" s="141" t="str">
        <f>IFERROR(VLOOKUP($C289,'NEW MODEL BY SES'!$C$19:$R$242,MATCH('SeS in Retail Sales Areas'!S$7,'NEW MODEL BY SES'!$C$17:$R$17,0),0),"")</f>
        <v/>
      </c>
      <c r="T289" s="140" t="str">
        <f>IFERROR(VLOOKUP($C289,'NEW MODEL BY SES'!$C$19:$R$242,MATCH('SeS in Retail Sales Areas'!T$7,'NEW MODEL BY SES'!$C$17:$R$17,0),0),"")</f>
        <v/>
      </c>
      <c r="U289" s="142" t="str">
        <f>IFERROR(VLOOKUP($C289,'NEW MODEL BY SES'!$C$19:$R$242,MATCH('SeS in Retail Sales Areas'!U$7,'NEW MODEL BY SES'!$C$17:$R$17,0),0),"")</f>
        <v/>
      </c>
      <c r="V289" s="140" t="str">
        <f>IFERROR(VLOOKUP($C289,'NEW MODEL BY SES'!$C$19:$R$242,MATCH('SeS in Retail Sales Areas'!V$7,'NEW MODEL BY SES'!$C$17:$R$17,0),0),"")</f>
        <v/>
      </c>
      <c r="W289" s="141" t="str">
        <f>IFERROR(VLOOKUP($C289,'NEW MODEL BY SES'!$C$19:$R$242,MATCH('SeS in Retail Sales Areas'!W$7,'NEW MODEL BY SES'!$C$17:$R$17,0),0),"")</f>
        <v/>
      </c>
      <c r="X289" s="140" t="str">
        <f>IFERROR(VLOOKUP($C289,'NEW MODEL BY SES'!$C$19:$R$242,MATCH('SeS in Retail Sales Areas'!X$7,'NEW MODEL BY SES'!$C$17:$R$17,0),0),"")</f>
        <v/>
      </c>
      <c r="Z289" s="57"/>
    </row>
    <row r="290" spans="1:26">
      <c r="A290" t="s">
        <v>1201</v>
      </c>
      <c r="B290" s="57">
        <v>47</v>
      </c>
      <c r="C290" t="s">
        <v>1227</v>
      </c>
      <c r="D290" t="s">
        <v>44</v>
      </c>
      <c r="E290"/>
      <c r="F290" s="140" t="str">
        <f>IFERROR(VLOOKUP($C290,'NEW MODEL BY SES'!$C$19:$R$242,MATCH('SeS in Retail Sales Areas'!F$7,'NEW MODEL BY SES'!$C$17:$R$17,0),0),"")</f>
        <v/>
      </c>
      <c r="G290" s="140" t="str">
        <f>IFERROR(VLOOKUP($C290,'NEW MODEL BY SES'!$C$19:$R$242,MATCH('SeS in Retail Sales Areas'!G$7,'NEW MODEL BY SES'!$C$17:$R$17,0),0),"")</f>
        <v/>
      </c>
      <c r="H290" s="142" t="str">
        <f>IFERROR(VLOOKUP($C290,'NEW MODEL BY SES'!$C$19:$R$242,MATCH('SeS in Retail Sales Areas'!H$7,'NEW MODEL BY SES'!$C$17:$R$17,0),0),"")</f>
        <v/>
      </c>
      <c r="I290" s="140" t="str">
        <f>IFERROR(VLOOKUP($C290,'NEW MODEL BY SES'!$C$19:$R$242,MATCH('SeS in Retail Sales Areas'!I$7,'NEW MODEL BY SES'!$C$17:$R$17,0),0),"")</f>
        <v/>
      </c>
      <c r="J290" s="142" t="str">
        <f>IFERROR(VLOOKUP($C290,'NEW MODEL BY SES'!$C$19:$R$242,MATCH('SeS in Retail Sales Areas'!J$7,'NEW MODEL BY SES'!$C$17:$R$17,0),0),"")</f>
        <v/>
      </c>
      <c r="K290" s="140" t="str">
        <f>IFERROR(VLOOKUP($C290,'NEW MODEL BY SES'!$C$19:$R$242,MATCH('SeS in Retail Sales Areas'!K$7,'NEW MODEL BY SES'!$C$17:$R$17,0),0),"")</f>
        <v/>
      </c>
      <c r="L290" s="142" t="str">
        <f>IFERROR(VLOOKUP($C290,'NEW MODEL BY SES'!$C$19:$R$242,MATCH('SeS in Retail Sales Areas'!L$7,'NEW MODEL BY SES'!$C$17:$R$17,0),0),"")</f>
        <v/>
      </c>
      <c r="M290" s="140" t="str">
        <f>IFERROR(VLOOKUP($C290,'NEW MODEL BY SES'!$C$19:$R$242,MATCH('SeS in Retail Sales Areas'!M$7,'NEW MODEL BY SES'!$C$17:$R$17,0),0),"")</f>
        <v/>
      </c>
      <c r="N290" s="142" t="str">
        <f>IFERROR(VLOOKUP($C290,'NEW MODEL BY SES'!$C$19:$R$242,MATCH('SeS in Retail Sales Areas'!N$7,'NEW MODEL BY SES'!$C$17:$R$17,0),0),"")</f>
        <v/>
      </c>
      <c r="O290" s="140" t="str">
        <f>IFERROR(VLOOKUP($C290,'NEW MODEL BY SES'!$C$19:$R$242,MATCH('SeS in Retail Sales Areas'!O$7,'NEW MODEL BY SES'!$C$17:$R$17,0),0),"")</f>
        <v/>
      </c>
      <c r="P290" s="142" t="str">
        <f>IFERROR(VLOOKUP($C290,'NEW MODEL BY SES'!$C$19:$R$242,MATCH('SeS in Retail Sales Areas'!P$7,'NEW MODEL BY SES'!$C$17:$R$17,0),0),"")</f>
        <v/>
      </c>
      <c r="Q290" s="140" t="str">
        <f>IFERROR(VLOOKUP($C290,'NEW MODEL BY SES'!$C$19:$R$242,MATCH('SeS in Retail Sales Areas'!Q$7,'NEW MODEL BY SES'!$C$17:$R$17,0),0),"")</f>
        <v/>
      </c>
      <c r="R290" s="142" t="str">
        <f>IFERROR(VLOOKUP($C290,'NEW MODEL BY SES'!$C$19:$R$242,MATCH('SeS in Retail Sales Areas'!R$7,'NEW MODEL BY SES'!$C$17:$R$17,0),0),"")</f>
        <v/>
      </c>
      <c r="S290" s="141" t="str">
        <f>IFERROR(VLOOKUP($C290,'NEW MODEL BY SES'!$C$19:$R$242,MATCH('SeS in Retail Sales Areas'!S$7,'NEW MODEL BY SES'!$C$17:$R$17,0),0),"")</f>
        <v/>
      </c>
      <c r="T290" s="140" t="str">
        <f>IFERROR(VLOOKUP($C290,'NEW MODEL BY SES'!$C$19:$R$242,MATCH('SeS in Retail Sales Areas'!T$7,'NEW MODEL BY SES'!$C$17:$R$17,0),0),"")</f>
        <v/>
      </c>
      <c r="U290" s="142" t="str">
        <f>IFERROR(VLOOKUP($C290,'NEW MODEL BY SES'!$C$19:$R$242,MATCH('SeS in Retail Sales Areas'!U$7,'NEW MODEL BY SES'!$C$17:$R$17,0),0),"")</f>
        <v/>
      </c>
      <c r="V290" s="140" t="str">
        <f>IFERROR(VLOOKUP($C290,'NEW MODEL BY SES'!$C$19:$R$242,MATCH('SeS in Retail Sales Areas'!V$7,'NEW MODEL BY SES'!$C$17:$R$17,0),0),"")</f>
        <v/>
      </c>
      <c r="W290" s="141" t="str">
        <f>IFERROR(VLOOKUP($C290,'NEW MODEL BY SES'!$C$19:$R$242,MATCH('SeS in Retail Sales Areas'!W$7,'NEW MODEL BY SES'!$C$17:$R$17,0),0),"")</f>
        <v/>
      </c>
      <c r="X290" s="140" t="str">
        <f>IFERROR(VLOOKUP($C290,'NEW MODEL BY SES'!$C$19:$R$242,MATCH('SeS in Retail Sales Areas'!X$7,'NEW MODEL BY SES'!$C$17:$R$17,0),0),"")</f>
        <v/>
      </c>
      <c r="Z290" s="57"/>
    </row>
    <row r="291" spans="1:26">
      <c r="A291" t="s">
        <v>1201</v>
      </c>
      <c r="B291" s="57">
        <v>5</v>
      </c>
      <c r="C291" t="s">
        <v>1228</v>
      </c>
      <c r="D291" t="s">
        <v>44</v>
      </c>
      <c r="E291"/>
      <c r="F291" s="140" t="str">
        <f>IFERROR(VLOOKUP($C291,'NEW MODEL BY SES'!$C$19:$R$242,MATCH('SeS in Retail Sales Areas'!F$7,'NEW MODEL BY SES'!$C$17:$R$17,0),0),"")</f>
        <v/>
      </c>
      <c r="G291" s="140" t="str">
        <f>IFERROR(VLOOKUP($C291,'NEW MODEL BY SES'!$C$19:$R$242,MATCH('SeS in Retail Sales Areas'!G$7,'NEW MODEL BY SES'!$C$17:$R$17,0),0),"")</f>
        <v/>
      </c>
      <c r="H291" s="142" t="str">
        <f>IFERROR(VLOOKUP($C291,'NEW MODEL BY SES'!$C$19:$R$242,MATCH('SeS in Retail Sales Areas'!H$7,'NEW MODEL BY SES'!$C$17:$R$17,0),0),"")</f>
        <v/>
      </c>
      <c r="I291" s="140" t="str">
        <f>IFERROR(VLOOKUP($C291,'NEW MODEL BY SES'!$C$19:$R$242,MATCH('SeS in Retail Sales Areas'!I$7,'NEW MODEL BY SES'!$C$17:$R$17,0),0),"")</f>
        <v/>
      </c>
      <c r="J291" s="142" t="str">
        <f>IFERROR(VLOOKUP($C291,'NEW MODEL BY SES'!$C$19:$R$242,MATCH('SeS in Retail Sales Areas'!J$7,'NEW MODEL BY SES'!$C$17:$R$17,0),0),"")</f>
        <v/>
      </c>
      <c r="K291" s="140" t="str">
        <f>IFERROR(VLOOKUP($C291,'NEW MODEL BY SES'!$C$19:$R$242,MATCH('SeS in Retail Sales Areas'!K$7,'NEW MODEL BY SES'!$C$17:$R$17,0),0),"")</f>
        <v/>
      </c>
      <c r="L291" s="142" t="str">
        <f>IFERROR(VLOOKUP($C291,'NEW MODEL BY SES'!$C$19:$R$242,MATCH('SeS in Retail Sales Areas'!L$7,'NEW MODEL BY SES'!$C$17:$R$17,0),0),"")</f>
        <v/>
      </c>
      <c r="M291" s="140" t="str">
        <f>IFERROR(VLOOKUP($C291,'NEW MODEL BY SES'!$C$19:$R$242,MATCH('SeS in Retail Sales Areas'!M$7,'NEW MODEL BY SES'!$C$17:$R$17,0),0),"")</f>
        <v/>
      </c>
      <c r="N291" s="142" t="str">
        <f>IFERROR(VLOOKUP($C291,'NEW MODEL BY SES'!$C$19:$R$242,MATCH('SeS in Retail Sales Areas'!N$7,'NEW MODEL BY SES'!$C$17:$R$17,0),0),"")</f>
        <v/>
      </c>
      <c r="O291" s="140" t="str">
        <f>IFERROR(VLOOKUP($C291,'NEW MODEL BY SES'!$C$19:$R$242,MATCH('SeS in Retail Sales Areas'!O$7,'NEW MODEL BY SES'!$C$17:$R$17,0),0),"")</f>
        <v/>
      </c>
      <c r="P291" s="142" t="str">
        <f>IFERROR(VLOOKUP($C291,'NEW MODEL BY SES'!$C$19:$R$242,MATCH('SeS in Retail Sales Areas'!P$7,'NEW MODEL BY SES'!$C$17:$R$17,0),0),"")</f>
        <v/>
      </c>
      <c r="Q291" s="140" t="str">
        <f>IFERROR(VLOOKUP($C291,'NEW MODEL BY SES'!$C$19:$R$242,MATCH('SeS in Retail Sales Areas'!Q$7,'NEW MODEL BY SES'!$C$17:$R$17,0),0),"")</f>
        <v/>
      </c>
      <c r="R291" s="142" t="str">
        <f>IFERROR(VLOOKUP($C291,'NEW MODEL BY SES'!$C$19:$R$242,MATCH('SeS in Retail Sales Areas'!R$7,'NEW MODEL BY SES'!$C$17:$R$17,0),0),"")</f>
        <v/>
      </c>
      <c r="S291" s="141" t="str">
        <f>IFERROR(VLOOKUP($C291,'NEW MODEL BY SES'!$C$19:$R$242,MATCH('SeS in Retail Sales Areas'!S$7,'NEW MODEL BY SES'!$C$17:$R$17,0),0),"")</f>
        <v/>
      </c>
      <c r="T291" s="140" t="str">
        <f>IFERROR(VLOOKUP($C291,'NEW MODEL BY SES'!$C$19:$R$242,MATCH('SeS in Retail Sales Areas'!T$7,'NEW MODEL BY SES'!$C$17:$R$17,0),0),"")</f>
        <v/>
      </c>
      <c r="U291" s="142" t="str">
        <f>IFERROR(VLOOKUP($C291,'NEW MODEL BY SES'!$C$19:$R$242,MATCH('SeS in Retail Sales Areas'!U$7,'NEW MODEL BY SES'!$C$17:$R$17,0),0),"")</f>
        <v/>
      </c>
      <c r="V291" s="140" t="str">
        <f>IFERROR(VLOOKUP($C291,'NEW MODEL BY SES'!$C$19:$R$242,MATCH('SeS in Retail Sales Areas'!V$7,'NEW MODEL BY SES'!$C$17:$R$17,0),0),"")</f>
        <v/>
      </c>
      <c r="W291" s="141" t="str">
        <f>IFERROR(VLOOKUP($C291,'NEW MODEL BY SES'!$C$19:$R$242,MATCH('SeS in Retail Sales Areas'!W$7,'NEW MODEL BY SES'!$C$17:$R$17,0),0),"")</f>
        <v/>
      </c>
      <c r="X291" s="140" t="str">
        <f>IFERROR(VLOOKUP($C291,'NEW MODEL BY SES'!$C$19:$R$242,MATCH('SeS in Retail Sales Areas'!X$7,'NEW MODEL BY SES'!$C$17:$R$17,0),0),"")</f>
        <v/>
      </c>
      <c r="Z291" s="57"/>
    </row>
    <row r="292" spans="1:26">
      <c r="A292" t="s">
        <v>1229</v>
      </c>
      <c r="B292" s="57">
        <v>158</v>
      </c>
      <c r="C292" t="s">
        <v>1230</v>
      </c>
      <c r="D292" t="s">
        <v>38</v>
      </c>
      <c r="E292"/>
      <c r="F292" s="140" t="str">
        <f>IFERROR(VLOOKUP($C292,'NEW MODEL BY SES'!$C$19:$R$242,MATCH('SeS in Retail Sales Areas'!F$7,'NEW MODEL BY SES'!$C$17:$R$17,0),0),"")</f>
        <v/>
      </c>
      <c r="G292" s="140" t="str">
        <f>IFERROR(VLOOKUP($C292,'NEW MODEL BY SES'!$C$19:$R$242,MATCH('SeS in Retail Sales Areas'!G$7,'NEW MODEL BY SES'!$C$17:$R$17,0),0),"")</f>
        <v/>
      </c>
      <c r="H292" s="142" t="str">
        <f>IFERROR(VLOOKUP($C292,'NEW MODEL BY SES'!$C$19:$R$242,MATCH('SeS in Retail Sales Areas'!H$7,'NEW MODEL BY SES'!$C$17:$R$17,0),0),"")</f>
        <v/>
      </c>
      <c r="I292" s="140" t="str">
        <f>IFERROR(VLOOKUP($C292,'NEW MODEL BY SES'!$C$19:$R$242,MATCH('SeS in Retail Sales Areas'!I$7,'NEW MODEL BY SES'!$C$17:$R$17,0),0),"")</f>
        <v/>
      </c>
      <c r="J292" s="142" t="str">
        <f>IFERROR(VLOOKUP($C292,'NEW MODEL BY SES'!$C$19:$R$242,MATCH('SeS in Retail Sales Areas'!J$7,'NEW MODEL BY SES'!$C$17:$R$17,0),0),"")</f>
        <v/>
      </c>
      <c r="K292" s="140" t="str">
        <f>IFERROR(VLOOKUP($C292,'NEW MODEL BY SES'!$C$19:$R$242,MATCH('SeS in Retail Sales Areas'!K$7,'NEW MODEL BY SES'!$C$17:$R$17,0),0),"")</f>
        <v/>
      </c>
      <c r="L292" s="142" t="str">
        <f>IFERROR(VLOOKUP($C292,'NEW MODEL BY SES'!$C$19:$R$242,MATCH('SeS in Retail Sales Areas'!L$7,'NEW MODEL BY SES'!$C$17:$R$17,0),0),"")</f>
        <v/>
      </c>
      <c r="M292" s="140" t="str">
        <f>IFERROR(VLOOKUP($C292,'NEW MODEL BY SES'!$C$19:$R$242,MATCH('SeS in Retail Sales Areas'!M$7,'NEW MODEL BY SES'!$C$17:$R$17,0),0),"")</f>
        <v/>
      </c>
      <c r="N292" s="142" t="str">
        <f>IFERROR(VLOOKUP($C292,'NEW MODEL BY SES'!$C$19:$R$242,MATCH('SeS in Retail Sales Areas'!N$7,'NEW MODEL BY SES'!$C$17:$R$17,0),0),"")</f>
        <v/>
      </c>
      <c r="O292" s="140" t="str">
        <f>IFERROR(VLOOKUP($C292,'NEW MODEL BY SES'!$C$19:$R$242,MATCH('SeS in Retail Sales Areas'!O$7,'NEW MODEL BY SES'!$C$17:$R$17,0),0),"")</f>
        <v/>
      </c>
      <c r="P292" s="142" t="str">
        <f>IFERROR(VLOOKUP($C292,'NEW MODEL BY SES'!$C$19:$R$242,MATCH('SeS in Retail Sales Areas'!P$7,'NEW MODEL BY SES'!$C$17:$R$17,0),0),"")</f>
        <v/>
      </c>
      <c r="Q292" s="140" t="str">
        <f>IFERROR(VLOOKUP($C292,'NEW MODEL BY SES'!$C$19:$R$242,MATCH('SeS in Retail Sales Areas'!Q$7,'NEW MODEL BY SES'!$C$17:$R$17,0),0),"")</f>
        <v/>
      </c>
      <c r="R292" s="142" t="str">
        <f>IFERROR(VLOOKUP($C292,'NEW MODEL BY SES'!$C$19:$R$242,MATCH('SeS in Retail Sales Areas'!R$7,'NEW MODEL BY SES'!$C$17:$R$17,0),0),"")</f>
        <v/>
      </c>
      <c r="S292" s="141" t="str">
        <f>IFERROR(VLOOKUP($C292,'NEW MODEL BY SES'!$C$19:$R$242,MATCH('SeS in Retail Sales Areas'!S$7,'NEW MODEL BY SES'!$C$17:$R$17,0),0),"")</f>
        <v/>
      </c>
      <c r="T292" s="140" t="str">
        <f>IFERROR(VLOOKUP($C292,'NEW MODEL BY SES'!$C$19:$R$242,MATCH('SeS in Retail Sales Areas'!T$7,'NEW MODEL BY SES'!$C$17:$R$17,0),0),"")</f>
        <v/>
      </c>
      <c r="U292" s="142" t="str">
        <f>IFERROR(VLOOKUP($C292,'NEW MODEL BY SES'!$C$19:$R$242,MATCH('SeS in Retail Sales Areas'!U$7,'NEW MODEL BY SES'!$C$17:$R$17,0),0),"")</f>
        <v/>
      </c>
      <c r="V292" s="140" t="str">
        <f>IFERROR(VLOOKUP($C292,'NEW MODEL BY SES'!$C$19:$R$242,MATCH('SeS in Retail Sales Areas'!V$7,'NEW MODEL BY SES'!$C$17:$R$17,0),0),"")</f>
        <v/>
      </c>
      <c r="W292" s="141" t="str">
        <f>IFERROR(VLOOKUP($C292,'NEW MODEL BY SES'!$C$19:$R$242,MATCH('SeS in Retail Sales Areas'!W$7,'NEW MODEL BY SES'!$C$17:$R$17,0),0),"")</f>
        <v/>
      </c>
      <c r="X292" s="140" t="str">
        <f>IFERROR(VLOOKUP($C292,'NEW MODEL BY SES'!$C$19:$R$242,MATCH('SeS in Retail Sales Areas'!X$7,'NEW MODEL BY SES'!$C$17:$R$17,0),0),"")</f>
        <v/>
      </c>
      <c r="Z292" s="57"/>
    </row>
    <row r="293" spans="1:26">
      <c r="A293" t="s">
        <v>1229</v>
      </c>
      <c r="B293" s="57">
        <v>154</v>
      </c>
      <c r="C293" t="s">
        <v>1231</v>
      </c>
      <c r="D293" t="s">
        <v>38</v>
      </c>
      <c r="E293"/>
      <c r="F293" s="140" t="str">
        <f>IFERROR(VLOOKUP($C293,'NEW MODEL BY SES'!$C$19:$R$242,MATCH('SeS in Retail Sales Areas'!F$7,'NEW MODEL BY SES'!$C$17:$R$17,0),0),"")</f>
        <v/>
      </c>
      <c r="G293" s="140" t="str">
        <f>IFERROR(VLOOKUP($C293,'NEW MODEL BY SES'!$C$19:$R$242,MATCH('SeS in Retail Sales Areas'!G$7,'NEW MODEL BY SES'!$C$17:$R$17,0),0),"")</f>
        <v/>
      </c>
      <c r="H293" s="142" t="str">
        <f>IFERROR(VLOOKUP($C293,'NEW MODEL BY SES'!$C$19:$R$242,MATCH('SeS in Retail Sales Areas'!H$7,'NEW MODEL BY SES'!$C$17:$R$17,0),0),"")</f>
        <v/>
      </c>
      <c r="I293" s="140" t="str">
        <f>IFERROR(VLOOKUP($C293,'NEW MODEL BY SES'!$C$19:$R$242,MATCH('SeS in Retail Sales Areas'!I$7,'NEW MODEL BY SES'!$C$17:$R$17,0),0),"")</f>
        <v/>
      </c>
      <c r="J293" s="142" t="str">
        <f>IFERROR(VLOOKUP($C293,'NEW MODEL BY SES'!$C$19:$R$242,MATCH('SeS in Retail Sales Areas'!J$7,'NEW MODEL BY SES'!$C$17:$R$17,0),0),"")</f>
        <v/>
      </c>
      <c r="K293" s="140" t="str">
        <f>IFERROR(VLOOKUP($C293,'NEW MODEL BY SES'!$C$19:$R$242,MATCH('SeS in Retail Sales Areas'!K$7,'NEW MODEL BY SES'!$C$17:$R$17,0),0),"")</f>
        <v/>
      </c>
      <c r="L293" s="142" t="str">
        <f>IFERROR(VLOOKUP($C293,'NEW MODEL BY SES'!$C$19:$R$242,MATCH('SeS in Retail Sales Areas'!L$7,'NEW MODEL BY SES'!$C$17:$R$17,0),0),"")</f>
        <v/>
      </c>
      <c r="M293" s="140" t="str">
        <f>IFERROR(VLOOKUP($C293,'NEW MODEL BY SES'!$C$19:$R$242,MATCH('SeS in Retail Sales Areas'!M$7,'NEW MODEL BY SES'!$C$17:$R$17,0),0),"")</f>
        <v/>
      </c>
      <c r="N293" s="142" t="str">
        <f>IFERROR(VLOOKUP($C293,'NEW MODEL BY SES'!$C$19:$R$242,MATCH('SeS in Retail Sales Areas'!N$7,'NEW MODEL BY SES'!$C$17:$R$17,0),0),"")</f>
        <v/>
      </c>
      <c r="O293" s="140" t="str">
        <f>IFERROR(VLOOKUP($C293,'NEW MODEL BY SES'!$C$19:$R$242,MATCH('SeS in Retail Sales Areas'!O$7,'NEW MODEL BY SES'!$C$17:$R$17,0),0),"")</f>
        <v/>
      </c>
      <c r="P293" s="142" t="str">
        <f>IFERROR(VLOOKUP($C293,'NEW MODEL BY SES'!$C$19:$R$242,MATCH('SeS in Retail Sales Areas'!P$7,'NEW MODEL BY SES'!$C$17:$R$17,0),0),"")</f>
        <v/>
      </c>
      <c r="Q293" s="140" t="str">
        <f>IFERROR(VLOOKUP($C293,'NEW MODEL BY SES'!$C$19:$R$242,MATCH('SeS in Retail Sales Areas'!Q$7,'NEW MODEL BY SES'!$C$17:$R$17,0),0),"")</f>
        <v/>
      </c>
      <c r="R293" s="142" t="str">
        <f>IFERROR(VLOOKUP($C293,'NEW MODEL BY SES'!$C$19:$R$242,MATCH('SeS in Retail Sales Areas'!R$7,'NEW MODEL BY SES'!$C$17:$R$17,0),0),"")</f>
        <v/>
      </c>
      <c r="S293" s="141" t="str">
        <f>IFERROR(VLOOKUP($C293,'NEW MODEL BY SES'!$C$19:$R$242,MATCH('SeS in Retail Sales Areas'!S$7,'NEW MODEL BY SES'!$C$17:$R$17,0),0),"")</f>
        <v/>
      </c>
      <c r="T293" s="140" t="str">
        <f>IFERROR(VLOOKUP($C293,'NEW MODEL BY SES'!$C$19:$R$242,MATCH('SeS in Retail Sales Areas'!T$7,'NEW MODEL BY SES'!$C$17:$R$17,0),0),"")</f>
        <v/>
      </c>
      <c r="U293" s="142" t="str">
        <f>IFERROR(VLOOKUP($C293,'NEW MODEL BY SES'!$C$19:$R$242,MATCH('SeS in Retail Sales Areas'!U$7,'NEW MODEL BY SES'!$C$17:$R$17,0),0),"")</f>
        <v/>
      </c>
      <c r="V293" s="140" t="str">
        <f>IFERROR(VLOOKUP($C293,'NEW MODEL BY SES'!$C$19:$R$242,MATCH('SeS in Retail Sales Areas'!V$7,'NEW MODEL BY SES'!$C$17:$R$17,0),0),"")</f>
        <v/>
      </c>
      <c r="W293" s="141" t="str">
        <f>IFERROR(VLOOKUP($C293,'NEW MODEL BY SES'!$C$19:$R$242,MATCH('SeS in Retail Sales Areas'!W$7,'NEW MODEL BY SES'!$C$17:$R$17,0),0),"")</f>
        <v/>
      </c>
      <c r="X293" s="140" t="str">
        <f>IFERROR(VLOOKUP($C293,'NEW MODEL BY SES'!$C$19:$R$242,MATCH('SeS in Retail Sales Areas'!X$7,'NEW MODEL BY SES'!$C$17:$R$17,0),0),"")</f>
        <v/>
      </c>
      <c r="Z293" s="57"/>
    </row>
    <row r="294" spans="1:26">
      <c r="A294" t="s">
        <v>1229</v>
      </c>
      <c r="B294" s="57">
        <v>123</v>
      </c>
      <c r="C294" t="s">
        <v>1232</v>
      </c>
      <c r="D294" t="s">
        <v>40</v>
      </c>
      <c r="E294"/>
      <c r="F294" s="140" t="str">
        <f>IFERROR(VLOOKUP($C294,'NEW MODEL BY SES'!$C$19:$R$242,MATCH('SeS in Retail Sales Areas'!F$7,'NEW MODEL BY SES'!$C$17:$R$17,0),0),"")</f>
        <v/>
      </c>
      <c r="G294" s="140" t="str">
        <f>IFERROR(VLOOKUP($C294,'NEW MODEL BY SES'!$C$19:$R$242,MATCH('SeS in Retail Sales Areas'!G$7,'NEW MODEL BY SES'!$C$17:$R$17,0),0),"")</f>
        <v/>
      </c>
      <c r="H294" s="142" t="str">
        <f>IFERROR(VLOOKUP($C294,'NEW MODEL BY SES'!$C$19:$R$242,MATCH('SeS in Retail Sales Areas'!H$7,'NEW MODEL BY SES'!$C$17:$R$17,0),0),"")</f>
        <v/>
      </c>
      <c r="I294" s="140" t="str">
        <f>IFERROR(VLOOKUP($C294,'NEW MODEL BY SES'!$C$19:$R$242,MATCH('SeS in Retail Sales Areas'!I$7,'NEW MODEL BY SES'!$C$17:$R$17,0),0),"")</f>
        <v/>
      </c>
      <c r="J294" s="142" t="str">
        <f>IFERROR(VLOOKUP($C294,'NEW MODEL BY SES'!$C$19:$R$242,MATCH('SeS in Retail Sales Areas'!J$7,'NEW MODEL BY SES'!$C$17:$R$17,0),0),"")</f>
        <v/>
      </c>
      <c r="K294" s="140" t="str">
        <f>IFERROR(VLOOKUP($C294,'NEW MODEL BY SES'!$C$19:$R$242,MATCH('SeS in Retail Sales Areas'!K$7,'NEW MODEL BY SES'!$C$17:$R$17,0),0),"")</f>
        <v/>
      </c>
      <c r="L294" s="142" t="str">
        <f>IFERROR(VLOOKUP($C294,'NEW MODEL BY SES'!$C$19:$R$242,MATCH('SeS in Retail Sales Areas'!L$7,'NEW MODEL BY SES'!$C$17:$R$17,0),0),"")</f>
        <v/>
      </c>
      <c r="M294" s="140" t="str">
        <f>IFERROR(VLOOKUP($C294,'NEW MODEL BY SES'!$C$19:$R$242,MATCH('SeS in Retail Sales Areas'!M$7,'NEW MODEL BY SES'!$C$17:$R$17,0),0),"")</f>
        <v/>
      </c>
      <c r="N294" s="142" t="str">
        <f>IFERROR(VLOOKUP($C294,'NEW MODEL BY SES'!$C$19:$R$242,MATCH('SeS in Retail Sales Areas'!N$7,'NEW MODEL BY SES'!$C$17:$R$17,0),0),"")</f>
        <v/>
      </c>
      <c r="O294" s="140" t="str">
        <f>IFERROR(VLOOKUP($C294,'NEW MODEL BY SES'!$C$19:$R$242,MATCH('SeS in Retail Sales Areas'!O$7,'NEW MODEL BY SES'!$C$17:$R$17,0),0),"")</f>
        <v/>
      </c>
      <c r="P294" s="142" t="str">
        <f>IFERROR(VLOOKUP($C294,'NEW MODEL BY SES'!$C$19:$R$242,MATCH('SeS in Retail Sales Areas'!P$7,'NEW MODEL BY SES'!$C$17:$R$17,0),0),"")</f>
        <v/>
      </c>
      <c r="Q294" s="140" t="str">
        <f>IFERROR(VLOOKUP($C294,'NEW MODEL BY SES'!$C$19:$R$242,MATCH('SeS in Retail Sales Areas'!Q$7,'NEW MODEL BY SES'!$C$17:$R$17,0),0),"")</f>
        <v/>
      </c>
      <c r="R294" s="142" t="str">
        <f>IFERROR(VLOOKUP($C294,'NEW MODEL BY SES'!$C$19:$R$242,MATCH('SeS in Retail Sales Areas'!R$7,'NEW MODEL BY SES'!$C$17:$R$17,0),0),"")</f>
        <v/>
      </c>
      <c r="S294" s="141" t="str">
        <f>IFERROR(VLOOKUP($C294,'NEW MODEL BY SES'!$C$19:$R$242,MATCH('SeS in Retail Sales Areas'!S$7,'NEW MODEL BY SES'!$C$17:$R$17,0),0),"")</f>
        <v/>
      </c>
      <c r="T294" s="140" t="str">
        <f>IFERROR(VLOOKUP($C294,'NEW MODEL BY SES'!$C$19:$R$242,MATCH('SeS in Retail Sales Areas'!T$7,'NEW MODEL BY SES'!$C$17:$R$17,0),0),"")</f>
        <v/>
      </c>
      <c r="U294" s="142" t="str">
        <f>IFERROR(VLOOKUP($C294,'NEW MODEL BY SES'!$C$19:$R$242,MATCH('SeS in Retail Sales Areas'!U$7,'NEW MODEL BY SES'!$C$17:$R$17,0),0),"")</f>
        <v/>
      </c>
      <c r="V294" s="140" t="str">
        <f>IFERROR(VLOOKUP($C294,'NEW MODEL BY SES'!$C$19:$R$242,MATCH('SeS in Retail Sales Areas'!V$7,'NEW MODEL BY SES'!$C$17:$R$17,0),0),"")</f>
        <v/>
      </c>
      <c r="W294" s="141" t="str">
        <f>IFERROR(VLOOKUP($C294,'NEW MODEL BY SES'!$C$19:$R$242,MATCH('SeS in Retail Sales Areas'!W$7,'NEW MODEL BY SES'!$C$17:$R$17,0),0),"")</f>
        <v/>
      </c>
      <c r="X294" s="140" t="str">
        <f>IFERROR(VLOOKUP($C294,'NEW MODEL BY SES'!$C$19:$R$242,MATCH('SeS in Retail Sales Areas'!X$7,'NEW MODEL BY SES'!$C$17:$R$17,0),0),"")</f>
        <v/>
      </c>
      <c r="Z294" s="57"/>
    </row>
    <row r="295" spans="1:26">
      <c r="A295" t="s">
        <v>1229</v>
      </c>
      <c r="B295" s="57">
        <v>123</v>
      </c>
      <c r="C295" t="s">
        <v>1233</v>
      </c>
      <c r="D295" t="s">
        <v>40</v>
      </c>
      <c r="E295"/>
      <c r="F295" s="140" t="str">
        <f>IFERROR(VLOOKUP($C295,'NEW MODEL BY SES'!$C$19:$R$242,MATCH('SeS in Retail Sales Areas'!F$7,'NEW MODEL BY SES'!$C$17:$R$17,0),0),"")</f>
        <v/>
      </c>
      <c r="G295" s="140" t="str">
        <f>IFERROR(VLOOKUP($C295,'NEW MODEL BY SES'!$C$19:$R$242,MATCH('SeS in Retail Sales Areas'!G$7,'NEW MODEL BY SES'!$C$17:$R$17,0),0),"")</f>
        <v/>
      </c>
      <c r="H295" s="142" t="str">
        <f>IFERROR(VLOOKUP($C295,'NEW MODEL BY SES'!$C$19:$R$242,MATCH('SeS in Retail Sales Areas'!H$7,'NEW MODEL BY SES'!$C$17:$R$17,0),0),"")</f>
        <v/>
      </c>
      <c r="I295" s="140" t="str">
        <f>IFERROR(VLOOKUP($C295,'NEW MODEL BY SES'!$C$19:$R$242,MATCH('SeS in Retail Sales Areas'!I$7,'NEW MODEL BY SES'!$C$17:$R$17,0),0),"")</f>
        <v/>
      </c>
      <c r="J295" s="142" t="str">
        <f>IFERROR(VLOOKUP($C295,'NEW MODEL BY SES'!$C$19:$R$242,MATCH('SeS in Retail Sales Areas'!J$7,'NEW MODEL BY SES'!$C$17:$R$17,0),0),"")</f>
        <v/>
      </c>
      <c r="K295" s="140" t="str">
        <f>IFERROR(VLOOKUP($C295,'NEW MODEL BY SES'!$C$19:$R$242,MATCH('SeS in Retail Sales Areas'!K$7,'NEW MODEL BY SES'!$C$17:$R$17,0),0),"")</f>
        <v/>
      </c>
      <c r="L295" s="142" t="str">
        <f>IFERROR(VLOOKUP($C295,'NEW MODEL BY SES'!$C$19:$R$242,MATCH('SeS in Retail Sales Areas'!L$7,'NEW MODEL BY SES'!$C$17:$R$17,0),0),"")</f>
        <v/>
      </c>
      <c r="M295" s="140" t="str">
        <f>IFERROR(VLOOKUP($C295,'NEW MODEL BY SES'!$C$19:$R$242,MATCH('SeS in Retail Sales Areas'!M$7,'NEW MODEL BY SES'!$C$17:$R$17,0),0),"")</f>
        <v/>
      </c>
      <c r="N295" s="142" t="str">
        <f>IFERROR(VLOOKUP($C295,'NEW MODEL BY SES'!$C$19:$R$242,MATCH('SeS in Retail Sales Areas'!N$7,'NEW MODEL BY SES'!$C$17:$R$17,0),0),"")</f>
        <v/>
      </c>
      <c r="O295" s="140" t="str">
        <f>IFERROR(VLOOKUP($C295,'NEW MODEL BY SES'!$C$19:$R$242,MATCH('SeS in Retail Sales Areas'!O$7,'NEW MODEL BY SES'!$C$17:$R$17,0),0),"")</f>
        <v/>
      </c>
      <c r="P295" s="142" t="str">
        <f>IFERROR(VLOOKUP($C295,'NEW MODEL BY SES'!$C$19:$R$242,MATCH('SeS in Retail Sales Areas'!P$7,'NEW MODEL BY SES'!$C$17:$R$17,0),0),"")</f>
        <v/>
      </c>
      <c r="Q295" s="140" t="str">
        <f>IFERROR(VLOOKUP($C295,'NEW MODEL BY SES'!$C$19:$R$242,MATCH('SeS in Retail Sales Areas'!Q$7,'NEW MODEL BY SES'!$C$17:$R$17,0),0),"")</f>
        <v/>
      </c>
      <c r="R295" s="142" t="str">
        <f>IFERROR(VLOOKUP($C295,'NEW MODEL BY SES'!$C$19:$R$242,MATCH('SeS in Retail Sales Areas'!R$7,'NEW MODEL BY SES'!$C$17:$R$17,0),0),"")</f>
        <v/>
      </c>
      <c r="S295" s="141" t="str">
        <f>IFERROR(VLOOKUP($C295,'NEW MODEL BY SES'!$C$19:$R$242,MATCH('SeS in Retail Sales Areas'!S$7,'NEW MODEL BY SES'!$C$17:$R$17,0),0),"")</f>
        <v/>
      </c>
      <c r="T295" s="140" t="str">
        <f>IFERROR(VLOOKUP($C295,'NEW MODEL BY SES'!$C$19:$R$242,MATCH('SeS in Retail Sales Areas'!T$7,'NEW MODEL BY SES'!$C$17:$R$17,0),0),"")</f>
        <v/>
      </c>
      <c r="U295" s="142" t="str">
        <f>IFERROR(VLOOKUP($C295,'NEW MODEL BY SES'!$C$19:$R$242,MATCH('SeS in Retail Sales Areas'!U$7,'NEW MODEL BY SES'!$C$17:$R$17,0),0),"")</f>
        <v/>
      </c>
      <c r="V295" s="140" t="str">
        <f>IFERROR(VLOOKUP($C295,'NEW MODEL BY SES'!$C$19:$R$242,MATCH('SeS in Retail Sales Areas'!V$7,'NEW MODEL BY SES'!$C$17:$R$17,0),0),"")</f>
        <v/>
      </c>
      <c r="W295" s="141" t="str">
        <f>IFERROR(VLOOKUP($C295,'NEW MODEL BY SES'!$C$19:$R$242,MATCH('SeS in Retail Sales Areas'!W$7,'NEW MODEL BY SES'!$C$17:$R$17,0),0),"")</f>
        <v/>
      </c>
      <c r="X295" s="140" t="str">
        <f>IFERROR(VLOOKUP($C295,'NEW MODEL BY SES'!$C$19:$R$242,MATCH('SeS in Retail Sales Areas'!X$7,'NEW MODEL BY SES'!$C$17:$R$17,0),0),"")</f>
        <v/>
      </c>
      <c r="Z295" s="57"/>
    </row>
    <row r="296" spans="1:26">
      <c r="A296" t="s">
        <v>1229</v>
      </c>
      <c r="B296" s="57">
        <v>118</v>
      </c>
      <c r="C296" t="s">
        <v>1234</v>
      </c>
      <c r="D296" t="s">
        <v>40</v>
      </c>
      <c r="E296"/>
      <c r="F296" s="140" t="str">
        <f>IFERROR(VLOOKUP($C296,'NEW MODEL BY SES'!$C$19:$R$242,MATCH('SeS in Retail Sales Areas'!F$7,'NEW MODEL BY SES'!$C$17:$R$17,0),0),"")</f>
        <v/>
      </c>
      <c r="G296" s="140" t="str">
        <f>IFERROR(VLOOKUP($C296,'NEW MODEL BY SES'!$C$19:$R$242,MATCH('SeS in Retail Sales Areas'!G$7,'NEW MODEL BY SES'!$C$17:$R$17,0),0),"")</f>
        <v/>
      </c>
      <c r="H296" s="142" t="str">
        <f>IFERROR(VLOOKUP($C296,'NEW MODEL BY SES'!$C$19:$R$242,MATCH('SeS in Retail Sales Areas'!H$7,'NEW MODEL BY SES'!$C$17:$R$17,0),0),"")</f>
        <v/>
      </c>
      <c r="I296" s="140" t="str">
        <f>IFERROR(VLOOKUP($C296,'NEW MODEL BY SES'!$C$19:$R$242,MATCH('SeS in Retail Sales Areas'!I$7,'NEW MODEL BY SES'!$C$17:$R$17,0),0),"")</f>
        <v/>
      </c>
      <c r="J296" s="142" t="str">
        <f>IFERROR(VLOOKUP($C296,'NEW MODEL BY SES'!$C$19:$R$242,MATCH('SeS in Retail Sales Areas'!J$7,'NEW MODEL BY SES'!$C$17:$R$17,0),0),"")</f>
        <v/>
      </c>
      <c r="K296" s="140" t="str">
        <f>IFERROR(VLOOKUP($C296,'NEW MODEL BY SES'!$C$19:$R$242,MATCH('SeS in Retail Sales Areas'!K$7,'NEW MODEL BY SES'!$C$17:$R$17,0),0),"")</f>
        <v/>
      </c>
      <c r="L296" s="142" t="str">
        <f>IFERROR(VLOOKUP($C296,'NEW MODEL BY SES'!$C$19:$R$242,MATCH('SeS in Retail Sales Areas'!L$7,'NEW MODEL BY SES'!$C$17:$R$17,0),0),"")</f>
        <v/>
      </c>
      <c r="M296" s="140" t="str">
        <f>IFERROR(VLOOKUP($C296,'NEW MODEL BY SES'!$C$19:$R$242,MATCH('SeS in Retail Sales Areas'!M$7,'NEW MODEL BY SES'!$C$17:$R$17,0),0),"")</f>
        <v/>
      </c>
      <c r="N296" s="142" t="str">
        <f>IFERROR(VLOOKUP($C296,'NEW MODEL BY SES'!$C$19:$R$242,MATCH('SeS in Retail Sales Areas'!N$7,'NEW MODEL BY SES'!$C$17:$R$17,0),0),"")</f>
        <v/>
      </c>
      <c r="O296" s="140" t="str">
        <f>IFERROR(VLOOKUP($C296,'NEW MODEL BY SES'!$C$19:$R$242,MATCH('SeS in Retail Sales Areas'!O$7,'NEW MODEL BY SES'!$C$17:$R$17,0),0),"")</f>
        <v/>
      </c>
      <c r="P296" s="142" t="str">
        <f>IFERROR(VLOOKUP($C296,'NEW MODEL BY SES'!$C$19:$R$242,MATCH('SeS in Retail Sales Areas'!P$7,'NEW MODEL BY SES'!$C$17:$R$17,0),0),"")</f>
        <v/>
      </c>
      <c r="Q296" s="140" t="str">
        <f>IFERROR(VLOOKUP($C296,'NEW MODEL BY SES'!$C$19:$R$242,MATCH('SeS in Retail Sales Areas'!Q$7,'NEW MODEL BY SES'!$C$17:$R$17,0),0),"")</f>
        <v/>
      </c>
      <c r="R296" s="142" t="str">
        <f>IFERROR(VLOOKUP($C296,'NEW MODEL BY SES'!$C$19:$R$242,MATCH('SeS in Retail Sales Areas'!R$7,'NEW MODEL BY SES'!$C$17:$R$17,0),0),"")</f>
        <v/>
      </c>
      <c r="S296" s="141" t="str">
        <f>IFERROR(VLOOKUP($C296,'NEW MODEL BY SES'!$C$19:$R$242,MATCH('SeS in Retail Sales Areas'!S$7,'NEW MODEL BY SES'!$C$17:$R$17,0),0),"")</f>
        <v/>
      </c>
      <c r="T296" s="140" t="str">
        <f>IFERROR(VLOOKUP($C296,'NEW MODEL BY SES'!$C$19:$R$242,MATCH('SeS in Retail Sales Areas'!T$7,'NEW MODEL BY SES'!$C$17:$R$17,0),0),"")</f>
        <v/>
      </c>
      <c r="U296" s="142" t="str">
        <f>IFERROR(VLOOKUP($C296,'NEW MODEL BY SES'!$C$19:$R$242,MATCH('SeS in Retail Sales Areas'!U$7,'NEW MODEL BY SES'!$C$17:$R$17,0),0),"")</f>
        <v/>
      </c>
      <c r="V296" s="140" t="str">
        <f>IFERROR(VLOOKUP($C296,'NEW MODEL BY SES'!$C$19:$R$242,MATCH('SeS in Retail Sales Areas'!V$7,'NEW MODEL BY SES'!$C$17:$R$17,0),0),"")</f>
        <v/>
      </c>
      <c r="W296" s="141" t="str">
        <f>IFERROR(VLOOKUP($C296,'NEW MODEL BY SES'!$C$19:$R$242,MATCH('SeS in Retail Sales Areas'!W$7,'NEW MODEL BY SES'!$C$17:$R$17,0),0),"")</f>
        <v/>
      </c>
      <c r="X296" s="140" t="str">
        <f>IFERROR(VLOOKUP($C296,'NEW MODEL BY SES'!$C$19:$R$242,MATCH('SeS in Retail Sales Areas'!X$7,'NEW MODEL BY SES'!$C$17:$R$17,0),0),"")</f>
        <v/>
      </c>
      <c r="Z296" s="57"/>
    </row>
    <row r="297" spans="1:26">
      <c r="A297" t="s">
        <v>1229</v>
      </c>
      <c r="B297" s="57">
        <v>114</v>
      </c>
      <c r="C297" t="s">
        <v>1235</v>
      </c>
      <c r="D297" t="s">
        <v>40</v>
      </c>
      <c r="E297"/>
      <c r="F297" s="140" t="str">
        <f>IFERROR(VLOOKUP($C297,'NEW MODEL BY SES'!$C$19:$R$242,MATCH('SeS in Retail Sales Areas'!F$7,'NEW MODEL BY SES'!$C$17:$R$17,0),0),"")</f>
        <v/>
      </c>
      <c r="G297" s="140" t="str">
        <f>IFERROR(VLOOKUP($C297,'NEW MODEL BY SES'!$C$19:$R$242,MATCH('SeS in Retail Sales Areas'!G$7,'NEW MODEL BY SES'!$C$17:$R$17,0),0),"")</f>
        <v/>
      </c>
      <c r="H297" s="142" t="str">
        <f>IFERROR(VLOOKUP($C297,'NEW MODEL BY SES'!$C$19:$R$242,MATCH('SeS in Retail Sales Areas'!H$7,'NEW MODEL BY SES'!$C$17:$R$17,0),0),"")</f>
        <v/>
      </c>
      <c r="I297" s="140" t="str">
        <f>IFERROR(VLOOKUP($C297,'NEW MODEL BY SES'!$C$19:$R$242,MATCH('SeS in Retail Sales Areas'!I$7,'NEW MODEL BY SES'!$C$17:$R$17,0),0),"")</f>
        <v/>
      </c>
      <c r="J297" s="142" t="str">
        <f>IFERROR(VLOOKUP($C297,'NEW MODEL BY SES'!$C$19:$R$242,MATCH('SeS in Retail Sales Areas'!J$7,'NEW MODEL BY SES'!$C$17:$R$17,0),0),"")</f>
        <v/>
      </c>
      <c r="K297" s="140" t="str">
        <f>IFERROR(VLOOKUP($C297,'NEW MODEL BY SES'!$C$19:$R$242,MATCH('SeS in Retail Sales Areas'!K$7,'NEW MODEL BY SES'!$C$17:$R$17,0),0),"")</f>
        <v/>
      </c>
      <c r="L297" s="142" t="str">
        <f>IFERROR(VLOOKUP($C297,'NEW MODEL BY SES'!$C$19:$R$242,MATCH('SeS in Retail Sales Areas'!L$7,'NEW MODEL BY SES'!$C$17:$R$17,0),0),"")</f>
        <v/>
      </c>
      <c r="M297" s="140" t="str">
        <f>IFERROR(VLOOKUP($C297,'NEW MODEL BY SES'!$C$19:$R$242,MATCH('SeS in Retail Sales Areas'!M$7,'NEW MODEL BY SES'!$C$17:$R$17,0),0),"")</f>
        <v/>
      </c>
      <c r="N297" s="142" t="str">
        <f>IFERROR(VLOOKUP($C297,'NEW MODEL BY SES'!$C$19:$R$242,MATCH('SeS in Retail Sales Areas'!N$7,'NEW MODEL BY SES'!$C$17:$R$17,0),0),"")</f>
        <v/>
      </c>
      <c r="O297" s="140" t="str">
        <f>IFERROR(VLOOKUP($C297,'NEW MODEL BY SES'!$C$19:$R$242,MATCH('SeS in Retail Sales Areas'!O$7,'NEW MODEL BY SES'!$C$17:$R$17,0),0),"")</f>
        <v/>
      </c>
      <c r="P297" s="142" t="str">
        <f>IFERROR(VLOOKUP($C297,'NEW MODEL BY SES'!$C$19:$R$242,MATCH('SeS in Retail Sales Areas'!P$7,'NEW MODEL BY SES'!$C$17:$R$17,0),0),"")</f>
        <v/>
      </c>
      <c r="Q297" s="140" t="str">
        <f>IFERROR(VLOOKUP($C297,'NEW MODEL BY SES'!$C$19:$R$242,MATCH('SeS in Retail Sales Areas'!Q$7,'NEW MODEL BY SES'!$C$17:$R$17,0),0),"")</f>
        <v/>
      </c>
      <c r="R297" s="142" t="str">
        <f>IFERROR(VLOOKUP($C297,'NEW MODEL BY SES'!$C$19:$R$242,MATCH('SeS in Retail Sales Areas'!R$7,'NEW MODEL BY SES'!$C$17:$R$17,0),0),"")</f>
        <v/>
      </c>
      <c r="S297" s="141" t="str">
        <f>IFERROR(VLOOKUP($C297,'NEW MODEL BY SES'!$C$19:$R$242,MATCH('SeS in Retail Sales Areas'!S$7,'NEW MODEL BY SES'!$C$17:$R$17,0),0),"")</f>
        <v/>
      </c>
      <c r="T297" s="140" t="str">
        <f>IFERROR(VLOOKUP($C297,'NEW MODEL BY SES'!$C$19:$R$242,MATCH('SeS in Retail Sales Areas'!T$7,'NEW MODEL BY SES'!$C$17:$R$17,0),0),"")</f>
        <v/>
      </c>
      <c r="U297" s="142" t="str">
        <f>IFERROR(VLOOKUP($C297,'NEW MODEL BY SES'!$C$19:$R$242,MATCH('SeS in Retail Sales Areas'!U$7,'NEW MODEL BY SES'!$C$17:$R$17,0),0),"")</f>
        <v/>
      </c>
      <c r="V297" s="140" t="str">
        <f>IFERROR(VLOOKUP($C297,'NEW MODEL BY SES'!$C$19:$R$242,MATCH('SeS in Retail Sales Areas'!V$7,'NEW MODEL BY SES'!$C$17:$R$17,0),0),"")</f>
        <v/>
      </c>
      <c r="W297" s="141" t="str">
        <f>IFERROR(VLOOKUP($C297,'NEW MODEL BY SES'!$C$19:$R$242,MATCH('SeS in Retail Sales Areas'!W$7,'NEW MODEL BY SES'!$C$17:$R$17,0),0),"")</f>
        <v/>
      </c>
      <c r="X297" s="140" t="str">
        <f>IFERROR(VLOOKUP($C297,'NEW MODEL BY SES'!$C$19:$R$242,MATCH('SeS in Retail Sales Areas'!X$7,'NEW MODEL BY SES'!$C$17:$R$17,0),0),"")</f>
        <v/>
      </c>
      <c r="Z297" s="57"/>
    </row>
    <row r="298" spans="1:26">
      <c r="A298" t="s">
        <v>1229</v>
      </c>
      <c r="B298" s="57">
        <v>103</v>
      </c>
      <c r="C298" t="s">
        <v>1236</v>
      </c>
      <c r="D298" t="s">
        <v>40</v>
      </c>
      <c r="E298"/>
      <c r="F298" s="140" t="str">
        <f>IFERROR(VLOOKUP($C298,'NEW MODEL BY SES'!$C$19:$R$242,MATCH('SeS in Retail Sales Areas'!F$7,'NEW MODEL BY SES'!$C$17:$R$17,0),0),"")</f>
        <v/>
      </c>
      <c r="G298" s="140" t="str">
        <f>IFERROR(VLOOKUP($C298,'NEW MODEL BY SES'!$C$19:$R$242,MATCH('SeS in Retail Sales Areas'!G$7,'NEW MODEL BY SES'!$C$17:$R$17,0),0),"")</f>
        <v/>
      </c>
      <c r="H298" s="142" t="str">
        <f>IFERROR(VLOOKUP($C298,'NEW MODEL BY SES'!$C$19:$R$242,MATCH('SeS in Retail Sales Areas'!H$7,'NEW MODEL BY SES'!$C$17:$R$17,0),0),"")</f>
        <v/>
      </c>
      <c r="I298" s="140" t="str">
        <f>IFERROR(VLOOKUP($C298,'NEW MODEL BY SES'!$C$19:$R$242,MATCH('SeS in Retail Sales Areas'!I$7,'NEW MODEL BY SES'!$C$17:$R$17,0),0),"")</f>
        <v/>
      </c>
      <c r="J298" s="142" t="str">
        <f>IFERROR(VLOOKUP($C298,'NEW MODEL BY SES'!$C$19:$R$242,MATCH('SeS in Retail Sales Areas'!J$7,'NEW MODEL BY SES'!$C$17:$R$17,0),0),"")</f>
        <v/>
      </c>
      <c r="K298" s="140" t="str">
        <f>IFERROR(VLOOKUP($C298,'NEW MODEL BY SES'!$C$19:$R$242,MATCH('SeS in Retail Sales Areas'!K$7,'NEW MODEL BY SES'!$C$17:$R$17,0),0),"")</f>
        <v/>
      </c>
      <c r="L298" s="142" t="str">
        <f>IFERROR(VLOOKUP($C298,'NEW MODEL BY SES'!$C$19:$R$242,MATCH('SeS in Retail Sales Areas'!L$7,'NEW MODEL BY SES'!$C$17:$R$17,0),0),"")</f>
        <v/>
      </c>
      <c r="M298" s="140" t="str">
        <f>IFERROR(VLOOKUP($C298,'NEW MODEL BY SES'!$C$19:$R$242,MATCH('SeS in Retail Sales Areas'!M$7,'NEW MODEL BY SES'!$C$17:$R$17,0),0),"")</f>
        <v/>
      </c>
      <c r="N298" s="142" t="str">
        <f>IFERROR(VLOOKUP($C298,'NEW MODEL BY SES'!$C$19:$R$242,MATCH('SeS in Retail Sales Areas'!N$7,'NEW MODEL BY SES'!$C$17:$R$17,0),0),"")</f>
        <v/>
      </c>
      <c r="O298" s="140" t="str">
        <f>IFERROR(VLOOKUP($C298,'NEW MODEL BY SES'!$C$19:$R$242,MATCH('SeS in Retail Sales Areas'!O$7,'NEW MODEL BY SES'!$C$17:$R$17,0),0),"")</f>
        <v/>
      </c>
      <c r="P298" s="142" t="str">
        <f>IFERROR(VLOOKUP($C298,'NEW MODEL BY SES'!$C$19:$R$242,MATCH('SeS in Retail Sales Areas'!P$7,'NEW MODEL BY SES'!$C$17:$R$17,0),0),"")</f>
        <v/>
      </c>
      <c r="Q298" s="140" t="str">
        <f>IFERROR(VLOOKUP($C298,'NEW MODEL BY SES'!$C$19:$R$242,MATCH('SeS in Retail Sales Areas'!Q$7,'NEW MODEL BY SES'!$C$17:$R$17,0),0),"")</f>
        <v/>
      </c>
      <c r="R298" s="142" t="str">
        <f>IFERROR(VLOOKUP($C298,'NEW MODEL BY SES'!$C$19:$R$242,MATCH('SeS in Retail Sales Areas'!R$7,'NEW MODEL BY SES'!$C$17:$R$17,0),0),"")</f>
        <v/>
      </c>
      <c r="S298" s="141" t="str">
        <f>IFERROR(VLOOKUP($C298,'NEW MODEL BY SES'!$C$19:$R$242,MATCH('SeS in Retail Sales Areas'!S$7,'NEW MODEL BY SES'!$C$17:$R$17,0),0),"")</f>
        <v/>
      </c>
      <c r="T298" s="140" t="str">
        <f>IFERROR(VLOOKUP($C298,'NEW MODEL BY SES'!$C$19:$R$242,MATCH('SeS in Retail Sales Areas'!T$7,'NEW MODEL BY SES'!$C$17:$R$17,0),0),"")</f>
        <v/>
      </c>
      <c r="U298" s="142" t="str">
        <f>IFERROR(VLOOKUP($C298,'NEW MODEL BY SES'!$C$19:$R$242,MATCH('SeS in Retail Sales Areas'!U$7,'NEW MODEL BY SES'!$C$17:$R$17,0),0),"")</f>
        <v/>
      </c>
      <c r="V298" s="140" t="str">
        <f>IFERROR(VLOOKUP($C298,'NEW MODEL BY SES'!$C$19:$R$242,MATCH('SeS in Retail Sales Areas'!V$7,'NEW MODEL BY SES'!$C$17:$R$17,0),0),"")</f>
        <v/>
      </c>
      <c r="W298" s="141" t="str">
        <f>IFERROR(VLOOKUP($C298,'NEW MODEL BY SES'!$C$19:$R$242,MATCH('SeS in Retail Sales Areas'!W$7,'NEW MODEL BY SES'!$C$17:$R$17,0),0),"")</f>
        <v/>
      </c>
      <c r="X298" s="140" t="str">
        <f>IFERROR(VLOOKUP($C298,'NEW MODEL BY SES'!$C$19:$R$242,MATCH('SeS in Retail Sales Areas'!X$7,'NEW MODEL BY SES'!$C$17:$R$17,0),0),"")</f>
        <v/>
      </c>
      <c r="Z298" s="57"/>
    </row>
    <row r="299" spans="1:26">
      <c r="A299" t="s">
        <v>1229</v>
      </c>
      <c r="B299" s="57">
        <v>103</v>
      </c>
      <c r="C299" t="s">
        <v>1237</v>
      </c>
      <c r="D299" t="s">
        <v>40</v>
      </c>
      <c r="E299"/>
      <c r="F299" s="140" t="str">
        <f>IFERROR(VLOOKUP($C299,'NEW MODEL BY SES'!$C$19:$R$242,MATCH('SeS in Retail Sales Areas'!F$7,'NEW MODEL BY SES'!$C$17:$R$17,0),0),"")</f>
        <v/>
      </c>
      <c r="G299" s="140" t="str">
        <f>IFERROR(VLOOKUP($C299,'NEW MODEL BY SES'!$C$19:$R$242,MATCH('SeS in Retail Sales Areas'!G$7,'NEW MODEL BY SES'!$C$17:$R$17,0),0),"")</f>
        <v/>
      </c>
      <c r="H299" s="142" t="str">
        <f>IFERROR(VLOOKUP($C299,'NEW MODEL BY SES'!$C$19:$R$242,MATCH('SeS in Retail Sales Areas'!H$7,'NEW MODEL BY SES'!$C$17:$R$17,0),0),"")</f>
        <v/>
      </c>
      <c r="I299" s="140" t="str">
        <f>IFERROR(VLOOKUP($C299,'NEW MODEL BY SES'!$C$19:$R$242,MATCH('SeS in Retail Sales Areas'!I$7,'NEW MODEL BY SES'!$C$17:$R$17,0),0),"")</f>
        <v/>
      </c>
      <c r="J299" s="142" t="str">
        <f>IFERROR(VLOOKUP($C299,'NEW MODEL BY SES'!$C$19:$R$242,MATCH('SeS in Retail Sales Areas'!J$7,'NEW MODEL BY SES'!$C$17:$R$17,0),0),"")</f>
        <v/>
      </c>
      <c r="K299" s="140" t="str">
        <f>IFERROR(VLOOKUP($C299,'NEW MODEL BY SES'!$C$19:$R$242,MATCH('SeS in Retail Sales Areas'!K$7,'NEW MODEL BY SES'!$C$17:$R$17,0),0),"")</f>
        <v/>
      </c>
      <c r="L299" s="142" t="str">
        <f>IFERROR(VLOOKUP($C299,'NEW MODEL BY SES'!$C$19:$R$242,MATCH('SeS in Retail Sales Areas'!L$7,'NEW MODEL BY SES'!$C$17:$R$17,0),0),"")</f>
        <v/>
      </c>
      <c r="M299" s="140" t="str">
        <f>IFERROR(VLOOKUP($C299,'NEW MODEL BY SES'!$C$19:$R$242,MATCH('SeS in Retail Sales Areas'!M$7,'NEW MODEL BY SES'!$C$17:$R$17,0),0),"")</f>
        <v/>
      </c>
      <c r="N299" s="142" t="str">
        <f>IFERROR(VLOOKUP($C299,'NEW MODEL BY SES'!$C$19:$R$242,MATCH('SeS in Retail Sales Areas'!N$7,'NEW MODEL BY SES'!$C$17:$R$17,0),0),"")</f>
        <v/>
      </c>
      <c r="O299" s="140" t="str">
        <f>IFERROR(VLOOKUP($C299,'NEW MODEL BY SES'!$C$19:$R$242,MATCH('SeS in Retail Sales Areas'!O$7,'NEW MODEL BY SES'!$C$17:$R$17,0),0),"")</f>
        <v/>
      </c>
      <c r="P299" s="142" t="str">
        <f>IFERROR(VLOOKUP($C299,'NEW MODEL BY SES'!$C$19:$R$242,MATCH('SeS in Retail Sales Areas'!P$7,'NEW MODEL BY SES'!$C$17:$R$17,0),0),"")</f>
        <v/>
      </c>
      <c r="Q299" s="140" t="str">
        <f>IFERROR(VLOOKUP($C299,'NEW MODEL BY SES'!$C$19:$R$242,MATCH('SeS in Retail Sales Areas'!Q$7,'NEW MODEL BY SES'!$C$17:$R$17,0),0),"")</f>
        <v/>
      </c>
      <c r="R299" s="142" t="str">
        <f>IFERROR(VLOOKUP($C299,'NEW MODEL BY SES'!$C$19:$R$242,MATCH('SeS in Retail Sales Areas'!R$7,'NEW MODEL BY SES'!$C$17:$R$17,0),0),"")</f>
        <v/>
      </c>
      <c r="S299" s="141" t="str">
        <f>IFERROR(VLOOKUP($C299,'NEW MODEL BY SES'!$C$19:$R$242,MATCH('SeS in Retail Sales Areas'!S$7,'NEW MODEL BY SES'!$C$17:$R$17,0),0),"")</f>
        <v/>
      </c>
      <c r="T299" s="140" t="str">
        <f>IFERROR(VLOOKUP($C299,'NEW MODEL BY SES'!$C$19:$R$242,MATCH('SeS in Retail Sales Areas'!T$7,'NEW MODEL BY SES'!$C$17:$R$17,0),0),"")</f>
        <v/>
      </c>
      <c r="U299" s="142" t="str">
        <f>IFERROR(VLOOKUP($C299,'NEW MODEL BY SES'!$C$19:$R$242,MATCH('SeS in Retail Sales Areas'!U$7,'NEW MODEL BY SES'!$C$17:$R$17,0),0),"")</f>
        <v/>
      </c>
      <c r="V299" s="140" t="str">
        <f>IFERROR(VLOOKUP($C299,'NEW MODEL BY SES'!$C$19:$R$242,MATCH('SeS in Retail Sales Areas'!V$7,'NEW MODEL BY SES'!$C$17:$R$17,0),0),"")</f>
        <v/>
      </c>
      <c r="W299" s="141" t="str">
        <f>IFERROR(VLOOKUP($C299,'NEW MODEL BY SES'!$C$19:$R$242,MATCH('SeS in Retail Sales Areas'!W$7,'NEW MODEL BY SES'!$C$17:$R$17,0),0),"")</f>
        <v/>
      </c>
      <c r="X299" s="140" t="str">
        <f>IFERROR(VLOOKUP($C299,'NEW MODEL BY SES'!$C$19:$R$242,MATCH('SeS in Retail Sales Areas'!X$7,'NEW MODEL BY SES'!$C$17:$R$17,0),0),"")</f>
        <v/>
      </c>
      <c r="Z299" s="57"/>
    </row>
    <row r="300" spans="1:26">
      <c r="A300" t="s">
        <v>1229</v>
      </c>
      <c r="B300" s="57">
        <v>95</v>
      </c>
      <c r="C300" t="s">
        <v>1238</v>
      </c>
      <c r="D300" t="s">
        <v>40</v>
      </c>
      <c r="E300"/>
      <c r="F300" s="140" t="str">
        <f>IFERROR(VLOOKUP($C300,'NEW MODEL BY SES'!$C$19:$R$242,MATCH('SeS in Retail Sales Areas'!F$7,'NEW MODEL BY SES'!$C$17:$R$17,0),0),"")</f>
        <v/>
      </c>
      <c r="G300" s="140" t="str">
        <f>IFERROR(VLOOKUP($C300,'NEW MODEL BY SES'!$C$19:$R$242,MATCH('SeS in Retail Sales Areas'!G$7,'NEW MODEL BY SES'!$C$17:$R$17,0),0),"")</f>
        <v/>
      </c>
      <c r="H300" s="142" t="str">
        <f>IFERROR(VLOOKUP($C300,'NEW MODEL BY SES'!$C$19:$R$242,MATCH('SeS in Retail Sales Areas'!H$7,'NEW MODEL BY SES'!$C$17:$R$17,0),0),"")</f>
        <v/>
      </c>
      <c r="I300" s="140" t="str">
        <f>IFERROR(VLOOKUP($C300,'NEW MODEL BY SES'!$C$19:$R$242,MATCH('SeS in Retail Sales Areas'!I$7,'NEW MODEL BY SES'!$C$17:$R$17,0),0),"")</f>
        <v/>
      </c>
      <c r="J300" s="142" t="str">
        <f>IFERROR(VLOOKUP($C300,'NEW MODEL BY SES'!$C$19:$R$242,MATCH('SeS in Retail Sales Areas'!J$7,'NEW MODEL BY SES'!$C$17:$R$17,0),0),"")</f>
        <v/>
      </c>
      <c r="K300" s="140" t="str">
        <f>IFERROR(VLOOKUP($C300,'NEW MODEL BY SES'!$C$19:$R$242,MATCH('SeS in Retail Sales Areas'!K$7,'NEW MODEL BY SES'!$C$17:$R$17,0),0),"")</f>
        <v/>
      </c>
      <c r="L300" s="142" t="str">
        <f>IFERROR(VLOOKUP($C300,'NEW MODEL BY SES'!$C$19:$R$242,MATCH('SeS in Retail Sales Areas'!L$7,'NEW MODEL BY SES'!$C$17:$R$17,0),0),"")</f>
        <v/>
      </c>
      <c r="M300" s="140" t="str">
        <f>IFERROR(VLOOKUP($C300,'NEW MODEL BY SES'!$C$19:$R$242,MATCH('SeS in Retail Sales Areas'!M$7,'NEW MODEL BY SES'!$C$17:$R$17,0),0),"")</f>
        <v/>
      </c>
      <c r="N300" s="142" t="str">
        <f>IFERROR(VLOOKUP($C300,'NEW MODEL BY SES'!$C$19:$R$242,MATCH('SeS in Retail Sales Areas'!N$7,'NEW MODEL BY SES'!$C$17:$R$17,0),0),"")</f>
        <v/>
      </c>
      <c r="O300" s="140" t="str">
        <f>IFERROR(VLOOKUP($C300,'NEW MODEL BY SES'!$C$19:$R$242,MATCH('SeS in Retail Sales Areas'!O$7,'NEW MODEL BY SES'!$C$17:$R$17,0),0),"")</f>
        <v/>
      </c>
      <c r="P300" s="142" t="str">
        <f>IFERROR(VLOOKUP($C300,'NEW MODEL BY SES'!$C$19:$R$242,MATCH('SeS in Retail Sales Areas'!P$7,'NEW MODEL BY SES'!$C$17:$R$17,0),0),"")</f>
        <v/>
      </c>
      <c r="Q300" s="140" t="str">
        <f>IFERROR(VLOOKUP($C300,'NEW MODEL BY SES'!$C$19:$R$242,MATCH('SeS in Retail Sales Areas'!Q$7,'NEW MODEL BY SES'!$C$17:$R$17,0),0),"")</f>
        <v/>
      </c>
      <c r="R300" s="142" t="str">
        <f>IFERROR(VLOOKUP($C300,'NEW MODEL BY SES'!$C$19:$R$242,MATCH('SeS in Retail Sales Areas'!R$7,'NEW MODEL BY SES'!$C$17:$R$17,0),0),"")</f>
        <v/>
      </c>
      <c r="S300" s="141" t="str">
        <f>IFERROR(VLOOKUP($C300,'NEW MODEL BY SES'!$C$19:$R$242,MATCH('SeS in Retail Sales Areas'!S$7,'NEW MODEL BY SES'!$C$17:$R$17,0),0),"")</f>
        <v/>
      </c>
      <c r="T300" s="140" t="str">
        <f>IFERROR(VLOOKUP($C300,'NEW MODEL BY SES'!$C$19:$R$242,MATCH('SeS in Retail Sales Areas'!T$7,'NEW MODEL BY SES'!$C$17:$R$17,0),0),"")</f>
        <v/>
      </c>
      <c r="U300" s="142" t="str">
        <f>IFERROR(VLOOKUP($C300,'NEW MODEL BY SES'!$C$19:$R$242,MATCH('SeS in Retail Sales Areas'!U$7,'NEW MODEL BY SES'!$C$17:$R$17,0),0),"")</f>
        <v/>
      </c>
      <c r="V300" s="140" t="str">
        <f>IFERROR(VLOOKUP($C300,'NEW MODEL BY SES'!$C$19:$R$242,MATCH('SeS in Retail Sales Areas'!V$7,'NEW MODEL BY SES'!$C$17:$R$17,0),0),"")</f>
        <v/>
      </c>
      <c r="W300" s="141" t="str">
        <f>IFERROR(VLOOKUP($C300,'NEW MODEL BY SES'!$C$19:$R$242,MATCH('SeS in Retail Sales Areas'!W$7,'NEW MODEL BY SES'!$C$17:$R$17,0),0),"")</f>
        <v/>
      </c>
      <c r="X300" s="140" t="str">
        <f>IFERROR(VLOOKUP($C300,'NEW MODEL BY SES'!$C$19:$R$242,MATCH('SeS in Retail Sales Areas'!X$7,'NEW MODEL BY SES'!$C$17:$R$17,0),0),"")</f>
        <v/>
      </c>
      <c r="Z300" s="57"/>
    </row>
    <row r="301" spans="1:26">
      <c r="A301" t="s">
        <v>1229</v>
      </c>
      <c r="B301" s="57">
        <v>93</v>
      </c>
      <c r="C301" t="s">
        <v>1239</v>
      </c>
      <c r="D301" t="s">
        <v>40</v>
      </c>
      <c r="E301"/>
      <c r="F301" s="140" t="str">
        <f>IFERROR(VLOOKUP($C301,'NEW MODEL BY SES'!$C$19:$R$242,MATCH('SeS in Retail Sales Areas'!F$7,'NEW MODEL BY SES'!$C$17:$R$17,0),0),"")</f>
        <v/>
      </c>
      <c r="G301" s="140" t="str">
        <f>IFERROR(VLOOKUP($C301,'NEW MODEL BY SES'!$C$19:$R$242,MATCH('SeS in Retail Sales Areas'!G$7,'NEW MODEL BY SES'!$C$17:$R$17,0),0),"")</f>
        <v/>
      </c>
      <c r="H301" s="142" t="str">
        <f>IFERROR(VLOOKUP($C301,'NEW MODEL BY SES'!$C$19:$R$242,MATCH('SeS in Retail Sales Areas'!H$7,'NEW MODEL BY SES'!$C$17:$R$17,0),0),"")</f>
        <v/>
      </c>
      <c r="I301" s="140" t="str">
        <f>IFERROR(VLOOKUP($C301,'NEW MODEL BY SES'!$C$19:$R$242,MATCH('SeS in Retail Sales Areas'!I$7,'NEW MODEL BY SES'!$C$17:$R$17,0),0),"")</f>
        <v/>
      </c>
      <c r="J301" s="142" t="str">
        <f>IFERROR(VLOOKUP($C301,'NEW MODEL BY SES'!$C$19:$R$242,MATCH('SeS in Retail Sales Areas'!J$7,'NEW MODEL BY SES'!$C$17:$R$17,0),0),"")</f>
        <v/>
      </c>
      <c r="K301" s="140" t="str">
        <f>IFERROR(VLOOKUP($C301,'NEW MODEL BY SES'!$C$19:$R$242,MATCH('SeS in Retail Sales Areas'!K$7,'NEW MODEL BY SES'!$C$17:$R$17,0),0),"")</f>
        <v/>
      </c>
      <c r="L301" s="142" t="str">
        <f>IFERROR(VLOOKUP($C301,'NEW MODEL BY SES'!$C$19:$R$242,MATCH('SeS in Retail Sales Areas'!L$7,'NEW MODEL BY SES'!$C$17:$R$17,0),0),"")</f>
        <v/>
      </c>
      <c r="M301" s="140" t="str">
        <f>IFERROR(VLOOKUP($C301,'NEW MODEL BY SES'!$C$19:$R$242,MATCH('SeS in Retail Sales Areas'!M$7,'NEW MODEL BY SES'!$C$17:$R$17,0),0),"")</f>
        <v/>
      </c>
      <c r="N301" s="142" t="str">
        <f>IFERROR(VLOOKUP($C301,'NEW MODEL BY SES'!$C$19:$R$242,MATCH('SeS in Retail Sales Areas'!N$7,'NEW MODEL BY SES'!$C$17:$R$17,0),0),"")</f>
        <v/>
      </c>
      <c r="O301" s="140" t="str">
        <f>IFERROR(VLOOKUP($C301,'NEW MODEL BY SES'!$C$19:$R$242,MATCH('SeS in Retail Sales Areas'!O$7,'NEW MODEL BY SES'!$C$17:$R$17,0),0),"")</f>
        <v/>
      </c>
      <c r="P301" s="142" t="str">
        <f>IFERROR(VLOOKUP($C301,'NEW MODEL BY SES'!$C$19:$R$242,MATCH('SeS in Retail Sales Areas'!P$7,'NEW MODEL BY SES'!$C$17:$R$17,0),0),"")</f>
        <v/>
      </c>
      <c r="Q301" s="140" t="str">
        <f>IFERROR(VLOOKUP($C301,'NEW MODEL BY SES'!$C$19:$R$242,MATCH('SeS in Retail Sales Areas'!Q$7,'NEW MODEL BY SES'!$C$17:$R$17,0),0),"")</f>
        <v/>
      </c>
      <c r="R301" s="142" t="str">
        <f>IFERROR(VLOOKUP($C301,'NEW MODEL BY SES'!$C$19:$R$242,MATCH('SeS in Retail Sales Areas'!R$7,'NEW MODEL BY SES'!$C$17:$R$17,0),0),"")</f>
        <v/>
      </c>
      <c r="S301" s="141" t="str">
        <f>IFERROR(VLOOKUP($C301,'NEW MODEL BY SES'!$C$19:$R$242,MATCH('SeS in Retail Sales Areas'!S$7,'NEW MODEL BY SES'!$C$17:$R$17,0),0),"")</f>
        <v/>
      </c>
      <c r="T301" s="140" t="str">
        <f>IFERROR(VLOOKUP($C301,'NEW MODEL BY SES'!$C$19:$R$242,MATCH('SeS in Retail Sales Areas'!T$7,'NEW MODEL BY SES'!$C$17:$R$17,0),0),"")</f>
        <v/>
      </c>
      <c r="U301" s="142" t="str">
        <f>IFERROR(VLOOKUP($C301,'NEW MODEL BY SES'!$C$19:$R$242,MATCH('SeS in Retail Sales Areas'!U$7,'NEW MODEL BY SES'!$C$17:$R$17,0),0),"")</f>
        <v/>
      </c>
      <c r="V301" s="140" t="str">
        <f>IFERROR(VLOOKUP($C301,'NEW MODEL BY SES'!$C$19:$R$242,MATCH('SeS in Retail Sales Areas'!V$7,'NEW MODEL BY SES'!$C$17:$R$17,0),0),"")</f>
        <v/>
      </c>
      <c r="W301" s="141" t="str">
        <f>IFERROR(VLOOKUP($C301,'NEW MODEL BY SES'!$C$19:$R$242,MATCH('SeS in Retail Sales Areas'!W$7,'NEW MODEL BY SES'!$C$17:$R$17,0),0),"")</f>
        <v/>
      </c>
      <c r="X301" s="140" t="str">
        <f>IFERROR(VLOOKUP($C301,'NEW MODEL BY SES'!$C$19:$R$242,MATCH('SeS in Retail Sales Areas'!X$7,'NEW MODEL BY SES'!$C$17:$R$17,0),0),"")</f>
        <v/>
      </c>
      <c r="Z301" s="57"/>
    </row>
    <row r="302" spans="1:26">
      <c r="A302" t="s">
        <v>1229</v>
      </c>
      <c r="B302" s="57">
        <v>93</v>
      </c>
      <c r="C302" t="s">
        <v>1240</v>
      </c>
      <c r="D302" t="s">
        <v>40</v>
      </c>
      <c r="E302"/>
      <c r="F302" s="140" t="str">
        <f>IFERROR(VLOOKUP($C302,'NEW MODEL BY SES'!$C$19:$R$242,MATCH('SeS in Retail Sales Areas'!F$7,'NEW MODEL BY SES'!$C$17:$R$17,0),0),"")</f>
        <v/>
      </c>
      <c r="G302" s="140" t="str">
        <f>IFERROR(VLOOKUP($C302,'NEW MODEL BY SES'!$C$19:$R$242,MATCH('SeS in Retail Sales Areas'!G$7,'NEW MODEL BY SES'!$C$17:$R$17,0),0),"")</f>
        <v/>
      </c>
      <c r="H302" s="142" t="str">
        <f>IFERROR(VLOOKUP($C302,'NEW MODEL BY SES'!$C$19:$R$242,MATCH('SeS in Retail Sales Areas'!H$7,'NEW MODEL BY SES'!$C$17:$R$17,0),0),"")</f>
        <v/>
      </c>
      <c r="I302" s="140" t="str">
        <f>IFERROR(VLOOKUP($C302,'NEW MODEL BY SES'!$C$19:$R$242,MATCH('SeS in Retail Sales Areas'!I$7,'NEW MODEL BY SES'!$C$17:$R$17,0),0),"")</f>
        <v/>
      </c>
      <c r="J302" s="142" t="str">
        <f>IFERROR(VLOOKUP($C302,'NEW MODEL BY SES'!$C$19:$R$242,MATCH('SeS in Retail Sales Areas'!J$7,'NEW MODEL BY SES'!$C$17:$R$17,0),0),"")</f>
        <v/>
      </c>
      <c r="K302" s="140" t="str">
        <f>IFERROR(VLOOKUP($C302,'NEW MODEL BY SES'!$C$19:$R$242,MATCH('SeS in Retail Sales Areas'!K$7,'NEW MODEL BY SES'!$C$17:$R$17,0),0),"")</f>
        <v/>
      </c>
      <c r="L302" s="142" t="str">
        <f>IFERROR(VLOOKUP($C302,'NEW MODEL BY SES'!$C$19:$R$242,MATCH('SeS in Retail Sales Areas'!L$7,'NEW MODEL BY SES'!$C$17:$R$17,0),0),"")</f>
        <v/>
      </c>
      <c r="M302" s="140" t="str">
        <f>IFERROR(VLOOKUP($C302,'NEW MODEL BY SES'!$C$19:$R$242,MATCH('SeS in Retail Sales Areas'!M$7,'NEW MODEL BY SES'!$C$17:$R$17,0),0),"")</f>
        <v/>
      </c>
      <c r="N302" s="142" t="str">
        <f>IFERROR(VLOOKUP($C302,'NEW MODEL BY SES'!$C$19:$R$242,MATCH('SeS in Retail Sales Areas'!N$7,'NEW MODEL BY SES'!$C$17:$R$17,0),0),"")</f>
        <v/>
      </c>
      <c r="O302" s="140" t="str">
        <f>IFERROR(VLOOKUP($C302,'NEW MODEL BY SES'!$C$19:$R$242,MATCH('SeS in Retail Sales Areas'!O$7,'NEW MODEL BY SES'!$C$17:$R$17,0),0),"")</f>
        <v/>
      </c>
      <c r="P302" s="142" t="str">
        <f>IFERROR(VLOOKUP($C302,'NEW MODEL BY SES'!$C$19:$R$242,MATCH('SeS in Retail Sales Areas'!P$7,'NEW MODEL BY SES'!$C$17:$R$17,0),0),"")</f>
        <v/>
      </c>
      <c r="Q302" s="140" t="str">
        <f>IFERROR(VLOOKUP($C302,'NEW MODEL BY SES'!$C$19:$R$242,MATCH('SeS in Retail Sales Areas'!Q$7,'NEW MODEL BY SES'!$C$17:$R$17,0),0),"")</f>
        <v/>
      </c>
      <c r="R302" s="142" t="str">
        <f>IFERROR(VLOOKUP($C302,'NEW MODEL BY SES'!$C$19:$R$242,MATCH('SeS in Retail Sales Areas'!R$7,'NEW MODEL BY SES'!$C$17:$R$17,0),0),"")</f>
        <v/>
      </c>
      <c r="S302" s="141" t="str">
        <f>IFERROR(VLOOKUP($C302,'NEW MODEL BY SES'!$C$19:$R$242,MATCH('SeS in Retail Sales Areas'!S$7,'NEW MODEL BY SES'!$C$17:$R$17,0),0),"")</f>
        <v/>
      </c>
      <c r="T302" s="140" t="str">
        <f>IFERROR(VLOOKUP($C302,'NEW MODEL BY SES'!$C$19:$R$242,MATCH('SeS in Retail Sales Areas'!T$7,'NEW MODEL BY SES'!$C$17:$R$17,0),0),"")</f>
        <v/>
      </c>
      <c r="U302" s="142" t="str">
        <f>IFERROR(VLOOKUP($C302,'NEW MODEL BY SES'!$C$19:$R$242,MATCH('SeS in Retail Sales Areas'!U$7,'NEW MODEL BY SES'!$C$17:$R$17,0),0),"")</f>
        <v/>
      </c>
      <c r="V302" s="140" t="str">
        <f>IFERROR(VLOOKUP($C302,'NEW MODEL BY SES'!$C$19:$R$242,MATCH('SeS in Retail Sales Areas'!V$7,'NEW MODEL BY SES'!$C$17:$R$17,0),0),"")</f>
        <v/>
      </c>
      <c r="W302" s="141" t="str">
        <f>IFERROR(VLOOKUP($C302,'NEW MODEL BY SES'!$C$19:$R$242,MATCH('SeS in Retail Sales Areas'!W$7,'NEW MODEL BY SES'!$C$17:$R$17,0),0),"")</f>
        <v/>
      </c>
      <c r="X302" s="140" t="str">
        <f>IFERROR(VLOOKUP($C302,'NEW MODEL BY SES'!$C$19:$R$242,MATCH('SeS in Retail Sales Areas'!X$7,'NEW MODEL BY SES'!$C$17:$R$17,0),0),"")</f>
        <v/>
      </c>
      <c r="Z302" s="57"/>
    </row>
    <row r="303" spans="1:26">
      <c r="A303" t="s">
        <v>1229</v>
      </c>
      <c r="B303" s="57">
        <v>93</v>
      </c>
      <c r="C303" t="s">
        <v>1241</v>
      </c>
      <c r="D303" t="s">
        <v>40</v>
      </c>
      <c r="E303"/>
      <c r="F303" s="140" t="str">
        <f>IFERROR(VLOOKUP($C303,'NEW MODEL BY SES'!$C$19:$R$242,MATCH('SeS in Retail Sales Areas'!F$7,'NEW MODEL BY SES'!$C$17:$R$17,0),0),"")</f>
        <v/>
      </c>
      <c r="G303" s="140" t="str">
        <f>IFERROR(VLOOKUP($C303,'NEW MODEL BY SES'!$C$19:$R$242,MATCH('SeS in Retail Sales Areas'!G$7,'NEW MODEL BY SES'!$C$17:$R$17,0),0),"")</f>
        <v/>
      </c>
      <c r="H303" s="142" t="str">
        <f>IFERROR(VLOOKUP($C303,'NEW MODEL BY SES'!$C$19:$R$242,MATCH('SeS in Retail Sales Areas'!H$7,'NEW MODEL BY SES'!$C$17:$R$17,0),0),"")</f>
        <v/>
      </c>
      <c r="I303" s="140" t="str">
        <f>IFERROR(VLOOKUP($C303,'NEW MODEL BY SES'!$C$19:$R$242,MATCH('SeS in Retail Sales Areas'!I$7,'NEW MODEL BY SES'!$C$17:$R$17,0),0),"")</f>
        <v/>
      </c>
      <c r="J303" s="142" t="str">
        <f>IFERROR(VLOOKUP($C303,'NEW MODEL BY SES'!$C$19:$R$242,MATCH('SeS in Retail Sales Areas'!J$7,'NEW MODEL BY SES'!$C$17:$R$17,0),0),"")</f>
        <v/>
      </c>
      <c r="K303" s="140" t="str">
        <f>IFERROR(VLOOKUP($C303,'NEW MODEL BY SES'!$C$19:$R$242,MATCH('SeS in Retail Sales Areas'!K$7,'NEW MODEL BY SES'!$C$17:$R$17,0),0),"")</f>
        <v/>
      </c>
      <c r="L303" s="142" t="str">
        <f>IFERROR(VLOOKUP($C303,'NEW MODEL BY SES'!$C$19:$R$242,MATCH('SeS in Retail Sales Areas'!L$7,'NEW MODEL BY SES'!$C$17:$R$17,0),0),"")</f>
        <v/>
      </c>
      <c r="M303" s="140" t="str">
        <f>IFERROR(VLOOKUP($C303,'NEW MODEL BY SES'!$C$19:$R$242,MATCH('SeS in Retail Sales Areas'!M$7,'NEW MODEL BY SES'!$C$17:$R$17,0),0),"")</f>
        <v/>
      </c>
      <c r="N303" s="142" t="str">
        <f>IFERROR(VLOOKUP($C303,'NEW MODEL BY SES'!$C$19:$R$242,MATCH('SeS in Retail Sales Areas'!N$7,'NEW MODEL BY SES'!$C$17:$R$17,0),0),"")</f>
        <v/>
      </c>
      <c r="O303" s="140" t="str">
        <f>IFERROR(VLOOKUP($C303,'NEW MODEL BY SES'!$C$19:$R$242,MATCH('SeS in Retail Sales Areas'!O$7,'NEW MODEL BY SES'!$C$17:$R$17,0),0),"")</f>
        <v/>
      </c>
      <c r="P303" s="142" t="str">
        <f>IFERROR(VLOOKUP($C303,'NEW MODEL BY SES'!$C$19:$R$242,MATCH('SeS in Retail Sales Areas'!P$7,'NEW MODEL BY SES'!$C$17:$R$17,0),0),"")</f>
        <v/>
      </c>
      <c r="Q303" s="140" t="str">
        <f>IFERROR(VLOOKUP($C303,'NEW MODEL BY SES'!$C$19:$R$242,MATCH('SeS in Retail Sales Areas'!Q$7,'NEW MODEL BY SES'!$C$17:$R$17,0),0),"")</f>
        <v/>
      </c>
      <c r="R303" s="142" t="str">
        <f>IFERROR(VLOOKUP($C303,'NEW MODEL BY SES'!$C$19:$R$242,MATCH('SeS in Retail Sales Areas'!R$7,'NEW MODEL BY SES'!$C$17:$R$17,0),0),"")</f>
        <v/>
      </c>
      <c r="S303" s="141" t="str">
        <f>IFERROR(VLOOKUP($C303,'NEW MODEL BY SES'!$C$19:$R$242,MATCH('SeS in Retail Sales Areas'!S$7,'NEW MODEL BY SES'!$C$17:$R$17,0),0),"")</f>
        <v/>
      </c>
      <c r="T303" s="140" t="str">
        <f>IFERROR(VLOOKUP($C303,'NEW MODEL BY SES'!$C$19:$R$242,MATCH('SeS in Retail Sales Areas'!T$7,'NEW MODEL BY SES'!$C$17:$R$17,0),0),"")</f>
        <v/>
      </c>
      <c r="U303" s="142" t="str">
        <f>IFERROR(VLOOKUP($C303,'NEW MODEL BY SES'!$C$19:$R$242,MATCH('SeS in Retail Sales Areas'!U$7,'NEW MODEL BY SES'!$C$17:$R$17,0),0),"")</f>
        <v/>
      </c>
      <c r="V303" s="140" t="str">
        <f>IFERROR(VLOOKUP($C303,'NEW MODEL BY SES'!$C$19:$R$242,MATCH('SeS in Retail Sales Areas'!V$7,'NEW MODEL BY SES'!$C$17:$R$17,0),0),"")</f>
        <v/>
      </c>
      <c r="W303" s="141" t="str">
        <f>IFERROR(VLOOKUP($C303,'NEW MODEL BY SES'!$C$19:$R$242,MATCH('SeS in Retail Sales Areas'!W$7,'NEW MODEL BY SES'!$C$17:$R$17,0),0),"")</f>
        <v/>
      </c>
      <c r="X303" s="140" t="str">
        <f>IFERROR(VLOOKUP($C303,'NEW MODEL BY SES'!$C$19:$R$242,MATCH('SeS in Retail Sales Areas'!X$7,'NEW MODEL BY SES'!$C$17:$R$17,0),0),"")</f>
        <v/>
      </c>
      <c r="Z303" s="57"/>
    </row>
    <row r="304" spans="1:26">
      <c r="A304" t="s">
        <v>1229</v>
      </c>
      <c r="B304" s="57">
        <v>88</v>
      </c>
      <c r="C304" t="s">
        <v>1242</v>
      </c>
      <c r="D304" t="s">
        <v>40</v>
      </c>
      <c r="E304"/>
      <c r="F304" s="140" t="str">
        <f>IFERROR(VLOOKUP($C304,'NEW MODEL BY SES'!$C$19:$R$242,MATCH('SeS in Retail Sales Areas'!F$7,'NEW MODEL BY SES'!$C$17:$R$17,0),0),"")</f>
        <v/>
      </c>
      <c r="G304" s="140" t="str">
        <f>IFERROR(VLOOKUP($C304,'NEW MODEL BY SES'!$C$19:$R$242,MATCH('SeS in Retail Sales Areas'!G$7,'NEW MODEL BY SES'!$C$17:$R$17,0),0),"")</f>
        <v/>
      </c>
      <c r="H304" s="142" t="str">
        <f>IFERROR(VLOOKUP($C304,'NEW MODEL BY SES'!$C$19:$R$242,MATCH('SeS in Retail Sales Areas'!H$7,'NEW MODEL BY SES'!$C$17:$R$17,0),0),"")</f>
        <v/>
      </c>
      <c r="I304" s="140" t="str">
        <f>IFERROR(VLOOKUP($C304,'NEW MODEL BY SES'!$C$19:$R$242,MATCH('SeS in Retail Sales Areas'!I$7,'NEW MODEL BY SES'!$C$17:$R$17,0),0),"")</f>
        <v/>
      </c>
      <c r="J304" s="142" t="str">
        <f>IFERROR(VLOOKUP($C304,'NEW MODEL BY SES'!$C$19:$R$242,MATCH('SeS in Retail Sales Areas'!J$7,'NEW MODEL BY SES'!$C$17:$R$17,0),0),"")</f>
        <v/>
      </c>
      <c r="K304" s="140" t="str">
        <f>IFERROR(VLOOKUP($C304,'NEW MODEL BY SES'!$C$19:$R$242,MATCH('SeS in Retail Sales Areas'!K$7,'NEW MODEL BY SES'!$C$17:$R$17,0),0),"")</f>
        <v/>
      </c>
      <c r="L304" s="142" t="str">
        <f>IFERROR(VLOOKUP($C304,'NEW MODEL BY SES'!$C$19:$R$242,MATCH('SeS in Retail Sales Areas'!L$7,'NEW MODEL BY SES'!$C$17:$R$17,0),0),"")</f>
        <v/>
      </c>
      <c r="M304" s="140" t="str">
        <f>IFERROR(VLOOKUP($C304,'NEW MODEL BY SES'!$C$19:$R$242,MATCH('SeS in Retail Sales Areas'!M$7,'NEW MODEL BY SES'!$C$17:$R$17,0),0),"")</f>
        <v/>
      </c>
      <c r="N304" s="142" t="str">
        <f>IFERROR(VLOOKUP($C304,'NEW MODEL BY SES'!$C$19:$R$242,MATCH('SeS in Retail Sales Areas'!N$7,'NEW MODEL BY SES'!$C$17:$R$17,0),0),"")</f>
        <v/>
      </c>
      <c r="O304" s="140" t="str">
        <f>IFERROR(VLOOKUP($C304,'NEW MODEL BY SES'!$C$19:$R$242,MATCH('SeS in Retail Sales Areas'!O$7,'NEW MODEL BY SES'!$C$17:$R$17,0),0),"")</f>
        <v/>
      </c>
      <c r="P304" s="142" t="str">
        <f>IFERROR(VLOOKUP($C304,'NEW MODEL BY SES'!$C$19:$R$242,MATCH('SeS in Retail Sales Areas'!P$7,'NEW MODEL BY SES'!$C$17:$R$17,0),0),"")</f>
        <v/>
      </c>
      <c r="Q304" s="140" t="str">
        <f>IFERROR(VLOOKUP($C304,'NEW MODEL BY SES'!$C$19:$R$242,MATCH('SeS in Retail Sales Areas'!Q$7,'NEW MODEL BY SES'!$C$17:$R$17,0),0),"")</f>
        <v/>
      </c>
      <c r="R304" s="142" t="str">
        <f>IFERROR(VLOOKUP($C304,'NEW MODEL BY SES'!$C$19:$R$242,MATCH('SeS in Retail Sales Areas'!R$7,'NEW MODEL BY SES'!$C$17:$R$17,0),0),"")</f>
        <v/>
      </c>
      <c r="S304" s="141" t="str">
        <f>IFERROR(VLOOKUP($C304,'NEW MODEL BY SES'!$C$19:$R$242,MATCH('SeS in Retail Sales Areas'!S$7,'NEW MODEL BY SES'!$C$17:$R$17,0),0),"")</f>
        <v/>
      </c>
      <c r="T304" s="140" t="str">
        <f>IFERROR(VLOOKUP($C304,'NEW MODEL BY SES'!$C$19:$R$242,MATCH('SeS in Retail Sales Areas'!T$7,'NEW MODEL BY SES'!$C$17:$R$17,0),0),"")</f>
        <v/>
      </c>
      <c r="U304" s="142" t="str">
        <f>IFERROR(VLOOKUP($C304,'NEW MODEL BY SES'!$C$19:$R$242,MATCH('SeS in Retail Sales Areas'!U$7,'NEW MODEL BY SES'!$C$17:$R$17,0),0),"")</f>
        <v/>
      </c>
      <c r="V304" s="140" t="str">
        <f>IFERROR(VLOOKUP($C304,'NEW MODEL BY SES'!$C$19:$R$242,MATCH('SeS in Retail Sales Areas'!V$7,'NEW MODEL BY SES'!$C$17:$R$17,0),0),"")</f>
        <v/>
      </c>
      <c r="W304" s="141" t="str">
        <f>IFERROR(VLOOKUP($C304,'NEW MODEL BY SES'!$C$19:$R$242,MATCH('SeS in Retail Sales Areas'!W$7,'NEW MODEL BY SES'!$C$17:$R$17,0),0),"")</f>
        <v/>
      </c>
      <c r="X304" s="140" t="str">
        <f>IFERROR(VLOOKUP($C304,'NEW MODEL BY SES'!$C$19:$R$242,MATCH('SeS in Retail Sales Areas'!X$7,'NEW MODEL BY SES'!$C$17:$R$17,0),0),"")</f>
        <v/>
      </c>
      <c r="Z304" s="57"/>
    </row>
    <row r="305" spans="1:26">
      <c r="A305" t="s">
        <v>1229</v>
      </c>
      <c r="B305" s="57">
        <v>88</v>
      </c>
      <c r="C305" t="s">
        <v>1243</v>
      </c>
      <c r="D305" t="s">
        <v>40</v>
      </c>
      <c r="E305"/>
      <c r="F305" s="140" t="str">
        <f>IFERROR(VLOOKUP($C305,'NEW MODEL BY SES'!$C$19:$R$242,MATCH('SeS in Retail Sales Areas'!F$7,'NEW MODEL BY SES'!$C$17:$R$17,0),0),"")</f>
        <v/>
      </c>
      <c r="G305" s="140" t="str">
        <f>IFERROR(VLOOKUP($C305,'NEW MODEL BY SES'!$C$19:$R$242,MATCH('SeS in Retail Sales Areas'!G$7,'NEW MODEL BY SES'!$C$17:$R$17,0),0),"")</f>
        <v/>
      </c>
      <c r="H305" s="142" t="str">
        <f>IFERROR(VLOOKUP($C305,'NEW MODEL BY SES'!$C$19:$R$242,MATCH('SeS in Retail Sales Areas'!H$7,'NEW MODEL BY SES'!$C$17:$R$17,0),0),"")</f>
        <v/>
      </c>
      <c r="I305" s="140" t="str">
        <f>IFERROR(VLOOKUP($C305,'NEW MODEL BY SES'!$C$19:$R$242,MATCH('SeS in Retail Sales Areas'!I$7,'NEW MODEL BY SES'!$C$17:$R$17,0),0),"")</f>
        <v/>
      </c>
      <c r="J305" s="142" t="str">
        <f>IFERROR(VLOOKUP($C305,'NEW MODEL BY SES'!$C$19:$R$242,MATCH('SeS in Retail Sales Areas'!J$7,'NEW MODEL BY SES'!$C$17:$R$17,0),0),"")</f>
        <v/>
      </c>
      <c r="K305" s="140" t="str">
        <f>IFERROR(VLOOKUP($C305,'NEW MODEL BY SES'!$C$19:$R$242,MATCH('SeS in Retail Sales Areas'!K$7,'NEW MODEL BY SES'!$C$17:$R$17,0),0),"")</f>
        <v/>
      </c>
      <c r="L305" s="142" t="str">
        <f>IFERROR(VLOOKUP($C305,'NEW MODEL BY SES'!$C$19:$R$242,MATCH('SeS in Retail Sales Areas'!L$7,'NEW MODEL BY SES'!$C$17:$R$17,0),0),"")</f>
        <v/>
      </c>
      <c r="M305" s="140" t="str">
        <f>IFERROR(VLOOKUP($C305,'NEW MODEL BY SES'!$C$19:$R$242,MATCH('SeS in Retail Sales Areas'!M$7,'NEW MODEL BY SES'!$C$17:$R$17,0),0),"")</f>
        <v/>
      </c>
      <c r="N305" s="142" t="str">
        <f>IFERROR(VLOOKUP($C305,'NEW MODEL BY SES'!$C$19:$R$242,MATCH('SeS in Retail Sales Areas'!N$7,'NEW MODEL BY SES'!$C$17:$R$17,0),0),"")</f>
        <v/>
      </c>
      <c r="O305" s="140" t="str">
        <f>IFERROR(VLOOKUP($C305,'NEW MODEL BY SES'!$C$19:$R$242,MATCH('SeS in Retail Sales Areas'!O$7,'NEW MODEL BY SES'!$C$17:$R$17,0),0),"")</f>
        <v/>
      </c>
      <c r="P305" s="142" t="str">
        <f>IFERROR(VLOOKUP($C305,'NEW MODEL BY SES'!$C$19:$R$242,MATCH('SeS in Retail Sales Areas'!P$7,'NEW MODEL BY SES'!$C$17:$R$17,0),0),"")</f>
        <v/>
      </c>
      <c r="Q305" s="140" t="str">
        <f>IFERROR(VLOOKUP($C305,'NEW MODEL BY SES'!$C$19:$R$242,MATCH('SeS in Retail Sales Areas'!Q$7,'NEW MODEL BY SES'!$C$17:$R$17,0),0),"")</f>
        <v/>
      </c>
      <c r="R305" s="142" t="str">
        <f>IFERROR(VLOOKUP($C305,'NEW MODEL BY SES'!$C$19:$R$242,MATCH('SeS in Retail Sales Areas'!R$7,'NEW MODEL BY SES'!$C$17:$R$17,0),0),"")</f>
        <v/>
      </c>
      <c r="S305" s="141" t="str">
        <f>IFERROR(VLOOKUP($C305,'NEW MODEL BY SES'!$C$19:$R$242,MATCH('SeS in Retail Sales Areas'!S$7,'NEW MODEL BY SES'!$C$17:$R$17,0),0),"")</f>
        <v/>
      </c>
      <c r="T305" s="140" t="str">
        <f>IFERROR(VLOOKUP($C305,'NEW MODEL BY SES'!$C$19:$R$242,MATCH('SeS in Retail Sales Areas'!T$7,'NEW MODEL BY SES'!$C$17:$R$17,0),0),"")</f>
        <v/>
      </c>
      <c r="U305" s="142" t="str">
        <f>IFERROR(VLOOKUP($C305,'NEW MODEL BY SES'!$C$19:$R$242,MATCH('SeS in Retail Sales Areas'!U$7,'NEW MODEL BY SES'!$C$17:$R$17,0),0),"")</f>
        <v/>
      </c>
      <c r="V305" s="140" t="str">
        <f>IFERROR(VLOOKUP($C305,'NEW MODEL BY SES'!$C$19:$R$242,MATCH('SeS in Retail Sales Areas'!V$7,'NEW MODEL BY SES'!$C$17:$R$17,0),0),"")</f>
        <v/>
      </c>
      <c r="W305" s="141" t="str">
        <f>IFERROR(VLOOKUP($C305,'NEW MODEL BY SES'!$C$19:$R$242,MATCH('SeS in Retail Sales Areas'!W$7,'NEW MODEL BY SES'!$C$17:$R$17,0),0),"")</f>
        <v/>
      </c>
      <c r="X305" s="140" t="str">
        <f>IFERROR(VLOOKUP($C305,'NEW MODEL BY SES'!$C$19:$R$242,MATCH('SeS in Retail Sales Areas'!X$7,'NEW MODEL BY SES'!$C$17:$R$17,0),0),"")</f>
        <v/>
      </c>
      <c r="Z305" s="57"/>
    </row>
    <row r="306" spans="1:26">
      <c r="A306" t="s">
        <v>1229</v>
      </c>
      <c r="B306" s="57">
        <v>83</v>
      </c>
      <c r="C306" t="s">
        <v>1244</v>
      </c>
      <c r="D306" t="s">
        <v>40</v>
      </c>
      <c r="E306"/>
      <c r="F306" s="140" t="str">
        <f>IFERROR(VLOOKUP($C306,'NEW MODEL BY SES'!$C$19:$R$242,MATCH('SeS in Retail Sales Areas'!F$7,'NEW MODEL BY SES'!$C$17:$R$17,0),0),"")</f>
        <v/>
      </c>
      <c r="G306" s="140" t="str">
        <f>IFERROR(VLOOKUP($C306,'NEW MODEL BY SES'!$C$19:$R$242,MATCH('SeS in Retail Sales Areas'!G$7,'NEW MODEL BY SES'!$C$17:$R$17,0),0),"")</f>
        <v/>
      </c>
      <c r="H306" s="142" t="str">
        <f>IFERROR(VLOOKUP($C306,'NEW MODEL BY SES'!$C$19:$R$242,MATCH('SeS in Retail Sales Areas'!H$7,'NEW MODEL BY SES'!$C$17:$R$17,0),0),"")</f>
        <v/>
      </c>
      <c r="I306" s="140" t="str">
        <f>IFERROR(VLOOKUP($C306,'NEW MODEL BY SES'!$C$19:$R$242,MATCH('SeS in Retail Sales Areas'!I$7,'NEW MODEL BY SES'!$C$17:$R$17,0),0),"")</f>
        <v/>
      </c>
      <c r="J306" s="142" t="str">
        <f>IFERROR(VLOOKUP($C306,'NEW MODEL BY SES'!$C$19:$R$242,MATCH('SeS in Retail Sales Areas'!J$7,'NEW MODEL BY SES'!$C$17:$R$17,0),0),"")</f>
        <v/>
      </c>
      <c r="K306" s="140" t="str">
        <f>IFERROR(VLOOKUP($C306,'NEW MODEL BY SES'!$C$19:$R$242,MATCH('SeS in Retail Sales Areas'!K$7,'NEW MODEL BY SES'!$C$17:$R$17,0),0),"")</f>
        <v/>
      </c>
      <c r="L306" s="142" t="str">
        <f>IFERROR(VLOOKUP($C306,'NEW MODEL BY SES'!$C$19:$R$242,MATCH('SeS in Retail Sales Areas'!L$7,'NEW MODEL BY SES'!$C$17:$R$17,0),0),"")</f>
        <v/>
      </c>
      <c r="M306" s="140" t="str">
        <f>IFERROR(VLOOKUP($C306,'NEW MODEL BY SES'!$C$19:$R$242,MATCH('SeS in Retail Sales Areas'!M$7,'NEW MODEL BY SES'!$C$17:$R$17,0),0),"")</f>
        <v/>
      </c>
      <c r="N306" s="142" t="str">
        <f>IFERROR(VLOOKUP($C306,'NEW MODEL BY SES'!$C$19:$R$242,MATCH('SeS in Retail Sales Areas'!N$7,'NEW MODEL BY SES'!$C$17:$R$17,0),0),"")</f>
        <v/>
      </c>
      <c r="O306" s="140" t="str">
        <f>IFERROR(VLOOKUP($C306,'NEW MODEL BY SES'!$C$19:$R$242,MATCH('SeS in Retail Sales Areas'!O$7,'NEW MODEL BY SES'!$C$17:$R$17,0),0),"")</f>
        <v/>
      </c>
      <c r="P306" s="142" t="str">
        <f>IFERROR(VLOOKUP($C306,'NEW MODEL BY SES'!$C$19:$R$242,MATCH('SeS in Retail Sales Areas'!P$7,'NEW MODEL BY SES'!$C$17:$R$17,0),0),"")</f>
        <v/>
      </c>
      <c r="Q306" s="140" t="str">
        <f>IFERROR(VLOOKUP($C306,'NEW MODEL BY SES'!$C$19:$R$242,MATCH('SeS in Retail Sales Areas'!Q$7,'NEW MODEL BY SES'!$C$17:$R$17,0),0),"")</f>
        <v/>
      </c>
      <c r="R306" s="142" t="str">
        <f>IFERROR(VLOOKUP($C306,'NEW MODEL BY SES'!$C$19:$R$242,MATCH('SeS in Retail Sales Areas'!R$7,'NEW MODEL BY SES'!$C$17:$R$17,0),0),"")</f>
        <v/>
      </c>
      <c r="S306" s="141" t="str">
        <f>IFERROR(VLOOKUP($C306,'NEW MODEL BY SES'!$C$19:$R$242,MATCH('SeS in Retail Sales Areas'!S$7,'NEW MODEL BY SES'!$C$17:$R$17,0),0),"")</f>
        <v/>
      </c>
      <c r="T306" s="140" t="str">
        <f>IFERROR(VLOOKUP($C306,'NEW MODEL BY SES'!$C$19:$R$242,MATCH('SeS in Retail Sales Areas'!T$7,'NEW MODEL BY SES'!$C$17:$R$17,0),0),"")</f>
        <v/>
      </c>
      <c r="U306" s="142" t="str">
        <f>IFERROR(VLOOKUP($C306,'NEW MODEL BY SES'!$C$19:$R$242,MATCH('SeS in Retail Sales Areas'!U$7,'NEW MODEL BY SES'!$C$17:$R$17,0),0),"")</f>
        <v/>
      </c>
      <c r="V306" s="140" t="str">
        <f>IFERROR(VLOOKUP($C306,'NEW MODEL BY SES'!$C$19:$R$242,MATCH('SeS in Retail Sales Areas'!V$7,'NEW MODEL BY SES'!$C$17:$R$17,0),0),"")</f>
        <v/>
      </c>
      <c r="W306" s="141" t="str">
        <f>IFERROR(VLOOKUP($C306,'NEW MODEL BY SES'!$C$19:$R$242,MATCH('SeS in Retail Sales Areas'!W$7,'NEW MODEL BY SES'!$C$17:$R$17,0),0),"")</f>
        <v/>
      </c>
      <c r="X306" s="140" t="str">
        <f>IFERROR(VLOOKUP($C306,'NEW MODEL BY SES'!$C$19:$R$242,MATCH('SeS in Retail Sales Areas'!X$7,'NEW MODEL BY SES'!$C$17:$R$17,0),0),"")</f>
        <v/>
      </c>
      <c r="Z306" s="57"/>
    </row>
    <row r="307" spans="1:26">
      <c r="A307" t="s">
        <v>1229</v>
      </c>
      <c r="B307" s="57">
        <v>80</v>
      </c>
      <c r="C307" t="s">
        <v>1245</v>
      </c>
      <c r="D307" t="s">
        <v>40</v>
      </c>
      <c r="E307"/>
      <c r="F307" s="140" t="str">
        <f>IFERROR(VLOOKUP($C307,'NEW MODEL BY SES'!$C$19:$R$242,MATCH('SeS in Retail Sales Areas'!F$7,'NEW MODEL BY SES'!$C$17:$R$17,0),0),"")</f>
        <v/>
      </c>
      <c r="G307" s="140" t="str">
        <f>IFERROR(VLOOKUP($C307,'NEW MODEL BY SES'!$C$19:$R$242,MATCH('SeS in Retail Sales Areas'!G$7,'NEW MODEL BY SES'!$C$17:$R$17,0),0),"")</f>
        <v/>
      </c>
      <c r="H307" s="142" t="str">
        <f>IFERROR(VLOOKUP($C307,'NEW MODEL BY SES'!$C$19:$R$242,MATCH('SeS in Retail Sales Areas'!H$7,'NEW MODEL BY SES'!$C$17:$R$17,0),0),"")</f>
        <v/>
      </c>
      <c r="I307" s="140" t="str">
        <f>IFERROR(VLOOKUP($C307,'NEW MODEL BY SES'!$C$19:$R$242,MATCH('SeS in Retail Sales Areas'!I$7,'NEW MODEL BY SES'!$C$17:$R$17,0),0),"")</f>
        <v/>
      </c>
      <c r="J307" s="142" t="str">
        <f>IFERROR(VLOOKUP($C307,'NEW MODEL BY SES'!$C$19:$R$242,MATCH('SeS in Retail Sales Areas'!J$7,'NEW MODEL BY SES'!$C$17:$R$17,0),0),"")</f>
        <v/>
      </c>
      <c r="K307" s="140" t="str">
        <f>IFERROR(VLOOKUP($C307,'NEW MODEL BY SES'!$C$19:$R$242,MATCH('SeS in Retail Sales Areas'!K$7,'NEW MODEL BY SES'!$C$17:$R$17,0),0),"")</f>
        <v/>
      </c>
      <c r="L307" s="142" t="str">
        <f>IFERROR(VLOOKUP($C307,'NEW MODEL BY SES'!$C$19:$R$242,MATCH('SeS in Retail Sales Areas'!L$7,'NEW MODEL BY SES'!$C$17:$R$17,0),0),"")</f>
        <v/>
      </c>
      <c r="M307" s="140" t="str">
        <f>IFERROR(VLOOKUP($C307,'NEW MODEL BY SES'!$C$19:$R$242,MATCH('SeS in Retail Sales Areas'!M$7,'NEW MODEL BY SES'!$C$17:$R$17,0),0),"")</f>
        <v/>
      </c>
      <c r="N307" s="142" t="str">
        <f>IFERROR(VLOOKUP($C307,'NEW MODEL BY SES'!$C$19:$R$242,MATCH('SeS in Retail Sales Areas'!N$7,'NEW MODEL BY SES'!$C$17:$R$17,0),0),"")</f>
        <v/>
      </c>
      <c r="O307" s="140" t="str">
        <f>IFERROR(VLOOKUP($C307,'NEW MODEL BY SES'!$C$19:$R$242,MATCH('SeS in Retail Sales Areas'!O$7,'NEW MODEL BY SES'!$C$17:$R$17,0),0),"")</f>
        <v/>
      </c>
      <c r="P307" s="142" t="str">
        <f>IFERROR(VLOOKUP($C307,'NEW MODEL BY SES'!$C$19:$R$242,MATCH('SeS in Retail Sales Areas'!P$7,'NEW MODEL BY SES'!$C$17:$R$17,0),0),"")</f>
        <v/>
      </c>
      <c r="Q307" s="140" t="str">
        <f>IFERROR(VLOOKUP($C307,'NEW MODEL BY SES'!$C$19:$R$242,MATCH('SeS in Retail Sales Areas'!Q$7,'NEW MODEL BY SES'!$C$17:$R$17,0),0),"")</f>
        <v/>
      </c>
      <c r="R307" s="142" t="str">
        <f>IFERROR(VLOOKUP($C307,'NEW MODEL BY SES'!$C$19:$R$242,MATCH('SeS in Retail Sales Areas'!R$7,'NEW MODEL BY SES'!$C$17:$R$17,0),0),"")</f>
        <v/>
      </c>
      <c r="S307" s="141" t="str">
        <f>IFERROR(VLOOKUP($C307,'NEW MODEL BY SES'!$C$19:$R$242,MATCH('SeS in Retail Sales Areas'!S$7,'NEW MODEL BY SES'!$C$17:$R$17,0),0),"")</f>
        <v/>
      </c>
      <c r="T307" s="140" t="str">
        <f>IFERROR(VLOOKUP($C307,'NEW MODEL BY SES'!$C$19:$R$242,MATCH('SeS in Retail Sales Areas'!T$7,'NEW MODEL BY SES'!$C$17:$R$17,0),0),"")</f>
        <v/>
      </c>
      <c r="U307" s="142" t="str">
        <f>IFERROR(VLOOKUP($C307,'NEW MODEL BY SES'!$C$19:$R$242,MATCH('SeS in Retail Sales Areas'!U$7,'NEW MODEL BY SES'!$C$17:$R$17,0),0),"")</f>
        <v/>
      </c>
      <c r="V307" s="140" t="str">
        <f>IFERROR(VLOOKUP($C307,'NEW MODEL BY SES'!$C$19:$R$242,MATCH('SeS in Retail Sales Areas'!V$7,'NEW MODEL BY SES'!$C$17:$R$17,0),0),"")</f>
        <v/>
      </c>
      <c r="W307" s="141" t="str">
        <f>IFERROR(VLOOKUP($C307,'NEW MODEL BY SES'!$C$19:$R$242,MATCH('SeS in Retail Sales Areas'!W$7,'NEW MODEL BY SES'!$C$17:$R$17,0),0),"")</f>
        <v/>
      </c>
      <c r="X307" s="140" t="str">
        <f>IFERROR(VLOOKUP($C307,'NEW MODEL BY SES'!$C$19:$R$242,MATCH('SeS in Retail Sales Areas'!X$7,'NEW MODEL BY SES'!$C$17:$R$17,0),0),"")</f>
        <v/>
      </c>
      <c r="Z307" s="57"/>
    </row>
    <row r="308" spans="1:26">
      <c r="A308" t="s">
        <v>1229</v>
      </c>
      <c r="B308" s="57">
        <v>78</v>
      </c>
      <c r="C308" t="s">
        <v>1246</v>
      </c>
      <c r="D308" t="s">
        <v>44</v>
      </c>
      <c r="E308"/>
      <c r="F308" s="140" t="str">
        <f>IFERROR(VLOOKUP($C308,'NEW MODEL BY SES'!$C$19:$R$242,MATCH('SeS in Retail Sales Areas'!F$7,'NEW MODEL BY SES'!$C$17:$R$17,0),0),"")</f>
        <v/>
      </c>
      <c r="G308" s="140" t="str">
        <f>IFERROR(VLOOKUP($C308,'NEW MODEL BY SES'!$C$19:$R$242,MATCH('SeS in Retail Sales Areas'!G$7,'NEW MODEL BY SES'!$C$17:$R$17,0),0),"")</f>
        <v/>
      </c>
      <c r="H308" s="142" t="str">
        <f>IFERROR(VLOOKUP($C308,'NEW MODEL BY SES'!$C$19:$R$242,MATCH('SeS in Retail Sales Areas'!H$7,'NEW MODEL BY SES'!$C$17:$R$17,0),0),"")</f>
        <v/>
      </c>
      <c r="I308" s="140" t="str">
        <f>IFERROR(VLOOKUP($C308,'NEW MODEL BY SES'!$C$19:$R$242,MATCH('SeS in Retail Sales Areas'!I$7,'NEW MODEL BY SES'!$C$17:$R$17,0),0),"")</f>
        <v/>
      </c>
      <c r="J308" s="142" t="str">
        <f>IFERROR(VLOOKUP($C308,'NEW MODEL BY SES'!$C$19:$R$242,MATCH('SeS in Retail Sales Areas'!J$7,'NEW MODEL BY SES'!$C$17:$R$17,0),0),"")</f>
        <v/>
      </c>
      <c r="K308" s="140" t="str">
        <f>IFERROR(VLOOKUP($C308,'NEW MODEL BY SES'!$C$19:$R$242,MATCH('SeS in Retail Sales Areas'!K$7,'NEW MODEL BY SES'!$C$17:$R$17,0),0),"")</f>
        <v/>
      </c>
      <c r="L308" s="142" t="str">
        <f>IFERROR(VLOOKUP($C308,'NEW MODEL BY SES'!$C$19:$R$242,MATCH('SeS in Retail Sales Areas'!L$7,'NEW MODEL BY SES'!$C$17:$R$17,0),0),"")</f>
        <v/>
      </c>
      <c r="M308" s="140" t="str">
        <f>IFERROR(VLOOKUP($C308,'NEW MODEL BY SES'!$C$19:$R$242,MATCH('SeS in Retail Sales Areas'!M$7,'NEW MODEL BY SES'!$C$17:$R$17,0),0),"")</f>
        <v/>
      </c>
      <c r="N308" s="142" t="str">
        <f>IFERROR(VLOOKUP($C308,'NEW MODEL BY SES'!$C$19:$R$242,MATCH('SeS in Retail Sales Areas'!N$7,'NEW MODEL BY SES'!$C$17:$R$17,0),0),"")</f>
        <v/>
      </c>
      <c r="O308" s="140" t="str">
        <f>IFERROR(VLOOKUP($C308,'NEW MODEL BY SES'!$C$19:$R$242,MATCH('SeS in Retail Sales Areas'!O$7,'NEW MODEL BY SES'!$C$17:$R$17,0),0),"")</f>
        <v/>
      </c>
      <c r="P308" s="142" t="str">
        <f>IFERROR(VLOOKUP($C308,'NEW MODEL BY SES'!$C$19:$R$242,MATCH('SeS in Retail Sales Areas'!P$7,'NEW MODEL BY SES'!$C$17:$R$17,0),0),"")</f>
        <v/>
      </c>
      <c r="Q308" s="140" t="str">
        <f>IFERROR(VLOOKUP($C308,'NEW MODEL BY SES'!$C$19:$R$242,MATCH('SeS in Retail Sales Areas'!Q$7,'NEW MODEL BY SES'!$C$17:$R$17,0),0),"")</f>
        <v/>
      </c>
      <c r="R308" s="142" t="str">
        <f>IFERROR(VLOOKUP($C308,'NEW MODEL BY SES'!$C$19:$R$242,MATCH('SeS in Retail Sales Areas'!R$7,'NEW MODEL BY SES'!$C$17:$R$17,0),0),"")</f>
        <v/>
      </c>
      <c r="S308" s="141" t="str">
        <f>IFERROR(VLOOKUP($C308,'NEW MODEL BY SES'!$C$19:$R$242,MATCH('SeS in Retail Sales Areas'!S$7,'NEW MODEL BY SES'!$C$17:$R$17,0),0),"")</f>
        <v/>
      </c>
      <c r="T308" s="140" t="str">
        <f>IFERROR(VLOOKUP($C308,'NEW MODEL BY SES'!$C$19:$R$242,MATCH('SeS in Retail Sales Areas'!T$7,'NEW MODEL BY SES'!$C$17:$R$17,0),0),"")</f>
        <v/>
      </c>
      <c r="U308" s="142" t="str">
        <f>IFERROR(VLOOKUP($C308,'NEW MODEL BY SES'!$C$19:$R$242,MATCH('SeS in Retail Sales Areas'!U$7,'NEW MODEL BY SES'!$C$17:$R$17,0),0),"")</f>
        <v/>
      </c>
      <c r="V308" s="140" t="str">
        <f>IFERROR(VLOOKUP($C308,'NEW MODEL BY SES'!$C$19:$R$242,MATCH('SeS in Retail Sales Areas'!V$7,'NEW MODEL BY SES'!$C$17:$R$17,0),0),"")</f>
        <v/>
      </c>
      <c r="W308" s="141" t="str">
        <f>IFERROR(VLOOKUP($C308,'NEW MODEL BY SES'!$C$19:$R$242,MATCH('SeS in Retail Sales Areas'!W$7,'NEW MODEL BY SES'!$C$17:$R$17,0),0),"")</f>
        <v/>
      </c>
      <c r="X308" s="140" t="str">
        <f>IFERROR(VLOOKUP($C308,'NEW MODEL BY SES'!$C$19:$R$242,MATCH('SeS in Retail Sales Areas'!X$7,'NEW MODEL BY SES'!$C$17:$R$17,0),0),"")</f>
        <v/>
      </c>
      <c r="Z308" s="57"/>
    </row>
    <row r="309" spans="1:26">
      <c r="A309" t="s">
        <v>1229</v>
      </c>
      <c r="B309" s="57">
        <v>73</v>
      </c>
      <c r="C309" t="s">
        <v>1247</v>
      </c>
      <c r="D309" t="s">
        <v>44</v>
      </c>
      <c r="E309"/>
      <c r="F309" s="140" t="str">
        <f>IFERROR(VLOOKUP($C309,'NEW MODEL BY SES'!$C$19:$R$242,MATCH('SeS in Retail Sales Areas'!F$7,'NEW MODEL BY SES'!$C$17:$R$17,0),0),"")</f>
        <v/>
      </c>
      <c r="G309" s="140" t="str">
        <f>IFERROR(VLOOKUP($C309,'NEW MODEL BY SES'!$C$19:$R$242,MATCH('SeS in Retail Sales Areas'!G$7,'NEW MODEL BY SES'!$C$17:$R$17,0),0),"")</f>
        <v/>
      </c>
      <c r="H309" s="142" t="str">
        <f>IFERROR(VLOOKUP($C309,'NEW MODEL BY SES'!$C$19:$R$242,MATCH('SeS in Retail Sales Areas'!H$7,'NEW MODEL BY SES'!$C$17:$R$17,0),0),"")</f>
        <v/>
      </c>
      <c r="I309" s="140" t="str">
        <f>IFERROR(VLOOKUP($C309,'NEW MODEL BY SES'!$C$19:$R$242,MATCH('SeS in Retail Sales Areas'!I$7,'NEW MODEL BY SES'!$C$17:$R$17,0),0),"")</f>
        <v/>
      </c>
      <c r="J309" s="142" t="str">
        <f>IFERROR(VLOOKUP($C309,'NEW MODEL BY SES'!$C$19:$R$242,MATCH('SeS in Retail Sales Areas'!J$7,'NEW MODEL BY SES'!$C$17:$R$17,0),0),"")</f>
        <v/>
      </c>
      <c r="K309" s="140" t="str">
        <f>IFERROR(VLOOKUP($C309,'NEW MODEL BY SES'!$C$19:$R$242,MATCH('SeS in Retail Sales Areas'!K$7,'NEW MODEL BY SES'!$C$17:$R$17,0),0),"")</f>
        <v/>
      </c>
      <c r="L309" s="142" t="str">
        <f>IFERROR(VLOOKUP($C309,'NEW MODEL BY SES'!$C$19:$R$242,MATCH('SeS in Retail Sales Areas'!L$7,'NEW MODEL BY SES'!$C$17:$R$17,0),0),"")</f>
        <v/>
      </c>
      <c r="M309" s="140" t="str">
        <f>IFERROR(VLOOKUP($C309,'NEW MODEL BY SES'!$C$19:$R$242,MATCH('SeS in Retail Sales Areas'!M$7,'NEW MODEL BY SES'!$C$17:$R$17,0),0),"")</f>
        <v/>
      </c>
      <c r="N309" s="142" t="str">
        <f>IFERROR(VLOOKUP($C309,'NEW MODEL BY SES'!$C$19:$R$242,MATCH('SeS in Retail Sales Areas'!N$7,'NEW MODEL BY SES'!$C$17:$R$17,0),0),"")</f>
        <v/>
      </c>
      <c r="O309" s="140" t="str">
        <f>IFERROR(VLOOKUP($C309,'NEW MODEL BY SES'!$C$19:$R$242,MATCH('SeS in Retail Sales Areas'!O$7,'NEW MODEL BY SES'!$C$17:$R$17,0),0),"")</f>
        <v/>
      </c>
      <c r="P309" s="142" t="str">
        <f>IFERROR(VLOOKUP($C309,'NEW MODEL BY SES'!$C$19:$R$242,MATCH('SeS in Retail Sales Areas'!P$7,'NEW MODEL BY SES'!$C$17:$R$17,0),0),"")</f>
        <v/>
      </c>
      <c r="Q309" s="140" t="str">
        <f>IFERROR(VLOOKUP($C309,'NEW MODEL BY SES'!$C$19:$R$242,MATCH('SeS in Retail Sales Areas'!Q$7,'NEW MODEL BY SES'!$C$17:$R$17,0),0),"")</f>
        <v/>
      </c>
      <c r="R309" s="142" t="str">
        <f>IFERROR(VLOOKUP($C309,'NEW MODEL BY SES'!$C$19:$R$242,MATCH('SeS in Retail Sales Areas'!R$7,'NEW MODEL BY SES'!$C$17:$R$17,0),0),"")</f>
        <v/>
      </c>
      <c r="S309" s="141" t="str">
        <f>IFERROR(VLOOKUP($C309,'NEW MODEL BY SES'!$C$19:$R$242,MATCH('SeS in Retail Sales Areas'!S$7,'NEW MODEL BY SES'!$C$17:$R$17,0),0),"")</f>
        <v/>
      </c>
      <c r="T309" s="140" t="str">
        <f>IFERROR(VLOOKUP($C309,'NEW MODEL BY SES'!$C$19:$R$242,MATCH('SeS in Retail Sales Areas'!T$7,'NEW MODEL BY SES'!$C$17:$R$17,0),0),"")</f>
        <v/>
      </c>
      <c r="U309" s="142" t="str">
        <f>IFERROR(VLOOKUP($C309,'NEW MODEL BY SES'!$C$19:$R$242,MATCH('SeS in Retail Sales Areas'!U$7,'NEW MODEL BY SES'!$C$17:$R$17,0),0),"")</f>
        <v/>
      </c>
      <c r="V309" s="140" t="str">
        <f>IFERROR(VLOOKUP($C309,'NEW MODEL BY SES'!$C$19:$R$242,MATCH('SeS in Retail Sales Areas'!V$7,'NEW MODEL BY SES'!$C$17:$R$17,0),0),"")</f>
        <v/>
      </c>
      <c r="W309" s="141" t="str">
        <f>IFERROR(VLOOKUP($C309,'NEW MODEL BY SES'!$C$19:$R$242,MATCH('SeS in Retail Sales Areas'!W$7,'NEW MODEL BY SES'!$C$17:$R$17,0),0),"")</f>
        <v/>
      </c>
      <c r="X309" s="140" t="str">
        <f>IFERROR(VLOOKUP($C309,'NEW MODEL BY SES'!$C$19:$R$242,MATCH('SeS in Retail Sales Areas'!X$7,'NEW MODEL BY SES'!$C$17:$R$17,0),0),"")</f>
        <v/>
      </c>
      <c r="Z309" s="57"/>
    </row>
    <row r="310" spans="1:26">
      <c r="A310" t="s">
        <v>1229</v>
      </c>
      <c r="B310" s="57">
        <v>73</v>
      </c>
      <c r="C310" t="s">
        <v>1248</v>
      </c>
      <c r="D310" t="s">
        <v>44</v>
      </c>
      <c r="E310"/>
      <c r="F310" s="140" t="str">
        <f>IFERROR(VLOOKUP($C310,'NEW MODEL BY SES'!$C$19:$R$242,MATCH('SeS in Retail Sales Areas'!F$7,'NEW MODEL BY SES'!$C$17:$R$17,0),0),"")</f>
        <v/>
      </c>
      <c r="G310" s="140" t="str">
        <f>IFERROR(VLOOKUP($C310,'NEW MODEL BY SES'!$C$19:$R$242,MATCH('SeS in Retail Sales Areas'!G$7,'NEW MODEL BY SES'!$C$17:$R$17,0),0),"")</f>
        <v/>
      </c>
      <c r="H310" s="142" t="str">
        <f>IFERROR(VLOOKUP($C310,'NEW MODEL BY SES'!$C$19:$R$242,MATCH('SeS in Retail Sales Areas'!H$7,'NEW MODEL BY SES'!$C$17:$R$17,0),0),"")</f>
        <v/>
      </c>
      <c r="I310" s="140" t="str">
        <f>IFERROR(VLOOKUP($C310,'NEW MODEL BY SES'!$C$19:$R$242,MATCH('SeS in Retail Sales Areas'!I$7,'NEW MODEL BY SES'!$C$17:$R$17,0),0),"")</f>
        <v/>
      </c>
      <c r="J310" s="142" t="str">
        <f>IFERROR(VLOOKUP($C310,'NEW MODEL BY SES'!$C$19:$R$242,MATCH('SeS in Retail Sales Areas'!J$7,'NEW MODEL BY SES'!$C$17:$R$17,0),0),"")</f>
        <v/>
      </c>
      <c r="K310" s="140" t="str">
        <f>IFERROR(VLOOKUP($C310,'NEW MODEL BY SES'!$C$19:$R$242,MATCH('SeS in Retail Sales Areas'!K$7,'NEW MODEL BY SES'!$C$17:$R$17,0),0),"")</f>
        <v/>
      </c>
      <c r="L310" s="142" t="str">
        <f>IFERROR(VLOOKUP($C310,'NEW MODEL BY SES'!$C$19:$R$242,MATCH('SeS in Retail Sales Areas'!L$7,'NEW MODEL BY SES'!$C$17:$R$17,0),0),"")</f>
        <v/>
      </c>
      <c r="M310" s="140" t="str">
        <f>IFERROR(VLOOKUP($C310,'NEW MODEL BY SES'!$C$19:$R$242,MATCH('SeS in Retail Sales Areas'!M$7,'NEW MODEL BY SES'!$C$17:$R$17,0),0),"")</f>
        <v/>
      </c>
      <c r="N310" s="142" t="str">
        <f>IFERROR(VLOOKUP($C310,'NEW MODEL BY SES'!$C$19:$R$242,MATCH('SeS in Retail Sales Areas'!N$7,'NEW MODEL BY SES'!$C$17:$R$17,0),0),"")</f>
        <v/>
      </c>
      <c r="O310" s="140" t="str">
        <f>IFERROR(VLOOKUP($C310,'NEW MODEL BY SES'!$C$19:$R$242,MATCH('SeS in Retail Sales Areas'!O$7,'NEW MODEL BY SES'!$C$17:$R$17,0),0),"")</f>
        <v/>
      </c>
      <c r="P310" s="142" t="str">
        <f>IFERROR(VLOOKUP($C310,'NEW MODEL BY SES'!$C$19:$R$242,MATCH('SeS in Retail Sales Areas'!P$7,'NEW MODEL BY SES'!$C$17:$R$17,0),0),"")</f>
        <v/>
      </c>
      <c r="Q310" s="140" t="str">
        <f>IFERROR(VLOOKUP($C310,'NEW MODEL BY SES'!$C$19:$R$242,MATCH('SeS in Retail Sales Areas'!Q$7,'NEW MODEL BY SES'!$C$17:$R$17,0),0),"")</f>
        <v/>
      </c>
      <c r="R310" s="142" t="str">
        <f>IFERROR(VLOOKUP($C310,'NEW MODEL BY SES'!$C$19:$R$242,MATCH('SeS in Retail Sales Areas'!R$7,'NEW MODEL BY SES'!$C$17:$R$17,0),0),"")</f>
        <v/>
      </c>
      <c r="S310" s="141" t="str">
        <f>IFERROR(VLOOKUP($C310,'NEW MODEL BY SES'!$C$19:$R$242,MATCH('SeS in Retail Sales Areas'!S$7,'NEW MODEL BY SES'!$C$17:$R$17,0),0),"")</f>
        <v/>
      </c>
      <c r="T310" s="140" t="str">
        <f>IFERROR(VLOOKUP($C310,'NEW MODEL BY SES'!$C$19:$R$242,MATCH('SeS in Retail Sales Areas'!T$7,'NEW MODEL BY SES'!$C$17:$R$17,0),0),"")</f>
        <v/>
      </c>
      <c r="U310" s="142" t="str">
        <f>IFERROR(VLOOKUP($C310,'NEW MODEL BY SES'!$C$19:$R$242,MATCH('SeS in Retail Sales Areas'!U$7,'NEW MODEL BY SES'!$C$17:$R$17,0),0),"")</f>
        <v/>
      </c>
      <c r="V310" s="140" t="str">
        <f>IFERROR(VLOOKUP($C310,'NEW MODEL BY SES'!$C$19:$R$242,MATCH('SeS in Retail Sales Areas'!V$7,'NEW MODEL BY SES'!$C$17:$R$17,0),0),"")</f>
        <v/>
      </c>
      <c r="W310" s="141" t="str">
        <f>IFERROR(VLOOKUP($C310,'NEW MODEL BY SES'!$C$19:$R$242,MATCH('SeS in Retail Sales Areas'!W$7,'NEW MODEL BY SES'!$C$17:$R$17,0),0),"")</f>
        <v/>
      </c>
      <c r="X310" s="140" t="str">
        <f>IFERROR(VLOOKUP($C310,'NEW MODEL BY SES'!$C$19:$R$242,MATCH('SeS in Retail Sales Areas'!X$7,'NEW MODEL BY SES'!$C$17:$R$17,0),0),"")</f>
        <v/>
      </c>
      <c r="Z310" s="57"/>
    </row>
    <row r="311" spans="1:26">
      <c r="A311" t="s">
        <v>1229</v>
      </c>
      <c r="B311" s="57">
        <v>72</v>
      </c>
      <c r="C311" t="s">
        <v>1249</v>
      </c>
      <c r="D311" t="s">
        <v>44</v>
      </c>
      <c r="E311"/>
      <c r="F311" s="140" t="str">
        <f>IFERROR(VLOOKUP($C311,'NEW MODEL BY SES'!$C$19:$R$242,MATCH('SeS in Retail Sales Areas'!F$7,'NEW MODEL BY SES'!$C$17:$R$17,0),0),"")</f>
        <v/>
      </c>
      <c r="G311" s="140" t="str">
        <f>IFERROR(VLOOKUP($C311,'NEW MODEL BY SES'!$C$19:$R$242,MATCH('SeS in Retail Sales Areas'!G$7,'NEW MODEL BY SES'!$C$17:$R$17,0),0),"")</f>
        <v/>
      </c>
      <c r="H311" s="142" t="str">
        <f>IFERROR(VLOOKUP($C311,'NEW MODEL BY SES'!$C$19:$R$242,MATCH('SeS in Retail Sales Areas'!H$7,'NEW MODEL BY SES'!$C$17:$R$17,0),0),"")</f>
        <v/>
      </c>
      <c r="I311" s="140" t="str">
        <f>IFERROR(VLOOKUP($C311,'NEW MODEL BY SES'!$C$19:$R$242,MATCH('SeS in Retail Sales Areas'!I$7,'NEW MODEL BY SES'!$C$17:$R$17,0),0),"")</f>
        <v/>
      </c>
      <c r="J311" s="142" t="str">
        <f>IFERROR(VLOOKUP($C311,'NEW MODEL BY SES'!$C$19:$R$242,MATCH('SeS in Retail Sales Areas'!J$7,'NEW MODEL BY SES'!$C$17:$R$17,0),0),"")</f>
        <v/>
      </c>
      <c r="K311" s="140" t="str">
        <f>IFERROR(VLOOKUP($C311,'NEW MODEL BY SES'!$C$19:$R$242,MATCH('SeS in Retail Sales Areas'!K$7,'NEW MODEL BY SES'!$C$17:$R$17,0),0),"")</f>
        <v/>
      </c>
      <c r="L311" s="142" t="str">
        <f>IFERROR(VLOOKUP($C311,'NEW MODEL BY SES'!$C$19:$R$242,MATCH('SeS in Retail Sales Areas'!L$7,'NEW MODEL BY SES'!$C$17:$R$17,0),0),"")</f>
        <v/>
      </c>
      <c r="M311" s="140" t="str">
        <f>IFERROR(VLOOKUP($C311,'NEW MODEL BY SES'!$C$19:$R$242,MATCH('SeS in Retail Sales Areas'!M$7,'NEW MODEL BY SES'!$C$17:$R$17,0),0),"")</f>
        <v/>
      </c>
      <c r="N311" s="142" t="str">
        <f>IFERROR(VLOOKUP($C311,'NEW MODEL BY SES'!$C$19:$R$242,MATCH('SeS in Retail Sales Areas'!N$7,'NEW MODEL BY SES'!$C$17:$R$17,0),0),"")</f>
        <v/>
      </c>
      <c r="O311" s="140" t="str">
        <f>IFERROR(VLOOKUP($C311,'NEW MODEL BY SES'!$C$19:$R$242,MATCH('SeS in Retail Sales Areas'!O$7,'NEW MODEL BY SES'!$C$17:$R$17,0),0),"")</f>
        <v/>
      </c>
      <c r="P311" s="142" t="str">
        <f>IFERROR(VLOOKUP($C311,'NEW MODEL BY SES'!$C$19:$R$242,MATCH('SeS in Retail Sales Areas'!P$7,'NEW MODEL BY SES'!$C$17:$R$17,0),0),"")</f>
        <v/>
      </c>
      <c r="Q311" s="140" t="str">
        <f>IFERROR(VLOOKUP($C311,'NEW MODEL BY SES'!$C$19:$R$242,MATCH('SeS in Retail Sales Areas'!Q$7,'NEW MODEL BY SES'!$C$17:$R$17,0),0),"")</f>
        <v/>
      </c>
      <c r="R311" s="142" t="str">
        <f>IFERROR(VLOOKUP($C311,'NEW MODEL BY SES'!$C$19:$R$242,MATCH('SeS in Retail Sales Areas'!R$7,'NEW MODEL BY SES'!$C$17:$R$17,0),0),"")</f>
        <v/>
      </c>
      <c r="S311" s="141" t="str">
        <f>IFERROR(VLOOKUP($C311,'NEW MODEL BY SES'!$C$19:$R$242,MATCH('SeS in Retail Sales Areas'!S$7,'NEW MODEL BY SES'!$C$17:$R$17,0),0),"")</f>
        <v/>
      </c>
      <c r="T311" s="140" t="str">
        <f>IFERROR(VLOOKUP($C311,'NEW MODEL BY SES'!$C$19:$R$242,MATCH('SeS in Retail Sales Areas'!T$7,'NEW MODEL BY SES'!$C$17:$R$17,0),0),"")</f>
        <v/>
      </c>
      <c r="U311" s="142" t="str">
        <f>IFERROR(VLOOKUP($C311,'NEW MODEL BY SES'!$C$19:$R$242,MATCH('SeS in Retail Sales Areas'!U$7,'NEW MODEL BY SES'!$C$17:$R$17,0),0),"")</f>
        <v/>
      </c>
      <c r="V311" s="140" t="str">
        <f>IFERROR(VLOOKUP($C311,'NEW MODEL BY SES'!$C$19:$R$242,MATCH('SeS in Retail Sales Areas'!V$7,'NEW MODEL BY SES'!$C$17:$R$17,0),0),"")</f>
        <v/>
      </c>
      <c r="W311" s="141" t="str">
        <f>IFERROR(VLOOKUP($C311,'NEW MODEL BY SES'!$C$19:$R$242,MATCH('SeS in Retail Sales Areas'!W$7,'NEW MODEL BY SES'!$C$17:$R$17,0),0),"")</f>
        <v/>
      </c>
      <c r="X311" s="140" t="str">
        <f>IFERROR(VLOOKUP($C311,'NEW MODEL BY SES'!$C$19:$R$242,MATCH('SeS in Retail Sales Areas'!X$7,'NEW MODEL BY SES'!$C$17:$R$17,0),0),"")</f>
        <v/>
      </c>
      <c r="Z311" s="57"/>
    </row>
    <row r="312" spans="1:26">
      <c r="A312" t="s">
        <v>1229</v>
      </c>
      <c r="B312" s="57">
        <v>69</v>
      </c>
      <c r="C312" t="s">
        <v>1250</v>
      </c>
      <c r="D312" t="s">
        <v>44</v>
      </c>
      <c r="E312"/>
      <c r="F312" s="140" t="str">
        <f>IFERROR(VLOOKUP($C312,'NEW MODEL BY SES'!$C$19:$R$242,MATCH('SeS in Retail Sales Areas'!F$7,'NEW MODEL BY SES'!$C$17:$R$17,0),0),"")</f>
        <v/>
      </c>
      <c r="G312" s="140" t="str">
        <f>IFERROR(VLOOKUP($C312,'NEW MODEL BY SES'!$C$19:$R$242,MATCH('SeS in Retail Sales Areas'!G$7,'NEW MODEL BY SES'!$C$17:$R$17,0),0),"")</f>
        <v/>
      </c>
      <c r="H312" s="142" t="str">
        <f>IFERROR(VLOOKUP($C312,'NEW MODEL BY SES'!$C$19:$R$242,MATCH('SeS in Retail Sales Areas'!H$7,'NEW MODEL BY SES'!$C$17:$R$17,0),0),"")</f>
        <v/>
      </c>
      <c r="I312" s="140" t="str">
        <f>IFERROR(VLOOKUP($C312,'NEW MODEL BY SES'!$C$19:$R$242,MATCH('SeS in Retail Sales Areas'!I$7,'NEW MODEL BY SES'!$C$17:$R$17,0),0),"")</f>
        <v/>
      </c>
      <c r="J312" s="142" t="str">
        <f>IFERROR(VLOOKUP($C312,'NEW MODEL BY SES'!$C$19:$R$242,MATCH('SeS in Retail Sales Areas'!J$7,'NEW MODEL BY SES'!$C$17:$R$17,0),0),"")</f>
        <v/>
      </c>
      <c r="K312" s="140" t="str">
        <f>IFERROR(VLOOKUP($C312,'NEW MODEL BY SES'!$C$19:$R$242,MATCH('SeS in Retail Sales Areas'!K$7,'NEW MODEL BY SES'!$C$17:$R$17,0),0),"")</f>
        <v/>
      </c>
      <c r="L312" s="142" t="str">
        <f>IFERROR(VLOOKUP($C312,'NEW MODEL BY SES'!$C$19:$R$242,MATCH('SeS in Retail Sales Areas'!L$7,'NEW MODEL BY SES'!$C$17:$R$17,0),0),"")</f>
        <v/>
      </c>
      <c r="M312" s="140" t="str">
        <f>IFERROR(VLOOKUP($C312,'NEW MODEL BY SES'!$C$19:$R$242,MATCH('SeS in Retail Sales Areas'!M$7,'NEW MODEL BY SES'!$C$17:$R$17,0),0),"")</f>
        <v/>
      </c>
      <c r="N312" s="142" t="str">
        <f>IFERROR(VLOOKUP($C312,'NEW MODEL BY SES'!$C$19:$R$242,MATCH('SeS in Retail Sales Areas'!N$7,'NEW MODEL BY SES'!$C$17:$R$17,0),0),"")</f>
        <v/>
      </c>
      <c r="O312" s="140" t="str">
        <f>IFERROR(VLOOKUP($C312,'NEW MODEL BY SES'!$C$19:$R$242,MATCH('SeS in Retail Sales Areas'!O$7,'NEW MODEL BY SES'!$C$17:$R$17,0),0),"")</f>
        <v/>
      </c>
      <c r="P312" s="142" t="str">
        <f>IFERROR(VLOOKUP($C312,'NEW MODEL BY SES'!$C$19:$R$242,MATCH('SeS in Retail Sales Areas'!P$7,'NEW MODEL BY SES'!$C$17:$R$17,0),0),"")</f>
        <v/>
      </c>
      <c r="Q312" s="140" t="str">
        <f>IFERROR(VLOOKUP($C312,'NEW MODEL BY SES'!$C$19:$R$242,MATCH('SeS in Retail Sales Areas'!Q$7,'NEW MODEL BY SES'!$C$17:$R$17,0),0),"")</f>
        <v/>
      </c>
      <c r="R312" s="142" t="str">
        <f>IFERROR(VLOOKUP($C312,'NEW MODEL BY SES'!$C$19:$R$242,MATCH('SeS in Retail Sales Areas'!R$7,'NEW MODEL BY SES'!$C$17:$R$17,0),0),"")</f>
        <v/>
      </c>
      <c r="S312" s="141" t="str">
        <f>IFERROR(VLOOKUP($C312,'NEW MODEL BY SES'!$C$19:$R$242,MATCH('SeS in Retail Sales Areas'!S$7,'NEW MODEL BY SES'!$C$17:$R$17,0),0),"")</f>
        <v/>
      </c>
      <c r="T312" s="140" t="str">
        <f>IFERROR(VLOOKUP($C312,'NEW MODEL BY SES'!$C$19:$R$242,MATCH('SeS in Retail Sales Areas'!T$7,'NEW MODEL BY SES'!$C$17:$R$17,0),0),"")</f>
        <v/>
      </c>
      <c r="U312" s="142" t="str">
        <f>IFERROR(VLOOKUP($C312,'NEW MODEL BY SES'!$C$19:$R$242,MATCH('SeS in Retail Sales Areas'!U$7,'NEW MODEL BY SES'!$C$17:$R$17,0),0),"")</f>
        <v/>
      </c>
      <c r="V312" s="140" t="str">
        <f>IFERROR(VLOOKUP($C312,'NEW MODEL BY SES'!$C$19:$R$242,MATCH('SeS in Retail Sales Areas'!V$7,'NEW MODEL BY SES'!$C$17:$R$17,0),0),"")</f>
        <v/>
      </c>
      <c r="W312" s="141" t="str">
        <f>IFERROR(VLOOKUP($C312,'NEW MODEL BY SES'!$C$19:$R$242,MATCH('SeS in Retail Sales Areas'!W$7,'NEW MODEL BY SES'!$C$17:$R$17,0),0),"")</f>
        <v/>
      </c>
      <c r="X312" s="140" t="str">
        <f>IFERROR(VLOOKUP($C312,'NEW MODEL BY SES'!$C$19:$R$242,MATCH('SeS in Retail Sales Areas'!X$7,'NEW MODEL BY SES'!$C$17:$R$17,0),0),"")</f>
        <v/>
      </c>
      <c r="Z312" s="57"/>
    </row>
    <row r="313" spans="1:26">
      <c r="A313" t="s">
        <v>1229</v>
      </c>
      <c r="B313" s="57">
        <v>63</v>
      </c>
      <c r="C313" t="s">
        <v>1251</v>
      </c>
      <c r="D313" t="s">
        <v>44</v>
      </c>
      <c r="E313"/>
      <c r="F313" s="140" t="str">
        <f>IFERROR(VLOOKUP($C313,'NEW MODEL BY SES'!$C$19:$R$242,MATCH('SeS in Retail Sales Areas'!F$7,'NEW MODEL BY SES'!$C$17:$R$17,0),0),"")</f>
        <v/>
      </c>
      <c r="G313" s="140" t="str">
        <f>IFERROR(VLOOKUP($C313,'NEW MODEL BY SES'!$C$19:$R$242,MATCH('SeS in Retail Sales Areas'!G$7,'NEW MODEL BY SES'!$C$17:$R$17,0),0),"")</f>
        <v/>
      </c>
      <c r="H313" s="142" t="str">
        <f>IFERROR(VLOOKUP($C313,'NEW MODEL BY SES'!$C$19:$R$242,MATCH('SeS in Retail Sales Areas'!H$7,'NEW MODEL BY SES'!$C$17:$R$17,0),0),"")</f>
        <v/>
      </c>
      <c r="I313" s="140" t="str">
        <f>IFERROR(VLOOKUP($C313,'NEW MODEL BY SES'!$C$19:$R$242,MATCH('SeS in Retail Sales Areas'!I$7,'NEW MODEL BY SES'!$C$17:$R$17,0),0),"")</f>
        <v/>
      </c>
      <c r="J313" s="142" t="str">
        <f>IFERROR(VLOOKUP($C313,'NEW MODEL BY SES'!$C$19:$R$242,MATCH('SeS in Retail Sales Areas'!J$7,'NEW MODEL BY SES'!$C$17:$R$17,0),0),"")</f>
        <v/>
      </c>
      <c r="K313" s="140" t="str">
        <f>IFERROR(VLOOKUP($C313,'NEW MODEL BY SES'!$C$19:$R$242,MATCH('SeS in Retail Sales Areas'!K$7,'NEW MODEL BY SES'!$C$17:$R$17,0),0),"")</f>
        <v/>
      </c>
      <c r="L313" s="142" t="str">
        <f>IFERROR(VLOOKUP($C313,'NEW MODEL BY SES'!$C$19:$R$242,MATCH('SeS in Retail Sales Areas'!L$7,'NEW MODEL BY SES'!$C$17:$R$17,0),0),"")</f>
        <v/>
      </c>
      <c r="M313" s="140" t="str">
        <f>IFERROR(VLOOKUP($C313,'NEW MODEL BY SES'!$C$19:$R$242,MATCH('SeS in Retail Sales Areas'!M$7,'NEW MODEL BY SES'!$C$17:$R$17,0),0),"")</f>
        <v/>
      </c>
      <c r="N313" s="142" t="str">
        <f>IFERROR(VLOOKUP($C313,'NEW MODEL BY SES'!$C$19:$R$242,MATCH('SeS in Retail Sales Areas'!N$7,'NEW MODEL BY SES'!$C$17:$R$17,0),0),"")</f>
        <v/>
      </c>
      <c r="O313" s="140" t="str">
        <f>IFERROR(VLOOKUP($C313,'NEW MODEL BY SES'!$C$19:$R$242,MATCH('SeS in Retail Sales Areas'!O$7,'NEW MODEL BY SES'!$C$17:$R$17,0),0),"")</f>
        <v/>
      </c>
      <c r="P313" s="142" t="str">
        <f>IFERROR(VLOOKUP($C313,'NEW MODEL BY SES'!$C$19:$R$242,MATCH('SeS in Retail Sales Areas'!P$7,'NEW MODEL BY SES'!$C$17:$R$17,0),0),"")</f>
        <v/>
      </c>
      <c r="Q313" s="140" t="str">
        <f>IFERROR(VLOOKUP($C313,'NEW MODEL BY SES'!$C$19:$R$242,MATCH('SeS in Retail Sales Areas'!Q$7,'NEW MODEL BY SES'!$C$17:$R$17,0),0),"")</f>
        <v/>
      </c>
      <c r="R313" s="142" t="str">
        <f>IFERROR(VLOOKUP($C313,'NEW MODEL BY SES'!$C$19:$R$242,MATCH('SeS in Retail Sales Areas'!R$7,'NEW MODEL BY SES'!$C$17:$R$17,0),0),"")</f>
        <v/>
      </c>
      <c r="S313" s="141" t="str">
        <f>IFERROR(VLOOKUP($C313,'NEW MODEL BY SES'!$C$19:$R$242,MATCH('SeS in Retail Sales Areas'!S$7,'NEW MODEL BY SES'!$C$17:$R$17,0),0),"")</f>
        <v/>
      </c>
      <c r="T313" s="140" t="str">
        <f>IFERROR(VLOOKUP($C313,'NEW MODEL BY SES'!$C$19:$R$242,MATCH('SeS in Retail Sales Areas'!T$7,'NEW MODEL BY SES'!$C$17:$R$17,0),0),"")</f>
        <v/>
      </c>
      <c r="U313" s="142" t="str">
        <f>IFERROR(VLOOKUP($C313,'NEW MODEL BY SES'!$C$19:$R$242,MATCH('SeS in Retail Sales Areas'!U$7,'NEW MODEL BY SES'!$C$17:$R$17,0),0),"")</f>
        <v/>
      </c>
      <c r="V313" s="140" t="str">
        <f>IFERROR(VLOOKUP($C313,'NEW MODEL BY SES'!$C$19:$R$242,MATCH('SeS in Retail Sales Areas'!V$7,'NEW MODEL BY SES'!$C$17:$R$17,0),0),"")</f>
        <v/>
      </c>
      <c r="W313" s="141" t="str">
        <f>IFERROR(VLOOKUP($C313,'NEW MODEL BY SES'!$C$19:$R$242,MATCH('SeS in Retail Sales Areas'!W$7,'NEW MODEL BY SES'!$C$17:$R$17,0),0),"")</f>
        <v/>
      </c>
      <c r="X313" s="140" t="str">
        <f>IFERROR(VLOOKUP($C313,'NEW MODEL BY SES'!$C$19:$R$242,MATCH('SeS in Retail Sales Areas'!X$7,'NEW MODEL BY SES'!$C$17:$R$17,0),0),"")</f>
        <v/>
      </c>
      <c r="Z313" s="57"/>
    </row>
    <row r="314" spans="1:26">
      <c r="A314" t="s">
        <v>1229</v>
      </c>
      <c r="B314" s="57">
        <v>53</v>
      </c>
      <c r="C314" t="s">
        <v>1252</v>
      </c>
      <c r="D314" t="s">
        <v>44</v>
      </c>
      <c r="E314"/>
      <c r="F314" s="140" t="str">
        <f>IFERROR(VLOOKUP($C314,'NEW MODEL BY SES'!$C$19:$R$242,MATCH('SeS in Retail Sales Areas'!F$7,'NEW MODEL BY SES'!$C$17:$R$17,0),0),"")</f>
        <v/>
      </c>
      <c r="G314" s="140" t="str">
        <f>IFERROR(VLOOKUP($C314,'NEW MODEL BY SES'!$C$19:$R$242,MATCH('SeS in Retail Sales Areas'!G$7,'NEW MODEL BY SES'!$C$17:$R$17,0),0),"")</f>
        <v/>
      </c>
      <c r="H314" s="142" t="str">
        <f>IFERROR(VLOOKUP($C314,'NEW MODEL BY SES'!$C$19:$R$242,MATCH('SeS in Retail Sales Areas'!H$7,'NEW MODEL BY SES'!$C$17:$R$17,0),0),"")</f>
        <v/>
      </c>
      <c r="I314" s="140" t="str">
        <f>IFERROR(VLOOKUP($C314,'NEW MODEL BY SES'!$C$19:$R$242,MATCH('SeS in Retail Sales Areas'!I$7,'NEW MODEL BY SES'!$C$17:$R$17,0),0),"")</f>
        <v/>
      </c>
      <c r="J314" s="142" t="str">
        <f>IFERROR(VLOOKUP($C314,'NEW MODEL BY SES'!$C$19:$R$242,MATCH('SeS in Retail Sales Areas'!J$7,'NEW MODEL BY SES'!$C$17:$R$17,0),0),"")</f>
        <v/>
      </c>
      <c r="K314" s="140" t="str">
        <f>IFERROR(VLOOKUP($C314,'NEW MODEL BY SES'!$C$19:$R$242,MATCH('SeS in Retail Sales Areas'!K$7,'NEW MODEL BY SES'!$C$17:$R$17,0),0),"")</f>
        <v/>
      </c>
      <c r="L314" s="142" t="str">
        <f>IFERROR(VLOOKUP($C314,'NEW MODEL BY SES'!$C$19:$R$242,MATCH('SeS in Retail Sales Areas'!L$7,'NEW MODEL BY SES'!$C$17:$R$17,0),0),"")</f>
        <v/>
      </c>
      <c r="M314" s="140" t="str">
        <f>IFERROR(VLOOKUP($C314,'NEW MODEL BY SES'!$C$19:$R$242,MATCH('SeS in Retail Sales Areas'!M$7,'NEW MODEL BY SES'!$C$17:$R$17,0),0),"")</f>
        <v/>
      </c>
      <c r="N314" s="142" t="str">
        <f>IFERROR(VLOOKUP($C314,'NEW MODEL BY SES'!$C$19:$R$242,MATCH('SeS in Retail Sales Areas'!N$7,'NEW MODEL BY SES'!$C$17:$R$17,0),0),"")</f>
        <v/>
      </c>
      <c r="O314" s="140" t="str">
        <f>IFERROR(VLOOKUP($C314,'NEW MODEL BY SES'!$C$19:$R$242,MATCH('SeS in Retail Sales Areas'!O$7,'NEW MODEL BY SES'!$C$17:$R$17,0),0),"")</f>
        <v/>
      </c>
      <c r="P314" s="142" t="str">
        <f>IFERROR(VLOOKUP($C314,'NEW MODEL BY SES'!$C$19:$R$242,MATCH('SeS in Retail Sales Areas'!P$7,'NEW MODEL BY SES'!$C$17:$R$17,0),0),"")</f>
        <v/>
      </c>
      <c r="Q314" s="140" t="str">
        <f>IFERROR(VLOOKUP($C314,'NEW MODEL BY SES'!$C$19:$R$242,MATCH('SeS in Retail Sales Areas'!Q$7,'NEW MODEL BY SES'!$C$17:$R$17,0),0),"")</f>
        <v/>
      </c>
      <c r="R314" s="142" t="str">
        <f>IFERROR(VLOOKUP($C314,'NEW MODEL BY SES'!$C$19:$R$242,MATCH('SeS in Retail Sales Areas'!R$7,'NEW MODEL BY SES'!$C$17:$R$17,0),0),"")</f>
        <v/>
      </c>
      <c r="S314" s="141" t="str">
        <f>IFERROR(VLOOKUP($C314,'NEW MODEL BY SES'!$C$19:$R$242,MATCH('SeS in Retail Sales Areas'!S$7,'NEW MODEL BY SES'!$C$17:$R$17,0),0),"")</f>
        <v/>
      </c>
      <c r="T314" s="140" t="str">
        <f>IFERROR(VLOOKUP($C314,'NEW MODEL BY SES'!$C$19:$R$242,MATCH('SeS in Retail Sales Areas'!T$7,'NEW MODEL BY SES'!$C$17:$R$17,0),0),"")</f>
        <v/>
      </c>
      <c r="U314" s="142" t="str">
        <f>IFERROR(VLOOKUP($C314,'NEW MODEL BY SES'!$C$19:$R$242,MATCH('SeS in Retail Sales Areas'!U$7,'NEW MODEL BY SES'!$C$17:$R$17,0),0),"")</f>
        <v/>
      </c>
      <c r="V314" s="140" t="str">
        <f>IFERROR(VLOOKUP($C314,'NEW MODEL BY SES'!$C$19:$R$242,MATCH('SeS in Retail Sales Areas'!V$7,'NEW MODEL BY SES'!$C$17:$R$17,0),0),"")</f>
        <v/>
      </c>
      <c r="W314" s="141" t="str">
        <f>IFERROR(VLOOKUP($C314,'NEW MODEL BY SES'!$C$19:$R$242,MATCH('SeS in Retail Sales Areas'!W$7,'NEW MODEL BY SES'!$C$17:$R$17,0),0),"")</f>
        <v/>
      </c>
      <c r="X314" s="140" t="str">
        <f>IFERROR(VLOOKUP($C314,'NEW MODEL BY SES'!$C$19:$R$242,MATCH('SeS in Retail Sales Areas'!X$7,'NEW MODEL BY SES'!$C$17:$R$17,0),0),"")</f>
        <v/>
      </c>
      <c r="Z314" s="57"/>
    </row>
    <row r="315" spans="1:26">
      <c r="A315" t="s">
        <v>1229</v>
      </c>
      <c r="B315" s="57">
        <v>47</v>
      </c>
      <c r="C315" t="s">
        <v>1253</v>
      </c>
      <c r="D315" t="s">
        <v>44</v>
      </c>
      <c r="E315"/>
      <c r="F315" s="140" t="str">
        <f>IFERROR(VLOOKUP($C315,'NEW MODEL BY SES'!$C$19:$R$242,MATCH('SeS in Retail Sales Areas'!F$7,'NEW MODEL BY SES'!$C$17:$R$17,0),0),"")</f>
        <v/>
      </c>
      <c r="G315" s="140" t="str">
        <f>IFERROR(VLOOKUP($C315,'NEW MODEL BY SES'!$C$19:$R$242,MATCH('SeS in Retail Sales Areas'!G$7,'NEW MODEL BY SES'!$C$17:$R$17,0),0),"")</f>
        <v/>
      </c>
      <c r="H315" s="142" t="str">
        <f>IFERROR(VLOOKUP($C315,'NEW MODEL BY SES'!$C$19:$R$242,MATCH('SeS in Retail Sales Areas'!H$7,'NEW MODEL BY SES'!$C$17:$R$17,0),0),"")</f>
        <v/>
      </c>
      <c r="I315" s="140" t="str">
        <f>IFERROR(VLOOKUP($C315,'NEW MODEL BY SES'!$C$19:$R$242,MATCH('SeS in Retail Sales Areas'!I$7,'NEW MODEL BY SES'!$C$17:$R$17,0),0),"")</f>
        <v/>
      </c>
      <c r="J315" s="142" t="str">
        <f>IFERROR(VLOOKUP($C315,'NEW MODEL BY SES'!$C$19:$R$242,MATCH('SeS in Retail Sales Areas'!J$7,'NEW MODEL BY SES'!$C$17:$R$17,0),0),"")</f>
        <v/>
      </c>
      <c r="K315" s="140" t="str">
        <f>IFERROR(VLOOKUP($C315,'NEW MODEL BY SES'!$C$19:$R$242,MATCH('SeS in Retail Sales Areas'!K$7,'NEW MODEL BY SES'!$C$17:$R$17,0),0),"")</f>
        <v/>
      </c>
      <c r="L315" s="142" t="str">
        <f>IFERROR(VLOOKUP($C315,'NEW MODEL BY SES'!$C$19:$R$242,MATCH('SeS in Retail Sales Areas'!L$7,'NEW MODEL BY SES'!$C$17:$R$17,0),0),"")</f>
        <v/>
      </c>
      <c r="M315" s="140" t="str">
        <f>IFERROR(VLOOKUP($C315,'NEW MODEL BY SES'!$C$19:$R$242,MATCH('SeS in Retail Sales Areas'!M$7,'NEW MODEL BY SES'!$C$17:$R$17,0),0),"")</f>
        <v/>
      </c>
      <c r="N315" s="142" t="str">
        <f>IFERROR(VLOOKUP($C315,'NEW MODEL BY SES'!$C$19:$R$242,MATCH('SeS in Retail Sales Areas'!N$7,'NEW MODEL BY SES'!$C$17:$R$17,0),0),"")</f>
        <v/>
      </c>
      <c r="O315" s="140" t="str">
        <f>IFERROR(VLOOKUP($C315,'NEW MODEL BY SES'!$C$19:$R$242,MATCH('SeS in Retail Sales Areas'!O$7,'NEW MODEL BY SES'!$C$17:$R$17,0),0),"")</f>
        <v/>
      </c>
      <c r="P315" s="142" t="str">
        <f>IFERROR(VLOOKUP($C315,'NEW MODEL BY SES'!$C$19:$R$242,MATCH('SeS in Retail Sales Areas'!P$7,'NEW MODEL BY SES'!$C$17:$R$17,0),0),"")</f>
        <v/>
      </c>
      <c r="Q315" s="140" t="str">
        <f>IFERROR(VLOOKUP($C315,'NEW MODEL BY SES'!$C$19:$R$242,MATCH('SeS in Retail Sales Areas'!Q$7,'NEW MODEL BY SES'!$C$17:$R$17,0),0),"")</f>
        <v/>
      </c>
      <c r="R315" s="142" t="str">
        <f>IFERROR(VLOOKUP($C315,'NEW MODEL BY SES'!$C$19:$R$242,MATCH('SeS in Retail Sales Areas'!R$7,'NEW MODEL BY SES'!$C$17:$R$17,0),0),"")</f>
        <v/>
      </c>
      <c r="S315" s="141" t="str">
        <f>IFERROR(VLOOKUP($C315,'NEW MODEL BY SES'!$C$19:$R$242,MATCH('SeS in Retail Sales Areas'!S$7,'NEW MODEL BY SES'!$C$17:$R$17,0),0),"")</f>
        <v/>
      </c>
      <c r="T315" s="140" t="str">
        <f>IFERROR(VLOOKUP($C315,'NEW MODEL BY SES'!$C$19:$R$242,MATCH('SeS in Retail Sales Areas'!T$7,'NEW MODEL BY SES'!$C$17:$R$17,0),0),"")</f>
        <v/>
      </c>
      <c r="U315" s="142" t="str">
        <f>IFERROR(VLOOKUP($C315,'NEW MODEL BY SES'!$C$19:$R$242,MATCH('SeS in Retail Sales Areas'!U$7,'NEW MODEL BY SES'!$C$17:$R$17,0),0),"")</f>
        <v/>
      </c>
      <c r="V315" s="140" t="str">
        <f>IFERROR(VLOOKUP($C315,'NEW MODEL BY SES'!$C$19:$R$242,MATCH('SeS in Retail Sales Areas'!V$7,'NEW MODEL BY SES'!$C$17:$R$17,0),0),"")</f>
        <v/>
      </c>
      <c r="W315" s="141" t="str">
        <f>IFERROR(VLOOKUP($C315,'NEW MODEL BY SES'!$C$19:$R$242,MATCH('SeS in Retail Sales Areas'!W$7,'NEW MODEL BY SES'!$C$17:$R$17,0),0),"")</f>
        <v/>
      </c>
      <c r="X315" s="140" t="str">
        <f>IFERROR(VLOOKUP($C315,'NEW MODEL BY SES'!$C$19:$R$242,MATCH('SeS in Retail Sales Areas'!X$7,'NEW MODEL BY SES'!$C$17:$R$17,0),0),"")</f>
        <v/>
      </c>
      <c r="Z315" s="57"/>
    </row>
    <row r="316" spans="1:26">
      <c r="A316" t="s">
        <v>1254</v>
      </c>
      <c r="B316" s="57">
        <v>159</v>
      </c>
      <c r="C316" t="s">
        <v>1255</v>
      </c>
      <c r="D316" t="s">
        <v>38</v>
      </c>
      <c r="E316"/>
      <c r="F316" s="140" t="str">
        <f>IFERROR(VLOOKUP($C316,'NEW MODEL BY SES'!$C$19:$R$242,MATCH('SeS in Retail Sales Areas'!F$7,'NEW MODEL BY SES'!$C$17:$R$17,0),0),"")</f>
        <v/>
      </c>
      <c r="G316" s="140" t="str">
        <f>IFERROR(VLOOKUP($C316,'NEW MODEL BY SES'!$C$19:$R$242,MATCH('SeS in Retail Sales Areas'!G$7,'NEW MODEL BY SES'!$C$17:$R$17,0),0),"")</f>
        <v/>
      </c>
      <c r="H316" s="142" t="str">
        <f>IFERROR(VLOOKUP($C316,'NEW MODEL BY SES'!$C$19:$R$242,MATCH('SeS in Retail Sales Areas'!H$7,'NEW MODEL BY SES'!$C$17:$R$17,0),0),"")</f>
        <v/>
      </c>
      <c r="I316" s="140" t="str">
        <f>IFERROR(VLOOKUP($C316,'NEW MODEL BY SES'!$C$19:$R$242,MATCH('SeS in Retail Sales Areas'!I$7,'NEW MODEL BY SES'!$C$17:$R$17,0),0),"")</f>
        <v/>
      </c>
      <c r="J316" s="142" t="str">
        <f>IFERROR(VLOOKUP($C316,'NEW MODEL BY SES'!$C$19:$R$242,MATCH('SeS in Retail Sales Areas'!J$7,'NEW MODEL BY SES'!$C$17:$R$17,0),0),"")</f>
        <v/>
      </c>
      <c r="K316" s="140" t="str">
        <f>IFERROR(VLOOKUP($C316,'NEW MODEL BY SES'!$C$19:$R$242,MATCH('SeS in Retail Sales Areas'!K$7,'NEW MODEL BY SES'!$C$17:$R$17,0),0),"")</f>
        <v/>
      </c>
      <c r="L316" s="142" t="str">
        <f>IFERROR(VLOOKUP($C316,'NEW MODEL BY SES'!$C$19:$R$242,MATCH('SeS in Retail Sales Areas'!L$7,'NEW MODEL BY SES'!$C$17:$R$17,0),0),"")</f>
        <v/>
      </c>
      <c r="M316" s="140" t="str">
        <f>IFERROR(VLOOKUP($C316,'NEW MODEL BY SES'!$C$19:$R$242,MATCH('SeS in Retail Sales Areas'!M$7,'NEW MODEL BY SES'!$C$17:$R$17,0),0),"")</f>
        <v/>
      </c>
      <c r="N316" s="142" t="str">
        <f>IFERROR(VLOOKUP($C316,'NEW MODEL BY SES'!$C$19:$R$242,MATCH('SeS in Retail Sales Areas'!N$7,'NEW MODEL BY SES'!$C$17:$R$17,0),0),"")</f>
        <v/>
      </c>
      <c r="O316" s="140" t="str">
        <f>IFERROR(VLOOKUP($C316,'NEW MODEL BY SES'!$C$19:$R$242,MATCH('SeS in Retail Sales Areas'!O$7,'NEW MODEL BY SES'!$C$17:$R$17,0),0),"")</f>
        <v/>
      </c>
      <c r="P316" s="142" t="str">
        <f>IFERROR(VLOOKUP($C316,'NEW MODEL BY SES'!$C$19:$R$242,MATCH('SeS in Retail Sales Areas'!P$7,'NEW MODEL BY SES'!$C$17:$R$17,0),0),"")</f>
        <v/>
      </c>
      <c r="Q316" s="140" t="str">
        <f>IFERROR(VLOOKUP($C316,'NEW MODEL BY SES'!$C$19:$R$242,MATCH('SeS in Retail Sales Areas'!Q$7,'NEW MODEL BY SES'!$C$17:$R$17,0),0),"")</f>
        <v/>
      </c>
      <c r="R316" s="142" t="str">
        <f>IFERROR(VLOOKUP($C316,'NEW MODEL BY SES'!$C$19:$R$242,MATCH('SeS in Retail Sales Areas'!R$7,'NEW MODEL BY SES'!$C$17:$R$17,0),0),"")</f>
        <v/>
      </c>
      <c r="S316" s="141" t="str">
        <f>IFERROR(VLOOKUP($C316,'NEW MODEL BY SES'!$C$19:$R$242,MATCH('SeS in Retail Sales Areas'!S$7,'NEW MODEL BY SES'!$C$17:$R$17,0),0),"")</f>
        <v/>
      </c>
      <c r="T316" s="140" t="str">
        <f>IFERROR(VLOOKUP($C316,'NEW MODEL BY SES'!$C$19:$R$242,MATCH('SeS in Retail Sales Areas'!T$7,'NEW MODEL BY SES'!$C$17:$R$17,0),0),"")</f>
        <v/>
      </c>
      <c r="U316" s="142" t="str">
        <f>IFERROR(VLOOKUP($C316,'NEW MODEL BY SES'!$C$19:$R$242,MATCH('SeS in Retail Sales Areas'!U$7,'NEW MODEL BY SES'!$C$17:$R$17,0),0),"")</f>
        <v/>
      </c>
      <c r="V316" s="140" t="str">
        <f>IFERROR(VLOOKUP($C316,'NEW MODEL BY SES'!$C$19:$R$242,MATCH('SeS in Retail Sales Areas'!V$7,'NEW MODEL BY SES'!$C$17:$R$17,0),0),"")</f>
        <v/>
      </c>
      <c r="W316" s="141" t="str">
        <f>IFERROR(VLOOKUP($C316,'NEW MODEL BY SES'!$C$19:$R$242,MATCH('SeS in Retail Sales Areas'!W$7,'NEW MODEL BY SES'!$C$17:$R$17,0),0),"")</f>
        <v/>
      </c>
      <c r="X316" s="140" t="str">
        <f>IFERROR(VLOOKUP($C316,'NEW MODEL BY SES'!$C$19:$R$242,MATCH('SeS in Retail Sales Areas'!X$7,'NEW MODEL BY SES'!$C$17:$R$17,0),0),"")</f>
        <v/>
      </c>
      <c r="Z316" s="57"/>
    </row>
    <row r="317" spans="1:26">
      <c r="A317" t="s">
        <v>1254</v>
      </c>
      <c r="B317" s="57">
        <v>143</v>
      </c>
      <c r="C317" t="s">
        <v>1256</v>
      </c>
      <c r="D317" t="s">
        <v>38</v>
      </c>
      <c r="E317"/>
      <c r="F317" s="140" t="str">
        <f>IFERROR(VLOOKUP($C317,'NEW MODEL BY SES'!$C$19:$R$242,MATCH('SeS in Retail Sales Areas'!F$7,'NEW MODEL BY SES'!$C$17:$R$17,0),0),"")</f>
        <v/>
      </c>
      <c r="G317" s="140" t="str">
        <f>IFERROR(VLOOKUP($C317,'NEW MODEL BY SES'!$C$19:$R$242,MATCH('SeS in Retail Sales Areas'!G$7,'NEW MODEL BY SES'!$C$17:$R$17,0),0),"")</f>
        <v/>
      </c>
      <c r="H317" s="142" t="str">
        <f>IFERROR(VLOOKUP($C317,'NEW MODEL BY SES'!$C$19:$R$242,MATCH('SeS in Retail Sales Areas'!H$7,'NEW MODEL BY SES'!$C$17:$R$17,0),0),"")</f>
        <v/>
      </c>
      <c r="I317" s="140" t="str">
        <f>IFERROR(VLOOKUP($C317,'NEW MODEL BY SES'!$C$19:$R$242,MATCH('SeS in Retail Sales Areas'!I$7,'NEW MODEL BY SES'!$C$17:$R$17,0),0),"")</f>
        <v/>
      </c>
      <c r="J317" s="142" t="str">
        <f>IFERROR(VLOOKUP($C317,'NEW MODEL BY SES'!$C$19:$R$242,MATCH('SeS in Retail Sales Areas'!J$7,'NEW MODEL BY SES'!$C$17:$R$17,0),0),"")</f>
        <v/>
      </c>
      <c r="K317" s="140" t="str">
        <f>IFERROR(VLOOKUP($C317,'NEW MODEL BY SES'!$C$19:$R$242,MATCH('SeS in Retail Sales Areas'!K$7,'NEW MODEL BY SES'!$C$17:$R$17,0),0),"")</f>
        <v/>
      </c>
      <c r="L317" s="142" t="str">
        <f>IFERROR(VLOOKUP($C317,'NEW MODEL BY SES'!$C$19:$R$242,MATCH('SeS in Retail Sales Areas'!L$7,'NEW MODEL BY SES'!$C$17:$R$17,0),0),"")</f>
        <v/>
      </c>
      <c r="M317" s="140" t="str">
        <f>IFERROR(VLOOKUP($C317,'NEW MODEL BY SES'!$C$19:$R$242,MATCH('SeS in Retail Sales Areas'!M$7,'NEW MODEL BY SES'!$C$17:$R$17,0),0),"")</f>
        <v/>
      </c>
      <c r="N317" s="142" t="str">
        <f>IFERROR(VLOOKUP($C317,'NEW MODEL BY SES'!$C$19:$R$242,MATCH('SeS in Retail Sales Areas'!N$7,'NEW MODEL BY SES'!$C$17:$R$17,0),0),"")</f>
        <v/>
      </c>
      <c r="O317" s="140" t="str">
        <f>IFERROR(VLOOKUP($C317,'NEW MODEL BY SES'!$C$19:$R$242,MATCH('SeS in Retail Sales Areas'!O$7,'NEW MODEL BY SES'!$C$17:$R$17,0),0),"")</f>
        <v/>
      </c>
      <c r="P317" s="142" t="str">
        <f>IFERROR(VLOOKUP($C317,'NEW MODEL BY SES'!$C$19:$R$242,MATCH('SeS in Retail Sales Areas'!P$7,'NEW MODEL BY SES'!$C$17:$R$17,0),0),"")</f>
        <v/>
      </c>
      <c r="Q317" s="140" t="str">
        <f>IFERROR(VLOOKUP($C317,'NEW MODEL BY SES'!$C$19:$R$242,MATCH('SeS in Retail Sales Areas'!Q$7,'NEW MODEL BY SES'!$C$17:$R$17,0),0),"")</f>
        <v/>
      </c>
      <c r="R317" s="142" t="str">
        <f>IFERROR(VLOOKUP($C317,'NEW MODEL BY SES'!$C$19:$R$242,MATCH('SeS in Retail Sales Areas'!R$7,'NEW MODEL BY SES'!$C$17:$R$17,0),0),"")</f>
        <v/>
      </c>
      <c r="S317" s="141" t="str">
        <f>IFERROR(VLOOKUP($C317,'NEW MODEL BY SES'!$C$19:$R$242,MATCH('SeS in Retail Sales Areas'!S$7,'NEW MODEL BY SES'!$C$17:$R$17,0),0),"")</f>
        <v/>
      </c>
      <c r="T317" s="140" t="str">
        <f>IFERROR(VLOOKUP($C317,'NEW MODEL BY SES'!$C$19:$R$242,MATCH('SeS in Retail Sales Areas'!T$7,'NEW MODEL BY SES'!$C$17:$R$17,0),0),"")</f>
        <v/>
      </c>
      <c r="U317" s="142" t="str">
        <f>IFERROR(VLOOKUP($C317,'NEW MODEL BY SES'!$C$19:$R$242,MATCH('SeS in Retail Sales Areas'!U$7,'NEW MODEL BY SES'!$C$17:$R$17,0),0),"")</f>
        <v/>
      </c>
      <c r="V317" s="140" t="str">
        <f>IFERROR(VLOOKUP($C317,'NEW MODEL BY SES'!$C$19:$R$242,MATCH('SeS in Retail Sales Areas'!V$7,'NEW MODEL BY SES'!$C$17:$R$17,0),0),"")</f>
        <v/>
      </c>
      <c r="W317" s="141" t="str">
        <f>IFERROR(VLOOKUP($C317,'NEW MODEL BY SES'!$C$19:$R$242,MATCH('SeS in Retail Sales Areas'!W$7,'NEW MODEL BY SES'!$C$17:$R$17,0),0),"")</f>
        <v/>
      </c>
      <c r="X317" s="140" t="str">
        <f>IFERROR(VLOOKUP($C317,'NEW MODEL BY SES'!$C$19:$R$242,MATCH('SeS in Retail Sales Areas'!X$7,'NEW MODEL BY SES'!$C$17:$R$17,0),0),"")</f>
        <v/>
      </c>
      <c r="Z317" s="57"/>
    </row>
    <row r="318" spans="1:26">
      <c r="A318" t="s">
        <v>1254</v>
      </c>
      <c r="B318" s="57">
        <v>142</v>
      </c>
      <c r="C318" t="s">
        <v>1257</v>
      </c>
      <c r="D318" t="s">
        <v>38</v>
      </c>
      <c r="E318"/>
      <c r="F318" s="140" t="str">
        <f>IFERROR(VLOOKUP($C318,'NEW MODEL BY SES'!$C$19:$R$242,MATCH('SeS in Retail Sales Areas'!F$7,'NEW MODEL BY SES'!$C$17:$R$17,0),0),"")</f>
        <v/>
      </c>
      <c r="G318" s="140" t="str">
        <f>IFERROR(VLOOKUP($C318,'NEW MODEL BY SES'!$C$19:$R$242,MATCH('SeS in Retail Sales Areas'!G$7,'NEW MODEL BY SES'!$C$17:$R$17,0),0),"")</f>
        <v/>
      </c>
      <c r="H318" s="142" t="str">
        <f>IFERROR(VLOOKUP($C318,'NEW MODEL BY SES'!$C$19:$R$242,MATCH('SeS in Retail Sales Areas'!H$7,'NEW MODEL BY SES'!$C$17:$R$17,0),0),"")</f>
        <v/>
      </c>
      <c r="I318" s="140" t="str">
        <f>IFERROR(VLOOKUP($C318,'NEW MODEL BY SES'!$C$19:$R$242,MATCH('SeS in Retail Sales Areas'!I$7,'NEW MODEL BY SES'!$C$17:$R$17,0),0),"")</f>
        <v/>
      </c>
      <c r="J318" s="142" t="str">
        <f>IFERROR(VLOOKUP($C318,'NEW MODEL BY SES'!$C$19:$R$242,MATCH('SeS in Retail Sales Areas'!J$7,'NEW MODEL BY SES'!$C$17:$R$17,0),0),"")</f>
        <v/>
      </c>
      <c r="K318" s="140" t="str">
        <f>IFERROR(VLOOKUP($C318,'NEW MODEL BY SES'!$C$19:$R$242,MATCH('SeS in Retail Sales Areas'!K$7,'NEW MODEL BY SES'!$C$17:$R$17,0),0),"")</f>
        <v/>
      </c>
      <c r="L318" s="142" t="str">
        <f>IFERROR(VLOOKUP($C318,'NEW MODEL BY SES'!$C$19:$R$242,MATCH('SeS in Retail Sales Areas'!L$7,'NEW MODEL BY SES'!$C$17:$R$17,0),0),"")</f>
        <v/>
      </c>
      <c r="M318" s="140" t="str">
        <f>IFERROR(VLOOKUP($C318,'NEW MODEL BY SES'!$C$19:$R$242,MATCH('SeS in Retail Sales Areas'!M$7,'NEW MODEL BY SES'!$C$17:$R$17,0),0),"")</f>
        <v/>
      </c>
      <c r="N318" s="142" t="str">
        <f>IFERROR(VLOOKUP($C318,'NEW MODEL BY SES'!$C$19:$R$242,MATCH('SeS in Retail Sales Areas'!N$7,'NEW MODEL BY SES'!$C$17:$R$17,0),0),"")</f>
        <v/>
      </c>
      <c r="O318" s="140" t="str">
        <f>IFERROR(VLOOKUP($C318,'NEW MODEL BY SES'!$C$19:$R$242,MATCH('SeS in Retail Sales Areas'!O$7,'NEW MODEL BY SES'!$C$17:$R$17,0),0),"")</f>
        <v/>
      </c>
      <c r="P318" s="142" t="str">
        <f>IFERROR(VLOOKUP($C318,'NEW MODEL BY SES'!$C$19:$R$242,MATCH('SeS in Retail Sales Areas'!P$7,'NEW MODEL BY SES'!$C$17:$R$17,0),0),"")</f>
        <v/>
      </c>
      <c r="Q318" s="140" t="str">
        <f>IFERROR(VLOOKUP($C318,'NEW MODEL BY SES'!$C$19:$R$242,MATCH('SeS in Retail Sales Areas'!Q$7,'NEW MODEL BY SES'!$C$17:$R$17,0),0),"")</f>
        <v/>
      </c>
      <c r="R318" s="142" t="str">
        <f>IFERROR(VLOOKUP($C318,'NEW MODEL BY SES'!$C$19:$R$242,MATCH('SeS in Retail Sales Areas'!R$7,'NEW MODEL BY SES'!$C$17:$R$17,0),0),"")</f>
        <v/>
      </c>
      <c r="S318" s="141" t="str">
        <f>IFERROR(VLOOKUP($C318,'NEW MODEL BY SES'!$C$19:$R$242,MATCH('SeS in Retail Sales Areas'!S$7,'NEW MODEL BY SES'!$C$17:$R$17,0),0),"")</f>
        <v/>
      </c>
      <c r="T318" s="140" t="str">
        <f>IFERROR(VLOOKUP($C318,'NEW MODEL BY SES'!$C$19:$R$242,MATCH('SeS in Retail Sales Areas'!T$7,'NEW MODEL BY SES'!$C$17:$R$17,0),0),"")</f>
        <v/>
      </c>
      <c r="U318" s="142" t="str">
        <f>IFERROR(VLOOKUP($C318,'NEW MODEL BY SES'!$C$19:$R$242,MATCH('SeS in Retail Sales Areas'!U$7,'NEW MODEL BY SES'!$C$17:$R$17,0),0),"")</f>
        <v/>
      </c>
      <c r="V318" s="140" t="str">
        <f>IFERROR(VLOOKUP($C318,'NEW MODEL BY SES'!$C$19:$R$242,MATCH('SeS in Retail Sales Areas'!V$7,'NEW MODEL BY SES'!$C$17:$R$17,0),0),"")</f>
        <v/>
      </c>
      <c r="W318" s="141" t="str">
        <f>IFERROR(VLOOKUP($C318,'NEW MODEL BY SES'!$C$19:$R$242,MATCH('SeS in Retail Sales Areas'!W$7,'NEW MODEL BY SES'!$C$17:$R$17,0),0),"")</f>
        <v/>
      </c>
      <c r="X318" s="140" t="str">
        <f>IFERROR(VLOOKUP($C318,'NEW MODEL BY SES'!$C$19:$R$242,MATCH('SeS in Retail Sales Areas'!X$7,'NEW MODEL BY SES'!$C$17:$R$17,0),0),"")</f>
        <v/>
      </c>
      <c r="Z318" s="57"/>
    </row>
    <row r="319" spans="1:26">
      <c r="A319" t="s">
        <v>1254</v>
      </c>
      <c r="B319" s="57">
        <v>137</v>
      </c>
      <c r="C319" t="s">
        <v>1258</v>
      </c>
      <c r="D319" t="s">
        <v>38</v>
      </c>
      <c r="E319"/>
      <c r="F319" s="140" t="str">
        <f>IFERROR(VLOOKUP($C319,'NEW MODEL BY SES'!$C$19:$R$242,MATCH('SeS in Retail Sales Areas'!F$7,'NEW MODEL BY SES'!$C$17:$R$17,0),0),"")</f>
        <v/>
      </c>
      <c r="G319" s="140" t="str">
        <f>IFERROR(VLOOKUP($C319,'NEW MODEL BY SES'!$C$19:$R$242,MATCH('SeS in Retail Sales Areas'!G$7,'NEW MODEL BY SES'!$C$17:$R$17,0),0),"")</f>
        <v/>
      </c>
      <c r="H319" s="142" t="str">
        <f>IFERROR(VLOOKUP($C319,'NEW MODEL BY SES'!$C$19:$R$242,MATCH('SeS in Retail Sales Areas'!H$7,'NEW MODEL BY SES'!$C$17:$R$17,0),0),"")</f>
        <v/>
      </c>
      <c r="I319" s="140" t="str">
        <f>IFERROR(VLOOKUP($C319,'NEW MODEL BY SES'!$C$19:$R$242,MATCH('SeS in Retail Sales Areas'!I$7,'NEW MODEL BY SES'!$C$17:$R$17,0),0),"")</f>
        <v/>
      </c>
      <c r="J319" s="142" t="str">
        <f>IFERROR(VLOOKUP($C319,'NEW MODEL BY SES'!$C$19:$R$242,MATCH('SeS in Retail Sales Areas'!J$7,'NEW MODEL BY SES'!$C$17:$R$17,0),0),"")</f>
        <v/>
      </c>
      <c r="K319" s="140" t="str">
        <f>IFERROR(VLOOKUP($C319,'NEW MODEL BY SES'!$C$19:$R$242,MATCH('SeS in Retail Sales Areas'!K$7,'NEW MODEL BY SES'!$C$17:$R$17,0),0),"")</f>
        <v/>
      </c>
      <c r="L319" s="142" t="str">
        <f>IFERROR(VLOOKUP($C319,'NEW MODEL BY SES'!$C$19:$R$242,MATCH('SeS in Retail Sales Areas'!L$7,'NEW MODEL BY SES'!$C$17:$R$17,0),0),"")</f>
        <v/>
      </c>
      <c r="M319" s="140" t="str">
        <f>IFERROR(VLOOKUP($C319,'NEW MODEL BY SES'!$C$19:$R$242,MATCH('SeS in Retail Sales Areas'!M$7,'NEW MODEL BY SES'!$C$17:$R$17,0),0),"")</f>
        <v/>
      </c>
      <c r="N319" s="142" t="str">
        <f>IFERROR(VLOOKUP($C319,'NEW MODEL BY SES'!$C$19:$R$242,MATCH('SeS in Retail Sales Areas'!N$7,'NEW MODEL BY SES'!$C$17:$R$17,0),0),"")</f>
        <v/>
      </c>
      <c r="O319" s="140" t="str">
        <f>IFERROR(VLOOKUP($C319,'NEW MODEL BY SES'!$C$19:$R$242,MATCH('SeS in Retail Sales Areas'!O$7,'NEW MODEL BY SES'!$C$17:$R$17,0),0),"")</f>
        <v/>
      </c>
      <c r="P319" s="142" t="str">
        <f>IFERROR(VLOOKUP($C319,'NEW MODEL BY SES'!$C$19:$R$242,MATCH('SeS in Retail Sales Areas'!P$7,'NEW MODEL BY SES'!$C$17:$R$17,0),0),"")</f>
        <v/>
      </c>
      <c r="Q319" s="140" t="str">
        <f>IFERROR(VLOOKUP($C319,'NEW MODEL BY SES'!$C$19:$R$242,MATCH('SeS in Retail Sales Areas'!Q$7,'NEW MODEL BY SES'!$C$17:$R$17,0),0),"")</f>
        <v/>
      </c>
      <c r="R319" s="142" t="str">
        <f>IFERROR(VLOOKUP($C319,'NEW MODEL BY SES'!$C$19:$R$242,MATCH('SeS in Retail Sales Areas'!R$7,'NEW MODEL BY SES'!$C$17:$R$17,0),0),"")</f>
        <v/>
      </c>
      <c r="S319" s="141" t="str">
        <f>IFERROR(VLOOKUP($C319,'NEW MODEL BY SES'!$C$19:$R$242,MATCH('SeS in Retail Sales Areas'!S$7,'NEW MODEL BY SES'!$C$17:$R$17,0),0),"")</f>
        <v/>
      </c>
      <c r="T319" s="140" t="str">
        <f>IFERROR(VLOOKUP($C319,'NEW MODEL BY SES'!$C$19:$R$242,MATCH('SeS in Retail Sales Areas'!T$7,'NEW MODEL BY SES'!$C$17:$R$17,0),0),"")</f>
        <v/>
      </c>
      <c r="U319" s="142" t="str">
        <f>IFERROR(VLOOKUP($C319,'NEW MODEL BY SES'!$C$19:$R$242,MATCH('SeS in Retail Sales Areas'!U$7,'NEW MODEL BY SES'!$C$17:$R$17,0),0),"")</f>
        <v/>
      </c>
      <c r="V319" s="140" t="str">
        <f>IFERROR(VLOOKUP($C319,'NEW MODEL BY SES'!$C$19:$R$242,MATCH('SeS in Retail Sales Areas'!V$7,'NEW MODEL BY SES'!$C$17:$R$17,0),0),"")</f>
        <v/>
      </c>
      <c r="W319" s="141" t="str">
        <f>IFERROR(VLOOKUP($C319,'NEW MODEL BY SES'!$C$19:$R$242,MATCH('SeS in Retail Sales Areas'!W$7,'NEW MODEL BY SES'!$C$17:$R$17,0),0),"")</f>
        <v/>
      </c>
      <c r="X319" s="140" t="str">
        <f>IFERROR(VLOOKUP($C319,'NEW MODEL BY SES'!$C$19:$R$242,MATCH('SeS in Retail Sales Areas'!X$7,'NEW MODEL BY SES'!$C$17:$R$17,0),0),"")</f>
        <v/>
      </c>
      <c r="Z319" s="57"/>
    </row>
    <row r="320" spans="1:26">
      <c r="A320" t="s">
        <v>1254</v>
      </c>
      <c r="B320" s="57">
        <v>132</v>
      </c>
      <c r="C320" t="s">
        <v>1259</v>
      </c>
      <c r="D320" t="s">
        <v>38</v>
      </c>
      <c r="E320"/>
      <c r="F320" s="140" t="str">
        <f>IFERROR(VLOOKUP($C320,'NEW MODEL BY SES'!$C$19:$R$242,MATCH('SeS in Retail Sales Areas'!F$7,'NEW MODEL BY SES'!$C$17:$R$17,0),0),"")</f>
        <v/>
      </c>
      <c r="G320" s="140" t="str">
        <f>IFERROR(VLOOKUP($C320,'NEW MODEL BY SES'!$C$19:$R$242,MATCH('SeS in Retail Sales Areas'!G$7,'NEW MODEL BY SES'!$C$17:$R$17,0),0),"")</f>
        <v/>
      </c>
      <c r="H320" s="142" t="str">
        <f>IFERROR(VLOOKUP($C320,'NEW MODEL BY SES'!$C$19:$R$242,MATCH('SeS in Retail Sales Areas'!H$7,'NEW MODEL BY SES'!$C$17:$R$17,0),0),"")</f>
        <v/>
      </c>
      <c r="I320" s="140" t="str">
        <f>IFERROR(VLOOKUP($C320,'NEW MODEL BY SES'!$C$19:$R$242,MATCH('SeS in Retail Sales Areas'!I$7,'NEW MODEL BY SES'!$C$17:$R$17,0),0),"")</f>
        <v/>
      </c>
      <c r="J320" s="142" t="str">
        <f>IFERROR(VLOOKUP($C320,'NEW MODEL BY SES'!$C$19:$R$242,MATCH('SeS in Retail Sales Areas'!J$7,'NEW MODEL BY SES'!$C$17:$R$17,0),0),"")</f>
        <v/>
      </c>
      <c r="K320" s="140" t="str">
        <f>IFERROR(VLOOKUP($C320,'NEW MODEL BY SES'!$C$19:$R$242,MATCH('SeS in Retail Sales Areas'!K$7,'NEW MODEL BY SES'!$C$17:$R$17,0),0),"")</f>
        <v/>
      </c>
      <c r="L320" s="142" t="str">
        <f>IFERROR(VLOOKUP($C320,'NEW MODEL BY SES'!$C$19:$R$242,MATCH('SeS in Retail Sales Areas'!L$7,'NEW MODEL BY SES'!$C$17:$R$17,0),0),"")</f>
        <v/>
      </c>
      <c r="M320" s="140" t="str">
        <f>IFERROR(VLOOKUP($C320,'NEW MODEL BY SES'!$C$19:$R$242,MATCH('SeS in Retail Sales Areas'!M$7,'NEW MODEL BY SES'!$C$17:$R$17,0),0),"")</f>
        <v/>
      </c>
      <c r="N320" s="142" t="str">
        <f>IFERROR(VLOOKUP($C320,'NEW MODEL BY SES'!$C$19:$R$242,MATCH('SeS in Retail Sales Areas'!N$7,'NEW MODEL BY SES'!$C$17:$R$17,0),0),"")</f>
        <v/>
      </c>
      <c r="O320" s="140" t="str">
        <f>IFERROR(VLOOKUP($C320,'NEW MODEL BY SES'!$C$19:$R$242,MATCH('SeS in Retail Sales Areas'!O$7,'NEW MODEL BY SES'!$C$17:$R$17,0),0),"")</f>
        <v/>
      </c>
      <c r="P320" s="142" t="str">
        <f>IFERROR(VLOOKUP($C320,'NEW MODEL BY SES'!$C$19:$R$242,MATCH('SeS in Retail Sales Areas'!P$7,'NEW MODEL BY SES'!$C$17:$R$17,0),0),"")</f>
        <v/>
      </c>
      <c r="Q320" s="140" t="str">
        <f>IFERROR(VLOOKUP($C320,'NEW MODEL BY SES'!$C$19:$R$242,MATCH('SeS in Retail Sales Areas'!Q$7,'NEW MODEL BY SES'!$C$17:$R$17,0),0),"")</f>
        <v/>
      </c>
      <c r="R320" s="142" t="str">
        <f>IFERROR(VLOOKUP($C320,'NEW MODEL BY SES'!$C$19:$R$242,MATCH('SeS in Retail Sales Areas'!R$7,'NEW MODEL BY SES'!$C$17:$R$17,0),0),"")</f>
        <v/>
      </c>
      <c r="S320" s="141" t="str">
        <f>IFERROR(VLOOKUP($C320,'NEW MODEL BY SES'!$C$19:$R$242,MATCH('SeS in Retail Sales Areas'!S$7,'NEW MODEL BY SES'!$C$17:$R$17,0),0),"")</f>
        <v/>
      </c>
      <c r="T320" s="140" t="str">
        <f>IFERROR(VLOOKUP($C320,'NEW MODEL BY SES'!$C$19:$R$242,MATCH('SeS in Retail Sales Areas'!T$7,'NEW MODEL BY SES'!$C$17:$R$17,0),0),"")</f>
        <v/>
      </c>
      <c r="U320" s="142" t="str">
        <f>IFERROR(VLOOKUP($C320,'NEW MODEL BY SES'!$C$19:$R$242,MATCH('SeS in Retail Sales Areas'!U$7,'NEW MODEL BY SES'!$C$17:$R$17,0),0),"")</f>
        <v/>
      </c>
      <c r="V320" s="140" t="str">
        <f>IFERROR(VLOOKUP($C320,'NEW MODEL BY SES'!$C$19:$R$242,MATCH('SeS in Retail Sales Areas'!V$7,'NEW MODEL BY SES'!$C$17:$R$17,0),0),"")</f>
        <v/>
      </c>
      <c r="W320" s="141" t="str">
        <f>IFERROR(VLOOKUP($C320,'NEW MODEL BY SES'!$C$19:$R$242,MATCH('SeS in Retail Sales Areas'!W$7,'NEW MODEL BY SES'!$C$17:$R$17,0),0),"")</f>
        <v/>
      </c>
      <c r="X320" s="140" t="str">
        <f>IFERROR(VLOOKUP($C320,'NEW MODEL BY SES'!$C$19:$R$242,MATCH('SeS in Retail Sales Areas'!X$7,'NEW MODEL BY SES'!$C$17:$R$17,0),0),"")</f>
        <v/>
      </c>
      <c r="Z320" s="57"/>
    </row>
    <row r="321" spans="1:26">
      <c r="A321" t="s">
        <v>1254</v>
      </c>
      <c r="B321" s="57">
        <v>128</v>
      </c>
      <c r="C321" t="s">
        <v>1260</v>
      </c>
      <c r="D321" t="s">
        <v>38</v>
      </c>
      <c r="E321"/>
      <c r="F321" s="140" t="str">
        <f>IFERROR(VLOOKUP($C321,'NEW MODEL BY SES'!$C$19:$R$242,MATCH('SeS in Retail Sales Areas'!F$7,'NEW MODEL BY SES'!$C$17:$R$17,0),0),"")</f>
        <v/>
      </c>
      <c r="G321" s="140" t="str">
        <f>IFERROR(VLOOKUP($C321,'NEW MODEL BY SES'!$C$19:$R$242,MATCH('SeS in Retail Sales Areas'!G$7,'NEW MODEL BY SES'!$C$17:$R$17,0),0),"")</f>
        <v/>
      </c>
      <c r="H321" s="142" t="str">
        <f>IFERROR(VLOOKUP($C321,'NEW MODEL BY SES'!$C$19:$R$242,MATCH('SeS in Retail Sales Areas'!H$7,'NEW MODEL BY SES'!$C$17:$R$17,0),0),"")</f>
        <v/>
      </c>
      <c r="I321" s="140" t="str">
        <f>IFERROR(VLOOKUP($C321,'NEW MODEL BY SES'!$C$19:$R$242,MATCH('SeS in Retail Sales Areas'!I$7,'NEW MODEL BY SES'!$C$17:$R$17,0),0),"")</f>
        <v/>
      </c>
      <c r="J321" s="142" t="str">
        <f>IFERROR(VLOOKUP($C321,'NEW MODEL BY SES'!$C$19:$R$242,MATCH('SeS in Retail Sales Areas'!J$7,'NEW MODEL BY SES'!$C$17:$R$17,0),0),"")</f>
        <v/>
      </c>
      <c r="K321" s="140" t="str">
        <f>IFERROR(VLOOKUP($C321,'NEW MODEL BY SES'!$C$19:$R$242,MATCH('SeS in Retail Sales Areas'!K$7,'NEW MODEL BY SES'!$C$17:$R$17,0),0),"")</f>
        <v/>
      </c>
      <c r="L321" s="142" t="str">
        <f>IFERROR(VLOOKUP($C321,'NEW MODEL BY SES'!$C$19:$R$242,MATCH('SeS in Retail Sales Areas'!L$7,'NEW MODEL BY SES'!$C$17:$R$17,0),0),"")</f>
        <v/>
      </c>
      <c r="M321" s="140" t="str">
        <f>IFERROR(VLOOKUP($C321,'NEW MODEL BY SES'!$C$19:$R$242,MATCH('SeS in Retail Sales Areas'!M$7,'NEW MODEL BY SES'!$C$17:$R$17,0),0),"")</f>
        <v/>
      </c>
      <c r="N321" s="142" t="str">
        <f>IFERROR(VLOOKUP($C321,'NEW MODEL BY SES'!$C$19:$R$242,MATCH('SeS in Retail Sales Areas'!N$7,'NEW MODEL BY SES'!$C$17:$R$17,0),0),"")</f>
        <v/>
      </c>
      <c r="O321" s="140" t="str">
        <f>IFERROR(VLOOKUP($C321,'NEW MODEL BY SES'!$C$19:$R$242,MATCH('SeS in Retail Sales Areas'!O$7,'NEW MODEL BY SES'!$C$17:$R$17,0),0),"")</f>
        <v/>
      </c>
      <c r="P321" s="142" t="str">
        <f>IFERROR(VLOOKUP($C321,'NEW MODEL BY SES'!$C$19:$R$242,MATCH('SeS in Retail Sales Areas'!P$7,'NEW MODEL BY SES'!$C$17:$R$17,0),0),"")</f>
        <v/>
      </c>
      <c r="Q321" s="140" t="str">
        <f>IFERROR(VLOOKUP($C321,'NEW MODEL BY SES'!$C$19:$R$242,MATCH('SeS in Retail Sales Areas'!Q$7,'NEW MODEL BY SES'!$C$17:$R$17,0),0),"")</f>
        <v/>
      </c>
      <c r="R321" s="142" t="str">
        <f>IFERROR(VLOOKUP($C321,'NEW MODEL BY SES'!$C$19:$R$242,MATCH('SeS in Retail Sales Areas'!R$7,'NEW MODEL BY SES'!$C$17:$R$17,0),0),"")</f>
        <v/>
      </c>
      <c r="S321" s="141" t="str">
        <f>IFERROR(VLOOKUP($C321,'NEW MODEL BY SES'!$C$19:$R$242,MATCH('SeS in Retail Sales Areas'!S$7,'NEW MODEL BY SES'!$C$17:$R$17,0),0),"")</f>
        <v/>
      </c>
      <c r="T321" s="140" t="str">
        <f>IFERROR(VLOOKUP($C321,'NEW MODEL BY SES'!$C$19:$R$242,MATCH('SeS in Retail Sales Areas'!T$7,'NEW MODEL BY SES'!$C$17:$R$17,0),0),"")</f>
        <v/>
      </c>
      <c r="U321" s="142" t="str">
        <f>IFERROR(VLOOKUP($C321,'NEW MODEL BY SES'!$C$19:$R$242,MATCH('SeS in Retail Sales Areas'!U$7,'NEW MODEL BY SES'!$C$17:$R$17,0),0),"")</f>
        <v/>
      </c>
      <c r="V321" s="140" t="str">
        <f>IFERROR(VLOOKUP($C321,'NEW MODEL BY SES'!$C$19:$R$242,MATCH('SeS in Retail Sales Areas'!V$7,'NEW MODEL BY SES'!$C$17:$R$17,0),0),"")</f>
        <v/>
      </c>
      <c r="W321" s="141" t="str">
        <f>IFERROR(VLOOKUP($C321,'NEW MODEL BY SES'!$C$19:$R$242,MATCH('SeS in Retail Sales Areas'!W$7,'NEW MODEL BY SES'!$C$17:$R$17,0),0),"")</f>
        <v/>
      </c>
      <c r="X321" s="140" t="str">
        <f>IFERROR(VLOOKUP($C321,'NEW MODEL BY SES'!$C$19:$R$242,MATCH('SeS in Retail Sales Areas'!X$7,'NEW MODEL BY SES'!$C$17:$R$17,0),0),"")</f>
        <v/>
      </c>
      <c r="Z321" s="57"/>
    </row>
    <row r="322" spans="1:26">
      <c r="A322" t="s">
        <v>1254</v>
      </c>
      <c r="B322" s="57">
        <v>122</v>
      </c>
      <c r="C322" t="s">
        <v>1261</v>
      </c>
      <c r="D322" t="s">
        <v>40</v>
      </c>
      <c r="E322"/>
      <c r="F322" s="140" t="str">
        <f>IFERROR(VLOOKUP($C322,'NEW MODEL BY SES'!$C$19:$R$242,MATCH('SeS in Retail Sales Areas'!F$7,'NEW MODEL BY SES'!$C$17:$R$17,0),0),"")</f>
        <v/>
      </c>
      <c r="G322" s="140" t="str">
        <f>IFERROR(VLOOKUP($C322,'NEW MODEL BY SES'!$C$19:$R$242,MATCH('SeS in Retail Sales Areas'!G$7,'NEW MODEL BY SES'!$C$17:$R$17,0),0),"")</f>
        <v/>
      </c>
      <c r="H322" s="142" t="str">
        <f>IFERROR(VLOOKUP($C322,'NEW MODEL BY SES'!$C$19:$R$242,MATCH('SeS in Retail Sales Areas'!H$7,'NEW MODEL BY SES'!$C$17:$R$17,0),0),"")</f>
        <v/>
      </c>
      <c r="I322" s="140" t="str">
        <f>IFERROR(VLOOKUP($C322,'NEW MODEL BY SES'!$C$19:$R$242,MATCH('SeS in Retail Sales Areas'!I$7,'NEW MODEL BY SES'!$C$17:$R$17,0),0),"")</f>
        <v/>
      </c>
      <c r="J322" s="142" t="str">
        <f>IFERROR(VLOOKUP($C322,'NEW MODEL BY SES'!$C$19:$R$242,MATCH('SeS in Retail Sales Areas'!J$7,'NEW MODEL BY SES'!$C$17:$R$17,0),0),"")</f>
        <v/>
      </c>
      <c r="K322" s="140" t="str">
        <f>IFERROR(VLOOKUP($C322,'NEW MODEL BY SES'!$C$19:$R$242,MATCH('SeS in Retail Sales Areas'!K$7,'NEW MODEL BY SES'!$C$17:$R$17,0),0),"")</f>
        <v/>
      </c>
      <c r="L322" s="142" t="str">
        <f>IFERROR(VLOOKUP($C322,'NEW MODEL BY SES'!$C$19:$R$242,MATCH('SeS in Retail Sales Areas'!L$7,'NEW MODEL BY SES'!$C$17:$R$17,0),0),"")</f>
        <v/>
      </c>
      <c r="M322" s="140" t="str">
        <f>IFERROR(VLOOKUP($C322,'NEW MODEL BY SES'!$C$19:$R$242,MATCH('SeS in Retail Sales Areas'!M$7,'NEW MODEL BY SES'!$C$17:$R$17,0),0),"")</f>
        <v/>
      </c>
      <c r="N322" s="142" t="str">
        <f>IFERROR(VLOOKUP($C322,'NEW MODEL BY SES'!$C$19:$R$242,MATCH('SeS in Retail Sales Areas'!N$7,'NEW MODEL BY SES'!$C$17:$R$17,0),0),"")</f>
        <v/>
      </c>
      <c r="O322" s="140" t="str">
        <f>IFERROR(VLOOKUP($C322,'NEW MODEL BY SES'!$C$19:$R$242,MATCH('SeS in Retail Sales Areas'!O$7,'NEW MODEL BY SES'!$C$17:$R$17,0),0),"")</f>
        <v/>
      </c>
      <c r="P322" s="142" t="str">
        <f>IFERROR(VLOOKUP($C322,'NEW MODEL BY SES'!$C$19:$R$242,MATCH('SeS in Retail Sales Areas'!P$7,'NEW MODEL BY SES'!$C$17:$R$17,0),0),"")</f>
        <v/>
      </c>
      <c r="Q322" s="140" t="str">
        <f>IFERROR(VLOOKUP($C322,'NEW MODEL BY SES'!$C$19:$R$242,MATCH('SeS in Retail Sales Areas'!Q$7,'NEW MODEL BY SES'!$C$17:$R$17,0),0),"")</f>
        <v/>
      </c>
      <c r="R322" s="142" t="str">
        <f>IFERROR(VLOOKUP($C322,'NEW MODEL BY SES'!$C$19:$R$242,MATCH('SeS in Retail Sales Areas'!R$7,'NEW MODEL BY SES'!$C$17:$R$17,0),0),"")</f>
        <v/>
      </c>
      <c r="S322" s="141" t="str">
        <f>IFERROR(VLOOKUP($C322,'NEW MODEL BY SES'!$C$19:$R$242,MATCH('SeS in Retail Sales Areas'!S$7,'NEW MODEL BY SES'!$C$17:$R$17,0),0),"")</f>
        <v/>
      </c>
      <c r="T322" s="140" t="str">
        <f>IFERROR(VLOOKUP($C322,'NEW MODEL BY SES'!$C$19:$R$242,MATCH('SeS in Retail Sales Areas'!T$7,'NEW MODEL BY SES'!$C$17:$R$17,0),0),"")</f>
        <v/>
      </c>
      <c r="U322" s="142" t="str">
        <f>IFERROR(VLOOKUP($C322,'NEW MODEL BY SES'!$C$19:$R$242,MATCH('SeS in Retail Sales Areas'!U$7,'NEW MODEL BY SES'!$C$17:$R$17,0),0),"")</f>
        <v/>
      </c>
      <c r="V322" s="140" t="str">
        <f>IFERROR(VLOOKUP($C322,'NEW MODEL BY SES'!$C$19:$R$242,MATCH('SeS in Retail Sales Areas'!V$7,'NEW MODEL BY SES'!$C$17:$R$17,0),0),"")</f>
        <v/>
      </c>
      <c r="W322" s="141" t="str">
        <f>IFERROR(VLOOKUP($C322,'NEW MODEL BY SES'!$C$19:$R$242,MATCH('SeS in Retail Sales Areas'!W$7,'NEW MODEL BY SES'!$C$17:$R$17,0),0),"")</f>
        <v/>
      </c>
      <c r="X322" s="140" t="str">
        <f>IFERROR(VLOOKUP($C322,'NEW MODEL BY SES'!$C$19:$R$242,MATCH('SeS in Retail Sales Areas'!X$7,'NEW MODEL BY SES'!$C$17:$R$17,0),0),"")</f>
        <v/>
      </c>
      <c r="Z322" s="57"/>
    </row>
    <row r="323" spans="1:26">
      <c r="A323" t="s">
        <v>1254</v>
      </c>
      <c r="B323" s="57">
        <v>122</v>
      </c>
      <c r="C323" t="s">
        <v>1262</v>
      </c>
      <c r="D323" t="s">
        <v>40</v>
      </c>
      <c r="E323"/>
      <c r="F323" s="140" t="str">
        <f>IFERROR(VLOOKUP($C323,'NEW MODEL BY SES'!$C$19:$R$242,MATCH('SeS in Retail Sales Areas'!F$7,'NEW MODEL BY SES'!$C$17:$R$17,0),0),"")</f>
        <v/>
      </c>
      <c r="G323" s="140" t="str">
        <f>IFERROR(VLOOKUP($C323,'NEW MODEL BY SES'!$C$19:$R$242,MATCH('SeS in Retail Sales Areas'!G$7,'NEW MODEL BY SES'!$C$17:$R$17,0),0),"")</f>
        <v/>
      </c>
      <c r="H323" s="142" t="str">
        <f>IFERROR(VLOOKUP($C323,'NEW MODEL BY SES'!$C$19:$R$242,MATCH('SeS in Retail Sales Areas'!H$7,'NEW MODEL BY SES'!$C$17:$R$17,0),0),"")</f>
        <v/>
      </c>
      <c r="I323" s="140" t="str">
        <f>IFERROR(VLOOKUP($C323,'NEW MODEL BY SES'!$C$19:$R$242,MATCH('SeS in Retail Sales Areas'!I$7,'NEW MODEL BY SES'!$C$17:$R$17,0),0),"")</f>
        <v/>
      </c>
      <c r="J323" s="142" t="str">
        <f>IFERROR(VLOOKUP($C323,'NEW MODEL BY SES'!$C$19:$R$242,MATCH('SeS in Retail Sales Areas'!J$7,'NEW MODEL BY SES'!$C$17:$R$17,0),0),"")</f>
        <v/>
      </c>
      <c r="K323" s="140" t="str">
        <f>IFERROR(VLOOKUP($C323,'NEW MODEL BY SES'!$C$19:$R$242,MATCH('SeS in Retail Sales Areas'!K$7,'NEW MODEL BY SES'!$C$17:$R$17,0),0),"")</f>
        <v/>
      </c>
      <c r="L323" s="142" t="str">
        <f>IFERROR(VLOOKUP($C323,'NEW MODEL BY SES'!$C$19:$R$242,MATCH('SeS in Retail Sales Areas'!L$7,'NEW MODEL BY SES'!$C$17:$R$17,0),0),"")</f>
        <v/>
      </c>
      <c r="M323" s="140" t="str">
        <f>IFERROR(VLOOKUP($C323,'NEW MODEL BY SES'!$C$19:$R$242,MATCH('SeS in Retail Sales Areas'!M$7,'NEW MODEL BY SES'!$C$17:$R$17,0),0),"")</f>
        <v/>
      </c>
      <c r="N323" s="142" t="str">
        <f>IFERROR(VLOOKUP($C323,'NEW MODEL BY SES'!$C$19:$R$242,MATCH('SeS in Retail Sales Areas'!N$7,'NEW MODEL BY SES'!$C$17:$R$17,0),0),"")</f>
        <v/>
      </c>
      <c r="O323" s="140" t="str">
        <f>IFERROR(VLOOKUP($C323,'NEW MODEL BY SES'!$C$19:$R$242,MATCH('SeS in Retail Sales Areas'!O$7,'NEW MODEL BY SES'!$C$17:$R$17,0),0),"")</f>
        <v/>
      </c>
      <c r="P323" s="142" t="str">
        <f>IFERROR(VLOOKUP($C323,'NEW MODEL BY SES'!$C$19:$R$242,MATCH('SeS in Retail Sales Areas'!P$7,'NEW MODEL BY SES'!$C$17:$R$17,0),0),"")</f>
        <v/>
      </c>
      <c r="Q323" s="140" t="str">
        <f>IFERROR(VLOOKUP($C323,'NEW MODEL BY SES'!$C$19:$R$242,MATCH('SeS in Retail Sales Areas'!Q$7,'NEW MODEL BY SES'!$C$17:$R$17,0),0),"")</f>
        <v/>
      </c>
      <c r="R323" s="142" t="str">
        <f>IFERROR(VLOOKUP($C323,'NEW MODEL BY SES'!$C$19:$R$242,MATCH('SeS in Retail Sales Areas'!R$7,'NEW MODEL BY SES'!$C$17:$R$17,0),0),"")</f>
        <v/>
      </c>
      <c r="S323" s="141" t="str">
        <f>IFERROR(VLOOKUP($C323,'NEW MODEL BY SES'!$C$19:$R$242,MATCH('SeS in Retail Sales Areas'!S$7,'NEW MODEL BY SES'!$C$17:$R$17,0),0),"")</f>
        <v/>
      </c>
      <c r="T323" s="140" t="str">
        <f>IFERROR(VLOOKUP($C323,'NEW MODEL BY SES'!$C$19:$R$242,MATCH('SeS in Retail Sales Areas'!T$7,'NEW MODEL BY SES'!$C$17:$R$17,0),0),"")</f>
        <v/>
      </c>
      <c r="U323" s="142" t="str">
        <f>IFERROR(VLOOKUP($C323,'NEW MODEL BY SES'!$C$19:$R$242,MATCH('SeS in Retail Sales Areas'!U$7,'NEW MODEL BY SES'!$C$17:$R$17,0),0),"")</f>
        <v/>
      </c>
      <c r="V323" s="140" t="str">
        <f>IFERROR(VLOOKUP($C323,'NEW MODEL BY SES'!$C$19:$R$242,MATCH('SeS in Retail Sales Areas'!V$7,'NEW MODEL BY SES'!$C$17:$R$17,0),0),"")</f>
        <v/>
      </c>
      <c r="W323" s="141" t="str">
        <f>IFERROR(VLOOKUP($C323,'NEW MODEL BY SES'!$C$19:$R$242,MATCH('SeS in Retail Sales Areas'!W$7,'NEW MODEL BY SES'!$C$17:$R$17,0),0),"")</f>
        <v/>
      </c>
      <c r="X323" s="140" t="str">
        <f>IFERROR(VLOOKUP($C323,'NEW MODEL BY SES'!$C$19:$R$242,MATCH('SeS in Retail Sales Areas'!X$7,'NEW MODEL BY SES'!$C$17:$R$17,0),0),"")</f>
        <v/>
      </c>
      <c r="Z323" s="57"/>
    </row>
    <row r="324" spans="1:26">
      <c r="A324" t="s">
        <v>1254</v>
      </c>
      <c r="B324" s="57">
        <v>119</v>
      </c>
      <c r="C324" t="s">
        <v>1263</v>
      </c>
      <c r="D324" t="s">
        <v>40</v>
      </c>
      <c r="E324"/>
      <c r="F324" s="140" t="str">
        <f>IFERROR(VLOOKUP($C324,'NEW MODEL BY SES'!$C$19:$R$242,MATCH('SeS in Retail Sales Areas'!F$7,'NEW MODEL BY SES'!$C$17:$R$17,0),0),"")</f>
        <v/>
      </c>
      <c r="G324" s="140" t="str">
        <f>IFERROR(VLOOKUP($C324,'NEW MODEL BY SES'!$C$19:$R$242,MATCH('SeS in Retail Sales Areas'!G$7,'NEW MODEL BY SES'!$C$17:$R$17,0),0),"")</f>
        <v/>
      </c>
      <c r="H324" s="142" t="str">
        <f>IFERROR(VLOOKUP($C324,'NEW MODEL BY SES'!$C$19:$R$242,MATCH('SeS in Retail Sales Areas'!H$7,'NEW MODEL BY SES'!$C$17:$R$17,0),0),"")</f>
        <v/>
      </c>
      <c r="I324" s="140" t="str">
        <f>IFERROR(VLOOKUP($C324,'NEW MODEL BY SES'!$C$19:$R$242,MATCH('SeS in Retail Sales Areas'!I$7,'NEW MODEL BY SES'!$C$17:$R$17,0),0),"")</f>
        <v/>
      </c>
      <c r="J324" s="142" t="str">
        <f>IFERROR(VLOOKUP($C324,'NEW MODEL BY SES'!$C$19:$R$242,MATCH('SeS in Retail Sales Areas'!J$7,'NEW MODEL BY SES'!$C$17:$R$17,0),0),"")</f>
        <v/>
      </c>
      <c r="K324" s="140" t="str">
        <f>IFERROR(VLOOKUP($C324,'NEW MODEL BY SES'!$C$19:$R$242,MATCH('SeS in Retail Sales Areas'!K$7,'NEW MODEL BY SES'!$C$17:$R$17,0),0),"")</f>
        <v/>
      </c>
      <c r="L324" s="142" t="str">
        <f>IFERROR(VLOOKUP($C324,'NEW MODEL BY SES'!$C$19:$R$242,MATCH('SeS in Retail Sales Areas'!L$7,'NEW MODEL BY SES'!$C$17:$R$17,0),0),"")</f>
        <v/>
      </c>
      <c r="M324" s="140" t="str">
        <f>IFERROR(VLOOKUP($C324,'NEW MODEL BY SES'!$C$19:$R$242,MATCH('SeS in Retail Sales Areas'!M$7,'NEW MODEL BY SES'!$C$17:$R$17,0),0),"")</f>
        <v/>
      </c>
      <c r="N324" s="142" t="str">
        <f>IFERROR(VLOOKUP($C324,'NEW MODEL BY SES'!$C$19:$R$242,MATCH('SeS in Retail Sales Areas'!N$7,'NEW MODEL BY SES'!$C$17:$R$17,0),0),"")</f>
        <v/>
      </c>
      <c r="O324" s="140" t="str">
        <f>IFERROR(VLOOKUP($C324,'NEW MODEL BY SES'!$C$19:$R$242,MATCH('SeS in Retail Sales Areas'!O$7,'NEW MODEL BY SES'!$C$17:$R$17,0),0),"")</f>
        <v/>
      </c>
      <c r="P324" s="142" t="str">
        <f>IFERROR(VLOOKUP($C324,'NEW MODEL BY SES'!$C$19:$R$242,MATCH('SeS in Retail Sales Areas'!P$7,'NEW MODEL BY SES'!$C$17:$R$17,0),0),"")</f>
        <v/>
      </c>
      <c r="Q324" s="140" t="str">
        <f>IFERROR(VLOOKUP($C324,'NEW MODEL BY SES'!$C$19:$R$242,MATCH('SeS in Retail Sales Areas'!Q$7,'NEW MODEL BY SES'!$C$17:$R$17,0),0),"")</f>
        <v/>
      </c>
      <c r="R324" s="142" t="str">
        <f>IFERROR(VLOOKUP($C324,'NEW MODEL BY SES'!$C$19:$R$242,MATCH('SeS in Retail Sales Areas'!R$7,'NEW MODEL BY SES'!$C$17:$R$17,0),0),"")</f>
        <v/>
      </c>
      <c r="S324" s="141" t="str">
        <f>IFERROR(VLOOKUP($C324,'NEW MODEL BY SES'!$C$19:$R$242,MATCH('SeS in Retail Sales Areas'!S$7,'NEW MODEL BY SES'!$C$17:$R$17,0),0),"")</f>
        <v/>
      </c>
      <c r="T324" s="140" t="str">
        <f>IFERROR(VLOOKUP($C324,'NEW MODEL BY SES'!$C$19:$R$242,MATCH('SeS in Retail Sales Areas'!T$7,'NEW MODEL BY SES'!$C$17:$R$17,0),0),"")</f>
        <v/>
      </c>
      <c r="U324" s="142" t="str">
        <f>IFERROR(VLOOKUP($C324,'NEW MODEL BY SES'!$C$19:$R$242,MATCH('SeS in Retail Sales Areas'!U$7,'NEW MODEL BY SES'!$C$17:$R$17,0),0),"")</f>
        <v/>
      </c>
      <c r="V324" s="140" t="str">
        <f>IFERROR(VLOOKUP($C324,'NEW MODEL BY SES'!$C$19:$R$242,MATCH('SeS in Retail Sales Areas'!V$7,'NEW MODEL BY SES'!$C$17:$R$17,0),0),"")</f>
        <v/>
      </c>
      <c r="W324" s="141" t="str">
        <f>IFERROR(VLOOKUP($C324,'NEW MODEL BY SES'!$C$19:$R$242,MATCH('SeS in Retail Sales Areas'!W$7,'NEW MODEL BY SES'!$C$17:$R$17,0),0),"")</f>
        <v/>
      </c>
      <c r="X324" s="140" t="str">
        <f>IFERROR(VLOOKUP($C324,'NEW MODEL BY SES'!$C$19:$R$242,MATCH('SeS in Retail Sales Areas'!X$7,'NEW MODEL BY SES'!$C$17:$R$17,0),0),"")</f>
        <v/>
      </c>
      <c r="Z324" s="57"/>
    </row>
    <row r="325" spans="1:26">
      <c r="A325" t="s">
        <v>1254</v>
      </c>
      <c r="B325" s="57">
        <v>117</v>
      </c>
      <c r="C325" t="s">
        <v>1264</v>
      </c>
      <c r="D325" t="s">
        <v>40</v>
      </c>
      <c r="E325"/>
      <c r="F325" s="140" t="str">
        <f>IFERROR(VLOOKUP($C325,'NEW MODEL BY SES'!$C$19:$R$242,MATCH('SeS in Retail Sales Areas'!F$7,'NEW MODEL BY SES'!$C$17:$R$17,0),0),"")</f>
        <v/>
      </c>
      <c r="G325" s="140" t="str">
        <f>IFERROR(VLOOKUP($C325,'NEW MODEL BY SES'!$C$19:$R$242,MATCH('SeS in Retail Sales Areas'!G$7,'NEW MODEL BY SES'!$C$17:$R$17,0),0),"")</f>
        <v/>
      </c>
      <c r="H325" s="142" t="str">
        <f>IFERROR(VLOOKUP($C325,'NEW MODEL BY SES'!$C$19:$R$242,MATCH('SeS in Retail Sales Areas'!H$7,'NEW MODEL BY SES'!$C$17:$R$17,0),0),"")</f>
        <v/>
      </c>
      <c r="I325" s="140" t="str">
        <f>IFERROR(VLOOKUP($C325,'NEW MODEL BY SES'!$C$19:$R$242,MATCH('SeS in Retail Sales Areas'!I$7,'NEW MODEL BY SES'!$C$17:$R$17,0),0),"")</f>
        <v/>
      </c>
      <c r="J325" s="142" t="str">
        <f>IFERROR(VLOOKUP($C325,'NEW MODEL BY SES'!$C$19:$R$242,MATCH('SeS in Retail Sales Areas'!J$7,'NEW MODEL BY SES'!$C$17:$R$17,0),0),"")</f>
        <v/>
      </c>
      <c r="K325" s="140" t="str">
        <f>IFERROR(VLOOKUP($C325,'NEW MODEL BY SES'!$C$19:$R$242,MATCH('SeS in Retail Sales Areas'!K$7,'NEW MODEL BY SES'!$C$17:$R$17,0),0),"")</f>
        <v/>
      </c>
      <c r="L325" s="142" t="str">
        <f>IFERROR(VLOOKUP($C325,'NEW MODEL BY SES'!$C$19:$R$242,MATCH('SeS in Retail Sales Areas'!L$7,'NEW MODEL BY SES'!$C$17:$R$17,0),0),"")</f>
        <v/>
      </c>
      <c r="M325" s="140" t="str">
        <f>IFERROR(VLOOKUP($C325,'NEW MODEL BY SES'!$C$19:$R$242,MATCH('SeS in Retail Sales Areas'!M$7,'NEW MODEL BY SES'!$C$17:$R$17,0),0),"")</f>
        <v/>
      </c>
      <c r="N325" s="142" t="str">
        <f>IFERROR(VLOOKUP($C325,'NEW MODEL BY SES'!$C$19:$R$242,MATCH('SeS in Retail Sales Areas'!N$7,'NEW MODEL BY SES'!$C$17:$R$17,0),0),"")</f>
        <v/>
      </c>
      <c r="O325" s="140" t="str">
        <f>IFERROR(VLOOKUP($C325,'NEW MODEL BY SES'!$C$19:$R$242,MATCH('SeS in Retail Sales Areas'!O$7,'NEW MODEL BY SES'!$C$17:$R$17,0),0),"")</f>
        <v/>
      </c>
      <c r="P325" s="142" t="str">
        <f>IFERROR(VLOOKUP($C325,'NEW MODEL BY SES'!$C$19:$R$242,MATCH('SeS in Retail Sales Areas'!P$7,'NEW MODEL BY SES'!$C$17:$R$17,0),0),"")</f>
        <v/>
      </c>
      <c r="Q325" s="140" t="str">
        <f>IFERROR(VLOOKUP($C325,'NEW MODEL BY SES'!$C$19:$R$242,MATCH('SeS in Retail Sales Areas'!Q$7,'NEW MODEL BY SES'!$C$17:$R$17,0),0),"")</f>
        <v/>
      </c>
      <c r="R325" s="142" t="str">
        <f>IFERROR(VLOOKUP($C325,'NEW MODEL BY SES'!$C$19:$R$242,MATCH('SeS in Retail Sales Areas'!R$7,'NEW MODEL BY SES'!$C$17:$R$17,0),0),"")</f>
        <v/>
      </c>
      <c r="S325" s="141" t="str">
        <f>IFERROR(VLOOKUP($C325,'NEW MODEL BY SES'!$C$19:$R$242,MATCH('SeS in Retail Sales Areas'!S$7,'NEW MODEL BY SES'!$C$17:$R$17,0),0),"")</f>
        <v/>
      </c>
      <c r="T325" s="140" t="str">
        <f>IFERROR(VLOOKUP($C325,'NEW MODEL BY SES'!$C$19:$R$242,MATCH('SeS in Retail Sales Areas'!T$7,'NEW MODEL BY SES'!$C$17:$R$17,0),0),"")</f>
        <v/>
      </c>
      <c r="U325" s="142" t="str">
        <f>IFERROR(VLOOKUP($C325,'NEW MODEL BY SES'!$C$19:$R$242,MATCH('SeS in Retail Sales Areas'!U$7,'NEW MODEL BY SES'!$C$17:$R$17,0),0),"")</f>
        <v/>
      </c>
      <c r="V325" s="140" t="str">
        <f>IFERROR(VLOOKUP($C325,'NEW MODEL BY SES'!$C$19:$R$242,MATCH('SeS in Retail Sales Areas'!V$7,'NEW MODEL BY SES'!$C$17:$R$17,0),0),"")</f>
        <v/>
      </c>
      <c r="W325" s="141" t="str">
        <f>IFERROR(VLOOKUP($C325,'NEW MODEL BY SES'!$C$19:$R$242,MATCH('SeS in Retail Sales Areas'!W$7,'NEW MODEL BY SES'!$C$17:$R$17,0),0),"")</f>
        <v/>
      </c>
      <c r="X325" s="140" t="str">
        <f>IFERROR(VLOOKUP($C325,'NEW MODEL BY SES'!$C$19:$R$242,MATCH('SeS in Retail Sales Areas'!X$7,'NEW MODEL BY SES'!$C$17:$R$17,0),0),"")</f>
        <v/>
      </c>
      <c r="Z325" s="57"/>
    </row>
    <row r="326" spans="1:26">
      <c r="A326" t="s">
        <v>1254</v>
      </c>
      <c r="B326" s="57">
        <v>117</v>
      </c>
      <c r="C326" t="s">
        <v>1265</v>
      </c>
      <c r="D326" t="s">
        <v>40</v>
      </c>
      <c r="E326"/>
      <c r="F326" s="140" t="str">
        <f>IFERROR(VLOOKUP($C326,'NEW MODEL BY SES'!$C$19:$R$242,MATCH('SeS in Retail Sales Areas'!F$7,'NEW MODEL BY SES'!$C$17:$R$17,0),0),"")</f>
        <v/>
      </c>
      <c r="G326" s="140" t="str">
        <f>IFERROR(VLOOKUP($C326,'NEW MODEL BY SES'!$C$19:$R$242,MATCH('SeS in Retail Sales Areas'!G$7,'NEW MODEL BY SES'!$C$17:$R$17,0),0),"")</f>
        <v/>
      </c>
      <c r="H326" s="142" t="str">
        <f>IFERROR(VLOOKUP($C326,'NEW MODEL BY SES'!$C$19:$R$242,MATCH('SeS in Retail Sales Areas'!H$7,'NEW MODEL BY SES'!$C$17:$R$17,0),0),"")</f>
        <v/>
      </c>
      <c r="I326" s="140" t="str">
        <f>IFERROR(VLOOKUP($C326,'NEW MODEL BY SES'!$C$19:$R$242,MATCH('SeS in Retail Sales Areas'!I$7,'NEW MODEL BY SES'!$C$17:$R$17,0),0),"")</f>
        <v/>
      </c>
      <c r="J326" s="142" t="str">
        <f>IFERROR(VLOOKUP($C326,'NEW MODEL BY SES'!$C$19:$R$242,MATCH('SeS in Retail Sales Areas'!J$7,'NEW MODEL BY SES'!$C$17:$R$17,0),0),"")</f>
        <v/>
      </c>
      <c r="K326" s="140" t="str">
        <f>IFERROR(VLOOKUP($C326,'NEW MODEL BY SES'!$C$19:$R$242,MATCH('SeS in Retail Sales Areas'!K$7,'NEW MODEL BY SES'!$C$17:$R$17,0),0),"")</f>
        <v/>
      </c>
      <c r="L326" s="142" t="str">
        <f>IFERROR(VLOOKUP($C326,'NEW MODEL BY SES'!$C$19:$R$242,MATCH('SeS in Retail Sales Areas'!L$7,'NEW MODEL BY SES'!$C$17:$R$17,0),0),"")</f>
        <v/>
      </c>
      <c r="M326" s="140" t="str">
        <f>IFERROR(VLOOKUP($C326,'NEW MODEL BY SES'!$C$19:$R$242,MATCH('SeS in Retail Sales Areas'!M$7,'NEW MODEL BY SES'!$C$17:$R$17,0),0),"")</f>
        <v/>
      </c>
      <c r="N326" s="142" t="str">
        <f>IFERROR(VLOOKUP($C326,'NEW MODEL BY SES'!$C$19:$R$242,MATCH('SeS in Retail Sales Areas'!N$7,'NEW MODEL BY SES'!$C$17:$R$17,0),0),"")</f>
        <v/>
      </c>
      <c r="O326" s="140" t="str">
        <f>IFERROR(VLOOKUP($C326,'NEW MODEL BY SES'!$C$19:$R$242,MATCH('SeS in Retail Sales Areas'!O$7,'NEW MODEL BY SES'!$C$17:$R$17,0),0),"")</f>
        <v/>
      </c>
      <c r="P326" s="142" t="str">
        <f>IFERROR(VLOOKUP($C326,'NEW MODEL BY SES'!$C$19:$R$242,MATCH('SeS in Retail Sales Areas'!P$7,'NEW MODEL BY SES'!$C$17:$R$17,0),0),"")</f>
        <v/>
      </c>
      <c r="Q326" s="140" t="str">
        <f>IFERROR(VLOOKUP($C326,'NEW MODEL BY SES'!$C$19:$R$242,MATCH('SeS in Retail Sales Areas'!Q$7,'NEW MODEL BY SES'!$C$17:$R$17,0),0),"")</f>
        <v/>
      </c>
      <c r="R326" s="142" t="str">
        <f>IFERROR(VLOOKUP($C326,'NEW MODEL BY SES'!$C$19:$R$242,MATCH('SeS in Retail Sales Areas'!R$7,'NEW MODEL BY SES'!$C$17:$R$17,0),0),"")</f>
        <v/>
      </c>
      <c r="S326" s="141" t="str">
        <f>IFERROR(VLOOKUP($C326,'NEW MODEL BY SES'!$C$19:$R$242,MATCH('SeS in Retail Sales Areas'!S$7,'NEW MODEL BY SES'!$C$17:$R$17,0),0),"")</f>
        <v/>
      </c>
      <c r="T326" s="140" t="str">
        <f>IFERROR(VLOOKUP($C326,'NEW MODEL BY SES'!$C$19:$R$242,MATCH('SeS in Retail Sales Areas'!T$7,'NEW MODEL BY SES'!$C$17:$R$17,0),0),"")</f>
        <v/>
      </c>
      <c r="U326" s="142" t="str">
        <f>IFERROR(VLOOKUP($C326,'NEW MODEL BY SES'!$C$19:$R$242,MATCH('SeS in Retail Sales Areas'!U$7,'NEW MODEL BY SES'!$C$17:$R$17,0),0),"")</f>
        <v/>
      </c>
      <c r="V326" s="140" t="str">
        <f>IFERROR(VLOOKUP($C326,'NEW MODEL BY SES'!$C$19:$R$242,MATCH('SeS in Retail Sales Areas'!V$7,'NEW MODEL BY SES'!$C$17:$R$17,0),0),"")</f>
        <v/>
      </c>
      <c r="W326" s="141" t="str">
        <f>IFERROR(VLOOKUP($C326,'NEW MODEL BY SES'!$C$19:$R$242,MATCH('SeS in Retail Sales Areas'!W$7,'NEW MODEL BY SES'!$C$17:$R$17,0),0),"")</f>
        <v/>
      </c>
      <c r="X326" s="140" t="str">
        <f>IFERROR(VLOOKUP($C326,'NEW MODEL BY SES'!$C$19:$R$242,MATCH('SeS in Retail Sales Areas'!X$7,'NEW MODEL BY SES'!$C$17:$R$17,0),0),"")</f>
        <v/>
      </c>
      <c r="Z326" s="146"/>
    </row>
    <row r="327" spans="1:26">
      <c r="A327" t="s">
        <v>1254</v>
      </c>
      <c r="B327" s="57">
        <v>112</v>
      </c>
      <c r="C327" t="s">
        <v>1266</v>
      </c>
      <c r="D327" t="s">
        <v>40</v>
      </c>
      <c r="E327"/>
      <c r="F327" s="140" t="str">
        <f>IFERROR(VLOOKUP($C327,'NEW MODEL BY SES'!$C$19:$R$242,MATCH('SeS in Retail Sales Areas'!F$7,'NEW MODEL BY SES'!$C$17:$R$17,0),0),"")</f>
        <v/>
      </c>
      <c r="G327" s="140" t="str">
        <f>IFERROR(VLOOKUP($C327,'NEW MODEL BY SES'!$C$19:$R$242,MATCH('SeS in Retail Sales Areas'!G$7,'NEW MODEL BY SES'!$C$17:$R$17,0),0),"")</f>
        <v/>
      </c>
      <c r="H327" s="142" t="str">
        <f>IFERROR(VLOOKUP($C327,'NEW MODEL BY SES'!$C$19:$R$242,MATCH('SeS in Retail Sales Areas'!H$7,'NEW MODEL BY SES'!$C$17:$R$17,0),0),"")</f>
        <v/>
      </c>
      <c r="I327" s="140" t="str">
        <f>IFERROR(VLOOKUP($C327,'NEW MODEL BY SES'!$C$19:$R$242,MATCH('SeS in Retail Sales Areas'!I$7,'NEW MODEL BY SES'!$C$17:$R$17,0),0),"")</f>
        <v/>
      </c>
      <c r="J327" s="142" t="str">
        <f>IFERROR(VLOOKUP($C327,'NEW MODEL BY SES'!$C$19:$R$242,MATCH('SeS in Retail Sales Areas'!J$7,'NEW MODEL BY SES'!$C$17:$R$17,0),0),"")</f>
        <v/>
      </c>
      <c r="K327" s="140" t="str">
        <f>IFERROR(VLOOKUP($C327,'NEW MODEL BY SES'!$C$19:$R$242,MATCH('SeS in Retail Sales Areas'!K$7,'NEW MODEL BY SES'!$C$17:$R$17,0),0),"")</f>
        <v/>
      </c>
      <c r="L327" s="142" t="str">
        <f>IFERROR(VLOOKUP($C327,'NEW MODEL BY SES'!$C$19:$R$242,MATCH('SeS in Retail Sales Areas'!L$7,'NEW MODEL BY SES'!$C$17:$R$17,0),0),"")</f>
        <v/>
      </c>
      <c r="M327" s="140" t="str">
        <f>IFERROR(VLOOKUP($C327,'NEW MODEL BY SES'!$C$19:$R$242,MATCH('SeS in Retail Sales Areas'!M$7,'NEW MODEL BY SES'!$C$17:$R$17,0),0),"")</f>
        <v/>
      </c>
      <c r="N327" s="142" t="str">
        <f>IFERROR(VLOOKUP($C327,'NEW MODEL BY SES'!$C$19:$R$242,MATCH('SeS in Retail Sales Areas'!N$7,'NEW MODEL BY SES'!$C$17:$R$17,0),0),"")</f>
        <v/>
      </c>
      <c r="O327" s="140" t="str">
        <f>IFERROR(VLOOKUP($C327,'NEW MODEL BY SES'!$C$19:$R$242,MATCH('SeS in Retail Sales Areas'!O$7,'NEW MODEL BY SES'!$C$17:$R$17,0),0),"")</f>
        <v/>
      </c>
      <c r="P327" s="142" t="str">
        <f>IFERROR(VLOOKUP($C327,'NEW MODEL BY SES'!$C$19:$R$242,MATCH('SeS in Retail Sales Areas'!P$7,'NEW MODEL BY SES'!$C$17:$R$17,0),0),"")</f>
        <v/>
      </c>
      <c r="Q327" s="140" t="str">
        <f>IFERROR(VLOOKUP($C327,'NEW MODEL BY SES'!$C$19:$R$242,MATCH('SeS in Retail Sales Areas'!Q$7,'NEW MODEL BY SES'!$C$17:$R$17,0),0),"")</f>
        <v/>
      </c>
      <c r="R327" s="142" t="str">
        <f>IFERROR(VLOOKUP($C327,'NEW MODEL BY SES'!$C$19:$R$242,MATCH('SeS in Retail Sales Areas'!R$7,'NEW MODEL BY SES'!$C$17:$R$17,0),0),"")</f>
        <v/>
      </c>
      <c r="S327" s="141" t="str">
        <f>IFERROR(VLOOKUP($C327,'NEW MODEL BY SES'!$C$19:$R$242,MATCH('SeS in Retail Sales Areas'!S$7,'NEW MODEL BY SES'!$C$17:$R$17,0),0),"")</f>
        <v/>
      </c>
      <c r="T327" s="140" t="str">
        <f>IFERROR(VLOOKUP($C327,'NEW MODEL BY SES'!$C$19:$R$242,MATCH('SeS in Retail Sales Areas'!T$7,'NEW MODEL BY SES'!$C$17:$R$17,0),0),"")</f>
        <v/>
      </c>
      <c r="U327" s="142" t="str">
        <f>IFERROR(VLOOKUP($C327,'NEW MODEL BY SES'!$C$19:$R$242,MATCH('SeS in Retail Sales Areas'!U$7,'NEW MODEL BY SES'!$C$17:$R$17,0),0),"")</f>
        <v/>
      </c>
      <c r="V327" s="140" t="str">
        <f>IFERROR(VLOOKUP($C327,'NEW MODEL BY SES'!$C$19:$R$242,MATCH('SeS in Retail Sales Areas'!V$7,'NEW MODEL BY SES'!$C$17:$R$17,0),0),"")</f>
        <v/>
      </c>
      <c r="W327" s="141" t="str">
        <f>IFERROR(VLOOKUP($C327,'NEW MODEL BY SES'!$C$19:$R$242,MATCH('SeS in Retail Sales Areas'!W$7,'NEW MODEL BY SES'!$C$17:$R$17,0),0),"")</f>
        <v/>
      </c>
      <c r="X327" s="140" t="str">
        <f>IFERROR(VLOOKUP($C327,'NEW MODEL BY SES'!$C$19:$R$242,MATCH('SeS in Retail Sales Areas'!X$7,'NEW MODEL BY SES'!$C$17:$R$17,0),0),"")</f>
        <v/>
      </c>
      <c r="Z327" s="57"/>
    </row>
    <row r="328" spans="1:26">
      <c r="A328" t="s">
        <v>1254</v>
      </c>
      <c r="B328" s="57">
        <v>110</v>
      </c>
      <c r="C328" t="s">
        <v>1267</v>
      </c>
      <c r="D328" t="s">
        <v>40</v>
      </c>
      <c r="E328"/>
      <c r="F328" s="140" t="str">
        <f>IFERROR(VLOOKUP($C328,'NEW MODEL BY SES'!$C$19:$R$242,MATCH('SeS in Retail Sales Areas'!F$7,'NEW MODEL BY SES'!$C$17:$R$17,0),0),"")</f>
        <v/>
      </c>
      <c r="G328" s="140" t="str">
        <f>IFERROR(VLOOKUP($C328,'NEW MODEL BY SES'!$C$19:$R$242,MATCH('SeS in Retail Sales Areas'!G$7,'NEW MODEL BY SES'!$C$17:$R$17,0),0),"")</f>
        <v/>
      </c>
      <c r="H328" s="142" t="str">
        <f>IFERROR(VLOOKUP($C328,'NEW MODEL BY SES'!$C$19:$R$242,MATCH('SeS in Retail Sales Areas'!H$7,'NEW MODEL BY SES'!$C$17:$R$17,0),0),"")</f>
        <v/>
      </c>
      <c r="I328" s="140" t="str">
        <f>IFERROR(VLOOKUP($C328,'NEW MODEL BY SES'!$C$19:$R$242,MATCH('SeS in Retail Sales Areas'!I$7,'NEW MODEL BY SES'!$C$17:$R$17,0),0),"")</f>
        <v/>
      </c>
      <c r="J328" s="142" t="str">
        <f>IFERROR(VLOOKUP($C328,'NEW MODEL BY SES'!$C$19:$R$242,MATCH('SeS in Retail Sales Areas'!J$7,'NEW MODEL BY SES'!$C$17:$R$17,0),0),"")</f>
        <v/>
      </c>
      <c r="K328" s="140" t="str">
        <f>IFERROR(VLOOKUP($C328,'NEW MODEL BY SES'!$C$19:$R$242,MATCH('SeS in Retail Sales Areas'!K$7,'NEW MODEL BY SES'!$C$17:$R$17,0),0),"")</f>
        <v/>
      </c>
      <c r="L328" s="142" t="str">
        <f>IFERROR(VLOOKUP($C328,'NEW MODEL BY SES'!$C$19:$R$242,MATCH('SeS in Retail Sales Areas'!L$7,'NEW MODEL BY SES'!$C$17:$R$17,0),0),"")</f>
        <v/>
      </c>
      <c r="M328" s="140" t="str">
        <f>IFERROR(VLOOKUP($C328,'NEW MODEL BY SES'!$C$19:$R$242,MATCH('SeS in Retail Sales Areas'!M$7,'NEW MODEL BY SES'!$C$17:$R$17,0),0),"")</f>
        <v/>
      </c>
      <c r="N328" s="142" t="str">
        <f>IFERROR(VLOOKUP($C328,'NEW MODEL BY SES'!$C$19:$R$242,MATCH('SeS in Retail Sales Areas'!N$7,'NEW MODEL BY SES'!$C$17:$R$17,0),0),"")</f>
        <v/>
      </c>
      <c r="O328" s="140" t="str">
        <f>IFERROR(VLOOKUP($C328,'NEW MODEL BY SES'!$C$19:$R$242,MATCH('SeS in Retail Sales Areas'!O$7,'NEW MODEL BY SES'!$C$17:$R$17,0),0),"")</f>
        <v/>
      </c>
      <c r="P328" s="142" t="str">
        <f>IFERROR(VLOOKUP($C328,'NEW MODEL BY SES'!$C$19:$R$242,MATCH('SeS in Retail Sales Areas'!P$7,'NEW MODEL BY SES'!$C$17:$R$17,0),0),"")</f>
        <v/>
      </c>
      <c r="Q328" s="140" t="str">
        <f>IFERROR(VLOOKUP($C328,'NEW MODEL BY SES'!$C$19:$R$242,MATCH('SeS in Retail Sales Areas'!Q$7,'NEW MODEL BY SES'!$C$17:$R$17,0),0),"")</f>
        <v/>
      </c>
      <c r="R328" s="142" t="str">
        <f>IFERROR(VLOOKUP($C328,'NEW MODEL BY SES'!$C$19:$R$242,MATCH('SeS in Retail Sales Areas'!R$7,'NEW MODEL BY SES'!$C$17:$R$17,0),0),"")</f>
        <v/>
      </c>
      <c r="S328" s="141" t="str">
        <f>IFERROR(VLOOKUP($C328,'NEW MODEL BY SES'!$C$19:$R$242,MATCH('SeS in Retail Sales Areas'!S$7,'NEW MODEL BY SES'!$C$17:$R$17,0),0),"")</f>
        <v/>
      </c>
      <c r="T328" s="140" t="str">
        <f>IFERROR(VLOOKUP($C328,'NEW MODEL BY SES'!$C$19:$R$242,MATCH('SeS in Retail Sales Areas'!T$7,'NEW MODEL BY SES'!$C$17:$R$17,0),0),"")</f>
        <v/>
      </c>
      <c r="U328" s="142" t="str">
        <f>IFERROR(VLOOKUP($C328,'NEW MODEL BY SES'!$C$19:$R$242,MATCH('SeS in Retail Sales Areas'!U$7,'NEW MODEL BY SES'!$C$17:$R$17,0),0),"")</f>
        <v/>
      </c>
      <c r="V328" s="140" t="str">
        <f>IFERROR(VLOOKUP($C328,'NEW MODEL BY SES'!$C$19:$R$242,MATCH('SeS in Retail Sales Areas'!V$7,'NEW MODEL BY SES'!$C$17:$R$17,0),0),"")</f>
        <v/>
      </c>
      <c r="W328" s="141" t="str">
        <f>IFERROR(VLOOKUP($C328,'NEW MODEL BY SES'!$C$19:$R$242,MATCH('SeS in Retail Sales Areas'!W$7,'NEW MODEL BY SES'!$C$17:$R$17,0),0),"")</f>
        <v/>
      </c>
      <c r="X328" s="140" t="str">
        <f>IFERROR(VLOOKUP($C328,'NEW MODEL BY SES'!$C$19:$R$242,MATCH('SeS in Retail Sales Areas'!X$7,'NEW MODEL BY SES'!$C$17:$R$17,0),0),"")</f>
        <v/>
      </c>
      <c r="Z328" s="57"/>
    </row>
    <row r="329" spans="1:26">
      <c r="A329" t="s">
        <v>1254</v>
      </c>
      <c r="B329" s="57">
        <v>98</v>
      </c>
      <c r="C329" t="s">
        <v>1268</v>
      </c>
      <c r="D329" t="s">
        <v>40</v>
      </c>
      <c r="E329"/>
      <c r="F329" s="140" t="str">
        <f>IFERROR(VLOOKUP($C329,'NEW MODEL BY SES'!$C$19:$R$242,MATCH('SeS in Retail Sales Areas'!F$7,'NEW MODEL BY SES'!$C$17:$R$17,0),0),"")</f>
        <v/>
      </c>
      <c r="G329" s="140" t="str">
        <f>IFERROR(VLOOKUP($C329,'NEW MODEL BY SES'!$C$19:$R$242,MATCH('SeS in Retail Sales Areas'!G$7,'NEW MODEL BY SES'!$C$17:$R$17,0),0),"")</f>
        <v/>
      </c>
      <c r="H329" s="142" t="str">
        <f>IFERROR(VLOOKUP($C329,'NEW MODEL BY SES'!$C$19:$R$242,MATCH('SeS in Retail Sales Areas'!H$7,'NEW MODEL BY SES'!$C$17:$R$17,0),0),"")</f>
        <v/>
      </c>
      <c r="I329" s="140" t="str">
        <f>IFERROR(VLOOKUP($C329,'NEW MODEL BY SES'!$C$19:$R$242,MATCH('SeS in Retail Sales Areas'!I$7,'NEW MODEL BY SES'!$C$17:$R$17,0),0),"")</f>
        <v/>
      </c>
      <c r="J329" s="142" t="str">
        <f>IFERROR(VLOOKUP($C329,'NEW MODEL BY SES'!$C$19:$R$242,MATCH('SeS in Retail Sales Areas'!J$7,'NEW MODEL BY SES'!$C$17:$R$17,0),0),"")</f>
        <v/>
      </c>
      <c r="K329" s="140" t="str">
        <f>IFERROR(VLOOKUP($C329,'NEW MODEL BY SES'!$C$19:$R$242,MATCH('SeS in Retail Sales Areas'!K$7,'NEW MODEL BY SES'!$C$17:$R$17,0),0),"")</f>
        <v/>
      </c>
      <c r="L329" s="142" t="str">
        <f>IFERROR(VLOOKUP($C329,'NEW MODEL BY SES'!$C$19:$R$242,MATCH('SeS in Retail Sales Areas'!L$7,'NEW MODEL BY SES'!$C$17:$R$17,0),0),"")</f>
        <v/>
      </c>
      <c r="M329" s="140" t="str">
        <f>IFERROR(VLOOKUP($C329,'NEW MODEL BY SES'!$C$19:$R$242,MATCH('SeS in Retail Sales Areas'!M$7,'NEW MODEL BY SES'!$C$17:$R$17,0),0),"")</f>
        <v/>
      </c>
      <c r="N329" s="142" t="str">
        <f>IFERROR(VLOOKUP($C329,'NEW MODEL BY SES'!$C$19:$R$242,MATCH('SeS in Retail Sales Areas'!N$7,'NEW MODEL BY SES'!$C$17:$R$17,0),0),"")</f>
        <v/>
      </c>
      <c r="O329" s="140" t="str">
        <f>IFERROR(VLOOKUP($C329,'NEW MODEL BY SES'!$C$19:$R$242,MATCH('SeS in Retail Sales Areas'!O$7,'NEW MODEL BY SES'!$C$17:$R$17,0),0),"")</f>
        <v/>
      </c>
      <c r="P329" s="142" t="str">
        <f>IFERROR(VLOOKUP($C329,'NEW MODEL BY SES'!$C$19:$R$242,MATCH('SeS in Retail Sales Areas'!P$7,'NEW MODEL BY SES'!$C$17:$R$17,0),0),"")</f>
        <v/>
      </c>
      <c r="Q329" s="140" t="str">
        <f>IFERROR(VLOOKUP($C329,'NEW MODEL BY SES'!$C$19:$R$242,MATCH('SeS in Retail Sales Areas'!Q$7,'NEW MODEL BY SES'!$C$17:$R$17,0),0),"")</f>
        <v/>
      </c>
      <c r="R329" s="142" t="str">
        <f>IFERROR(VLOOKUP($C329,'NEW MODEL BY SES'!$C$19:$R$242,MATCH('SeS in Retail Sales Areas'!R$7,'NEW MODEL BY SES'!$C$17:$R$17,0),0),"")</f>
        <v/>
      </c>
      <c r="S329" s="141" t="str">
        <f>IFERROR(VLOOKUP($C329,'NEW MODEL BY SES'!$C$19:$R$242,MATCH('SeS in Retail Sales Areas'!S$7,'NEW MODEL BY SES'!$C$17:$R$17,0),0),"")</f>
        <v/>
      </c>
      <c r="T329" s="140" t="str">
        <f>IFERROR(VLOOKUP($C329,'NEW MODEL BY SES'!$C$19:$R$242,MATCH('SeS in Retail Sales Areas'!T$7,'NEW MODEL BY SES'!$C$17:$R$17,0),0),"")</f>
        <v/>
      </c>
      <c r="U329" s="142" t="str">
        <f>IFERROR(VLOOKUP($C329,'NEW MODEL BY SES'!$C$19:$R$242,MATCH('SeS in Retail Sales Areas'!U$7,'NEW MODEL BY SES'!$C$17:$R$17,0),0),"")</f>
        <v/>
      </c>
      <c r="V329" s="140" t="str">
        <f>IFERROR(VLOOKUP($C329,'NEW MODEL BY SES'!$C$19:$R$242,MATCH('SeS in Retail Sales Areas'!V$7,'NEW MODEL BY SES'!$C$17:$R$17,0),0),"")</f>
        <v/>
      </c>
      <c r="W329" s="141" t="str">
        <f>IFERROR(VLOOKUP($C329,'NEW MODEL BY SES'!$C$19:$R$242,MATCH('SeS in Retail Sales Areas'!W$7,'NEW MODEL BY SES'!$C$17:$R$17,0),0),"")</f>
        <v/>
      </c>
      <c r="X329" s="140" t="str">
        <f>IFERROR(VLOOKUP($C329,'NEW MODEL BY SES'!$C$19:$R$242,MATCH('SeS in Retail Sales Areas'!X$7,'NEW MODEL BY SES'!$C$17:$R$17,0),0),"")</f>
        <v/>
      </c>
      <c r="Z329" s="57"/>
    </row>
    <row r="330" spans="1:26">
      <c r="A330" t="s">
        <v>1254</v>
      </c>
      <c r="B330" s="57">
        <v>93</v>
      </c>
      <c r="C330" t="s">
        <v>1269</v>
      </c>
      <c r="D330" t="s">
        <v>40</v>
      </c>
      <c r="E330"/>
      <c r="F330" s="140" t="str">
        <f>IFERROR(VLOOKUP($C330,'NEW MODEL BY SES'!$C$19:$R$242,MATCH('SeS in Retail Sales Areas'!F$7,'NEW MODEL BY SES'!$C$17:$R$17,0),0),"")</f>
        <v/>
      </c>
      <c r="G330" s="140" t="str">
        <f>IFERROR(VLOOKUP($C330,'NEW MODEL BY SES'!$C$19:$R$242,MATCH('SeS in Retail Sales Areas'!G$7,'NEW MODEL BY SES'!$C$17:$R$17,0),0),"")</f>
        <v/>
      </c>
      <c r="H330" s="142" t="str">
        <f>IFERROR(VLOOKUP($C330,'NEW MODEL BY SES'!$C$19:$R$242,MATCH('SeS in Retail Sales Areas'!H$7,'NEW MODEL BY SES'!$C$17:$R$17,0),0),"")</f>
        <v/>
      </c>
      <c r="I330" s="140" t="str">
        <f>IFERROR(VLOOKUP($C330,'NEW MODEL BY SES'!$C$19:$R$242,MATCH('SeS in Retail Sales Areas'!I$7,'NEW MODEL BY SES'!$C$17:$R$17,0),0),"")</f>
        <v/>
      </c>
      <c r="J330" s="142" t="str">
        <f>IFERROR(VLOOKUP($C330,'NEW MODEL BY SES'!$C$19:$R$242,MATCH('SeS in Retail Sales Areas'!J$7,'NEW MODEL BY SES'!$C$17:$R$17,0),0),"")</f>
        <v/>
      </c>
      <c r="K330" s="140" t="str">
        <f>IFERROR(VLOOKUP($C330,'NEW MODEL BY SES'!$C$19:$R$242,MATCH('SeS in Retail Sales Areas'!K$7,'NEW MODEL BY SES'!$C$17:$R$17,0),0),"")</f>
        <v/>
      </c>
      <c r="L330" s="142" t="str">
        <f>IFERROR(VLOOKUP($C330,'NEW MODEL BY SES'!$C$19:$R$242,MATCH('SeS in Retail Sales Areas'!L$7,'NEW MODEL BY SES'!$C$17:$R$17,0),0),"")</f>
        <v/>
      </c>
      <c r="M330" s="140" t="str">
        <f>IFERROR(VLOOKUP($C330,'NEW MODEL BY SES'!$C$19:$R$242,MATCH('SeS in Retail Sales Areas'!M$7,'NEW MODEL BY SES'!$C$17:$R$17,0),0),"")</f>
        <v/>
      </c>
      <c r="N330" s="142" t="str">
        <f>IFERROR(VLOOKUP($C330,'NEW MODEL BY SES'!$C$19:$R$242,MATCH('SeS in Retail Sales Areas'!N$7,'NEW MODEL BY SES'!$C$17:$R$17,0),0),"")</f>
        <v/>
      </c>
      <c r="O330" s="140" t="str">
        <f>IFERROR(VLOOKUP($C330,'NEW MODEL BY SES'!$C$19:$R$242,MATCH('SeS in Retail Sales Areas'!O$7,'NEW MODEL BY SES'!$C$17:$R$17,0),0),"")</f>
        <v/>
      </c>
      <c r="P330" s="142" t="str">
        <f>IFERROR(VLOOKUP($C330,'NEW MODEL BY SES'!$C$19:$R$242,MATCH('SeS in Retail Sales Areas'!P$7,'NEW MODEL BY SES'!$C$17:$R$17,0),0),"")</f>
        <v/>
      </c>
      <c r="Q330" s="140" t="str">
        <f>IFERROR(VLOOKUP($C330,'NEW MODEL BY SES'!$C$19:$R$242,MATCH('SeS in Retail Sales Areas'!Q$7,'NEW MODEL BY SES'!$C$17:$R$17,0),0),"")</f>
        <v/>
      </c>
      <c r="R330" s="142" t="str">
        <f>IFERROR(VLOOKUP($C330,'NEW MODEL BY SES'!$C$19:$R$242,MATCH('SeS in Retail Sales Areas'!R$7,'NEW MODEL BY SES'!$C$17:$R$17,0),0),"")</f>
        <v/>
      </c>
      <c r="S330" s="141" t="str">
        <f>IFERROR(VLOOKUP($C330,'NEW MODEL BY SES'!$C$19:$R$242,MATCH('SeS in Retail Sales Areas'!S$7,'NEW MODEL BY SES'!$C$17:$R$17,0),0),"")</f>
        <v/>
      </c>
      <c r="T330" s="140" t="str">
        <f>IFERROR(VLOOKUP($C330,'NEW MODEL BY SES'!$C$19:$R$242,MATCH('SeS in Retail Sales Areas'!T$7,'NEW MODEL BY SES'!$C$17:$R$17,0),0),"")</f>
        <v/>
      </c>
      <c r="U330" s="142" t="str">
        <f>IFERROR(VLOOKUP($C330,'NEW MODEL BY SES'!$C$19:$R$242,MATCH('SeS in Retail Sales Areas'!U$7,'NEW MODEL BY SES'!$C$17:$R$17,0),0),"")</f>
        <v/>
      </c>
      <c r="V330" s="140" t="str">
        <f>IFERROR(VLOOKUP($C330,'NEW MODEL BY SES'!$C$19:$R$242,MATCH('SeS in Retail Sales Areas'!V$7,'NEW MODEL BY SES'!$C$17:$R$17,0),0),"")</f>
        <v/>
      </c>
      <c r="W330" s="141" t="str">
        <f>IFERROR(VLOOKUP($C330,'NEW MODEL BY SES'!$C$19:$R$242,MATCH('SeS in Retail Sales Areas'!W$7,'NEW MODEL BY SES'!$C$17:$R$17,0),0),"")</f>
        <v/>
      </c>
      <c r="X330" s="140" t="str">
        <f>IFERROR(VLOOKUP($C330,'NEW MODEL BY SES'!$C$19:$R$242,MATCH('SeS in Retail Sales Areas'!X$7,'NEW MODEL BY SES'!$C$17:$R$17,0),0),"")</f>
        <v/>
      </c>
      <c r="Z330" s="57"/>
    </row>
    <row r="331" spans="1:26">
      <c r="A331" t="s">
        <v>1254</v>
      </c>
      <c r="B331" s="57">
        <v>89</v>
      </c>
      <c r="C331" t="s">
        <v>1270</v>
      </c>
      <c r="D331" t="s">
        <v>40</v>
      </c>
      <c r="E331"/>
      <c r="F331" s="140" t="str">
        <f>IFERROR(VLOOKUP($C331,'NEW MODEL BY SES'!$C$19:$R$242,MATCH('SeS in Retail Sales Areas'!F$7,'NEW MODEL BY SES'!$C$17:$R$17,0),0),"")</f>
        <v/>
      </c>
      <c r="G331" s="140" t="str">
        <f>IFERROR(VLOOKUP($C331,'NEW MODEL BY SES'!$C$19:$R$242,MATCH('SeS in Retail Sales Areas'!G$7,'NEW MODEL BY SES'!$C$17:$R$17,0),0),"")</f>
        <v/>
      </c>
      <c r="H331" s="142" t="str">
        <f>IFERROR(VLOOKUP($C331,'NEW MODEL BY SES'!$C$19:$R$242,MATCH('SeS in Retail Sales Areas'!H$7,'NEW MODEL BY SES'!$C$17:$R$17,0),0),"")</f>
        <v/>
      </c>
      <c r="I331" s="140" t="str">
        <f>IFERROR(VLOOKUP($C331,'NEW MODEL BY SES'!$C$19:$R$242,MATCH('SeS in Retail Sales Areas'!I$7,'NEW MODEL BY SES'!$C$17:$R$17,0),0),"")</f>
        <v/>
      </c>
      <c r="J331" s="142" t="str">
        <f>IFERROR(VLOOKUP($C331,'NEW MODEL BY SES'!$C$19:$R$242,MATCH('SeS in Retail Sales Areas'!J$7,'NEW MODEL BY SES'!$C$17:$R$17,0),0),"")</f>
        <v/>
      </c>
      <c r="K331" s="140" t="str">
        <f>IFERROR(VLOOKUP($C331,'NEW MODEL BY SES'!$C$19:$R$242,MATCH('SeS in Retail Sales Areas'!K$7,'NEW MODEL BY SES'!$C$17:$R$17,0),0),"")</f>
        <v/>
      </c>
      <c r="L331" s="142" t="str">
        <f>IFERROR(VLOOKUP($C331,'NEW MODEL BY SES'!$C$19:$R$242,MATCH('SeS in Retail Sales Areas'!L$7,'NEW MODEL BY SES'!$C$17:$R$17,0),0),"")</f>
        <v/>
      </c>
      <c r="M331" s="140" t="str">
        <f>IFERROR(VLOOKUP($C331,'NEW MODEL BY SES'!$C$19:$R$242,MATCH('SeS in Retail Sales Areas'!M$7,'NEW MODEL BY SES'!$C$17:$R$17,0),0),"")</f>
        <v/>
      </c>
      <c r="N331" s="142" t="str">
        <f>IFERROR(VLOOKUP($C331,'NEW MODEL BY SES'!$C$19:$R$242,MATCH('SeS in Retail Sales Areas'!N$7,'NEW MODEL BY SES'!$C$17:$R$17,0),0),"")</f>
        <v/>
      </c>
      <c r="O331" s="140" t="str">
        <f>IFERROR(VLOOKUP($C331,'NEW MODEL BY SES'!$C$19:$R$242,MATCH('SeS in Retail Sales Areas'!O$7,'NEW MODEL BY SES'!$C$17:$R$17,0),0),"")</f>
        <v/>
      </c>
      <c r="P331" s="142" t="str">
        <f>IFERROR(VLOOKUP($C331,'NEW MODEL BY SES'!$C$19:$R$242,MATCH('SeS in Retail Sales Areas'!P$7,'NEW MODEL BY SES'!$C$17:$R$17,0),0),"")</f>
        <v/>
      </c>
      <c r="Q331" s="140" t="str">
        <f>IFERROR(VLOOKUP($C331,'NEW MODEL BY SES'!$C$19:$R$242,MATCH('SeS in Retail Sales Areas'!Q$7,'NEW MODEL BY SES'!$C$17:$R$17,0),0),"")</f>
        <v/>
      </c>
      <c r="R331" s="142" t="str">
        <f>IFERROR(VLOOKUP($C331,'NEW MODEL BY SES'!$C$19:$R$242,MATCH('SeS in Retail Sales Areas'!R$7,'NEW MODEL BY SES'!$C$17:$R$17,0),0),"")</f>
        <v/>
      </c>
      <c r="S331" s="141" t="str">
        <f>IFERROR(VLOOKUP($C331,'NEW MODEL BY SES'!$C$19:$R$242,MATCH('SeS in Retail Sales Areas'!S$7,'NEW MODEL BY SES'!$C$17:$R$17,0),0),"")</f>
        <v/>
      </c>
      <c r="T331" s="140" t="str">
        <f>IFERROR(VLOOKUP($C331,'NEW MODEL BY SES'!$C$19:$R$242,MATCH('SeS in Retail Sales Areas'!T$7,'NEW MODEL BY SES'!$C$17:$R$17,0),0),"")</f>
        <v/>
      </c>
      <c r="U331" s="142" t="str">
        <f>IFERROR(VLOOKUP($C331,'NEW MODEL BY SES'!$C$19:$R$242,MATCH('SeS in Retail Sales Areas'!U$7,'NEW MODEL BY SES'!$C$17:$R$17,0),0),"")</f>
        <v/>
      </c>
      <c r="V331" s="140" t="str">
        <f>IFERROR(VLOOKUP($C331,'NEW MODEL BY SES'!$C$19:$R$242,MATCH('SeS in Retail Sales Areas'!V$7,'NEW MODEL BY SES'!$C$17:$R$17,0),0),"")</f>
        <v/>
      </c>
      <c r="W331" s="141" t="str">
        <f>IFERROR(VLOOKUP($C331,'NEW MODEL BY SES'!$C$19:$R$242,MATCH('SeS in Retail Sales Areas'!W$7,'NEW MODEL BY SES'!$C$17:$R$17,0),0),"")</f>
        <v/>
      </c>
      <c r="X331" s="140" t="str">
        <f>IFERROR(VLOOKUP($C331,'NEW MODEL BY SES'!$C$19:$R$242,MATCH('SeS in Retail Sales Areas'!X$7,'NEW MODEL BY SES'!$C$17:$R$17,0),0),"")</f>
        <v/>
      </c>
      <c r="Z331" s="57"/>
    </row>
    <row r="332" spans="1:26">
      <c r="A332" t="s">
        <v>1254</v>
      </c>
      <c r="B332" s="57">
        <v>88</v>
      </c>
      <c r="C332" t="s">
        <v>1271</v>
      </c>
      <c r="D332" t="s">
        <v>40</v>
      </c>
      <c r="E332"/>
      <c r="F332" s="140" t="str">
        <f>IFERROR(VLOOKUP($C332,'NEW MODEL BY SES'!$C$19:$R$242,MATCH('SeS in Retail Sales Areas'!F$7,'NEW MODEL BY SES'!$C$17:$R$17,0),0),"")</f>
        <v/>
      </c>
      <c r="G332" s="140" t="str">
        <f>IFERROR(VLOOKUP($C332,'NEW MODEL BY SES'!$C$19:$R$242,MATCH('SeS in Retail Sales Areas'!G$7,'NEW MODEL BY SES'!$C$17:$R$17,0),0),"")</f>
        <v/>
      </c>
      <c r="H332" s="142" t="str">
        <f>IFERROR(VLOOKUP($C332,'NEW MODEL BY SES'!$C$19:$R$242,MATCH('SeS in Retail Sales Areas'!H$7,'NEW MODEL BY SES'!$C$17:$R$17,0),0),"")</f>
        <v/>
      </c>
      <c r="I332" s="140" t="str">
        <f>IFERROR(VLOOKUP($C332,'NEW MODEL BY SES'!$C$19:$R$242,MATCH('SeS in Retail Sales Areas'!I$7,'NEW MODEL BY SES'!$C$17:$R$17,0),0),"")</f>
        <v/>
      </c>
      <c r="J332" s="142" t="str">
        <f>IFERROR(VLOOKUP($C332,'NEW MODEL BY SES'!$C$19:$R$242,MATCH('SeS in Retail Sales Areas'!J$7,'NEW MODEL BY SES'!$C$17:$R$17,0),0),"")</f>
        <v/>
      </c>
      <c r="K332" s="140" t="str">
        <f>IFERROR(VLOOKUP($C332,'NEW MODEL BY SES'!$C$19:$R$242,MATCH('SeS in Retail Sales Areas'!K$7,'NEW MODEL BY SES'!$C$17:$R$17,0),0),"")</f>
        <v/>
      </c>
      <c r="L332" s="142" t="str">
        <f>IFERROR(VLOOKUP($C332,'NEW MODEL BY SES'!$C$19:$R$242,MATCH('SeS in Retail Sales Areas'!L$7,'NEW MODEL BY SES'!$C$17:$R$17,0),0),"")</f>
        <v/>
      </c>
      <c r="M332" s="140" t="str">
        <f>IFERROR(VLOOKUP($C332,'NEW MODEL BY SES'!$C$19:$R$242,MATCH('SeS in Retail Sales Areas'!M$7,'NEW MODEL BY SES'!$C$17:$R$17,0),0),"")</f>
        <v/>
      </c>
      <c r="N332" s="142" t="str">
        <f>IFERROR(VLOOKUP($C332,'NEW MODEL BY SES'!$C$19:$R$242,MATCH('SeS in Retail Sales Areas'!N$7,'NEW MODEL BY SES'!$C$17:$R$17,0),0),"")</f>
        <v/>
      </c>
      <c r="O332" s="140" t="str">
        <f>IFERROR(VLOOKUP($C332,'NEW MODEL BY SES'!$C$19:$R$242,MATCH('SeS in Retail Sales Areas'!O$7,'NEW MODEL BY SES'!$C$17:$R$17,0),0),"")</f>
        <v/>
      </c>
      <c r="P332" s="142" t="str">
        <f>IFERROR(VLOOKUP($C332,'NEW MODEL BY SES'!$C$19:$R$242,MATCH('SeS in Retail Sales Areas'!P$7,'NEW MODEL BY SES'!$C$17:$R$17,0),0),"")</f>
        <v/>
      </c>
      <c r="Q332" s="140" t="str">
        <f>IFERROR(VLOOKUP($C332,'NEW MODEL BY SES'!$C$19:$R$242,MATCH('SeS in Retail Sales Areas'!Q$7,'NEW MODEL BY SES'!$C$17:$R$17,0),0),"")</f>
        <v/>
      </c>
      <c r="R332" s="142" t="str">
        <f>IFERROR(VLOOKUP($C332,'NEW MODEL BY SES'!$C$19:$R$242,MATCH('SeS in Retail Sales Areas'!R$7,'NEW MODEL BY SES'!$C$17:$R$17,0),0),"")</f>
        <v/>
      </c>
      <c r="S332" s="141" t="str">
        <f>IFERROR(VLOOKUP($C332,'NEW MODEL BY SES'!$C$19:$R$242,MATCH('SeS in Retail Sales Areas'!S$7,'NEW MODEL BY SES'!$C$17:$R$17,0),0),"")</f>
        <v/>
      </c>
      <c r="T332" s="140" t="str">
        <f>IFERROR(VLOOKUP($C332,'NEW MODEL BY SES'!$C$19:$R$242,MATCH('SeS in Retail Sales Areas'!T$7,'NEW MODEL BY SES'!$C$17:$R$17,0),0),"")</f>
        <v/>
      </c>
      <c r="U332" s="142" t="str">
        <f>IFERROR(VLOOKUP($C332,'NEW MODEL BY SES'!$C$19:$R$242,MATCH('SeS in Retail Sales Areas'!U$7,'NEW MODEL BY SES'!$C$17:$R$17,0),0),"")</f>
        <v/>
      </c>
      <c r="V332" s="140" t="str">
        <f>IFERROR(VLOOKUP($C332,'NEW MODEL BY SES'!$C$19:$R$242,MATCH('SeS in Retail Sales Areas'!V$7,'NEW MODEL BY SES'!$C$17:$R$17,0),0),"")</f>
        <v/>
      </c>
      <c r="W332" s="141" t="str">
        <f>IFERROR(VLOOKUP($C332,'NEW MODEL BY SES'!$C$19:$R$242,MATCH('SeS in Retail Sales Areas'!W$7,'NEW MODEL BY SES'!$C$17:$R$17,0),0),"")</f>
        <v/>
      </c>
      <c r="X332" s="140" t="str">
        <f>IFERROR(VLOOKUP($C332,'NEW MODEL BY SES'!$C$19:$R$242,MATCH('SeS in Retail Sales Areas'!X$7,'NEW MODEL BY SES'!$C$17:$R$17,0),0),"")</f>
        <v/>
      </c>
      <c r="Z332" s="57"/>
    </row>
    <row r="333" spans="1:26">
      <c r="A333" t="s">
        <v>1254</v>
      </c>
      <c r="B333" s="57">
        <v>88</v>
      </c>
      <c r="C333" t="s">
        <v>1272</v>
      </c>
      <c r="D333" t="s">
        <v>40</v>
      </c>
      <c r="E333"/>
      <c r="F333" s="140" t="str">
        <f>IFERROR(VLOOKUP($C333,'NEW MODEL BY SES'!$C$19:$R$242,MATCH('SeS in Retail Sales Areas'!F$7,'NEW MODEL BY SES'!$C$17:$R$17,0),0),"")</f>
        <v/>
      </c>
      <c r="G333" s="140" t="str">
        <f>IFERROR(VLOOKUP($C333,'NEW MODEL BY SES'!$C$19:$R$242,MATCH('SeS in Retail Sales Areas'!G$7,'NEW MODEL BY SES'!$C$17:$R$17,0),0),"")</f>
        <v/>
      </c>
      <c r="H333" s="142" t="str">
        <f>IFERROR(VLOOKUP($C333,'NEW MODEL BY SES'!$C$19:$R$242,MATCH('SeS in Retail Sales Areas'!H$7,'NEW MODEL BY SES'!$C$17:$R$17,0),0),"")</f>
        <v/>
      </c>
      <c r="I333" s="140" t="str">
        <f>IFERROR(VLOOKUP($C333,'NEW MODEL BY SES'!$C$19:$R$242,MATCH('SeS in Retail Sales Areas'!I$7,'NEW MODEL BY SES'!$C$17:$R$17,0),0),"")</f>
        <v/>
      </c>
      <c r="J333" s="142" t="str">
        <f>IFERROR(VLOOKUP($C333,'NEW MODEL BY SES'!$C$19:$R$242,MATCH('SeS in Retail Sales Areas'!J$7,'NEW MODEL BY SES'!$C$17:$R$17,0),0),"")</f>
        <v/>
      </c>
      <c r="K333" s="140" t="str">
        <f>IFERROR(VLOOKUP($C333,'NEW MODEL BY SES'!$C$19:$R$242,MATCH('SeS in Retail Sales Areas'!K$7,'NEW MODEL BY SES'!$C$17:$R$17,0),0),"")</f>
        <v/>
      </c>
      <c r="L333" s="142" t="str">
        <f>IFERROR(VLOOKUP($C333,'NEW MODEL BY SES'!$C$19:$R$242,MATCH('SeS in Retail Sales Areas'!L$7,'NEW MODEL BY SES'!$C$17:$R$17,0),0),"")</f>
        <v/>
      </c>
      <c r="M333" s="140" t="str">
        <f>IFERROR(VLOOKUP($C333,'NEW MODEL BY SES'!$C$19:$R$242,MATCH('SeS in Retail Sales Areas'!M$7,'NEW MODEL BY SES'!$C$17:$R$17,0),0),"")</f>
        <v/>
      </c>
      <c r="N333" s="142" t="str">
        <f>IFERROR(VLOOKUP($C333,'NEW MODEL BY SES'!$C$19:$R$242,MATCH('SeS in Retail Sales Areas'!N$7,'NEW MODEL BY SES'!$C$17:$R$17,0),0),"")</f>
        <v/>
      </c>
      <c r="O333" s="140" t="str">
        <f>IFERROR(VLOOKUP($C333,'NEW MODEL BY SES'!$C$19:$R$242,MATCH('SeS in Retail Sales Areas'!O$7,'NEW MODEL BY SES'!$C$17:$R$17,0),0),"")</f>
        <v/>
      </c>
      <c r="P333" s="142" t="str">
        <f>IFERROR(VLOOKUP($C333,'NEW MODEL BY SES'!$C$19:$R$242,MATCH('SeS in Retail Sales Areas'!P$7,'NEW MODEL BY SES'!$C$17:$R$17,0),0),"")</f>
        <v/>
      </c>
      <c r="Q333" s="140" t="str">
        <f>IFERROR(VLOOKUP($C333,'NEW MODEL BY SES'!$C$19:$R$242,MATCH('SeS in Retail Sales Areas'!Q$7,'NEW MODEL BY SES'!$C$17:$R$17,0),0),"")</f>
        <v/>
      </c>
      <c r="R333" s="142" t="str">
        <f>IFERROR(VLOOKUP($C333,'NEW MODEL BY SES'!$C$19:$R$242,MATCH('SeS in Retail Sales Areas'!R$7,'NEW MODEL BY SES'!$C$17:$R$17,0),0),"")</f>
        <v/>
      </c>
      <c r="S333" s="141" t="str">
        <f>IFERROR(VLOOKUP($C333,'NEW MODEL BY SES'!$C$19:$R$242,MATCH('SeS in Retail Sales Areas'!S$7,'NEW MODEL BY SES'!$C$17:$R$17,0),0),"")</f>
        <v/>
      </c>
      <c r="T333" s="140" t="str">
        <f>IFERROR(VLOOKUP($C333,'NEW MODEL BY SES'!$C$19:$R$242,MATCH('SeS in Retail Sales Areas'!T$7,'NEW MODEL BY SES'!$C$17:$R$17,0),0),"")</f>
        <v/>
      </c>
      <c r="U333" s="142" t="str">
        <f>IFERROR(VLOOKUP($C333,'NEW MODEL BY SES'!$C$19:$R$242,MATCH('SeS in Retail Sales Areas'!U$7,'NEW MODEL BY SES'!$C$17:$R$17,0),0),"")</f>
        <v/>
      </c>
      <c r="V333" s="140" t="str">
        <f>IFERROR(VLOOKUP($C333,'NEW MODEL BY SES'!$C$19:$R$242,MATCH('SeS in Retail Sales Areas'!V$7,'NEW MODEL BY SES'!$C$17:$R$17,0),0),"")</f>
        <v/>
      </c>
      <c r="W333" s="141" t="str">
        <f>IFERROR(VLOOKUP($C333,'NEW MODEL BY SES'!$C$19:$R$242,MATCH('SeS in Retail Sales Areas'!W$7,'NEW MODEL BY SES'!$C$17:$R$17,0),0),"")</f>
        <v/>
      </c>
      <c r="X333" s="140" t="str">
        <f>IFERROR(VLOOKUP($C333,'NEW MODEL BY SES'!$C$19:$R$242,MATCH('SeS in Retail Sales Areas'!X$7,'NEW MODEL BY SES'!$C$17:$R$17,0),0),"")</f>
        <v/>
      </c>
      <c r="Z333" s="57"/>
    </row>
    <row r="334" spans="1:26">
      <c r="A334" t="s">
        <v>1254</v>
      </c>
      <c r="B334" s="57">
        <v>87</v>
      </c>
      <c r="C334" t="s">
        <v>1273</v>
      </c>
      <c r="D334" t="s">
        <v>40</v>
      </c>
      <c r="E334"/>
      <c r="F334" s="140" t="str">
        <f>IFERROR(VLOOKUP($C334,'NEW MODEL BY SES'!$C$19:$R$242,MATCH('SeS in Retail Sales Areas'!F$7,'NEW MODEL BY SES'!$C$17:$R$17,0),0),"")</f>
        <v/>
      </c>
      <c r="G334" s="140" t="str">
        <f>IFERROR(VLOOKUP($C334,'NEW MODEL BY SES'!$C$19:$R$242,MATCH('SeS in Retail Sales Areas'!G$7,'NEW MODEL BY SES'!$C$17:$R$17,0),0),"")</f>
        <v/>
      </c>
      <c r="H334" s="142" t="str">
        <f>IFERROR(VLOOKUP($C334,'NEW MODEL BY SES'!$C$19:$R$242,MATCH('SeS in Retail Sales Areas'!H$7,'NEW MODEL BY SES'!$C$17:$R$17,0),0),"")</f>
        <v/>
      </c>
      <c r="I334" s="140" t="str">
        <f>IFERROR(VLOOKUP($C334,'NEW MODEL BY SES'!$C$19:$R$242,MATCH('SeS in Retail Sales Areas'!I$7,'NEW MODEL BY SES'!$C$17:$R$17,0),0),"")</f>
        <v/>
      </c>
      <c r="J334" s="142" t="str">
        <f>IFERROR(VLOOKUP($C334,'NEW MODEL BY SES'!$C$19:$R$242,MATCH('SeS in Retail Sales Areas'!J$7,'NEW MODEL BY SES'!$C$17:$R$17,0),0),"")</f>
        <v/>
      </c>
      <c r="K334" s="140" t="str">
        <f>IFERROR(VLOOKUP($C334,'NEW MODEL BY SES'!$C$19:$R$242,MATCH('SeS in Retail Sales Areas'!K$7,'NEW MODEL BY SES'!$C$17:$R$17,0),0),"")</f>
        <v/>
      </c>
      <c r="L334" s="142" t="str">
        <f>IFERROR(VLOOKUP($C334,'NEW MODEL BY SES'!$C$19:$R$242,MATCH('SeS in Retail Sales Areas'!L$7,'NEW MODEL BY SES'!$C$17:$R$17,0),0),"")</f>
        <v/>
      </c>
      <c r="M334" s="140" t="str">
        <f>IFERROR(VLOOKUP($C334,'NEW MODEL BY SES'!$C$19:$R$242,MATCH('SeS in Retail Sales Areas'!M$7,'NEW MODEL BY SES'!$C$17:$R$17,0),0),"")</f>
        <v/>
      </c>
      <c r="N334" s="142" t="str">
        <f>IFERROR(VLOOKUP($C334,'NEW MODEL BY SES'!$C$19:$R$242,MATCH('SeS in Retail Sales Areas'!N$7,'NEW MODEL BY SES'!$C$17:$R$17,0),0),"")</f>
        <v/>
      </c>
      <c r="O334" s="140" t="str">
        <f>IFERROR(VLOOKUP($C334,'NEW MODEL BY SES'!$C$19:$R$242,MATCH('SeS in Retail Sales Areas'!O$7,'NEW MODEL BY SES'!$C$17:$R$17,0),0),"")</f>
        <v/>
      </c>
      <c r="P334" s="142" t="str">
        <f>IFERROR(VLOOKUP($C334,'NEW MODEL BY SES'!$C$19:$R$242,MATCH('SeS in Retail Sales Areas'!P$7,'NEW MODEL BY SES'!$C$17:$R$17,0),0),"")</f>
        <v/>
      </c>
      <c r="Q334" s="140" t="str">
        <f>IFERROR(VLOOKUP($C334,'NEW MODEL BY SES'!$C$19:$R$242,MATCH('SeS in Retail Sales Areas'!Q$7,'NEW MODEL BY SES'!$C$17:$R$17,0),0),"")</f>
        <v/>
      </c>
      <c r="R334" s="142" t="str">
        <f>IFERROR(VLOOKUP($C334,'NEW MODEL BY SES'!$C$19:$R$242,MATCH('SeS in Retail Sales Areas'!R$7,'NEW MODEL BY SES'!$C$17:$R$17,0),0),"")</f>
        <v/>
      </c>
      <c r="S334" s="141" t="str">
        <f>IFERROR(VLOOKUP($C334,'NEW MODEL BY SES'!$C$19:$R$242,MATCH('SeS in Retail Sales Areas'!S$7,'NEW MODEL BY SES'!$C$17:$R$17,0),0),"")</f>
        <v/>
      </c>
      <c r="T334" s="140" t="str">
        <f>IFERROR(VLOOKUP($C334,'NEW MODEL BY SES'!$C$19:$R$242,MATCH('SeS in Retail Sales Areas'!T$7,'NEW MODEL BY SES'!$C$17:$R$17,0),0),"")</f>
        <v/>
      </c>
      <c r="U334" s="142" t="str">
        <f>IFERROR(VLOOKUP($C334,'NEW MODEL BY SES'!$C$19:$R$242,MATCH('SeS in Retail Sales Areas'!U$7,'NEW MODEL BY SES'!$C$17:$R$17,0),0),"")</f>
        <v/>
      </c>
      <c r="V334" s="140" t="str">
        <f>IFERROR(VLOOKUP($C334,'NEW MODEL BY SES'!$C$19:$R$242,MATCH('SeS in Retail Sales Areas'!V$7,'NEW MODEL BY SES'!$C$17:$R$17,0),0),"")</f>
        <v/>
      </c>
      <c r="W334" s="141" t="str">
        <f>IFERROR(VLOOKUP($C334,'NEW MODEL BY SES'!$C$19:$R$242,MATCH('SeS in Retail Sales Areas'!W$7,'NEW MODEL BY SES'!$C$17:$R$17,0),0),"")</f>
        <v/>
      </c>
      <c r="X334" s="140" t="str">
        <f>IFERROR(VLOOKUP($C334,'NEW MODEL BY SES'!$C$19:$R$242,MATCH('SeS in Retail Sales Areas'!X$7,'NEW MODEL BY SES'!$C$17:$R$17,0),0),"")</f>
        <v/>
      </c>
      <c r="Z334" s="57"/>
    </row>
    <row r="335" spans="1:26">
      <c r="A335" t="s">
        <v>1254</v>
      </c>
      <c r="B335" s="57">
        <v>87</v>
      </c>
      <c r="C335" t="s">
        <v>1274</v>
      </c>
      <c r="D335" t="s">
        <v>40</v>
      </c>
      <c r="E335"/>
      <c r="F335" s="140" t="str">
        <f>IFERROR(VLOOKUP($C335,'NEW MODEL BY SES'!$C$19:$R$242,MATCH('SeS in Retail Sales Areas'!F$7,'NEW MODEL BY SES'!$C$17:$R$17,0),0),"")</f>
        <v/>
      </c>
      <c r="G335" s="140" t="str">
        <f>IFERROR(VLOOKUP($C335,'NEW MODEL BY SES'!$C$19:$R$242,MATCH('SeS in Retail Sales Areas'!G$7,'NEW MODEL BY SES'!$C$17:$R$17,0),0),"")</f>
        <v/>
      </c>
      <c r="H335" s="142" t="str">
        <f>IFERROR(VLOOKUP($C335,'NEW MODEL BY SES'!$C$19:$R$242,MATCH('SeS in Retail Sales Areas'!H$7,'NEW MODEL BY SES'!$C$17:$R$17,0),0),"")</f>
        <v/>
      </c>
      <c r="I335" s="140" t="str">
        <f>IFERROR(VLOOKUP($C335,'NEW MODEL BY SES'!$C$19:$R$242,MATCH('SeS in Retail Sales Areas'!I$7,'NEW MODEL BY SES'!$C$17:$R$17,0),0),"")</f>
        <v/>
      </c>
      <c r="J335" s="142" t="str">
        <f>IFERROR(VLOOKUP($C335,'NEW MODEL BY SES'!$C$19:$R$242,MATCH('SeS in Retail Sales Areas'!J$7,'NEW MODEL BY SES'!$C$17:$R$17,0),0),"")</f>
        <v/>
      </c>
      <c r="K335" s="140" t="str">
        <f>IFERROR(VLOOKUP($C335,'NEW MODEL BY SES'!$C$19:$R$242,MATCH('SeS in Retail Sales Areas'!K$7,'NEW MODEL BY SES'!$C$17:$R$17,0),0),"")</f>
        <v/>
      </c>
      <c r="L335" s="142" t="str">
        <f>IFERROR(VLOOKUP($C335,'NEW MODEL BY SES'!$C$19:$R$242,MATCH('SeS in Retail Sales Areas'!L$7,'NEW MODEL BY SES'!$C$17:$R$17,0),0),"")</f>
        <v/>
      </c>
      <c r="M335" s="140" t="str">
        <f>IFERROR(VLOOKUP($C335,'NEW MODEL BY SES'!$C$19:$R$242,MATCH('SeS in Retail Sales Areas'!M$7,'NEW MODEL BY SES'!$C$17:$R$17,0),0),"")</f>
        <v/>
      </c>
      <c r="N335" s="142" t="str">
        <f>IFERROR(VLOOKUP($C335,'NEW MODEL BY SES'!$C$19:$R$242,MATCH('SeS in Retail Sales Areas'!N$7,'NEW MODEL BY SES'!$C$17:$R$17,0),0),"")</f>
        <v/>
      </c>
      <c r="O335" s="140" t="str">
        <f>IFERROR(VLOOKUP($C335,'NEW MODEL BY SES'!$C$19:$R$242,MATCH('SeS in Retail Sales Areas'!O$7,'NEW MODEL BY SES'!$C$17:$R$17,0),0),"")</f>
        <v/>
      </c>
      <c r="P335" s="142" t="str">
        <f>IFERROR(VLOOKUP($C335,'NEW MODEL BY SES'!$C$19:$R$242,MATCH('SeS in Retail Sales Areas'!P$7,'NEW MODEL BY SES'!$C$17:$R$17,0),0),"")</f>
        <v/>
      </c>
      <c r="Q335" s="140" t="str">
        <f>IFERROR(VLOOKUP($C335,'NEW MODEL BY SES'!$C$19:$R$242,MATCH('SeS in Retail Sales Areas'!Q$7,'NEW MODEL BY SES'!$C$17:$R$17,0),0),"")</f>
        <v/>
      </c>
      <c r="R335" s="142" t="str">
        <f>IFERROR(VLOOKUP($C335,'NEW MODEL BY SES'!$C$19:$R$242,MATCH('SeS in Retail Sales Areas'!R$7,'NEW MODEL BY SES'!$C$17:$R$17,0),0),"")</f>
        <v/>
      </c>
      <c r="S335" s="141" t="str">
        <f>IFERROR(VLOOKUP($C335,'NEW MODEL BY SES'!$C$19:$R$242,MATCH('SeS in Retail Sales Areas'!S$7,'NEW MODEL BY SES'!$C$17:$R$17,0),0),"")</f>
        <v/>
      </c>
      <c r="T335" s="140" t="str">
        <f>IFERROR(VLOOKUP($C335,'NEW MODEL BY SES'!$C$19:$R$242,MATCH('SeS in Retail Sales Areas'!T$7,'NEW MODEL BY SES'!$C$17:$R$17,0),0),"")</f>
        <v/>
      </c>
      <c r="U335" s="142" t="str">
        <f>IFERROR(VLOOKUP($C335,'NEW MODEL BY SES'!$C$19:$R$242,MATCH('SeS in Retail Sales Areas'!U$7,'NEW MODEL BY SES'!$C$17:$R$17,0),0),"")</f>
        <v/>
      </c>
      <c r="V335" s="140" t="str">
        <f>IFERROR(VLOOKUP($C335,'NEW MODEL BY SES'!$C$19:$R$242,MATCH('SeS in Retail Sales Areas'!V$7,'NEW MODEL BY SES'!$C$17:$R$17,0),0),"")</f>
        <v/>
      </c>
      <c r="W335" s="141" t="str">
        <f>IFERROR(VLOOKUP($C335,'NEW MODEL BY SES'!$C$19:$R$242,MATCH('SeS in Retail Sales Areas'!W$7,'NEW MODEL BY SES'!$C$17:$R$17,0),0),"")</f>
        <v/>
      </c>
      <c r="X335" s="140" t="str">
        <f>IFERROR(VLOOKUP($C335,'NEW MODEL BY SES'!$C$19:$R$242,MATCH('SeS in Retail Sales Areas'!X$7,'NEW MODEL BY SES'!$C$17:$R$17,0),0),"")</f>
        <v/>
      </c>
      <c r="Z335" s="57"/>
    </row>
    <row r="336" spans="1:26">
      <c r="A336" t="s">
        <v>1254</v>
      </c>
      <c r="B336" s="57">
        <v>72</v>
      </c>
      <c r="C336" t="s">
        <v>1275</v>
      </c>
      <c r="D336" t="s">
        <v>44</v>
      </c>
      <c r="E336"/>
      <c r="F336" s="140" t="str">
        <f>IFERROR(VLOOKUP($C336,'NEW MODEL BY SES'!$C$19:$R$242,MATCH('SeS in Retail Sales Areas'!F$7,'NEW MODEL BY SES'!$C$17:$R$17,0),0),"")</f>
        <v/>
      </c>
      <c r="G336" s="140" t="str">
        <f>IFERROR(VLOOKUP($C336,'NEW MODEL BY SES'!$C$19:$R$242,MATCH('SeS in Retail Sales Areas'!G$7,'NEW MODEL BY SES'!$C$17:$R$17,0),0),"")</f>
        <v/>
      </c>
      <c r="H336" s="142" t="str">
        <f>IFERROR(VLOOKUP($C336,'NEW MODEL BY SES'!$C$19:$R$242,MATCH('SeS in Retail Sales Areas'!H$7,'NEW MODEL BY SES'!$C$17:$R$17,0),0),"")</f>
        <v/>
      </c>
      <c r="I336" s="140" t="str">
        <f>IFERROR(VLOOKUP($C336,'NEW MODEL BY SES'!$C$19:$R$242,MATCH('SeS in Retail Sales Areas'!I$7,'NEW MODEL BY SES'!$C$17:$R$17,0),0),"")</f>
        <v/>
      </c>
      <c r="J336" s="142" t="str">
        <f>IFERROR(VLOOKUP($C336,'NEW MODEL BY SES'!$C$19:$R$242,MATCH('SeS in Retail Sales Areas'!J$7,'NEW MODEL BY SES'!$C$17:$R$17,0),0),"")</f>
        <v/>
      </c>
      <c r="K336" s="140" t="str">
        <f>IFERROR(VLOOKUP($C336,'NEW MODEL BY SES'!$C$19:$R$242,MATCH('SeS in Retail Sales Areas'!K$7,'NEW MODEL BY SES'!$C$17:$R$17,0),0),"")</f>
        <v/>
      </c>
      <c r="L336" s="142" t="str">
        <f>IFERROR(VLOOKUP($C336,'NEW MODEL BY SES'!$C$19:$R$242,MATCH('SeS in Retail Sales Areas'!L$7,'NEW MODEL BY SES'!$C$17:$R$17,0),0),"")</f>
        <v/>
      </c>
      <c r="M336" s="140" t="str">
        <f>IFERROR(VLOOKUP($C336,'NEW MODEL BY SES'!$C$19:$R$242,MATCH('SeS in Retail Sales Areas'!M$7,'NEW MODEL BY SES'!$C$17:$R$17,0),0),"")</f>
        <v/>
      </c>
      <c r="N336" s="142" t="str">
        <f>IFERROR(VLOOKUP($C336,'NEW MODEL BY SES'!$C$19:$R$242,MATCH('SeS in Retail Sales Areas'!N$7,'NEW MODEL BY SES'!$C$17:$R$17,0),0),"")</f>
        <v/>
      </c>
      <c r="O336" s="140" t="str">
        <f>IFERROR(VLOOKUP($C336,'NEW MODEL BY SES'!$C$19:$R$242,MATCH('SeS in Retail Sales Areas'!O$7,'NEW MODEL BY SES'!$C$17:$R$17,0),0),"")</f>
        <v/>
      </c>
      <c r="P336" s="142" t="str">
        <f>IFERROR(VLOOKUP($C336,'NEW MODEL BY SES'!$C$19:$R$242,MATCH('SeS in Retail Sales Areas'!P$7,'NEW MODEL BY SES'!$C$17:$R$17,0),0),"")</f>
        <v/>
      </c>
      <c r="Q336" s="140" t="str">
        <f>IFERROR(VLOOKUP($C336,'NEW MODEL BY SES'!$C$19:$R$242,MATCH('SeS in Retail Sales Areas'!Q$7,'NEW MODEL BY SES'!$C$17:$R$17,0),0),"")</f>
        <v/>
      </c>
      <c r="R336" s="142" t="str">
        <f>IFERROR(VLOOKUP($C336,'NEW MODEL BY SES'!$C$19:$R$242,MATCH('SeS in Retail Sales Areas'!R$7,'NEW MODEL BY SES'!$C$17:$R$17,0),0),"")</f>
        <v/>
      </c>
      <c r="S336" s="141" t="str">
        <f>IFERROR(VLOOKUP($C336,'NEW MODEL BY SES'!$C$19:$R$242,MATCH('SeS in Retail Sales Areas'!S$7,'NEW MODEL BY SES'!$C$17:$R$17,0),0),"")</f>
        <v/>
      </c>
      <c r="T336" s="140" t="str">
        <f>IFERROR(VLOOKUP($C336,'NEW MODEL BY SES'!$C$19:$R$242,MATCH('SeS in Retail Sales Areas'!T$7,'NEW MODEL BY SES'!$C$17:$R$17,0),0),"")</f>
        <v/>
      </c>
      <c r="U336" s="142" t="str">
        <f>IFERROR(VLOOKUP($C336,'NEW MODEL BY SES'!$C$19:$R$242,MATCH('SeS in Retail Sales Areas'!U$7,'NEW MODEL BY SES'!$C$17:$R$17,0),0),"")</f>
        <v/>
      </c>
      <c r="V336" s="140" t="str">
        <f>IFERROR(VLOOKUP($C336,'NEW MODEL BY SES'!$C$19:$R$242,MATCH('SeS in Retail Sales Areas'!V$7,'NEW MODEL BY SES'!$C$17:$R$17,0),0),"")</f>
        <v/>
      </c>
      <c r="W336" s="141" t="str">
        <f>IFERROR(VLOOKUP($C336,'NEW MODEL BY SES'!$C$19:$R$242,MATCH('SeS in Retail Sales Areas'!W$7,'NEW MODEL BY SES'!$C$17:$R$17,0),0),"")</f>
        <v/>
      </c>
      <c r="X336" s="140" t="str">
        <f>IFERROR(VLOOKUP($C336,'NEW MODEL BY SES'!$C$19:$R$242,MATCH('SeS in Retail Sales Areas'!X$7,'NEW MODEL BY SES'!$C$17:$R$17,0),0),"")</f>
        <v/>
      </c>
      <c r="Z336" s="57"/>
    </row>
    <row r="337" spans="1:26">
      <c r="A337" t="s">
        <v>1254</v>
      </c>
      <c r="B337" s="57">
        <v>63</v>
      </c>
      <c r="C337" t="s">
        <v>1276</v>
      </c>
      <c r="D337" t="s">
        <v>44</v>
      </c>
      <c r="E337"/>
      <c r="F337" s="140" t="str">
        <f>IFERROR(VLOOKUP($C337,'NEW MODEL BY SES'!$C$19:$R$242,MATCH('SeS in Retail Sales Areas'!F$7,'NEW MODEL BY SES'!$C$17:$R$17,0),0),"")</f>
        <v/>
      </c>
      <c r="G337" s="140" t="str">
        <f>IFERROR(VLOOKUP($C337,'NEW MODEL BY SES'!$C$19:$R$242,MATCH('SeS in Retail Sales Areas'!G$7,'NEW MODEL BY SES'!$C$17:$R$17,0),0),"")</f>
        <v/>
      </c>
      <c r="H337" s="142" t="str">
        <f>IFERROR(VLOOKUP($C337,'NEW MODEL BY SES'!$C$19:$R$242,MATCH('SeS in Retail Sales Areas'!H$7,'NEW MODEL BY SES'!$C$17:$R$17,0),0),"")</f>
        <v/>
      </c>
      <c r="I337" s="140" t="str">
        <f>IFERROR(VLOOKUP($C337,'NEW MODEL BY SES'!$C$19:$R$242,MATCH('SeS in Retail Sales Areas'!I$7,'NEW MODEL BY SES'!$C$17:$R$17,0),0),"")</f>
        <v/>
      </c>
      <c r="J337" s="142" t="str">
        <f>IFERROR(VLOOKUP($C337,'NEW MODEL BY SES'!$C$19:$R$242,MATCH('SeS in Retail Sales Areas'!J$7,'NEW MODEL BY SES'!$C$17:$R$17,0),0),"")</f>
        <v/>
      </c>
      <c r="K337" s="140" t="str">
        <f>IFERROR(VLOOKUP($C337,'NEW MODEL BY SES'!$C$19:$R$242,MATCH('SeS in Retail Sales Areas'!K$7,'NEW MODEL BY SES'!$C$17:$R$17,0),0),"")</f>
        <v/>
      </c>
      <c r="L337" s="142" t="str">
        <f>IFERROR(VLOOKUP($C337,'NEW MODEL BY SES'!$C$19:$R$242,MATCH('SeS in Retail Sales Areas'!L$7,'NEW MODEL BY SES'!$C$17:$R$17,0),0),"")</f>
        <v/>
      </c>
      <c r="M337" s="140" t="str">
        <f>IFERROR(VLOOKUP($C337,'NEW MODEL BY SES'!$C$19:$R$242,MATCH('SeS in Retail Sales Areas'!M$7,'NEW MODEL BY SES'!$C$17:$R$17,0),0),"")</f>
        <v/>
      </c>
      <c r="N337" s="142" t="str">
        <f>IFERROR(VLOOKUP($C337,'NEW MODEL BY SES'!$C$19:$R$242,MATCH('SeS in Retail Sales Areas'!N$7,'NEW MODEL BY SES'!$C$17:$R$17,0),0),"")</f>
        <v/>
      </c>
      <c r="O337" s="140" t="str">
        <f>IFERROR(VLOOKUP($C337,'NEW MODEL BY SES'!$C$19:$R$242,MATCH('SeS in Retail Sales Areas'!O$7,'NEW MODEL BY SES'!$C$17:$R$17,0),0),"")</f>
        <v/>
      </c>
      <c r="P337" s="142" t="str">
        <f>IFERROR(VLOOKUP($C337,'NEW MODEL BY SES'!$C$19:$R$242,MATCH('SeS in Retail Sales Areas'!P$7,'NEW MODEL BY SES'!$C$17:$R$17,0),0),"")</f>
        <v/>
      </c>
      <c r="Q337" s="140" t="str">
        <f>IFERROR(VLOOKUP($C337,'NEW MODEL BY SES'!$C$19:$R$242,MATCH('SeS in Retail Sales Areas'!Q$7,'NEW MODEL BY SES'!$C$17:$R$17,0),0),"")</f>
        <v/>
      </c>
      <c r="R337" s="142" t="str">
        <f>IFERROR(VLOOKUP($C337,'NEW MODEL BY SES'!$C$19:$R$242,MATCH('SeS in Retail Sales Areas'!R$7,'NEW MODEL BY SES'!$C$17:$R$17,0),0),"")</f>
        <v/>
      </c>
      <c r="S337" s="141" t="str">
        <f>IFERROR(VLOOKUP($C337,'NEW MODEL BY SES'!$C$19:$R$242,MATCH('SeS in Retail Sales Areas'!S$7,'NEW MODEL BY SES'!$C$17:$R$17,0),0),"")</f>
        <v/>
      </c>
      <c r="T337" s="140" t="str">
        <f>IFERROR(VLOOKUP($C337,'NEW MODEL BY SES'!$C$19:$R$242,MATCH('SeS in Retail Sales Areas'!T$7,'NEW MODEL BY SES'!$C$17:$R$17,0),0),"")</f>
        <v/>
      </c>
      <c r="U337" s="142" t="str">
        <f>IFERROR(VLOOKUP($C337,'NEW MODEL BY SES'!$C$19:$R$242,MATCH('SeS in Retail Sales Areas'!U$7,'NEW MODEL BY SES'!$C$17:$R$17,0),0),"")</f>
        <v/>
      </c>
      <c r="V337" s="140" t="str">
        <f>IFERROR(VLOOKUP($C337,'NEW MODEL BY SES'!$C$19:$R$242,MATCH('SeS in Retail Sales Areas'!V$7,'NEW MODEL BY SES'!$C$17:$R$17,0),0),"")</f>
        <v/>
      </c>
      <c r="W337" s="141" t="str">
        <f>IFERROR(VLOOKUP($C337,'NEW MODEL BY SES'!$C$19:$R$242,MATCH('SeS in Retail Sales Areas'!W$7,'NEW MODEL BY SES'!$C$17:$R$17,0),0),"")</f>
        <v/>
      </c>
      <c r="X337" s="140" t="str">
        <f>IFERROR(VLOOKUP($C337,'NEW MODEL BY SES'!$C$19:$R$242,MATCH('SeS in Retail Sales Areas'!X$7,'NEW MODEL BY SES'!$C$17:$R$17,0),0),"")</f>
        <v/>
      </c>
      <c r="Z337" s="57"/>
    </row>
    <row r="338" spans="1:26">
      <c r="A338" t="s">
        <v>1254</v>
      </c>
      <c r="B338" s="57">
        <v>57</v>
      </c>
      <c r="C338" t="s">
        <v>1277</v>
      </c>
      <c r="D338" t="s">
        <v>44</v>
      </c>
      <c r="E338"/>
      <c r="F338" s="140" t="str">
        <f>IFERROR(VLOOKUP($C338,'NEW MODEL BY SES'!$C$19:$R$242,MATCH('SeS in Retail Sales Areas'!F$7,'NEW MODEL BY SES'!$C$17:$R$17,0),0),"")</f>
        <v/>
      </c>
      <c r="G338" s="140" t="str">
        <f>IFERROR(VLOOKUP($C338,'NEW MODEL BY SES'!$C$19:$R$242,MATCH('SeS in Retail Sales Areas'!G$7,'NEW MODEL BY SES'!$C$17:$R$17,0),0),"")</f>
        <v/>
      </c>
      <c r="H338" s="142" t="str">
        <f>IFERROR(VLOOKUP($C338,'NEW MODEL BY SES'!$C$19:$R$242,MATCH('SeS in Retail Sales Areas'!H$7,'NEW MODEL BY SES'!$C$17:$R$17,0),0),"")</f>
        <v/>
      </c>
      <c r="I338" s="140" t="str">
        <f>IFERROR(VLOOKUP($C338,'NEW MODEL BY SES'!$C$19:$R$242,MATCH('SeS in Retail Sales Areas'!I$7,'NEW MODEL BY SES'!$C$17:$R$17,0),0),"")</f>
        <v/>
      </c>
      <c r="J338" s="142" t="str">
        <f>IFERROR(VLOOKUP($C338,'NEW MODEL BY SES'!$C$19:$R$242,MATCH('SeS in Retail Sales Areas'!J$7,'NEW MODEL BY SES'!$C$17:$R$17,0),0),"")</f>
        <v/>
      </c>
      <c r="K338" s="140" t="str">
        <f>IFERROR(VLOOKUP($C338,'NEW MODEL BY SES'!$C$19:$R$242,MATCH('SeS in Retail Sales Areas'!K$7,'NEW MODEL BY SES'!$C$17:$R$17,0),0),"")</f>
        <v/>
      </c>
      <c r="L338" s="142" t="str">
        <f>IFERROR(VLOOKUP($C338,'NEW MODEL BY SES'!$C$19:$R$242,MATCH('SeS in Retail Sales Areas'!L$7,'NEW MODEL BY SES'!$C$17:$R$17,0),0),"")</f>
        <v/>
      </c>
      <c r="M338" s="140" t="str">
        <f>IFERROR(VLOOKUP($C338,'NEW MODEL BY SES'!$C$19:$R$242,MATCH('SeS in Retail Sales Areas'!M$7,'NEW MODEL BY SES'!$C$17:$R$17,0),0),"")</f>
        <v/>
      </c>
      <c r="N338" s="142" t="str">
        <f>IFERROR(VLOOKUP($C338,'NEW MODEL BY SES'!$C$19:$R$242,MATCH('SeS in Retail Sales Areas'!N$7,'NEW MODEL BY SES'!$C$17:$R$17,0),0),"")</f>
        <v/>
      </c>
      <c r="O338" s="140" t="str">
        <f>IFERROR(VLOOKUP($C338,'NEW MODEL BY SES'!$C$19:$R$242,MATCH('SeS in Retail Sales Areas'!O$7,'NEW MODEL BY SES'!$C$17:$R$17,0),0),"")</f>
        <v/>
      </c>
      <c r="P338" s="142" t="str">
        <f>IFERROR(VLOOKUP($C338,'NEW MODEL BY SES'!$C$19:$R$242,MATCH('SeS in Retail Sales Areas'!P$7,'NEW MODEL BY SES'!$C$17:$R$17,0),0),"")</f>
        <v/>
      </c>
      <c r="Q338" s="140" t="str">
        <f>IFERROR(VLOOKUP($C338,'NEW MODEL BY SES'!$C$19:$R$242,MATCH('SeS in Retail Sales Areas'!Q$7,'NEW MODEL BY SES'!$C$17:$R$17,0),0),"")</f>
        <v/>
      </c>
      <c r="R338" s="142" t="str">
        <f>IFERROR(VLOOKUP($C338,'NEW MODEL BY SES'!$C$19:$R$242,MATCH('SeS in Retail Sales Areas'!R$7,'NEW MODEL BY SES'!$C$17:$R$17,0),0),"")</f>
        <v/>
      </c>
      <c r="S338" s="141" t="str">
        <f>IFERROR(VLOOKUP($C338,'NEW MODEL BY SES'!$C$19:$R$242,MATCH('SeS in Retail Sales Areas'!S$7,'NEW MODEL BY SES'!$C$17:$R$17,0),0),"")</f>
        <v/>
      </c>
      <c r="T338" s="140" t="str">
        <f>IFERROR(VLOOKUP($C338,'NEW MODEL BY SES'!$C$19:$R$242,MATCH('SeS in Retail Sales Areas'!T$7,'NEW MODEL BY SES'!$C$17:$R$17,0),0),"")</f>
        <v/>
      </c>
      <c r="U338" s="142" t="str">
        <f>IFERROR(VLOOKUP($C338,'NEW MODEL BY SES'!$C$19:$R$242,MATCH('SeS in Retail Sales Areas'!U$7,'NEW MODEL BY SES'!$C$17:$R$17,0),0),"")</f>
        <v/>
      </c>
      <c r="V338" s="140" t="str">
        <f>IFERROR(VLOOKUP($C338,'NEW MODEL BY SES'!$C$19:$R$242,MATCH('SeS in Retail Sales Areas'!V$7,'NEW MODEL BY SES'!$C$17:$R$17,0),0),"")</f>
        <v/>
      </c>
      <c r="W338" s="141" t="str">
        <f>IFERROR(VLOOKUP($C338,'NEW MODEL BY SES'!$C$19:$R$242,MATCH('SeS in Retail Sales Areas'!W$7,'NEW MODEL BY SES'!$C$17:$R$17,0),0),"")</f>
        <v/>
      </c>
      <c r="X338" s="140" t="str">
        <f>IFERROR(VLOOKUP($C338,'NEW MODEL BY SES'!$C$19:$R$242,MATCH('SeS in Retail Sales Areas'!X$7,'NEW MODEL BY SES'!$C$17:$R$17,0),0),"")</f>
        <v/>
      </c>
      <c r="Z338" s="57"/>
    </row>
    <row r="339" spans="1:26">
      <c r="A339" t="s">
        <v>1254</v>
      </c>
      <c r="B339" s="57">
        <v>57</v>
      </c>
      <c r="C339" t="s">
        <v>1278</v>
      </c>
      <c r="D339" t="s">
        <v>44</v>
      </c>
      <c r="E339"/>
      <c r="F339" s="140" t="str">
        <f>IFERROR(VLOOKUP($C339,'NEW MODEL BY SES'!$C$19:$R$242,MATCH('SeS in Retail Sales Areas'!F$7,'NEW MODEL BY SES'!$C$17:$R$17,0),0),"")</f>
        <v/>
      </c>
      <c r="G339" s="140" t="str">
        <f>IFERROR(VLOOKUP($C339,'NEW MODEL BY SES'!$C$19:$R$242,MATCH('SeS in Retail Sales Areas'!G$7,'NEW MODEL BY SES'!$C$17:$R$17,0),0),"")</f>
        <v/>
      </c>
      <c r="H339" s="142" t="str">
        <f>IFERROR(VLOOKUP($C339,'NEW MODEL BY SES'!$C$19:$R$242,MATCH('SeS in Retail Sales Areas'!H$7,'NEW MODEL BY SES'!$C$17:$R$17,0),0),"")</f>
        <v/>
      </c>
      <c r="I339" s="140" t="str">
        <f>IFERROR(VLOOKUP($C339,'NEW MODEL BY SES'!$C$19:$R$242,MATCH('SeS in Retail Sales Areas'!I$7,'NEW MODEL BY SES'!$C$17:$R$17,0),0),"")</f>
        <v/>
      </c>
      <c r="J339" s="142" t="str">
        <f>IFERROR(VLOOKUP($C339,'NEW MODEL BY SES'!$C$19:$R$242,MATCH('SeS in Retail Sales Areas'!J$7,'NEW MODEL BY SES'!$C$17:$R$17,0),0),"")</f>
        <v/>
      </c>
      <c r="K339" s="140" t="str">
        <f>IFERROR(VLOOKUP($C339,'NEW MODEL BY SES'!$C$19:$R$242,MATCH('SeS in Retail Sales Areas'!K$7,'NEW MODEL BY SES'!$C$17:$R$17,0),0),"")</f>
        <v/>
      </c>
      <c r="L339" s="142" t="str">
        <f>IFERROR(VLOOKUP($C339,'NEW MODEL BY SES'!$C$19:$R$242,MATCH('SeS in Retail Sales Areas'!L$7,'NEW MODEL BY SES'!$C$17:$R$17,0),0),"")</f>
        <v/>
      </c>
      <c r="M339" s="140" t="str">
        <f>IFERROR(VLOOKUP($C339,'NEW MODEL BY SES'!$C$19:$R$242,MATCH('SeS in Retail Sales Areas'!M$7,'NEW MODEL BY SES'!$C$17:$R$17,0),0),"")</f>
        <v/>
      </c>
      <c r="N339" s="142" t="str">
        <f>IFERROR(VLOOKUP($C339,'NEW MODEL BY SES'!$C$19:$R$242,MATCH('SeS in Retail Sales Areas'!N$7,'NEW MODEL BY SES'!$C$17:$R$17,0),0),"")</f>
        <v/>
      </c>
      <c r="O339" s="140" t="str">
        <f>IFERROR(VLOOKUP($C339,'NEW MODEL BY SES'!$C$19:$R$242,MATCH('SeS in Retail Sales Areas'!O$7,'NEW MODEL BY SES'!$C$17:$R$17,0),0),"")</f>
        <v/>
      </c>
      <c r="P339" s="142" t="str">
        <f>IFERROR(VLOOKUP($C339,'NEW MODEL BY SES'!$C$19:$R$242,MATCH('SeS in Retail Sales Areas'!P$7,'NEW MODEL BY SES'!$C$17:$R$17,0),0),"")</f>
        <v/>
      </c>
      <c r="Q339" s="140" t="str">
        <f>IFERROR(VLOOKUP($C339,'NEW MODEL BY SES'!$C$19:$R$242,MATCH('SeS in Retail Sales Areas'!Q$7,'NEW MODEL BY SES'!$C$17:$R$17,0),0),"")</f>
        <v/>
      </c>
      <c r="R339" s="142" t="str">
        <f>IFERROR(VLOOKUP($C339,'NEW MODEL BY SES'!$C$19:$R$242,MATCH('SeS in Retail Sales Areas'!R$7,'NEW MODEL BY SES'!$C$17:$R$17,0),0),"")</f>
        <v/>
      </c>
      <c r="S339" s="141" t="str">
        <f>IFERROR(VLOOKUP($C339,'NEW MODEL BY SES'!$C$19:$R$242,MATCH('SeS in Retail Sales Areas'!S$7,'NEW MODEL BY SES'!$C$17:$R$17,0),0),"")</f>
        <v/>
      </c>
      <c r="T339" s="140" t="str">
        <f>IFERROR(VLOOKUP($C339,'NEW MODEL BY SES'!$C$19:$R$242,MATCH('SeS in Retail Sales Areas'!T$7,'NEW MODEL BY SES'!$C$17:$R$17,0),0),"")</f>
        <v/>
      </c>
      <c r="U339" s="142" t="str">
        <f>IFERROR(VLOOKUP($C339,'NEW MODEL BY SES'!$C$19:$R$242,MATCH('SeS in Retail Sales Areas'!U$7,'NEW MODEL BY SES'!$C$17:$R$17,0),0),"")</f>
        <v/>
      </c>
      <c r="V339" s="140" t="str">
        <f>IFERROR(VLOOKUP($C339,'NEW MODEL BY SES'!$C$19:$R$242,MATCH('SeS in Retail Sales Areas'!V$7,'NEW MODEL BY SES'!$C$17:$R$17,0),0),"")</f>
        <v/>
      </c>
      <c r="W339" s="141" t="str">
        <f>IFERROR(VLOOKUP($C339,'NEW MODEL BY SES'!$C$19:$R$242,MATCH('SeS in Retail Sales Areas'!W$7,'NEW MODEL BY SES'!$C$17:$R$17,0),0),"")</f>
        <v/>
      </c>
      <c r="X339" s="140" t="str">
        <f>IFERROR(VLOOKUP($C339,'NEW MODEL BY SES'!$C$19:$R$242,MATCH('SeS in Retail Sales Areas'!X$7,'NEW MODEL BY SES'!$C$17:$R$17,0),0),"")</f>
        <v/>
      </c>
      <c r="Z339" s="57"/>
    </row>
    <row r="340" spans="1:26">
      <c r="A340" t="s">
        <v>1254</v>
      </c>
      <c r="B340" s="57">
        <v>52</v>
      </c>
      <c r="C340" t="s">
        <v>1279</v>
      </c>
      <c r="D340" t="s">
        <v>44</v>
      </c>
      <c r="E340"/>
      <c r="F340" s="140" t="str">
        <f>IFERROR(VLOOKUP($C340,'NEW MODEL BY SES'!$C$19:$R$242,MATCH('SeS in Retail Sales Areas'!F$7,'NEW MODEL BY SES'!$C$17:$R$17,0),0),"")</f>
        <v/>
      </c>
      <c r="G340" s="140" t="str">
        <f>IFERROR(VLOOKUP($C340,'NEW MODEL BY SES'!$C$19:$R$242,MATCH('SeS in Retail Sales Areas'!G$7,'NEW MODEL BY SES'!$C$17:$R$17,0),0),"")</f>
        <v/>
      </c>
      <c r="H340" s="142" t="str">
        <f>IFERROR(VLOOKUP($C340,'NEW MODEL BY SES'!$C$19:$R$242,MATCH('SeS in Retail Sales Areas'!H$7,'NEW MODEL BY SES'!$C$17:$R$17,0),0),"")</f>
        <v/>
      </c>
      <c r="I340" s="140" t="str">
        <f>IFERROR(VLOOKUP($C340,'NEW MODEL BY SES'!$C$19:$R$242,MATCH('SeS in Retail Sales Areas'!I$7,'NEW MODEL BY SES'!$C$17:$R$17,0),0),"")</f>
        <v/>
      </c>
      <c r="J340" s="142" t="str">
        <f>IFERROR(VLOOKUP($C340,'NEW MODEL BY SES'!$C$19:$R$242,MATCH('SeS in Retail Sales Areas'!J$7,'NEW MODEL BY SES'!$C$17:$R$17,0),0),"")</f>
        <v/>
      </c>
      <c r="K340" s="140" t="str">
        <f>IFERROR(VLOOKUP($C340,'NEW MODEL BY SES'!$C$19:$R$242,MATCH('SeS in Retail Sales Areas'!K$7,'NEW MODEL BY SES'!$C$17:$R$17,0),0),"")</f>
        <v/>
      </c>
      <c r="L340" s="142" t="str">
        <f>IFERROR(VLOOKUP($C340,'NEW MODEL BY SES'!$C$19:$R$242,MATCH('SeS in Retail Sales Areas'!L$7,'NEW MODEL BY SES'!$C$17:$R$17,0),0),"")</f>
        <v/>
      </c>
      <c r="M340" s="140" t="str">
        <f>IFERROR(VLOOKUP($C340,'NEW MODEL BY SES'!$C$19:$R$242,MATCH('SeS in Retail Sales Areas'!M$7,'NEW MODEL BY SES'!$C$17:$R$17,0),0),"")</f>
        <v/>
      </c>
      <c r="N340" s="142" t="str">
        <f>IFERROR(VLOOKUP($C340,'NEW MODEL BY SES'!$C$19:$R$242,MATCH('SeS in Retail Sales Areas'!N$7,'NEW MODEL BY SES'!$C$17:$R$17,0),0),"")</f>
        <v/>
      </c>
      <c r="O340" s="140" t="str">
        <f>IFERROR(VLOOKUP($C340,'NEW MODEL BY SES'!$C$19:$R$242,MATCH('SeS in Retail Sales Areas'!O$7,'NEW MODEL BY SES'!$C$17:$R$17,0),0),"")</f>
        <v/>
      </c>
      <c r="P340" s="142" t="str">
        <f>IFERROR(VLOOKUP($C340,'NEW MODEL BY SES'!$C$19:$R$242,MATCH('SeS in Retail Sales Areas'!P$7,'NEW MODEL BY SES'!$C$17:$R$17,0),0),"")</f>
        <v/>
      </c>
      <c r="Q340" s="140" t="str">
        <f>IFERROR(VLOOKUP($C340,'NEW MODEL BY SES'!$C$19:$R$242,MATCH('SeS in Retail Sales Areas'!Q$7,'NEW MODEL BY SES'!$C$17:$R$17,0),0),"")</f>
        <v/>
      </c>
      <c r="R340" s="142" t="str">
        <f>IFERROR(VLOOKUP($C340,'NEW MODEL BY SES'!$C$19:$R$242,MATCH('SeS in Retail Sales Areas'!R$7,'NEW MODEL BY SES'!$C$17:$R$17,0),0),"")</f>
        <v/>
      </c>
      <c r="S340" s="141" t="str">
        <f>IFERROR(VLOOKUP($C340,'NEW MODEL BY SES'!$C$19:$R$242,MATCH('SeS in Retail Sales Areas'!S$7,'NEW MODEL BY SES'!$C$17:$R$17,0),0),"")</f>
        <v/>
      </c>
      <c r="T340" s="140" t="str">
        <f>IFERROR(VLOOKUP($C340,'NEW MODEL BY SES'!$C$19:$R$242,MATCH('SeS in Retail Sales Areas'!T$7,'NEW MODEL BY SES'!$C$17:$R$17,0),0),"")</f>
        <v/>
      </c>
      <c r="U340" s="142" t="str">
        <f>IFERROR(VLOOKUP($C340,'NEW MODEL BY SES'!$C$19:$R$242,MATCH('SeS in Retail Sales Areas'!U$7,'NEW MODEL BY SES'!$C$17:$R$17,0),0),"")</f>
        <v/>
      </c>
      <c r="V340" s="140" t="str">
        <f>IFERROR(VLOOKUP($C340,'NEW MODEL BY SES'!$C$19:$R$242,MATCH('SeS in Retail Sales Areas'!V$7,'NEW MODEL BY SES'!$C$17:$R$17,0),0),"")</f>
        <v/>
      </c>
      <c r="W340" s="141" t="str">
        <f>IFERROR(VLOOKUP($C340,'NEW MODEL BY SES'!$C$19:$R$242,MATCH('SeS in Retail Sales Areas'!W$7,'NEW MODEL BY SES'!$C$17:$R$17,0),0),"")</f>
        <v/>
      </c>
      <c r="X340" s="140" t="str">
        <f>IFERROR(VLOOKUP($C340,'NEW MODEL BY SES'!$C$19:$R$242,MATCH('SeS in Retail Sales Areas'!X$7,'NEW MODEL BY SES'!$C$17:$R$17,0),0),"")</f>
        <v/>
      </c>
      <c r="Z340" s="57"/>
    </row>
    <row r="341" spans="1:26">
      <c r="A341" t="s">
        <v>1280</v>
      </c>
      <c r="B341" s="57">
        <v>184</v>
      </c>
      <c r="C341" t="s">
        <v>1281</v>
      </c>
      <c r="D341" t="s">
        <v>33</v>
      </c>
      <c r="E341"/>
      <c r="F341" s="140" t="str">
        <f>IFERROR(VLOOKUP($C341,'NEW MODEL BY SES'!$C$19:$R$242,MATCH('SeS in Retail Sales Areas'!F$7,'NEW MODEL BY SES'!$C$17:$R$17,0),0),"")</f>
        <v/>
      </c>
      <c r="G341" s="140" t="str">
        <f>IFERROR(VLOOKUP($C341,'NEW MODEL BY SES'!$C$19:$R$242,MATCH('SeS in Retail Sales Areas'!G$7,'NEW MODEL BY SES'!$C$17:$R$17,0),0),"")</f>
        <v/>
      </c>
      <c r="H341" s="142" t="str">
        <f>IFERROR(VLOOKUP($C341,'NEW MODEL BY SES'!$C$19:$R$242,MATCH('SeS in Retail Sales Areas'!H$7,'NEW MODEL BY SES'!$C$17:$R$17,0),0),"")</f>
        <v/>
      </c>
      <c r="I341" s="140" t="str">
        <f>IFERROR(VLOOKUP($C341,'NEW MODEL BY SES'!$C$19:$R$242,MATCH('SeS in Retail Sales Areas'!I$7,'NEW MODEL BY SES'!$C$17:$R$17,0),0),"")</f>
        <v/>
      </c>
      <c r="J341" s="142" t="str">
        <f>IFERROR(VLOOKUP($C341,'NEW MODEL BY SES'!$C$19:$R$242,MATCH('SeS in Retail Sales Areas'!J$7,'NEW MODEL BY SES'!$C$17:$R$17,0),0),"")</f>
        <v/>
      </c>
      <c r="K341" s="140" t="str">
        <f>IFERROR(VLOOKUP($C341,'NEW MODEL BY SES'!$C$19:$R$242,MATCH('SeS in Retail Sales Areas'!K$7,'NEW MODEL BY SES'!$C$17:$R$17,0),0),"")</f>
        <v/>
      </c>
      <c r="L341" s="142" t="str">
        <f>IFERROR(VLOOKUP($C341,'NEW MODEL BY SES'!$C$19:$R$242,MATCH('SeS in Retail Sales Areas'!L$7,'NEW MODEL BY SES'!$C$17:$R$17,0),0),"")</f>
        <v/>
      </c>
      <c r="M341" s="140" t="str">
        <f>IFERROR(VLOOKUP($C341,'NEW MODEL BY SES'!$C$19:$R$242,MATCH('SeS in Retail Sales Areas'!M$7,'NEW MODEL BY SES'!$C$17:$R$17,0),0),"")</f>
        <v/>
      </c>
      <c r="N341" s="142" t="str">
        <f>IFERROR(VLOOKUP($C341,'NEW MODEL BY SES'!$C$19:$R$242,MATCH('SeS in Retail Sales Areas'!N$7,'NEW MODEL BY SES'!$C$17:$R$17,0),0),"")</f>
        <v/>
      </c>
      <c r="O341" s="140" t="str">
        <f>IFERROR(VLOOKUP($C341,'NEW MODEL BY SES'!$C$19:$R$242,MATCH('SeS in Retail Sales Areas'!O$7,'NEW MODEL BY SES'!$C$17:$R$17,0),0),"")</f>
        <v/>
      </c>
      <c r="P341" s="142" t="str">
        <f>IFERROR(VLOOKUP($C341,'NEW MODEL BY SES'!$C$19:$R$242,MATCH('SeS in Retail Sales Areas'!P$7,'NEW MODEL BY SES'!$C$17:$R$17,0),0),"")</f>
        <v/>
      </c>
      <c r="Q341" s="140" t="str">
        <f>IFERROR(VLOOKUP($C341,'NEW MODEL BY SES'!$C$19:$R$242,MATCH('SeS in Retail Sales Areas'!Q$7,'NEW MODEL BY SES'!$C$17:$R$17,0),0),"")</f>
        <v/>
      </c>
      <c r="R341" s="142" t="str">
        <f>IFERROR(VLOOKUP($C341,'NEW MODEL BY SES'!$C$19:$R$242,MATCH('SeS in Retail Sales Areas'!R$7,'NEW MODEL BY SES'!$C$17:$R$17,0),0),"")</f>
        <v/>
      </c>
      <c r="S341" s="141" t="str">
        <f>IFERROR(VLOOKUP($C341,'NEW MODEL BY SES'!$C$19:$R$242,MATCH('SeS in Retail Sales Areas'!S$7,'NEW MODEL BY SES'!$C$17:$R$17,0),0),"")</f>
        <v/>
      </c>
      <c r="T341" s="140" t="str">
        <f>IFERROR(VLOOKUP($C341,'NEW MODEL BY SES'!$C$19:$R$242,MATCH('SeS in Retail Sales Areas'!T$7,'NEW MODEL BY SES'!$C$17:$R$17,0),0),"")</f>
        <v/>
      </c>
      <c r="U341" s="142" t="str">
        <f>IFERROR(VLOOKUP($C341,'NEW MODEL BY SES'!$C$19:$R$242,MATCH('SeS in Retail Sales Areas'!U$7,'NEW MODEL BY SES'!$C$17:$R$17,0),0),"")</f>
        <v/>
      </c>
      <c r="V341" s="140" t="str">
        <f>IFERROR(VLOOKUP($C341,'NEW MODEL BY SES'!$C$19:$R$242,MATCH('SeS in Retail Sales Areas'!V$7,'NEW MODEL BY SES'!$C$17:$R$17,0),0),"")</f>
        <v/>
      </c>
      <c r="W341" s="141" t="str">
        <f>IFERROR(VLOOKUP($C341,'NEW MODEL BY SES'!$C$19:$R$242,MATCH('SeS in Retail Sales Areas'!W$7,'NEW MODEL BY SES'!$C$17:$R$17,0),0),"")</f>
        <v/>
      </c>
      <c r="X341" s="140" t="str">
        <f>IFERROR(VLOOKUP($C341,'NEW MODEL BY SES'!$C$19:$R$242,MATCH('SeS in Retail Sales Areas'!X$7,'NEW MODEL BY SES'!$C$17:$R$17,0),0),"")</f>
        <v/>
      </c>
      <c r="Z341" s="57"/>
    </row>
    <row r="342" spans="1:26">
      <c r="A342" t="s">
        <v>1280</v>
      </c>
      <c r="B342" s="57">
        <v>145</v>
      </c>
      <c r="C342" t="s">
        <v>1282</v>
      </c>
      <c r="D342" t="s">
        <v>38</v>
      </c>
      <c r="E342"/>
      <c r="F342" s="140" t="str">
        <f>IFERROR(VLOOKUP($C342,'NEW MODEL BY SES'!$C$19:$R$242,MATCH('SeS in Retail Sales Areas'!F$7,'NEW MODEL BY SES'!$C$17:$R$17,0),0),"")</f>
        <v/>
      </c>
      <c r="G342" s="140" t="str">
        <f>IFERROR(VLOOKUP($C342,'NEW MODEL BY SES'!$C$19:$R$242,MATCH('SeS in Retail Sales Areas'!G$7,'NEW MODEL BY SES'!$C$17:$R$17,0),0),"")</f>
        <v/>
      </c>
      <c r="H342" s="142" t="str">
        <f>IFERROR(VLOOKUP($C342,'NEW MODEL BY SES'!$C$19:$R$242,MATCH('SeS in Retail Sales Areas'!H$7,'NEW MODEL BY SES'!$C$17:$R$17,0),0),"")</f>
        <v/>
      </c>
      <c r="I342" s="140" t="str">
        <f>IFERROR(VLOOKUP($C342,'NEW MODEL BY SES'!$C$19:$R$242,MATCH('SeS in Retail Sales Areas'!I$7,'NEW MODEL BY SES'!$C$17:$R$17,0),0),"")</f>
        <v/>
      </c>
      <c r="J342" s="142" t="str">
        <f>IFERROR(VLOOKUP($C342,'NEW MODEL BY SES'!$C$19:$R$242,MATCH('SeS in Retail Sales Areas'!J$7,'NEW MODEL BY SES'!$C$17:$R$17,0),0),"")</f>
        <v/>
      </c>
      <c r="K342" s="140" t="str">
        <f>IFERROR(VLOOKUP($C342,'NEW MODEL BY SES'!$C$19:$R$242,MATCH('SeS in Retail Sales Areas'!K$7,'NEW MODEL BY SES'!$C$17:$R$17,0),0),"")</f>
        <v/>
      </c>
      <c r="L342" s="142" t="str">
        <f>IFERROR(VLOOKUP($C342,'NEW MODEL BY SES'!$C$19:$R$242,MATCH('SeS in Retail Sales Areas'!L$7,'NEW MODEL BY SES'!$C$17:$R$17,0),0),"")</f>
        <v/>
      </c>
      <c r="M342" s="140" t="str">
        <f>IFERROR(VLOOKUP($C342,'NEW MODEL BY SES'!$C$19:$R$242,MATCH('SeS in Retail Sales Areas'!M$7,'NEW MODEL BY SES'!$C$17:$R$17,0),0),"")</f>
        <v/>
      </c>
      <c r="N342" s="142" t="str">
        <f>IFERROR(VLOOKUP($C342,'NEW MODEL BY SES'!$C$19:$R$242,MATCH('SeS in Retail Sales Areas'!N$7,'NEW MODEL BY SES'!$C$17:$R$17,0),0),"")</f>
        <v/>
      </c>
      <c r="O342" s="140" t="str">
        <f>IFERROR(VLOOKUP($C342,'NEW MODEL BY SES'!$C$19:$R$242,MATCH('SeS in Retail Sales Areas'!O$7,'NEW MODEL BY SES'!$C$17:$R$17,0),0),"")</f>
        <v/>
      </c>
      <c r="P342" s="142" t="str">
        <f>IFERROR(VLOOKUP($C342,'NEW MODEL BY SES'!$C$19:$R$242,MATCH('SeS in Retail Sales Areas'!P$7,'NEW MODEL BY SES'!$C$17:$R$17,0),0),"")</f>
        <v/>
      </c>
      <c r="Q342" s="140" t="str">
        <f>IFERROR(VLOOKUP($C342,'NEW MODEL BY SES'!$C$19:$R$242,MATCH('SeS in Retail Sales Areas'!Q$7,'NEW MODEL BY SES'!$C$17:$R$17,0),0),"")</f>
        <v/>
      </c>
      <c r="R342" s="142" t="str">
        <f>IFERROR(VLOOKUP($C342,'NEW MODEL BY SES'!$C$19:$R$242,MATCH('SeS in Retail Sales Areas'!R$7,'NEW MODEL BY SES'!$C$17:$R$17,0),0),"")</f>
        <v/>
      </c>
      <c r="S342" s="141" t="str">
        <f>IFERROR(VLOOKUP($C342,'NEW MODEL BY SES'!$C$19:$R$242,MATCH('SeS in Retail Sales Areas'!S$7,'NEW MODEL BY SES'!$C$17:$R$17,0),0),"")</f>
        <v/>
      </c>
      <c r="T342" s="140" t="str">
        <f>IFERROR(VLOOKUP($C342,'NEW MODEL BY SES'!$C$19:$R$242,MATCH('SeS in Retail Sales Areas'!T$7,'NEW MODEL BY SES'!$C$17:$R$17,0),0),"")</f>
        <v/>
      </c>
      <c r="U342" s="142" t="str">
        <f>IFERROR(VLOOKUP($C342,'NEW MODEL BY SES'!$C$19:$R$242,MATCH('SeS in Retail Sales Areas'!U$7,'NEW MODEL BY SES'!$C$17:$R$17,0),0),"")</f>
        <v/>
      </c>
      <c r="V342" s="140" t="str">
        <f>IFERROR(VLOOKUP($C342,'NEW MODEL BY SES'!$C$19:$R$242,MATCH('SeS in Retail Sales Areas'!V$7,'NEW MODEL BY SES'!$C$17:$R$17,0),0),"")</f>
        <v/>
      </c>
      <c r="W342" s="141" t="str">
        <f>IFERROR(VLOOKUP($C342,'NEW MODEL BY SES'!$C$19:$R$242,MATCH('SeS in Retail Sales Areas'!W$7,'NEW MODEL BY SES'!$C$17:$R$17,0),0),"")</f>
        <v/>
      </c>
      <c r="X342" s="140" t="str">
        <f>IFERROR(VLOOKUP($C342,'NEW MODEL BY SES'!$C$19:$R$242,MATCH('SeS in Retail Sales Areas'!X$7,'NEW MODEL BY SES'!$C$17:$R$17,0),0),"")</f>
        <v/>
      </c>
      <c r="Z342" s="57"/>
    </row>
    <row r="343" spans="1:26">
      <c r="A343" t="s">
        <v>1280</v>
      </c>
      <c r="B343" s="57">
        <v>143</v>
      </c>
      <c r="C343" t="s">
        <v>1283</v>
      </c>
      <c r="D343" t="s">
        <v>38</v>
      </c>
      <c r="E343"/>
      <c r="F343" s="140" t="str">
        <f>IFERROR(VLOOKUP($C343,'NEW MODEL BY SES'!$C$19:$R$242,MATCH('SeS in Retail Sales Areas'!F$7,'NEW MODEL BY SES'!$C$17:$R$17,0),0),"")</f>
        <v/>
      </c>
      <c r="G343" s="140" t="str">
        <f>IFERROR(VLOOKUP($C343,'NEW MODEL BY SES'!$C$19:$R$242,MATCH('SeS in Retail Sales Areas'!G$7,'NEW MODEL BY SES'!$C$17:$R$17,0),0),"")</f>
        <v/>
      </c>
      <c r="H343" s="142" t="str">
        <f>IFERROR(VLOOKUP($C343,'NEW MODEL BY SES'!$C$19:$R$242,MATCH('SeS in Retail Sales Areas'!H$7,'NEW MODEL BY SES'!$C$17:$R$17,0),0),"")</f>
        <v/>
      </c>
      <c r="I343" s="140" t="str">
        <f>IFERROR(VLOOKUP($C343,'NEW MODEL BY SES'!$C$19:$R$242,MATCH('SeS in Retail Sales Areas'!I$7,'NEW MODEL BY SES'!$C$17:$R$17,0),0),"")</f>
        <v/>
      </c>
      <c r="J343" s="142" t="str">
        <f>IFERROR(VLOOKUP($C343,'NEW MODEL BY SES'!$C$19:$R$242,MATCH('SeS in Retail Sales Areas'!J$7,'NEW MODEL BY SES'!$C$17:$R$17,0),0),"")</f>
        <v/>
      </c>
      <c r="K343" s="140" t="str">
        <f>IFERROR(VLOOKUP($C343,'NEW MODEL BY SES'!$C$19:$R$242,MATCH('SeS in Retail Sales Areas'!K$7,'NEW MODEL BY SES'!$C$17:$R$17,0),0),"")</f>
        <v/>
      </c>
      <c r="L343" s="142" t="str">
        <f>IFERROR(VLOOKUP($C343,'NEW MODEL BY SES'!$C$19:$R$242,MATCH('SeS in Retail Sales Areas'!L$7,'NEW MODEL BY SES'!$C$17:$R$17,0),0),"")</f>
        <v/>
      </c>
      <c r="M343" s="140" t="str">
        <f>IFERROR(VLOOKUP($C343,'NEW MODEL BY SES'!$C$19:$R$242,MATCH('SeS in Retail Sales Areas'!M$7,'NEW MODEL BY SES'!$C$17:$R$17,0),0),"")</f>
        <v/>
      </c>
      <c r="N343" s="142" t="str">
        <f>IFERROR(VLOOKUP($C343,'NEW MODEL BY SES'!$C$19:$R$242,MATCH('SeS in Retail Sales Areas'!N$7,'NEW MODEL BY SES'!$C$17:$R$17,0),0),"")</f>
        <v/>
      </c>
      <c r="O343" s="140" t="str">
        <f>IFERROR(VLOOKUP($C343,'NEW MODEL BY SES'!$C$19:$R$242,MATCH('SeS in Retail Sales Areas'!O$7,'NEW MODEL BY SES'!$C$17:$R$17,0),0),"")</f>
        <v/>
      </c>
      <c r="P343" s="142" t="str">
        <f>IFERROR(VLOOKUP($C343,'NEW MODEL BY SES'!$C$19:$R$242,MATCH('SeS in Retail Sales Areas'!P$7,'NEW MODEL BY SES'!$C$17:$R$17,0),0),"")</f>
        <v/>
      </c>
      <c r="Q343" s="140" t="str">
        <f>IFERROR(VLOOKUP($C343,'NEW MODEL BY SES'!$C$19:$R$242,MATCH('SeS in Retail Sales Areas'!Q$7,'NEW MODEL BY SES'!$C$17:$R$17,0),0),"")</f>
        <v/>
      </c>
      <c r="R343" s="142" t="str">
        <f>IFERROR(VLOOKUP($C343,'NEW MODEL BY SES'!$C$19:$R$242,MATCH('SeS in Retail Sales Areas'!R$7,'NEW MODEL BY SES'!$C$17:$R$17,0),0),"")</f>
        <v/>
      </c>
      <c r="S343" s="141" t="str">
        <f>IFERROR(VLOOKUP($C343,'NEW MODEL BY SES'!$C$19:$R$242,MATCH('SeS in Retail Sales Areas'!S$7,'NEW MODEL BY SES'!$C$17:$R$17,0),0),"")</f>
        <v/>
      </c>
      <c r="T343" s="140" t="str">
        <f>IFERROR(VLOOKUP($C343,'NEW MODEL BY SES'!$C$19:$R$242,MATCH('SeS in Retail Sales Areas'!T$7,'NEW MODEL BY SES'!$C$17:$R$17,0),0),"")</f>
        <v/>
      </c>
      <c r="U343" s="142" t="str">
        <f>IFERROR(VLOOKUP($C343,'NEW MODEL BY SES'!$C$19:$R$242,MATCH('SeS in Retail Sales Areas'!U$7,'NEW MODEL BY SES'!$C$17:$R$17,0),0),"")</f>
        <v/>
      </c>
      <c r="V343" s="140" t="str">
        <f>IFERROR(VLOOKUP($C343,'NEW MODEL BY SES'!$C$19:$R$242,MATCH('SeS in Retail Sales Areas'!V$7,'NEW MODEL BY SES'!$C$17:$R$17,0),0),"")</f>
        <v/>
      </c>
      <c r="W343" s="141" t="str">
        <f>IFERROR(VLOOKUP($C343,'NEW MODEL BY SES'!$C$19:$R$242,MATCH('SeS in Retail Sales Areas'!W$7,'NEW MODEL BY SES'!$C$17:$R$17,0),0),"")</f>
        <v/>
      </c>
      <c r="X343" s="140" t="str">
        <f>IFERROR(VLOOKUP($C343,'NEW MODEL BY SES'!$C$19:$R$242,MATCH('SeS in Retail Sales Areas'!X$7,'NEW MODEL BY SES'!$C$17:$R$17,0),0),"")</f>
        <v/>
      </c>
      <c r="Z343" s="57"/>
    </row>
    <row r="344" spans="1:26">
      <c r="A344" t="s">
        <v>1280</v>
      </c>
      <c r="B344" s="57">
        <v>143</v>
      </c>
      <c r="C344" t="s">
        <v>1284</v>
      </c>
      <c r="D344" t="s">
        <v>38</v>
      </c>
      <c r="E344"/>
      <c r="F344" s="140" t="str">
        <f>IFERROR(VLOOKUP($C344,'NEW MODEL BY SES'!$C$19:$R$242,MATCH('SeS in Retail Sales Areas'!F$7,'NEW MODEL BY SES'!$C$17:$R$17,0),0),"")</f>
        <v/>
      </c>
      <c r="G344" s="140" t="str">
        <f>IFERROR(VLOOKUP($C344,'NEW MODEL BY SES'!$C$19:$R$242,MATCH('SeS in Retail Sales Areas'!G$7,'NEW MODEL BY SES'!$C$17:$R$17,0),0),"")</f>
        <v/>
      </c>
      <c r="H344" s="142" t="str">
        <f>IFERROR(VLOOKUP($C344,'NEW MODEL BY SES'!$C$19:$R$242,MATCH('SeS in Retail Sales Areas'!H$7,'NEW MODEL BY SES'!$C$17:$R$17,0),0),"")</f>
        <v/>
      </c>
      <c r="I344" s="140" t="str">
        <f>IFERROR(VLOOKUP($C344,'NEW MODEL BY SES'!$C$19:$R$242,MATCH('SeS in Retail Sales Areas'!I$7,'NEW MODEL BY SES'!$C$17:$R$17,0),0),"")</f>
        <v/>
      </c>
      <c r="J344" s="142" t="str">
        <f>IFERROR(VLOOKUP($C344,'NEW MODEL BY SES'!$C$19:$R$242,MATCH('SeS in Retail Sales Areas'!J$7,'NEW MODEL BY SES'!$C$17:$R$17,0),0),"")</f>
        <v/>
      </c>
      <c r="K344" s="140" t="str">
        <f>IFERROR(VLOOKUP($C344,'NEW MODEL BY SES'!$C$19:$R$242,MATCH('SeS in Retail Sales Areas'!K$7,'NEW MODEL BY SES'!$C$17:$R$17,0),0),"")</f>
        <v/>
      </c>
      <c r="L344" s="142" t="str">
        <f>IFERROR(VLOOKUP($C344,'NEW MODEL BY SES'!$C$19:$R$242,MATCH('SeS in Retail Sales Areas'!L$7,'NEW MODEL BY SES'!$C$17:$R$17,0),0),"")</f>
        <v/>
      </c>
      <c r="M344" s="140" t="str">
        <f>IFERROR(VLOOKUP($C344,'NEW MODEL BY SES'!$C$19:$R$242,MATCH('SeS in Retail Sales Areas'!M$7,'NEW MODEL BY SES'!$C$17:$R$17,0),0),"")</f>
        <v/>
      </c>
      <c r="N344" s="142" t="str">
        <f>IFERROR(VLOOKUP($C344,'NEW MODEL BY SES'!$C$19:$R$242,MATCH('SeS in Retail Sales Areas'!N$7,'NEW MODEL BY SES'!$C$17:$R$17,0),0),"")</f>
        <v/>
      </c>
      <c r="O344" s="140" t="str">
        <f>IFERROR(VLOOKUP($C344,'NEW MODEL BY SES'!$C$19:$R$242,MATCH('SeS in Retail Sales Areas'!O$7,'NEW MODEL BY SES'!$C$17:$R$17,0),0),"")</f>
        <v/>
      </c>
      <c r="P344" s="142" t="str">
        <f>IFERROR(VLOOKUP($C344,'NEW MODEL BY SES'!$C$19:$R$242,MATCH('SeS in Retail Sales Areas'!P$7,'NEW MODEL BY SES'!$C$17:$R$17,0),0),"")</f>
        <v/>
      </c>
      <c r="Q344" s="140" t="str">
        <f>IFERROR(VLOOKUP($C344,'NEW MODEL BY SES'!$C$19:$R$242,MATCH('SeS in Retail Sales Areas'!Q$7,'NEW MODEL BY SES'!$C$17:$R$17,0),0),"")</f>
        <v/>
      </c>
      <c r="R344" s="142" t="str">
        <f>IFERROR(VLOOKUP($C344,'NEW MODEL BY SES'!$C$19:$R$242,MATCH('SeS in Retail Sales Areas'!R$7,'NEW MODEL BY SES'!$C$17:$R$17,0),0),"")</f>
        <v/>
      </c>
      <c r="S344" s="141" t="str">
        <f>IFERROR(VLOOKUP($C344,'NEW MODEL BY SES'!$C$19:$R$242,MATCH('SeS in Retail Sales Areas'!S$7,'NEW MODEL BY SES'!$C$17:$R$17,0),0),"")</f>
        <v/>
      </c>
      <c r="T344" s="140" t="str">
        <f>IFERROR(VLOOKUP($C344,'NEW MODEL BY SES'!$C$19:$R$242,MATCH('SeS in Retail Sales Areas'!T$7,'NEW MODEL BY SES'!$C$17:$R$17,0),0),"")</f>
        <v/>
      </c>
      <c r="U344" s="142" t="str">
        <f>IFERROR(VLOOKUP($C344,'NEW MODEL BY SES'!$C$19:$R$242,MATCH('SeS in Retail Sales Areas'!U$7,'NEW MODEL BY SES'!$C$17:$R$17,0),0),"")</f>
        <v/>
      </c>
      <c r="V344" s="140" t="str">
        <f>IFERROR(VLOOKUP($C344,'NEW MODEL BY SES'!$C$19:$R$242,MATCH('SeS in Retail Sales Areas'!V$7,'NEW MODEL BY SES'!$C$17:$R$17,0),0),"")</f>
        <v/>
      </c>
      <c r="W344" s="141" t="str">
        <f>IFERROR(VLOOKUP($C344,'NEW MODEL BY SES'!$C$19:$R$242,MATCH('SeS in Retail Sales Areas'!W$7,'NEW MODEL BY SES'!$C$17:$R$17,0),0),"")</f>
        <v/>
      </c>
      <c r="X344" s="140" t="str">
        <f>IFERROR(VLOOKUP($C344,'NEW MODEL BY SES'!$C$19:$R$242,MATCH('SeS in Retail Sales Areas'!X$7,'NEW MODEL BY SES'!$C$17:$R$17,0),0),"")</f>
        <v/>
      </c>
      <c r="Z344" s="57"/>
    </row>
    <row r="345" spans="1:26">
      <c r="A345" t="s">
        <v>1280</v>
      </c>
      <c r="B345" s="57">
        <v>134</v>
      </c>
      <c r="C345" t="s">
        <v>1285</v>
      </c>
      <c r="D345" t="s">
        <v>38</v>
      </c>
      <c r="E345"/>
      <c r="F345" s="140" t="str">
        <f>IFERROR(VLOOKUP($C345,'NEW MODEL BY SES'!$C$19:$R$242,MATCH('SeS in Retail Sales Areas'!F$7,'NEW MODEL BY SES'!$C$17:$R$17,0),0),"")</f>
        <v/>
      </c>
      <c r="G345" s="140" t="str">
        <f>IFERROR(VLOOKUP($C345,'NEW MODEL BY SES'!$C$19:$R$242,MATCH('SeS in Retail Sales Areas'!G$7,'NEW MODEL BY SES'!$C$17:$R$17,0),0),"")</f>
        <v/>
      </c>
      <c r="H345" s="142" t="str">
        <f>IFERROR(VLOOKUP($C345,'NEW MODEL BY SES'!$C$19:$R$242,MATCH('SeS in Retail Sales Areas'!H$7,'NEW MODEL BY SES'!$C$17:$R$17,0),0),"")</f>
        <v/>
      </c>
      <c r="I345" s="140" t="str">
        <f>IFERROR(VLOOKUP($C345,'NEW MODEL BY SES'!$C$19:$R$242,MATCH('SeS in Retail Sales Areas'!I$7,'NEW MODEL BY SES'!$C$17:$R$17,0),0),"")</f>
        <v/>
      </c>
      <c r="J345" s="142" t="str">
        <f>IFERROR(VLOOKUP($C345,'NEW MODEL BY SES'!$C$19:$R$242,MATCH('SeS in Retail Sales Areas'!J$7,'NEW MODEL BY SES'!$C$17:$R$17,0),0),"")</f>
        <v/>
      </c>
      <c r="K345" s="140" t="str">
        <f>IFERROR(VLOOKUP($C345,'NEW MODEL BY SES'!$C$19:$R$242,MATCH('SeS in Retail Sales Areas'!K$7,'NEW MODEL BY SES'!$C$17:$R$17,0),0),"")</f>
        <v/>
      </c>
      <c r="L345" s="142" t="str">
        <f>IFERROR(VLOOKUP($C345,'NEW MODEL BY SES'!$C$19:$R$242,MATCH('SeS in Retail Sales Areas'!L$7,'NEW MODEL BY SES'!$C$17:$R$17,0),0),"")</f>
        <v/>
      </c>
      <c r="M345" s="140" t="str">
        <f>IFERROR(VLOOKUP($C345,'NEW MODEL BY SES'!$C$19:$R$242,MATCH('SeS in Retail Sales Areas'!M$7,'NEW MODEL BY SES'!$C$17:$R$17,0),0),"")</f>
        <v/>
      </c>
      <c r="N345" s="142" t="str">
        <f>IFERROR(VLOOKUP($C345,'NEW MODEL BY SES'!$C$19:$R$242,MATCH('SeS in Retail Sales Areas'!N$7,'NEW MODEL BY SES'!$C$17:$R$17,0),0),"")</f>
        <v/>
      </c>
      <c r="O345" s="140" t="str">
        <f>IFERROR(VLOOKUP($C345,'NEW MODEL BY SES'!$C$19:$R$242,MATCH('SeS in Retail Sales Areas'!O$7,'NEW MODEL BY SES'!$C$17:$R$17,0),0),"")</f>
        <v/>
      </c>
      <c r="P345" s="142" t="str">
        <f>IFERROR(VLOOKUP($C345,'NEW MODEL BY SES'!$C$19:$R$242,MATCH('SeS in Retail Sales Areas'!P$7,'NEW MODEL BY SES'!$C$17:$R$17,0),0),"")</f>
        <v/>
      </c>
      <c r="Q345" s="140" t="str">
        <f>IFERROR(VLOOKUP($C345,'NEW MODEL BY SES'!$C$19:$R$242,MATCH('SeS in Retail Sales Areas'!Q$7,'NEW MODEL BY SES'!$C$17:$R$17,0),0),"")</f>
        <v/>
      </c>
      <c r="R345" s="142" t="str">
        <f>IFERROR(VLOOKUP($C345,'NEW MODEL BY SES'!$C$19:$R$242,MATCH('SeS in Retail Sales Areas'!R$7,'NEW MODEL BY SES'!$C$17:$R$17,0),0),"")</f>
        <v/>
      </c>
      <c r="S345" s="141" t="str">
        <f>IFERROR(VLOOKUP($C345,'NEW MODEL BY SES'!$C$19:$R$242,MATCH('SeS in Retail Sales Areas'!S$7,'NEW MODEL BY SES'!$C$17:$R$17,0),0),"")</f>
        <v/>
      </c>
      <c r="T345" s="140" t="str">
        <f>IFERROR(VLOOKUP($C345,'NEW MODEL BY SES'!$C$19:$R$242,MATCH('SeS in Retail Sales Areas'!T$7,'NEW MODEL BY SES'!$C$17:$R$17,0),0),"")</f>
        <v/>
      </c>
      <c r="U345" s="142" t="str">
        <f>IFERROR(VLOOKUP($C345,'NEW MODEL BY SES'!$C$19:$R$242,MATCH('SeS in Retail Sales Areas'!U$7,'NEW MODEL BY SES'!$C$17:$R$17,0),0),"")</f>
        <v/>
      </c>
      <c r="V345" s="140" t="str">
        <f>IFERROR(VLOOKUP($C345,'NEW MODEL BY SES'!$C$19:$R$242,MATCH('SeS in Retail Sales Areas'!V$7,'NEW MODEL BY SES'!$C$17:$R$17,0),0),"")</f>
        <v/>
      </c>
      <c r="W345" s="141" t="str">
        <f>IFERROR(VLOOKUP($C345,'NEW MODEL BY SES'!$C$19:$R$242,MATCH('SeS in Retail Sales Areas'!W$7,'NEW MODEL BY SES'!$C$17:$R$17,0),0),"")</f>
        <v/>
      </c>
      <c r="X345" s="140" t="str">
        <f>IFERROR(VLOOKUP($C345,'NEW MODEL BY SES'!$C$19:$R$242,MATCH('SeS in Retail Sales Areas'!X$7,'NEW MODEL BY SES'!$C$17:$R$17,0),0),"")</f>
        <v/>
      </c>
      <c r="Z345" s="57"/>
    </row>
    <row r="346" spans="1:26">
      <c r="A346" t="s">
        <v>1280</v>
      </c>
      <c r="B346" s="57">
        <v>128</v>
      </c>
      <c r="C346" t="s">
        <v>1286</v>
      </c>
      <c r="D346" t="s">
        <v>38</v>
      </c>
      <c r="E346"/>
      <c r="F346" s="140" t="str">
        <f>IFERROR(VLOOKUP($C346,'NEW MODEL BY SES'!$C$19:$R$242,MATCH('SeS in Retail Sales Areas'!F$7,'NEW MODEL BY SES'!$C$17:$R$17,0),0),"")</f>
        <v/>
      </c>
      <c r="G346" s="140" t="str">
        <f>IFERROR(VLOOKUP($C346,'NEW MODEL BY SES'!$C$19:$R$242,MATCH('SeS in Retail Sales Areas'!G$7,'NEW MODEL BY SES'!$C$17:$R$17,0),0),"")</f>
        <v/>
      </c>
      <c r="H346" s="142" t="str">
        <f>IFERROR(VLOOKUP($C346,'NEW MODEL BY SES'!$C$19:$R$242,MATCH('SeS in Retail Sales Areas'!H$7,'NEW MODEL BY SES'!$C$17:$R$17,0),0),"")</f>
        <v/>
      </c>
      <c r="I346" s="140" t="str">
        <f>IFERROR(VLOOKUP($C346,'NEW MODEL BY SES'!$C$19:$R$242,MATCH('SeS in Retail Sales Areas'!I$7,'NEW MODEL BY SES'!$C$17:$R$17,0),0),"")</f>
        <v/>
      </c>
      <c r="J346" s="142" t="str">
        <f>IFERROR(VLOOKUP($C346,'NEW MODEL BY SES'!$C$19:$R$242,MATCH('SeS in Retail Sales Areas'!J$7,'NEW MODEL BY SES'!$C$17:$R$17,0),0),"")</f>
        <v/>
      </c>
      <c r="K346" s="140" t="str">
        <f>IFERROR(VLOOKUP($C346,'NEW MODEL BY SES'!$C$19:$R$242,MATCH('SeS in Retail Sales Areas'!K$7,'NEW MODEL BY SES'!$C$17:$R$17,0),0),"")</f>
        <v/>
      </c>
      <c r="L346" s="142" t="str">
        <f>IFERROR(VLOOKUP($C346,'NEW MODEL BY SES'!$C$19:$R$242,MATCH('SeS in Retail Sales Areas'!L$7,'NEW MODEL BY SES'!$C$17:$R$17,0),0),"")</f>
        <v/>
      </c>
      <c r="M346" s="140" t="str">
        <f>IFERROR(VLOOKUP($C346,'NEW MODEL BY SES'!$C$19:$R$242,MATCH('SeS in Retail Sales Areas'!M$7,'NEW MODEL BY SES'!$C$17:$R$17,0),0),"")</f>
        <v/>
      </c>
      <c r="N346" s="142" t="str">
        <f>IFERROR(VLOOKUP($C346,'NEW MODEL BY SES'!$C$19:$R$242,MATCH('SeS in Retail Sales Areas'!N$7,'NEW MODEL BY SES'!$C$17:$R$17,0),0),"")</f>
        <v/>
      </c>
      <c r="O346" s="140" t="str">
        <f>IFERROR(VLOOKUP($C346,'NEW MODEL BY SES'!$C$19:$R$242,MATCH('SeS in Retail Sales Areas'!O$7,'NEW MODEL BY SES'!$C$17:$R$17,0),0),"")</f>
        <v/>
      </c>
      <c r="P346" s="142" t="str">
        <f>IFERROR(VLOOKUP($C346,'NEW MODEL BY SES'!$C$19:$R$242,MATCH('SeS in Retail Sales Areas'!P$7,'NEW MODEL BY SES'!$C$17:$R$17,0),0),"")</f>
        <v/>
      </c>
      <c r="Q346" s="140" t="str">
        <f>IFERROR(VLOOKUP($C346,'NEW MODEL BY SES'!$C$19:$R$242,MATCH('SeS in Retail Sales Areas'!Q$7,'NEW MODEL BY SES'!$C$17:$R$17,0),0),"")</f>
        <v/>
      </c>
      <c r="R346" s="142" t="str">
        <f>IFERROR(VLOOKUP($C346,'NEW MODEL BY SES'!$C$19:$R$242,MATCH('SeS in Retail Sales Areas'!R$7,'NEW MODEL BY SES'!$C$17:$R$17,0),0),"")</f>
        <v/>
      </c>
      <c r="S346" s="141" t="str">
        <f>IFERROR(VLOOKUP($C346,'NEW MODEL BY SES'!$C$19:$R$242,MATCH('SeS in Retail Sales Areas'!S$7,'NEW MODEL BY SES'!$C$17:$R$17,0),0),"")</f>
        <v/>
      </c>
      <c r="T346" s="140" t="str">
        <f>IFERROR(VLOOKUP($C346,'NEW MODEL BY SES'!$C$19:$R$242,MATCH('SeS in Retail Sales Areas'!T$7,'NEW MODEL BY SES'!$C$17:$R$17,0),0),"")</f>
        <v/>
      </c>
      <c r="U346" s="142" t="str">
        <f>IFERROR(VLOOKUP($C346,'NEW MODEL BY SES'!$C$19:$R$242,MATCH('SeS in Retail Sales Areas'!U$7,'NEW MODEL BY SES'!$C$17:$R$17,0),0),"")</f>
        <v/>
      </c>
      <c r="V346" s="140" t="str">
        <f>IFERROR(VLOOKUP($C346,'NEW MODEL BY SES'!$C$19:$R$242,MATCH('SeS in Retail Sales Areas'!V$7,'NEW MODEL BY SES'!$C$17:$R$17,0),0),"")</f>
        <v/>
      </c>
      <c r="W346" s="141" t="str">
        <f>IFERROR(VLOOKUP($C346,'NEW MODEL BY SES'!$C$19:$R$242,MATCH('SeS in Retail Sales Areas'!W$7,'NEW MODEL BY SES'!$C$17:$R$17,0),0),"")</f>
        <v/>
      </c>
      <c r="X346" s="140" t="str">
        <f>IFERROR(VLOOKUP($C346,'NEW MODEL BY SES'!$C$19:$R$242,MATCH('SeS in Retail Sales Areas'!X$7,'NEW MODEL BY SES'!$C$17:$R$17,0),0),"")</f>
        <v/>
      </c>
      <c r="Z346" s="57"/>
    </row>
    <row r="347" spans="1:26">
      <c r="A347" t="s">
        <v>1280</v>
      </c>
      <c r="B347" s="57">
        <v>125</v>
      </c>
      <c r="C347" t="s">
        <v>1287</v>
      </c>
      <c r="D347" t="s">
        <v>38</v>
      </c>
      <c r="E347"/>
      <c r="F347" s="140" t="str">
        <f>IFERROR(VLOOKUP($C347,'NEW MODEL BY SES'!$C$19:$R$242,MATCH('SeS in Retail Sales Areas'!F$7,'NEW MODEL BY SES'!$C$17:$R$17,0),0),"")</f>
        <v/>
      </c>
      <c r="G347" s="140" t="str">
        <f>IFERROR(VLOOKUP($C347,'NEW MODEL BY SES'!$C$19:$R$242,MATCH('SeS in Retail Sales Areas'!G$7,'NEW MODEL BY SES'!$C$17:$R$17,0),0),"")</f>
        <v/>
      </c>
      <c r="H347" s="142" t="str">
        <f>IFERROR(VLOOKUP($C347,'NEW MODEL BY SES'!$C$19:$R$242,MATCH('SeS in Retail Sales Areas'!H$7,'NEW MODEL BY SES'!$C$17:$R$17,0),0),"")</f>
        <v/>
      </c>
      <c r="I347" s="140" t="str">
        <f>IFERROR(VLOOKUP($C347,'NEW MODEL BY SES'!$C$19:$R$242,MATCH('SeS in Retail Sales Areas'!I$7,'NEW MODEL BY SES'!$C$17:$R$17,0),0),"")</f>
        <v/>
      </c>
      <c r="J347" s="142" t="str">
        <f>IFERROR(VLOOKUP($C347,'NEW MODEL BY SES'!$C$19:$R$242,MATCH('SeS in Retail Sales Areas'!J$7,'NEW MODEL BY SES'!$C$17:$R$17,0),0),"")</f>
        <v/>
      </c>
      <c r="K347" s="140" t="str">
        <f>IFERROR(VLOOKUP($C347,'NEW MODEL BY SES'!$C$19:$R$242,MATCH('SeS in Retail Sales Areas'!K$7,'NEW MODEL BY SES'!$C$17:$R$17,0),0),"")</f>
        <v/>
      </c>
      <c r="L347" s="142" t="str">
        <f>IFERROR(VLOOKUP($C347,'NEW MODEL BY SES'!$C$19:$R$242,MATCH('SeS in Retail Sales Areas'!L$7,'NEW MODEL BY SES'!$C$17:$R$17,0),0),"")</f>
        <v/>
      </c>
      <c r="M347" s="140" t="str">
        <f>IFERROR(VLOOKUP($C347,'NEW MODEL BY SES'!$C$19:$R$242,MATCH('SeS in Retail Sales Areas'!M$7,'NEW MODEL BY SES'!$C$17:$R$17,0),0),"")</f>
        <v/>
      </c>
      <c r="N347" s="142" t="str">
        <f>IFERROR(VLOOKUP($C347,'NEW MODEL BY SES'!$C$19:$R$242,MATCH('SeS in Retail Sales Areas'!N$7,'NEW MODEL BY SES'!$C$17:$R$17,0),0),"")</f>
        <v/>
      </c>
      <c r="O347" s="140" t="str">
        <f>IFERROR(VLOOKUP($C347,'NEW MODEL BY SES'!$C$19:$R$242,MATCH('SeS in Retail Sales Areas'!O$7,'NEW MODEL BY SES'!$C$17:$R$17,0),0),"")</f>
        <v/>
      </c>
      <c r="P347" s="142" t="str">
        <f>IFERROR(VLOOKUP($C347,'NEW MODEL BY SES'!$C$19:$R$242,MATCH('SeS in Retail Sales Areas'!P$7,'NEW MODEL BY SES'!$C$17:$R$17,0),0),"")</f>
        <v/>
      </c>
      <c r="Q347" s="140" t="str">
        <f>IFERROR(VLOOKUP($C347,'NEW MODEL BY SES'!$C$19:$R$242,MATCH('SeS in Retail Sales Areas'!Q$7,'NEW MODEL BY SES'!$C$17:$R$17,0),0),"")</f>
        <v/>
      </c>
      <c r="R347" s="142" t="str">
        <f>IFERROR(VLOOKUP($C347,'NEW MODEL BY SES'!$C$19:$R$242,MATCH('SeS in Retail Sales Areas'!R$7,'NEW MODEL BY SES'!$C$17:$R$17,0),0),"")</f>
        <v/>
      </c>
      <c r="S347" s="141" t="str">
        <f>IFERROR(VLOOKUP($C347,'NEW MODEL BY SES'!$C$19:$R$242,MATCH('SeS in Retail Sales Areas'!S$7,'NEW MODEL BY SES'!$C$17:$R$17,0),0),"")</f>
        <v/>
      </c>
      <c r="T347" s="140" t="str">
        <f>IFERROR(VLOOKUP($C347,'NEW MODEL BY SES'!$C$19:$R$242,MATCH('SeS in Retail Sales Areas'!T$7,'NEW MODEL BY SES'!$C$17:$R$17,0),0),"")</f>
        <v/>
      </c>
      <c r="U347" s="142" t="str">
        <f>IFERROR(VLOOKUP($C347,'NEW MODEL BY SES'!$C$19:$R$242,MATCH('SeS in Retail Sales Areas'!U$7,'NEW MODEL BY SES'!$C$17:$R$17,0),0),"")</f>
        <v/>
      </c>
      <c r="V347" s="140" t="str">
        <f>IFERROR(VLOOKUP($C347,'NEW MODEL BY SES'!$C$19:$R$242,MATCH('SeS in Retail Sales Areas'!V$7,'NEW MODEL BY SES'!$C$17:$R$17,0),0),"")</f>
        <v/>
      </c>
      <c r="W347" s="141" t="str">
        <f>IFERROR(VLOOKUP($C347,'NEW MODEL BY SES'!$C$19:$R$242,MATCH('SeS in Retail Sales Areas'!W$7,'NEW MODEL BY SES'!$C$17:$R$17,0),0),"")</f>
        <v/>
      </c>
      <c r="X347" s="140" t="str">
        <f>IFERROR(VLOOKUP($C347,'NEW MODEL BY SES'!$C$19:$R$242,MATCH('SeS in Retail Sales Areas'!X$7,'NEW MODEL BY SES'!$C$17:$R$17,0),0),"")</f>
        <v/>
      </c>
      <c r="Z347" s="57"/>
    </row>
    <row r="348" spans="1:26">
      <c r="A348" t="s">
        <v>1280</v>
      </c>
      <c r="B348" s="57">
        <v>124</v>
      </c>
      <c r="C348" t="s">
        <v>1288</v>
      </c>
      <c r="D348" t="s">
        <v>38</v>
      </c>
      <c r="E348"/>
      <c r="F348" s="140" t="str">
        <f>IFERROR(VLOOKUP($C348,'NEW MODEL BY SES'!$C$19:$R$242,MATCH('SeS in Retail Sales Areas'!F$7,'NEW MODEL BY SES'!$C$17:$R$17,0),0),"")</f>
        <v/>
      </c>
      <c r="G348" s="140" t="str">
        <f>IFERROR(VLOOKUP($C348,'NEW MODEL BY SES'!$C$19:$R$242,MATCH('SeS in Retail Sales Areas'!G$7,'NEW MODEL BY SES'!$C$17:$R$17,0),0),"")</f>
        <v/>
      </c>
      <c r="H348" s="142" t="str">
        <f>IFERROR(VLOOKUP($C348,'NEW MODEL BY SES'!$C$19:$R$242,MATCH('SeS in Retail Sales Areas'!H$7,'NEW MODEL BY SES'!$C$17:$R$17,0),0),"")</f>
        <v/>
      </c>
      <c r="I348" s="140" t="str">
        <f>IFERROR(VLOOKUP($C348,'NEW MODEL BY SES'!$C$19:$R$242,MATCH('SeS in Retail Sales Areas'!I$7,'NEW MODEL BY SES'!$C$17:$R$17,0),0),"")</f>
        <v/>
      </c>
      <c r="J348" s="142" t="str">
        <f>IFERROR(VLOOKUP($C348,'NEW MODEL BY SES'!$C$19:$R$242,MATCH('SeS in Retail Sales Areas'!J$7,'NEW MODEL BY SES'!$C$17:$R$17,0),0),"")</f>
        <v/>
      </c>
      <c r="K348" s="140" t="str">
        <f>IFERROR(VLOOKUP($C348,'NEW MODEL BY SES'!$C$19:$R$242,MATCH('SeS in Retail Sales Areas'!K$7,'NEW MODEL BY SES'!$C$17:$R$17,0),0),"")</f>
        <v/>
      </c>
      <c r="L348" s="142" t="str">
        <f>IFERROR(VLOOKUP($C348,'NEW MODEL BY SES'!$C$19:$R$242,MATCH('SeS in Retail Sales Areas'!L$7,'NEW MODEL BY SES'!$C$17:$R$17,0),0),"")</f>
        <v/>
      </c>
      <c r="M348" s="140" t="str">
        <f>IFERROR(VLOOKUP($C348,'NEW MODEL BY SES'!$C$19:$R$242,MATCH('SeS in Retail Sales Areas'!M$7,'NEW MODEL BY SES'!$C$17:$R$17,0),0),"")</f>
        <v/>
      </c>
      <c r="N348" s="142" t="str">
        <f>IFERROR(VLOOKUP($C348,'NEW MODEL BY SES'!$C$19:$R$242,MATCH('SeS in Retail Sales Areas'!N$7,'NEW MODEL BY SES'!$C$17:$R$17,0),0),"")</f>
        <v/>
      </c>
      <c r="O348" s="140" t="str">
        <f>IFERROR(VLOOKUP($C348,'NEW MODEL BY SES'!$C$19:$R$242,MATCH('SeS in Retail Sales Areas'!O$7,'NEW MODEL BY SES'!$C$17:$R$17,0),0),"")</f>
        <v/>
      </c>
      <c r="P348" s="142" t="str">
        <f>IFERROR(VLOOKUP($C348,'NEW MODEL BY SES'!$C$19:$R$242,MATCH('SeS in Retail Sales Areas'!P$7,'NEW MODEL BY SES'!$C$17:$R$17,0),0),"")</f>
        <v/>
      </c>
      <c r="Q348" s="140" t="str">
        <f>IFERROR(VLOOKUP($C348,'NEW MODEL BY SES'!$C$19:$R$242,MATCH('SeS in Retail Sales Areas'!Q$7,'NEW MODEL BY SES'!$C$17:$R$17,0),0),"")</f>
        <v/>
      </c>
      <c r="R348" s="142" t="str">
        <f>IFERROR(VLOOKUP($C348,'NEW MODEL BY SES'!$C$19:$R$242,MATCH('SeS in Retail Sales Areas'!R$7,'NEW MODEL BY SES'!$C$17:$R$17,0),0),"")</f>
        <v/>
      </c>
      <c r="S348" s="141" t="str">
        <f>IFERROR(VLOOKUP($C348,'NEW MODEL BY SES'!$C$19:$R$242,MATCH('SeS in Retail Sales Areas'!S$7,'NEW MODEL BY SES'!$C$17:$R$17,0),0),"")</f>
        <v/>
      </c>
      <c r="T348" s="140" t="str">
        <f>IFERROR(VLOOKUP($C348,'NEW MODEL BY SES'!$C$19:$R$242,MATCH('SeS in Retail Sales Areas'!T$7,'NEW MODEL BY SES'!$C$17:$R$17,0),0),"")</f>
        <v/>
      </c>
      <c r="U348" s="142" t="str">
        <f>IFERROR(VLOOKUP($C348,'NEW MODEL BY SES'!$C$19:$R$242,MATCH('SeS in Retail Sales Areas'!U$7,'NEW MODEL BY SES'!$C$17:$R$17,0),0),"")</f>
        <v/>
      </c>
      <c r="V348" s="140" t="str">
        <f>IFERROR(VLOOKUP($C348,'NEW MODEL BY SES'!$C$19:$R$242,MATCH('SeS in Retail Sales Areas'!V$7,'NEW MODEL BY SES'!$C$17:$R$17,0),0),"")</f>
        <v/>
      </c>
      <c r="W348" s="141" t="str">
        <f>IFERROR(VLOOKUP($C348,'NEW MODEL BY SES'!$C$19:$R$242,MATCH('SeS in Retail Sales Areas'!W$7,'NEW MODEL BY SES'!$C$17:$R$17,0),0),"")</f>
        <v/>
      </c>
      <c r="X348" s="140" t="str">
        <f>IFERROR(VLOOKUP($C348,'NEW MODEL BY SES'!$C$19:$R$242,MATCH('SeS in Retail Sales Areas'!X$7,'NEW MODEL BY SES'!$C$17:$R$17,0),0),"")</f>
        <v/>
      </c>
      <c r="Z348" s="57"/>
    </row>
    <row r="349" spans="1:26">
      <c r="A349" t="s">
        <v>1280</v>
      </c>
      <c r="B349" s="57">
        <v>123</v>
      </c>
      <c r="C349" t="s">
        <v>1289</v>
      </c>
      <c r="D349" t="s">
        <v>40</v>
      </c>
      <c r="E349"/>
      <c r="F349" s="140" t="str">
        <f>IFERROR(VLOOKUP($C349,'NEW MODEL BY SES'!$C$19:$R$242,MATCH('SeS in Retail Sales Areas'!F$7,'NEW MODEL BY SES'!$C$17:$R$17,0),0),"")</f>
        <v/>
      </c>
      <c r="G349" s="140" t="str">
        <f>IFERROR(VLOOKUP($C349,'NEW MODEL BY SES'!$C$19:$R$242,MATCH('SeS in Retail Sales Areas'!G$7,'NEW MODEL BY SES'!$C$17:$R$17,0),0),"")</f>
        <v/>
      </c>
      <c r="H349" s="142" t="str">
        <f>IFERROR(VLOOKUP($C349,'NEW MODEL BY SES'!$C$19:$R$242,MATCH('SeS in Retail Sales Areas'!H$7,'NEW MODEL BY SES'!$C$17:$R$17,0),0),"")</f>
        <v/>
      </c>
      <c r="I349" s="140" t="str">
        <f>IFERROR(VLOOKUP($C349,'NEW MODEL BY SES'!$C$19:$R$242,MATCH('SeS in Retail Sales Areas'!I$7,'NEW MODEL BY SES'!$C$17:$R$17,0),0),"")</f>
        <v/>
      </c>
      <c r="J349" s="142" t="str">
        <f>IFERROR(VLOOKUP($C349,'NEW MODEL BY SES'!$C$19:$R$242,MATCH('SeS in Retail Sales Areas'!J$7,'NEW MODEL BY SES'!$C$17:$R$17,0),0),"")</f>
        <v/>
      </c>
      <c r="K349" s="140" t="str">
        <f>IFERROR(VLOOKUP($C349,'NEW MODEL BY SES'!$C$19:$R$242,MATCH('SeS in Retail Sales Areas'!K$7,'NEW MODEL BY SES'!$C$17:$R$17,0),0),"")</f>
        <v/>
      </c>
      <c r="L349" s="142" t="str">
        <f>IFERROR(VLOOKUP($C349,'NEW MODEL BY SES'!$C$19:$R$242,MATCH('SeS in Retail Sales Areas'!L$7,'NEW MODEL BY SES'!$C$17:$R$17,0),0),"")</f>
        <v/>
      </c>
      <c r="M349" s="140" t="str">
        <f>IFERROR(VLOOKUP($C349,'NEW MODEL BY SES'!$C$19:$R$242,MATCH('SeS in Retail Sales Areas'!M$7,'NEW MODEL BY SES'!$C$17:$R$17,0),0),"")</f>
        <v/>
      </c>
      <c r="N349" s="142" t="str">
        <f>IFERROR(VLOOKUP($C349,'NEW MODEL BY SES'!$C$19:$R$242,MATCH('SeS in Retail Sales Areas'!N$7,'NEW MODEL BY SES'!$C$17:$R$17,0),0),"")</f>
        <v/>
      </c>
      <c r="O349" s="140" t="str">
        <f>IFERROR(VLOOKUP($C349,'NEW MODEL BY SES'!$C$19:$R$242,MATCH('SeS in Retail Sales Areas'!O$7,'NEW MODEL BY SES'!$C$17:$R$17,0),0),"")</f>
        <v/>
      </c>
      <c r="P349" s="142" t="str">
        <f>IFERROR(VLOOKUP($C349,'NEW MODEL BY SES'!$C$19:$R$242,MATCH('SeS in Retail Sales Areas'!P$7,'NEW MODEL BY SES'!$C$17:$R$17,0),0),"")</f>
        <v/>
      </c>
      <c r="Q349" s="140" t="str">
        <f>IFERROR(VLOOKUP($C349,'NEW MODEL BY SES'!$C$19:$R$242,MATCH('SeS in Retail Sales Areas'!Q$7,'NEW MODEL BY SES'!$C$17:$R$17,0),0),"")</f>
        <v/>
      </c>
      <c r="R349" s="142" t="str">
        <f>IFERROR(VLOOKUP($C349,'NEW MODEL BY SES'!$C$19:$R$242,MATCH('SeS in Retail Sales Areas'!R$7,'NEW MODEL BY SES'!$C$17:$R$17,0),0),"")</f>
        <v/>
      </c>
      <c r="S349" s="141" t="str">
        <f>IFERROR(VLOOKUP($C349,'NEW MODEL BY SES'!$C$19:$R$242,MATCH('SeS in Retail Sales Areas'!S$7,'NEW MODEL BY SES'!$C$17:$R$17,0),0),"")</f>
        <v/>
      </c>
      <c r="T349" s="140" t="str">
        <f>IFERROR(VLOOKUP($C349,'NEW MODEL BY SES'!$C$19:$R$242,MATCH('SeS in Retail Sales Areas'!T$7,'NEW MODEL BY SES'!$C$17:$R$17,0),0),"")</f>
        <v/>
      </c>
      <c r="U349" s="142" t="str">
        <f>IFERROR(VLOOKUP($C349,'NEW MODEL BY SES'!$C$19:$R$242,MATCH('SeS in Retail Sales Areas'!U$7,'NEW MODEL BY SES'!$C$17:$R$17,0),0),"")</f>
        <v/>
      </c>
      <c r="V349" s="140" t="str">
        <f>IFERROR(VLOOKUP($C349,'NEW MODEL BY SES'!$C$19:$R$242,MATCH('SeS in Retail Sales Areas'!V$7,'NEW MODEL BY SES'!$C$17:$R$17,0),0),"")</f>
        <v/>
      </c>
      <c r="W349" s="141" t="str">
        <f>IFERROR(VLOOKUP($C349,'NEW MODEL BY SES'!$C$19:$R$242,MATCH('SeS in Retail Sales Areas'!W$7,'NEW MODEL BY SES'!$C$17:$R$17,0),0),"")</f>
        <v/>
      </c>
      <c r="X349" s="140" t="str">
        <f>IFERROR(VLOOKUP($C349,'NEW MODEL BY SES'!$C$19:$R$242,MATCH('SeS in Retail Sales Areas'!X$7,'NEW MODEL BY SES'!$C$17:$R$17,0),0),"")</f>
        <v/>
      </c>
      <c r="Z349" s="57"/>
    </row>
    <row r="350" spans="1:26">
      <c r="A350" t="s">
        <v>1280</v>
      </c>
      <c r="B350" s="57">
        <v>120</v>
      </c>
      <c r="C350" t="s">
        <v>1290</v>
      </c>
      <c r="D350" t="s">
        <v>40</v>
      </c>
      <c r="E350"/>
      <c r="F350" s="140" t="str">
        <f>IFERROR(VLOOKUP($C350,'NEW MODEL BY SES'!$C$19:$R$242,MATCH('SeS in Retail Sales Areas'!F$7,'NEW MODEL BY SES'!$C$17:$R$17,0),0),"")</f>
        <v/>
      </c>
      <c r="G350" s="140" t="str">
        <f>IFERROR(VLOOKUP($C350,'NEW MODEL BY SES'!$C$19:$R$242,MATCH('SeS in Retail Sales Areas'!G$7,'NEW MODEL BY SES'!$C$17:$R$17,0),0),"")</f>
        <v/>
      </c>
      <c r="H350" s="142" t="str">
        <f>IFERROR(VLOOKUP($C350,'NEW MODEL BY SES'!$C$19:$R$242,MATCH('SeS in Retail Sales Areas'!H$7,'NEW MODEL BY SES'!$C$17:$R$17,0),0),"")</f>
        <v/>
      </c>
      <c r="I350" s="140" t="str">
        <f>IFERROR(VLOOKUP($C350,'NEW MODEL BY SES'!$C$19:$R$242,MATCH('SeS in Retail Sales Areas'!I$7,'NEW MODEL BY SES'!$C$17:$R$17,0),0),"")</f>
        <v/>
      </c>
      <c r="J350" s="142" t="str">
        <f>IFERROR(VLOOKUP($C350,'NEW MODEL BY SES'!$C$19:$R$242,MATCH('SeS in Retail Sales Areas'!J$7,'NEW MODEL BY SES'!$C$17:$R$17,0),0),"")</f>
        <v/>
      </c>
      <c r="K350" s="140" t="str">
        <f>IFERROR(VLOOKUP($C350,'NEW MODEL BY SES'!$C$19:$R$242,MATCH('SeS in Retail Sales Areas'!K$7,'NEW MODEL BY SES'!$C$17:$R$17,0),0),"")</f>
        <v/>
      </c>
      <c r="L350" s="142" t="str">
        <f>IFERROR(VLOOKUP($C350,'NEW MODEL BY SES'!$C$19:$R$242,MATCH('SeS in Retail Sales Areas'!L$7,'NEW MODEL BY SES'!$C$17:$R$17,0),0),"")</f>
        <v/>
      </c>
      <c r="M350" s="140" t="str">
        <f>IFERROR(VLOOKUP($C350,'NEW MODEL BY SES'!$C$19:$R$242,MATCH('SeS in Retail Sales Areas'!M$7,'NEW MODEL BY SES'!$C$17:$R$17,0),0),"")</f>
        <v/>
      </c>
      <c r="N350" s="142" t="str">
        <f>IFERROR(VLOOKUP($C350,'NEW MODEL BY SES'!$C$19:$R$242,MATCH('SeS in Retail Sales Areas'!N$7,'NEW MODEL BY SES'!$C$17:$R$17,0),0),"")</f>
        <v/>
      </c>
      <c r="O350" s="140" t="str">
        <f>IFERROR(VLOOKUP($C350,'NEW MODEL BY SES'!$C$19:$R$242,MATCH('SeS in Retail Sales Areas'!O$7,'NEW MODEL BY SES'!$C$17:$R$17,0),0),"")</f>
        <v/>
      </c>
      <c r="P350" s="142" t="str">
        <f>IFERROR(VLOOKUP($C350,'NEW MODEL BY SES'!$C$19:$R$242,MATCH('SeS in Retail Sales Areas'!P$7,'NEW MODEL BY SES'!$C$17:$R$17,0),0),"")</f>
        <v/>
      </c>
      <c r="Q350" s="140" t="str">
        <f>IFERROR(VLOOKUP($C350,'NEW MODEL BY SES'!$C$19:$R$242,MATCH('SeS in Retail Sales Areas'!Q$7,'NEW MODEL BY SES'!$C$17:$R$17,0),0),"")</f>
        <v/>
      </c>
      <c r="R350" s="142" t="str">
        <f>IFERROR(VLOOKUP($C350,'NEW MODEL BY SES'!$C$19:$R$242,MATCH('SeS in Retail Sales Areas'!R$7,'NEW MODEL BY SES'!$C$17:$R$17,0),0),"")</f>
        <v/>
      </c>
      <c r="S350" s="141" t="str">
        <f>IFERROR(VLOOKUP($C350,'NEW MODEL BY SES'!$C$19:$R$242,MATCH('SeS in Retail Sales Areas'!S$7,'NEW MODEL BY SES'!$C$17:$R$17,0),0),"")</f>
        <v/>
      </c>
      <c r="T350" s="140" t="str">
        <f>IFERROR(VLOOKUP($C350,'NEW MODEL BY SES'!$C$19:$R$242,MATCH('SeS in Retail Sales Areas'!T$7,'NEW MODEL BY SES'!$C$17:$R$17,0),0),"")</f>
        <v/>
      </c>
      <c r="U350" s="142" t="str">
        <f>IFERROR(VLOOKUP($C350,'NEW MODEL BY SES'!$C$19:$R$242,MATCH('SeS in Retail Sales Areas'!U$7,'NEW MODEL BY SES'!$C$17:$R$17,0),0),"")</f>
        <v/>
      </c>
      <c r="V350" s="140" t="str">
        <f>IFERROR(VLOOKUP($C350,'NEW MODEL BY SES'!$C$19:$R$242,MATCH('SeS in Retail Sales Areas'!V$7,'NEW MODEL BY SES'!$C$17:$R$17,0),0),"")</f>
        <v/>
      </c>
      <c r="W350" s="141" t="str">
        <f>IFERROR(VLOOKUP($C350,'NEW MODEL BY SES'!$C$19:$R$242,MATCH('SeS in Retail Sales Areas'!W$7,'NEW MODEL BY SES'!$C$17:$R$17,0),0),"")</f>
        <v/>
      </c>
      <c r="X350" s="140" t="str">
        <f>IFERROR(VLOOKUP($C350,'NEW MODEL BY SES'!$C$19:$R$242,MATCH('SeS in Retail Sales Areas'!X$7,'NEW MODEL BY SES'!$C$17:$R$17,0),0),"")</f>
        <v/>
      </c>
      <c r="Z350" s="57"/>
    </row>
    <row r="351" spans="1:26">
      <c r="A351" t="s">
        <v>1280</v>
      </c>
      <c r="B351" s="57">
        <v>119</v>
      </c>
      <c r="C351" t="s">
        <v>1291</v>
      </c>
      <c r="D351" t="s">
        <v>40</v>
      </c>
      <c r="E351"/>
      <c r="F351" s="140" t="str">
        <f>IFERROR(VLOOKUP($C351,'NEW MODEL BY SES'!$C$19:$R$242,MATCH('SeS in Retail Sales Areas'!F$7,'NEW MODEL BY SES'!$C$17:$R$17,0),0),"")</f>
        <v/>
      </c>
      <c r="G351" s="140" t="str">
        <f>IFERROR(VLOOKUP($C351,'NEW MODEL BY SES'!$C$19:$R$242,MATCH('SeS in Retail Sales Areas'!G$7,'NEW MODEL BY SES'!$C$17:$R$17,0),0),"")</f>
        <v/>
      </c>
      <c r="H351" s="142" t="str">
        <f>IFERROR(VLOOKUP($C351,'NEW MODEL BY SES'!$C$19:$R$242,MATCH('SeS in Retail Sales Areas'!H$7,'NEW MODEL BY SES'!$C$17:$R$17,0),0),"")</f>
        <v/>
      </c>
      <c r="I351" s="140" t="str">
        <f>IFERROR(VLOOKUP($C351,'NEW MODEL BY SES'!$C$19:$R$242,MATCH('SeS in Retail Sales Areas'!I$7,'NEW MODEL BY SES'!$C$17:$R$17,0),0),"")</f>
        <v/>
      </c>
      <c r="J351" s="142" t="str">
        <f>IFERROR(VLOOKUP($C351,'NEW MODEL BY SES'!$C$19:$R$242,MATCH('SeS in Retail Sales Areas'!J$7,'NEW MODEL BY SES'!$C$17:$R$17,0),0),"")</f>
        <v/>
      </c>
      <c r="K351" s="140" t="str">
        <f>IFERROR(VLOOKUP($C351,'NEW MODEL BY SES'!$C$19:$R$242,MATCH('SeS in Retail Sales Areas'!K$7,'NEW MODEL BY SES'!$C$17:$R$17,0),0),"")</f>
        <v/>
      </c>
      <c r="L351" s="142" t="str">
        <f>IFERROR(VLOOKUP($C351,'NEW MODEL BY SES'!$C$19:$R$242,MATCH('SeS in Retail Sales Areas'!L$7,'NEW MODEL BY SES'!$C$17:$R$17,0),0),"")</f>
        <v/>
      </c>
      <c r="M351" s="140" t="str">
        <f>IFERROR(VLOOKUP($C351,'NEW MODEL BY SES'!$C$19:$R$242,MATCH('SeS in Retail Sales Areas'!M$7,'NEW MODEL BY SES'!$C$17:$R$17,0),0),"")</f>
        <v/>
      </c>
      <c r="N351" s="142" t="str">
        <f>IFERROR(VLOOKUP($C351,'NEW MODEL BY SES'!$C$19:$R$242,MATCH('SeS in Retail Sales Areas'!N$7,'NEW MODEL BY SES'!$C$17:$R$17,0),0),"")</f>
        <v/>
      </c>
      <c r="O351" s="140" t="str">
        <f>IFERROR(VLOOKUP($C351,'NEW MODEL BY SES'!$C$19:$R$242,MATCH('SeS in Retail Sales Areas'!O$7,'NEW MODEL BY SES'!$C$17:$R$17,0),0),"")</f>
        <v/>
      </c>
      <c r="P351" s="142" t="str">
        <f>IFERROR(VLOOKUP($C351,'NEW MODEL BY SES'!$C$19:$R$242,MATCH('SeS in Retail Sales Areas'!P$7,'NEW MODEL BY SES'!$C$17:$R$17,0),0),"")</f>
        <v/>
      </c>
      <c r="Q351" s="140" t="str">
        <f>IFERROR(VLOOKUP($C351,'NEW MODEL BY SES'!$C$19:$R$242,MATCH('SeS in Retail Sales Areas'!Q$7,'NEW MODEL BY SES'!$C$17:$R$17,0),0),"")</f>
        <v/>
      </c>
      <c r="R351" s="142" t="str">
        <f>IFERROR(VLOOKUP($C351,'NEW MODEL BY SES'!$C$19:$R$242,MATCH('SeS in Retail Sales Areas'!R$7,'NEW MODEL BY SES'!$C$17:$R$17,0),0),"")</f>
        <v/>
      </c>
      <c r="S351" s="141" t="str">
        <f>IFERROR(VLOOKUP($C351,'NEW MODEL BY SES'!$C$19:$R$242,MATCH('SeS in Retail Sales Areas'!S$7,'NEW MODEL BY SES'!$C$17:$R$17,0),0),"")</f>
        <v/>
      </c>
      <c r="T351" s="140" t="str">
        <f>IFERROR(VLOOKUP($C351,'NEW MODEL BY SES'!$C$19:$R$242,MATCH('SeS in Retail Sales Areas'!T$7,'NEW MODEL BY SES'!$C$17:$R$17,0),0),"")</f>
        <v/>
      </c>
      <c r="U351" s="142" t="str">
        <f>IFERROR(VLOOKUP($C351,'NEW MODEL BY SES'!$C$19:$R$242,MATCH('SeS in Retail Sales Areas'!U$7,'NEW MODEL BY SES'!$C$17:$R$17,0),0),"")</f>
        <v/>
      </c>
      <c r="V351" s="140" t="str">
        <f>IFERROR(VLOOKUP($C351,'NEW MODEL BY SES'!$C$19:$R$242,MATCH('SeS in Retail Sales Areas'!V$7,'NEW MODEL BY SES'!$C$17:$R$17,0),0),"")</f>
        <v/>
      </c>
      <c r="W351" s="141" t="str">
        <f>IFERROR(VLOOKUP($C351,'NEW MODEL BY SES'!$C$19:$R$242,MATCH('SeS in Retail Sales Areas'!W$7,'NEW MODEL BY SES'!$C$17:$R$17,0),0),"")</f>
        <v/>
      </c>
      <c r="X351" s="140" t="str">
        <f>IFERROR(VLOOKUP($C351,'NEW MODEL BY SES'!$C$19:$R$242,MATCH('SeS in Retail Sales Areas'!X$7,'NEW MODEL BY SES'!$C$17:$R$17,0),0),"")</f>
        <v/>
      </c>
      <c r="Z351" s="57"/>
    </row>
    <row r="352" spans="1:26">
      <c r="A352" t="s">
        <v>1280</v>
      </c>
      <c r="B352" s="57">
        <v>118</v>
      </c>
      <c r="C352" t="s">
        <v>1292</v>
      </c>
      <c r="D352" t="s">
        <v>40</v>
      </c>
      <c r="E352"/>
      <c r="F352" s="140" t="str">
        <f>IFERROR(VLOOKUP($C352,'NEW MODEL BY SES'!$C$19:$R$242,MATCH('SeS in Retail Sales Areas'!F$7,'NEW MODEL BY SES'!$C$17:$R$17,0),0),"")</f>
        <v/>
      </c>
      <c r="G352" s="140" t="str">
        <f>IFERROR(VLOOKUP($C352,'NEW MODEL BY SES'!$C$19:$R$242,MATCH('SeS in Retail Sales Areas'!G$7,'NEW MODEL BY SES'!$C$17:$R$17,0),0),"")</f>
        <v/>
      </c>
      <c r="H352" s="142" t="str">
        <f>IFERROR(VLOOKUP($C352,'NEW MODEL BY SES'!$C$19:$R$242,MATCH('SeS in Retail Sales Areas'!H$7,'NEW MODEL BY SES'!$C$17:$R$17,0),0),"")</f>
        <v/>
      </c>
      <c r="I352" s="140" t="str">
        <f>IFERROR(VLOOKUP($C352,'NEW MODEL BY SES'!$C$19:$R$242,MATCH('SeS in Retail Sales Areas'!I$7,'NEW MODEL BY SES'!$C$17:$R$17,0),0),"")</f>
        <v/>
      </c>
      <c r="J352" s="142" t="str">
        <f>IFERROR(VLOOKUP($C352,'NEW MODEL BY SES'!$C$19:$R$242,MATCH('SeS in Retail Sales Areas'!J$7,'NEW MODEL BY SES'!$C$17:$R$17,0),0),"")</f>
        <v/>
      </c>
      <c r="K352" s="140" t="str">
        <f>IFERROR(VLOOKUP($C352,'NEW MODEL BY SES'!$C$19:$R$242,MATCH('SeS in Retail Sales Areas'!K$7,'NEW MODEL BY SES'!$C$17:$R$17,0),0),"")</f>
        <v/>
      </c>
      <c r="L352" s="142" t="str">
        <f>IFERROR(VLOOKUP($C352,'NEW MODEL BY SES'!$C$19:$R$242,MATCH('SeS in Retail Sales Areas'!L$7,'NEW MODEL BY SES'!$C$17:$R$17,0),0),"")</f>
        <v/>
      </c>
      <c r="M352" s="140" t="str">
        <f>IFERROR(VLOOKUP($C352,'NEW MODEL BY SES'!$C$19:$R$242,MATCH('SeS in Retail Sales Areas'!M$7,'NEW MODEL BY SES'!$C$17:$R$17,0),0),"")</f>
        <v/>
      </c>
      <c r="N352" s="142" t="str">
        <f>IFERROR(VLOOKUP($C352,'NEW MODEL BY SES'!$C$19:$R$242,MATCH('SeS in Retail Sales Areas'!N$7,'NEW MODEL BY SES'!$C$17:$R$17,0),0),"")</f>
        <v/>
      </c>
      <c r="O352" s="140" t="str">
        <f>IFERROR(VLOOKUP($C352,'NEW MODEL BY SES'!$C$19:$R$242,MATCH('SeS in Retail Sales Areas'!O$7,'NEW MODEL BY SES'!$C$17:$R$17,0),0),"")</f>
        <v/>
      </c>
      <c r="P352" s="142" t="str">
        <f>IFERROR(VLOOKUP($C352,'NEW MODEL BY SES'!$C$19:$R$242,MATCH('SeS in Retail Sales Areas'!P$7,'NEW MODEL BY SES'!$C$17:$R$17,0),0),"")</f>
        <v/>
      </c>
      <c r="Q352" s="140" t="str">
        <f>IFERROR(VLOOKUP($C352,'NEW MODEL BY SES'!$C$19:$R$242,MATCH('SeS in Retail Sales Areas'!Q$7,'NEW MODEL BY SES'!$C$17:$R$17,0),0),"")</f>
        <v/>
      </c>
      <c r="R352" s="142" t="str">
        <f>IFERROR(VLOOKUP($C352,'NEW MODEL BY SES'!$C$19:$R$242,MATCH('SeS in Retail Sales Areas'!R$7,'NEW MODEL BY SES'!$C$17:$R$17,0),0),"")</f>
        <v/>
      </c>
      <c r="S352" s="141" t="str">
        <f>IFERROR(VLOOKUP($C352,'NEW MODEL BY SES'!$C$19:$R$242,MATCH('SeS in Retail Sales Areas'!S$7,'NEW MODEL BY SES'!$C$17:$R$17,0),0),"")</f>
        <v/>
      </c>
      <c r="T352" s="140" t="str">
        <f>IFERROR(VLOOKUP($C352,'NEW MODEL BY SES'!$C$19:$R$242,MATCH('SeS in Retail Sales Areas'!T$7,'NEW MODEL BY SES'!$C$17:$R$17,0),0),"")</f>
        <v/>
      </c>
      <c r="U352" s="142" t="str">
        <f>IFERROR(VLOOKUP($C352,'NEW MODEL BY SES'!$C$19:$R$242,MATCH('SeS in Retail Sales Areas'!U$7,'NEW MODEL BY SES'!$C$17:$R$17,0),0),"")</f>
        <v/>
      </c>
      <c r="V352" s="140" t="str">
        <f>IFERROR(VLOOKUP($C352,'NEW MODEL BY SES'!$C$19:$R$242,MATCH('SeS in Retail Sales Areas'!V$7,'NEW MODEL BY SES'!$C$17:$R$17,0),0),"")</f>
        <v/>
      </c>
      <c r="W352" s="141" t="str">
        <f>IFERROR(VLOOKUP($C352,'NEW MODEL BY SES'!$C$19:$R$242,MATCH('SeS in Retail Sales Areas'!W$7,'NEW MODEL BY SES'!$C$17:$R$17,0),0),"")</f>
        <v/>
      </c>
      <c r="X352" s="140" t="str">
        <f>IFERROR(VLOOKUP($C352,'NEW MODEL BY SES'!$C$19:$R$242,MATCH('SeS in Retail Sales Areas'!X$7,'NEW MODEL BY SES'!$C$17:$R$17,0),0),"")</f>
        <v/>
      </c>
      <c r="Z352" s="57"/>
    </row>
    <row r="353" spans="1:26">
      <c r="A353" t="s">
        <v>1280</v>
      </c>
      <c r="B353" s="57">
        <v>102</v>
      </c>
      <c r="C353" t="s">
        <v>1293</v>
      </c>
      <c r="D353" t="s">
        <v>40</v>
      </c>
      <c r="E353"/>
      <c r="F353" s="140" t="str">
        <f>IFERROR(VLOOKUP($C353,'NEW MODEL BY SES'!$C$19:$R$242,MATCH('SeS in Retail Sales Areas'!F$7,'NEW MODEL BY SES'!$C$17:$R$17,0),0),"")</f>
        <v/>
      </c>
      <c r="G353" s="140" t="str">
        <f>IFERROR(VLOOKUP($C353,'NEW MODEL BY SES'!$C$19:$R$242,MATCH('SeS in Retail Sales Areas'!G$7,'NEW MODEL BY SES'!$C$17:$R$17,0),0),"")</f>
        <v/>
      </c>
      <c r="H353" s="142" t="str">
        <f>IFERROR(VLOOKUP($C353,'NEW MODEL BY SES'!$C$19:$R$242,MATCH('SeS in Retail Sales Areas'!H$7,'NEW MODEL BY SES'!$C$17:$R$17,0),0),"")</f>
        <v/>
      </c>
      <c r="I353" s="140" t="str">
        <f>IFERROR(VLOOKUP($C353,'NEW MODEL BY SES'!$C$19:$R$242,MATCH('SeS in Retail Sales Areas'!I$7,'NEW MODEL BY SES'!$C$17:$R$17,0),0),"")</f>
        <v/>
      </c>
      <c r="J353" s="142" t="str">
        <f>IFERROR(VLOOKUP($C353,'NEW MODEL BY SES'!$C$19:$R$242,MATCH('SeS in Retail Sales Areas'!J$7,'NEW MODEL BY SES'!$C$17:$R$17,0),0),"")</f>
        <v/>
      </c>
      <c r="K353" s="140" t="str">
        <f>IFERROR(VLOOKUP($C353,'NEW MODEL BY SES'!$C$19:$R$242,MATCH('SeS in Retail Sales Areas'!K$7,'NEW MODEL BY SES'!$C$17:$R$17,0),0),"")</f>
        <v/>
      </c>
      <c r="L353" s="142" t="str">
        <f>IFERROR(VLOOKUP($C353,'NEW MODEL BY SES'!$C$19:$R$242,MATCH('SeS in Retail Sales Areas'!L$7,'NEW MODEL BY SES'!$C$17:$R$17,0),0),"")</f>
        <v/>
      </c>
      <c r="M353" s="140" t="str">
        <f>IFERROR(VLOOKUP($C353,'NEW MODEL BY SES'!$C$19:$R$242,MATCH('SeS in Retail Sales Areas'!M$7,'NEW MODEL BY SES'!$C$17:$R$17,0),0),"")</f>
        <v/>
      </c>
      <c r="N353" s="142" t="str">
        <f>IFERROR(VLOOKUP($C353,'NEW MODEL BY SES'!$C$19:$R$242,MATCH('SeS in Retail Sales Areas'!N$7,'NEW MODEL BY SES'!$C$17:$R$17,0),0),"")</f>
        <v/>
      </c>
      <c r="O353" s="140" t="str">
        <f>IFERROR(VLOOKUP($C353,'NEW MODEL BY SES'!$C$19:$R$242,MATCH('SeS in Retail Sales Areas'!O$7,'NEW MODEL BY SES'!$C$17:$R$17,0),0),"")</f>
        <v/>
      </c>
      <c r="P353" s="142" t="str">
        <f>IFERROR(VLOOKUP($C353,'NEW MODEL BY SES'!$C$19:$R$242,MATCH('SeS in Retail Sales Areas'!P$7,'NEW MODEL BY SES'!$C$17:$R$17,0),0),"")</f>
        <v/>
      </c>
      <c r="Q353" s="140" t="str">
        <f>IFERROR(VLOOKUP($C353,'NEW MODEL BY SES'!$C$19:$R$242,MATCH('SeS in Retail Sales Areas'!Q$7,'NEW MODEL BY SES'!$C$17:$R$17,0),0),"")</f>
        <v/>
      </c>
      <c r="R353" s="142" t="str">
        <f>IFERROR(VLOOKUP($C353,'NEW MODEL BY SES'!$C$19:$R$242,MATCH('SeS in Retail Sales Areas'!R$7,'NEW MODEL BY SES'!$C$17:$R$17,0),0),"")</f>
        <v/>
      </c>
      <c r="S353" s="141" t="str">
        <f>IFERROR(VLOOKUP($C353,'NEW MODEL BY SES'!$C$19:$R$242,MATCH('SeS in Retail Sales Areas'!S$7,'NEW MODEL BY SES'!$C$17:$R$17,0),0),"")</f>
        <v/>
      </c>
      <c r="T353" s="140" t="str">
        <f>IFERROR(VLOOKUP($C353,'NEW MODEL BY SES'!$C$19:$R$242,MATCH('SeS in Retail Sales Areas'!T$7,'NEW MODEL BY SES'!$C$17:$R$17,0),0),"")</f>
        <v/>
      </c>
      <c r="U353" s="142" t="str">
        <f>IFERROR(VLOOKUP($C353,'NEW MODEL BY SES'!$C$19:$R$242,MATCH('SeS in Retail Sales Areas'!U$7,'NEW MODEL BY SES'!$C$17:$R$17,0),0),"")</f>
        <v/>
      </c>
      <c r="V353" s="140" t="str">
        <f>IFERROR(VLOOKUP($C353,'NEW MODEL BY SES'!$C$19:$R$242,MATCH('SeS in Retail Sales Areas'!V$7,'NEW MODEL BY SES'!$C$17:$R$17,0),0),"")</f>
        <v/>
      </c>
      <c r="W353" s="141" t="str">
        <f>IFERROR(VLOOKUP($C353,'NEW MODEL BY SES'!$C$19:$R$242,MATCH('SeS in Retail Sales Areas'!W$7,'NEW MODEL BY SES'!$C$17:$R$17,0),0),"")</f>
        <v/>
      </c>
      <c r="X353" s="140" t="str">
        <f>IFERROR(VLOOKUP($C353,'NEW MODEL BY SES'!$C$19:$R$242,MATCH('SeS in Retail Sales Areas'!X$7,'NEW MODEL BY SES'!$C$17:$R$17,0),0),"")</f>
        <v/>
      </c>
      <c r="Z353" s="57"/>
    </row>
    <row r="354" spans="1:26">
      <c r="A354" t="s">
        <v>1280</v>
      </c>
      <c r="B354" s="57">
        <v>102</v>
      </c>
      <c r="C354" t="s">
        <v>1294</v>
      </c>
      <c r="D354" t="s">
        <v>40</v>
      </c>
      <c r="E354"/>
      <c r="F354" s="140" t="str">
        <f>IFERROR(VLOOKUP($C354,'NEW MODEL BY SES'!$C$19:$R$242,MATCH('SeS in Retail Sales Areas'!F$7,'NEW MODEL BY SES'!$C$17:$R$17,0),0),"")</f>
        <v/>
      </c>
      <c r="G354" s="140" t="str">
        <f>IFERROR(VLOOKUP($C354,'NEW MODEL BY SES'!$C$19:$R$242,MATCH('SeS in Retail Sales Areas'!G$7,'NEW MODEL BY SES'!$C$17:$R$17,0),0),"")</f>
        <v/>
      </c>
      <c r="H354" s="142" t="str">
        <f>IFERROR(VLOOKUP($C354,'NEW MODEL BY SES'!$C$19:$R$242,MATCH('SeS in Retail Sales Areas'!H$7,'NEW MODEL BY SES'!$C$17:$R$17,0),0),"")</f>
        <v/>
      </c>
      <c r="I354" s="140" t="str">
        <f>IFERROR(VLOOKUP($C354,'NEW MODEL BY SES'!$C$19:$R$242,MATCH('SeS in Retail Sales Areas'!I$7,'NEW MODEL BY SES'!$C$17:$R$17,0),0),"")</f>
        <v/>
      </c>
      <c r="J354" s="142" t="str">
        <f>IFERROR(VLOOKUP($C354,'NEW MODEL BY SES'!$C$19:$R$242,MATCH('SeS in Retail Sales Areas'!J$7,'NEW MODEL BY SES'!$C$17:$R$17,0),0),"")</f>
        <v/>
      </c>
      <c r="K354" s="140" t="str">
        <f>IFERROR(VLOOKUP($C354,'NEW MODEL BY SES'!$C$19:$R$242,MATCH('SeS in Retail Sales Areas'!K$7,'NEW MODEL BY SES'!$C$17:$R$17,0),0),"")</f>
        <v/>
      </c>
      <c r="L354" s="142" t="str">
        <f>IFERROR(VLOOKUP($C354,'NEW MODEL BY SES'!$C$19:$R$242,MATCH('SeS in Retail Sales Areas'!L$7,'NEW MODEL BY SES'!$C$17:$R$17,0),0),"")</f>
        <v/>
      </c>
      <c r="M354" s="140" t="str">
        <f>IFERROR(VLOOKUP($C354,'NEW MODEL BY SES'!$C$19:$R$242,MATCH('SeS in Retail Sales Areas'!M$7,'NEW MODEL BY SES'!$C$17:$R$17,0),0),"")</f>
        <v/>
      </c>
      <c r="N354" s="142" t="str">
        <f>IFERROR(VLOOKUP($C354,'NEW MODEL BY SES'!$C$19:$R$242,MATCH('SeS in Retail Sales Areas'!N$7,'NEW MODEL BY SES'!$C$17:$R$17,0),0),"")</f>
        <v/>
      </c>
      <c r="O354" s="140" t="str">
        <f>IFERROR(VLOOKUP($C354,'NEW MODEL BY SES'!$C$19:$R$242,MATCH('SeS in Retail Sales Areas'!O$7,'NEW MODEL BY SES'!$C$17:$R$17,0),0),"")</f>
        <v/>
      </c>
      <c r="P354" s="142" t="str">
        <f>IFERROR(VLOOKUP($C354,'NEW MODEL BY SES'!$C$19:$R$242,MATCH('SeS in Retail Sales Areas'!P$7,'NEW MODEL BY SES'!$C$17:$R$17,0),0),"")</f>
        <v/>
      </c>
      <c r="Q354" s="140" t="str">
        <f>IFERROR(VLOOKUP($C354,'NEW MODEL BY SES'!$C$19:$R$242,MATCH('SeS in Retail Sales Areas'!Q$7,'NEW MODEL BY SES'!$C$17:$R$17,0),0),"")</f>
        <v/>
      </c>
      <c r="R354" s="142" t="str">
        <f>IFERROR(VLOOKUP($C354,'NEW MODEL BY SES'!$C$19:$R$242,MATCH('SeS in Retail Sales Areas'!R$7,'NEW MODEL BY SES'!$C$17:$R$17,0),0),"")</f>
        <v/>
      </c>
      <c r="S354" s="141" t="str">
        <f>IFERROR(VLOOKUP($C354,'NEW MODEL BY SES'!$C$19:$R$242,MATCH('SeS in Retail Sales Areas'!S$7,'NEW MODEL BY SES'!$C$17:$R$17,0),0),"")</f>
        <v/>
      </c>
      <c r="T354" s="140" t="str">
        <f>IFERROR(VLOOKUP($C354,'NEW MODEL BY SES'!$C$19:$R$242,MATCH('SeS in Retail Sales Areas'!T$7,'NEW MODEL BY SES'!$C$17:$R$17,0),0),"")</f>
        <v/>
      </c>
      <c r="U354" s="142" t="str">
        <f>IFERROR(VLOOKUP($C354,'NEW MODEL BY SES'!$C$19:$R$242,MATCH('SeS in Retail Sales Areas'!U$7,'NEW MODEL BY SES'!$C$17:$R$17,0),0),"")</f>
        <v/>
      </c>
      <c r="V354" s="140" t="str">
        <f>IFERROR(VLOOKUP($C354,'NEW MODEL BY SES'!$C$19:$R$242,MATCH('SeS in Retail Sales Areas'!V$7,'NEW MODEL BY SES'!$C$17:$R$17,0),0),"")</f>
        <v/>
      </c>
      <c r="W354" s="141" t="str">
        <f>IFERROR(VLOOKUP($C354,'NEW MODEL BY SES'!$C$19:$R$242,MATCH('SeS in Retail Sales Areas'!W$7,'NEW MODEL BY SES'!$C$17:$R$17,0),0),"")</f>
        <v/>
      </c>
      <c r="X354" s="140" t="str">
        <f>IFERROR(VLOOKUP($C354,'NEW MODEL BY SES'!$C$19:$R$242,MATCH('SeS in Retail Sales Areas'!X$7,'NEW MODEL BY SES'!$C$17:$R$17,0),0),"")</f>
        <v/>
      </c>
      <c r="Z354" s="57"/>
    </row>
    <row r="355" spans="1:26">
      <c r="A355" t="s">
        <v>1280</v>
      </c>
      <c r="B355" s="57">
        <v>93</v>
      </c>
      <c r="C355" t="s">
        <v>1295</v>
      </c>
      <c r="D355" t="s">
        <v>40</v>
      </c>
      <c r="E355"/>
      <c r="F355" s="140" t="str">
        <f>IFERROR(VLOOKUP($C355,'NEW MODEL BY SES'!$C$19:$R$242,MATCH('SeS in Retail Sales Areas'!F$7,'NEW MODEL BY SES'!$C$17:$R$17,0),0),"")</f>
        <v/>
      </c>
      <c r="G355" s="140" t="str">
        <f>IFERROR(VLOOKUP($C355,'NEW MODEL BY SES'!$C$19:$R$242,MATCH('SeS in Retail Sales Areas'!G$7,'NEW MODEL BY SES'!$C$17:$R$17,0),0),"")</f>
        <v/>
      </c>
      <c r="H355" s="142" t="str">
        <f>IFERROR(VLOOKUP($C355,'NEW MODEL BY SES'!$C$19:$R$242,MATCH('SeS in Retail Sales Areas'!H$7,'NEW MODEL BY SES'!$C$17:$R$17,0),0),"")</f>
        <v/>
      </c>
      <c r="I355" s="140" t="str">
        <f>IFERROR(VLOOKUP($C355,'NEW MODEL BY SES'!$C$19:$R$242,MATCH('SeS in Retail Sales Areas'!I$7,'NEW MODEL BY SES'!$C$17:$R$17,0),0),"")</f>
        <v/>
      </c>
      <c r="J355" s="142" t="str">
        <f>IFERROR(VLOOKUP($C355,'NEW MODEL BY SES'!$C$19:$R$242,MATCH('SeS in Retail Sales Areas'!J$7,'NEW MODEL BY SES'!$C$17:$R$17,0),0),"")</f>
        <v/>
      </c>
      <c r="K355" s="140" t="str">
        <f>IFERROR(VLOOKUP($C355,'NEW MODEL BY SES'!$C$19:$R$242,MATCH('SeS in Retail Sales Areas'!K$7,'NEW MODEL BY SES'!$C$17:$R$17,0),0),"")</f>
        <v/>
      </c>
      <c r="L355" s="142" t="str">
        <f>IFERROR(VLOOKUP($C355,'NEW MODEL BY SES'!$C$19:$R$242,MATCH('SeS in Retail Sales Areas'!L$7,'NEW MODEL BY SES'!$C$17:$R$17,0),0),"")</f>
        <v/>
      </c>
      <c r="M355" s="140" t="str">
        <f>IFERROR(VLOOKUP($C355,'NEW MODEL BY SES'!$C$19:$R$242,MATCH('SeS in Retail Sales Areas'!M$7,'NEW MODEL BY SES'!$C$17:$R$17,0),0),"")</f>
        <v/>
      </c>
      <c r="N355" s="142" t="str">
        <f>IFERROR(VLOOKUP($C355,'NEW MODEL BY SES'!$C$19:$R$242,MATCH('SeS in Retail Sales Areas'!N$7,'NEW MODEL BY SES'!$C$17:$R$17,0),0),"")</f>
        <v/>
      </c>
      <c r="O355" s="140" t="str">
        <f>IFERROR(VLOOKUP($C355,'NEW MODEL BY SES'!$C$19:$R$242,MATCH('SeS in Retail Sales Areas'!O$7,'NEW MODEL BY SES'!$C$17:$R$17,0),0),"")</f>
        <v/>
      </c>
      <c r="P355" s="142" t="str">
        <f>IFERROR(VLOOKUP($C355,'NEW MODEL BY SES'!$C$19:$R$242,MATCH('SeS in Retail Sales Areas'!P$7,'NEW MODEL BY SES'!$C$17:$R$17,0),0),"")</f>
        <v/>
      </c>
      <c r="Q355" s="140" t="str">
        <f>IFERROR(VLOOKUP($C355,'NEW MODEL BY SES'!$C$19:$R$242,MATCH('SeS in Retail Sales Areas'!Q$7,'NEW MODEL BY SES'!$C$17:$R$17,0),0),"")</f>
        <v/>
      </c>
      <c r="R355" s="142" t="str">
        <f>IFERROR(VLOOKUP($C355,'NEW MODEL BY SES'!$C$19:$R$242,MATCH('SeS in Retail Sales Areas'!R$7,'NEW MODEL BY SES'!$C$17:$R$17,0),0),"")</f>
        <v/>
      </c>
      <c r="S355" s="141" t="str">
        <f>IFERROR(VLOOKUP($C355,'NEW MODEL BY SES'!$C$19:$R$242,MATCH('SeS in Retail Sales Areas'!S$7,'NEW MODEL BY SES'!$C$17:$R$17,0),0),"")</f>
        <v/>
      </c>
      <c r="T355" s="140" t="str">
        <f>IFERROR(VLOOKUP($C355,'NEW MODEL BY SES'!$C$19:$R$242,MATCH('SeS in Retail Sales Areas'!T$7,'NEW MODEL BY SES'!$C$17:$R$17,0),0),"")</f>
        <v/>
      </c>
      <c r="U355" s="142" t="str">
        <f>IFERROR(VLOOKUP($C355,'NEW MODEL BY SES'!$C$19:$R$242,MATCH('SeS in Retail Sales Areas'!U$7,'NEW MODEL BY SES'!$C$17:$R$17,0),0),"")</f>
        <v/>
      </c>
      <c r="V355" s="140" t="str">
        <f>IFERROR(VLOOKUP($C355,'NEW MODEL BY SES'!$C$19:$R$242,MATCH('SeS in Retail Sales Areas'!V$7,'NEW MODEL BY SES'!$C$17:$R$17,0),0),"")</f>
        <v/>
      </c>
      <c r="W355" s="141" t="str">
        <f>IFERROR(VLOOKUP($C355,'NEW MODEL BY SES'!$C$19:$R$242,MATCH('SeS in Retail Sales Areas'!W$7,'NEW MODEL BY SES'!$C$17:$R$17,0),0),"")</f>
        <v/>
      </c>
      <c r="X355" s="140" t="str">
        <f>IFERROR(VLOOKUP($C355,'NEW MODEL BY SES'!$C$19:$R$242,MATCH('SeS in Retail Sales Areas'!X$7,'NEW MODEL BY SES'!$C$17:$R$17,0),0),"")</f>
        <v/>
      </c>
      <c r="Z355" s="57"/>
    </row>
    <row r="356" spans="1:26">
      <c r="A356" t="s">
        <v>1280</v>
      </c>
      <c r="B356" s="57">
        <v>92</v>
      </c>
      <c r="C356" t="s">
        <v>1296</v>
      </c>
      <c r="D356" t="s">
        <v>40</v>
      </c>
      <c r="E356"/>
      <c r="F356" s="140" t="str">
        <f>IFERROR(VLOOKUP($C356,'NEW MODEL BY SES'!$C$19:$R$242,MATCH('SeS in Retail Sales Areas'!F$7,'NEW MODEL BY SES'!$C$17:$R$17,0),0),"")</f>
        <v/>
      </c>
      <c r="G356" s="140" t="str">
        <f>IFERROR(VLOOKUP($C356,'NEW MODEL BY SES'!$C$19:$R$242,MATCH('SeS in Retail Sales Areas'!G$7,'NEW MODEL BY SES'!$C$17:$R$17,0),0),"")</f>
        <v/>
      </c>
      <c r="H356" s="142" t="str">
        <f>IFERROR(VLOOKUP($C356,'NEW MODEL BY SES'!$C$19:$R$242,MATCH('SeS in Retail Sales Areas'!H$7,'NEW MODEL BY SES'!$C$17:$R$17,0),0),"")</f>
        <v/>
      </c>
      <c r="I356" s="140" t="str">
        <f>IFERROR(VLOOKUP($C356,'NEW MODEL BY SES'!$C$19:$R$242,MATCH('SeS in Retail Sales Areas'!I$7,'NEW MODEL BY SES'!$C$17:$R$17,0),0),"")</f>
        <v/>
      </c>
      <c r="J356" s="142" t="str">
        <f>IFERROR(VLOOKUP($C356,'NEW MODEL BY SES'!$C$19:$R$242,MATCH('SeS in Retail Sales Areas'!J$7,'NEW MODEL BY SES'!$C$17:$R$17,0),0),"")</f>
        <v/>
      </c>
      <c r="K356" s="140" t="str">
        <f>IFERROR(VLOOKUP($C356,'NEW MODEL BY SES'!$C$19:$R$242,MATCH('SeS in Retail Sales Areas'!K$7,'NEW MODEL BY SES'!$C$17:$R$17,0),0),"")</f>
        <v/>
      </c>
      <c r="L356" s="142" t="str">
        <f>IFERROR(VLOOKUP($C356,'NEW MODEL BY SES'!$C$19:$R$242,MATCH('SeS in Retail Sales Areas'!L$7,'NEW MODEL BY SES'!$C$17:$R$17,0),0),"")</f>
        <v/>
      </c>
      <c r="M356" s="140" t="str">
        <f>IFERROR(VLOOKUP($C356,'NEW MODEL BY SES'!$C$19:$R$242,MATCH('SeS in Retail Sales Areas'!M$7,'NEW MODEL BY SES'!$C$17:$R$17,0),0),"")</f>
        <v/>
      </c>
      <c r="N356" s="142" t="str">
        <f>IFERROR(VLOOKUP($C356,'NEW MODEL BY SES'!$C$19:$R$242,MATCH('SeS in Retail Sales Areas'!N$7,'NEW MODEL BY SES'!$C$17:$R$17,0),0),"")</f>
        <v/>
      </c>
      <c r="O356" s="140" t="str">
        <f>IFERROR(VLOOKUP($C356,'NEW MODEL BY SES'!$C$19:$R$242,MATCH('SeS in Retail Sales Areas'!O$7,'NEW MODEL BY SES'!$C$17:$R$17,0),0),"")</f>
        <v/>
      </c>
      <c r="P356" s="142" t="str">
        <f>IFERROR(VLOOKUP($C356,'NEW MODEL BY SES'!$C$19:$R$242,MATCH('SeS in Retail Sales Areas'!P$7,'NEW MODEL BY SES'!$C$17:$R$17,0),0),"")</f>
        <v/>
      </c>
      <c r="Q356" s="140" t="str">
        <f>IFERROR(VLOOKUP($C356,'NEW MODEL BY SES'!$C$19:$R$242,MATCH('SeS in Retail Sales Areas'!Q$7,'NEW MODEL BY SES'!$C$17:$R$17,0),0),"")</f>
        <v/>
      </c>
      <c r="R356" s="142" t="str">
        <f>IFERROR(VLOOKUP($C356,'NEW MODEL BY SES'!$C$19:$R$242,MATCH('SeS in Retail Sales Areas'!R$7,'NEW MODEL BY SES'!$C$17:$R$17,0),0),"")</f>
        <v/>
      </c>
      <c r="S356" s="141" t="str">
        <f>IFERROR(VLOOKUP($C356,'NEW MODEL BY SES'!$C$19:$R$242,MATCH('SeS in Retail Sales Areas'!S$7,'NEW MODEL BY SES'!$C$17:$R$17,0),0),"")</f>
        <v/>
      </c>
      <c r="T356" s="140" t="str">
        <f>IFERROR(VLOOKUP($C356,'NEW MODEL BY SES'!$C$19:$R$242,MATCH('SeS in Retail Sales Areas'!T$7,'NEW MODEL BY SES'!$C$17:$R$17,0),0),"")</f>
        <v/>
      </c>
      <c r="U356" s="142" t="str">
        <f>IFERROR(VLOOKUP($C356,'NEW MODEL BY SES'!$C$19:$R$242,MATCH('SeS in Retail Sales Areas'!U$7,'NEW MODEL BY SES'!$C$17:$R$17,0),0),"")</f>
        <v/>
      </c>
      <c r="V356" s="140" t="str">
        <f>IFERROR(VLOOKUP($C356,'NEW MODEL BY SES'!$C$19:$R$242,MATCH('SeS in Retail Sales Areas'!V$7,'NEW MODEL BY SES'!$C$17:$R$17,0),0),"")</f>
        <v/>
      </c>
      <c r="W356" s="141" t="str">
        <f>IFERROR(VLOOKUP($C356,'NEW MODEL BY SES'!$C$19:$R$242,MATCH('SeS in Retail Sales Areas'!W$7,'NEW MODEL BY SES'!$C$17:$R$17,0),0),"")</f>
        <v/>
      </c>
      <c r="X356" s="140" t="str">
        <f>IFERROR(VLOOKUP($C356,'NEW MODEL BY SES'!$C$19:$R$242,MATCH('SeS in Retail Sales Areas'!X$7,'NEW MODEL BY SES'!$C$17:$R$17,0),0),"")</f>
        <v/>
      </c>
      <c r="Z356" s="57"/>
    </row>
    <row r="357" spans="1:26">
      <c r="A357" t="s">
        <v>1280</v>
      </c>
      <c r="B357" s="57">
        <v>83</v>
      </c>
      <c r="C357" t="s">
        <v>1297</v>
      </c>
      <c r="D357" t="s">
        <v>40</v>
      </c>
      <c r="E357"/>
      <c r="F357" s="140" t="str">
        <f>IFERROR(VLOOKUP($C357,'NEW MODEL BY SES'!$C$19:$R$242,MATCH('SeS in Retail Sales Areas'!F$7,'NEW MODEL BY SES'!$C$17:$R$17,0),0),"")</f>
        <v/>
      </c>
      <c r="G357" s="140" t="str">
        <f>IFERROR(VLOOKUP($C357,'NEW MODEL BY SES'!$C$19:$R$242,MATCH('SeS in Retail Sales Areas'!G$7,'NEW MODEL BY SES'!$C$17:$R$17,0),0),"")</f>
        <v/>
      </c>
      <c r="H357" s="142" t="str">
        <f>IFERROR(VLOOKUP($C357,'NEW MODEL BY SES'!$C$19:$R$242,MATCH('SeS in Retail Sales Areas'!H$7,'NEW MODEL BY SES'!$C$17:$R$17,0),0),"")</f>
        <v/>
      </c>
      <c r="I357" s="140" t="str">
        <f>IFERROR(VLOOKUP($C357,'NEW MODEL BY SES'!$C$19:$R$242,MATCH('SeS in Retail Sales Areas'!I$7,'NEW MODEL BY SES'!$C$17:$R$17,0),0),"")</f>
        <v/>
      </c>
      <c r="J357" s="142" t="str">
        <f>IFERROR(VLOOKUP($C357,'NEW MODEL BY SES'!$C$19:$R$242,MATCH('SeS in Retail Sales Areas'!J$7,'NEW MODEL BY SES'!$C$17:$R$17,0),0),"")</f>
        <v/>
      </c>
      <c r="K357" s="140" t="str">
        <f>IFERROR(VLOOKUP($C357,'NEW MODEL BY SES'!$C$19:$R$242,MATCH('SeS in Retail Sales Areas'!K$7,'NEW MODEL BY SES'!$C$17:$R$17,0),0),"")</f>
        <v/>
      </c>
      <c r="L357" s="142" t="str">
        <f>IFERROR(VLOOKUP($C357,'NEW MODEL BY SES'!$C$19:$R$242,MATCH('SeS in Retail Sales Areas'!L$7,'NEW MODEL BY SES'!$C$17:$R$17,0),0),"")</f>
        <v/>
      </c>
      <c r="M357" s="140" t="str">
        <f>IFERROR(VLOOKUP($C357,'NEW MODEL BY SES'!$C$19:$R$242,MATCH('SeS in Retail Sales Areas'!M$7,'NEW MODEL BY SES'!$C$17:$R$17,0),0),"")</f>
        <v/>
      </c>
      <c r="N357" s="142" t="str">
        <f>IFERROR(VLOOKUP($C357,'NEW MODEL BY SES'!$C$19:$R$242,MATCH('SeS in Retail Sales Areas'!N$7,'NEW MODEL BY SES'!$C$17:$R$17,0),0),"")</f>
        <v/>
      </c>
      <c r="O357" s="140" t="str">
        <f>IFERROR(VLOOKUP($C357,'NEW MODEL BY SES'!$C$19:$R$242,MATCH('SeS in Retail Sales Areas'!O$7,'NEW MODEL BY SES'!$C$17:$R$17,0),0),"")</f>
        <v/>
      </c>
      <c r="P357" s="142" t="str">
        <f>IFERROR(VLOOKUP($C357,'NEW MODEL BY SES'!$C$19:$R$242,MATCH('SeS in Retail Sales Areas'!P$7,'NEW MODEL BY SES'!$C$17:$R$17,0),0),"")</f>
        <v/>
      </c>
      <c r="Q357" s="140" t="str">
        <f>IFERROR(VLOOKUP($C357,'NEW MODEL BY SES'!$C$19:$R$242,MATCH('SeS in Retail Sales Areas'!Q$7,'NEW MODEL BY SES'!$C$17:$R$17,0),0),"")</f>
        <v/>
      </c>
      <c r="R357" s="142" t="str">
        <f>IFERROR(VLOOKUP($C357,'NEW MODEL BY SES'!$C$19:$R$242,MATCH('SeS in Retail Sales Areas'!R$7,'NEW MODEL BY SES'!$C$17:$R$17,0),0),"")</f>
        <v/>
      </c>
      <c r="S357" s="141" t="str">
        <f>IFERROR(VLOOKUP($C357,'NEW MODEL BY SES'!$C$19:$R$242,MATCH('SeS in Retail Sales Areas'!S$7,'NEW MODEL BY SES'!$C$17:$R$17,0),0),"")</f>
        <v/>
      </c>
      <c r="T357" s="140" t="str">
        <f>IFERROR(VLOOKUP($C357,'NEW MODEL BY SES'!$C$19:$R$242,MATCH('SeS in Retail Sales Areas'!T$7,'NEW MODEL BY SES'!$C$17:$R$17,0),0),"")</f>
        <v/>
      </c>
      <c r="U357" s="142" t="str">
        <f>IFERROR(VLOOKUP($C357,'NEW MODEL BY SES'!$C$19:$R$242,MATCH('SeS in Retail Sales Areas'!U$7,'NEW MODEL BY SES'!$C$17:$R$17,0),0),"")</f>
        <v/>
      </c>
      <c r="V357" s="140" t="str">
        <f>IFERROR(VLOOKUP($C357,'NEW MODEL BY SES'!$C$19:$R$242,MATCH('SeS in Retail Sales Areas'!V$7,'NEW MODEL BY SES'!$C$17:$R$17,0),0),"")</f>
        <v/>
      </c>
      <c r="W357" s="141" t="str">
        <f>IFERROR(VLOOKUP($C357,'NEW MODEL BY SES'!$C$19:$R$242,MATCH('SeS in Retail Sales Areas'!W$7,'NEW MODEL BY SES'!$C$17:$R$17,0),0),"")</f>
        <v/>
      </c>
      <c r="X357" s="140" t="str">
        <f>IFERROR(VLOOKUP($C357,'NEW MODEL BY SES'!$C$19:$R$242,MATCH('SeS in Retail Sales Areas'!X$7,'NEW MODEL BY SES'!$C$17:$R$17,0),0),"")</f>
        <v/>
      </c>
      <c r="Z357" s="57"/>
    </row>
    <row r="358" spans="1:26">
      <c r="A358" t="s">
        <v>1280</v>
      </c>
      <c r="B358" s="57">
        <v>78</v>
      </c>
      <c r="C358" t="s">
        <v>1298</v>
      </c>
      <c r="D358" t="s">
        <v>44</v>
      </c>
      <c r="E358"/>
      <c r="F358" s="140" t="str">
        <f>IFERROR(VLOOKUP($C358,'NEW MODEL BY SES'!$C$19:$R$242,MATCH('SeS in Retail Sales Areas'!F$7,'NEW MODEL BY SES'!$C$17:$R$17,0),0),"")</f>
        <v/>
      </c>
      <c r="G358" s="140" t="str">
        <f>IFERROR(VLOOKUP($C358,'NEW MODEL BY SES'!$C$19:$R$242,MATCH('SeS in Retail Sales Areas'!G$7,'NEW MODEL BY SES'!$C$17:$R$17,0),0),"")</f>
        <v/>
      </c>
      <c r="H358" s="142" t="str">
        <f>IFERROR(VLOOKUP($C358,'NEW MODEL BY SES'!$C$19:$R$242,MATCH('SeS in Retail Sales Areas'!H$7,'NEW MODEL BY SES'!$C$17:$R$17,0),0),"")</f>
        <v/>
      </c>
      <c r="I358" s="140" t="str">
        <f>IFERROR(VLOOKUP($C358,'NEW MODEL BY SES'!$C$19:$R$242,MATCH('SeS in Retail Sales Areas'!I$7,'NEW MODEL BY SES'!$C$17:$R$17,0),0),"")</f>
        <v/>
      </c>
      <c r="J358" s="142" t="str">
        <f>IFERROR(VLOOKUP($C358,'NEW MODEL BY SES'!$C$19:$R$242,MATCH('SeS in Retail Sales Areas'!J$7,'NEW MODEL BY SES'!$C$17:$R$17,0),0),"")</f>
        <v/>
      </c>
      <c r="K358" s="140" t="str">
        <f>IFERROR(VLOOKUP($C358,'NEW MODEL BY SES'!$C$19:$R$242,MATCH('SeS in Retail Sales Areas'!K$7,'NEW MODEL BY SES'!$C$17:$R$17,0),0),"")</f>
        <v/>
      </c>
      <c r="L358" s="142" t="str">
        <f>IFERROR(VLOOKUP($C358,'NEW MODEL BY SES'!$C$19:$R$242,MATCH('SeS in Retail Sales Areas'!L$7,'NEW MODEL BY SES'!$C$17:$R$17,0),0),"")</f>
        <v/>
      </c>
      <c r="M358" s="140" t="str">
        <f>IFERROR(VLOOKUP($C358,'NEW MODEL BY SES'!$C$19:$R$242,MATCH('SeS in Retail Sales Areas'!M$7,'NEW MODEL BY SES'!$C$17:$R$17,0),0),"")</f>
        <v/>
      </c>
      <c r="N358" s="142" t="str">
        <f>IFERROR(VLOOKUP($C358,'NEW MODEL BY SES'!$C$19:$R$242,MATCH('SeS in Retail Sales Areas'!N$7,'NEW MODEL BY SES'!$C$17:$R$17,0),0),"")</f>
        <v/>
      </c>
      <c r="O358" s="140" t="str">
        <f>IFERROR(VLOOKUP($C358,'NEW MODEL BY SES'!$C$19:$R$242,MATCH('SeS in Retail Sales Areas'!O$7,'NEW MODEL BY SES'!$C$17:$R$17,0),0),"")</f>
        <v/>
      </c>
      <c r="P358" s="142" t="str">
        <f>IFERROR(VLOOKUP($C358,'NEW MODEL BY SES'!$C$19:$R$242,MATCH('SeS in Retail Sales Areas'!P$7,'NEW MODEL BY SES'!$C$17:$R$17,0),0),"")</f>
        <v/>
      </c>
      <c r="Q358" s="140" t="str">
        <f>IFERROR(VLOOKUP($C358,'NEW MODEL BY SES'!$C$19:$R$242,MATCH('SeS in Retail Sales Areas'!Q$7,'NEW MODEL BY SES'!$C$17:$R$17,0),0),"")</f>
        <v/>
      </c>
      <c r="R358" s="142" t="str">
        <f>IFERROR(VLOOKUP($C358,'NEW MODEL BY SES'!$C$19:$R$242,MATCH('SeS in Retail Sales Areas'!R$7,'NEW MODEL BY SES'!$C$17:$R$17,0),0),"")</f>
        <v/>
      </c>
      <c r="S358" s="141" t="str">
        <f>IFERROR(VLOOKUP($C358,'NEW MODEL BY SES'!$C$19:$R$242,MATCH('SeS in Retail Sales Areas'!S$7,'NEW MODEL BY SES'!$C$17:$R$17,0),0),"")</f>
        <v/>
      </c>
      <c r="T358" s="140" t="str">
        <f>IFERROR(VLOOKUP($C358,'NEW MODEL BY SES'!$C$19:$R$242,MATCH('SeS in Retail Sales Areas'!T$7,'NEW MODEL BY SES'!$C$17:$R$17,0),0),"")</f>
        <v/>
      </c>
      <c r="U358" s="142" t="str">
        <f>IFERROR(VLOOKUP($C358,'NEW MODEL BY SES'!$C$19:$R$242,MATCH('SeS in Retail Sales Areas'!U$7,'NEW MODEL BY SES'!$C$17:$R$17,0),0),"")</f>
        <v/>
      </c>
      <c r="V358" s="140" t="str">
        <f>IFERROR(VLOOKUP($C358,'NEW MODEL BY SES'!$C$19:$R$242,MATCH('SeS in Retail Sales Areas'!V$7,'NEW MODEL BY SES'!$C$17:$R$17,0),0),"")</f>
        <v/>
      </c>
      <c r="W358" s="141" t="str">
        <f>IFERROR(VLOOKUP($C358,'NEW MODEL BY SES'!$C$19:$R$242,MATCH('SeS in Retail Sales Areas'!W$7,'NEW MODEL BY SES'!$C$17:$R$17,0),0),"")</f>
        <v/>
      </c>
      <c r="X358" s="140" t="str">
        <f>IFERROR(VLOOKUP($C358,'NEW MODEL BY SES'!$C$19:$R$242,MATCH('SeS in Retail Sales Areas'!X$7,'NEW MODEL BY SES'!$C$17:$R$17,0),0),"")</f>
        <v/>
      </c>
      <c r="Z358" s="57"/>
    </row>
    <row r="359" spans="1:26">
      <c r="A359" t="s">
        <v>1280</v>
      </c>
      <c r="B359" s="57">
        <v>72</v>
      </c>
      <c r="C359" t="s">
        <v>1299</v>
      </c>
      <c r="D359" t="s">
        <v>44</v>
      </c>
      <c r="E359"/>
      <c r="F359" s="140" t="str">
        <f>IFERROR(VLOOKUP($C359,'NEW MODEL BY SES'!$C$19:$R$242,MATCH('SeS in Retail Sales Areas'!F$7,'NEW MODEL BY SES'!$C$17:$R$17,0),0),"")</f>
        <v/>
      </c>
      <c r="G359" s="140" t="str">
        <f>IFERROR(VLOOKUP($C359,'NEW MODEL BY SES'!$C$19:$R$242,MATCH('SeS in Retail Sales Areas'!G$7,'NEW MODEL BY SES'!$C$17:$R$17,0),0),"")</f>
        <v/>
      </c>
      <c r="H359" s="142" t="str">
        <f>IFERROR(VLOOKUP($C359,'NEW MODEL BY SES'!$C$19:$R$242,MATCH('SeS in Retail Sales Areas'!H$7,'NEW MODEL BY SES'!$C$17:$R$17,0),0),"")</f>
        <v/>
      </c>
      <c r="I359" s="140" t="str">
        <f>IFERROR(VLOOKUP($C359,'NEW MODEL BY SES'!$C$19:$R$242,MATCH('SeS in Retail Sales Areas'!I$7,'NEW MODEL BY SES'!$C$17:$R$17,0),0),"")</f>
        <v/>
      </c>
      <c r="J359" s="142" t="str">
        <f>IFERROR(VLOOKUP($C359,'NEW MODEL BY SES'!$C$19:$R$242,MATCH('SeS in Retail Sales Areas'!J$7,'NEW MODEL BY SES'!$C$17:$R$17,0),0),"")</f>
        <v/>
      </c>
      <c r="K359" s="140" t="str">
        <f>IFERROR(VLOOKUP($C359,'NEW MODEL BY SES'!$C$19:$R$242,MATCH('SeS in Retail Sales Areas'!K$7,'NEW MODEL BY SES'!$C$17:$R$17,0),0),"")</f>
        <v/>
      </c>
      <c r="L359" s="142" t="str">
        <f>IFERROR(VLOOKUP($C359,'NEW MODEL BY SES'!$C$19:$R$242,MATCH('SeS in Retail Sales Areas'!L$7,'NEW MODEL BY SES'!$C$17:$R$17,0),0),"")</f>
        <v/>
      </c>
      <c r="M359" s="140" t="str">
        <f>IFERROR(VLOOKUP($C359,'NEW MODEL BY SES'!$C$19:$R$242,MATCH('SeS in Retail Sales Areas'!M$7,'NEW MODEL BY SES'!$C$17:$R$17,0),0),"")</f>
        <v/>
      </c>
      <c r="N359" s="142" t="str">
        <f>IFERROR(VLOOKUP($C359,'NEW MODEL BY SES'!$C$19:$R$242,MATCH('SeS in Retail Sales Areas'!N$7,'NEW MODEL BY SES'!$C$17:$R$17,0),0),"")</f>
        <v/>
      </c>
      <c r="O359" s="140" t="str">
        <f>IFERROR(VLOOKUP($C359,'NEW MODEL BY SES'!$C$19:$R$242,MATCH('SeS in Retail Sales Areas'!O$7,'NEW MODEL BY SES'!$C$17:$R$17,0),0),"")</f>
        <v/>
      </c>
      <c r="P359" s="142" t="str">
        <f>IFERROR(VLOOKUP($C359,'NEW MODEL BY SES'!$C$19:$R$242,MATCH('SeS in Retail Sales Areas'!P$7,'NEW MODEL BY SES'!$C$17:$R$17,0),0),"")</f>
        <v/>
      </c>
      <c r="Q359" s="140" t="str">
        <f>IFERROR(VLOOKUP($C359,'NEW MODEL BY SES'!$C$19:$R$242,MATCH('SeS in Retail Sales Areas'!Q$7,'NEW MODEL BY SES'!$C$17:$R$17,0),0),"")</f>
        <v/>
      </c>
      <c r="R359" s="142" t="str">
        <f>IFERROR(VLOOKUP($C359,'NEW MODEL BY SES'!$C$19:$R$242,MATCH('SeS in Retail Sales Areas'!R$7,'NEW MODEL BY SES'!$C$17:$R$17,0),0),"")</f>
        <v/>
      </c>
      <c r="S359" s="141" t="str">
        <f>IFERROR(VLOOKUP($C359,'NEW MODEL BY SES'!$C$19:$R$242,MATCH('SeS in Retail Sales Areas'!S$7,'NEW MODEL BY SES'!$C$17:$R$17,0),0),"")</f>
        <v/>
      </c>
      <c r="T359" s="140" t="str">
        <f>IFERROR(VLOOKUP($C359,'NEW MODEL BY SES'!$C$19:$R$242,MATCH('SeS in Retail Sales Areas'!T$7,'NEW MODEL BY SES'!$C$17:$R$17,0),0),"")</f>
        <v/>
      </c>
      <c r="U359" s="142" t="str">
        <f>IFERROR(VLOOKUP($C359,'NEW MODEL BY SES'!$C$19:$R$242,MATCH('SeS in Retail Sales Areas'!U$7,'NEW MODEL BY SES'!$C$17:$R$17,0),0),"")</f>
        <v/>
      </c>
      <c r="V359" s="140" t="str">
        <f>IFERROR(VLOOKUP($C359,'NEW MODEL BY SES'!$C$19:$R$242,MATCH('SeS in Retail Sales Areas'!V$7,'NEW MODEL BY SES'!$C$17:$R$17,0),0),"")</f>
        <v/>
      </c>
      <c r="W359" s="141" t="str">
        <f>IFERROR(VLOOKUP($C359,'NEW MODEL BY SES'!$C$19:$R$242,MATCH('SeS in Retail Sales Areas'!W$7,'NEW MODEL BY SES'!$C$17:$R$17,0),0),"")</f>
        <v/>
      </c>
      <c r="X359" s="140" t="str">
        <f>IFERROR(VLOOKUP($C359,'NEW MODEL BY SES'!$C$19:$R$242,MATCH('SeS in Retail Sales Areas'!X$7,'NEW MODEL BY SES'!$C$17:$R$17,0),0),"")</f>
        <v/>
      </c>
      <c r="Z359" s="57"/>
    </row>
    <row r="360" spans="1:26">
      <c r="A360" t="s">
        <v>1280</v>
      </c>
      <c r="B360" s="57">
        <v>68</v>
      </c>
      <c r="C360" t="s">
        <v>1300</v>
      </c>
      <c r="D360" t="s">
        <v>44</v>
      </c>
      <c r="E360"/>
      <c r="F360" s="140" t="str">
        <f>IFERROR(VLOOKUP($C360,'NEW MODEL BY SES'!$C$19:$R$242,MATCH('SeS in Retail Sales Areas'!F$7,'NEW MODEL BY SES'!$C$17:$R$17,0),0),"")</f>
        <v/>
      </c>
      <c r="G360" s="140" t="str">
        <f>IFERROR(VLOOKUP($C360,'NEW MODEL BY SES'!$C$19:$R$242,MATCH('SeS in Retail Sales Areas'!G$7,'NEW MODEL BY SES'!$C$17:$R$17,0),0),"")</f>
        <v/>
      </c>
      <c r="H360" s="142" t="str">
        <f>IFERROR(VLOOKUP($C360,'NEW MODEL BY SES'!$C$19:$R$242,MATCH('SeS in Retail Sales Areas'!H$7,'NEW MODEL BY SES'!$C$17:$R$17,0),0),"")</f>
        <v/>
      </c>
      <c r="I360" s="140" t="str">
        <f>IFERROR(VLOOKUP($C360,'NEW MODEL BY SES'!$C$19:$R$242,MATCH('SeS in Retail Sales Areas'!I$7,'NEW MODEL BY SES'!$C$17:$R$17,0),0),"")</f>
        <v/>
      </c>
      <c r="J360" s="142" t="str">
        <f>IFERROR(VLOOKUP($C360,'NEW MODEL BY SES'!$C$19:$R$242,MATCH('SeS in Retail Sales Areas'!J$7,'NEW MODEL BY SES'!$C$17:$R$17,0),0),"")</f>
        <v/>
      </c>
      <c r="K360" s="140" t="str">
        <f>IFERROR(VLOOKUP($C360,'NEW MODEL BY SES'!$C$19:$R$242,MATCH('SeS in Retail Sales Areas'!K$7,'NEW MODEL BY SES'!$C$17:$R$17,0),0),"")</f>
        <v/>
      </c>
      <c r="L360" s="142" t="str">
        <f>IFERROR(VLOOKUP($C360,'NEW MODEL BY SES'!$C$19:$R$242,MATCH('SeS in Retail Sales Areas'!L$7,'NEW MODEL BY SES'!$C$17:$R$17,0),0),"")</f>
        <v/>
      </c>
      <c r="M360" s="140" t="str">
        <f>IFERROR(VLOOKUP($C360,'NEW MODEL BY SES'!$C$19:$R$242,MATCH('SeS in Retail Sales Areas'!M$7,'NEW MODEL BY SES'!$C$17:$R$17,0),0),"")</f>
        <v/>
      </c>
      <c r="N360" s="142" t="str">
        <f>IFERROR(VLOOKUP($C360,'NEW MODEL BY SES'!$C$19:$R$242,MATCH('SeS in Retail Sales Areas'!N$7,'NEW MODEL BY SES'!$C$17:$R$17,0),0),"")</f>
        <v/>
      </c>
      <c r="O360" s="140" t="str">
        <f>IFERROR(VLOOKUP($C360,'NEW MODEL BY SES'!$C$19:$R$242,MATCH('SeS in Retail Sales Areas'!O$7,'NEW MODEL BY SES'!$C$17:$R$17,0),0),"")</f>
        <v/>
      </c>
      <c r="P360" s="142" t="str">
        <f>IFERROR(VLOOKUP($C360,'NEW MODEL BY SES'!$C$19:$R$242,MATCH('SeS in Retail Sales Areas'!P$7,'NEW MODEL BY SES'!$C$17:$R$17,0),0),"")</f>
        <v/>
      </c>
      <c r="Q360" s="140" t="str">
        <f>IFERROR(VLOOKUP($C360,'NEW MODEL BY SES'!$C$19:$R$242,MATCH('SeS in Retail Sales Areas'!Q$7,'NEW MODEL BY SES'!$C$17:$R$17,0),0),"")</f>
        <v/>
      </c>
      <c r="R360" s="142" t="str">
        <f>IFERROR(VLOOKUP($C360,'NEW MODEL BY SES'!$C$19:$R$242,MATCH('SeS in Retail Sales Areas'!R$7,'NEW MODEL BY SES'!$C$17:$R$17,0),0),"")</f>
        <v/>
      </c>
      <c r="S360" s="141" t="str">
        <f>IFERROR(VLOOKUP($C360,'NEW MODEL BY SES'!$C$19:$R$242,MATCH('SeS in Retail Sales Areas'!S$7,'NEW MODEL BY SES'!$C$17:$R$17,0),0),"")</f>
        <v/>
      </c>
      <c r="T360" s="140" t="str">
        <f>IFERROR(VLOOKUP($C360,'NEW MODEL BY SES'!$C$19:$R$242,MATCH('SeS in Retail Sales Areas'!T$7,'NEW MODEL BY SES'!$C$17:$R$17,0),0),"")</f>
        <v/>
      </c>
      <c r="U360" s="142" t="str">
        <f>IFERROR(VLOOKUP($C360,'NEW MODEL BY SES'!$C$19:$R$242,MATCH('SeS in Retail Sales Areas'!U$7,'NEW MODEL BY SES'!$C$17:$R$17,0),0),"")</f>
        <v/>
      </c>
      <c r="V360" s="140" t="str">
        <f>IFERROR(VLOOKUP($C360,'NEW MODEL BY SES'!$C$19:$R$242,MATCH('SeS in Retail Sales Areas'!V$7,'NEW MODEL BY SES'!$C$17:$R$17,0),0),"")</f>
        <v/>
      </c>
      <c r="W360" s="141" t="str">
        <f>IFERROR(VLOOKUP($C360,'NEW MODEL BY SES'!$C$19:$R$242,MATCH('SeS in Retail Sales Areas'!W$7,'NEW MODEL BY SES'!$C$17:$R$17,0),0),"")</f>
        <v/>
      </c>
      <c r="X360" s="140" t="str">
        <f>IFERROR(VLOOKUP($C360,'NEW MODEL BY SES'!$C$19:$R$242,MATCH('SeS in Retail Sales Areas'!X$7,'NEW MODEL BY SES'!$C$17:$R$17,0),0),"")</f>
        <v/>
      </c>
      <c r="Z360" s="57"/>
    </row>
    <row r="361" spans="1:26">
      <c r="A361" t="s">
        <v>1280</v>
      </c>
      <c r="B361" s="57">
        <v>67</v>
      </c>
      <c r="C361" t="s">
        <v>1301</v>
      </c>
      <c r="D361" t="s">
        <v>44</v>
      </c>
      <c r="E361"/>
      <c r="F361" s="140" t="str">
        <f>IFERROR(VLOOKUP($C361,'NEW MODEL BY SES'!$C$19:$R$242,MATCH('SeS in Retail Sales Areas'!F$7,'NEW MODEL BY SES'!$C$17:$R$17,0),0),"")</f>
        <v/>
      </c>
      <c r="G361" s="140" t="str">
        <f>IFERROR(VLOOKUP($C361,'NEW MODEL BY SES'!$C$19:$R$242,MATCH('SeS in Retail Sales Areas'!G$7,'NEW MODEL BY SES'!$C$17:$R$17,0),0),"")</f>
        <v/>
      </c>
      <c r="H361" s="142" t="str">
        <f>IFERROR(VLOOKUP($C361,'NEW MODEL BY SES'!$C$19:$R$242,MATCH('SeS in Retail Sales Areas'!H$7,'NEW MODEL BY SES'!$C$17:$R$17,0),0),"")</f>
        <v/>
      </c>
      <c r="I361" s="140" t="str">
        <f>IFERROR(VLOOKUP($C361,'NEW MODEL BY SES'!$C$19:$R$242,MATCH('SeS in Retail Sales Areas'!I$7,'NEW MODEL BY SES'!$C$17:$R$17,0),0),"")</f>
        <v/>
      </c>
      <c r="J361" s="142" t="str">
        <f>IFERROR(VLOOKUP($C361,'NEW MODEL BY SES'!$C$19:$R$242,MATCH('SeS in Retail Sales Areas'!J$7,'NEW MODEL BY SES'!$C$17:$R$17,0),0),"")</f>
        <v/>
      </c>
      <c r="K361" s="140" t="str">
        <f>IFERROR(VLOOKUP($C361,'NEW MODEL BY SES'!$C$19:$R$242,MATCH('SeS in Retail Sales Areas'!K$7,'NEW MODEL BY SES'!$C$17:$R$17,0),0),"")</f>
        <v/>
      </c>
      <c r="L361" s="142" t="str">
        <f>IFERROR(VLOOKUP($C361,'NEW MODEL BY SES'!$C$19:$R$242,MATCH('SeS in Retail Sales Areas'!L$7,'NEW MODEL BY SES'!$C$17:$R$17,0),0),"")</f>
        <v/>
      </c>
      <c r="M361" s="140" t="str">
        <f>IFERROR(VLOOKUP($C361,'NEW MODEL BY SES'!$C$19:$R$242,MATCH('SeS in Retail Sales Areas'!M$7,'NEW MODEL BY SES'!$C$17:$R$17,0),0),"")</f>
        <v/>
      </c>
      <c r="N361" s="142" t="str">
        <f>IFERROR(VLOOKUP($C361,'NEW MODEL BY SES'!$C$19:$R$242,MATCH('SeS in Retail Sales Areas'!N$7,'NEW MODEL BY SES'!$C$17:$R$17,0),0),"")</f>
        <v/>
      </c>
      <c r="O361" s="140" t="str">
        <f>IFERROR(VLOOKUP($C361,'NEW MODEL BY SES'!$C$19:$R$242,MATCH('SeS in Retail Sales Areas'!O$7,'NEW MODEL BY SES'!$C$17:$R$17,0),0),"")</f>
        <v/>
      </c>
      <c r="P361" s="142" t="str">
        <f>IFERROR(VLOOKUP($C361,'NEW MODEL BY SES'!$C$19:$R$242,MATCH('SeS in Retail Sales Areas'!P$7,'NEW MODEL BY SES'!$C$17:$R$17,0),0),"")</f>
        <v/>
      </c>
      <c r="Q361" s="140" t="str">
        <f>IFERROR(VLOOKUP($C361,'NEW MODEL BY SES'!$C$19:$R$242,MATCH('SeS in Retail Sales Areas'!Q$7,'NEW MODEL BY SES'!$C$17:$R$17,0),0),"")</f>
        <v/>
      </c>
      <c r="R361" s="142" t="str">
        <f>IFERROR(VLOOKUP($C361,'NEW MODEL BY SES'!$C$19:$R$242,MATCH('SeS in Retail Sales Areas'!R$7,'NEW MODEL BY SES'!$C$17:$R$17,0),0),"")</f>
        <v/>
      </c>
      <c r="S361" s="141" t="str">
        <f>IFERROR(VLOOKUP($C361,'NEW MODEL BY SES'!$C$19:$R$242,MATCH('SeS in Retail Sales Areas'!S$7,'NEW MODEL BY SES'!$C$17:$R$17,0),0),"")</f>
        <v/>
      </c>
      <c r="T361" s="140" t="str">
        <f>IFERROR(VLOOKUP($C361,'NEW MODEL BY SES'!$C$19:$R$242,MATCH('SeS in Retail Sales Areas'!T$7,'NEW MODEL BY SES'!$C$17:$R$17,0),0),"")</f>
        <v/>
      </c>
      <c r="U361" s="142" t="str">
        <f>IFERROR(VLOOKUP($C361,'NEW MODEL BY SES'!$C$19:$R$242,MATCH('SeS in Retail Sales Areas'!U$7,'NEW MODEL BY SES'!$C$17:$R$17,0),0),"")</f>
        <v/>
      </c>
      <c r="V361" s="140" t="str">
        <f>IFERROR(VLOOKUP($C361,'NEW MODEL BY SES'!$C$19:$R$242,MATCH('SeS in Retail Sales Areas'!V$7,'NEW MODEL BY SES'!$C$17:$R$17,0),0),"")</f>
        <v/>
      </c>
      <c r="W361" s="141" t="str">
        <f>IFERROR(VLOOKUP($C361,'NEW MODEL BY SES'!$C$19:$R$242,MATCH('SeS in Retail Sales Areas'!W$7,'NEW MODEL BY SES'!$C$17:$R$17,0),0),"")</f>
        <v/>
      </c>
      <c r="X361" s="140" t="str">
        <f>IFERROR(VLOOKUP($C361,'NEW MODEL BY SES'!$C$19:$R$242,MATCH('SeS in Retail Sales Areas'!X$7,'NEW MODEL BY SES'!$C$17:$R$17,0),0),"")</f>
        <v/>
      </c>
      <c r="Z361" s="57"/>
    </row>
    <row r="362" spans="1:26">
      <c r="A362" t="s">
        <v>1280</v>
      </c>
      <c r="B362" s="57">
        <v>47</v>
      </c>
      <c r="C362" t="s">
        <v>1302</v>
      </c>
      <c r="D362" t="s">
        <v>44</v>
      </c>
      <c r="E362"/>
      <c r="F362" s="140" t="str">
        <f>IFERROR(VLOOKUP($C362,'NEW MODEL BY SES'!$C$19:$R$242,MATCH('SeS in Retail Sales Areas'!F$7,'NEW MODEL BY SES'!$C$17:$R$17,0),0),"")</f>
        <v/>
      </c>
      <c r="G362" s="140" t="str">
        <f>IFERROR(VLOOKUP($C362,'NEW MODEL BY SES'!$C$19:$R$242,MATCH('SeS in Retail Sales Areas'!G$7,'NEW MODEL BY SES'!$C$17:$R$17,0),0),"")</f>
        <v/>
      </c>
      <c r="H362" s="142" t="str">
        <f>IFERROR(VLOOKUP($C362,'NEW MODEL BY SES'!$C$19:$R$242,MATCH('SeS in Retail Sales Areas'!H$7,'NEW MODEL BY SES'!$C$17:$R$17,0),0),"")</f>
        <v/>
      </c>
      <c r="I362" s="140" t="str">
        <f>IFERROR(VLOOKUP($C362,'NEW MODEL BY SES'!$C$19:$R$242,MATCH('SeS in Retail Sales Areas'!I$7,'NEW MODEL BY SES'!$C$17:$R$17,0),0),"")</f>
        <v/>
      </c>
      <c r="J362" s="142" t="str">
        <f>IFERROR(VLOOKUP($C362,'NEW MODEL BY SES'!$C$19:$R$242,MATCH('SeS in Retail Sales Areas'!J$7,'NEW MODEL BY SES'!$C$17:$R$17,0),0),"")</f>
        <v/>
      </c>
      <c r="K362" s="140" t="str">
        <f>IFERROR(VLOOKUP($C362,'NEW MODEL BY SES'!$C$19:$R$242,MATCH('SeS in Retail Sales Areas'!K$7,'NEW MODEL BY SES'!$C$17:$R$17,0),0),"")</f>
        <v/>
      </c>
      <c r="L362" s="142" t="str">
        <f>IFERROR(VLOOKUP($C362,'NEW MODEL BY SES'!$C$19:$R$242,MATCH('SeS in Retail Sales Areas'!L$7,'NEW MODEL BY SES'!$C$17:$R$17,0),0),"")</f>
        <v/>
      </c>
      <c r="M362" s="140" t="str">
        <f>IFERROR(VLOOKUP($C362,'NEW MODEL BY SES'!$C$19:$R$242,MATCH('SeS in Retail Sales Areas'!M$7,'NEW MODEL BY SES'!$C$17:$R$17,0),0),"")</f>
        <v/>
      </c>
      <c r="N362" s="142" t="str">
        <f>IFERROR(VLOOKUP($C362,'NEW MODEL BY SES'!$C$19:$R$242,MATCH('SeS in Retail Sales Areas'!N$7,'NEW MODEL BY SES'!$C$17:$R$17,0),0),"")</f>
        <v/>
      </c>
      <c r="O362" s="140" t="str">
        <f>IFERROR(VLOOKUP($C362,'NEW MODEL BY SES'!$C$19:$R$242,MATCH('SeS in Retail Sales Areas'!O$7,'NEW MODEL BY SES'!$C$17:$R$17,0),0),"")</f>
        <v/>
      </c>
      <c r="P362" s="142" t="str">
        <f>IFERROR(VLOOKUP($C362,'NEW MODEL BY SES'!$C$19:$R$242,MATCH('SeS in Retail Sales Areas'!P$7,'NEW MODEL BY SES'!$C$17:$R$17,0),0),"")</f>
        <v/>
      </c>
      <c r="Q362" s="140" t="str">
        <f>IFERROR(VLOOKUP($C362,'NEW MODEL BY SES'!$C$19:$R$242,MATCH('SeS in Retail Sales Areas'!Q$7,'NEW MODEL BY SES'!$C$17:$R$17,0),0),"")</f>
        <v/>
      </c>
      <c r="R362" s="142" t="str">
        <f>IFERROR(VLOOKUP($C362,'NEW MODEL BY SES'!$C$19:$R$242,MATCH('SeS in Retail Sales Areas'!R$7,'NEW MODEL BY SES'!$C$17:$R$17,0),0),"")</f>
        <v/>
      </c>
      <c r="S362" s="141" t="str">
        <f>IFERROR(VLOOKUP($C362,'NEW MODEL BY SES'!$C$19:$R$242,MATCH('SeS in Retail Sales Areas'!S$7,'NEW MODEL BY SES'!$C$17:$R$17,0),0),"")</f>
        <v/>
      </c>
      <c r="T362" s="140" t="str">
        <f>IFERROR(VLOOKUP($C362,'NEW MODEL BY SES'!$C$19:$R$242,MATCH('SeS in Retail Sales Areas'!T$7,'NEW MODEL BY SES'!$C$17:$R$17,0),0),"")</f>
        <v/>
      </c>
      <c r="U362" s="142" t="str">
        <f>IFERROR(VLOOKUP($C362,'NEW MODEL BY SES'!$C$19:$R$242,MATCH('SeS in Retail Sales Areas'!U$7,'NEW MODEL BY SES'!$C$17:$R$17,0),0),"")</f>
        <v/>
      </c>
      <c r="V362" s="140" t="str">
        <f>IFERROR(VLOOKUP($C362,'NEW MODEL BY SES'!$C$19:$R$242,MATCH('SeS in Retail Sales Areas'!V$7,'NEW MODEL BY SES'!$C$17:$R$17,0),0),"")</f>
        <v/>
      </c>
      <c r="W362" s="141" t="str">
        <f>IFERROR(VLOOKUP($C362,'NEW MODEL BY SES'!$C$19:$R$242,MATCH('SeS in Retail Sales Areas'!W$7,'NEW MODEL BY SES'!$C$17:$R$17,0),0),"")</f>
        <v/>
      </c>
      <c r="X362" s="140" t="str">
        <f>IFERROR(VLOOKUP($C362,'NEW MODEL BY SES'!$C$19:$R$242,MATCH('SeS in Retail Sales Areas'!X$7,'NEW MODEL BY SES'!$C$17:$R$17,0),0),"")</f>
        <v/>
      </c>
      <c r="Z362" s="57"/>
    </row>
    <row r="363" spans="1:26">
      <c r="A363" t="s">
        <v>1280</v>
      </c>
      <c r="B363" s="57">
        <v>42</v>
      </c>
      <c r="C363" t="s">
        <v>1303</v>
      </c>
      <c r="D363" t="s">
        <v>44</v>
      </c>
      <c r="E363"/>
      <c r="F363" s="140" t="str">
        <f>IFERROR(VLOOKUP($C363,'NEW MODEL BY SES'!$C$19:$R$242,MATCH('SeS in Retail Sales Areas'!F$7,'NEW MODEL BY SES'!$C$17:$R$17,0),0),"")</f>
        <v/>
      </c>
      <c r="G363" s="140" t="str">
        <f>IFERROR(VLOOKUP($C363,'NEW MODEL BY SES'!$C$19:$R$242,MATCH('SeS in Retail Sales Areas'!G$7,'NEW MODEL BY SES'!$C$17:$R$17,0),0),"")</f>
        <v/>
      </c>
      <c r="H363" s="142" t="str">
        <f>IFERROR(VLOOKUP($C363,'NEW MODEL BY SES'!$C$19:$R$242,MATCH('SeS in Retail Sales Areas'!H$7,'NEW MODEL BY SES'!$C$17:$R$17,0),0),"")</f>
        <v/>
      </c>
      <c r="I363" s="140" t="str">
        <f>IFERROR(VLOOKUP($C363,'NEW MODEL BY SES'!$C$19:$R$242,MATCH('SeS in Retail Sales Areas'!I$7,'NEW MODEL BY SES'!$C$17:$R$17,0),0),"")</f>
        <v/>
      </c>
      <c r="J363" s="142" t="str">
        <f>IFERROR(VLOOKUP($C363,'NEW MODEL BY SES'!$C$19:$R$242,MATCH('SeS in Retail Sales Areas'!J$7,'NEW MODEL BY SES'!$C$17:$R$17,0),0),"")</f>
        <v/>
      </c>
      <c r="K363" s="140" t="str">
        <f>IFERROR(VLOOKUP($C363,'NEW MODEL BY SES'!$C$19:$R$242,MATCH('SeS in Retail Sales Areas'!K$7,'NEW MODEL BY SES'!$C$17:$R$17,0),0),"")</f>
        <v/>
      </c>
      <c r="L363" s="142" t="str">
        <f>IFERROR(VLOOKUP($C363,'NEW MODEL BY SES'!$C$19:$R$242,MATCH('SeS in Retail Sales Areas'!L$7,'NEW MODEL BY SES'!$C$17:$R$17,0),0),"")</f>
        <v/>
      </c>
      <c r="M363" s="140" t="str">
        <f>IFERROR(VLOOKUP($C363,'NEW MODEL BY SES'!$C$19:$R$242,MATCH('SeS in Retail Sales Areas'!M$7,'NEW MODEL BY SES'!$C$17:$R$17,0),0),"")</f>
        <v/>
      </c>
      <c r="N363" s="142" t="str">
        <f>IFERROR(VLOOKUP($C363,'NEW MODEL BY SES'!$C$19:$R$242,MATCH('SeS in Retail Sales Areas'!N$7,'NEW MODEL BY SES'!$C$17:$R$17,0),0),"")</f>
        <v/>
      </c>
      <c r="O363" s="140" t="str">
        <f>IFERROR(VLOOKUP($C363,'NEW MODEL BY SES'!$C$19:$R$242,MATCH('SeS in Retail Sales Areas'!O$7,'NEW MODEL BY SES'!$C$17:$R$17,0),0),"")</f>
        <v/>
      </c>
      <c r="P363" s="142" t="str">
        <f>IFERROR(VLOOKUP($C363,'NEW MODEL BY SES'!$C$19:$R$242,MATCH('SeS in Retail Sales Areas'!P$7,'NEW MODEL BY SES'!$C$17:$R$17,0),0),"")</f>
        <v/>
      </c>
      <c r="Q363" s="140" t="str">
        <f>IFERROR(VLOOKUP($C363,'NEW MODEL BY SES'!$C$19:$R$242,MATCH('SeS in Retail Sales Areas'!Q$7,'NEW MODEL BY SES'!$C$17:$R$17,0),0),"")</f>
        <v/>
      </c>
      <c r="R363" s="142" t="str">
        <f>IFERROR(VLOOKUP($C363,'NEW MODEL BY SES'!$C$19:$R$242,MATCH('SeS in Retail Sales Areas'!R$7,'NEW MODEL BY SES'!$C$17:$R$17,0),0),"")</f>
        <v/>
      </c>
      <c r="S363" s="141" t="str">
        <f>IFERROR(VLOOKUP($C363,'NEW MODEL BY SES'!$C$19:$R$242,MATCH('SeS in Retail Sales Areas'!S$7,'NEW MODEL BY SES'!$C$17:$R$17,0),0),"")</f>
        <v/>
      </c>
      <c r="T363" s="140" t="str">
        <f>IFERROR(VLOOKUP($C363,'NEW MODEL BY SES'!$C$19:$R$242,MATCH('SeS in Retail Sales Areas'!T$7,'NEW MODEL BY SES'!$C$17:$R$17,0),0),"")</f>
        <v/>
      </c>
      <c r="U363" s="142" t="str">
        <f>IFERROR(VLOOKUP($C363,'NEW MODEL BY SES'!$C$19:$R$242,MATCH('SeS in Retail Sales Areas'!U$7,'NEW MODEL BY SES'!$C$17:$R$17,0),0),"")</f>
        <v/>
      </c>
      <c r="V363" s="140" t="str">
        <f>IFERROR(VLOOKUP($C363,'NEW MODEL BY SES'!$C$19:$R$242,MATCH('SeS in Retail Sales Areas'!V$7,'NEW MODEL BY SES'!$C$17:$R$17,0),0),"")</f>
        <v/>
      </c>
      <c r="W363" s="141" t="str">
        <f>IFERROR(VLOOKUP($C363,'NEW MODEL BY SES'!$C$19:$R$242,MATCH('SeS in Retail Sales Areas'!W$7,'NEW MODEL BY SES'!$C$17:$R$17,0),0),"")</f>
        <v/>
      </c>
      <c r="X363" s="140" t="str">
        <f>IFERROR(VLOOKUP($C363,'NEW MODEL BY SES'!$C$19:$R$242,MATCH('SeS in Retail Sales Areas'!X$7,'NEW MODEL BY SES'!$C$17:$R$17,0),0),"")</f>
        <v/>
      </c>
      <c r="Z363" s="57"/>
    </row>
    <row r="364" spans="1:26">
      <c r="A364" t="s">
        <v>1280</v>
      </c>
      <c r="B364" s="57">
        <v>42</v>
      </c>
      <c r="C364" t="s">
        <v>1304</v>
      </c>
      <c r="D364" t="s">
        <v>44</v>
      </c>
      <c r="E364"/>
      <c r="F364" s="140" t="str">
        <f>IFERROR(VLOOKUP($C364,'NEW MODEL BY SES'!$C$19:$R$242,MATCH('SeS in Retail Sales Areas'!F$7,'NEW MODEL BY SES'!$C$17:$R$17,0),0),"")</f>
        <v/>
      </c>
      <c r="G364" s="140" t="str">
        <f>IFERROR(VLOOKUP($C364,'NEW MODEL BY SES'!$C$19:$R$242,MATCH('SeS in Retail Sales Areas'!G$7,'NEW MODEL BY SES'!$C$17:$R$17,0),0),"")</f>
        <v/>
      </c>
      <c r="H364" s="142" t="str">
        <f>IFERROR(VLOOKUP($C364,'NEW MODEL BY SES'!$C$19:$R$242,MATCH('SeS in Retail Sales Areas'!H$7,'NEW MODEL BY SES'!$C$17:$R$17,0),0),"")</f>
        <v/>
      </c>
      <c r="I364" s="140" t="str">
        <f>IFERROR(VLOOKUP($C364,'NEW MODEL BY SES'!$C$19:$R$242,MATCH('SeS in Retail Sales Areas'!I$7,'NEW MODEL BY SES'!$C$17:$R$17,0),0),"")</f>
        <v/>
      </c>
      <c r="J364" s="142" t="str">
        <f>IFERROR(VLOOKUP($C364,'NEW MODEL BY SES'!$C$19:$R$242,MATCH('SeS in Retail Sales Areas'!J$7,'NEW MODEL BY SES'!$C$17:$R$17,0),0),"")</f>
        <v/>
      </c>
      <c r="K364" s="140" t="str">
        <f>IFERROR(VLOOKUP($C364,'NEW MODEL BY SES'!$C$19:$R$242,MATCH('SeS in Retail Sales Areas'!K$7,'NEW MODEL BY SES'!$C$17:$R$17,0),0),"")</f>
        <v/>
      </c>
      <c r="L364" s="142" t="str">
        <f>IFERROR(VLOOKUP($C364,'NEW MODEL BY SES'!$C$19:$R$242,MATCH('SeS in Retail Sales Areas'!L$7,'NEW MODEL BY SES'!$C$17:$R$17,0),0),"")</f>
        <v/>
      </c>
      <c r="M364" s="140" t="str">
        <f>IFERROR(VLOOKUP($C364,'NEW MODEL BY SES'!$C$19:$R$242,MATCH('SeS in Retail Sales Areas'!M$7,'NEW MODEL BY SES'!$C$17:$R$17,0),0),"")</f>
        <v/>
      </c>
      <c r="N364" s="142" t="str">
        <f>IFERROR(VLOOKUP($C364,'NEW MODEL BY SES'!$C$19:$R$242,MATCH('SeS in Retail Sales Areas'!N$7,'NEW MODEL BY SES'!$C$17:$R$17,0),0),"")</f>
        <v/>
      </c>
      <c r="O364" s="140" t="str">
        <f>IFERROR(VLOOKUP($C364,'NEW MODEL BY SES'!$C$19:$R$242,MATCH('SeS in Retail Sales Areas'!O$7,'NEW MODEL BY SES'!$C$17:$R$17,0),0),"")</f>
        <v/>
      </c>
      <c r="P364" s="142" t="str">
        <f>IFERROR(VLOOKUP($C364,'NEW MODEL BY SES'!$C$19:$R$242,MATCH('SeS in Retail Sales Areas'!P$7,'NEW MODEL BY SES'!$C$17:$R$17,0),0),"")</f>
        <v/>
      </c>
      <c r="Q364" s="140" t="str">
        <f>IFERROR(VLOOKUP($C364,'NEW MODEL BY SES'!$C$19:$R$242,MATCH('SeS in Retail Sales Areas'!Q$7,'NEW MODEL BY SES'!$C$17:$R$17,0),0),"")</f>
        <v/>
      </c>
      <c r="R364" s="142" t="str">
        <f>IFERROR(VLOOKUP($C364,'NEW MODEL BY SES'!$C$19:$R$242,MATCH('SeS in Retail Sales Areas'!R$7,'NEW MODEL BY SES'!$C$17:$R$17,0),0),"")</f>
        <v/>
      </c>
      <c r="S364" s="141" t="str">
        <f>IFERROR(VLOOKUP($C364,'NEW MODEL BY SES'!$C$19:$R$242,MATCH('SeS in Retail Sales Areas'!S$7,'NEW MODEL BY SES'!$C$17:$R$17,0),0),"")</f>
        <v/>
      </c>
      <c r="T364" s="140" t="str">
        <f>IFERROR(VLOOKUP($C364,'NEW MODEL BY SES'!$C$19:$R$242,MATCH('SeS in Retail Sales Areas'!T$7,'NEW MODEL BY SES'!$C$17:$R$17,0),0),"")</f>
        <v/>
      </c>
      <c r="U364" s="142" t="str">
        <f>IFERROR(VLOOKUP($C364,'NEW MODEL BY SES'!$C$19:$R$242,MATCH('SeS in Retail Sales Areas'!U$7,'NEW MODEL BY SES'!$C$17:$R$17,0),0),"")</f>
        <v/>
      </c>
      <c r="V364" s="140" t="str">
        <f>IFERROR(VLOOKUP($C364,'NEW MODEL BY SES'!$C$19:$R$242,MATCH('SeS in Retail Sales Areas'!V$7,'NEW MODEL BY SES'!$C$17:$R$17,0),0),"")</f>
        <v/>
      </c>
      <c r="W364" s="141" t="str">
        <f>IFERROR(VLOOKUP($C364,'NEW MODEL BY SES'!$C$19:$R$242,MATCH('SeS in Retail Sales Areas'!W$7,'NEW MODEL BY SES'!$C$17:$R$17,0),0),"")</f>
        <v/>
      </c>
      <c r="X364" s="140" t="str">
        <f>IFERROR(VLOOKUP($C364,'NEW MODEL BY SES'!$C$19:$R$242,MATCH('SeS in Retail Sales Areas'!X$7,'NEW MODEL BY SES'!$C$17:$R$17,0),0),"")</f>
        <v/>
      </c>
      <c r="Z364" s="57"/>
    </row>
    <row r="365" spans="1:26">
      <c r="A365" t="s">
        <v>1305</v>
      </c>
      <c r="B365" s="57">
        <v>195</v>
      </c>
      <c r="C365" t="s">
        <v>1306</v>
      </c>
      <c r="D365" t="s">
        <v>33</v>
      </c>
      <c r="E365"/>
      <c r="F365" s="140" t="str">
        <f>IFERROR(VLOOKUP($C365,'NEW MODEL BY SES'!$C$19:$R$242,MATCH('SeS in Retail Sales Areas'!F$7,'NEW MODEL BY SES'!$C$17:$R$17,0),0),"")</f>
        <v/>
      </c>
      <c r="G365" s="140" t="str">
        <f>IFERROR(VLOOKUP($C365,'NEW MODEL BY SES'!$C$19:$R$242,MATCH('SeS in Retail Sales Areas'!G$7,'NEW MODEL BY SES'!$C$17:$R$17,0),0),"")</f>
        <v/>
      </c>
      <c r="H365" s="142" t="str">
        <f>IFERROR(VLOOKUP($C365,'NEW MODEL BY SES'!$C$19:$R$242,MATCH('SeS in Retail Sales Areas'!H$7,'NEW MODEL BY SES'!$C$17:$R$17,0),0),"")</f>
        <v/>
      </c>
      <c r="I365" s="140" t="str">
        <f>IFERROR(VLOOKUP($C365,'NEW MODEL BY SES'!$C$19:$R$242,MATCH('SeS in Retail Sales Areas'!I$7,'NEW MODEL BY SES'!$C$17:$R$17,0),0),"")</f>
        <v/>
      </c>
      <c r="J365" s="142" t="str">
        <f>IFERROR(VLOOKUP($C365,'NEW MODEL BY SES'!$C$19:$R$242,MATCH('SeS in Retail Sales Areas'!J$7,'NEW MODEL BY SES'!$C$17:$R$17,0),0),"")</f>
        <v/>
      </c>
      <c r="K365" s="140" t="str">
        <f>IFERROR(VLOOKUP($C365,'NEW MODEL BY SES'!$C$19:$R$242,MATCH('SeS in Retail Sales Areas'!K$7,'NEW MODEL BY SES'!$C$17:$R$17,0),0),"")</f>
        <v/>
      </c>
      <c r="L365" s="142" t="str">
        <f>IFERROR(VLOOKUP($C365,'NEW MODEL BY SES'!$C$19:$R$242,MATCH('SeS in Retail Sales Areas'!L$7,'NEW MODEL BY SES'!$C$17:$R$17,0),0),"")</f>
        <v/>
      </c>
      <c r="M365" s="140" t="str">
        <f>IFERROR(VLOOKUP($C365,'NEW MODEL BY SES'!$C$19:$R$242,MATCH('SeS in Retail Sales Areas'!M$7,'NEW MODEL BY SES'!$C$17:$R$17,0),0),"")</f>
        <v/>
      </c>
      <c r="N365" s="142" t="str">
        <f>IFERROR(VLOOKUP($C365,'NEW MODEL BY SES'!$C$19:$R$242,MATCH('SeS in Retail Sales Areas'!N$7,'NEW MODEL BY SES'!$C$17:$R$17,0),0),"")</f>
        <v/>
      </c>
      <c r="O365" s="140" t="str">
        <f>IFERROR(VLOOKUP($C365,'NEW MODEL BY SES'!$C$19:$R$242,MATCH('SeS in Retail Sales Areas'!O$7,'NEW MODEL BY SES'!$C$17:$R$17,0),0),"")</f>
        <v/>
      </c>
      <c r="P365" s="142" t="str">
        <f>IFERROR(VLOOKUP($C365,'NEW MODEL BY SES'!$C$19:$R$242,MATCH('SeS in Retail Sales Areas'!P$7,'NEW MODEL BY SES'!$C$17:$R$17,0),0),"")</f>
        <v/>
      </c>
      <c r="Q365" s="140" t="str">
        <f>IFERROR(VLOOKUP($C365,'NEW MODEL BY SES'!$C$19:$R$242,MATCH('SeS in Retail Sales Areas'!Q$7,'NEW MODEL BY SES'!$C$17:$R$17,0),0),"")</f>
        <v/>
      </c>
      <c r="R365" s="142" t="str">
        <f>IFERROR(VLOOKUP($C365,'NEW MODEL BY SES'!$C$19:$R$242,MATCH('SeS in Retail Sales Areas'!R$7,'NEW MODEL BY SES'!$C$17:$R$17,0),0),"")</f>
        <v/>
      </c>
      <c r="S365" s="141" t="str">
        <f>IFERROR(VLOOKUP($C365,'NEW MODEL BY SES'!$C$19:$R$242,MATCH('SeS in Retail Sales Areas'!S$7,'NEW MODEL BY SES'!$C$17:$R$17,0),0),"")</f>
        <v/>
      </c>
      <c r="T365" s="140" t="str">
        <f>IFERROR(VLOOKUP($C365,'NEW MODEL BY SES'!$C$19:$R$242,MATCH('SeS in Retail Sales Areas'!T$7,'NEW MODEL BY SES'!$C$17:$R$17,0),0),"")</f>
        <v/>
      </c>
      <c r="U365" s="142" t="str">
        <f>IFERROR(VLOOKUP($C365,'NEW MODEL BY SES'!$C$19:$R$242,MATCH('SeS in Retail Sales Areas'!U$7,'NEW MODEL BY SES'!$C$17:$R$17,0),0),"")</f>
        <v/>
      </c>
      <c r="V365" s="140" t="str">
        <f>IFERROR(VLOOKUP($C365,'NEW MODEL BY SES'!$C$19:$R$242,MATCH('SeS in Retail Sales Areas'!V$7,'NEW MODEL BY SES'!$C$17:$R$17,0),0),"")</f>
        <v/>
      </c>
      <c r="W365" s="141" t="str">
        <f>IFERROR(VLOOKUP($C365,'NEW MODEL BY SES'!$C$19:$R$242,MATCH('SeS in Retail Sales Areas'!W$7,'NEW MODEL BY SES'!$C$17:$R$17,0),0),"")</f>
        <v/>
      </c>
      <c r="X365" s="140" t="str">
        <f>IFERROR(VLOOKUP($C365,'NEW MODEL BY SES'!$C$19:$R$242,MATCH('SeS in Retail Sales Areas'!X$7,'NEW MODEL BY SES'!$C$17:$R$17,0),0),"")</f>
        <v/>
      </c>
      <c r="Z365" s="57"/>
    </row>
    <row r="366" spans="1:26">
      <c r="A366" t="s">
        <v>1305</v>
      </c>
      <c r="B366" s="57">
        <v>178</v>
      </c>
      <c r="C366" t="s">
        <v>1307</v>
      </c>
      <c r="D366" t="s">
        <v>33</v>
      </c>
      <c r="E366"/>
      <c r="F366" s="140" t="str">
        <f>IFERROR(VLOOKUP($C366,'NEW MODEL BY SES'!$C$19:$R$242,MATCH('SeS in Retail Sales Areas'!F$7,'NEW MODEL BY SES'!$C$17:$R$17,0),0),"")</f>
        <v/>
      </c>
      <c r="G366" s="140" t="str">
        <f>IFERROR(VLOOKUP($C366,'NEW MODEL BY SES'!$C$19:$R$242,MATCH('SeS in Retail Sales Areas'!G$7,'NEW MODEL BY SES'!$C$17:$R$17,0),0),"")</f>
        <v/>
      </c>
      <c r="H366" s="142" t="str">
        <f>IFERROR(VLOOKUP($C366,'NEW MODEL BY SES'!$C$19:$R$242,MATCH('SeS in Retail Sales Areas'!H$7,'NEW MODEL BY SES'!$C$17:$R$17,0),0),"")</f>
        <v/>
      </c>
      <c r="I366" s="140" t="str">
        <f>IFERROR(VLOOKUP($C366,'NEW MODEL BY SES'!$C$19:$R$242,MATCH('SeS in Retail Sales Areas'!I$7,'NEW MODEL BY SES'!$C$17:$R$17,0),0),"")</f>
        <v/>
      </c>
      <c r="J366" s="142" t="str">
        <f>IFERROR(VLOOKUP($C366,'NEW MODEL BY SES'!$C$19:$R$242,MATCH('SeS in Retail Sales Areas'!J$7,'NEW MODEL BY SES'!$C$17:$R$17,0),0),"")</f>
        <v/>
      </c>
      <c r="K366" s="140" t="str">
        <f>IFERROR(VLOOKUP($C366,'NEW MODEL BY SES'!$C$19:$R$242,MATCH('SeS in Retail Sales Areas'!K$7,'NEW MODEL BY SES'!$C$17:$R$17,0),0),"")</f>
        <v/>
      </c>
      <c r="L366" s="142" t="str">
        <f>IFERROR(VLOOKUP($C366,'NEW MODEL BY SES'!$C$19:$R$242,MATCH('SeS in Retail Sales Areas'!L$7,'NEW MODEL BY SES'!$C$17:$R$17,0),0),"")</f>
        <v/>
      </c>
      <c r="M366" s="140" t="str">
        <f>IFERROR(VLOOKUP($C366,'NEW MODEL BY SES'!$C$19:$R$242,MATCH('SeS in Retail Sales Areas'!M$7,'NEW MODEL BY SES'!$C$17:$R$17,0),0),"")</f>
        <v/>
      </c>
      <c r="N366" s="142" t="str">
        <f>IFERROR(VLOOKUP($C366,'NEW MODEL BY SES'!$C$19:$R$242,MATCH('SeS in Retail Sales Areas'!N$7,'NEW MODEL BY SES'!$C$17:$R$17,0),0),"")</f>
        <v/>
      </c>
      <c r="O366" s="140" t="str">
        <f>IFERROR(VLOOKUP($C366,'NEW MODEL BY SES'!$C$19:$R$242,MATCH('SeS in Retail Sales Areas'!O$7,'NEW MODEL BY SES'!$C$17:$R$17,0),0),"")</f>
        <v/>
      </c>
      <c r="P366" s="142" t="str">
        <f>IFERROR(VLOOKUP($C366,'NEW MODEL BY SES'!$C$19:$R$242,MATCH('SeS in Retail Sales Areas'!P$7,'NEW MODEL BY SES'!$C$17:$R$17,0),0),"")</f>
        <v/>
      </c>
      <c r="Q366" s="140" t="str">
        <f>IFERROR(VLOOKUP($C366,'NEW MODEL BY SES'!$C$19:$R$242,MATCH('SeS in Retail Sales Areas'!Q$7,'NEW MODEL BY SES'!$C$17:$R$17,0),0),"")</f>
        <v/>
      </c>
      <c r="R366" s="142" t="str">
        <f>IFERROR(VLOOKUP($C366,'NEW MODEL BY SES'!$C$19:$R$242,MATCH('SeS in Retail Sales Areas'!R$7,'NEW MODEL BY SES'!$C$17:$R$17,0),0),"")</f>
        <v/>
      </c>
      <c r="S366" s="141" t="str">
        <f>IFERROR(VLOOKUP($C366,'NEW MODEL BY SES'!$C$19:$R$242,MATCH('SeS in Retail Sales Areas'!S$7,'NEW MODEL BY SES'!$C$17:$R$17,0),0),"")</f>
        <v/>
      </c>
      <c r="T366" s="140" t="str">
        <f>IFERROR(VLOOKUP($C366,'NEW MODEL BY SES'!$C$19:$R$242,MATCH('SeS in Retail Sales Areas'!T$7,'NEW MODEL BY SES'!$C$17:$R$17,0),0),"")</f>
        <v/>
      </c>
      <c r="U366" s="142" t="str">
        <f>IFERROR(VLOOKUP($C366,'NEW MODEL BY SES'!$C$19:$R$242,MATCH('SeS in Retail Sales Areas'!U$7,'NEW MODEL BY SES'!$C$17:$R$17,0),0),"")</f>
        <v/>
      </c>
      <c r="V366" s="140" t="str">
        <f>IFERROR(VLOOKUP($C366,'NEW MODEL BY SES'!$C$19:$R$242,MATCH('SeS in Retail Sales Areas'!V$7,'NEW MODEL BY SES'!$C$17:$R$17,0),0),"")</f>
        <v/>
      </c>
      <c r="W366" s="141" t="str">
        <f>IFERROR(VLOOKUP($C366,'NEW MODEL BY SES'!$C$19:$R$242,MATCH('SeS in Retail Sales Areas'!W$7,'NEW MODEL BY SES'!$C$17:$R$17,0),0),"")</f>
        <v/>
      </c>
      <c r="X366" s="140" t="str">
        <f>IFERROR(VLOOKUP($C366,'NEW MODEL BY SES'!$C$19:$R$242,MATCH('SeS in Retail Sales Areas'!X$7,'NEW MODEL BY SES'!$C$17:$R$17,0),0),"")</f>
        <v/>
      </c>
      <c r="Z366" s="57"/>
    </row>
    <row r="367" spans="1:26">
      <c r="A367" t="s">
        <v>1305</v>
      </c>
      <c r="B367" s="57">
        <v>168</v>
      </c>
      <c r="C367" t="s">
        <v>1308</v>
      </c>
      <c r="D367" t="s">
        <v>33</v>
      </c>
      <c r="E367"/>
      <c r="F367" s="140" t="str">
        <f>IFERROR(VLOOKUP($C367,'NEW MODEL BY SES'!$C$19:$R$242,MATCH('SeS in Retail Sales Areas'!F$7,'NEW MODEL BY SES'!$C$17:$R$17,0),0),"")</f>
        <v/>
      </c>
      <c r="G367" s="140" t="str">
        <f>IFERROR(VLOOKUP($C367,'NEW MODEL BY SES'!$C$19:$R$242,MATCH('SeS in Retail Sales Areas'!G$7,'NEW MODEL BY SES'!$C$17:$R$17,0),0),"")</f>
        <v/>
      </c>
      <c r="H367" s="142" t="str">
        <f>IFERROR(VLOOKUP($C367,'NEW MODEL BY SES'!$C$19:$R$242,MATCH('SeS in Retail Sales Areas'!H$7,'NEW MODEL BY SES'!$C$17:$R$17,0),0),"")</f>
        <v/>
      </c>
      <c r="I367" s="140" t="str">
        <f>IFERROR(VLOOKUP($C367,'NEW MODEL BY SES'!$C$19:$R$242,MATCH('SeS in Retail Sales Areas'!I$7,'NEW MODEL BY SES'!$C$17:$R$17,0),0),"")</f>
        <v/>
      </c>
      <c r="J367" s="142" t="str">
        <f>IFERROR(VLOOKUP($C367,'NEW MODEL BY SES'!$C$19:$R$242,MATCH('SeS in Retail Sales Areas'!J$7,'NEW MODEL BY SES'!$C$17:$R$17,0),0),"")</f>
        <v/>
      </c>
      <c r="K367" s="140" t="str">
        <f>IFERROR(VLOOKUP($C367,'NEW MODEL BY SES'!$C$19:$R$242,MATCH('SeS in Retail Sales Areas'!K$7,'NEW MODEL BY SES'!$C$17:$R$17,0),0),"")</f>
        <v/>
      </c>
      <c r="L367" s="142" t="str">
        <f>IFERROR(VLOOKUP($C367,'NEW MODEL BY SES'!$C$19:$R$242,MATCH('SeS in Retail Sales Areas'!L$7,'NEW MODEL BY SES'!$C$17:$R$17,0),0),"")</f>
        <v/>
      </c>
      <c r="M367" s="140" t="str">
        <f>IFERROR(VLOOKUP($C367,'NEW MODEL BY SES'!$C$19:$R$242,MATCH('SeS in Retail Sales Areas'!M$7,'NEW MODEL BY SES'!$C$17:$R$17,0),0),"")</f>
        <v/>
      </c>
      <c r="N367" s="142" t="str">
        <f>IFERROR(VLOOKUP($C367,'NEW MODEL BY SES'!$C$19:$R$242,MATCH('SeS in Retail Sales Areas'!N$7,'NEW MODEL BY SES'!$C$17:$R$17,0),0),"")</f>
        <v/>
      </c>
      <c r="O367" s="140" t="str">
        <f>IFERROR(VLOOKUP($C367,'NEW MODEL BY SES'!$C$19:$R$242,MATCH('SeS in Retail Sales Areas'!O$7,'NEW MODEL BY SES'!$C$17:$R$17,0),0),"")</f>
        <v/>
      </c>
      <c r="P367" s="142" t="str">
        <f>IFERROR(VLOOKUP($C367,'NEW MODEL BY SES'!$C$19:$R$242,MATCH('SeS in Retail Sales Areas'!P$7,'NEW MODEL BY SES'!$C$17:$R$17,0),0),"")</f>
        <v/>
      </c>
      <c r="Q367" s="140" t="str">
        <f>IFERROR(VLOOKUP($C367,'NEW MODEL BY SES'!$C$19:$R$242,MATCH('SeS in Retail Sales Areas'!Q$7,'NEW MODEL BY SES'!$C$17:$R$17,0),0),"")</f>
        <v/>
      </c>
      <c r="R367" s="142" t="str">
        <f>IFERROR(VLOOKUP($C367,'NEW MODEL BY SES'!$C$19:$R$242,MATCH('SeS in Retail Sales Areas'!R$7,'NEW MODEL BY SES'!$C$17:$R$17,0),0),"")</f>
        <v/>
      </c>
      <c r="S367" s="141" t="str">
        <f>IFERROR(VLOOKUP($C367,'NEW MODEL BY SES'!$C$19:$R$242,MATCH('SeS in Retail Sales Areas'!S$7,'NEW MODEL BY SES'!$C$17:$R$17,0),0),"")</f>
        <v/>
      </c>
      <c r="T367" s="140" t="str">
        <f>IFERROR(VLOOKUP($C367,'NEW MODEL BY SES'!$C$19:$R$242,MATCH('SeS in Retail Sales Areas'!T$7,'NEW MODEL BY SES'!$C$17:$R$17,0),0),"")</f>
        <v/>
      </c>
      <c r="U367" s="142" t="str">
        <f>IFERROR(VLOOKUP($C367,'NEW MODEL BY SES'!$C$19:$R$242,MATCH('SeS in Retail Sales Areas'!U$7,'NEW MODEL BY SES'!$C$17:$R$17,0),0),"")</f>
        <v/>
      </c>
      <c r="V367" s="140" t="str">
        <f>IFERROR(VLOOKUP($C367,'NEW MODEL BY SES'!$C$19:$R$242,MATCH('SeS in Retail Sales Areas'!V$7,'NEW MODEL BY SES'!$C$17:$R$17,0),0),"")</f>
        <v/>
      </c>
      <c r="W367" s="141" t="str">
        <f>IFERROR(VLOOKUP($C367,'NEW MODEL BY SES'!$C$19:$R$242,MATCH('SeS in Retail Sales Areas'!W$7,'NEW MODEL BY SES'!$C$17:$R$17,0),0),"")</f>
        <v/>
      </c>
      <c r="X367" s="140" t="str">
        <f>IFERROR(VLOOKUP($C367,'NEW MODEL BY SES'!$C$19:$R$242,MATCH('SeS in Retail Sales Areas'!X$7,'NEW MODEL BY SES'!$C$17:$R$17,0),0),"")</f>
        <v/>
      </c>
      <c r="Z367" s="57"/>
    </row>
    <row r="368" spans="1:26">
      <c r="A368" t="s">
        <v>1305</v>
      </c>
      <c r="B368" s="57">
        <v>168</v>
      </c>
      <c r="C368" t="s">
        <v>1309</v>
      </c>
      <c r="D368" t="s">
        <v>33</v>
      </c>
      <c r="E368"/>
      <c r="F368" s="140" t="str">
        <f>IFERROR(VLOOKUP($C368,'NEW MODEL BY SES'!$C$19:$R$242,MATCH('SeS in Retail Sales Areas'!F$7,'NEW MODEL BY SES'!$C$17:$R$17,0),0),"")</f>
        <v/>
      </c>
      <c r="G368" s="140" t="str">
        <f>IFERROR(VLOOKUP($C368,'NEW MODEL BY SES'!$C$19:$R$242,MATCH('SeS in Retail Sales Areas'!G$7,'NEW MODEL BY SES'!$C$17:$R$17,0),0),"")</f>
        <v/>
      </c>
      <c r="H368" s="142" t="str">
        <f>IFERROR(VLOOKUP($C368,'NEW MODEL BY SES'!$C$19:$R$242,MATCH('SeS in Retail Sales Areas'!H$7,'NEW MODEL BY SES'!$C$17:$R$17,0),0),"")</f>
        <v/>
      </c>
      <c r="I368" s="140" t="str">
        <f>IFERROR(VLOOKUP($C368,'NEW MODEL BY SES'!$C$19:$R$242,MATCH('SeS in Retail Sales Areas'!I$7,'NEW MODEL BY SES'!$C$17:$R$17,0),0),"")</f>
        <v/>
      </c>
      <c r="J368" s="142" t="str">
        <f>IFERROR(VLOOKUP($C368,'NEW MODEL BY SES'!$C$19:$R$242,MATCH('SeS in Retail Sales Areas'!J$7,'NEW MODEL BY SES'!$C$17:$R$17,0),0),"")</f>
        <v/>
      </c>
      <c r="K368" s="140" t="str">
        <f>IFERROR(VLOOKUP($C368,'NEW MODEL BY SES'!$C$19:$R$242,MATCH('SeS in Retail Sales Areas'!K$7,'NEW MODEL BY SES'!$C$17:$R$17,0),0),"")</f>
        <v/>
      </c>
      <c r="L368" s="142" t="str">
        <f>IFERROR(VLOOKUP($C368,'NEW MODEL BY SES'!$C$19:$R$242,MATCH('SeS in Retail Sales Areas'!L$7,'NEW MODEL BY SES'!$C$17:$R$17,0),0),"")</f>
        <v/>
      </c>
      <c r="M368" s="140" t="str">
        <f>IFERROR(VLOOKUP($C368,'NEW MODEL BY SES'!$C$19:$R$242,MATCH('SeS in Retail Sales Areas'!M$7,'NEW MODEL BY SES'!$C$17:$R$17,0),0),"")</f>
        <v/>
      </c>
      <c r="N368" s="142" t="str">
        <f>IFERROR(VLOOKUP($C368,'NEW MODEL BY SES'!$C$19:$R$242,MATCH('SeS in Retail Sales Areas'!N$7,'NEW MODEL BY SES'!$C$17:$R$17,0),0),"")</f>
        <v/>
      </c>
      <c r="O368" s="140" t="str">
        <f>IFERROR(VLOOKUP($C368,'NEW MODEL BY SES'!$C$19:$R$242,MATCH('SeS in Retail Sales Areas'!O$7,'NEW MODEL BY SES'!$C$17:$R$17,0),0),"")</f>
        <v/>
      </c>
      <c r="P368" s="142" t="str">
        <f>IFERROR(VLOOKUP($C368,'NEW MODEL BY SES'!$C$19:$R$242,MATCH('SeS in Retail Sales Areas'!P$7,'NEW MODEL BY SES'!$C$17:$R$17,0),0),"")</f>
        <v/>
      </c>
      <c r="Q368" s="140" t="str">
        <f>IFERROR(VLOOKUP($C368,'NEW MODEL BY SES'!$C$19:$R$242,MATCH('SeS in Retail Sales Areas'!Q$7,'NEW MODEL BY SES'!$C$17:$R$17,0),0),"")</f>
        <v/>
      </c>
      <c r="R368" s="142" t="str">
        <f>IFERROR(VLOOKUP($C368,'NEW MODEL BY SES'!$C$19:$R$242,MATCH('SeS in Retail Sales Areas'!R$7,'NEW MODEL BY SES'!$C$17:$R$17,0),0),"")</f>
        <v/>
      </c>
      <c r="S368" s="141" t="str">
        <f>IFERROR(VLOOKUP($C368,'NEW MODEL BY SES'!$C$19:$R$242,MATCH('SeS in Retail Sales Areas'!S$7,'NEW MODEL BY SES'!$C$17:$R$17,0),0),"")</f>
        <v/>
      </c>
      <c r="T368" s="140" t="str">
        <f>IFERROR(VLOOKUP($C368,'NEW MODEL BY SES'!$C$19:$R$242,MATCH('SeS in Retail Sales Areas'!T$7,'NEW MODEL BY SES'!$C$17:$R$17,0),0),"")</f>
        <v/>
      </c>
      <c r="U368" s="142" t="str">
        <f>IFERROR(VLOOKUP($C368,'NEW MODEL BY SES'!$C$19:$R$242,MATCH('SeS in Retail Sales Areas'!U$7,'NEW MODEL BY SES'!$C$17:$R$17,0),0),"")</f>
        <v/>
      </c>
      <c r="V368" s="140" t="str">
        <f>IFERROR(VLOOKUP($C368,'NEW MODEL BY SES'!$C$19:$R$242,MATCH('SeS in Retail Sales Areas'!V$7,'NEW MODEL BY SES'!$C$17:$R$17,0),0),"")</f>
        <v/>
      </c>
      <c r="W368" s="141" t="str">
        <f>IFERROR(VLOOKUP($C368,'NEW MODEL BY SES'!$C$19:$R$242,MATCH('SeS in Retail Sales Areas'!W$7,'NEW MODEL BY SES'!$C$17:$R$17,0),0),"")</f>
        <v/>
      </c>
      <c r="X368" s="140" t="str">
        <f>IFERROR(VLOOKUP($C368,'NEW MODEL BY SES'!$C$19:$R$242,MATCH('SeS in Retail Sales Areas'!X$7,'NEW MODEL BY SES'!$C$17:$R$17,0),0),"")</f>
        <v/>
      </c>
      <c r="Z368" s="57"/>
    </row>
    <row r="369" spans="1:26">
      <c r="A369" t="s">
        <v>1305</v>
      </c>
      <c r="B369" s="57">
        <v>164</v>
      </c>
      <c r="C369" t="s">
        <v>1310</v>
      </c>
      <c r="D369" t="s">
        <v>38</v>
      </c>
      <c r="E369"/>
      <c r="F369" s="140" t="str">
        <f>IFERROR(VLOOKUP($C369,'NEW MODEL BY SES'!$C$19:$R$242,MATCH('SeS in Retail Sales Areas'!F$7,'NEW MODEL BY SES'!$C$17:$R$17,0),0),"")</f>
        <v/>
      </c>
      <c r="G369" s="140" t="str">
        <f>IFERROR(VLOOKUP($C369,'NEW MODEL BY SES'!$C$19:$R$242,MATCH('SeS in Retail Sales Areas'!G$7,'NEW MODEL BY SES'!$C$17:$R$17,0),0),"")</f>
        <v/>
      </c>
      <c r="H369" s="142" t="str">
        <f>IFERROR(VLOOKUP($C369,'NEW MODEL BY SES'!$C$19:$R$242,MATCH('SeS in Retail Sales Areas'!H$7,'NEW MODEL BY SES'!$C$17:$R$17,0),0),"")</f>
        <v/>
      </c>
      <c r="I369" s="140" t="str">
        <f>IFERROR(VLOOKUP($C369,'NEW MODEL BY SES'!$C$19:$R$242,MATCH('SeS in Retail Sales Areas'!I$7,'NEW MODEL BY SES'!$C$17:$R$17,0),0),"")</f>
        <v/>
      </c>
      <c r="J369" s="142" t="str">
        <f>IFERROR(VLOOKUP($C369,'NEW MODEL BY SES'!$C$19:$R$242,MATCH('SeS in Retail Sales Areas'!J$7,'NEW MODEL BY SES'!$C$17:$R$17,0),0),"")</f>
        <v/>
      </c>
      <c r="K369" s="140" t="str">
        <f>IFERROR(VLOOKUP($C369,'NEW MODEL BY SES'!$C$19:$R$242,MATCH('SeS in Retail Sales Areas'!K$7,'NEW MODEL BY SES'!$C$17:$R$17,0),0),"")</f>
        <v/>
      </c>
      <c r="L369" s="142" t="str">
        <f>IFERROR(VLOOKUP($C369,'NEW MODEL BY SES'!$C$19:$R$242,MATCH('SeS in Retail Sales Areas'!L$7,'NEW MODEL BY SES'!$C$17:$R$17,0),0),"")</f>
        <v/>
      </c>
      <c r="M369" s="140" t="str">
        <f>IFERROR(VLOOKUP($C369,'NEW MODEL BY SES'!$C$19:$R$242,MATCH('SeS in Retail Sales Areas'!M$7,'NEW MODEL BY SES'!$C$17:$R$17,0),0),"")</f>
        <v/>
      </c>
      <c r="N369" s="142" t="str">
        <f>IFERROR(VLOOKUP($C369,'NEW MODEL BY SES'!$C$19:$R$242,MATCH('SeS in Retail Sales Areas'!N$7,'NEW MODEL BY SES'!$C$17:$R$17,0),0),"")</f>
        <v/>
      </c>
      <c r="O369" s="140" t="str">
        <f>IFERROR(VLOOKUP($C369,'NEW MODEL BY SES'!$C$19:$R$242,MATCH('SeS in Retail Sales Areas'!O$7,'NEW MODEL BY SES'!$C$17:$R$17,0),0),"")</f>
        <v/>
      </c>
      <c r="P369" s="142" t="str">
        <f>IFERROR(VLOOKUP($C369,'NEW MODEL BY SES'!$C$19:$R$242,MATCH('SeS in Retail Sales Areas'!P$7,'NEW MODEL BY SES'!$C$17:$R$17,0),0),"")</f>
        <v/>
      </c>
      <c r="Q369" s="140" t="str">
        <f>IFERROR(VLOOKUP($C369,'NEW MODEL BY SES'!$C$19:$R$242,MATCH('SeS in Retail Sales Areas'!Q$7,'NEW MODEL BY SES'!$C$17:$R$17,0),0),"")</f>
        <v/>
      </c>
      <c r="R369" s="142" t="str">
        <f>IFERROR(VLOOKUP($C369,'NEW MODEL BY SES'!$C$19:$R$242,MATCH('SeS in Retail Sales Areas'!R$7,'NEW MODEL BY SES'!$C$17:$R$17,0),0),"")</f>
        <v/>
      </c>
      <c r="S369" s="141" t="str">
        <f>IFERROR(VLOOKUP($C369,'NEW MODEL BY SES'!$C$19:$R$242,MATCH('SeS in Retail Sales Areas'!S$7,'NEW MODEL BY SES'!$C$17:$R$17,0),0),"")</f>
        <v/>
      </c>
      <c r="T369" s="140" t="str">
        <f>IFERROR(VLOOKUP($C369,'NEW MODEL BY SES'!$C$19:$R$242,MATCH('SeS in Retail Sales Areas'!T$7,'NEW MODEL BY SES'!$C$17:$R$17,0),0),"")</f>
        <v/>
      </c>
      <c r="U369" s="142" t="str">
        <f>IFERROR(VLOOKUP($C369,'NEW MODEL BY SES'!$C$19:$R$242,MATCH('SeS in Retail Sales Areas'!U$7,'NEW MODEL BY SES'!$C$17:$R$17,0),0),"")</f>
        <v/>
      </c>
      <c r="V369" s="140" t="str">
        <f>IFERROR(VLOOKUP($C369,'NEW MODEL BY SES'!$C$19:$R$242,MATCH('SeS in Retail Sales Areas'!V$7,'NEW MODEL BY SES'!$C$17:$R$17,0),0),"")</f>
        <v/>
      </c>
      <c r="W369" s="141" t="str">
        <f>IFERROR(VLOOKUP($C369,'NEW MODEL BY SES'!$C$19:$R$242,MATCH('SeS in Retail Sales Areas'!W$7,'NEW MODEL BY SES'!$C$17:$R$17,0),0),"")</f>
        <v/>
      </c>
      <c r="X369" s="140" t="str">
        <f>IFERROR(VLOOKUP($C369,'NEW MODEL BY SES'!$C$19:$R$242,MATCH('SeS in Retail Sales Areas'!X$7,'NEW MODEL BY SES'!$C$17:$R$17,0),0),"")</f>
        <v/>
      </c>
      <c r="Z369" s="57"/>
    </row>
    <row r="370" spans="1:26">
      <c r="A370" t="s">
        <v>1305</v>
      </c>
      <c r="B370" s="57">
        <v>164</v>
      </c>
      <c r="C370" t="s">
        <v>1311</v>
      </c>
      <c r="D370" t="s">
        <v>38</v>
      </c>
      <c r="E370"/>
      <c r="F370" s="140" t="str">
        <f>IFERROR(VLOOKUP($C370,'NEW MODEL BY SES'!$C$19:$R$242,MATCH('SeS in Retail Sales Areas'!F$7,'NEW MODEL BY SES'!$C$17:$R$17,0),0),"")</f>
        <v/>
      </c>
      <c r="G370" s="140" t="str">
        <f>IFERROR(VLOOKUP($C370,'NEW MODEL BY SES'!$C$19:$R$242,MATCH('SeS in Retail Sales Areas'!G$7,'NEW MODEL BY SES'!$C$17:$R$17,0),0),"")</f>
        <v/>
      </c>
      <c r="H370" s="142" t="str">
        <f>IFERROR(VLOOKUP($C370,'NEW MODEL BY SES'!$C$19:$R$242,MATCH('SeS in Retail Sales Areas'!H$7,'NEW MODEL BY SES'!$C$17:$R$17,0),0),"")</f>
        <v/>
      </c>
      <c r="I370" s="140" t="str">
        <f>IFERROR(VLOOKUP($C370,'NEW MODEL BY SES'!$C$19:$R$242,MATCH('SeS in Retail Sales Areas'!I$7,'NEW MODEL BY SES'!$C$17:$R$17,0),0),"")</f>
        <v/>
      </c>
      <c r="J370" s="142" t="str">
        <f>IFERROR(VLOOKUP($C370,'NEW MODEL BY SES'!$C$19:$R$242,MATCH('SeS in Retail Sales Areas'!J$7,'NEW MODEL BY SES'!$C$17:$R$17,0),0),"")</f>
        <v/>
      </c>
      <c r="K370" s="140" t="str">
        <f>IFERROR(VLOOKUP($C370,'NEW MODEL BY SES'!$C$19:$R$242,MATCH('SeS in Retail Sales Areas'!K$7,'NEW MODEL BY SES'!$C$17:$R$17,0),0),"")</f>
        <v/>
      </c>
      <c r="L370" s="142" t="str">
        <f>IFERROR(VLOOKUP($C370,'NEW MODEL BY SES'!$C$19:$R$242,MATCH('SeS in Retail Sales Areas'!L$7,'NEW MODEL BY SES'!$C$17:$R$17,0),0),"")</f>
        <v/>
      </c>
      <c r="M370" s="140" t="str">
        <f>IFERROR(VLOOKUP($C370,'NEW MODEL BY SES'!$C$19:$R$242,MATCH('SeS in Retail Sales Areas'!M$7,'NEW MODEL BY SES'!$C$17:$R$17,0),0),"")</f>
        <v/>
      </c>
      <c r="N370" s="142" t="str">
        <f>IFERROR(VLOOKUP($C370,'NEW MODEL BY SES'!$C$19:$R$242,MATCH('SeS in Retail Sales Areas'!N$7,'NEW MODEL BY SES'!$C$17:$R$17,0),0),"")</f>
        <v/>
      </c>
      <c r="O370" s="140" t="str">
        <f>IFERROR(VLOOKUP($C370,'NEW MODEL BY SES'!$C$19:$R$242,MATCH('SeS in Retail Sales Areas'!O$7,'NEW MODEL BY SES'!$C$17:$R$17,0),0),"")</f>
        <v/>
      </c>
      <c r="P370" s="142" t="str">
        <f>IFERROR(VLOOKUP($C370,'NEW MODEL BY SES'!$C$19:$R$242,MATCH('SeS in Retail Sales Areas'!P$7,'NEW MODEL BY SES'!$C$17:$R$17,0),0),"")</f>
        <v/>
      </c>
      <c r="Q370" s="140" t="str">
        <f>IFERROR(VLOOKUP($C370,'NEW MODEL BY SES'!$C$19:$R$242,MATCH('SeS in Retail Sales Areas'!Q$7,'NEW MODEL BY SES'!$C$17:$R$17,0),0),"")</f>
        <v/>
      </c>
      <c r="R370" s="142" t="str">
        <f>IFERROR(VLOOKUP($C370,'NEW MODEL BY SES'!$C$19:$R$242,MATCH('SeS in Retail Sales Areas'!R$7,'NEW MODEL BY SES'!$C$17:$R$17,0),0),"")</f>
        <v/>
      </c>
      <c r="S370" s="141" t="str">
        <f>IFERROR(VLOOKUP($C370,'NEW MODEL BY SES'!$C$19:$R$242,MATCH('SeS in Retail Sales Areas'!S$7,'NEW MODEL BY SES'!$C$17:$R$17,0),0),"")</f>
        <v/>
      </c>
      <c r="T370" s="140" t="str">
        <f>IFERROR(VLOOKUP($C370,'NEW MODEL BY SES'!$C$19:$R$242,MATCH('SeS in Retail Sales Areas'!T$7,'NEW MODEL BY SES'!$C$17:$R$17,0),0),"")</f>
        <v/>
      </c>
      <c r="U370" s="142" t="str">
        <f>IFERROR(VLOOKUP($C370,'NEW MODEL BY SES'!$C$19:$R$242,MATCH('SeS in Retail Sales Areas'!U$7,'NEW MODEL BY SES'!$C$17:$R$17,0),0),"")</f>
        <v/>
      </c>
      <c r="V370" s="140" t="str">
        <f>IFERROR(VLOOKUP($C370,'NEW MODEL BY SES'!$C$19:$R$242,MATCH('SeS in Retail Sales Areas'!V$7,'NEW MODEL BY SES'!$C$17:$R$17,0),0),"")</f>
        <v/>
      </c>
      <c r="W370" s="141" t="str">
        <f>IFERROR(VLOOKUP($C370,'NEW MODEL BY SES'!$C$19:$R$242,MATCH('SeS in Retail Sales Areas'!W$7,'NEW MODEL BY SES'!$C$17:$R$17,0),0),"")</f>
        <v/>
      </c>
      <c r="X370" s="140" t="str">
        <f>IFERROR(VLOOKUP($C370,'NEW MODEL BY SES'!$C$19:$R$242,MATCH('SeS in Retail Sales Areas'!X$7,'NEW MODEL BY SES'!$C$17:$R$17,0),0),"")</f>
        <v/>
      </c>
      <c r="Z370" s="57"/>
    </row>
    <row r="371" spans="1:26">
      <c r="A371" t="s">
        <v>1305</v>
      </c>
      <c r="B371" s="57">
        <v>160</v>
      </c>
      <c r="C371" t="s">
        <v>1312</v>
      </c>
      <c r="D371" t="s">
        <v>38</v>
      </c>
      <c r="E371"/>
      <c r="F371" s="140" t="str">
        <f>IFERROR(VLOOKUP($C371,'NEW MODEL BY SES'!$C$19:$R$242,MATCH('SeS in Retail Sales Areas'!F$7,'NEW MODEL BY SES'!$C$17:$R$17,0),0),"")</f>
        <v/>
      </c>
      <c r="G371" s="140" t="str">
        <f>IFERROR(VLOOKUP($C371,'NEW MODEL BY SES'!$C$19:$R$242,MATCH('SeS in Retail Sales Areas'!G$7,'NEW MODEL BY SES'!$C$17:$R$17,0),0),"")</f>
        <v/>
      </c>
      <c r="H371" s="142" t="str">
        <f>IFERROR(VLOOKUP($C371,'NEW MODEL BY SES'!$C$19:$R$242,MATCH('SeS in Retail Sales Areas'!H$7,'NEW MODEL BY SES'!$C$17:$R$17,0),0),"")</f>
        <v/>
      </c>
      <c r="I371" s="140" t="str">
        <f>IFERROR(VLOOKUP($C371,'NEW MODEL BY SES'!$C$19:$R$242,MATCH('SeS in Retail Sales Areas'!I$7,'NEW MODEL BY SES'!$C$17:$R$17,0),0),"")</f>
        <v/>
      </c>
      <c r="J371" s="142" t="str">
        <f>IFERROR(VLOOKUP($C371,'NEW MODEL BY SES'!$C$19:$R$242,MATCH('SeS in Retail Sales Areas'!J$7,'NEW MODEL BY SES'!$C$17:$R$17,0),0),"")</f>
        <v/>
      </c>
      <c r="K371" s="140" t="str">
        <f>IFERROR(VLOOKUP($C371,'NEW MODEL BY SES'!$C$19:$R$242,MATCH('SeS in Retail Sales Areas'!K$7,'NEW MODEL BY SES'!$C$17:$R$17,0),0),"")</f>
        <v/>
      </c>
      <c r="L371" s="142" t="str">
        <f>IFERROR(VLOOKUP($C371,'NEW MODEL BY SES'!$C$19:$R$242,MATCH('SeS in Retail Sales Areas'!L$7,'NEW MODEL BY SES'!$C$17:$R$17,0),0),"")</f>
        <v/>
      </c>
      <c r="M371" s="140" t="str">
        <f>IFERROR(VLOOKUP($C371,'NEW MODEL BY SES'!$C$19:$R$242,MATCH('SeS in Retail Sales Areas'!M$7,'NEW MODEL BY SES'!$C$17:$R$17,0),0),"")</f>
        <v/>
      </c>
      <c r="N371" s="142" t="str">
        <f>IFERROR(VLOOKUP($C371,'NEW MODEL BY SES'!$C$19:$R$242,MATCH('SeS in Retail Sales Areas'!N$7,'NEW MODEL BY SES'!$C$17:$R$17,0),0),"")</f>
        <v/>
      </c>
      <c r="O371" s="140" t="str">
        <f>IFERROR(VLOOKUP($C371,'NEW MODEL BY SES'!$C$19:$R$242,MATCH('SeS in Retail Sales Areas'!O$7,'NEW MODEL BY SES'!$C$17:$R$17,0),0),"")</f>
        <v/>
      </c>
      <c r="P371" s="142" t="str">
        <f>IFERROR(VLOOKUP($C371,'NEW MODEL BY SES'!$C$19:$R$242,MATCH('SeS in Retail Sales Areas'!P$7,'NEW MODEL BY SES'!$C$17:$R$17,0),0),"")</f>
        <v/>
      </c>
      <c r="Q371" s="140" t="str">
        <f>IFERROR(VLOOKUP($C371,'NEW MODEL BY SES'!$C$19:$R$242,MATCH('SeS in Retail Sales Areas'!Q$7,'NEW MODEL BY SES'!$C$17:$R$17,0),0),"")</f>
        <v/>
      </c>
      <c r="R371" s="142" t="str">
        <f>IFERROR(VLOOKUP($C371,'NEW MODEL BY SES'!$C$19:$R$242,MATCH('SeS in Retail Sales Areas'!R$7,'NEW MODEL BY SES'!$C$17:$R$17,0),0),"")</f>
        <v/>
      </c>
      <c r="S371" s="141" t="str">
        <f>IFERROR(VLOOKUP($C371,'NEW MODEL BY SES'!$C$19:$R$242,MATCH('SeS in Retail Sales Areas'!S$7,'NEW MODEL BY SES'!$C$17:$R$17,0),0),"")</f>
        <v/>
      </c>
      <c r="T371" s="140" t="str">
        <f>IFERROR(VLOOKUP($C371,'NEW MODEL BY SES'!$C$19:$R$242,MATCH('SeS in Retail Sales Areas'!T$7,'NEW MODEL BY SES'!$C$17:$R$17,0),0),"")</f>
        <v/>
      </c>
      <c r="U371" s="142" t="str">
        <f>IFERROR(VLOOKUP($C371,'NEW MODEL BY SES'!$C$19:$R$242,MATCH('SeS in Retail Sales Areas'!U$7,'NEW MODEL BY SES'!$C$17:$R$17,0),0),"")</f>
        <v/>
      </c>
      <c r="V371" s="140" t="str">
        <f>IFERROR(VLOOKUP($C371,'NEW MODEL BY SES'!$C$19:$R$242,MATCH('SeS in Retail Sales Areas'!V$7,'NEW MODEL BY SES'!$C$17:$R$17,0),0),"")</f>
        <v/>
      </c>
      <c r="W371" s="141" t="str">
        <f>IFERROR(VLOOKUP($C371,'NEW MODEL BY SES'!$C$19:$R$242,MATCH('SeS in Retail Sales Areas'!W$7,'NEW MODEL BY SES'!$C$17:$R$17,0),0),"")</f>
        <v/>
      </c>
      <c r="X371" s="140" t="str">
        <f>IFERROR(VLOOKUP($C371,'NEW MODEL BY SES'!$C$19:$R$242,MATCH('SeS in Retail Sales Areas'!X$7,'NEW MODEL BY SES'!$C$17:$R$17,0),0),"")</f>
        <v/>
      </c>
      <c r="Z371" s="57"/>
    </row>
    <row r="372" spans="1:26">
      <c r="A372" t="s">
        <v>1305</v>
      </c>
      <c r="B372" s="57">
        <v>158</v>
      </c>
      <c r="C372" t="s">
        <v>1313</v>
      </c>
      <c r="D372" t="s">
        <v>38</v>
      </c>
      <c r="E372"/>
      <c r="F372" s="140" t="str">
        <f>IFERROR(VLOOKUP($C372,'NEW MODEL BY SES'!$C$19:$R$242,MATCH('SeS in Retail Sales Areas'!F$7,'NEW MODEL BY SES'!$C$17:$R$17,0),0),"")</f>
        <v/>
      </c>
      <c r="G372" s="140" t="str">
        <f>IFERROR(VLOOKUP($C372,'NEW MODEL BY SES'!$C$19:$R$242,MATCH('SeS in Retail Sales Areas'!G$7,'NEW MODEL BY SES'!$C$17:$R$17,0),0),"")</f>
        <v/>
      </c>
      <c r="H372" s="142" t="str">
        <f>IFERROR(VLOOKUP($C372,'NEW MODEL BY SES'!$C$19:$R$242,MATCH('SeS in Retail Sales Areas'!H$7,'NEW MODEL BY SES'!$C$17:$R$17,0),0),"")</f>
        <v/>
      </c>
      <c r="I372" s="140" t="str">
        <f>IFERROR(VLOOKUP($C372,'NEW MODEL BY SES'!$C$19:$R$242,MATCH('SeS in Retail Sales Areas'!I$7,'NEW MODEL BY SES'!$C$17:$R$17,0),0),"")</f>
        <v/>
      </c>
      <c r="J372" s="142" t="str">
        <f>IFERROR(VLOOKUP($C372,'NEW MODEL BY SES'!$C$19:$R$242,MATCH('SeS in Retail Sales Areas'!J$7,'NEW MODEL BY SES'!$C$17:$R$17,0),0),"")</f>
        <v/>
      </c>
      <c r="K372" s="140" t="str">
        <f>IFERROR(VLOOKUP($C372,'NEW MODEL BY SES'!$C$19:$R$242,MATCH('SeS in Retail Sales Areas'!K$7,'NEW MODEL BY SES'!$C$17:$R$17,0),0),"")</f>
        <v/>
      </c>
      <c r="L372" s="142" t="str">
        <f>IFERROR(VLOOKUP($C372,'NEW MODEL BY SES'!$C$19:$R$242,MATCH('SeS in Retail Sales Areas'!L$7,'NEW MODEL BY SES'!$C$17:$R$17,0),0),"")</f>
        <v/>
      </c>
      <c r="M372" s="140" t="str">
        <f>IFERROR(VLOOKUP($C372,'NEW MODEL BY SES'!$C$19:$R$242,MATCH('SeS in Retail Sales Areas'!M$7,'NEW MODEL BY SES'!$C$17:$R$17,0),0),"")</f>
        <v/>
      </c>
      <c r="N372" s="142" t="str">
        <f>IFERROR(VLOOKUP($C372,'NEW MODEL BY SES'!$C$19:$R$242,MATCH('SeS in Retail Sales Areas'!N$7,'NEW MODEL BY SES'!$C$17:$R$17,0),0),"")</f>
        <v/>
      </c>
      <c r="O372" s="140" t="str">
        <f>IFERROR(VLOOKUP($C372,'NEW MODEL BY SES'!$C$19:$R$242,MATCH('SeS in Retail Sales Areas'!O$7,'NEW MODEL BY SES'!$C$17:$R$17,0),0),"")</f>
        <v/>
      </c>
      <c r="P372" s="142" t="str">
        <f>IFERROR(VLOOKUP($C372,'NEW MODEL BY SES'!$C$19:$R$242,MATCH('SeS in Retail Sales Areas'!P$7,'NEW MODEL BY SES'!$C$17:$R$17,0),0),"")</f>
        <v/>
      </c>
      <c r="Q372" s="140" t="str">
        <f>IFERROR(VLOOKUP($C372,'NEW MODEL BY SES'!$C$19:$R$242,MATCH('SeS in Retail Sales Areas'!Q$7,'NEW MODEL BY SES'!$C$17:$R$17,0),0),"")</f>
        <v/>
      </c>
      <c r="R372" s="142" t="str">
        <f>IFERROR(VLOOKUP($C372,'NEW MODEL BY SES'!$C$19:$R$242,MATCH('SeS in Retail Sales Areas'!R$7,'NEW MODEL BY SES'!$C$17:$R$17,0),0),"")</f>
        <v/>
      </c>
      <c r="S372" s="141" t="str">
        <f>IFERROR(VLOOKUP($C372,'NEW MODEL BY SES'!$C$19:$R$242,MATCH('SeS in Retail Sales Areas'!S$7,'NEW MODEL BY SES'!$C$17:$R$17,0),0),"")</f>
        <v/>
      </c>
      <c r="T372" s="140" t="str">
        <f>IFERROR(VLOOKUP($C372,'NEW MODEL BY SES'!$C$19:$R$242,MATCH('SeS in Retail Sales Areas'!T$7,'NEW MODEL BY SES'!$C$17:$R$17,0),0),"")</f>
        <v/>
      </c>
      <c r="U372" s="142" t="str">
        <f>IFERROR(VLOOKUP($C372,'NEW MODEL BY SES'!$C$19:$R$242,MATCH('SeS in Retail Sales Areas'!U$7,'NEW MODEL BY SES'!$C$17:$R$17,0),0),"")</f>
        <v/>
      </c>
      <c r="V372" s="140" t="str">
        <f>IFERROR(VLOOKUP($C372,'NEW MODEL BY SES'!$C$19:$R$242,MATCH('SeS in Retail Sales Areas'!V$7,'NEW MODEL BY SES'!$C$17:$R$17,0),0),"")</f>
        <v/>
      </c>
      <c r="W372" s="141" t="str">
        <f>IFERROR(VLOOKUP($C372,'NEW MODEL BY SES'!$C$19:$R$242,MATCH('SeS in Retail Sales Areas'!W$7,'NEW MODEL BY SES'!$C$17:$R$17,0),0),"")</f>
        <v/>
      </c>
      <c r="X372" s="140" t="str">
        <f>IFERROR(VLOOKUP($C372,'NEW MODEL BY SES'!$C$19:$R$242,MATCH('SeS in Retail Sales Areas'!X$7,'NEW MODEL BY SES'!$C$17:$R$17,0),0),"")</f>
        <v/>
      </c>
      <c r="Z372" s="57"/>
    </row>
    <row r="373" spans="1:26">
      <c r="A373" t="s">
        <v>1305</v>
      </c>
      <c r="B373" s="57">
        <v>143</v>
      </c>
      <c r="C373" t="s">
        <v>1314</v>
      </c>
      <c r="D373" t="s">
        <v>38</v>
      </c>
      <c r="E373"/>
      <c r="F373" s="140" t="str">
        <f>IFERROR(VLOOKUP($C373,'NEW MODEL BY SES'!$C$19:$R$242,MATCH('SeS in Retail Sales Areas'!F$7,'NEW MODEL BY SES'!$C$17:$R$17,0),0),"")</f>
        <v/>
      </c>
      <c r="G373" s="140" t="str">
        <f>IFERROR(VLOOKUP($C373,'NEW MODEL BY SES'!$C$19:$R$242,MATCH('SeS in Retail Sales Areas'!G$7,'NEW MODEL BY SES'!$C$17:$R$17,0),0),"")</f>
        <v/>
      </c>
      <c r="H373" s="142" t="str">
        <f>IFERROR(VLOOKUP($C373,'NEW MODEL BY SES'!$C$19:$R$242,MATCH('SeS in Retail Sales Areas'!H$7,'NEW MODEL BY SES'!$C$17:$R$17,0),0),"")</f>
        <v/>
      </c>
      <c r="I373" s="140" t="str">
        <f>IFERROR(VLOOKUP($C373,'NEW MODEL BY SES'!$C$19:$R$242,MATCH('SeS in Retail Sales Areas'!I$7,'NEW MODEL BY SES'!$C$17:$R$17,0),0),"")</f>
        <v/>
      </c>
      <c r="J373" s="142" t="str">
        <f>IFERROR(VLOOKUP($C373,'NEW MODEL BY SES'!$C$19:$R$242,MATCH('SeS in Retail Sales Areas'!J$7,'NEW MODEL BY SES'!$C$17:$R$17,0),0),"")</f>
        <v/>
      </c>
      <c r="K373" s="140" t="str">
        <f>IFERROR(VLOOKUP($C373,'NEW MODEL BY SES'!$C$19:$R$242,MATCH('SeS in Retail Sales Areas'!K$7,'NEW MODEL BY SES'!$C$17:$R$17,0),0),"")</f>
        <v/>
      </c>
      <c r="L373" s="142" t="str">
        <f>IFERROR(VLOOKUP($C373,'NEW MODEL BY SES'!$C$19:$R$242,MATCH('SeS in Retail Sales Areas'!L$7,'NEW MODEL BY SES'!$C$17:$R$17,0),0),"")</f>
        <v/>
      </c>
      <c r="M373" s="140" t="str">
        <f>IFERROR(VLOOKUP($C373,'NEW MODEL BY SES'!$C$19:$R$242,MATCH('SeS in Retail Sales Areas'!M$7,'NEW MODEL BY SES'!$C$17:$R$17,0),0),"")</f>
        <v/>
      </c>
      <c r="N373" s="142" t="str">
        <f>IFERROR(VLOOKUP($C373,'NEW MODEL BY SES'!$C$19:$R$242,MATCH('SeS in Retail Sales Areas'!N$7,'NEW MODEL BY SES'!$C$17:$R$17,0),0),"")</f>
        <v/>
      </c>
      <c r="O373" s="140" t="str">
        <f>IFERROR(VLOOKUP($C373,'NEW MODEL BY SES'!$C$19:$R$242,MATCH('SeS in Retail Sales Areas'!O$7,'NEW MODEL BY SES'!$C$17:$R$17,0),0),"")</f>
        <v/>
      </c>
      <c r="P373" s="142" t="str">
        <f>IFERROR(VLOOKUP($C373,'NEW MODEL BY SES'!$C$19:$R$242,MATCH('SeS in Retail Sales Areas'!P$7,'NEW MODEL BY SES'!$C$17:$R$17,0),0),"")</f>
        <v/>
      </c>
      <c r="Q373" s="140" t="str">
        <f>IFERROR(VLOOKUP($C373,'NEW MODEL BY SES'!$C$19:$R$242,MATCH('SeS in Retail Sales Areas'!Q$7,'NEW MODEL BY SES'!$C$17:$R$17,0),0),"")</f>
        <v/>
      </c>
      <c r="R373" s="142" t="str">
        <f>IFERROR(VLOOKUP($C373,'NEW MODEL BY SES'!$C$19:$R$242,MATCH('SeS in Retail Sales Areas'!R$7,'NEW MODEL BY SES'!$C$17:$R$17,0),0),"")</f>
        <v/>
      </c>
      <c r="S373" s="141" t="str">
        <f>IFERROR(VLOOKUP($C373,'NEW MODEL BY SES'!$C$19:$R$242,MATCH('SeS in Retail Sales Areas'!S$7,'NEW MODEL BY SES'!$C$17:$R$17,0),0),"")</f>
        <v/>
      </c>
      <c r="T373" s="140" t="str">
        <f>IFERROR(VLOOKUP($C373,'NEW MODEL BY SES'!$C$19:$R$242,MATCH('SeS in Retail Sales Areas'!T$7,'NEW MODEL BY SES'!$C$17:$R$17,0),0),"")</f>
        <v/>
      </c>
      <c r="U373" s="142" t="str">
        <f>IFERROR(VLOOKUP($C373,'NEW MODEL BY SES'!$C$19:$R$242,MATCH('SeS in Retail Sales Areas'!U$7,'NEW MODEL BY SES'!$C$17:$R$17,0),0),"")</f>
        <v/>
      </c>
      <c r="V373" s="140" t="str">
        <f>IFERROR(VLOOKUP($C373,'NEW MODEL BY SES'!$C$19:$R$242,MATCH('SeS in Retail Sales Areas'!V$7,'NEW MODEL BY SES'!$C$17:$R$17,0),0),"")</f>
        <v/>
      </c>
      <c r="W373" s="141" t="str">
        <f>IFERROR(VLOOKUP($C373,'NEW MODEL BY SES'!$C$19:$R$242,MATCH('SeS in Retail Sales Areas'!W$7,'NEW MODEL BY SES'!$C$17:$R$17,0),0),"")</f>
        <v/>
      </c>
      <c r="X373" s="140" t="str">
        <f>IFERROR(VLOOKUP($C373,'NEW MODEL BY SES'!$C$19:$R$242,MATCH('SeS in Retail Sales Areas'!X$7,'NEW MODEL BY SES'!$C$17:$R$17,0),0),"")</f>
        <v/>
      </c>
      <c r="Z373" s="57"/>
    </row>
    <row r="374" spans="1:26">
      <c r="A374" t="s">
        <v>1305</v>
      </c>
      <c r="B374" s="57">
        <v>138</v>
      </c>
      <c r="C374" t="s">
        <v>1315</v>
      </c>
      <c r="D374" t="s">
        <v>38</v>
      </c>
      <c r="E374"/>
      <c r="F374" s="140" t="str">
        <f>IFERROR(VLOOKUP($C374,'NEW MODEL BY SES'!$C$19:$R$242,MATCH('SeS in Retail Sales Areas'!F$7,'NEW MODEL BY SES'!$C$17:$R$17,0),0),"")</f>
        <v/>
      </c>
      <c r="G374" s="140" t="str">
        <f>IFERROR(VLOOKUP($C374,'NEW MODEL BY SES'!$C$19:$R$242,MATCH('SeS in Retail Sales Areas'!G$7,'NEW MODEL BY SES'!$C$17:$R$17,0),0),"")</f>
        <v/>
      </c>
      <c r="H374" s="142" t="str">
        <f>IFERROR(VLOOKUP($C374,'NEW MODEL BY SES'!$C$19:$R$242,MATCH('SeS in Retail Sales Areas'!H$7,'NEW MODEL BY SES'!$C$17:$R$17,0),0),"")</f>
        <v/>
      </c>
      <c r="I374" s="140" t="str">
        <f>IFERROR(VLOOKUP($C374,'NEW MODEL BY SES'!$C$19:$R$242,MATCH('SeS in Retail Sales Areas'!I$7,'NEW MODEL BY SES'!$C$17:$R$17,0),0),"")</f>
        <v/>
      </c>
      <c r="J374" s="142" t="str">
        <f>IFERROR(VLOOKUP($C374,'NEW MODEL BY SES'!$C$19:$R$242,MATCH('SeS in Retail Sales Areas'!J$7,'NEW MODEL BY SES'!$C$17:$R$17,0),0),"")</f>
        <v/>
      </c>
      <c r="K374" s="140" t="str">
        <f>IFERROR(VLOOKUP($C374,'NEW MODEL BY SES'!$C$19:$R$242,MATCH('SeS in Retail Sales Areas'!K$7,'NEW MODEL BY SES'!$C$17:$R$17,0),0),"")</f>
        <v/>
      </c>
      <c r="L374" s="142" t="str">
        <f>IFERROR(VLOOKUP($C374,'NEW MODEL BY SES'!$C$19:$R$242,MATCH('SeS in Retail Sales Areas'!L$7,'NEW MODEL BY SES'!$C$17:$R$17,0),0),"")</f>
        <v/>
      </c>
      <c r="M374" s="140" t="str">
        <f>IFERROR(VLOOKUP($C374,'NEW MODEL BY SES'!$C$19:$R$242,MATCH('SeS in Retail Sales Areas'!M$7,'NEW MODEL BY SES'!$C$17:$R$17,0),0),"")</f>
        <v/>
      </c>
      <c r="N374" s="142" t="str">
        <f>IFERROR(VLOOKUP($C374,'NEW MODEL BY SES'!$C$19:$R$242,MATCH('SeS in Retail Sales Areas'!N$7,'NEW MODEL BY SES'!$C$17:$R$17,0),0),"")</f>
        <v/>
      </c>
      <c r="O374" s="140" t="str">
        <f>IFERROR(VLOOKUP($C374,'NEW MODEL BY SES'!$C$19:$R$242,MATCH('SeS in Retail Sales Areas'!O$7,'NEW MODEL BY SES'!$C$17:$R$17,0),0),"")</f>
        <v/>
      </c>
      <c r="P374" s="142" t="str">
        <f>IFERROR(VLOOKUP($C374,'NEW MODEL BY SES'!$C$19:$R$242,MATCH('SeS in Retail Sales Areas'!P$7,'NEW MODEL BY SES'!$C$17:$R$17,0),0),"")</f>
        <v/>
      </c>
      <c r="Q374" s="140" t="str">
        <f>IFERROR(VLOOKUP($C374,'NEW MODEL BY SES'!$C$19:$R$242,MATCH('SeS in Retail Sales Areas'!Q$7,'NEW MODEL BY SES'!$C$17:$R$17,0),0),"")</f>
        <v/>
      </c>
      <c r="R374" s="142" t="str">
        <f>IFERROR(VLOOKUP($C374,'NEW MODEL BY SES'!$C$19:$R$242,MATCH('SeS in Retail Sales Areas'!R$7,'NEW MODEL BY SES'!$C$17:$R$17,0),0),"")</f>
        <v/>
      </c>
      <c r="S374" s="141" t="str">
        <f>IFERROR(VLOOKUP($C374,'NEW MODEL BY SES'!$C$19:$R$242,MATCH('SeS in Retail Sales Areas'!S$7,'NEW MODEL BY SES'!$C$17:$R$17,0),0),"")</f>
        <v/>
      </c>
      <c r="T374" s="140" t="str">
        <f>IFERROR(VLOOKUP($C374,'NEW MODEL BY SES'!$C$19:$R$242,MATCH('SeS in Retail Sales Areas'!T$7,'NEW MODEL BY SES'!$C$17:$R$17,0),0),"")</f>
        <v/>
      </c>
      <c r="U374" s="142" t="str">
        <f>IFERROR(VLOOKUP($C374,'NEW MODEL BY SES'!$C$19:$R$242,MATCH('SeS in Retail Sales Areas'!U$7,'NEW MODEL BY SES'!$C$17:$R$17,0),0),"")</f>
        <v/>
      </c>
      <c r="V374" s="140" t="str">
        <f>IFERROR(VLOOKUP($C374,'NEW MODEL BY SES'!$C$19:$R$242,MATCH('SeS in Retail Sales Areas'!V$7,'NEW MODEL BY SES'!$C$17:$R$17,0),0),"")</f>
        <v/>
      </c>
      <c r="W374" s="141" t="str">
        <f>IFERROR(VLOOKUP($C374,'NEW MODEL BY SES'!$C$19:$R$242,MATCH('SeS in Retail Sales Areas'!W$7,'NEW MODEL BY SES'!$C$17:$R$17,0),0),"")</f>
        <v/>
      </c>
      <c r="X374" s="140" t="str">
        <f>IFERROR(VLOOKUP($C374,'NEW MODEL BY SES'!$C$19:$R$242,MATCH('SeS in Retail Sales Areas'!X$7,'NEW MODEL BY SES'!$C$17:$R$17,0),0),"")</f>
        <v/>
      </c>
      <c r="Z374" s="57"/>
    </row>
    <row r="375" spans="1:26">
      <c r="A375" t="s">
        <v>1305</v>
      </c>
      <c r="B375" s="57">
        <v>133</v>
      </c>
      <c r="C375" t="s">
        <v>1316</v>
      </c>
      <c r="D375" t="s">
        <v>38</v>
      </c>
      <c r="E375"/>
      <c r="F375" s="140" t="str">
        <f>IFERROR(VLOOKUP($C375,'NEW MODEL BY SES'!$C$19:$R$242,MATCH('SeS in Retail Sales Areas'!F$7,'NEW MODEL BY SES'!$C$17:$R$17,0),0),"")</f>
        <v/>
      </c>
      <c r="G375" s="140" t="str">
        <f>IFERROR(VLOOKUP($C375,'NEW MODEL BY SES'!$C$19:$R$242,MATCH('SeS in Retail Sales Areas'!G$7,'NEW MODEL BY SES'!$C$17:$R$17,0),0),"")</f>
        <v/>
      </c>
      <c r="H375" s="142" t="str">
        <f>IFERROR(VLOOKUP($C375,'NEW MODEL BY SES'!$C$19:$R$242,MATCH('SeS in Retail Sales Areas'!H$7,'NEW MODEL BY SES'!$C$17:$R$17,0),0),"")</f>
        <v/>
      </c>
      <c r="I375" s="140" t="str">
        <f>IFERROR(VLOOKUP($C375,'NEW MODEL BY SES'!$C$19:$R$242,MATCH('SeS in Retail Sales Areas'!I$7,'NEW MODEL BY SES'!$C$17:$R$17,0),0),"")</f>
        <v/>
      </c>
      <c r="J375" s="142" t="str">
        <f>IFERROR(VLOOKUP($C375,'NEW MODEL BY SES'!$C$19:$R$242,MATCH('SeS in Retail Sales Areas'!J$7,'NEW MODEL BY SES'!$C$17:$R$17,0),0),"")</f>
        <v/>
      </c>
      <c r="K375" s="140" t="str">
        <f>IFERROR(VLOOKUP($C375,'NEW MODEL BY SES'!$C$19:$R$242,MATCH('SeS in Retail Sales Areas'!K$7,'NEW MODEL BY SES'!$C$17:$R$17,0),0),"")</f>
        <v/>
      </c>
      <c r="L375" s="142" t="str">
        <f>IFERROR(VLOOKUP($C375,'NEW MODEL BY SES'!$C$19:$R$242,MATCH('SeS in Retail Sales Areas'!L$7,'NEW MODEL BY SES'!$C$17:$R$17,0),0),"")</f>
        <v/>
      </c>
      <c r="M375" s="140" t="str">
        <f>IFERROR(VLOOKUP($C375,'NEW MODEL BY SES'!$C$19:$R$242,MATCH('SeS in Retail Sales Areas'!M$7,'NEW MODEL BY SES'!$C$17:$R$17,0),0),"")</f>
        <v/>
      </c>
      <c r="N375" s="142" t="str">
        <f>IFERROR(VLOOKUP($C375,'NEW MODEL BY SES'!$C$19:$R$242,MATCH('SeS in Retail Sales Areas'!N$7,'NEW MODEL BY SES'!$C$17:$R$17,0),0),"")</f>
        <v/>
      </c>
      <c r="O375" s="140" t="str">
        <f>IFERROR(VLOOKUP($C375,'NEW MODEL BY SES'!$C$19:$R$242,MATCH('SeS in Retail Sales Areas'!O$7,'NEW MODEL BY SES'!$C$17:$R$17,0),0),"")</f>
        <v/>
      </c>
      <c r="P375" s="142" t="str">
        <f>IFERROR(VLOOKUP($C375,'NEW MODEL BY SES'!$C$19:$R$242,MATCH('SeS in Retail Sales Areas'!P$7,'NEW MODEL BY SES'!$C$17:$R$17,0),0),"")</f>
        <v/>
      </c>
      <c r="Q375" s="140" t="str">
        <f>IFERROR(VLOOKUP($C375,'NEW MODEL BY SES'!$C$19:$R$242,MATCH('SeS in Retail Sales Areas'!Q$7,'NEW MODEL BY SES'!$C$17:$R$17,0),0),"")</f>
        <v/>
      </c>
      <c r="R375" s="142" t="str">
        <f>IFERROR(VLOOKUP($C375,'NEW MODEL BY SES'!$C$19:$R$242,MATCH('SeS in Retail Sales Areas'!R$7,'NEW MODEL BY SES'!$C$17:$R$17,0),0),"")</f>
        <v/>
      </c>
      <c r="S375" s="141" t="str">
        <f>IFERROR(VLOOKUP($C375,'NEW MODEL BY SES'!$C$19:$R$242,MATCH('SeS in Retail Sales Areas'!S$7,'NEW MODEL BY SES'!$C$17:$R$17,0),0),"")</f>
        <v/>
      </c>
      <c r="T375" s="140" t="str">
        <f>IFERROR(VLOOKUP($C375,'NEW MODEL BY SES'!$C$19:$R$242,MATCH('SeS in Retail Sales Areas'!T$7,'NEW MODEL BY SES'!$C$17:$R$17,0),0),"")</f>
        <v/>
      </c>
      <c r="U375" s="142" t="str">
        <f>IFERROR(VLOOKUP($C375,'NEW MODEL BY SES'!$C$19:$R$242,MATCH('SeS in Retail Sales Areas'!U$7,'NEW MODEL BY SES'!$C$17:$R$17,0),0),"")</f>
        <v/>
      </c>
      <c r="V375" s="140" t="str">
        <f>IFERROR(VLOOKUP($C375,'NEW MODEL BY SES'!$C$19:$R$242,MATCH('SeS in Retail Sales Areas'!V$7,'NEW MODEL BY SES'!$C$17:$R$17,0),0),"")</f>
        <v/>
      </c>
      <c r="W375" s="141" t="str">
        <f>IFERROR(VLOOKUP($C375,'NEW MODEL BY SES'!$C$19:$R$242,MATCH('SeS in Retail Sales Areas'!W$7,'NEW MODEL BY SES'!$C$17:$R$17,0),0),"")</f>
        <v/>
      </c>
      <c r="X375" s="140" t="str">
        <f>IFERROR(VLOOKUP($C375,'NEW MODEL BY SES'!$C$19:$R$242,MATCH('SeS in Retail Sales Areas'!X$7,'NEW MODEL BY SES'!$C$17:$R$17,0),0),"")</f>
        <v/>
      </c>
      <c r="Z375" s="146"/>
    </row>
    <row r="376" spans="1:26">
      <c r="A376" t="s">
        <v>1305</v>
      </c>
      <c r="B376" s="57">
        <v>133</v>
      </c>
      <c r="C376" t="s">
        <v>1317</v>
      </c>
      <c r="D376" t="s">
        <v>38</v>
      </c>
      <c r="E376"/>
      <c r="F376" s="140" t="str">
        <f>IFERROR(VLOOKUP($C376,'NEW MODEL BY SES'!$C$19:$R$242,MATCH('SeS in Retail Sales Areas'!F$7,'NEW MODEL BY SES'!$C$17:$R$17,0),0),"")</f>
        <v/>
      </c>
      <c r="G376" s="140" t="str">
        <f>IFERROR(VLOOKUP($C376,'NEW MODEL BY SES'!$C$19:$R$242,MATCH('SeS in Retail Sales Areas'!G$7,'NEW MODEL BY SES'!$C$17:$R$17,0),0),"")</f>
        <v/>
      </c>
      <c r="H376" s="142" t="str">
        <f>IFERROR(VLOOKUP($C376,'NEW MODEL BY SES'!$C$19:$R$242,MATCH('SeS in Retail Sales Areas'!H$7,'NEW MODEL BY SES'!$C$17:$R$17,0),0),"")</f>
        <v/>
      </c>
      <c r="I376" s="140" t="str">
        <f>IFERROR(VLOOKUP($C376,'NEW MODEL BY SES'!$C$19:$R$242,MATCH('SeS in Retail Sales Areas'!I$7,'NEW MODEL BY SES'!$C$17:$R$17,0),0),"")</f>
        <v/>
      </c>
      <c r="J376" s="142" t="str">
        <f>IFERROR(VLOOKUP($C376,'NEW MODEL BY SES'!$C$19:$R$242,MATCH('SeS in Retail Sales Areas'!J$7,'NEW MODEL BY SES'!$C$17:$R$17,0),0),"")</f>
        <v/>
      </c>
      <c r="K376" s="140" t="str">
        <f>IFERROR(VLOOKUP($C376,'NEW MODEL BY SES'!$C$19:$R$242,MATCH('SeS in Retail Sales Areas'!K$7,'NEW MODEL BY SES'!$C$17:$R$17,0),0),"")</f>
        <v/>
      </c>
      <c r="L376" s="142" t="str">
        <f>IFERROR(VLOOKUP($C376,'NEW MODEL BY SES'!$C$19:$R$242,MATCH('SeS in Retail Sales Areas'!L$7,'NEW MODEL BY SES'!$C$17:$R$17,0),0),"")</f>
        <v/>
      </c>
      <c r="M376" s="140" t="str">
        <f>IFERROR(VLOOKUP($C376,'NEW MODEL BY SES'!$C$19:$R$242,MATCH('SeS in Retail Sales Areas'!M$7,'NEW MODEL BY SES'!$C$17:$R$17,0),0),"")</f>
        <v/>
      </c>
      <c r="N376" s="142" t="str">
        <f>IFERROR(VLOOKUP($C376,'NEW MODEL BY SES'!$C$19:$R$242,MATCH('SeS in Retail Sales Areas'!N$7,'NEW MODEL BY SES'!$C$17:$R$17,0),0),"")</f>
        <v/>
      </c>
      <c r="O376" s="140" t="str">
        <f>IFERROR(VLOOKUP($C376,'NEW MODEL BY SES'!$C$19:$R$242,MATCH('SeS in Retail Sales Areas'!O$7,'NEW MODEL BY SES'!$C$17:$R$17,0),0),"")</f>
        <v/>
      </c>
      <c r="P376" s="142" t="str">
        <f>IFERROR(VLOOKUP($C376,'NEW MODEL BY SES'!$C$19:$R$242,MATCH('SeS in Retail Sales Areas'!P$7,'NEW MODEL BY SES'!$C$17:$R$17,0),0),"")</f>
        <v/>
      </c>
      <c r="Q376" s="140" t="str">
        <f>IFERROR(VLOOKUP($C376,'NEW MODEL BY SES'!$C$19:$R$242,MATCH('SeS in Retail Sales Areas'!Q$7,'NEW MODEL BY SES'!$C$17:$R$17,0),0),"")</f>
        <v/>
      </c>
      <c r="R376" s="142" t="str">
        <f>IFERROR(VLOOKUP($C376,'NEW MODEL BY SES'!$C$19:$R$242,MATCH('SeS in Retail Sales Areas'!R$7,'NEW MODEL BY SES'!$C$17:$R$17,0),0),"")</f>
        <v/>
      </c>
      <c r="S376" s="141" t="str">
        <f>IFERROR(VLOOKUP($C376,'NEW MODEL BY SES'!$C$19:$R$242,MATCH('SeS in Retail Sales Areas'!S$7,'NEW MODEL BY SES'!$C$17:$R$17,0),0),"")</f>
        <v/>
      </c>
      <c r="T376" s="140" t="str">
        <f>IFERROR(VLOOKUP($C376,'NEW MODEL BY SES'!$C$19:$R$242,MATCH('SeS in Retail Sales Areas'!T$7,'NEW MODEL BY SES'!$C$17:$R$17,0),0),"")</f>
        <v/>
      </c>
      <c r="U376" s="142" t="str">
        <f>IFERROR(VLOOKUP($C376,'NEW MODEL BY SES'!$C$19:$R$242,MATCH('SeS in Retail Sales Areas'!U$7,'NEW MODEL BY SES'!$C$17:$R$17,0),0),"")</f>
        <v/>
      </c>
      <c r="V376" s="140" t="str">
        <f>IFERROR(VLOOKUP($C376,'NEW MODEL BY SES'!$C$19:$R$242,MATCH('SeS in Retail Sales Areas'!V$7,'NEW MODEL BY SES'!$C$17:$R$17,0),0),"")</f>
        <v/>
      </c>
      <c r="W376" s="141" t="str">
        <f>IFERROR(VLOOKUP($C376,'NEW MODEL BY SES'!$C$19:$R$242,MATCH('SeS in Retail Sales Areas'!W$7,'NEW MODEL BY SES'!$C$17:$R$17,0),0),"")</f>
        <v/>
      </c>
      <c r="X376" s="140" t="str">
        <f>IFERROR(VLOOKUP($C376,'NEW MODEL BY SES'!$C$19:$R$242,MATCH('SeS in Retail Sales Areas'!X$7,'NEW MODEL BY SES'!$C$17:$R$17,0),0),"")</f>
        <v/>
      </c>
      <c r="Z376" s="57"/>
    </row>
    <row r="377" spans="1:26">
      <c r="A377" t="s">
        <v>1305</v>
      </c>
      <c r="B377" s="57">
        <v>128</v>
      </c>
      <c r="C377" t="s">
        <v>1318</v>
      </c>
      <c r="D377" t="s">
        <v>38</v>
      </c>
      <c r="E377"/>
      <c r="F377" s="140" t="str">
        <f>IFERROR(VLOOKUP($C377,'NEW MODEL BY SES'!$C$19:$R$242,MATCH('SeS in Retail Sales Areas'!F$7,'NEW MODEL BY SES'!$C$17:$R$17,0),0),"")</f>
        <v/>
      </c>
      <c r="G377" s="140" t="str">
        <f>IFERROR(VLOOKUP($C377,'NEW MODEL BY SES'!$C$19:$R$242,MATCH('SeS in Retail Sales Areas'!G$7,'NEW MODEL BY SES'!$C$17:$R$17,0),0),"")</f>
        <v/>
      </c>
      <c r="H377" s="142" t="str">
        <f>IFERROR(VLOOKUP($C377,'NEW MODEL BY SES'!$C$19:$R$242,MATCH('SeS in Retail Sales Areas'!H$7,'NEW MODEL BY SES'!$C$17:$R$17,0),0),"")</f>
        <v/>
      </c>
      <c r="I377" s="140" t="str">
        <f>IFERROR(VLOOKUP($C377,'NEW MODEL BY SES'!$C$19:$R$242,MATCH('SeS in Retail Sales Areas'!I$7,'NEW MODEL BY SES'!$C$17:$R$17,0),0),"")</f>
        <v/>
      </c>
      <c r="J377" s="142" t="str">
        <f>IFERROR(VLOOKUP($C377,'NEW MODEL BY SES'!$C$19:$R$242,MATCH('SeS in Retail Sales Areas'!J$7,'NEW MODEL BY SES'!$C$17:$R$17,0),0),"")</f>
        <v/>
      </c>
      <c r="K377" s="140" t="str">
        <f>IFERROR(VLOOKUP($C377,'NEW MODEL BY SES'!$C$19:$R$242,MATCH('SeS in Retail Sales Areas'!K$7,'NEW MODEL BY SES'!$C$17:$R$17,0),0),"")</f>
        <v/>
      </c>
      <c r="L377" s="142" t="str">
        <f>IFERROR(VLOOKUP($C377,'NEW MODEL BY SES'!$C$19:$R$242,MATCH('SeS in Retail Sales Areas'!L$7,'NEW MODEL BY SES'!$C$17:$R$17,0),0),"")</f>
        <v/>
      </c>
      <c r="M377" s="140" t="str">
        <f>IFERROR(VLOOKUP($C377,'NEW MODEL BY SES'!$C$19:$R$242,MATCH('SeS in Retail Sales Areas'!M$7,'NEW MODEL BY SES'!$C$17:$R$17,0),0),"")</f>
        <v/>
      </c>
      <c r="N377" s="142" t="str">
        <f>IFERROR(VLOOKUP($C377,'NEW MODEL BY SES'!$C$19:$R$242,MATCH('SeS in Retail Sales Areas'!N$7,'NEW MODEL BY SES'!$C$17:$R$17,0),0),"")</f>
        <v/>
      </c>
      <c r="O377" s="140" t="str">
        <f>IFERROR(VLOOKUP($C377,'NEW MODEL BY SES'!$C$19:$R$242,MATCH('SeS in Retail Sales Areas'!O$7,'NEW MODEL BY SES'!$C$17:$R$17,0),0),"")</f>
        <v/>
      </c>
      <c r="P377" s="142" t="str">
        <f>IFERROR(VLOOKUP($C377,'NEW MODEL BY SES'!$C$19:$R$242,MATCH('SeS in Retail Sales Areas'!P$7,'NEW MODEL BY SES'!$C$17:$R$17,0),0),"")</f>
        <v/>
      </c>
      <c r="Q377" s="140" t="str">
        <f>IFERROR(VLOOKUP($C377,'NEW MODEL BY SES'!$C$19:$R$242,MATCH('SeS in Retail Sales Areas'!Q$7,'NEW MODEL BY SES'!$C$17:$R$17,0),0),"")</f>
        <v/>
      </c>
      <c r="R377" s="142" t="str">
        <f>IFERROR(VLOOKUP($C377,'NEW MODEL BY SES'!$C$19:$R$242,MATCH('SeS in Retail Sales Areas'!R$7,'NEW MODEL BY SES'!$C$17:$R$17,0),0),"")</f>
        <v/>
      </c>
      <c r="S377" s="141" t="str">
        <f>IFERROR(VLOOKUP($C377,'NEW MODEL BY SES'!$C$19:$R$242,MATCH('SeS in Retail Sales Areas'!S$7,'NEW MODEL BY SES'!$C$17:$R$17,0),0),"")</f>
        <v/>
      </c>
      <c r="T377" s="140" t="str">
        <f>IFERROR(VLOOKUP($C377,'NEW MODEL BY SES'!$C$19:$R$242,MATCH('SeS in Retail Sales Areas'!T$7,'NEW MODEL BY SES'!$C$17:$R$17,0),0),"")</f>
        <v/>
      </c>
      <c r="U377" s="142" t="str">
        <f>IFERROR(VLOOKUP($C377,'NEW MODEL BY SES'!$C$19:$R$242,MATCH('SeS in Retail Sales Areas'!U$7,'NEW MODEL BY SES'!$C$17:$R$17,0),0),"")</f>
        <v/>
      </c>
      <c r="V377" s="140" t="str">
        <f>IFERROR(VLOOKUP($C377,'NEW MODEL BY SES'!$C$19:$R$242,MATCH('SeS in Retail Sales Areas'!V$7,'NEW MODEL BY SES'!$C$17:$R$17,0),0),"")</f>
        <v/>
      </c>
      <c r="W377" s="141" t="str">
        <f>IFERROR(VLOOKUP($C377,'NEW MODEL BY SES'!$C$19:$R$242,MATCH('SeS in Retail Sales Areas'!W$7,'NEW MODEL BY SES'!$C$17:$R$17,0),0),"")</f>
        <v/>
      </c>
      <c r="X377" s="140" t="str">
        <f>IFERROR(VLOOKUP($C377,'NEW MODEL BY SES'!$C$19:$R$242,MATCH('SeS in Retail Sales Areas'!X$7,'NEW MODEL BY SES'!$C$17:$R$17,0),0),"")</f>
        <v/>
      </c>
      <c r="Z377" s="57"/>
    </row>
    <row r="378" spans="1:26">
      <c r="A378" t="s">
        <v>1305</v>
      </c>
      <c r="B378" s="57">
        <v>123</v>
      </c>
      <c r="C378" t="s">
        <v>1319</v>
      </c>
      <c r="D378" t="s">
        <v>40</v>
      </c>
      <c r="E378"/>
      <c r="F378" s="140" t="str">
        <f>IFERROR(VLOOKUP($C378,'NEW MODEL BY SES'!$C$19:$R$242,MATCH('SeS in Retail Sales Areas'!F$7,'NEW MODEL BY SES'!$C$17:$R$17,0),0),"")</f>
        <v/>
      </c>
      <c r="G378" s="140" t="str">
        <f>IFERROR(VLOOKUP($C378,'NEW MODEL BY SES'!$C$19:$R$242,MATCH('SeS in Retail Sales Areas'!G$7,'NEW MODEL BY SES'!$C$17:$R$17,0),0),"")</f>
        <v/>
      </c>
      <c r="H378" s="142" t="str">
        <f>IFERROR(VLOOKUP($C378,'NEW MODEL BY SES'!$C$19:$R$242,MATCH('SeS in Retail Sales Areas'!H$7,'NEW MODEL BY SES'!$C$17:$R$17,0),0),"")</f>
        <v/>
      </c>
      <c r="I378" s="140" t="str">
        <f>IFERROR(VLOOKUP($C378,'NEW MODEL BY SES'!$C$19:$R$242,MATCH('SeS in Retail Sales Areas'!I$7,'NEW MODEL BY SES'!$C$17:$R$17,0),0),"")</f>
        <v/>
      </c>
      <c r="J378" s="142" t="str">
        <f>IFERROR(VLOOKUP($C378,'NEW MODEL BY SES'!$C$19:$R$242,MATCH('SeS in Retail Sales Areas'!J$7,'NEW MODEL BY SES'!$C$17:$R$17,0),0),"")</f>
        <v/>
      </c>
      <c r="K378" s="140" t="str">
        <f>IFERROR(VLOOKUP($C378,'NEW MODEL BY SES'!$C$19:$R$242,MATCH('SeS in Retail Sales Areas'!K$7,'NEW MODEL BY SES'!$C$17:$R$17,0),0),"")</f>
        <v/>
      </c>
      <c r="L378" s="142" t="str">
        <f>IFERROR(VLOOKUP($C378,'NEW MODEL BY SES'!$C$19:$R$242,MATCH('SeS in Retail Sales Areas'!L$7,'NEW MODEL BY SES'!$C$17:$R$17,0),0),"")</f>
        <v/>
      </c>
      <c r="M378" s="140" t="str">
        <f>IFERROR(VLOOKUP($C378,'NEW MODEL BY SES'!$C$19:$R$242,MATCH('SeS in Retail Sales Areas'!M$7,'NEW MODEL BY SES'!$C$17:$R$17,0),0),"")</f>
        <v/>
      </c>
      <c r="N378" s="142" t="str">
        <f>IFERROR(VLOOKUP($C378,'NEW MODEL BY SES'!$C$19:$R$242,MATCH('SeS in Retail Sales Areas'!N$7,'NEW MODEL BY SES'!$C$17:$R$17,0),0),"")</f>
        <v/>
      </c>
      <c r="O378" s="140" t="str">
        <f>IFERROR(VLOOKUP($C378,'NEW MODEL BY SES'!$C$19:$R$242,MATCH('SeS in Retail Sales Areas'!O$7,'NEW MODEL BY SES'!$C$17:$R$17,0),0),"")</f>
        <v/>
      </c>
      <c r="P378" s="142" t="str">
        <f>IFERROR(VLOOKUP($C378,'NEW MODEL BY SES'!$C$19:$R$242,MATCH('SeS in Retail Sales Areas'!P$7,'NEW MODEL BY SES'!$C$17:$R$17,0),0),"")</f>
        <v/>
      </c>
      <c r="Q378" s="140" t="str">
        <f>IFERROR(VLOOKUP($C378,'NEW MODEL BY SES'!$C$19:$R$242,MATCH('SeS in Retail Sales Areas'!Q$7,'NEW MODEL BY SES'!$C$17:$R$17,0),0),"")</f>
        <v/>
      </c>
      <c r="R378" s="142" t="str">
        <f>IFERROR(VLOOKUP($C378,'NEW MODEL BY SES'!$C$19:$R$242,MATCH('SeS in Retail Sales Areas'!R$7,'NEW MODEL BY SES'!$C$17:$R$17,0),0),"")</f>
        <v/>
      </c>
      <c r="S378" s="141" t="str">
        <f>IFERROR(VLOOKUP($C378,'NEW MODEL BY SES'!$C$19:$R$242,MATCH('SeS in Retail Sales Areas'!S$7,'NEW MODEL BY SES'!$C$17:$R$17,0),0),"")</f>
        <v/>
      </c>
      <c r="T378" s="140" t="str">
        <f>IFERROR(VLOOKUP($C378,'NEW MODEL BY SES'!$C$19:$R$242,MATCH('SeS in Retail Sales Areas'!T$7,'NEW MODEL BY SES'!$C$17:$R$17,0),0),"")</f>
        <v/>
      </c>
      <c r="U378" s="142" t="str">
        <f>IFERROR(VLOOKUP($C378,'NEW MODEL BY SES'!$C$19:$R$242,MATCH('SeS in Retail Sales Areas'!U$7,'NEW MODEL BY SES'!$C$17:$R$17,0),0),"")</f>
        <v/>
      </c>
      <c r="V378" s="140" t="str">
        <f>IFERROR(VLOOKUP($C378,'NEW MODEL BY SES'!$C$19:$R$242,MATCH('SeS in Retail Sales Areas'!V$7,'NEW MODEL BY SES'!$C$17:$R$17,0),0),"")</f>
        <v/>
      </c>
      <c r="W378" s="141" t="str">
        <f>IFERROR(VLOOKUP($C378,'NEW MODEL BY SES'!$C$19:$R$242,MATCH('SeS in Retail Sales Areas'!W$7,'NEW MODEL BY SES'!$C$17:$R$17,0),0),"")</f>
        <v/>
      </c>
      <c r="X378" s="140" t="str">
        <f>IFERROR(VLOOKUP($C378,'NEW MODEL BY SES'!$C$19:$R$242,MATCH('SeS in Retail Sales Areas'!X$7,'NEW MODEL BY SES'!$C$17:$R$17,0),0),"")</f>
        <v/>
      </c>
      <c r="Z378" s="57"/>
    </row>
    <row r="379" spans="1:26">
      <c r="A379" t="s">
        <v>1305</v>
      </c>
      <c r="B379" s="57">
        <v>114</v>
      </c>
      <c r="C379" t="s">
        <v>1320</v>
      </c>
      <c r="D379" t="s">
        <v>40</v>
      </c>
      <c r="E379"/>
      <c r="F379" s="140" t="str">
        <f>IFERROR(VLOOKUP($C379,'NEW MODEL BY SES'!$C$19:$R$242,MATCH('SeS in Retail Sales Areas'!F$7,'NEW MODEL BY SES'!$C$17:$R$17,0),0),"")</f>
        <v/>
      </c>
      <c r="G379" s="140" t="str">
        <f>IFERROR(VLOOKUP($C379,'NEW MODEL BY SES'!$C$19:$R$242,MATCH('SeS in Retail Sales Areas'!G$7,'NEW MODEL BY SES'!$C$17:$R$17,0),0),"")</f>
        <v/>
      </c>
      <c r="H379" s="142" t="str">
        <f>IFERROR(VLOOKUP($C379,'NEW MODEL BY SES'!$C$19:$R$242,MATCH('SeS in Retail Sales Areas'!H$7,'NEW MODEL BY SES'!$C$17:$R$17,0),0),"")</f>
        <v/>
      </c>
      <c r="I379" s="140" t="str">
        <f>IFERROR(VLOOKUP($C379,'NEW MODEL BY SES'!$C$19:$R$242,MATCH('SeS in Retail Sales Areas'!I$7,'NEW MODEL BY SES'!$C$17:$R$17,0),0),"")</f>
        <v/>
      </c>
      <c r="J379" s="142" t="str">
        <f>IFERROR(VLOOKUP($C379,'NEW MODEL BY SES'!$C$19:$R$242,MATCH('SeS in Retail Sales Areas'!J$7,'NEW MODEL BY SES'!$C$17:$R$17,0),0),"")</f>
        <v/>
      </c>
      <c r="K379" s="140" t="str">
        <f>IFERROR(VLOOKUP($C379,'NEW MODEL BY SES'!$C$19:$R$242,MATCH('SeS in Retail Sales Areas'!K$7,'NEW MODEL BY SES'!$C$17:$R$17,0),0),"")</f>
        <v/>
      </c>
      <c r="L379" s="142" t="str">
        <f>IFERROR(VLOOKUP($C379,'NEW MODEL BY SES'!$C$19:$R$242,MATCH('SeS in Retail Sales Areas'!L$7,'NEW MODEL BY SES'!$C$17:$R$17,0),0),"")</f>
        <v/>
      </c>
      <c r="M379" s="140" t="str">
        <f>IFERROR(VLOOKUP($C379,'NEW MODEL BY SES'!$C$19:$R$242,MATCH('SeS in Retail Sales Areas'!M$7,'NEW MODEL BY SES'!$C$17:$R$17,0),0),"")</f>
        <v/>
      </c>
      <c r="N379" s="142" t="str">
        <f>IFERROR(VLOOKUP($C379,'NEW MODEL BY SES'!$C$19:$R$242,MATCH('SeS in Retail Sales Areas'!N$7,'NEW MODEL BY SES'!$C$17:$R$17,0),0),"")</f>
        <v/>
      </c>
      <c r="O379" s="140" t="str">
        <f>IFERROR(VLOOKUP($C379,'NEW MODEL BY SES'!$C$19:$R$242,MATCH('SeS in Retail Sales Areas'!O$7,'NEW MODEL BY SES'!$C$17:$R$17,0),0),"")</f>
        <v/>
      </c>
      <c r="P379" s="142" t="str">
        <f>IFERROR(VLOOKUP($C379,'NEW MODEL BY SES'!$C$19:$R$242,MATCH('SeS in Retail Sales Areas'!P$7,'NEW MODEL BY SES'!$C$17:$R$17,0),0),"")</f>
        <v/>
      </c>
      <c r="Q379" s="140" t="str">
        <f>IFERROR(VLOOKUP($C379,'NEW MODEL BY SES'!$C$19:$R$242,MATCH('SeS in Retail Sales Areas'!Q$7,'NEW MODEL BY SES'!$C$17:$R$17,0),0),"")</f>
        <v/>
      </c>
      <c r="R379" s="142" t="str">
        <f>IFERROR(VLOOKUP($C379,'NEW MODEL BY SES'!$C$19:$R$242,MATCH('SeS in Retail Sales Areas'!R$7,'NEW MODEL BY SES'!$C$17:$R$17,0),0),"")</f>
        <v/>
      </c>
      <c r="S379" s="141" t="str">
        <f>IFERROR(VLOOKUP($C379,'NEW MODEL BY SES'!$C$19:$R$242,MATCH('SeS in Retail Sales Areas'!S$7,'NEW MODEL BY SES'!$C$17:$R$17,0),0),"")</f>
        <v/>
      </c>
      <c r="T379" s="140" t="str">
        <f>IFERROR(VLOOKUP($C379,'NEW MODEL BY SES'!$C$19:$R$242,MATCH('SeS in Retail Sales Areas'!T$7,'NEW MODEL BY SES'!$C$17:$R$17,0),0),"")</f>
        <v/>
      </c>
      <c r="U379" s="142" t="str">
        <f>IFERROR(VLOOKUP($C379,'NEW MODEL BY SES'!$C$19:$R$242,MATCH('SeS in Retail Sales Areas'!U$7,'NEW MODEL BY SES'!$C$17:$R$17,0),0),"")</f>
        <v/>
      </c>
      <c r="V379" s="140" t="str">
        <f>IFERROR(VLOOKUP($C379,'NEW MODEL BY SES'!$C$19:$R$242,MATCH('SeS in Retail Sales Areas'!V$7,'NEW MODEL BY SES'!$C$17:$R$17,0),0),"")</f>
        <v/>
      </c>
      <c r="W379" s="141" t="str">
        <f>IFERROR(VLOOKUP($C379,'NEW MODEL BY SES'!$C$19:$R$242,MATCH('SeS in Retail Sales Areas'!W$7,'NEW MODEL BY SES'!$C$17:$R$17,0),0),"")</f>
        <v/>
      </c>
      <c r="X379" s="140" t="str">
        <f>IFERROR(VLOOKUP($C379,'NEW MODEL BY SES'!$C$19:$R$242,MATCH('SeS in Retail Sales Areas'!X$7,'NEW MODEL BY SES'!$C$17:$R$17,0),0),"")</f>
        <v/>
      </c>
      <c r="Z379" s="57"/>
    </row>
    <row r="380" spans="1:26">
      <c r="A380" t="s">
        <v>1305</v>
      </c>
      <c r="B380" s="57">
        <v>108</v>
      </c>
      <c r="C380" t="s">
        <v>1321</v>
      </c>
      <c r="D380" t="s">
        <v>40</v>
      </c>
      <c r="E380"/>
      <c r="F380" s="140" t="str">
        <f>IFERROR(VLOOKUP($C380,'NEW MODEL BY SES'!$C$19:$R$242,MATCH('SeS in Retail Sales Areas'!F$7,'NEW MODEL BY SES'!$C$17:$R$17,0),0),"")</f>
        <v/>
      </c>
      <c r="G380" s="140" t="str">
        <f>IFERROR(VLOOKUP($C380,'NEW MODEL BY SES'!$C$19:$R$242,MATCH('SeS in Retail Sales Areas'!G$7,'NEW MODEL BY SES'!$C$17:$R$17,0),0),"")</f>
        <v/>
      </c>
      <c r="H380" s="142" t="str">
        <f>IFERROR(VLOOKUP($C380,'NEW MODEL BY SES'!$C$19:$R$242,MATCH('SeS in Retail Sales Areas'!H$7,'NEW MODEL BY SES'!$C$17:$R$17,0),0),"")</f>
        <v/>
      </c>
      <c r="I380" s="140" t="str">
        <f>IFERROR(VLOOKUP($C380,'NEW MODEL BY SES'!$C$19:$R$242,MATCH('SeS in Retail Sales Areas'!I$7,'NEW MODEL BY SES'!$C$17:$R$17,0),0),"")</f>
        <v/>
      </c>
      <c r="J380" s="142" t="str">
        <f>IFERROR(VLOOKUP($C380,'NEW MODEL BY SES'!$C$19:$R$242,MATCH('SeS in Retail Sales Areas'!J$7,'NEW MODEL BY SES'!$C$17:$R$17,0),0),"")</f>
        <v/>
      </c>
      <c r="K380" s="140" t="str">
        <f>IFERROR(VLOOKUP($C380,'NEW MODEL BY SES'!$C$19:$R$242,MATCH('SeS in Retail Sales Areas'!K$7,'NEW MODEL BY SES'!$C$17:$R$17,0),0),"")</f>
        <v/>
      </c>
      <c r="L380" s="142" t="str">
        <f>IFERROR(VLOOKUP($C380,'NEW MODEL BY SES'!$C$19:$R$242,MATCH('SeS in Retail Sales Areas'!L$7,'NEW MODEL BY SES'!$C$17:$R$17,0),0),"")</f>
        <v/>
      </c>
      <c r="M380" s="140" t="str">
        <f>IFERROR(VLOOKUP($C380,'NEW MODEL BY SES'!$C$19:$R$242,MATCH('SeS in Retail Sales Areas'!M$7,'NEW MODEL BY SES'!$C$17:$R$17,0),0),"")</f>
        <v/>
      </c>
      <c r="N380" s="142" t="str">
        <f>IFERROR(VLOOKUP($C380,'NEW MODEL BY SES'!$C$19:$R$242,MATCH('SeS in Retail Sales Areas'!N$7,'NEW MODEL BY SES'!$C$17:$R$17,0),0),"")</f>
        <v/>
      </c>
      <c r="O380" s="140" t="str">
        <f>IFERROR(VLOOKUP($C380,'NEW MODEL BY SES'!$C$19:$R$242,MATCH('SeS in Retail Sales Areas'!O$7,'NEW MODEL BY SES'!$C$17:$R$17,0),0),"")</f>
        <v/>
      </c>
      <c r="P380" s="142" t="str">
        <f>IFERROR(VLOOKUP($C380,'NEW MODEL BY SES'!$C$19:$R$242,MATCH('SeS in Retail Sales Areas'!P$7,'NEW MODEL BY SES'!$C$17:$R$17,0),0),"")</f>
        <v/>
      </c>
      <c r="Q380" s="140" t="str">
        <f>IFERROR(VLOOKUP($C380,'NEW MODEL BY SES'!$C$19:$R$242,MATCH('SeS in Retail Sales Areas'!Q$7,'NEW MODEL BY SES'!$C$17:$R$17,0),0),"")</f>
        <v/>
      </c>
      <c r="R380" s="142" t="str">
        <f>IFERROR(VLOOKUP($C380,'NEW MODEL BY SES'!$C$19:$R$242,MATCH('SeS in Retail Sales Areas'!R$7,'NEW MODEL BY SES'!$C$17:$R$17,0),0),"")</f>
        <v/>
      </c>
      <c r="S380" s="141" t="str">
        <f>IFERROR(VLOOKUP($C380,'NEW MODEL BY SES'!$C$19:$R$242,MATCH('SeS in Retail Sales Areas'!S$7,'NEW MODEL BY SES'!$C$17:$R$17,0),0),"")</f>
        <v/>
      </c>
      <c r="T380" s="140" t="str">
        <f>IFERROR(VLOOKUP($C380,'NEW MODEL BY SES'!$C$19:$R$242,MATCH('SeS in Retail Sales Areas'!T$7,'NEW MODEL BY SES'!$C$17:$R$17,0),0),"")</f>
        <v/>
      </c>
      <c r="U380" s="142" t="str">
        <f>IFERROR(VLOOKUP($C380,'NEW MODEL BY SES'!$C$19:$R$242,MATCH('SeS in Retail Sales Areas'!U$7,'NEW MODEL BY SES'!$C$17:$R$17,0),0),"")</f>
        <v/>
      </c>
      <c r="V380" s="140" t="str">
        <f>IFERROR(VLOOKUP($C380,'NEW MODEL BY SES'!$C$19:$R$242,MATCH('SeS in Retail Sales Areas'!V$7,'NEW MODEL BY SES'!$C$17:$R$17,0),0),"")</f>
        <v/>
      </c>
      <c r="W380" s="141" t="str">
        <f>IFERROR(VLOOKUP($C380,'NEW MODEL BY SES'!$C$19:$R$242,MATCH('SeS in Retail Sales Areas'!W$7,'NEW MODEL BY SES'!$C$17:$R$17,0),0),"")</f>
        <v/>
      </c>
      <c r="X380" s="140" t="str">
        <f>IFERROR(VLOOKUP($C380,'NEW MODEL BY SES'!$C$19:$R$242,MATCH('SeS in Retail Sales Areas'!X$7,'NEW MODEL BY SES'!$C$17:$R$17,0),0),"")</f>
        <v/>
      </c>
      <c r="Z380" s="57"/>
    </row>
    <row r="381" spans="1:26">
      <c r="A381" t="s">
        <v>1305</v>
      </c>
      <c r="B381" s="57">
        <v>107</v>
      </c>
      <c r="C381" t="s">
        <v>1322</v>
      </c>
      <c r="D381" t="s">
        <v>40</v>
      </c>
      <c r="E381"/>
      <c r="F381" s="140" t="str">
        <f>IFERROR(VLOOKUP($C381,'NEW MODEL BY SES'!$C$19:$R$242,MATCH('SeS in Retail Sales Areas'!F$7,'NEW MODEL BY SES'!$C$17:$R$17,0),0),"")</f>
        <v/>
      </c>
      <c r="G381" s="140" t="str">
        <f>IFERROR(VLOOKUP($C381,'NEW MODEL BY SES'!$C$19:$R$242,MATCH('SeS in Retail Sales Areas'!G$7,'NEW MODEL BY SES'!$C$17:$R$17,0),0),"")</f>
        <v/>
      </c>
      <c r="H381" s="142" t="str">
        <f>IFERROR(VLOOKUP($C381,'NEW MODEL BY SES'!$C$19:$R$242,MATCH('SeS in Retail Sales Areas'!H$7,'NEW MODEL BY SES'!$C$17:$R$17,0),0),"")</f>
        <v/>
      </c>
      <c r="I381" s="140" t="str">
        <f>IFERROR(VLOOKUP($C381,'NEW MODEL BY SES'!$C$19:$R$242,MATCH('SeS in Retail Sales Areas'!I$7,'NEW MODEL BY SES'!$C$17:$R$17,0),0),"")</f>
        <v/>
      </c>
      <c r="J381" s="142" t="str">
        <f>IFERROR(VLOOKUP($C381,'NEW MODEL BY SES'!$C$19:$R$242,MATCH('SeS in Retail Sales Areas'!J$7,'NEW MODEL BY SES'!$C$17:$R$17,0),0),"")</f>
        <v/>
      </c>
      <c r="K381" s="140" t="str">
        <f>IFERROR(VLOOKUP($C381,'NEW MODEL BY SES'!$C$19:$R$242,MATCH('SeS in Retail Sales Areas'!K$7,'NEW MODEL BY SES'!$C$17:$R$17,0),0),"")</f>
        <v/>
      </c>
      <c r="L381" s="142" t="str">
        <f>IFERROR(VLOOKUP($C381,'NEW MODEL BY SES'!$C$19:$R$242,MATCH('SeS in Retail Sales Areas'!L$7,'NEW MODEL BY SES'!$C$17:$R$17,0),0),"")</f>
        <v/>
      </c>
      <c r="M381" s="140" t="str">
        <f>IFERROR(VLOOKUP($C381,'NEW MODEL BY SES'!$C$19:$R$242,MATCH('SeS in Retail Sales Areas'!M$7,'NEW MODEL BY SES'!$C$17:$R$17,0),0),"")</f>
        <v/>
      </c>
      <c r="N381" s="142" t="str">
        <f>IFERROR(VLOOKUP($C381,'NEW MODEL BY SES'!$C$19:$R$242,MATCH('SeS in Retail Sales Areas'!N$7,'NEW MODEL BY SES'!$C$17:$R$17,0),0),"")</f>
        <v/>
      </c>
      <c r="O381" s="140" t="str">
        <f>IFERROR(VLOOKUP($C381,'NEW MODEL BY SES'!$C$19:$R$242,MATCH('SeS in Retail Sales Areas'!O$7,'NEW MODEL BY SES'!$C$17:$R$17,0),0),"")</f>
        <v/>
      </c>
      <c r="P381" s="142" t="str">
        <f>IFERROR(VLOOKUP($C381,'NEW MODEL BY SES'!$C$19:$R$242,MATCH('SeS in Retail Sales Areas'!P$7,'NEW MODEL BY SES'!$C$17:$R$17,0),0),"")</f>
        <v/>
      </c>
      <c r="Q381" s="140" t="str">
        <f>IFERROR(VLOOKUP($C381,'NEW MODEL BY SES'!$C$19:$R$242,MATCH('SeS in Retail Sales Areas'!Q$7,'NEW MODEL BY SES'!$C$17:$R$17,0),0),"")</f>
        <v/>
      </c>
      <c r="R381" s="142" t="str">
        <f>IFERROR(VLOOKUP($C381,'NEW MODEL BY SES'!$C$19:$R$242,MATCH('SeS in Retail Sales Areas'!R$7,'NEW MODEL BY SES'!$C$17:$R$17,0),0),"")</f>
        <v/>
      </c>
      <c r="S381" s="141" t="str">
        <f>IFERROR(VLOOKUP($C381,'NEW MODEL BY SES'!$C$19:$R$242,MATCH('SeS in Retail Sales Areas'!S$7,'NEW MODEL BY SES'!$C$17:$R$17,0),0),"")</f>
        <v/>
      </c>
      <c r="T381" s="140" t="str">
        <f>IFERROR(VLOOKUP($C381,'NEW MODEL BY SES'!$C$19:$R$242,MATCH('SeS in Retail Sales Areas'!T$7,'NEW MODEL BY SES'!$C$17:$R$17,0),0),"")</f>
        <v/>
      </c>
      <c r="U381" s="142" t="str">
        <f>IFERROR(VLOOKUP($C381,'NEW MODEL BY SES'!$C$19:$R$242,MATCH('SeS in Retail Sales Areas'!U$7,'NEW MODEL BY SES'!$C$17:$R$17,0),0),"")</f>
        <v/>
      </c>
      <c r="V381" s="140" t="str">
        <f>IFERROR(VLOOKUP($C381,'NEW MODEL BY SES'!$C$19:$R$242,MATCH('SeS in Retail Sales Areas'!V$7,'NEW MODEL BY SES'!$C$17:$R$17,0),0),"")</f>
        <v/>
      </c>
      <c r="W381" s="141" t="str">
        <f>IFERROR(VLOOKUP($C381,'NEW MODEL BY SES'!$C$19:$R$242,MATCH('SeS in Retail Sales Areas'!W$7,'NEW MODEL BY SES'!$C$17:$R$17,0),0),"")</f>
        <v/>
      </c>
      <c r="X381" s="140" t="str">
        <f>IFERROR(VLOOKUP($C381,'NEW MODEL BY SES'!$C$19:$R$242,MATCH('SeS in Retail Sales Areas'!X$7,'NEW MODEL BY SES'!$C$17:$R$17,0),0),"")</f>
        <v/>
      </c>
      <c r="Z381" s="57"/>
    </row>
    <row r="382" spans="1:26">
      <c r="A382" t="s">
        <v>1305</v>
      </c>
      <c r="B382" s="57">
        <v>103</v>
      </c>
      <c r="C382" t="s">
        <v>1323</v>
      </c>
      <c r="D382" t="s">
        <v>40</v>
      </c>
      <c r="E382"/>
      <c r="F382" s="140" t="str">
        <f>IFERROR(VLOOKUP($C382,'NEW MODEL BY SES'!$C$19:$R$242,MATCH('SeS in Retail Sales Areas'!F$7,'NEW MODEL BY SES'!$C$17:$R$17,0),0),"")</f>
        <v/>
      </c>
      <c r="G382" s="140" t="str">
        <f>IFERROR(VLOOKUP($C382,'NEW MODEL BY SES'!$C$19:$R$242,MATCH('SeS in Retail Sales Areas'!G$7,'NEW MODEL BY SES'!$C$17:$R$17,0),0),"")</f>
        <v/>
      </c>
      <c r="H382" s="142" t="str">
        <f>IFERROR(VLOOKUP($C382,'NEW MODEL BY SES'!$C$19:$R$242,MATCH('SeS in Retail Sales Areas'!H$7,'NEW MODEL BY SES'!$C$17:$R$17,0),0),"")</f>
        <v/>
      </c>
      <c r="I382" s="140" t="str">
        <f>IFERROR(VLOOKUP($C382,'NEW MODEL BY SES'!$C$19:$R$242,MATCH('SeS in Retail Sales Areas'!I$7,'NEW MODEL BY SES'!$C$17:$R$17,0),0),"")</f>
        <v/>
      </c>
      <c r="J382" s="142" t="str">
        <f>IFERROR(VLOOKUP($C382,'NEW MODEL BY SES'!$C$19:$R$242,MATCH('SeS in Retail Sales Areas'!J$7,'NEW MODEL BY SES'!$C$17:$R$17,0),0),"")</f>
        <v/>
      </c>
      <c r="K382" s="140" t="str">
        <f>IFERROR(VLOOKUP($C382,'NEW MODEL BY SES'!$C$19:$R$242,MATCH('SeS in Retail Sales Areas'!K$7,'NEW MODEL BY SES'!$C$17:$R$17,0),0),"")</f>
        <v/>
      </c>
      <c r="L382" s="142" t="str">
        <f>IFERROR(VLOOKUP($C382,'NEW MODEL BY SES'!$C$19:$R$242,MATCH('SeS in Retail Sales Areas'!L$7,'NEW MODEL BY SES'!$C$17:$R$17,0),0),"")</f>
        <v/>
      </c>
      <c r="M382" s="140" t="str">
        <f>IFERROR(VLOOKUP($C382,'NEW MODEL BY SES'!$C$19:$R$242,MATCH('SeS in Retail Sales Areas'!M$7,'NEW MODEL BY SES'!$C$17:$R$17,0),0),"")</f>
        <v/>
      </c>
      <c r="N382" s="142" t="str">
        <f>IFERROR(VLOOKUP($C382,'NEW MODEL BY SES'!$C$19:$R$242,MATCH('SeS in Retail Sales Areas'!N$7,'NEW MODEL BY SES'!$C$17:$R$17,0),0),"")</f>
        <v/>
      </c>
      <c r="O382" s="140" t="str">
        <f>IFERROR(VLOOKUP($C382,'NEW MODEL BY SES'!$C$19:$R$242,MATCH('SeS in Retail Sales Areas'!O$7,'NEW MODEL BY SES'!$C$17:$R$17,0),0),"")</f>
        <v/>
      </c>
      <c r="P382" s="142" t="str">
        <f>IFERROR(VLOOKUP($C382,'NEW MODEL BY SES'!$C$19:$R$242,MATCH('SeS in Retail Sales Areas'!P$7,'NEW MODEL BY SES'!$C$17:$R$17,0),0),"")</f>
        <v/>
      </c>
      <c r="Q382" s="140" t="str">
        <f>IFERROR(VLOOKUP($C382,'NEW MODEL BY SES'!$C$19:$R$242,MATCH('SeS in Retail Sales Areas'!Q$7,'NEW MODEL BY SES'!$C$17:$R$17,0),0),"")</f>
        <v/>
      </c>
      <c r="R382" s="142" t="str">
        <f>IFERROR(VLOOKUP($C382,'NEW MODEL BY SES'!$C$19:$R$242,MATCH('SeS in Retail Sales Areas'!R$7,'NEW MODEL BY SES'!$C$17:$R$17,0),0),"")</f>
        <v/>
      </c>
      <c r="S382" s="141" t="str">
        <f>IFERROR(VLOOKUP($C382,'NEW MODEL BY SES'!$C$19:$R$242,MATCH('SeS in Retail Sales Areas'!S$7,'NEW MODEL BY SES'!$C$17:$R$17,0),0),"")</f>
        <v/>
      </c>
      <c r="T382" s="140" t="str">
        <f>IFERROR(VLOOKUP($C382,'NEW MODEL BY SES'!$C$19:$R$242,MATCH('SeS in Retail Sales Areas'!T$7,'NEW MODEL BY SES'!$C$17:$R$17,0),0),"")</f>
        <v/>
      </c>
      <c r="U382" s="142" t="str">
        <f>IFERROR(VLOOKUP($C382,'NEW MODEL BY SES'!$C$19:$R$242,MATCH('SeS in Retail Sales Areas'!U$7,'NEW MODEL BY SES'!$C$17:$R$17,0),0),"")</f>
        <v/>
      </c>
      <c r="V382" s="140" t="str">
        <f>IFERROR(VLOOKUP($C382,'NEW MODEL BY SES'!$C$19:$R$242,MATCH('SeS in Retail Sales Areas'!V$7,'NEW MODEL BY SES'!$C$17:$R$17,0),0),"")</f>
        <v/>
      </c>
      <c r="W382" s="141" t="str">
        <f>IFERROR(VLOOKUP($C382,'NEW MODEL BY SES'!$C$19:$R$242,MATCH('SeS in Retail Sales Areas'!W$7,'NEW MODEL BY SES'!$C$17:$R$17,0),0),"")</f>
        <v/>
      </c>
      <c r="X382" s="140" t="str">
        <f>IFERROR(VLOOKUP($C382,'NEW MODEL BY SES'!$C$19:$R$242,MATCH('SeS in Retail Sales Areas'!X$7,'NEW MODEL BY SES'!$C$17:$R$17,0),0),"")</f>
        <v/>
      </c>
      <c r="Z382" s="57"/>
    </row>
    <row r="383" spans="1:26">
      <c r="A383" t="s">
        <v>1305</v>
      </c>
      <c r="B383" s="57">
        <v>100</v>
      </c>
      <c r="C383" t="s">
        <v>1324</v>
      </c>
      <c r="D383" t="s">
        <v>40</v>
      </c>
      <c r="E383"/>
      <c r="F383" s="140" t="str">
        <f>IFERROR(VLOOKUP($C383,'NEW MODEL BY SES'!$C$19:$R$242,MATCH('SeS in Retail Sales Areas'!F$7,'NEW MODEL BY SES'!$C$17:$R$17,0),0),"")</f>
        <v/>
      </c>
      <c r="G383" s="140" t="str">
        <f>IFERROR(VLOOKUP($C383,'NEW MODEL BY SES'!$C$19:$R$242,MATCH('SeS in Retail Sales Areas'!G$7,'NEW MODEL BY SES'!$C$17:$R$17,0),0),"")</f>
        <v/>
      </c>
      <c r="H383" s="142" t="str">
        <f>IFERROR(VLOOKUP($C383,'NEW MODEL BY SES'!$C$19:$R$242,MATCH('SeS in Retail Sales Areas'!H$7,'NEW MODEL BY SES'!$C$17:$R$17,0),0),"")</f>
        <v/>
      </c>
      <c r="I383" s="140" t="str">
        <f>IFERROR(VLOOKUP($C383,'NEW MODEL BY SES'!$C$19:$R$242,MATCH('SeS in Retail Sales Areas'!I$7,'NEW MODEL BY SES'!$C$17:$R$17,0),0),"")</f>
        <v/>
      </c>
      <c r="J383" s="142" t="str">
        <f>IFERROR(VLOOKUP($C383,'NEW MODEL BY SES'!$C$19:$R$242,MATCH('SeS in Retail Sales Areas'!J$7,'NEW MODEL BY SES'!$C$17:$R$17,0),0),"")</f>
        <v/>
      </c>
      <c r="K383" s="140" t="str">
        <f>IFERROR(VLOOKUP($C383,'NEW MODEL BY SES'!$C$19:$R$242,MATCH('SeS in Retail Sales Areas'!K$7,'NEW MODEL BY SES'!$C$17:$R$17,0),0),"")</f>
        <v/>
      </c>
      <c r="L383" s="142" t="str">
        <f>IFERROR(VLOOKUP($C383,'NEW MODEL BY SES'!$C$19:$R$242,MATCH('SeS in Retail Sales Areas'!L$7,'NEW MODEL BY SES'!$C$17:$R$17,0),0),"")</f>
        <v/>
      </c>
      <c r="M383" s="140" t="str">
        <f>IFERROR(VLOOKUP($C383,'NEW MODEL BY SES'!$C$19:$R$242,MATCH('SeS in Retail Sales Areas'!M$7,'NEW MODEL BY SES'!$C$17:$R$17,0),0),"")</f>
        <v/>
      </c>
      <c r="N383" s="142" t="str">
        <f>IFERROR(VLOOKUP($C383,'NEW MODEL BY SES'!$C$19:$R$242,MATCH('SeS in Retail Sales Areas'!N$7,'NEW MODEL BY SES'!$C$17:$R$17,0),0),"")</f>
        <v/>
      </c>
      <c r="O383" s="140" t="str">
        <f>IFERROR(VLOOKUP($C383,'NEW MODEL BY SES'!$C$19:$R$242,MATCH('SeS in Retail Sales Areas'!O$7,'NEW MODEL BY SES'!$C$17:$R$17,0),0),"")</f>
        <v/>
      </c>
      <c r="P383" s="142" t="str">
        <f>IFERROR(VLOOKUP($C383,'NEW MODEL BY SES'!$C$19:$R$242,MATCH('SeS in Retail Sales Areas'!P$7,'NEW MODEL BY SES'!$C$17:$R$17,0),0),"")</f>
        <v/>
      </c>
      <c r="Q383" s="140" t="str">
        <f>IFERROR(VLOOKUP($C383,'NEW MODEL BY SES'!$C$19:$R$242,MATCH('SeS in Retail Sales Areas'!Q$7,'NEW MODEL BY SES'!$C$17:$R$17,0),0),"")</f>
        <v/>
      </c>
      <c r="R383" s="142" t="str">
        <f>IFERROR(VLOOKUP($C383,'NEW MODEL BY SES'!$C$19:$R$242,MATCH('SeS in Retail Sales Areas'!R$7,'NEW MODEL BY SES'!$C$17:$R$17,0),0),"")</f>
        <v/>
      </c>
      <c r="S383" s="141" t="str">
        <f>IFERROR(VLOOKUP($C383,'NEW MODEL BY SES'!$C$19:$R$242,MATCH('SeS in Retail Sales Areas'!S$7,'NEW MODEL BY SES'!$C$17:$R$17,0),0),"")</f>
        <v/>
      </c>
      <c r="T383" s="140" t="str">
        <f>IFERROR(VLOOKUP($C383,'NEW MODEL BY SES'!$C$19:$R$242,MATCH('SeS in Retail Sales Areas'!T$7,'NEW MODEL BY SES'!$C$17:$R$17,0),0),"")</f>
        <v/>
      </c>
      <c r="U383" s="142" t="str">
        <f>IFERROR(VLOOKUP($C383,'NEW MODEL BY SES'!$C$19:$R$242,MATCH('SeS in Retail Sales Areas'!U$7,'NEW MODEL BY SES'!$C$17:$R$17,0),0),"")</f>
        <v/>
      </c>
      <c r="V383" s="140" t="str">
        <f>IFERROR(VLOOKUP($C383,'NEW MODEL BY SES'!$C$19:$R$242,MATCH('SeS in Retail Sales Areas'!V$7,'NEW MODEL BY SES'!$C$17:$R$17,0),0),"")</f>
        <v/>
      </c>
      <c r="W383" s="141" t="str">
        <f>IFERROR(VLOOKUP($C383,'NEW MODEL BY SES'!$C$19:$R$242,MATCH('SeS in Retail Sales Areas'!W$7,'NEW MODEL BY SES'!$C$17:$R$17,0),0),"")</f>
        <v/>
      </c>
      <c r="X383" s="140" t="str">
        <f>IFERROR(VLOOKUP($C383,'NEW MODEL BY SES'!$C$19:$R$242,MATCH('SeS in Retail Sales Areas'!X$7,'NEW MODEL BY SES'!$C$17:$R$17,0),0),"")</f>
        <v/>
      </c>
      <c r="Z383" s="57"/>
    </row>
    <row r="384" spans="1:26">
      <c r="A384" t="s">
        <v>1305</v>
      </c>
      <c r="B384" s="57">
        <v>100</v>
      </c>
      <c r="C384" t="s">
        <v>1325</v>
      </c>
      <c r="D384" t="s">
        <v>40</v>
      </c>
      <c r="E384"/>
      <c r="F384" s="140" t="str">
        <f>IFERROR(VLOOKUP($C384,'NEW MODEL BY SES'!$C$19:$R$242,MATCH('SeS in Retail Sales Areas'!F$7,'NEW MODEL BY SES'!$C$17:$R$17,0),0),"")</f>
        <v/>
      </c>
      <c r="G384" s="140" t="str">
        <f>IFERROR(VLOOKUP($C384,'NEW MODEL BY SES'!$C$19:$R$242,MATCH('SeS in Retail Sales Areas'!G$7,'NEW MODEL BY SES'!$C$17:$R$17,0),0),"")</f>
        <v/>
      </c>
      <c r="H384" s="142" t="str">
        <f>IFERROR(VLOOKUP($C384,'NEW MODEL BY SES'!$C$19:$R$242,MATCH('SeS in Retail Sales Areas'!H$7,'NEW MODEL BY SES'!$C$17:$R$17,0),0),"")</f>
        <v/>
      </c>
      <c r="I384" s="140" t="str">
        <f>IFERROR(VLOOKUP($C384,'NEW MODEL BY SES'!$C$19:$R$242,MATCH('SeS in Retail Sales Areas'!I$7,'NEW MODEL BY SES'!$C$17:$R$17,0),0),"")</f>
        <v/>
      </c>
      <c r="J384" s="142" t="str">
        <f>IFERROR(VLOOKUP($C384,'NEW MODEL BY SES'!$C$19:$R$242,MATCH('SeS in Retail Sales Areas'!J$7,'NEW MODEL BY SES'!$C$17:$R$17,0),0),"")</f>
        <v/>
      </c>
      <c r="K384" s="140" t="str">
        <f>IFERROR(VLOOKUP($C384,'NEW MODEL BY SES'!$C$19:$R$242,MATCH('SeS in Retail Sales Areas'!K$7,'NEW MODEL BY SES'!$C$17:$R$17,0),0),"")</f>
        <v/>
      </c>
      <c r="L384" s="142" t="str">
        <f>IFERROR(VLOOKUP($C384,'NEW MODEL BY SES'!$C$19:$R$242,MATCH('SeS in Retail Sales Areas'!L$7,'NEW MODEL BY SES'!$C$17:$R$17,0),0),"")</f>
        <v/>
      </c>
      <c r="M384" s="140" t="str">
        <f>IFERROR(VLOOKUP($C384,'NEW MODEL BY SES'!$C$19:$R$242,MATCH('SeS in Retail Sales Areas'!M$7,'NEW MODEL BY SES'!$C$17:$R$17,0),0),"")</f>
        <v/>
      </c>
      <c r="N384" s="142" t="str">
        <f>IFERROR(VLOOKUP($C384,'NEW MODEL BY SES'!$C$19:$R$242,MATCH('SeS in Retail Sales Areas'!N$7,'NEW MODEL BY SES'!$C$17:$R$17,0),0),"")</f>
        <v/>
      </c>
      <c r="O384" s="140" t="str">
        <f>IFERROR(VLOOKUP($C384,'NEW MODEL BY SES'!$C$19:$R$242,MATCH('SeS in Retail Sales Areas'!O$7,'NEW MODEL BY SES'!$C$17:$R$17,0),0),"")</f>
        <v/>
      </c>
      <c r="P384" s="142" t="str">
        <f>IFERROR(VLOOKUP($C384,'NEW MODEL BY SES'!$C$19:$R$242,MATCH('SeS in Retail Sales Areas'!P$7,'NEW MODEL BY SES'!$C$17:$R$17,0),0),"")</f>
        <v/>
      </c>
      <c r="Q384" s="140" t="str">
        <f>IFERROR(VLOOKUP($C384,'NEW MODEL BY SES'!$C$19:$R$242,MATCH('SeS in Retail Sales Areas'!Q$7,'NEW MODEL BY SES'!$C$17:$R$17,0),0),"")</f>
        <v/>
      </c>
      <c r="R384" s="142" t="str">
        <f>IFERROR(VLOOKUP($C384,'NEW MODEL BY SES'!$C$19:$R$242,MATCH('SeS in Retail Sales Areas'!R$7,'NEW MODEL BY SES'!$C$17:$R$17,0),0),"")</f>
        <v/>
      </c>
      <c r="S384" s="141" t="str">
        <f>IFERROR(VLOOKUP($C384,'NEW MODEL BY SES'!$C$19:$R$242,MATCH('SeS in Retail Sales Areas'!S$7,'NEW MODEL BY SES'!$C$17:$R$17,0),0),"")</f>
        <v/>
      </c>
      <c r="T384" s="140" t="str">
        <f>IFERROR(VLOOKUP($C384,'NEW MODEL BY SES'!$C$19:$R$242,MATCH('SeS in Retail Sales Areas'!T$7,'NEW MODEL BY SES'!$C$17:$R$17,0),0),"")</f>
        <v/>
      </c>
      <c r="U384" s="142" t="str">
        <f>IFERROR(VLOOKUP($C384,'NEW MODEL BY SES'!$C$19:$R$242,MATCH('SeS in Retail Sales Areas'!U$7,'NEW MODEL BY SES'!$C$17:$R$17,0),0),"")</f>
        <v/>
      </c>
      <c r="V384" s="140" t="str">
        <f>IFERROR(VLOOKUP($C384,'NEW MODEL BY SES'!$C$19:$R$242,MATCH('SeS in Retail Sales Areas'!V$7,'NEW MODEL BY SES'!$C$17:$R$17,0),0),"")</f>
        <v/>
      </c>
      <c r="W384" s="141" t="str">
        <f>IFERROR(VLOOKUP($C384,'NEW MODEL BY SES'!$C$19:$R$242,MATCH('SeS in Retail Sales Areas'!W$7,'NEW MODEL BY SES'!$C$17:$R$17,0),0),"")</f>
        <v/>
      </c>
      <c r="X384" s="140" t="str">
        <f>IFERROR(VLOOKUP($C384,'NEW MODEL BY SES'!$C$19:$R$242,MATCH('SeS in Retail Sales Areas'!X$7,'NEW MODEL BY SES'!$C$17:$R$17,0),0),"")</f>
        <v/>
      </c>
      <c r="Z384" s="57"/>
    </row>
    <row r="385" spans="1:26">
      <c r="A385" t="s">
        <v>1305</v>
      </c>
      <c r="B385" s="57">
        <v>99</v>
      </c>
      <c r="C385" t="s">
        <v>1326</v>
      </c>
      <c r="D385" t="s">
        <v>40</v>
      </c>
      <c r="E385"/>
      <c r="F385" s="140" t="str">
        <f>IFERROR(VLOOKUP($C385,'NEW MODEL BY SES'!$C$19:$R$242,MATCH('SeS in Retail Sales Areas'!F$7,'NEW MODEL BY SES'!$C$17:$R$17,0),0),"")</f>
        <v/>
      </c>
      <c r="G385" s="140" t="str">
        <f>IFERROR(VLOOKUP($C385,'NEW MODEL BY SES'!$C$19:$R$242,MATCH('SeS in Retail Sales Areas'!G$7,'NEW MODEL BY SES'!$C$17:$R$17,0),0),"")</f>
        <v/>
      </c>
      <c r="H385" s="142" t="str">
        <f>IFERROR(VLOOKUP($C385,'NEW MODEL BY SES'!$C$19:$R$242,MATCH('SeS in Retail Sales Areas'!H$7,'NEW MODEL BY SES'!$C$17:$R$17,0),0),"")</f>
        <v/>
      </c>
      <c r="I385" s="140" t="str">
        <f>IFERROR(VLOOKUP($C385,'NEW MODEL BY SES'!$C$19:$R$242,MATCH('SeS in Retail Sales Areas'!I$7,'NEW MODEL BY SES'!$C$17:$R$17,0),0),"")</f>
        <v/>
      </c>
      <c r="J385" s="142" t="str">
        <f>IFERROR(VLOOKUP($C385,'NEW MODEL BY SES'!$C$19:$R$242,MATCH('SeS in Retail Sales Areas'!J$7,'NEW MODEL BY SES'!$C$17:$R$17,0),0),"")</f>
        <v/>
      </c>
      <c r="K385" s="140" t="str">
        <f>IFERROR(VLOOKUP($C385,'NEW MODEL BY SES'!$C$19:$R$242,MATCH('SeS in Retail Sales Areas'!K$7,'NEW MODEL BY SES'!$C$17:$R$17,0),0),"")</f>
        <v/>
      </c>
      <c r="L385" s="142" t="str">
        <f>IFERROR(VLOOKUP($C385,'NEW MODEL BY SES'!$C$19:$R$242,MATCH('SeS in Retail Sales Areas'!L$7,'NEW MODEL BY SES'!$C$17:$R$17,0),0),"")</f>
        <v/>
      </c>
      <c r="M385" s="140" t="str">
        <f>IFERROR(VLOOKUP($C385,'NEW MODEL BY SES'!$C$19:$R$242,MATCH('SeS in Retail Sales Areas'!M$7,'NEW MODEL BY SES'!$C$17:$R$17,0),0),"")</f>
        <v/>
      </c>
      <c r="N385" s="142" t="str">
        <f>IFERROR(VLOOKUP($C385,'NEW MODEL BY SES'!$C$19:$R$242,MATCH('SeS in Retail Sales Areas'!N$7,'NEW MODEL BY SES'!$C$17:$R$17,0),0),"")</f>
        <v/>
      </c>
      <c r="O385" s="140" t="str">
        <f>IFERROR(VLOOKUP($C385,'NEW MODEL BY SES'!$C$19:$R$242,MATCH('SeS in Retail Sales Areas'!O$7,'NEW MODEL BY SES'!$C$17:$R$17,0),0),"")</f>
        <v/>
      </c>
      <c r="P385" s="142" t="str">
        <f>IFERROR(VLOOKUP($C385,'NEW MODEL BY SES'!$C$19:$R$242,MATCH('SeS in Retail Sales Areas'!P$7,'NEW MODEL BY SES'!$C$17:$R$17,0),0),"")</f>
        <v/>
      </c>
      <c r="Q385" s="140" t="str">
        <f>IFERROR(VLOOKUP($C385,'NEW MODEL BY SES'!$C$19:$R$242,MATCH('SeS in Retail Sales Areas'!Q$7,'NEW MODEL BY SES'!$C$17:$R$17,0),0),"")</f>
        <v/>
      </c>
      <c r="R385" s="142" t="str">
        <f>IFERROR(VLOOKUP($C385,'NEW MODEL BY SES'!$C$19:$R$242,MATCH('SeS in Retail Sales Areas'!R$7,'NEW MODEL BY SES'!$C$17:$R$17,0),0),"")</f>
        <v/>
      </c>
      <c r="S385" s="141" t="str">
        <f>IFERROR(VLOOKUP($C385,'NEW MODEL BY SES'!$C$19:$R$242,MATCH('SeS in Retail Sales Areas'!S$7,'NEW MODEL BY SES'!$C$17:$R$17,0),0),"")</f>
        <v/>
      </c>
      <c r="T385" s="140" t="str">
        <f>IFERROR(VLOOKUP($C385,'NEW MODEL BY SES'!$C$19:$R$242,MATCH('SeS in Retail Sales Areas'!T$7,'NEW MODEL BY SES'!$C$17:$R$17,0),0),"")</f>
        <v/>
      </c>
      <c r="U385" s="142" t="str">
        <f>IFERROR(VLOOKUP($C385,'NEW MODEL BY SES'!$C$19:$R$242,MATCH('SeS in Retail Sales Areas'!U$7,'NEW MODEL BY SES'!$C$17:$R$17,0),0),"")</f>
        <v/>
      </c>
      <c r="V385" s="140" t="str">
        <f>IFERROR(VLOOKUP($C385,'NEW MODEL BY SES'!$C$19:$R$242,MATCH('SeS in Retail Sales Areas'!V$7,'NEW MODEL BY SES'!$C$17:$R$17,0),0),"")</f>
        <v/>
      </c>
      <c r="W385" s="141" t="str">
        <f>IFERROR(VLOOKUP($C385,'NEW MODEL BY SES'!$C$19:$R$242,MATCH('SeS in Retail Sales Areas'!W$7,'NEW MODEL BY SES'!$C$17:$R$17,0),0),"")</f>
        <v/>
      </c>
      <c r="X385" s="140" t="str">
        <f>IFERROR(VLOOKUP($C385,'NEW MODEL BY SES'!$C$19:$R$242,MATCH('SeS in Retail Sales Areas'!X$7,'NEW MODEL BY SES'!$C$17:$R$17,0),0),"")</f>
        <v/>
      </c>
      <c r="Z385" s="57"/>
    </row>
    <row r="386" spans="1:26">
      <c r="A386" t="s">
        <v>1305</v>
      </c>
      <c r="B386" s="57">
        <v>84</v>
      </c>
      <c r="C386" t="s">
        <v>1327</v>
      </c>
      <c r="D386" t="s">
        <v>40</v>
      </c>
      <c r="E386"/>
      <c r="F386" s="140" t="str">
        <f>IFERROR(VLOOKUP($C386,'NEW MODEL BY SES'!$C$19:$R$242,MATCH('SeS in Retail Sales Areas'!F$7,'NEW MODEL BY SES'!$C$17:$R$17,0),0),"")</f>
        <v/>
      </c>
      <c r="G386" s="140" t="str">
        <f>IFERROR(VLOOKUP($C386,'NEW MODEL BY SES'!$C$19:$R$242,MATCH('SeS in Retail Sales Areas'!G$7,'NEW MODEL BY SES'!$C$17:$R$17,0),0),"")</f>
        <v/>
      </c>
      <c r="H386" s="142" t="str">
        <f>IFERROR(VLOOKUP($C386,'NEW MODEL BY SES'!$C$19:$R$242,MATCH('SeS in Retail Sales Areas'!H$7,'NEW MODEL BY SES'!$C$17:$R$17,0),0),"")</f>
        <v/>
      </c>
      <c r="I386" s="140" t="str">
        <f>IFERROR(VLOOKUP($C386,'NEW MODEL BY SES'!$C$19:$R$242,MATCH('SeS in Retail Sales Areas'!I$7,'NEW MODEL BY SES'!$C$17:$R$17,0),0),"")</f>
        <v/>
      </c>
      <c r="J386" s="142" t="str">
        <f>IFERROR(VLOOKUP($C386,'NEW MODEL BY SES'!$C$19:$R$242,MATCH('SeS in Retail Sales Areas'!J$7,'NEW MODEL BY SES'!$C$17:$R$17,0),0),"")</f>
        <v/>
      </c>
      <c r="K386" s="140" t="str">
        <f>IFERROR(VLOOKUP($C386,'NEW MODEL BY SES'!$C$19:$R$242,MATCH('SeS in Retail Sales Areas'!K$7,'NEW MODEL BY SES'!$C$17:$R$17,0),0),"")</f>
        <v/>
      </c>
      <c r="L386" s="142" t="str">
        <f>IFERROR(VLOOKUP($C386,'NEW MODEL BY SES'!$C$19:$R$242,MATCH('SeS in Retail Sales Areas'!L$7,'NEW MODEL BY SES'!$C$17:$R$17,0),0),"")</f>
        <v/>
      </c>
      <c r="M386" s="140" t="str">
        <f>IFERROR(VLOOKUP($C386,'NEW MODEL BY SES'!$C$19:$R$242,MATCH('SeS in Retail Sales Areas'!M$7,'NEW MODEL BY SES'!$C$17:$R$17,0),0),"")</f>
        <v/>
      </c>
      <c r="N386" s="142" t="str">
        <f>IFERROR(VLOOKUP($C386,'NEW MODEL BY SES'!$C$19:$R$242,MATCH('SeS in Retail Sales Areas'!N$7,'NEW MODEL BY SES'!$C$17:$R$17,0),0),"")</f>
        <v/>
      </c>
      <c r="O386" s="140" t="str">
        <f>IFERROR(VLOOKUP($C386,'NEW MODEL BY SES'!$C$19:$R$242,MATCH('SeS in Retail Sales Areas'!O$7,'NEW MODEL BY SES'!$C$17:$R$17,0),0),"")</f>
        <v/>
      </c>
      <c r="P386" s="142" t="str">
        <f>IFERROR(VLOOKUP($C386,'NEW MODEL BY SES'!$C$19:$R$242,MATCH('SeS in Retail Sales Areas'!P$7,'NEW MODEL BY SES'!$C$17:$R$17,0),0),"")</f>
        <v/>
      </c>
      <c r="Q386" s="140" t="str">
        <f>IFERROR(VLOOKUP($C386,'NEW MODEL BY SES'!$C$19:$R$242,MATCH('SeS in Retail Sales Areas'!Q$7,'NEW MODEL BY SES'!$C$17:$R$17,0),0),"")</f>
        <v/>
      </c>
      <c r="R386" s="142" t="str">
        <f>IFERROR(VLOOKUP($C386,'NEW MODEL BY SES'!$C$19:$R$242,MATCH('SeS in Retail Sales Areas'!R$7,'NEW MODEL BY SES'!$C$17:$R$17,0),0),"")</f>
        <v/>
      </c>
      <c r="S386" s="141" t="str">
        <f>IFERROR(VLOOKUP($C386,'NEW MODEL BY SES'!$C$19:$R$242,MATCH('SeS in Retail Sales Areas'!S$7,'NEW MODEL BY SES'!$C$17:$R$17,0),0),"")</f>
        <v/>
      </c>
      <c r="T386" s="140" t="str">
        <f>IFERROR(VLOOKUP($C386,'NEW MODEL BY SES'!$C$19:$R$242,MATCH('SeS in Retail Sales Areas'!T$7,'NEW MODEL BY SES'!$C$17:$R$17,0),0),"")</f>
        <v/>
      </c>
      <c r="U386" s="142" t="str">
        <f>IFERROR(VLOOKUP($C386,'NEW MODEL BY SES'!$C$19:$R$242,MATCH('SeS in Retail Sales Areas'!U$7,'NEW MODEL BY SES'!$C$17:$R$17,0),0),"")</f>
        <v/>
      </c>
      <c r="V386" s="140" t="str">
        <f>IFERROR(VLOOKUP($C386,'NEW MODEL BY SES'!$C$19:$R$242,MATCH('SeS in Retail Sales Areas'!V$7,'NEW MODEL BY SES'!$C$17:$R$17,0),0),"")</f>
        <v/>
      </c>
      <c r="W386" s="141" t="str">
        <f>IFERROR(VLOOKUP($C386,'NEW MODEL BY SES'!$C$19:$R$242,MATCH('SeS in Retail Sales Areas'!W$7,'NEW MODEL BY SES'!$C$17:$R$17,0),0),"")</f>
        <v/>
      </c>
      <c r="X386" s="140" t="str">
        <f>IFERROR(VLOOKUP($C386,'NEW MODEL BY SES'!$C$19:$R$242,MATCH('SeS in Retail Sales Areas'!X$7,'NEW MODEL BY SES'!$C$17:$R$17,0),0),"")</f>
        <v/>
      </c>
      <c r="Z386" s="57"/>
    </row>
    <row r="387" spans="1:26">
      <c r="A387" t="s">
        <v>1305</v>
      </c>
      <c r="B387" s="57">
        <v>73</v>
      </c>
      <c r="C387" t="s">
        <v>1328</v>
      </c>
      <c r="D387" t="s">
        <v>44</v>
      </c>
      <c r="E387"/>
      <c r="F387" s="140" t="str">
        <f>IFERROR(VLOOKUP($C387,'NEW MODEL BY SES'!$C$19:$R$242,MATCH('SeS in Retail Sales Areas'!F$7,'NEW MODEL BY SES'!$C$17:$R$17,0),0),"")</f>
        <v/>
      </c>
      <c r="G387" s="140" t="str">
        <f>IFERROR(VLOOKUP($C387,'NEW MODEL BY SES'!$C$19:$R$242,MATCH('SeS in Retail Sales Areas'!G$7,'NEW MODEL BY SES'!$C$17:$R$17,0),0),"")</f>
        <v/>
      </c>
      <c r="H387" s="142" t="str">
        <f>IFERROR(VLOOKUP($C387,'NEW MODEL BY SES'!$C$19:$R$242,MATCH('SeS in Retail Sales Areas'!H$7,'NEW MODEL BY SES'!$C$17:$R$17,0),0),"")</f>
        <v/>
      </c>
      <c r="I387" s="140" t="str">
        <f>IFERROR(VLOOKUP($C387,'NEW MODEL BY SES'!$C$19:$R$242,MATCH('SeS in Retail Sales Areas'!I$7,'NEW MODEL BY SES'!$C$17:$R$17,0),0),"")</f>
        <v/>
      </c>
      <c r="J387" s="142" t="str">
        <f>IFERROR(VLOOKUP($C387,'NEW MODEL BY SES'!$C$19:$R$242,MATCH('SeS in Retail Sales Areas'!J$7,'NEW MODEL BY SES'!$C$17:$R$17,0),0),"")</f>
        <v/>
      </c>
      <c r="K387" s="140" t="str">
        <f>IFERROR(VLOOKUP($C387,'NEW MODEL BY SES'!$C$19:$R$242,MATCH('SeS in Retail Sales Areas'!K$7,'NEW MODEL BY SES'!$C$17:$R$17,0),0),"")</f>
        <v/>
      </c>
      <c r="L387" s="142" t="str">
        <f>IFERROR(VLOOKUP($C387,'NEW MODEL BY SES'!$C$19:$R$242,MATCH('SeS in Retail Sales Areas'!L$7,'NEW MODEL BY SES'!$C$17:$R$17,0),0),"")</f>
        <v/>
      </c>
      <c r="M387" s="140" t="str">
        <f>IFERROR(VLOOKUP($C387,'NEW MODEL BY SES'!$C$19:$R$242,MATCH('SeS in Retail Sales Areas'!M$7,'NEW MODEL BY SES'!$C$17:$R$17,0),0),"")</f>
        <v/>
      </c>
      <c r="N387" s="142" t="str">
        <f>IFERROR(VLOOKUP($C387,'NEW MODEL BY SES'!$C$19:$R$242,MATCH('SeS in Retail Sales Areas'!N$7,'NEW MODEL BY SES'!$C$17:$R$17,0),0),"")</f>
        <v/>
      </c>
      <c r="O387" s="140" t="str">
        <f>IFERROR(VLOOKUP($C387,'NEW MODEL BY SES'!$C$19:$R$242,MATCH('SeS in Retail Sales Areas'!O$7,'NEW MODEL BY SES'!$C$17:$R$17,0),0),"")</f>
        <v/>
      </c>
      <c r="P387" s="142" t="str">
        <f>IFERROR(VLOOKUP($C387,'NEW MODEL BY SES'!$C$19:$R$242,MATCH('SeS in Retail Sales Areas'!P$7,'NEW MODEL BY SES'!$C$17:$R$17,0),0),"")</f>
        <v/>
      </c>
      <c r="Q387" s="140" t="str">
        <f>IFERROR(VLOOKUP($C387,'NEW MODEL BY SES'!$C$19:$R$242,MATCH('SeS in Retail Sales Areas'!Q$7,'NEW MODEL BY SES'!$C$17:$R$17,0),0),"")</f>
        <v/>
      </c>
      <c r="R387" s="142" t="str">
        <f>IFERROR(VLOOKUP($C387,'NEW MODEL BY SES'!$C$19:$R$242,MATCH('SeS in Retail Sales Areas'!R$7,'NEW MODEL BY SES'!$C$17:$R$17,0),0),"")</f>
        <v/>
      </c>
      <c r="S387" s="141" t="str">
        <f>IFERROR(VLOOKUP($C387,'NEW MODEL BY SES'!$C$19:$R$242,MATCH('SeS in Retail Sales Areas'!S$7,'NEW MODEL BY SES'!$C$17:$R$17,0),0),"")</f>
        <v/>
      </c>
      <c r="T387" s="140" t="str">
        <f>IFERROR(VLOOKUP($C387,'NEW MODEL BY SES'!$C$19:$R$242,MATCH('SeS in Retail Sales Areas'!T$7,'NEW MODEL BY SES'!$C$17:$R$17,0),0),"")</f>
        <v/>
      </c>
      <c r="U387" s="142" t="str">
        <f>IFERROR(VLOOKUP($C387,'NEW MODEL BY SES'!$C$19:$R$242,MATCH('SeS in Retail Sales Areas'!U$7,'NEW MODEL BY SES'!$C$17:$R$17,0),0),"")</f>
        <v/>
      </c>
      <c r="V387" s="140" t="str">
        <f>IFERROR(VLOOKUP($C387,'NEW MODEL BY SES'!$C$19:$R$242,MATCH('SeS in Retail Sales Areas'!V$7,'NEW MODEL BY SES'!$C$17:$R$17,0),0),"")</f>
        <v/>
      </c>
      <c r="W387" s="141" t="str">
        <f>IFERROR(VLOOKUP($C387,'NEW MODEL BY SES'!$C$19:$R$242,MATCH('SeS in Retail Sales Areas'!W$7,'NEW MODEL BY SES'!$C$17:$R$17,0),0),"")</f>
        <v/>
      </c>
      <c r="X387" s="140" t="str">
        <f>IFERROR(VLOOKUP($C387,'NEW MODEL BY SES'!$C$19:$R$242,MATCH('SeS in Retail Sales Areas'!X$7,'NEW MODEL BY SES'!$C$17:$R$17,0),0),"")</f>
        <v/>
      </c>
      <c r="Z387" s="57"/>
    </row>
    <row r="388" spans="1:26">
      <c r="A388" t="s">
        <v>1305</v>
      </c>
      <c r="B388" s="57">
        <v>68</v>
      </c>
      <c r="C388" t="s">
        <v>1329</v>
      </c>
      <c r="D388" t="s">
        <v>44</v>
      </c>
      <c r="E388"/>
      <c r="F388" s="140" t="str">
        <f>IFERROR(VLOOKUP($C388,'NEW MODEL BY SES'!$C$19:$R$242,MATCH('SeS in Retail Sales Areas'!F$7,'NEW MODEL BY SES'!$C$17:$R$17,0),0),"")</f>
        <v/>
      </c>
      <c r="G388" s="140" t="str">
        <f>IFERROR(VLOOKUP($C388,'NEW MODEL BY SES'!$C$19:$R$242,MATCH('SeS in Retail Sales Areas'!G$7,'NEW MODEL BY SES'!$C$17:$R$17,0),0),"")</f>
        <v/>
      </c>
      <c r="H388" s="142" t="str">
        <f>IFERROR(VLOOKUP($C388,'NEW MODEL BY SES'!$C$19:$R$242,MATCH('SeS in Retail Sales Areas'!H$7,'NEW MODEL BY SES'!$C$17:$R$17,0),0),"")</f>
        <v/>
      </c>
      <c r="I388" s="140" t="str">
        <f>IFERROR(VLOOKUP($C388,'NEW MODEL BY SES'!$C$19:$R$242,MATCH('SeS in Retail Sales Areas'!I$7,'NEW MODEL BY SES'!$C$17:$R$17,0),0),"")</f>
        <v/>
      </c>
      <c r="J388" s="142" t="str">
        <f>IFERROR(VLOOKUP($C388,'NEW MODEL BY SES'!$C$19:$R$242,MATCH('SeS in Retail Sales Areas'!J$7,'NEW MODEL BY SES'!$C$17:$R$17,0),0),"")</f>
        <v/>
      </c>
      <c r="K388" s="140" t="str">
        <f>IFERROR(VLOOKUP($C388,'NEW MODEL BY SES'!$C$19:$R$242,MATCH('SeS in Retail Sales Areas'!K$7,'NEW MODEL BY SES'!$C$17:$R$17,0),0),"")</f>
        <v/>
      </c>
      <c r="L388" s="142" t="str">
        <f>IFERROR(VLOOKUP($C388,'NEW MODEL BY SES'!$C$19:$R$242,MATCH('SeS in Retail Sales Areas'!L$7,'NEW MODEL BY SES'!$C$17:$R$17,0),0),"")</f>
        <v/>
      </c>
      <c r="M388" s="140" t="str">
        <f>IFERROR(VLOOKUP($C388,'NEW MODEL BY SES'!$C$19:$R$242,MATCH('SeS in Retail Sales Areas'!M$7,'NEW MODEL BY SES'!$C$17:$R$17,0),0),"")</f>
        <v/>
      </c>
      <c r="N388" s="142" t="str">
        <f>IFERROR(VLOOKUP($C388,'NEW MODEL BY SES'!$C$19:$R$242,MATCH('SeS in Retail Sales Areas'!N$7,'NEW MODEL BY SES'!$C$17:$R$17,0),0),"")</f>
        <v/>
      </c>
      <c r="O388" s="140" t="str">
        <f>IFERROR(VLOOKUP($C388,'NEW MODEL BY SES'!$C$19:$R$242,MATCH('SeS in Retail Sales Areas'!O$7,'NEW MODEL BY SES'!$C$17:$R$17,0),0),"")</f>
        <v/>
      </c>
      <c r="P388" s="142" t="str">
        <f>IFERROR(VLOOKUP($C388,'NEW MODEL BY SES'!$C$19:$R$242,MATCH('SeS in Retail Sales Areas'!P$7,'NEW MODEL BY SES'!$C$17:$R$17,0),0),"")</f>
        <v/>
      </c>
      <c r="Q388" s="140" t="str">
        <f>IFERROR(VLOOKUP($C388,'NEW MODEL BY SES'!$C$19:$R$242,MATCH('SeS in Retail Sales Areas'!Q$7,'NEW MODEL BY SES'!$C$17:$R$17,0),0),"")</f>
        <v/>
      </c>
      <c r="R388" s="142" t="str">
        <f>IFERROR(VLOOKUP($C388,'NEW MODEL BY SES'!$C$19:$R$242,MATCH('SeS in Retail Sales Areas'!R$7,'NEW MODEL BY SES'!$C$17:$R$17,0),0),"")</f>
        <v/>
      </c>
      <c r="S388" s="141" t="str">
        <f>IFERROR(VLOOKUP($C388,'NEW MODEL BY SES'!$C$19:$R$242,MATCH('SeS in Retail Sales Areas'!S$7,'NEW MODEL BY SES'!$C$17:$R$17,0),0),"")</f>
        <v/>
      </c>
      <c r="T388" s="140" t="str">
        <f>IFERROR(VLOOKUP($C388,'NEW MODEL BY SES'!$C$19:$R$242,MATCH('SeS in Retail Sales Areas'!T$7,'NEW MODEL BY SES'!$C$17:$R$17,0),0),"")</f>
        <v/>
      </c>
      <c r="U388" s="142" t="str">
        <f>IFERROR(VLOOKUP($C388,'NEW MODEL BY SES'!$C$19:$R$242,MATCH('SeS in Retail Sales Areas'!U$7,'NEW MODEL BY SES'!$C$17:$R$17,0),0),"")</f>
        <v/>
      </c>
      <c r="V388" s="140" t="str">
        <f>IFERROR(VLOOKUP($C388,'NEW MODEL BY SES'!$C$19:$R$242,MATCH('SeS in Retail Sales Areas'!V$7,'NEW MODEL BY SES'!$C$17:$R$17,0),0),"")</f>
        <v/>
      </c>
      <c r="W388" s="141" t="str">
        <f>IFERROR(VLOOKUP($C388,'NEW MODEL BY SES'!$C$19:$R$242,MATCH('SeS in Retail Sales Areas'!W$7,'NEW MODEL BY SES'!$C$17:$R$17,0),0),"")</f>
        <v/>
      </c>
      <c r="X388" s="140" t="str">
        <f>IFERROR(VLOOKUP($C388,'NEW MODEL BY SES'!$C$19:$R$242,MATCH('SeS in Retail Sales Areas'!X$7,'NEW MODEL BY SES'!$C$17:$R$17,0),0),"")</f>
        <v/>
      </c>
      <c r="Z388" s="57"/>
    </row>
    <row r="389" spans="1:26">
      <c r="A389" t="s">
        <v>1305</v>
      </c>
      <c r="B389" s="57">
        <v>63</v>
      </c>
      <c r="C389" t="s">
        <v>1330</v>
      </c>
      <c r="D389" t="s">
        <v>44</v>
      </c>
      <c r="E389"/>
      <c r="F389" s="140" t="str">
        <f>IFERROR(VLOOKUP($C389,'NEW MODEL BY SES'!$C$19:$R$242,MATCH('SeS in Retail Sales Areas'!F$7,'NEW MODEL BY SES'!$C$17:$R$17,0),0),"")</f>
        <v/>
      </c>
      <c r="G389" s="140" t="str">
        <f>IFERROR(VLOOKUP($C389,'NEW MODEL BY SES'!$C$19:$R$242,MATCH('SeS in Retail Sales Areas'!G$7,'NEW MODEL BY SES'!$C$17:$R$17,0),0),"")</f>
        <v/>
      </c>
      <c r="H389" s="142" t="str">
        <f>IFERROR(VLOOKUP($C389,'NEW MODEL BY SES'!$C$19:$R$242,MATCH('SeS in Retail Sales Areas'!H$7,'NEW MODEL BY SES'!$C$17:$R$17,0),0),"")</f>
        <v/>
      </c>
      <c r="I389" s="140" t="str">
        <f>IFERROR(VLOOKUP($C389,'NEW MODEL BY SES'!$C$19:$R$242,MATCH('SeS in Retail Sales Areas'!I$7,'NEW MODEL BY SES'!$C$17:$R$17,0),0),"")</f>
        <v/>
      </c>
      <c r="J389" s="142" t="str">
        <f>IFERROR(VLOOKUP($C389,'NEW MODEL BY SES'!$C$19:$R$242,MATCH('SeS in Retail Sales Areas'!J$7,'NEW MODEL BY SES'!$C$17:$R$17,0),0),"")</f>
        <v/>
      </c>
      <c r="K389" s="140" t="str">
        <f>IFERROR(VLOOKUP($C389,'NEW MODEL BY SES'!$C$19:$R$242,MATCH('SeS in Retail Sales Areas'!K$7,'NEW MODEL BY SES'!$C$17:$R$17,0),0),"")</f>
        <v/>
      </c>
      <c r="L389" s="142" t="str">
        <f>IFERROR(VLOOKUP($C389,'NEW MODEL BY SES'!$C$19:$R$242,MATCH('SeS in Retail Sales Areas'!L$7,'NEW MODEL BY SES'!$C$17:$R$17,0),0),"")</f>
        <v/>
      </c>
      <c r="M389" s="140" t="str">
        <f>IFERROR(VLOOKUP($C389,'NEW MODEL BY SES'!$C$19:$R$242,MATCH('SeS in Retail Sales Areas'!M$7,'NEW MODEL BY SES'!$C$17:$R$17,0),0),"")</f>
        <v/>
      </c>
      <c r="N389" s="142" t="str">
        <f>IFERROR(VLOOKUP($C389,'NEW MODEL BY SES'!$C$19:$R$242,MATCH('SeS in Retail Sales Areas'!N$7,'NEW MODEL BY SES'!$C$17:$R$17,0),0),"")</f>
        <v/>
      </c>
      <c r="O389" s="140" t="str">
        <f>IFERROR(VLOOKUP($C389,'NEW MODEL BY SES'!$C$19:$R$242,MATCH('SeS in Retail Sales Areas'!O$7,'NEW MODEL BY SES'!$C$17:$R$17,0),0),"")</f>
        <v/>
      </c>
      <c r="P389" s="142" t="str">
        <f>IFERROR(VLOOKUP($C389,'NEW MODEL BY SES'!$C$19:$R$242,MATCH('SeS in Retail Sales Areas'!P$7,'NEW MODEL BY SES'!$C$17:$R$17,0),0),"")</f>
        <v/>
      </c>
      <c r="Q389" s="140" t="str">
        <f>IFERROR(VLOOKUP($C389,'NEW MODEL BY SES'!$C$19:$R$242,MATCH('SeS in Retail Sales Areas'!Q$7,'NEW MODEL BY SES'!$C$17:$R$17,0),0),"")</f>
        <v/>
      </c>
      <c r="R389" s="142" t="str">
        <f>IFERROR(VLOOKUP($C389,'NEW MODEL BY SES'!$C$19:$R$242,MATCH('SeS in Retail Sales Areas'!R$7,'NEW MODEL BY SES'!$C$17:$R$17,0),0),"")</f>
        <v/>
      </c>
      <c r="S389" s="141" t="str">
        <f>IFERROR(VLOOKUP($C389,'NEW MODEL BY SES'!$C$19:$R$242,MATCH('SeS in Retail Sales Areas'!S$7,'NEW MODEL BY SES'!$C$17:$R$17,0),0),"")</f>
        <v/>
      </c>
      <c r="T389" s="140" t="str">
        <f>IFERROR(VLOOKUP($C389,'NEW MODEL BY SES'!$C$19:$R$242,MATCH('SeS in Retail Sales Areas'!T$7,'NEW MODEL BY SES'!$C$17:$R$17,0),0),"")</f>
        <v/>
      </c>
      <c r="U389" s="142" t="str">
        <f>IFERROR(VLOOKUP($C389,'NEW MODEL BY SES'!$C$19:$R$242,MATCH('SeS in Retail Sales Areas'!U$7,'NEW MODEL BY SES'!$C$17:$R$17,0),0),"")</f>
        <v/>
      </c>
      <c r="V389" s="140" t="str">
        <f>IFERROR(VLOOKUP($C389,'NEW MODEL BY SES'!$C$19:$R$242,MATCH('SeS in Retail Sales Areas'!V$7,'NEW MODEL BY SES'!$C$17:$R$17,0),0),"")</f>
        <v/>
      </c>
      <c r="W389" s="141" t="str">
        <f>IFERROR(VLOOKUP($C389,'NEW MODEL BY SES'!$C$19:$R$242,MATCH('SeS in Retail Sales Areas'!W$7,'NEW MODEL BY SES'!$C$17:$R$17,0),0),"")</f>
        <v/>
      </c>
      <c r="X389" s="140" t="str">
        <f>IFERROR(VLOOKUP($C389,'NEW MODEL BY SES'!$C$19:$R$242,MATCH('SeS in Retail Sales Areas'!X$7,'NEW MODEL BY SES'!$C$17:$R$17,0),0),"")</f>
        <v/>
      </c>
      <c r="Z389" s="57"/>
    </row>
    <row r="390" spans="1:26">
      <c r="A390" t="s">
        <v>1305</v>
      </c>
      <c r="B390" s="57">
        <v>62</v>
      </c>
      <c r="C390" t="s">
        <v>1331</v>
      </c>
      <c r="D390" t="s">
        <v>44</v>
      </c>
      <c r="E390"/>
      <c r="F390" s="140" t="str">
        <f>IFERROR(VLOOKUP($C390,'NEW MODEL BY SES'!$C$19:$R$242,MATCH('SeS in Retail Sales Areas'!F$7,'NEW MODEL BY SES'!$C$17:$R$17,0),0),"")</f>
        <v/>
      </c>
      <c r="G390" s="140" t="str">
        <f>IFERROR(VLOOKUP($C390,'NEW MODEL BY SES'!$C$19:$R$242,MATCH('SeS in Retail Sales Areas'!G$7,'NEW MODEL BY SES'!$C$17:$R$17,0),0),"")</f>
        <v/>
      </c>
      <c r="H390" s="142" t="str">
        <f>IFERROR(VLOOKUP($C390,'NEW MODEL BY SES'!$C$19:$R$242,MATCH('SeS in Retail Sales Areas'!H$7,'NEW MODEL BY SES'!$C$17:$R$17,0),0),"")</f>
        <v/>
      </c>
      <c r="I390" s="140" t="str">
        <f>IFERROR(VLOOKUP($C390,'NEW MODEL BY SES'!$C$19:$R$242,MATCH('SeS in Retail Sales Areas'!I$7,'NEW MODEL BY SES'!$C$17:$R$17,0),0),"")</f>
        <v/>
      </c>
      <c r="J390" s="142" t="str">
        <f>IFERROR(VLOOKUP($C390,'NEW MODEL BY SES'!$C$19:$R$242,MATCH('SeS in Retail Sales Areas'!J$7,'NEW MODEL BY SES'!$C$17:$R$17,0),0),"")</f>
        <v/>
      </c>
      <c r="K390" s="140" t="str">
        <f>IFERROR(VLOOKUP($C390,'NEW MODEL BY SES'!$C$19:$R$242,MATCH('SeS in Retail Sales Areas'!K$7,'NEW MODEL BY SES'!$C$17:$R$17,0),0),"")</f>
        <v/>
      </c>
      <c r="L390" s="142" t="str">
        <f>IFERROR(VLOOKUP($C390,'NEW MODEL BY SES'!$C$19:$R$242,MATCH('SeS in Retail Sales Areas'!L$7,'NEW MODEL BY SES'!$C$17:$R$17,0),0),"")</f>
        <v/>
      </c>
      <c r="M390" s="140" t="str">
        <f>IFERROR(VLOOKUP($C390,'NEW MODEL BY SES'!$C$19:$R$242,MATCH('SeS in Retail Sales Areas'!M$7,'NEW MODEL BY SES'!$C$17:$R$17,0),0),"")</f>
        <v/>
      </c>
      <c r="N390" s="142" t="str">
        <f>IFERROR(VLOOKUP($C390,'NEW MODEL BY SES'!$C$19:$R$242,MATCH('SeS in Retail Sales Areas'!N$7,'NEW MODEL BY SES'!$C$17:$R$17,0),0),"")</f>
        <v/>
      </c>
      <c r="O390" s="140" t="str">
        <f>IFERROR(VLOOKUP($C390,'NEW MODEL BY SES'!$C$19:$R$242,MATCH('SeS in Retail Sales Areas'!O$7,'NEW MODEL BY SES'!$C$17:$R$17,0),0),"")</f>
        <v/>
      </c>
      <c r="P390" s="142" t="str">
        <f>IFERROR(VLOOKUP($C390,'NEW MODEL BY SES'!$C$19:$R$242,MATCH('SeS in Retail Sales Areas'!P$7,'NEW MODEL BY SES'!$C$17:$R$17,0),0),"")</f>
        <v/>
      </c>
      <c r="Q390" s="140" t="str">
        <f>IFERROR(VLOOKUP($C390,'NEW MODEL BY SES'!$C$19:$R$242,MATCH('SeS in Retail Sales Areas'!Q$7,'NEW MODEL BY SES'!$C$17:$R$17,0),0),"")</f>
        <v/>
      </c>
      <c r="R390" s="142" t="str">
        <f>IFERROR(VLOOKUP($C390,'NEW MODEL BY SES'!$C$19:$R$242,MATCH('SeS in Retail Sales Areas'!R$7,'NEW MODEL BY SES'!$C$17:$R$17,0),0),"")</f>
        <v/>
      </c>
      <c r="S390" s="141" t="str">
        <f>IFERROR(VLOOKUP($C390,'NEW MODEL BY SES'!$C$19:$R$242,MATCH('SeS in Retail Sales Areas'!S$7,'NEW MODEL BY SES'!$C$17:$R$17,0),0),"")</f>
        <v/>
      </c>
      <c r="T390" s="140" t="str">
        <f>IFERROR(VLOOKUP($C390,'NEW MODEL BY SES'!$C$19:$R$242,MATCH('SeS in Retail Sales Areas'!T$7,'NEW MODEL BY SES'!$C$17:$R$17,0),0),"")</f>
        <v/>
      </c>
      <c r="U390" s="142" t="str">
        <f>IFERROR(VLOOKUP($C390,'NEW MODEL BY SES'!$C$19:$R$242,MATCH('SeS in Retail Sales Areas'!U$7,'NEW MODEL BY SES'!$C$17:$R$17,0),0),"")</f>
        <v/>
      </c>
      <c r="V390" s="140" t="str">
        <f>IFERROR(VLOOKUP($C390,'NEW MODEL BY SES'!$C$19:$R$242,MATCH('SeS in Retail Sales Areas'!V$7,'NEW MODEL BY SES'!$C$17:$R$17,0),0),"")</f>
        <v/>
      </c>
      <c r="W390" s="141" t="str">
        <f>IFERROR(VLOOKUP($C390,'NEW MODEL BY SES'!$C$19:$R$242,MATCH('SeS in Retail Sales Areas'!W$7,'NEW MODEL BY SES'!$C$17:$R$17,0),0),"")</f>
        <v/>
      </c>
      <c r="X390" s="140" t="str">
        <f>IFERROR(VLOOKUP($C390,'NEW MODEL BY SES'!$C$19:$R$242,MATCH('SeS in Retail Sales Areas'!X$7,'NEW MODEL BY SES'!$C$17:$R$17,0),0),"")</f>
        <v/>
      </c>
      <c r="Z390" s="146"/>
    </row>
    <row r="391" spans="1:26">
      <c r="A391" t="s">
        <v>1305</v>
      </c>
      <c r="B391" s="57">
        <v>57</v>
      </c>
      <c r="C391" t="s">
        <v>1332</v>
      </c>
      <c r="D391" t="s">
        <v>44</v>
      </c>
      <c r="E391"/>
      <c r="F391" s="140" t="str">
        <f>IFERROR(VLOOKUP($C391,'NEW MODEL BY SES'!$C$19:$R$242,MATCH('SeS in Retail Sales Areas'!F$7,'NEW MODEL BY SES'!$C$17:$R$17,0),0),"")</f>
        <v/>
      </c>
      <c r="G391" s="140" t="str">
        <f>IFERROR(VLOOKUP($C391,'NEW MODEL BY SES'!$C$19:$R$242,MATCH('SeS in Retail Sales Areas'!G$7,'NEW MODEL BY SES'!$C$17:$R$17,0),0),"")</f>
        <v/>
      </c>
      <c r="H391" s="142" t="str">
        <f>IFERROR(VLOOKUP($C391,'NEW MODEL BY SES'!$C$19:$R$242,MATCH('SeS in Retail Sales Areas'!H$7,'NEW MODEL BY SES'!$C$17:$R$17,0),0),"")</f>
        <v/>
      </c>
      <c r="I391" s="140" t="str">
        <f>IFERROR(VLOOKUP($C391,'NEW MODEL BY SES'!$C$19:$R$242,MATCH('SeS in Retail Sales Areas'!I$7,'NEW MODEL BY SES'!$C$17:$R$17,0),0),"")</f>
        <v/>
      </c>
      <c r="J391" s="142" t="str">
        <f>IFERROR(VLOOKUP($C391,'NEW MODEL BY SES'!$C$19:$R$242,MATCH('SeS in Retail Sales Areas'!J$7,'NEW MODEL BY SES'!$C$17:$R$17,0),0),"")</f>
        <v/>
      </c>
      <c r="K391" s="140" t="str">
        <f>IFERROR(VLOOKUP($C391,'NEW MODEL BY SES'!$C$19:$R$242,MATCH('SeS in Retail Sales Areas'!K$7,'NEW MODEL BY SES'!$C$17:$R$17,0),0),"")</f>
        <v/>
      </c>
      <c r="L391" s="142" t="str">
        <f>IFERROR(VLOOKUP($C391,'NEW MODEL BY SES'!$C$19:$R$242,MATCH('SeS in Retail Sales Areas'!L$7,'NEW MODEL BY SES'!$C$17:$R$17,0),0),"")</f>
        <v/>
      </c>
      <c r="M391" s="140" t="str">
        <f>IFERROR(VLOOKUP($C391,'NEW MODEL BY SES'!$C$19:$R$242,MATCH('SeS in Retail Sales Areas'!M$7,'NEW MODEL BY SES'!$C$17:$R$17,0),0),"")</f>
        <v/>
      </c>
      <c r="N391" s="142" t="str">
        <f>IFERROR(VLOOKUP($C391,'NEW MODEL BY SES'!$C$19:$R$242,MATCH('SeS in Retail Sales Areas'!N$7,'NEW MODEL BY SES'!$C$17:$R$17,0),0),"")</f>
        <v/>
      </c>
      <c r="O391" s="140" t="str">
        <f>IFERROR(VLOOKUP($C391,'NEW MODEL BY SES'!$C$19:$R$242,MATCH('SeS in Retail Sales Areas'!O$7,'NEW MODEL BY SES'!$C$17:$R$17,0),0),"")</f>
        <v/>
      </c>
      <c r="P391" s="142" t="str">
        <f>IFERROR(VLOOKUP($C391,'NEW MODEL BY SES'!$C$19:$R$242,MATCH('SeS in Retail Sales Areas'!P$7,'NEW MODEL BY SES'!$C$17:$R$17,0),0),"")</f>
        <v/>
      </c>
      <c r="Q391" s="140" t="str">
        <f>IFERROR(VLOOKUP($C391,'NEW MODEL BY SES'!$C$19:$R$242,MATCH('SeS in Retail Sales Areas'!Q$7,'NEW MODEL BY SES'!$C$17:$R$17,0),0),"")</f>
        <v/>
      </c>
      <c r="R391" s="142" t="str">
        <f>IFERROR(VLOOKUP($C391,'NEW MODEL BY SES'!$C$19:$R$242,MATCH('SeS in Retail Sales Areas'!R$7,'NEW MODEL BY SES'!$C$17:$R$17,0),0),"")</f>
        <v/>
      </c>
      <c r="S391" s="141" t="str">
        <f>IFERROR(VLOOKUP($C391,'NEW MODEL BY SES'!$C$19:$R$242,MATCH('SeS in Retail Sales Areas'!S$7,'NEW MODEL BY SES'!$C$17:$R$17,0),0),"")</f>
        <v/>
      </c>
      <c r="T391" s="140" t="str">
        <f>IFERROR(VLOOKUP($C391,'NEW MODEL BY SES'!$C$19:$R$242,MATCH('SeS in Retail Sales Areas'!T$7,'NEW MODEL BY SES'!$C$17:$R$17,0),0),"")</f>
        <v/>
      </c>
      <c r="U391" s="142" t="str">
        <f>IFERROR(VLOOKUP($C391,'NEW MODEL BY SES'!$C$19:$R$242,MATCH('SeS in Retail Sales Areas'!U$7,'NEW MODEL BY SES'!$C$17:$R$17,0),0),"")</f>
        <v/>
      </c>
      <c r="V391" s="140" t="str">
        <f>IFERROR(VLOOKUP($C391,'NEW MODEL BY SES'!$C$19:$R$242,MATCH('SeS in Retail Sales Areas'!V$7,'NEW MODEL BY SES'!$C$17:$R$17,0),0),"")</f>
        <v/>
      </c>
      <c r="W391" s="141" t="str">
        <f>IFERROR(VLOOKUP($C391,'NEW MODEL BY SES'!$C$19:$R$242,MATCH('SeS in Retail Sales Areas'!W$7,'NEW MODEL BY SES'!$C$17:$R$17,0),0),"")</f>
        <v/>
      </c>
      <c r="X391" s="140" t="str">
        <f>IFERROR(VLOOKUP($C391,'NEW MODEL BY SES'!$C$19:$R$242,MATCH('SeS in Retail Sales Areas'!X$7,'NEW MODEL BY SES'!$C$17:$R$17,0),0),"")</f>
        <v/>
      </c>
      <c r="Z391" s="57"/>
    </row>
    <row r="392" spans="1:26">
      <c r="A392" t="s">
        <v>1333</v>
      </c>
      <c r="B392" s="57">
        <v>219</v>
      </c>
      <c r="C392" t="s">
        <v>1334</v>
      </c>
      <c r="D392" t="s">
        <v>33</v>
      </c>
      <c r="E392"/>
      <c r="F392" s="140" t="str">
        <f>IFERROR(VLOOKUP($C392,'NEW MODEL BY SES'!$C$19:$R$242,MATCH('SeS in Retail Sales Areas'!F$7,'NEW MODEL BY SES'!$C$17:$R$17,0),0),"")</f>
        <v/>
      </c>
      <c r="G392" s="140" t="str">
        <f>IFERROR(VLOOKUP($C392,'NEW MODEL BY SES'!$C$19:$R$242,MATCH('SeS in Retail Sales Areas'!G$7,'NEW MODEL BY SES'!$C$17:$R$17,0),0),"")</f>
        <v/>
      </c>
      <c r="H392" s="142" t="str">
        <f>IFERROR(VLOOKUP($C392,'NEW MODEL BY SES'!$C$19:$R$242,MATCH('SeS in Retail Sales Areas'!H$7,'NEW MODEL BY SES'!$C$17:$R$17,0),0),"")</f>
        <v/>
      </c>
      <c r="I392" s="140" t="str">
        <f>IFERROR(VLOOKUP($C392,'NEW MODEL BY SES'!$C$19:$R$242,MATCH('SeS in Retail Sales Areas'!I$7,'NEW MODEL BY SES'!$C$17:$R$17,0),0),"")</f>
        <v/>
      </c>
      <c r="J392" s="142" t="str">
        <f>IFERROR(VLOOKUP($C392,'NEW MODEL BY SES'!$C$19:$R$242,MATCH('SeS in Retail Sales Areas'!J$7,'NEW MODEL BY SES'!$C$17:$R$17,0),0),"")</f>
        <v/>
      </c>
      <c r="K392" s="140" t="str">
        <f>IFERROR(VLOOKUP($C392,'NEW MODEL BY SES'!$C$19:$R$242,MATCH('SeS in Retail Sales Areas'!K$7,'NEW MODEL BY SES'!$C$17:$R$17,0),0),"")</f>
        <v/>
      </c>
      <c r="L392" s="142" t="str">
        <f>IFERROR(VLOOKUP($C392,'NEW MODEL BY SES'!$C$19:$R$242,MATCH('SeS in Retail Sales Areas'!L$7,'NEW MODEL BY SES'!$C$17:$R$17,0),0),"")</f>
        <v/>
      </c>
      <c r="M392" s="140" t="str">
        <f>IFERROR(VLOOKUP($C392,'NEW MODEL BY SES'!$C$19:$R$242,MATCH('SeS in Retail Sales Areas'!M$7,'NEW MODEL BY SES'!$C$17:$R$17,0),0),"")</f>
        <v/>
      </c>
      <c r="N392" s="142" t="str">
        <f>IFERROR(VLOOKUP($C392,'NEW MODEL BY SES'!$C$19:$R$242,MATCH('SeS in Retail Sales Areas'!N$7,'NEW MODEL BY SES'!$C$17:$R$17,0),0),"")</f>
        <v/>
      </c>
      <c r="O392" s="140" t="str">
        <f>IFERROR(VLOOKUP($C392,'NEW MODEL BY SES'!$C$19:$R$242,MATCH('SeS in Retail Sales Areas'!O$7,'NEW MODEL BY SES'!$C$17:$R$17,0),0),"")</f>
        <v/>
      </c>
      <c r="P392" s="142" t="str">
        <f>IFERROR(VLOOKUP($C392,'NEW MODEL BY SES'!$C$19:$R$242,MATCH('SeS in Retail Sales Areas'!P$7,'NEW MODEL BY SES'!$C$17:$R$17,0),0),"")</f>
        <v/>
      </c>
      <c r="Q392" s="140" t="str">
        <f>IFERROR(VLOOKUP($C392,'NEW MODEL BY SES'!$C$19:$R$242,MATCH('SeS in Retail Sales Areas'!Q$7,'NEW MODEL BY SES'!$C$17:$R$17,0),0),"")</f>
        <v/>
      </c>
      <c r="R392" s="142" t="str">
        <f>IFERROR(VLOOKUP($C392,'NEW MODEL BY SES'!$C$19:$R$242,MATCH('SeS in Retail Sales Areas'!R$7,'NEW MODEL BY SES'!$C$17:$R$17,0),0),"")</f>
        <v/>
      </c>
      <c r="S392" s="141" t="str">
        <f>IFERROR(VLOOKUP($C392,'NEW MODEL BY SES'!$C$19:$R$242,MATCH('SeS in Retail Sales Areas'!S$7,'NEW MODEL BY SES'!$C$17:$R$17,0),0),"")</f>
        <v/>
      </c>
      <c r="T392" s="140" t="str">
        <f>IFERROR(VLOOKUP($C392,'NEW MODEL BY SES'!$C$19:$R$242,MATCH('SeS in Retail Sales Areas'!T$7,'NEW MODEL BY SES'!$C$17:$R$17,0),0),"")</f>
        <v/>
      </c>
      <c r="U392" s="142" t="str">
        <f>IFERROR(VLOOKUP($C392,'NEW MODEL BY SES'!$C$19:$R$242,MATCH('SeS in Retail Sales Areas'!U$7,'NEW MODEL BY SES'!$C$17:$R$17,0),0),"")</f>
        <v/>
      </c>
      <c r="V392" s="140" t="str">
        <f>IFERROR(VLOOKUP($C392,'NEW MODEL BY SES'!$C$19:$R$242,MATCH('SeS in Retail Sales Areas'!V$7,'NEW MODEL BY SES'!$C$17:$R$17,0),0),"")</f>
        <v/>
      </c>
      <c r="W392" s="141" t="str">
        <f>IFERROR(VLOOKUP($C392,'NEW MODEL BY SES'!$C$19:$R$242,MATCH('SeS in Retail Sales Areas'!W$7,'NEW MODEL BY SES'!$C$17:$R$17,0),0),"")</f>
        <v/>
      </c>
      <c r="X392" s="140" t="str">
        <f>IFERROR(VLOOKUP($C392,'NEW MODEL BY SES'!$C$19:$R$242,MATCH('SeS in Retail Sales Areas'!X$7,'NEW MODEL BY SES'!$C$17:$R$17,0),0),"")</f>
        <v/>
      </c>
      <c r="Z392" s="57"/>
    </row>
    <row r="393" spans="1:26">
      <c r="A393" t="s">
        <v>1333</v>
      </c>
      <c r="B393" s="57">
        <v>185</v>
      </c>
      <c r="C393" t="s">
        <v>1335</v>
      </c>
      <c r="D393" t="s">
        <v>33</v>
      </c>
      <c r="E393"/>
      <c r="F393" s="140" t="str">
        <f>IFERROR(VLOOKUP($C393,'NEW MODEL BY SES'!$C$19:$R$242,MATCH('SeS in Retail Sales Areas'!F$7,'NEW MODEL BY SES'!$C$17:$R$17,0),0),"")</f>
        <v/>
      </c>
      <c r="G393" s="140" t="str">
        <f>IFERROR(VLOOKUP($C393,'NEW MODEL BY SES'!$C$19:$R$242,MATCH('SeS in Retail Sales Areas'!G$7,'NEW MODEL BY SES'!$C$17:$R$17,0),0),"")</f>
        <v/>
      </c>
      <c r="H393" s="142" t="str">
        <f>IFERROR(VLOOKUP($C393,'NEW MODEL BY SES'!$C$19:$R$242,MATCH('SeS in Retail Sales Areas'!H$7,'NEW MODEL BY SES'!$C$17:$R$17,0),0),"")</f>
        <v/>
      </c>
      <c r="I393" s="140" t="str">
        <f>IFERROR(VLOOKUP($C393,'NEW MODEL BY SES'!$C$19:$R$242,MATCH('SeS in Retail Sales Areas'!I$7,'NEW MODEL BY SES'!$C$17:$R$17,0),0),"")</f>
        <v/>
      </c>
      <c r="J393" s="142" t="str">
        <f>IFERROR(VLOOKUP($C393,'NEW MODEL BY SES'!$C$19:$R$242,MATCH('SeS in Retail Sales Areas'!J$7,'NEW MODEL BY SES'!$C$17:$R$17,0),0),"")</f>
        <v/>
      </c>
      <c r="K393" s="140" t="str">
        <f>IFERROR(VLOOKUP($C393,'NEW MODEL BY SES'!$C$19:$R$242,MATCH('SeS in Retail Sales Areas'!K$7,'NEW MODEL BY SES'!$C$17:$R$17,0),0),"")</f>
        <v/>
      </c>
      <c r="L393" s="142" t="str">
        <f>IFERROR(VLOOKUP($C393,'NEW MODEL BY SES'!$C$19:$R$242,MATCH('SeS in Retail Sales Areas'!L$7,'NEW MODEL BY SES'!$C$17:$R$17,0),0),"")</f>
        <v/>
      </c>
      <c r="M393" s="140" t="str">
        <f>IFERROR(VLOOKUP($C393,'NEW MODEL BY SES'!$C$19:$R$242,MATCH('SeS in Retail Sales Areas'!M$7,'NEW MODEL BY SES'!$C$17:$R$17,0),0),"")</f>
        <v/>
      </c>
      <c r="N393" s="142" t="str">
        <f>IFERROR(VLOOKUP($C393,'NEW MODEL BY SES'!$C$19:$R$242,MATCH('SeS in Retail Sales Areas'!N$7,'NEW MODEL BY SES'!$C$17:$R$17,0),0),"")</f>
        <v/>
      </c>
      <c r="O393" s="140" t="str">
        <f>IFERROR(VLOOKUP($C393,'NEW MODEL BY SES'!$C$19:$R$242,MATCH('SeS in Retail Sales Areas'!O$7,'NEW MODEL BY SES'!$C$17:$R$17,0),0),"")</f>
        <v/>
      </c>
      <c r="P393" s="142" t="str">
        <f>IFERROR(VLOOKUP($C393,'NEW MODEL BY SES'!$C$19:$R$242,MATCH('SeS in Retail Sales Areas'!P$7,'NEW MODEL BY SES'!$C$17:$R$17,0),0),"")</f>
        <v/>
      </c>
      <c r="Q393" s="140" t="str">
        <f>IFERROR(VLOOKUP($C393,'NEW MODEL BY SES'!$C$19:$R$242,MATCH('SeS in Retail Sales Areas'!Q$7,'NEW MODEL BY SES'!$C$17:$R$17,0),0),"")</f>
        <v/>
      </c>
      <c r="R393" s="142" t="str">
        <f>IFERROR(VLOOKUP($C393,'NEW MODEL BY SES'!$C$19:$R$242,MATCH('SeS in Retail Sales Areas'!R$7,'NEW MODEL BY SES'!$C$17:$R$17,0),0),"")</f>
        <v/>
      </c>
      <c r="S393" s="141" t="str">
        <f>IFERROR(VLOOKUP($C393,'NEW MODEL BY SES'!$C$19:$R$242,MATCH('SeS in Retail Sales Areas'!S$7,'NEW MODEL BY SES'!$C$17:$R$17,0),0),"")</f>
        <v/>
      </c>
      <c r="T393" s="140" t="str">
        <f>IFERROR(VLOOKUP($C393,'NEW MODEL BY SES'!$C$19:$R$242,MATCH('SeS in Retail Sales Areas'!T$7,'NEW MODEL BY SES'!$C$17:$R$17,0),0),"")</f>
        <v/>
      </c>
      <c r="U393" s="142" t="str">
        <f>IFERROR(VLOOKUP($C393,'NEW MODEL BY SES'!$C$19:$R$242,MATCH('SeS in Retail Sales Areas'!U$7,'NEW MODEL BY SES'!$C$17:$R$17,0),0),"")</f>
        <v/>
      </c>
      <c r="V393" s="140" t="str">
        <f>IFERROR(VLOOKUP($C393,'NEW MODEL BY SES'!$C$19:$R$242,MATCH('SeS in Retail Sales Areas'!V$7,'NEW MODEL BY SES'!$C$17:$R$17,0),0),"")</f>
        <v/>
      </c>
      <c r="W393" s="141" t="str">
        <f>IFERROR(VLOOKUP($C393,'NEW MODEL BY SES'!$C$19:$R$242,MATCH('SeS in Retail Sales Areas'!W$7,'NEW MODEL BY SES'!$C$17:$R$17,0),0),"")</f>
        <v/>
      </c>
      <c r="X393" s="140" t="str">
        <f>IFERROR(VLOOKUP($C393,'NEW MODEL BY SES'!$C$19:$R$242,MATCH('SeS in Retail Sales Areas'!X$7,'NEW MODEL BY SES'!$C$17:$R$17,0),0),"")</f>
        <v/>
      </c>
      <c r="Z393" s="57"/>
    </row>
    <row r="394" spans="1:26">
      <c r="A394" t="s">
        <v>1333</v>
      </c>
      <c r="B394" s="57">
        <v>160</v>
      </c>
      <c r="C394" t="s">
        <v>1336</v>
      </c>
      <c r="D394" t="s">
        <v>38</v>
      </c>
      <c r="E394"/>
      <c r="F394" s="140" t="str">
        <f>IFERROR(VLOOKUP($C394,'NEW MODEL BY SES'!$C$19:$R$242,MATCH('SeS in Retail Sales Areas'!F$7,'NEW MODEL BY SES'!$C$17:$R$17,0),0),"")</f>
        <v/>
      </c>
      <c r="G394" s="140" t="str">
        <f>IFERROR(VLOOKUP($C394,'NEW MODEL BY SES'!$C$19:$R$242,MATCH('SeS in Retail Sales Areas'!G$7,'NEW MODEL BY SES'!$C$17:$R$17,0),0),"")</f>
        <v/>
      </c>
      <c r="H394" s="142" t="str">
        <f>IFERROR(VLOOKUP($C394,'NEW MODEL BY SES'!$C$19:$R$242,MATCH('SeS in Retail Sales Areas'!H$7,'NEW MODEL BY SES'!$C$17:$R$17,0),0),"")</f>
        <v/>
      </c>
      <c r="I394" s="140" t="str">
        <f>IFERROR(VLOOKUP($C394,'NEW MODEL BY SES'!$C$19:$R$242,MATCH('SeS in Retail Sales Areas'!I$7,'NEW MODEL BY SES'!$C$17:$R$17,0),0),"")</f>
        <v/>
      </c>
      <c r="J394" s="142" t="str">
        <f>IFERROR(VLOOKUP($C394,'NEW MODEL BY SES'!$C$19:$R$242,MATCH('SeS in Retail Sales Areas'!J$7,'NEW MODEL BY SES'!$C$17:$R$17,0),0),"")</f>
        <v/>
      </c>
      <c r="K394" s="140" t="str">
        <f>IFERROR(VLOOKUP($C394,'NEW MODEL BY SES'!$C$19:$R$242,MATCH('SeS in Retail Sales Areas'!K$7,'NEW MODEL BY SES'!$C$17:$R$17,0),0),"")</f>
        <v/>
      </c>
      <c r="L394" s="142" t="str">
        <f>IFERROR(VLOOKUP($C394,'NEW MODEL BY SES'!$C$19:$R$242,MATCH('SeS in Retail Sales Areas'!L$7,'NEW MODEL BY SES'!$C$17:$R$17,0),0),"")</f>
        <v/>
      </c>
      <c r="M394" s="140" t="str">
        <f>IFERROR(VLOOKUP($C394,'NEW MODEL BY SES'!$C$19:$R$242,MATCH('SeS in Retail Sales Areas'!M$7,'NEW MODEL BY SES'!$C$17:$R$17,0),0),"")</f>
        <v/>
      </c>
      <c r="N394" s="142" t="str">
        <f>IFERROR(VLOOKUP($C394,'NEW MODEL BY SES'!$C$19:$R$242,MATCH('SeS in Retail Sales Areas'!N$7,'NEW MODEL BY SES'!$C$17:$R$17,0),0),"")</f>
        <v/>
      </c>
      <c r="O394" s="140" t="str">
        <f>IFERROR(VLOOKUP($C394,'NEW MODEL BY SES'!$C$19:$R$242,MATCH('SeS in Retail Sales Areas'!O$7,'NEW MODEL BY SES'!$C$17:$R$17,0),0),"")</f>
        <v/>
      </c>
      <c r="P394" s="142" t="str">
        <f>IFERROR(VLOOKUP($C394,'NEW MODEL BY SES'!$C$19:$R$242,MATCH('SeS in Retail Sales Areas'!P$7,'NEW MODEL BY SES'!$C$17:$R$17,0),0),"")</f>
        <v/>
      </c>
      <c r="Q394" s="140" t="str">
        <f>IFERROR(VLOOKUP($C394,'NEW MODEL BY SES'!$C$19:$R$242,MATCH('SeS in Retail Sales Areas'!Q$7,'NEW MODEL BY SES'!$C$17:$R$17,0),0),"")</f>
        <v/>
      </c>
      <c r="R394" s="142" t="str">
        <f>IFERROR(VLOOKUP($C394,'NEW MODEL BY SES'!$C$19:$R$242,MATCH('SeS in Retail Sales Areas'!R$7,'NEW MODEL BY SES'!$C$17:$R$17,0),0),"")</f>
        <v/>
      </c>
      <c r="S394" s="141" t="str">
        <f>IFERROR(VLOOKUP($C394,'NEW MODEL BY SES'!$C$19:$R$242,MATCH('SeS in Retail Sales Areas'!S$7,'NEW MODEL BY SES'!$C$17:$R$17,0),0),"")</f>
        <v/>
      </c>
      <c r="T394" s="140" t="str">
        <f>IFERROR(VLOOKUP($C394,'NEW MODEL BY SES'!$C$19:$R$242,MATCH('SeS in Retail Sales Areas'!T$7,'NEW MODEL BY SES'!$C$17:$R$17,0),0),"")</f>
        <v/>
      </c>
      <c r="U394" s="142" t="str">
        <f>IFERROR(VLOOKUP($C394,'NEW MODEL BY SES'!$C$19:$R$242,MATCH('SeS in Retail Sales Areas'!U$7,'NEW MODEL BY SES'!$C$17:$R$17,0),0),"")</f>
        <v/>
      </c>
      <c r="V394" s="140" t="str">
        <f>IFERROR(VLOOKUP($C394,'NEW MODEL BY SES'!$C$19:$R$242,MATCH('SeS in Retail Sales Areas'!V$7,'NEW MODEL BY SES'!$C$17:$R$17,0),0),"")</f>
        <v/>
      </c>
      <c r="W394" s="141" t="str">
        <f>IFERROR(VLOOKUP($C394,'NEW MODEL BY SES'!$C$19:$R$242,MATCH('SeS in Retail Sales Areas'!W$7,'NEW MODEL BY SES'!$C$17:$R$17,0),0),"")</f>
        <v/>
      </c>
      <c r="X394" s="140" t="str">
        <f>IFERROR(VLOOKUP($C394,'NEW MODEL BY SES'!$C$19:$R$242,MATCH('SeS in Retail Sales Areas'!X$7,'NEW MODEL BY SES'!$C$17:$R$17,0),0),"")</f>
        <v/>
      </c>
      <c r="Z394" s="57"/>
    </row>
    <row r="395" spans="1:26">
      <c r="A395" t="s">
        <v>1333</v>
      </c>
      <c r="B395" s="57">
        <v>154</v>
      </c>
      <c r="C395" t="s">
        <v>1337</v>
      </c>
      <c r="D395" t="s">
        <v>38</v>
      </c>
      <c r="E395"/>
      <c r="F395" s="140" t="str">
        <f>IFERROR(VLOOKUP($C395,'NEW MODEL BY SES'!$C$19:$R$242,MATCH('SeS in Retail Sales Areas'!F$7,'NEW MODEL BY SES'!$C$17:$R$17,0),0),"")</f>
        <v/>
      </c>
      <c r="G395" s="140" t="str">
        <f>IFERROR(VLOOKUP($C395,'NEW MODEL BY SES'!$C$19:$R$242,MATCH('SeS in Retail Sales Areas'!G$7,'NEW MODEL BY SES'!$C$17:$R$17,0),0),"")</f>
        <v/>
      </c>
      <c r="H395" s="142" t="str">
        <f>IFERROR(VLOOKUP($C395,'NEW MODEL BY SES'!$C$19:$R$242,MATCH('SeS in Retail Sales Areas'!H$7,'NEW MODEL BY SES'!$C$17:$R$17,0),0),"")</f>
        <v/>
      </c>
      <c r="I395" s="140" t="str">
        <f>IFERROR(VLOOKUP($C395,'NEW MODEL BY SES'!$C$19:$R$242,MATCH('SeS in Retail Sales Areas'!I$7,'NEW MODEL BY SES'!$C$17:$R$17,0),0),"")</f>
        <v/>
      </c>
      <c r="J395" s="142" t="str">
        <f>IFERROR(VLOOKUP($C395,'NEW MODEL BY SES'!$C$19:$R$242,MATCH('SeS in Retail Sales Areas'!J$7,'NEW MODEL BY SES'!$C$17:$R$17,0),0),"")</f>
        <v/>
      </c>
      <c r="K395" s="140" t="str">
        <f>IFERROR(VLOOKUP($C395,'NEW MODEL BY SES'!$C$19:$R$242,MATCH('SeS in Retail Sales Areas'!K$7,'NEW MODEL BY SES'!$C$17:$R$17,0),0),"")</f>
        <v/>
      </c>
      <c r="L395" s="142" t="str">
        <f>IFERROR(VLOOKUP($C395,'NEW MODEL BY SES'!$C$19:$R$242,MATCH('SeS in Retail Sales Areas'!L$7,'NEW MODEL BY SES'!$C$17:$R$17,0),0),"")</f>
        <v/>
      </c>
      <c r="M395" s="140" t="str">
        <f>IFERROR(VLOOKUP($C395,'NEW MODEL BY SES'!$C$19:$R$242,MATCH('SeS in Retail Sales Areas'!M$7,'NEW MODEL BY SES'!$C$17:$R$17,0),0),"")</f>
        <v/>
      </c>
      <c r="N395" s="142" t="str">
        <f>IFERROR(VLOOKUP($C395,'NEW MODEL BY SES'!$C$19:$R$242,MATCH('SeS in Retail Sales Areas'!N$7,'NEW MODEL BY SES'!$C$17:$R$17,0),0),"")</f>
        <v/>
      </c>
      <c r="O395" s="140" t="str">
        <f>IFERROR(VLOOKUP($C395,'NEW MODEL BY SES'!$C$19:$R$242,MATCH('SeS in Retail Sales Areas'!O$7,'NEW MODEL BY SES'!$C$17:$R$17,0),0),"")</f>
        <v/>
      </c>
      <c r="P395" s="142" t="str">
        <f>IFERROR(VLOOKUP($C395,'NEW MODEL BY SES'!$C$19:$R$242,MATCH('SeS in Retail Sales Areas'!P$7,'NEW MODEL BY SES'!$C$17:$R$17,0),0),"")</f>
        <v/>
      </c>
      <c r="Q395" s="140" t="str">
        <f>IFERROR(VLOOKUP($C395,'NEW MODEL BY SES'!$C$19:$R$242,MATCH('SeS in Retail Sales Areas'!Q$7,'NEW MODEL BY SES'!$C$17:$R$17,0),0),"")</f>
        <v/>
      </c>
      <c r="R395" s="142" t="str">
        <f>IFERROR(VLOOKUP($C395,'NEW MODEL BY SES'!$C$19:$R$242,MATCH('SeS in Retail Sales Areas'!R$7,'NEW MODEL BY SES'!$C$17:$R$17,0),0),"")</f>
        <v/>
      </c>
      <c r="S395" s="141" t="str">
        <f>IFERROR(VLOOKUP($C395,'NEW MODEL BY SES'!$C$19:$R$242,MATCH('SeS in Retail Sales Areas'!S$7,'NEW MODEL BY SES'!$C$17:$R$17,0),0),"")</f>
        <v/>
      </c>
      <c r="T395" s="140" t="str">
        <f>IFERROR(VLOOKUP($C395,'NEW MODEL BY SES'!$C$19:$R$242,MATCH('SeS in Retail Sales Areas'!T$7,'NEW MODEL BY SES'!$C$17:$R$17,0),0),"")</f>
        <v/>
      </c>
      <c r="U395" s="142" t="str">
        <f>IFERROR(VLOOKUP($C395,'NEW MODEL BY SES'!$C$19:$R$242,MATCH('SeS in Retail Sales Areas'!U$7,'NEW MODEL BY SES'!$C$17:$R$17,0),0),"")</f>
        <v/>
      </c>
      <c r="V395" s="140" t="str">
        <f>IFERROR(VLOOKUP($C395,'NEW MODEL BY SES'!$C$19:$R$242,MATCH('SeS in Retail Sales Areas'!V$7,'NEW MODEL BY SES'!$C$17:$R$17,0),0),"")</f>
        <v/>
      </c>
      <c r="W395" s="141" t="str">
        <f>IFERROR(VLOOKUP($C395,'NEW MODEL BY SES'!$C$19:$R$242,MATCH('SeS in Retail Sales Areas'!W$7,'NEW MODEL BY SES'!$C$17:$R$17,0),0),"")</f>
        <v/>
      </c>
      <c r="X395" s="140" t="str">
        <f>IFERROR(VLOOKUP($C395,'NEW MODEL BY SES'!$C$19:$R$242,MATCH('SeS in Retail Sales Areas'!X$7,'NEW MODEL BY SES'!$C$17:$R$17,0),0),"")</f>
        <v/>
      </c>
      <c r="Z395" s="57"/>
    </row>
    <row r="396" spans="1:26">
      <c r="A396" t="s">
        <v>1333</v>
      </c>
      <c r="B396" s="57">
        <v>153</v>
      </c>
      <c r="C396" t="s">
        <v>1338</v>
      </c>
      <c r="D396" t="s">
        <v>38</v>
      </c>
      <c r="E396"/>
      <c r="F396" s="140" t="str">
        <f>IFERROR(VLOOKUP($C396,'NEW MODEL BY SES'!$C$19:$R$242,MATCH('SeS in Retail Sales Areas'!F$7,'NEW MODEL BY SES'!$C$17:$R$17,0),0),"")</f>
        <v/>
      </c>
      <c r="G396" s="140" t="str">
        <f>IFERROR(VLOOKUP($C396,'NEW MODEL BY SES'!$C$19:$R$242,MATCH('SeS in Retail Sales Areas'!G$7,'NEW MODEL BY SES'!$C$17:$R$17,0),0),"")</f>
        <v/>
      </c>
      <c r="H396" s="142" t="str">
        <f>IFERROR(VLOOKUP($C396,'NEW MODEL BY SES'!$C$19:$R$242,MATCH('SeS in Retail Sales Areas'!H$7,'NEW MODEL BY SES'!$C$17:$R$17,0),0),"")</f>
        <v/>
      </c>
      <c r="I396" s="140" t="str">
        <f>IFERROR(VLOOKUP($C396,'NEW MODEL BY SES'!$C$19:$R$242,MATCH('SeS in Retail Sales Areas'!I$7,'NEW MODEL BY SES'!$C$17:$R$17,0),0),"")</f>
        <v/>
      </c>
      <c r="J396" s="142" t="str">
        <f>IFERROR(VLOOKUP($C396,'NEW MODEL BY SES'!$C$19:$R$242,MATCH('SeS in Retail Sales Areas'!J$7,'NEW MODEL BY SES'!$C$17:$R$17,0),0),"")</f>
        <v/>
      </c>
      <c r="K396" s="140" t="str">
        <f>IFERROR(VLOOKUP($C396,'NEW MODEL BY SES'!$C$19:$R$242,MATCH('SeS in Retail Sales Areas'!K$7,'NEW MODEL BY SES'!$C$17:$R$17,0),0),"")</f>
        <v/>
      </c>
      <c r="L396" s="142" t="str">
        <f>IFERROR(VLOOKUP($C396,'NEW MODEL BY SES'!$C$19:$R$242,MATCH('SeS in Retail Sales Areas'!L$7,'NEW MODEL BY SES'!$C$17:$R$17,0),0),"")</f>
        <v/>
      </c>
      <c r="M396" s="140" t="str">
        <f>IFERROR(VLOOKUP($C396,'NEW MODEL BY SES'!$C$19:$R$242,MATCH('SeS in Retail Sales Areas'!M$7,'NEW MODEL BY SES'!$C$17:$R$17,0),0),"")</f>
        <v/>
      </c>
      <c r="N396" s="142" t="str">
        <f>IFERROR(VLOOKUP($C396,'NEW MODEL BY SES'!$C$19:$R$242,MATCH('SeS in Retail Sales Areas'!N$7,'NEW MODEL BY SES'!$C$17:$R$17,0),0),"")</f>
        <v/>
      </c>
      <c r="O396" s="140" t="str">
        <f>IFERROR(VLOOKUP($C396,'NEW MODEL BY SES'!$C$19:$R$242,MATCH('SeS in Retail Sales Areas'!O$7,'NEW MODEL BY SES'!$C$17:$R$17,0),0),"")</f>
        <v/>
      </c>
      <c r="P396" s="142" t="str">
        <f>IFERROR(VLOOKUP($C396,'NEW MODEL BY SES'!$C$19:$R$242,MATCH('SeS in Retail Sales Areas'!P$7,'NEW MODEL BY SES'!$C$17:$R$17,0),0),"")</f>
        <v/>
      </c>
      <c r="Q396" s="140" t="str">
        <f>IFERROR(VLOOKUP($C396,'NEW MODEL BY SES'!$C$19:$R$242,MATCH('SeS in Retail Sales Areas'!Q$7,'NEW MODEL BY SES'!$C$17:$R$17,0),0),"")</f>
        <v/>
      </c>
      <c r="R396" s="142" t="str">
        <f>IFERROR(VLOOKUP($C396,'NEW MODEL BY SES'!$C$19:$R$242,MATCH('SeS in Retail Sales Areas'!R$7,'NEW MODEL BY SES'!$C$17:$R$17,0),0),"")</f>
        <v/>
      </c>
      <c r="S396" s="141" t="str">
        <f>IFERROR(VLOOKUP($C396,'NEW MODEL BY SES'!$C$19:$R$242,MATCH('SeS in Retail Sales Areas'!S$7,'NEW MODEL BY SES'!$C$17:$R$17,0),0),"")</f>
        <v/>
      </c>
      <c r="T396" s="140" t="str">
        <f>IFERROR(VLOOKUP($C396,'NEW MODEL BY SES'!$C$19:$R$242,MATCH('SeS in Retail Sales Areas'!T$7,'NEW MODEL BY SES'!$C$17:$R$17,0),0),"")</f>
        <v/>
      </c>
      <c r="U396" s="142" t="str">
        <f>IFERROR(VLOOKUP($C396,'NEW MODEL BY SES'!$C$19:$R$242,MATCH('SeS in Retail Sales Areas'!U$7,'NEW MODEL BY SES'!$C$17:$R$17,0),0),"")</f>
        <v/>
      </c>
      <c r="V396" s="140" t="str">
        <f>IFERROR(VLOOKUP($C396,'NEW MODEL BY SES'!$C$19:$R$242,MATCH('SeS in Retail Sales Areas'!V$7,'NEW MODEL BY SES'!$C$17:$R$17,0),0),"")</f>
        <v/>
      </c>
      <c r="W396" s="141" t="str">
        <f>IFERROR(VLOOKUP($C396,'NEW MODEL BY SES'!$C$19:$R$242,MATCH('SeS in Retail Sales Areas'!W$7,'NEW MODEL BY SES'!$C$17:$R$17,0),0),"")</f>
        <v/>
      </c>
      <c r="X396" s="140" t="str">
        <f>IFERROR(VLOOKUP($C396,'NEW MODEL BY SES'!$C$19:$R$242,MATCH('SeS in Retail Sales Areas'!X$7,'NEW MODEL BY SES'!$C$17:$R$17,0),0),"")</f>
        <v/>
      </c>
      <c r="Z396" s="57"/>
    </row>
    <row r="397" spans="1:26">
      <c r="A397" t="s">
        <v>1333</v>
      </c>
      <c r="B397" s="57">
        <v>149</v>
      </c>
      <c r="C397" t="s">
        <v>1339</v>
      </c>
      <c r="D397" t="s">
        <v>38</v>
      </c>
      <c r="E397"/>
      <c r="F397" s="140" t="str">
        <f>IFERROR(VLOOKUP($C397,'NEW MODEL BY SES'!$C$19:$R$242,MATCH('SeS in Retail Sales Areas'!F$7,'NEW MODEL BY SES'!$C$17:$R$17,0),0),"")</f>
        <v/>
      </c>
      <c r="G397" s="140" t="str">
        <f>IFERROR(VLOOKUP($C397,'NEW MODEL BY SES'!$C$19:$R$242,MATCH('SeS in Retail Sales Areas'!G$7,'NEW MODEL BY SES'!$C$17:$R$17,0),0),"")</f>
        <v/>
      </c>
      <c r="H397" s="142" t="str">
        <f>IFERROR(VLOOKUP($C397,'NEW MODEL BY SES'!$C$19:$R$242,MATCH('SeS in Retail Sales Areas'!H$7,'NEW MODEL BY SES'!$C$17:$R$17,0),0),"")</f>
        <v/>
      </c>
      <c r="I397" s="140" t="str">
        <f>IFERROR(VLOOKUP($C397,'NEW MODEL BY SES'!$C$19:$R$242,MATCH('SeS in Retail Sales Areas'!I$7,'NEW MODEL BY SES'!$C$17:$R$17,0),0),"")</f>
        <v/>
      </c>
      <c r="J397" s="142" t="str">
        <f>IFERROR(VLOOKUP($C397,'NEW MODEL BY SES'!$C$19:$R$242,MATCH('SeS in Retail Sales Areas'!J$7,'NEW MODEL BY SES'!$C$17:$R$17,0),0),"")</f>
        <v/>
      </c>
      <c r="K397" s="140" t="str">
        <f>IFERROR(VLOOKUP($C397,'NEW MODEL BY SES'!$C$19:$R$242,MATCH('SeS in Retail Sales Areas'!K$7,'NEW MODEL BY SES'!$C$17:$R$17,0),0),"")</f>
        <v/>
      </c>
      <c r="L397" s="142" t="str">
        <f>IFERROR(VLOOKUP($C397,'NEW MODEL BY SES'!$C$19:$R$242,MATCH('SeS in Retail Sales Areas'!L$7,'NEW MODEL BY SES'!$C$17:$R$17,0),0),"")</f>
        <v/>
      </c>
      <c r="M397" s="140" t="str">
        <f>IFERROR(VLOOKUP($C397,'NEW MODEL BY SES'!$C$19:$R$242,MATCH('SeS in Retail Sales Areas'!M$7,'NEW MODEL BY SES'!$C$17:$R$17,0),0),"")</f>
        <v/>
      </c>
      <c r="N397" s="142" t="str">
        <f>IFERROR(VLOOKUP($C397,'NEW MODEL BY SES'!$C$19:$R$242,MATCH('SeS in Retail Sales Areas'!N$7,'NEW MODEL BY SES'!$C$17:$R$17,0),0),"")</f>
        <v/>
      </c>
      <c r="O397" s="140" t="str">
        <f>IFERROR(VLOOKUP($C397,'NEW MODEL BY SES'!$C$19:$R$242,MATCH('SeS in Retail Sales Areas'!O$7,'NEW MODEL BY SES'!$C$17:$R$17,0),0),"")</f>
        <v/>
      </c>
      <c r="P397" s="142" t="str">
        <f>IFERROR(VLOOKUP($C397,'NEW MODEL BY SES'!$C$19:$R$242,MATCH('SeS in Retail Sales Areas'!P$7,'NEW MODEL BY SES'!$C$17:$R$17,0),0),"")</f>
        <v/>
      </c>
      <c r="Q397" s="140" t="str">
        <f>IFERROR(VLOOKUP($C397,'NEW MODEL BY SES'!$C$19:$R$242,MATCH('SeS in Retail Sales Areas'!Q$7,'NEW MODEL BY SES'!$C$17:$R$17,0),0),"")</f>
        <v/>
      </c>
      <c r="R397" s="142" t="str">
        <f>IFERROR(VLOOKUP($C397,'NEW MODEL BY SES'!$C$19:$R$242,MATCH('SeS in Retail Sales Areas'!R$7,'NEW MODEL BY SES'!$C$17:$R$17,0),0),"")</f>
        <v/>
      </c>
      <c r="S397" s="141" t="str">
        <f>IFERROR(VLOOKUP($C397,'NEW MODEL BY SES'!$C$19:$R$242,MATCH('SeS in Retail Sales Areas'!S$7,'NEW MODEL BY SES'!$C$17:$R$17,0),0),"")</f>
        <v/>
      </c>
      <c r="T397" s="140" t="str">
        <f>IFERROR(VLOOKUP($C397,'NEW MODEL BY SES'!$C$19:$R$242,MATCH('SeS in Retail Sales Areas'!T$7,'NEW MODEL BY SES'!$C$17:$R$17,0),0),"")</f>
        <v/>
      </c>
      <c r="U397" s="142" t="str">
        <f>IFERROR(VLOOKUP($C397,'NEW MODEL BY SES'!$C$19:$R$242,MATCH('SeS in Retail Sales Areas'!U$7,'NEW MODEL BY SES'!$C$17:$R$17,0),0),"")</f>
        <v/>
      </c>
      <c r="V397" s="140" t="str">
        <f>IFERROR(VLOOKUP($C397,'NEW MODEL BY SES'!$C$19:$R$242,MATCH('SeS in Retail Sales Areas'!V$7,'NEW MODEL BY SES'!$C$17:$R$17,0),0),"")</f>
        <v/>
      </c>
      <c r="W397" s="141" t="str">
        <f>IFERROR(VLOOKUP($C397,'NEW MODEL BY SES'!$C$19:$R$242,MATCH('SeS in Retail Sales Areas'!W$7,'NEW MODEL BY SES'!$C$17:$R$17,0),0),"")</f>
        <v/>
      </c>
      <c r="X397" s="140" t="str">
        <f>IFERROR(VLOOKUP($C397,'NEW MODEL BY SES'!$C$19:$R$242,MATCH('SeS in Retail Sales Areas'!X$7,'NEW MODEL BY SES'!$C$17:$R$17,0),0),"")</f>
        <v/>
      </c>
      <c r="Z397" s="57"/>
    </row>
    <row r="398" spans="1:26">
      <c r="A398" t="s">
        <v>1333</v>
      </c>
      <c r="B398" s="57">
        <v>149</v>
      </c>
      <c r="C398" t="s">
        <v>1340</v>
      </c>
      <c r="D398" t="s">
        <v>38</v>
      </c>
      <c r="E398"/>
      <c r="F398" s="140" t="str">
        <f>IFERROR(VLOOKUP($C398,'NEW MODEL BY SES'!$C$19:$R$242,MATCH('SeS in Retail Sales Areas'!F$7,'NEW MODEL BY SES'!$C$17:$R$17,0),0),"")</f>
        <v/>
      </c>
      <c r="G398" s="140" t="str">
        <f>IFERROR(VLOOKUP($C398,'NEW MODEL BY SES'!$C$19:$R$242,MATCH('SeS in Retail Sales Areas'!G$7,'NEW MODEL BY SES'!$C$17:$R$17,0),0),"")</f>
        <v/>
      </c>
      <c r="H398" s="142" t="str">
        <f>IFERROR(VLOOKUP($C398,'NEW MODEL BY SES'!$C$19:$R$242,MATCH('SeS in Retail Sales Areas'!H$7,'NEW MODEL BY SES'!$C$17:$R$17,0),0),"")</f>
        <v/>
      </c>
      <c r="I398" s="140" t="str">
        <f>IFERROR(VLOOKUP($C398,'NEW MODEL BY SES'!$C$19:$R$242,MATCH('SeS in Retail Sales Areas'!I$7,'NEW MODEL BY SES'!$C$17:$R$17,0),0),"")</f>
        <v/>
      </c>
      <c r="J398" s="142" t="str">
        <f>IFERROR(VLOOKUP($C398,'NEW MODEL BY SES'!$C$19:$R$242,MATCH('SeS in Retail Sales Areas'!J$7,'NEW MODEL BY SES'!$C$17:$R$17,0),0),"")</f>
        <v/>
      </c>
      <c r="K398" s="140" t="str">
        <f>IFERROR(VLOOKUP($C398,'NEW MODEL BY SES'!$C$19:$R$242,MATCH('SeS in Retail Sales Areas'!K$7,'NEW MODEL BY SES'!$C$17:$R$17,0),0),"")</f>
        <v/>
      </c>
      <c r="L398" s="142" t="str">
        <f>IFERROR(VLOOKUP($C398,'NEW MODEL BY SES'!$C$19:$R$242,MATCH('SeS in Retail Sales Areas'!L$7,'NEW MODEL BY SES'!$C$17:$R$17,0),0),"")</f>
        <v/>
      </c>
      <c r="M398" s="140" t="str">
        <f>IFERROR(VLOOKUP($C398,'NEW MODEL BY SES'!$C$19:$R$242,MATCH('SeS in Retail Sales Areas'!M$7,'NEW MODEL BY SES'!$C$17:$R$17,0),0),"")</f>
        <v/>
      </c>
      <c r="N398" s="142" t="str">
        <f>IFERROR(VLOOKUP($C398,'NEW MODEL BY SES'!$C$19:$R$242,MATCH('SeS in Retail Sales Areas'!N$7,'NEW MODEL BY SES'!$C$17:$R$17,0),0),"")</f>
        <v/>
      </c>
      <c r="O398" s="140" t="str">
        <f>IFERROR(VLOOKUP($C398,'NEW MODEL BY SES'!$C$19:$R$242,MATCH('SeS in Retail Sales Areas'!O$7,'NEW MODEL BY SES'!$C$17:$R$17,0),0),"")</f>
        <v/>
      </c>
      <c r="P398" s="142" t="str">
        <f>IFERROR(VLOOKUP($C398,'NEW MODEL BY SES'!$C$19:$R$242,MATCH('SeS in Retail Sales Areas'!P$7,'NEW MODEL BY SES'!$C$17:$R$17,0),0),"")</f>
        <v/>
      </c>
      <c r="Q398" s="140" t="str">
        <f>IFERROR(VLOOKUP($C398,'NEW MODEL BY SES'!$C$19:$R$242,MATCH('SeS in Retail Sales Areas'!Q$7,'NEW MODEL BY SES'!$C$17:$R$17,0),0),"")</f>
        <v/>
      </c>
      <c r="R398" s="142" t="str">
        <f>IFERROR(VLOOKUP($C398,'NEW MODEL BY SES'!$C$19:$R$242,MATCH('SeS in Retail Sales Areas'!R$7,'NEW MODEL BY SES'!$C$17:$R$17,0),0),"")</f>
        <v/>
      </c>
      <c r="S398" s="141" t="str">
        <f>IFERROR(VLOOKUP($C398,'NEW MODEL BY SES'!$C$19:$R$242,MATCH('SeS in Retail Sales Areas'!S$7,'NEW MODEL BY SES'!$C$17:$R$17,0),0),"")</f>
        <v/>
      </c>
      <c r="T398" s="140" t="str">
        <f>IFERROR(VLOOKUP($C398,'NEW MODEL BY SES'!$C$19:$R$242,MATCH('SeS in Retail Sales Areas'!T$7,'NEW MODEL BY SES'!$C$17:$R$17,0),0),"")</f>
        <v/>
      </c>
      <c r="U398" s="142" t="str">
        <f>IFERROR(VLOOKUP($C398,'NEW MODEL BY SES'!$C$19:$R$242,MATCH('SeS in Retail Sales Areas'!U$7,'NEW MODEL BY SES'!$C$17:$R$17,0),0),"")</f>
        <v/>
      </c>
      <c r="V398" s="140" t="str">
        <f>IFERROR(VLOOKUP($C398,'NEW MODEL BY SES'!$C$19:$R$242,MATCH('SeS in Retail Sales Areas'!V$7,'NEW MODEL BY SES'!$C$17:$R$17,0),0),"")</f>
        <v/>
      </c>
      <c r="W398" s="141" t="str">
        <f>IFERROR(VLOOKUP($C398,'NEW MODEL BY SES'!$C$19:$R$242,MATCH('SeS in Retail Sales Areas'!W$7,'NEW MODEL BY SES'!$C$17:$R$17,0),0),"")</f>
        <v/>
      </c>
      <c r="X398" s="140" t="str">
        <f>IFERROR(VLOOKUP($C398,'NEW MODEL BY SES'!$C$19:$R$242,MATCH('SeS in Retail Sales Areas'!X$7,'NEW MODEL BY SES'!$C$17:$R$17,0),0),"")</f>
        <v/>
      </c>
      <c r="Z398" s="57"/>
    </row>
    <row r="399" spans="1:26">
      <c r="A399" t="s">
        <v>1333</v>
      </c>
      <c r="B399" s="57">
        <v>143</v>
      </c>
      <c r="C399" t="s">
        <v>1341</v>
      </c>
      <c r="D399" t="s">
        <v>38</v>
      </c>
      <c r="E399"/>
      <c r="F399" s="140" t="str">
        <f>IFERROR(VLOOKUP($C399,'NEW MODEL BY SES'!$C$19:$R$242,MATCH('SeS in Retail Sales Areas'!F$7,'NEW MODEL BY SES'!$C$17:$R$17,0),0),"")</f>
        <v/>
      </c>
      <c r="G399" s="140" t="str">
        <f>IFERROR(VLOOKUP($C399,'NEW MODEL BY SES'!$C$19:$R$242,MATCH('SeS in Retail Sales Areas'!G$7,'NEW MODEL BY SES'!$C$17:$R$17,0),0),"")</f>
        <v/>
      </c>
      <c r="H399" s="142" t="str">
        <f>IFERROR(VLOOKUP($C399,'NEW MODEL BY SES'!$C$19:$R$242,MATCH('SeS in Retail Sales Areas'!H$7,'NEW MODEL BY SES'!$C$17:$R$17,0),0),"")</f>
        <v/>
      </c>
      <c r="I399" s="140" t="str">
        <f>IFERROR(VLOOKUP($C399,'NEW MODEL BY SES'!$C$19:$R$242,MATCH('SeS in Retail Sales Areas'!I$7,'NEW MODEL BY SES'!$C$17:$R$17,0),0),"")</f>
        <v/>
      </c>
      <c r="J399" s="142" t="str">
        <f>IFERROR(VLOOKUP($C399,'NEW MODEL BY SES'!$C$19:$R$242,MATCH('SeS in Retail Sales Areas'!J$7,'NEW MODEL BY SES'!$C$17:$R$17,0),0),"")</f>
        <v/>
      </c>
      <c r="K399" s="140" t="str">
        <f>IFERROR(VLOOKUP($C399,'NEW MODEL BY SES'!$C$19:$R$242,MATCH('SeS in Retail Sales Areas'!K$7,'NEW MODEL BY SES'!$C$17:$R$17,0),0),"")</f>
        <v/>
      </c>
      <c r="L399" s="142" t="str">
        <f>IFERROR(VLOOKUP($C399,'NEW MODEL BY SES'!$C$19:$R$242,MATCH('SeS in Retail Sales Areas'!L$7,'NEW MODEL BY SES'!$C$17:$R$17,0),0),"")</f>
        <v/>
      </c>
      <c r="M399" s="140" t="str">
        <f>IFERROR(VLOOKUP($C399,'NEW MODEL BY SES'!$C$19:$R$242,MATCH('SeS in Retail Sales Areas'!M$7,'NEW MODEL BY SES'!$C$17:$R$17,0),0),"")</f>
        <v/>
      </c>
      <c r="N399" s="142" t="str">
        <f>IFERROR(VLOOKUP($C399,'NEW MODEL BY SES'!$C$19:$R$242,MATCH('SeS in Retail Sales Areas'!N$7,'NEW MODEL BY SES'!$C$17:$R$17,0),0),"")</f>
        <v/>
      </c>
      <c r="O399" s="140" t="str">
        <f>IFERROR(VLOOKUP($C399,'NEW MODEL BY SES'!$C$19:$R$242,MATCH('SeS in Retail Sales Areas'!O$7,'NEW MODEL BY SES'!$C$17:$R$17,0),0),"")</f>
        <v/>
      </c>
      <c r="P399" s="142" t="str">
        <f>IFERROR(VLOOKUP($C399,'NEW MODEL BY SES'!$C$19:$R$242,MATCH('SeS in Retail Sales Areas'!P$7,'NEW MODEL BY SES'!$C$17:$R$17,0),0),"")</f>
        <v/>
      </c>
      <c r="Q399" s="140" t="str">
        <f>IFERROR(VLOOKUP($C399,'NEW MODEL BY SES'!$C$19:$R$242,MATCH('SeS in Retail Sales Areas'!Q$7,'NEW MODEL BY SES'!$C$17:$R$17,0),0),"")</f>
        <v/>
      </c>
      <c r="R399" s="142" t="str">
        <f>IFERROR(VLOOKUP($C399,'NEW MODEL BY SES'!$C$19:$R$242,MATCH('SeS in Retail Sales Areas'!R$7,'NEW MODEL BY SES'!$C$17:$R$17,0),0),"")</f>
        <v/>
      </c>
      <c r="S399" s="141" t="str">
        <f>IFERROR(VLOOKUP($C399,'NEW MODEL BY SES'!$C$19:$R$242,MATCH('SeS in Retail Sales Areas'!S$7,'NEW MODEL BY SES'!$C$17:$R$17,0),0),"")</f>
        <v/>
      </c>
      <c r="T399" s="140" t="str">
        <f>IFERROR(VLOOKUP($C399,'NEW MODEL BY SES'!$C$19:$R$242,MATCH('SeS in Retail Sales Areas'!T$7,'NEW MODEL BY SES'!$C$17:$R$17,0),0),"")</f>
        <v/>
      </c>
      <c r="U399" s="142" t="str">
        <f>IFERROR(VLOOKUP($C399,'NEW MODEL BY SES'!$C$19:$R$242,MATCH('SeS in Retail Sales Areas'!U$7,'NEW MODEL BY SES'!$C$17:$R$17,0),0),"")</f>
        <v/>
      </c>
      <c r="V399" s="140" t="str">
        <f>IFERROR(VLOOKUP($C399,'NEW MODEL BY SES'!$C$19:$R$242,MATCH('SeS in Retail Sales Areas'!V$7,'NEW MODEL BY SES'!$C$17:$R$17,0),0),"")</f>
        <v/>
      </c>
      <c r="W399" s="141" t="str">
        <f>IFERROR(VLOOKUP($C399,'NEW MODEL BY SES'!$C$19:$R$242,MATCH('SeS in Retail Sales Areas'!W$7,'NEW MODEL BY SES'!$C$17:$R$17,0),0),"")</f>
        <v/>
      </c>
      <c r="X399" s="140" t="str">
        <f>IFERROR(VLOOKUP($C399,'NEW MODEL BY SES'!$C$19:$R$242,MATCH('SeS in Retail Sales Areas'!X$7,'NEW MODEL BY SES'!$C$17:$R$17,0),0),"")</f>
        <v/>
      </c>
      <c r="Z399" s="57"/>
    </row>
    <row r="400" spans="1:26">
      <c r="A400" t="s">
        <v>1333</v>
      </c>
      <c r="B400" s="57">
        <v>128</v>
      </c>
      <c r="C400" t="s">
        <v>1342</v>
      </c>
      <c r="D400" t="s">
        <v>38</v>
      </c>
      <c r="E400"/>
      <c r="F400" s="140" t="str">
        <f>IFERROR(VLOOKUP($C400,'NEW MODEL BY SES'!$C$19:$R$242,MATCH('SeS in Retail Sales Areas'!F$7,'NEW MODEL BY SES'!$C$17:$R$17,0),0),"")</f>
        <v/>
      </c>
      <c r="G400" s="140" t="str">
        <f>IFERROR(VLOOKUP($C400,'NEW MODEL BY SES'!$C$19:$R$242,MATCH('SeS in Retail Sales Areas'!G$7,'NEW MODEL BY SES'!$C$17:$R$17,0),0),"")</f>
        <v/>
      </c>
      <c r="H400" s="142" t="str">
        <f>IFERROR(VLOOKUP($C400,'NEW MODEL BY SES'!$C$19:$R$242,MATCH('SeS in Retail Sales Areas'!H$7,'NEW MODEL BY SES'!$C$17:$R$17,0),0),"")</f>
        <v/>
      </c>
      <c r="I400" s="140" t="str">
        <f>IFERROR(VLOOKUP($C400,'NEW MODEL BY SES'!$C$19:$R$242,MATCH('SeS in Retail Sales Areas'!I$7,'NEW MODEL BY SES'!$C$17:$R$17,0),0),"")</f>
        <v/>
      </c>
      <c r="J400" s="142" t="str">
        <f>IFERROR(VLOOKUP($C400,'NEW MODEL BY SES'!$C$19:$R$242,MATCH('SeS in Retail Sales Areas'!J$7,'NEW MODEL BY SES'!$C$17:$R$17,0),0),"")</f>
        <v/>
      </c>
      <c r="K400" s="140" t="str">
        <f>IFERROR(VLOOKUP($C400,'NEW MODEL BY SES'!$C$19:$R$242,MATCH('SeS in Retail Sales Areas'!K$7,'NEW MODEL BY SES'!$C$17:$R$17,0),0),"")</f>
        <v/>
      </c>
      <c r="L400" s="142" t="str">
        <f>IFERROR(VLOOKUP($C400,'NEW MODEL BY SES'!$C$19:$R$242,MATCH('SeS in Retail Sales Areas'!L$7,'NEW MODEL BY SES'!$C$17:$R$17,0),0),"")</f>
        <v/>
      </c>
      <c r="M400" s="140" t="str">
        <f>IFERROR(VLOOKUP($C400,'NEW MODEL BY SES'!$C$19:$R$242,MATCH('SeS in Retail Sales Areas'!M$7,'NEW MODEL BY SES'!$C$17:$R$17,0),0),"")</f>
        <v/>
      </c>
      <c r="N400" s="142" t="str">
        <f>IFERROR(VLOOKUP($C400,'NEW MODEL BY SES'!$C$19:$R$242,MATCH('SeS in Retail Sales Areas'!N$7,'NEW MODEL BY SES'!$C$17:$R$17,0),0),"")</f>
        <v/>
      </c>
      <c r="O400" s="140" t="str">
        <f>IFERROR(VLOOKUP($C400,'NEW MODEL BY SES'!$C$19:$R$242,MATCH('SeS in Retail Sales Areas'!O$7,'NEW MODEL BY SES'!$C$17:$R$17,0),0),"")</f>
        <v/>
      </c>
      <c r="P400" s="142" t="str">
        <f>IFERROR(VLOOKUP($C400,'NEW MODEL BY SES'!$C$19:$R$242,MATCH('SeS in Retail Sales Areas'!P$7,'NEW MODEL BY SES'!$C$17:$R$17,0),0),"")</f>
        <v/>
      </c>
      <c r="Q400" s="140" t="str">
        <f>IFERROR(VLOOKUP($C400,'NEW MODEL BY SES'!$C$19:$R$242,MATCH('SeS in Retail Sales Areas'!Q$7,'NEW MODEL BY SES'!$C$17:$R$17,0),0),"")</f>
        <v/>
      </c>
      <c r="R400" s="142" t="str">
        <f>IFERROR(VLOOKUP($C400,'NEW MODEL BY SES'!$C$19:$R$242,MATCH('SeS in Retail Sales Areas'!R$7,'NEW MODEL BY SES'!$C$17:$R$17,0),0),"")</f>
        <v/>
      </c>
      <c r="S400" s="141" t="str">
        <f>IFERROR(VLOOKUP($C400,'NEW MODEL BY SES'!$C$19:$R$242,MATCH('SeS in Retail Sales Areas'!S$7,'NEW MODEL BY SES'!$C$17:$R$17,0),0),"")</f>
        <v/>
      </c>
      <c r="T400" s="140" t="str">
        <f>IFERROR(VLOOKUP($C400,'NEW MODEL BY SES'!$C$19:$R$242,MATCH('SeS in Retail Sales Areas'!T$7,'NEW MODEL BY SES'!$C$17:$R$17,0),0),"")</f>
        <v/>
      </c>
      <c r="U400" s="142" t="str">
        <f>IFERROR(VLOOKUP($C400,'NEW MODEL BY SES'!$C$19:$R$242,MATCH('SeS in Retail Sales Areas'!U$7,'NEW MODEL BY SES'!$C$17:$R$17,0),0),"")</f>
        <v/>
      </c>
      <c r="V400" s="140" t="str">
        <f>IFERROR(VLOOKUP($C400,'NEW MODEL BY SES'!$C$19:$R$242,MATCH('SeS in Retail Sales Areas'!V$7,'NEW MODEL BY SES'!$C$17:$R$17,0),0),"")</f>
        <v/>
      </c>
      <c r="W400" s="141" t="str">
        <f>IFERROR(VLOOKUP($C400,'NEW MODEL BY SES'!$C$19:$R$242,MATCH('SeS in Retail Sales Areas'!W$7,'NEW MODEL BY SES'!$C$17:$R$17,0),0),"")</f>
        <v/>
      </c>
      <c r="X400" s="140" t="str">
        <f>IFERROR(VLOOKUP($C400,'NEW MODEL BY SES'!$C$19:$R$242,MATCH('SeS in Retail Sales Areas'!X$7,'NEW MODEL BY SES'!$C$17:$R$17,0),0),"")</f>
        <v/>
      </c>
      <c r="Z400" s="57"/>
    </row>
    <row r="401" spans="1:24">
      <c r="A401" t="s">
        <v>1333</v>
      </c>
      <c r="B401" s="57">
        <v>119</v>
      </c>
      <c r="C401" t="s">
        <v>1343</v>
      </c>
      <c r="D401" t="s">
        <v>40</v>
      </c>
      <c r="E401"/>
      <c r="F401" s="140" t="str">
        <f>IFERROR(VLOOKUP($C401,'NEW MODEL BY SES'!$C$19:$R$242,MATCH('SeS in Retail Sales Areas'!F$7,'NEW MODEL BY SES'!$C$17:$R$17,0),0),"")</f>
        <v/>
      </c>
      <c r="G401" s="140" t="str">
        <f>IFERROR(VLOOKUP($C401,'NEW MODEL BY SES'!$C$19:$R$242,MATCH('SeS in Retail Sales Areas'!G$7,'NEW MODEL BY SES'!$C$17:$R$17,0),0),"")</f>
        <v/>
      </c>
      <c r="H401" s="142" t="str">
        <f>IFERROR(VLOOKUP($C401,'NEW MODEL BY SES'!$C$19:$R$242,MATCH('SeS in Retail Sales Areas'!H$7,'NEW MODEL BY SES'!$C$17:$R$17,0),0),"")</f>
        <v/>
      </c>
      <c r="I401" s="140" t="str">
        <f>IFERROR(VLOOKUP($C401,'NEW MODEL BY SES'!$C$19:$R$242,MATCH('SeS in Retail Sales Areas'!I$7,'NEW MODEL BY SES'!$C$17:$R$17,0),0),"")</f>
        <v/>
      </c>
      <c r="J401" s="142" t="str">
        <f>IFERROR(VLOOKUP($C401,'NEW MODEL BY SES'!$C$19:$R$242,MATCH('SeS in Retail Sales Areas'!J$7,'NEW MODEL BY SES'!$C$17:$R$17,0),0),"")</f>
        <v/>
      </c>
      <c r="K401" s="140" t="str">
        <f>IFERROR(VLOOKUP($C401,'NEW MODEL BY SES'!$C$19:$R$242,MATCH('SeS in Retail Sales Areas'!K$7,'NEW MODEL BY SES'!$C$17:$R$17,0),0),"")</f>
        <v/>
      </c>
      <c r="L401" s="142" t="str">
        <f>IFERROR(VLOOKUP($C401,'NEW MODEL BY SES'!$C$19:$R$242,MATCH('SeS in Retail Sales Areas'!L$7,'NEW MODEL BY SES'!$C$17:$R$17,0),0),"")</f>
        <v/>
      </c>
      <c r="M401" s="140" t="str">
        <f>IFERROR(VLOOKUP($C401,'NEW MODEL BY SES'!$C$19:$R$242,MATCH('SeS in Retail Sales Areas'!M$7,'NEW MODEL BY SES'!$C$17:$R$17,0),0),"")</f>
        <v/>
      </c>
      <c r="N401" s="142" t="str">
        <f>IFERROR(VLOOKUP($C401,'NEW MODEL BY SES'!$C$19:$R$242,MATCH('SeS in Retail Sales Areas'!N$7,'NEW MODEL BY SES'!$C$17:$R$17,0),0),"")</f>
        <v/>
      </c>
      <c r="O401" s="140" t="str">
        <f>IFERROR(VLOOKUP($C401,'NEW MODEL BY SES'!$C$19:$R$242,MATCH('SeS in Retail Sales Areas'!O$7,'NEW MODEL BY SES'!$C$17:$R$17,0),0),"")</f>
        <v/>
      </c>
      <c r="P401" s="142" t="str">
        <f>IFERROR(VLOOKUP($C401,'NEW MODEL BY SES'!$C$19:$R$242,MATCH('SeS in Retail Sales Areas'!P$7,'NEW MODEL BY SES'!$C$17:$R$17,0),0),"")</f>
        <v/>
      </c>
      <c r="Q401" s="140" t="str">
        <f>IFERROR(VLOOKUP($C401,'NEW MODEL BY SES'!$C$19:$R$242,MATCH('SeS in Retail Sales Areas'!Q$7,'NEW MODEL BY SES'!$C$17:$R$17,0),0),"")</f>
        <v/>
      </c>
      <c r="R401" s="142" t="str">
        <f>IFERROR(VLOOKUP($C401,'NEW MODEL BY SES'!$C$19:$R$242,MATCH('SeS in Retail Sales Areas'!R$7,'NEW MODEL BY SES'!$C$17:$R$17,0),0),"")</f>
        <v/>
      </c>
      <c r="S401" s="141" t="str">
        <f>IFERROR(VLOOKUP($C401,'NEW MODEL BY SES'!$C$19:$R$242,MATCH('SeS in Retail Sales Areas'!S$7,'NEW MODEL BY SES'!$C$17:$R$17,0),0),"")</f>
        <v/>
      </c>
      <c r="T401" s="140" t="str">
        <f>IFERROR(VLOOKUP($C401,'NEW MODEL BY SES'!$C$19:$R$242,MATCH('SeS in Retail Sales Areas'!T$7,'NEW MODEL BY SES'!$C$17:$R$17,0),0),"")</f>
        <v/>
      </c>
      <c r="U401" s="142" t="str">
        <f>IFERROR(VLOOKUP($C401,'NEW MODEL BY SES'!$C$19:$R$242,MATCH('SeS in Retail Sales Areas'!U$7,'NEW MODEL BY SES'!$C$17:$R$17,0),0),"")</f>
        <v/>
      </c>
      <c r="V401" s="140" t="str">
        <f>IFERROR(VLOOKUP($C401,'NEW MODEL BY SES'!$C$19:$R$242,MATCH('SeS in Retail Sales Areas'!V$7,'NEW MODEL BY SES'!$C$17:$R$17,0),0),"")</f>
        <v/>
      </c>
      <c r="W401" s="141" t="str">
        <f>IFERROR(VLOOKUP($C401,'NEW MODEL BY SES'!$C$19:$R$242,MATCH('SeS in Retail Sales Areas'!W$7,'NEW MODEL BY SES'!$C$17:$R$17,0),0),"")</f>
        <v/>
      </c>
      <c r="X401" s="140" t="str">
        <f>IFERROR(VLOOKUP($C401,'NEW MODEL BY SES'!$C$19:$R$242,MATCH('SeS in Retail Sales Areas'!X$7,'NEW MODEL BY SES'!$C$17:$R$17,0),0),"")</f>
        <v/>
      </c>
    </row>
    <row r="402" spans="1:24">
      <c r="A402" t="s">
        <v>1333</v>
      </c>
      <c r="B402" s="57">
        <v>113</v>
      </c>
      <c r="C402" t="s">
        <v>1344</v>
      </c>
      <c r="D402" t="s">
        <v>40</v>
      </c>
      <c r="E402"/>
      <c r="F402" s="140" t="str">
        <f>IFERROR(VLOOKUP($C402,'NEW MODEL BY SES'!$C$19:$R$242,MATCH('SeS in Retail Sales Areas'!F$7,'NEW MODEL BY SES'!$C$17:$R$17,0),0),"")</f>
        <v/>
      </c>
      <c r="G402" s="140" t="str">
        <f>IFERROR(VLOOKUP($C402,'NEW MODEL BY SES'!$C$19:$R$242,MATCH('SeS in Retail Sales Areas'!G$7,'NEW MODEL BY SES'!$C$17:$R$17,0),0),"")</f>
        <v/>
      </c>
      <c r="H402" s="142" t="str">
        <f>IFERROR(VLOOKUP($C402,'NEW MODEL BY SES'!$C$19:$R$242,MATCH('SeS in Retail Sales Areas'!H$7,'NEW MODEL BY SES'!$C$17:$R$17,0),0),"")</f>
        <v/>
      </c>
      <c r="I402" s="140" t="str">
        <f>IFERROR(VLOOKUP($C402,'NEW MODEL BY SES'!$C$19:$R$242,MATCH('SeS in Retail Sales Areas'!I$7,'NEW MODEL BY SES'!$C$17:$R$17,0),0),"")</f>
        <v/>
      </c>
      <c r="J402" s="142" t="str">
        <f>IFERROR(VLOOKUP($C402,'NEW MODEL BY SES'!$C$19:$R$242,MATCH('SeS in Retail Sales Areas'!J$7,'NEW MODEL BY SES'!$C$17:$R$17,0),0),"")</f>
        <v/>
      </c>
      <c r="K402" s="140" t="str">
        <f>IFERROR(VLOOKUP($C402,'NEW MODEL BY SES'!$C$19:$R$242,MATCH('SeS in Retail Sales Areas'!K$7,'NEW MODEL BY SES'!$C$17:$R$17,0),0),"")</f>
        <v/>
      </c>
      <c r="L402" s="142" t="str">
        <f>IFERROR(VLOOKUP($C402,'NEW MODEL BY SES'!$C$19:$R$242,MATCH('SeS in Retail Sales Areas'!L$7,'NEW MODEL BY SES'!$C$17:$R$17,0),0),"")</f>
        <v/>
      </c>
      <c r="M402" s="140" t="str">
        <f>IFERROR(VLOOKUP($C402,'NEW MODEL BY SES'!$C$19:$R$242,MATCH('SeS in Retail Sales Areas'!M$7,'NEW MODEL BY SES'!$C$17:$R$17,0),0),"")</f>
        <v/>
      </c>
      <c r="N402" s="142" t="str">
        <f>IFERROR(VLOOKUP($C402,'NEW MODEL BY SES'!$C$19:$R$242,MATCH('SeS in Retail Sales Areas'!N$7,'NEW MODEL BY SES'!$C$17:$R$17,0),0),"")</f>
        <v/>
      </c>
      <c r="O402" s="140" t="str">
        <f>IFERROR(VLOOKUP($C402,'NEW MODEL BY SES'!$C$19:$R$242,MATCH('SeS in Retail Sales Areas'!O$7,'NEW MODEL BY SES'!$C$17:$R$17,0),0),"")</f>
        <v/>
      </c>
      <c r="P402" s="142" t="str">
        <f>IFERROR(VLOOKUP($C402,'NEW MODEL BY SES'!$C$19:$R$242,MATCH('SeS in Retail Sales Areas'!P$7,'NEW MODEL BY SES'!$C$17:$R$17,0),0),"")</f>
        <v/>
      </c>
      <c r="Q402" s="140" t="str">
        <f>IFERROR(VLOOKUP($C402,'NEW MODEL BY SES'!$C$19:$R$242,MATCH('SeS in Retail Sales Areas'!Q$7,'NEW MODEL BY SES'!$C$17:$R$17,0),0),"")</f>
        <v/>
      </c>
      <c r="R402" s="142" t="str">
        <f>IFERROR(VLOOKUP($C402,'NEW MODEL BY SES'!$C$19:$R$242,MATCH('SeS in Retail Sales Areas'!R$7,'NEW MODEL BY SES'!$C$17:$R$17,0),0),"")</f>
        <v/>
      </c>
      <c r="S402" s="141" t="str">
        <f>IFERROR(VLOOKUP($C402,'NEW MODEL BY SES'!$C$19:$R$242,MATCH('SeS in Retail Sales Areas'!S$7,'NEW MODEL BY SES'!$C$17:$R$17,0),0),"")</f>
        <v/>
      </c>
      <c r="T402" s="140" t="str">
        <f>IFERROR(VLOOKUP($C402,'NEW MODEL BY SES'!$C$19:$R$242,MATCH('SeS in Retail Sales Areas'!T$7,'NEW MODEL BY SES'!$C$17:$R$17,0),0),"")</f>
        <v/>
      </c>
      <c r="U402" s="142" t="str">
        <f>IFERROR(VLOOKUP($C402,'NEW MODEL BY SES'!$C$19:$R$242,MATCH('SeS in Retail Sales Areas'!U$7,'NEW MODEL BY SES'!$C$17:$R$17,0),0),"")</f>
        <v/>
      </c>
      <c r="V402" s="140" t="str">
        <f>IFERROR(VLOOKUP($C402,'NEW MODEL BY SES'!$C$19:$R$242,MATCH('SeS in Retail Sales Areas'!V$7,'NEW MODEL BY SES'!$C$17:$R$17,0),0),"")</f>
        <v/>
      </c>
      <c r="W402" s="141" t="str">
        <f>IFERROR(VLOOKUP($C402,'NEW MODEL BY SES'!$C$19:$R$242,MATCH('SeS in Retail Sales Areas'!W$7,'NEW MODEL BY SES'!$C$17:$R$17,0),0),"")</f>
        <v/>
      </c>
      <c r="X402" s="140" t="str">
        <f>IFERROR(VLOOKUP($C402,'NEW MODEL BY SES'!$C$19:$R$242,MATCH('SeS in Retail Sales Areas'!X$7,'NEW MODEL BY SES'!$C$17:$R$17,0),0),"")</f>
        <v/>
      </c>
    </row>
    <row r="403" spans="1:24">
      <c r="A403" t="s">
        <v>1333</v>
      </c>
      <c r="B403" s="57">
        <v>108</v>
      </c>
      <c r="C403" t="s">
        <v>1345</v>
      </c>
      <c r="D403" t="s">
        <v>40</v>
      </c>
      <c r="E403"/>
      <c r="F403" s="140" t="str">
        <f>IFERROR(VLOOKUP($C403,'NEW MODEL BY SES'!$C$19:$R$242,MATCH('SeS in Retail Sales Areas'!F$7,'NEW MODEL BY SES'!$C$17:$R$17,0),0),"")</f>
        <v/>
      </c>
      <c r="G403" s="140" t="str">
        <f>IFERROR(VLOOKUP($C403,'NEW MODEL BY SES'!$C$19:$R$242,MATCH('SeS in Retail Sales Areas'!G$7,'NEW MODEL BY SES'!$C$17:$R$17,0),0),"")</f>
        <v/>
      </c>
      <c r="H403" s="142" t="str">
        <f>IFERROR(VLOOKUP($C403,'NEW MODEL BY SES'!$C$19:$R$242,MATCH('SeS in Retail Sales Areas'!H$7,'NEW MODEL BY SES'!$C$17:$R$17,0),0),"")</f>
        <v/>
      </c>
      <c r="I403" s="140" t="str">
        <f>IFERROR(VLOOKUP($C403,'NEW MODEL BY SES'!$C$19:$R$242,MATCH('SeS in Retail Sales Areas'!I$7,'NEW MODEL BY SES'!$C$17:$R$17,0),0),"")</f>
        <v/>
      </c>
      <c r="J403" s="142" t="str">
        <f>IFERROR(VLOOKUP($C403,'NEW MODEL BY SES'!$C$19:$R$242,MATCH('SeS in Retail Sales Areas'!J$7,'NEW MODEL BY SES'!$C$17:$R$17,0),0),"")</f>
        <v/>
      </c>
      <c r="K403" s="140" t="str">
        <f>IFERROR(VLOOKUP($C403,'NEW MODEL BY SES'!$C$19:$R$242,MATCH('SeS in Retail Sales Areas'!K$7,'NEW MODEL BY SES'!$C$17:$R$17,0),0),"")</f>
        <v/>
      </c>
      <c r="L403" s="142" t="str">
        <f>IFERROR(VLOOKUP($C403,'NEW MODEL BY SES'!$C$19:$R$242,MATCH('SeS in Retail Sales Areas'!L$7,'NEW MODEL BY SES'!$C$17:$R$17,0),0),"")</f>
        <v/>
      </c>
      <c r="M403" s="140" t="str">
        <f>IFERROR(VLOOKUP($C403,'NEW MODEL BY SES'!$C$19:$R$242,MATCH('SeS in Retail Sales Areas'!M$7,'NEW MODEL BY SES'!$C$17:$R$17,0),0),"")</f>
        <v/>
      </c>
      <c r="N403" s="142" t="str">
        <f>IFERROR(VLOOKUP($C403,'NEW MODEL BY SES'!$C$19:$R$242,MATCH('SeS in Retail Sales Areas'!N$7,'NEW MODEL BY SES'!$C$17:$R$17,0),0),"")</f>
        <v/>
      </c>
      <c r="O403" s="140" t="str">
        <f>IFERROR(VLOOKUP($C403,'NEW MODEL BY SES'!$C$19:$R$242,MATCH('SeS in Retail Sales Areas'!O$7,'NEW MODEL BY SES'!$C$17:$R$17,0),0),"")</f>
        <v/>
      </c>
      <c r="P403" s="142" t="str">
        <f>IFERROR(VLOOKUP($C403,'NEW MODEL BY SES'!$C$19:$R$242,MATCH('SeS in Retail Sales Areas'!P$7,'NEW MODEL BY SES'!$C$17:$R$17,0),0),"")</f>
        <v/>
      </c>
      <c r="Q403" s="140" t="str">
        <f>IFERROR(VLOOKUP($C403,'NEW MODEL BY SES'!$C$19:$R$242,MATCH('SeS in Retail Sales Areas'!Q$7,'NEW MODEL BY SES'!$C$17:$R$17,0),0),"")</f>
        <v/>
      </c>
      <c r="R403" s="142" t="str">
        <f>IFERROR(VLOOKUP($C403,'NEW MODEL BY SES'!$C$19:$R$242,MATCH('SeS in Retail Sales Areas'!R$7,'NEW MODEL BY SES'!$C$17:$R$17,0),0),"")</f>
        <v/>
      </c>
      <c r="S403" s="141" t="str">
        <f>IFERROR(VLOOKUP($C403,'NEW MODEL BY SES'!$C$19:$R$242,MATCH('SeS in Retail Sales Areas'!S$7,'NEW MODEL BY SES'!$C$17:$R$17,0),0),"")</f>
        <v/>
      </c>
      <c r="T403" s="140" t="str">
        <f>IFERROR(VLOOKUP($C403,'NEW MODEL BY SES'!$C$19:$R$242,MATCH('SeS in Retail Sales Areas'!T$7,'NEW MODEL BY SES'!$C$17:$R$17,0),0),"")</f>
        <v/>
      </c>
      <c r="U403" s="142" t="str">
        <f>IFERROR(VLOOKUP($C403,'NEW MODEL BY SES'!$C$19:$R$242,MATCH('SeS in Retail Sales Areas'!U$7,'NEW MODEL BY SES'!$C$17:$R$17,0),0),"")</f>
        <v/>
      </c>
      <c r="V403" s="140" t="str">
        <f>IFERROR(VLOOKUP($C403,'NEW MODEL BY SES'!$C$19:$R$242,MATCH('SeS in Retail Sales Areas'!V$7,'NEW MODEL BY SES'!$C$17:$R$17,0),0),"")</f>
        <v/>
      </c>
      <c r="W403" s="141" t="str">
        <f>IFERROR(VLOOKUP($C403,'NEW MODEL BY SES'!$C$19:$R$242,MATCH('SeS in Retail Sales Areas'!W$7,'NEW MODEL BY SES'!$C$17:$R$17,0),0),"")</f>
        <v/>
      </c>
      <c r="X403" s="140" t="str">
        <f>IFERROR(VLOOKUP($C403,'NEW MODEL BY SES'!$C$19:$R$242,MATCH('SeS in Retail Sales Areas'!X$7,'NEW MODEL BY SES'!$C$17:$R$17,0),0),"")</f>
        <v/>
      </c>
    </row>
    <row r="404" spans="1:24">
      <c r="A404" t="s">
        <v>1333</v>
      </c>
      <c r="B404" s="57">
        <v>103</v>
      </c>
      <c r="C404" t="s">
        <v>1346</v>
      </c>
      <c r="D404" t="s">
        <v>40</v>
      </c>
      <c r="E404"/>
      <c r="F404" s="140" t="str">
        <f>IFERROR(VLOOKUP($C404,'NEW MODEL BY SES'!$C$19:$R$242,MATCH('SeS in Retail Sales Areas'!F$7,'NEW MODEL BY SES'!$C$17:$R$17,0),0),"")</f>
        <v/>
      </c>
      <c r="G404" s="140" t="str">
        <f>IFERROR(VLOOKUP($C404,'NEW MODEL BY SES'!$C$19:$R$242,MATCH('SeS in Retail Sales Areas'!G$7,'NEW MODEL BY SES'!$C$17:$R$17,0),0),"")</f>
        <v/>
      </c>
      <c r="H404" s="142" t="str">
        <f>IFERROR(VLOOKUP($C404,'NEW MODEL BY SES'!$C$19:$R$242,MATCH('SeS in Retail Sales Areas'!H$7,'NEW MODEL BY SES'!$C$17:$R$17,0),0),"")</f>
        <v/>
      </c>
      <c r="I404" s="140" t="str">
        <f>IFERROR(VLOOKUP($C404,'NEW MODEL BY SES'!$C$19:$R$242,MATCH('SeS in Retail Sales Areas'!I$7,'NEW MODEL BY SES'!$C$17:$R$17,0),0),"")</f>
        <v/>
      </c>
      <c r="J404" s="142" t="str">
        <f>IFERROR(VLOOKUP($C404,'NEW MODEL BY SES'!$C$19:$R$242,MATCH('SeS in Retail Sales Areas'!J$7,'NEW MODEL BY SES'!$C$17:$R$17,0),0),"")</f>
        <v/>
      </c>
      <c r="K404" s="140" t="str">
        <f>IFERROR(VLOOKUP($C404,'NEW MODEL BY SES'!$C$19:$R$242,MATCH('SeS in Retail Sales Areas'!K$7,'NEW MODEL BY SES'!$C$17:$R$17,0),0),"")</f>
        <v/>
      </c>
      <c r="L404" s="142" t="str">
        <f>IFERROR(VLOOKUP($C404,'NEW MODEL BY SES'!$C$19:$R$242,MATCH('SeS in Retail Sales Areas'!L$7,'NEW MODEL BY SES'!$C$17:$R$17,0),0),"")</f>
        <v/>
      </c>
      <c r="M404" s="140" t="str">
        <f>IFERROR(VLOOKUP($C404,'NEW MODEL BY SES'!$C$19:$R$242,MATCH('SeS in Retail Sales Areas'!M$7,'NEW MODEL BY SES'!$C$17:$R$17,0),0),"")</f>
        <v/>
      </c>
      <c r="N404" s="142" t="str">
        <f>IFERROR(VLOOKUP($C404,'NEW MODEL BY SES'!$C$19:$R$242,MATCH('SeS in Retail Sales Areas'!N$7,'NEW MODEL BY SES'!$C$17:$R$17,0),0),"")</f>
        <v/>
      </c>
      <c r="O404" s="140" t="str">
        <f>IFERROR(VLOOKUP($C404,'NEW MODEL BY SES'!$C$19:$R$242,MATCH('SeS in Retail Sales Areas'!O$7,'NEW MODEL BY SES'!$C$17:$R$17,0),0),"")</f>
        <v/>
      </c>
      <c r="P404" s="142" t="str">
        <f>IFERROR(VLOOKUP($C404,'NEW MODEL BY SES'!$C$19:$R$242,MATCH('SeS in Retail Sales Areas'!P$7,'NEW MODEL BY SES'!$C$17:$R$17,0),0),"")</f>
        <v/>
      </c>
      <c r="Q404" s="140" t="str">
        <f>IFERROR(VLOOKUP($C404,'NEW MODEL BY SES'!$C$19:$R$242,MATCH('SeS in Retail Sales Areas'!Q$7,'NEW MODEL BY SES'!$C$17:$R$17,0),0),"")</f>
        <v/>
      </c>
      <c r="R404" s="142" t="str">
        <f>IFERROR(VLOOKUP($C404,'NEW MODEL BY SES'!$C$19:$R$242,MATCH('SeS in Retail Sales Areas'!R$7,'NEW MODEL BY SES'!$C$17:$R$17,0),0),"")</f>
        <v/>
      </c>
      <c r="S404" s="141" t="str">
        <f>IFERROR(VLOOKUP($C404,'NEW MODEL BY SES'!$C$19:$R$242,MATCH('SeS in Retail Sales Areas'!S$7,'NEW MODEL BY SES'!$C$17:$R$17,0),0),"")</f>
        <v/>
      </c>
      <c r="T404" s="140" t="str">
        <f>IFERROR(VLOOKUP($C404,'NEW MODEL BY SES'!$C$19:$R$242,MATCH('SeS in Retail Sales Areas'!T$7,'NEW MODEL BY SES'!$C$17:$R$17,0),0),"")</f>
        <v/>
      </c>
      <c r="U404" s="142" t="str">
        <f>IFERROR(VLOOKUP($C404,'NEW MODEL BY SES'!$C$19:$R$242,MATCH('SeS in Retail Sales Areas'!U$7,'NEW MODEL BY SES'!$C$17:$R$17,0),0),"")</f>
        <v/>
      </c>
      <c r="V404" s="140" t="str">
        <f>IFERROR(VLOOKUP($C404,'NEW MODEL BY SES'!$C$19:$R$242,MATCH('SeS in Retail Sales Areas'!V$7,'NEW MODEL BY SES'!$C$17:$R$17,0),0),"")</f>
        <v/>
      </c>
      <c r="W404" s="141" t="str">
        <f>IFERROR(VLOOKUP($C404,'NEW MODEL BY SES'!$C$19:$R$242,MATCH('SeS in Retail Sales Areas'!W$7,'NEW MODEL BY SES'!$C$17:$R$17,0),0),"")</f>
        <v/>
      </c>
      <c r="X404" s="140" t="str">
        <f>IFERROR(VLOOKUP($C404,'NEW MODEL BY SES'!$C$19:$R$242,MATCH('SeS in Retail Sales Areas'!X$7,'NEW MODEL BY SES'!$C$17:$R$17,0),0),"")</f>
        <v/>
      </c>
    </row>
    <row r="405" spans="1:24">
      <c r="A405" t="s">
        <v>1333</v>
      </c>
      <c r="B405" s="57">
        <v>103</v>
      </c>
      <c r="C405" t="s">
        <v>1347</v>
      </c>
      <c r="D405" t="s">
        <v>40</v>
      </c>
      <c r="E405"/>
      <c r="F405" s="140" t="str">
        <f>IFERROR(VLOOKUP($C405,'NEW MODEL BY SES'!$C$19:$R$242,MATCH('SeS in Retail Sales Areas'!F$7,'NEW MODEL BY SES'!$C$17:$R$17,0),0),"")</f>
        <v/>
      </c>
      <c r="G405" s="140" t="str">
        <f>IFERROR(VLOOKUP($C405,'NEW MODEL BY SES'!$C$19:$R$242,MATCH('SeS in Retail Sales Areas'!G$7,'NEW MODEL BY SES'!$C$17:$R$17,0),0),"")</f>
        <v/>
      </c>
      <c r="H405" s="142" t="str">
        <f>IFERROR(VLOOKUP($C405,'NEW MODEL BY SES'!$C$19:$R$242,MATCH('SeS in Retail Sales Areas'!H$7,'NEW MODEL BY SES'!$C$17:$R$17,0),0),"")</f>
        <v/>
      </c>
      <c r="I405" s="140" t="str">
        <f>IFERROR(VLOOKUP($C405,'NEW MODEL BY SES'!$C$19:$R$242,MATCH('SeS in Retail Sales Areas'!I$7,'NEW MODEL BY SES'!$C$17:$R$17,0),0),"")</f>
        <v/>
      </c>
      <c r="J405" s="142" t="str">
        <f>IFERROR(VLOOKUP($C405,'NEW MODEL BY SES'!$C$19:$R$242,MATCH('SeS in Retail Sales Areas'!J$7,'NEW MODEL BY SES'!$C$17:$R$17,0),0),"")</f>
        <v/>
      </c>
      <c r="K405" s="140" t="str">
        <f>IFERROR(VLOOKUP($C405,'NEW MODEL BY SES'!$C$19:$R$242,MATCH('SeS in Retail Sales Areas'!K$7,'NEW MODEL BY SES'!$C$17:$R$17,0),0),"")</f>
        <v/>
      </c>
      <c r="L405" s="142" t="str">
        <f>IFERROR(VLOOKUP($C405,'NEW MODEL BY SES'!$C$19:$R$242,MATCH('SeS in Retail Sales Areas'!L$7,'NEW MODEL BY SES'!$C$17:$R$17,0),0),"")</f>
        <v/>
      </c>
      <c r="M405" s="140" t="str">
        <f>IFERROR(VLOOKUP($C405,'NEW MODEL BY SES'!$C$19:$R$242,MATCH('SeS in Retail Sales Areas'!M$7,'NEW MODEL BY SES'!$C$17:$R$17,0),0),"")</f>
        <v/>
      </c>
      <c r="N405" s="142" t="str">
        <f>IFERROR(VLOOKUP($C405,'NEW MODEL BY SES'!$C$19:$R$242,MATCH('SeS in Retail Sales Areas'!N$7,'NEW MODEL BY SES'!$C$17:$R$17,0),0),"")</f>
        <v/>
      </c>
      <c r="O405" s="140" t="str">
        <f>IFERROR(VLOOKUP($C405,'NEW MODEL BY SES'!$C$19:$R$242,MATCH('SeS in Retail Sales Areas'!O$7,'NEW MODEL BY SES'!$C$17:$R$17,0),0),"")</f>
        <v/>
      </c>
      <c r="P405" s="142" t="str">
        <f>IFERROR(VLOOKUP($C405,'NEW MODEL BY SES'!$C$19:$R$242,MATCH('SeS in Retail Sales Areas'!P$7,'NEW MODEL BY SES'!$C$17:$R$17,0),0),"")</f>
        <v/>
      </c>
      <c r="Q405" s="140" t="str">
        <f>IFERROR(VLOOKUP($C405,'NEW MODEL BY SES'!$C$19:$R$242,MATCH('SeS in Retail Sales Areas'!Q$7,'NEW MODEL BY SES'!$C$17:$R$17,0),0),"")</f>
        <v/>
      </c>
      <c r="R405" s="142" t="str">
        <f>IFERROR(VLOOKUP($C405,'NEW MODEL BY SES'!$C$19:$R$242,MATCH('SeS in Retail Sales Areas'!R$7,'NEW MODEL BY SES'!$C$17:$R$17,0),0),"")</f>
        <v/>
      </c>
      <c r="S405" s="141" t="str">
        <f>IFERROR(VLOOKUP($C405,'NEW MODEL BY SES'!$C$19:$R$242,MATCH('SeS in Retail Sales Areas'!S$7,'NEW MODEL BY SES'!$C$17:$R$17,0),0),"")</f>
        <v/>
      </c>
      <c r="T405" s="140" t="str">
        <f>IFERROR(VLOOKUP($C405,'NEW MODEL BY SES'!$C$19:$R$242,MATCH('SeS in Retail Sales Areas'!T$7,'NEW MODEL BY SES'!$C$17:$R$17,0),0),"")</f>
        <v/>
      </c>
      <c r="U405" s="142" t="str">
        <f>IFERROR(VLOOKUP($C405,'NEW MODEL BY SES'!$C$19:$R$242,MATCH('SeS in Retail Sales Areas'!U$7,'NEW MODEL BY SES'!$C$17:$R$17,0),0),"")</f>
        <v/>
      </c>
      <c r="V405" s="140" t="str">
        <f>IFERROR(VLOOKUP($C405,'NEW MODEL BY SES'!$C$19:$R$242,MATCH('SeS in Retail Sales Areas'!V$7,'NEW MODEL BY SES'!$C$17:$R$17,0),0),"")</f>
        <v/>
      </c>
      <c r="W405" s="141" t="str">
        <f>IFERROR(VLOOKUP($C405,'NEW MODEL BY SES'!$C$19:$R$242,MATCH('SeS in Retail Sales Areas'!W$7,'NEW MODEL BY SES'!$C$17:$R$17,0),0),"")</f>
        <v/>
      </c>
      <c r="X405" s="140" t="str">
        <f>IFERROR(VLOOKUP($C405,'NEW MODEL BY SES'!$C$19:$R$242,MATCH('SeS in Retail Sales Areas'!X$7,'NEW MODEL BY SES'!$C$17:$R$17,0),0),"")</f>
        <v/>
      </c>
    </row>
    <row r="406" spans="1:24">
      <c r="A406" t="s">
        <v>1333</v>
      </c>
      <c r="B406" s="57">
        <v>102</v>
      </c>
      <c r="C406" t="s">
        <v>1348</v>
      </c>
      <c r="D406" t="s">
        <v>40</v>
      </c>
      <c r="E406"/>
      <c r="F406" s="140" t="str">
        <f>IFERROR(VLOOKUP($C406,'NEW MODEL BY SES'!$C$19:$R$242,MATCH('SeS in Retail Sales Areas'!F$7,'NEW MODEL BY SES'!$C$17:$R$17,0),0),"")</f>
        <v/>
      </c>
      <c r="G406" s="140" t="str">
        <f>IFERROR(VLOOKUP($C406,'NEW MODEL BY SES'!$C$19:$R$242,MATCH('SeS in Retail Sales Areas'!G$7,'NEW MODEL BY SES'!$C$17:$R$17,0),0),"")</f>
        <v/>
      </c>
      <c r="H406" s="142" t="str">
        <f>IFERROR(VLOOKUP($C406,'NEW MODEL BY SES'!$C$19:$R$242,MATCH('SeS in Retail Sales Areas'!H$7,'NEW MODEL BY SES'!$C$17:$R$17,0),0),"")</f>
        <v/>
      </c>
      <c r="I406" s="140" t="str">
        <f>IFERROR(VLOOKUP($C406,'NEW MODEL BY SES'!$C$19:$R$242,MATCH('SeS in Retail Sales Areas'!I$7,'NEW MODEL BY SES'!$C$17:$R$17,0),0),"")</f>
        <v/>
      </c>
      <c r="J406" s="142" t="str">
        <f>IFERROR(VLOOKUP($C406,'NEW MODEL BY SES'!$C$19:$R$242,MATCH('SeS in Retail Sales Areas'!J$7,'NEW MODEL BY SES'!$C$17:$R$17,0),0),"")</f>
        <v/>
      </c>
      <c r="K406" s="140" t="str">
        <f>IFERROR(VLOOKUP($C406,'NEW MODEL BY SES'!$C$19:$R$242,MATCH('SeS in Retail Sales Areas'!K$7,'NEW MODEL BY SES'!$C$17:$R$17,0),0),"")</f>
        <v/>
      </c>
      <c r="L406" s="142" t="str">
        <f>IFERROR(VLOOKUP($C406,'NEW MODEL BY SES'!$C$19:$R$242,MATCH('SeS in Retail Sales Areas'!L$7,'NEW MODEL BY SES'!$C$17:$R$17,0),0),"")</f>
        <v/>
      </c>
      <c r="M406" s="140" t="str">
        <f>IFERROR(VLOOKUP($C406,'NEW MODEL BY SES'!$C$19:$R$242,MATCH('SeS in Retail Sales Areas'!M$7,'NEW MODEL BY SES'!$C$17:$R$17,0),0),"")</f>
        <v/>
      </c>
      <c r="N406" s="142" t="str">
        <f>IFERROR(VLOOKUP($C406,'NEW MODEL BY SES'!$C$19:$R$242,MATCH('SeS in Retail Sales Areas'!N$7,'NEW MODEL BY SES'!$C$17:$R$17,0),0),"")</f>
        <v/>
      </c>
      <c r="O406" s="140" t="str">
        <f>IFERROR(VLOOKUP($C406,'NEW MODEL BY SES'!$C$19:$R$242,MATCH('SeS in Retail Sales Areas'!O$7,'NEW MODEL BY SES'!$C$17:$R$17,0),0),"")</f>
        <v/>
      </c>
      <c r="P406" s="142" t="str">
        <f>IFERROR(VLOOKUP($C406,'NEW MODEL BY SES'!$C$19:$R$242,MATCH('SeS in Retail Sales Areas'!P$7,'NEW MODEL BY SES'!$C$17:$R$17,0),0),"")</f>
        <v/>
      </c>
      <c r="Q406" s="140" t="str">
        <f>IFERROR(VLOOKUP($C406,'NEW MODEL BY SES'!$C$19:$R$242,MATCH('SeS in Retail Sales Areas'!Q$7,'NEW MODEL BY SES'!$C$17:$R$17,0),0),"")</f>
        <v/>
      </c>
      <c r="R406" s="142" t="str">
        <f>IFERROR(VLOOKUP($C406,'NEW MODEL BY SES'!$C$19:$R$242,MATCH('SeS in Retail Sales Areas'!R$7,'NEW MODEL BY SES'!$C$17:$R$17,0),0),"")</f>
        <v/>
      </c>
      <c r="S406" s="141" t="str">
        <f>IFERROR(VLOOKUP($C406,'NEW MODEL BY SES'!$C$19:$R$242,MATCH('SeS in Retail Sales Areas'!S$7,'NEW MODEL BY SES'!$C$17:$R$17,0),0),"")</f>
        <v/>
      </c>
      <c r="T406" s="140" t="str">
        <f>IFERROR(VLOOKUP($C406,'NEW MODEL BY SES'!$C$19:$R$242,MATCH('SeS in Retail Sales Areas'!T$7,'NEW MODEL BY SES'!$C$17:$R$17,0),0),"")</f>
        <v/>
      </c>
      <c r="U406" s="142" t="str">
        <f>IFERROR(VLOOKUP($C406,'NEW MODEL BY SES'!$C$19:$R$242,MATCH('SeS in Retail Sales Areas'!U$7,'NEW MODEL BY SES'!$C$17:$R$17,0),0),"")</f>
        <v/>
      </c>
      <c r="V406" s="140" t="str">
        <f>IFERROR(VLOOKUP($C406,'NEW MODEL BY SES'!$C$19:$R$242,MATCH('SeS in Retail Sales Areas'!V$7,'NEW MODEL BY SES'!$C$17:$R$17,0),0),"")</f>
        <v/>
      </c>
      <c r="W406" s="141" t="str">
        <f>IFERROR(VLOOKUP($C406,'NEW MODEL BY SES'!$C$19:$R$242,MATCH('SeS in Retail Sales Areas'!W$7,'NEW MODEL BY SES'!$C$17:$R$17,0),0),"")</f>
        <v/>
      </c>
      <c r="X406" s="140" t="str">
        <f>IFERROR(VLOOKUP($C406,'NEW MODEL BY SES'!$C$19:$R$242,MATCH('SeS in Retail Sales Areas'!X$7,'NEW MODEL BY SES'!$C$17:$R$17,0),0),"")</f>
        <v/>
      </c>
    </row>
    <row r="407" spans="1:24">
      <c r="A407" t="s">
        <v>1333</v>
      </c>
      <c r="B407" s="57">
        <v>102</v>
      </c>
      <c r="C407" t="s">
        <v>1349</v>
      </c>
      <c r="D407" t="s">
        <v>40</v>
      </c>
      <c r="F407" s="140" t="str">
        <f>IFERROR(VLOOKUP($C407,'NEW MODEL BY SES'!$C$19:$R$242,MATCH('SeS in Retail Sales Areas'!F$7,'NEW MODEL BY SES'!$C$17:$R$17,0),0),"")</f>
        <v/>
      </c>
      <c r="G407" s="140" t="str">
        <f>IFERROR(VLOOKUP($C407,'NEW MODEL BY SES'!$C$19:$R$242,MATCH('SeS in Retail Sales Areas'!G$7,'NEW MODEL BY SES'!$C$17:$R$17,0),0),"")</f>
        <v/>
      </c>
      <c r="H407" s="142" t="str">
        <f>IFERROR(VLOOKUP($C407,'NEW MODEL BY SES'!$C$19:$R$242,MATCH('SeS in Retail Sales Areas'!H$7,'NEW MODEL BY SES'!$C$17:$R$17,0),0),"")</f>
        <v/>
      </c>
      <c r="I407" s="140" t="str">
        <f>IFERROR(VLOOKUP($C407,'NEW MODEL BY SES'!$C$19:$R$242,MATCH('SeS in Retail Sales Areas'!I$7,'NEW MODEL BY SES'!$C$17:$R$17,0),0),"")</f>
        <v/>
      </c>
      <c r="J407" s="142" t="str">
        <f>IFERROR(VLOOKUP($C407,'NEW MODEL BY SES'!$C$19:$R$242,MATCH('SeS in Retail Sales Areas'!J$7,'NEW MODEL BY SES'!$C$17:$R$17,0),0),"")</f>
        <v/>
      </c>
      <c r="K407" s="140" t="str">
        <f>IFERROR(VLOOKUP($C407,'NEW MODEL BY SES'!$C$19:$R$242,MATCH('SeS in Retail Sales Areas'!K$7,'NEW MODEL BY SES'!$C$17:$R$17,0),0),"")</f>
        <v/>
      </c>
      <c r="L407" s="142" t="str">
        <f>IFERROR(VLOOKUP($C407,'NEW MODEL BY SES'!$C$19:$R$242,MATCH('SeS in Retail Sales Areas'!L$7,'NEW MODEL BY SES'!$C$17:$R$17,0),0),"")</f>
        <v/>
      </c>
      <c r="M407" s="140" t="str">
        <f>IFERROR(VLOOKUP($C407,'NEW MODEL BY SES'!$C$19:$R$242,MATCH('SeS in Retail Sales Areas'!M$7,'NEW MODEL BY SES'!$C$17:$R$17,0),0),"")</f>
        <v/>
      </c>
      <c r="N407" s="142" t="str">
        <f>IFERROR(VLOOKUP($C407,'NEW MODEL BY SES'!$C$19:$R$242,MATCH('SeS in Retail Sales Areas'!N$7,'NEW MODEL BY SES'!$C$17:$R$17,0),0),"")</f>
        <v/>
      </c>
      <c r="O407" s="140" t="str">
        <f>IFERROR(VLOOKUP($C407,'NEW MODEL BY SES'!$C$19:$R$242,MATCH('SeS in Retail Sales Areas'!O$7,'NEW MODEL BY SES'!$C$17:$R$17,0),0),"")</f>
        <v/>
      </c>
      <c r="P407" s="142" t="str">
        <f>IFERROR(VLOOKUP($C407,'NEW MODEL BY SES'!$C$19:$R$242,MATCH('SeS in Retail Sales Areas'!P$7,'NEW MODEL BY SES'!$C$17:$R$17,0),0),"")</f>
        <v/>
      </c>
      <c r="Q407" s="140" t="str">
        <f>IFERROR(VLOOKUP($C407,'NEW MODEL BY SES'!$C$19:$R$242,MATCH('SeS in Retail Sales Areas'!Q$7,'NEW MODEL BY SES'!$C$17:$R$17,0),0),"")</f>
        <v/>
      </c>
      <c r="R407" s="142" t="str">
        <f>IFERROR(VLOOKUP($C407,'NEW MODEL BY SES'!$C$19:$R$242,MATCH('SeS in Retail Sales Areas'!R$7,'NEW MODEL BY SES'!$C$17:$R$17,0),0),"")</f>
        <v/>
      </c>
      <c r="S407" s="141" t="str">
        <f>IFERROR(VLOOKUP($C407,'NEW MODEL BY SES'!$C$19:$R$242,MATCH('SeS in Retail Sales Areas'!S$7,'NEW MODEL BY SES'!$C$17:$R$17,0),0),"")</f>
        <v/>
      </c>
      <c r="T407" s="140" t="str">
        <f>IFERROR(VLOOKUP($C407,'NEW MODEL BY SES'!$C$19:$R$242,MATCH('SeS in Retail Sales Areas'!T$7,'NEW MODEL BY SES'!$C$17:$R$17,0),0),"")</f>
        <v/>
      </c>
      <c r="U407" s="142" t="str">
        <f>IFERROR(VLOOKUP($C407,'NEW MODEL BY SES'!$C$19:$R$242,MATCH('SeS in Retail Sales Areas'!U$7,'NEW MODEL BY SES'!$C$17:$R$17,0),0),"")</f>
        <v/>
      </c>
      <c r="V407" s="140" t="str">
        <f>IFERROR(VLOOKUP($C407,'NEW MODEL BY SES'!$C$19:$R$242,MATCH('SeS in Retail Sales Areas'!V$7,'NEW MODEL BY SES'!$C$17:$R$17,0),0),"")</f>
        <v/>
      </c>
      <c r="W407" s="141" t="str">
        <f>IFERROR(VLOOKUP($C407,'NEW MODEL BY SES'!$C$19:$R$242,MATCH('SeS in Retail Sales Areas'!W$7,'NEW MODEL BY SES'!$C$17:$R$17,0),0),"")</f>
        <v/>
      </c>
      <c r="X407" s="140" t="str">
        <f>IFERROR(VLOOKUP($C407,'NEW MODEL BY SES'!$C$19:$R$242,MATCH('SeS in Retail Sales Areas'!X$7,'NEW MODEL BY SES'!$C$17:$R$17,0),0),"")</f>
        <v/>
      </c>
    </row>
    <row r="408" spans="1:24">
      <c r="A408" t="s">
        <v>1333</v>
      </c>
      <c r="B408" s="57">
        <v>94</v>
      </c>
      <c r="C408" t="s">
        <v>1350</v>
      </c>
      <c r="D408" t="s">
        <v>40</v>
      </c>
      <c r="F408" s="140" t="str">
        <f>IFERROR(VLOOKUP($C408,'NEW MODEL BY SES'!$C$19:$R$242,MATCH('SeS in Retail Sales Areas'!F$7,'NEW MODEL BY SES'!$C$17:$R$17,0),0),"")</f>
        <v/>
      </c>
      <c r="G408" s="140" t="str">
        <f>IFERROR(VLOOKUP($C408,'NEW MODEL BY SES'!$C$19:$R$242,MATCH('SeS in Retail Sales Areas'!G$7,'NEW MODEL BY SES'!$C$17:$R$17,0),0),"")</f>
        <v/>
      </c>
      <c r="H408" s="142" t="str">
        <f>IFERROR(VLOOKUP($C408,'NEW MODEL BY SES'!$C$19:$R$242,MATCH('SeS in Retail Sales Areas'!H$7,'NEW MODEL BY SES'!$C$17:$R$17,0),0),"")</f>
        <v/>
      </c>
      <c r="I408" s="140" t="str">
        <f>IFERROR(VLOOKUP($C408,'NEW MODEL BY SES'!$C$19:$R$242,MATCH('SeS in Retail Sales Areas'!I$7,'NEW MODEL BY SES'!$C$17:$R$17,0),0),"")</f>
        <v/>
      </c>
      <c r="J408" s="142" t="str">
        <f>IFERROR(VLOOKUP($C408,'NEW MODEL BY SES'!$C$19:$R$242,MATCH('SeS in Retail Sales Areas'!J$7,'NEW MODEL BY SES'!$C$17:$R$17,0),0),"")</f>
        <v/>
      </c>
      <c r="K408" s="140" t="str">
        <f>IFERROR(VLOOKUP($C408,'NEW MODEL BY SES'!$C$19:$R$242,MATCH('SeS in Retail Sales Areas'!K$7,'NEW MODEL BY SES'!$C$17:$R$17,0),0),"")</f>
        <v/>
      </c>
      <c r="L408" s="142" t="str">
        <f>IFERROR(VLOOKUP($C408,'NEW MODEL BY SES'!$C$19:$R$242,MATCH('SeS in Retail Sales Areas'!L$7,'NEW MODEL BY SES'!$C$17:$R$17,0),0),"")</f>
        <v/>
      </c>
      <c r="M408" s="140" t="str">
        <f>IFERROR(VLOOKUP($C408,'NEW MODEL BY SES'!$C$19:$R$242,MATCH('SeS in Retail Sales Areas'!M$7,'NEW MODEL BY SES'!$C$17:$R$17,0),0),"")</f>
        <v/>
      </c>
      <c r="N408" s="142" t="str">
        <f>IFERROR(VLOOKUP($C408,'NEW MODEL BY SES'!$C$19:$R$242,MATCH('SeS in Retail Sales Areas'!N$7,'NEW MODEL BY SES'!$C$17:$R$17,0),0),"")</f>
        <v/>
      </c>
      <c r="O408" s="140" t="str">
        <f>IFERROR(VLOOKUP($C408,'NEW MODEL BY SES'!$C$19:$R$242,MATCH('SeS in Retail Sales Areas'!O$7,'NEW MODEL BY SES'!$C$17:$R$17,0),0),"")</f>
        <v/>
      </c>
      <c r="P408" s="142" t="str">
        <f>IFERROR(VLOOKUP($C408,'NEW MODEL BY SES'!$C$19:$R$242,MATCH('SeS in Retail Sales Areas'!P$7,'NEW MODEL BY SES'!$C$17:$R$17,0),0),"")</f>
        <v/>
      </c>
      <c r="Q408" s="140" t="str">
        <f>IFERROR(VLOOKUP($C408,'NEW MODEL BY SES'!$C$19:$R$242,MATCH('SeS in Retail Sales Areas'!Q$7,'NEW MODEL BY SES'!$C$17:$R$17,0),0),"")</f>
        <v/>
      </c>
      <c r="R408" s="142" t="str">
        <f>IFERROR(VLOOKUP($C408,'NEW MODEL BY SES'!$C$19:$R$242,MATCH('SeS in Retail Sales Areas'!R$7,'NEW MODEL BY SES'!$C$17:$R$17,0),0),"")</f>
        <v/>
      </c>
      <c r="S408" s="141" t="str">
        <f>IFERROR(VLOOKUP($C408,'NEW MODEL BY SES'!$C$19:$R$242,MATCH('SeS in Retail Sales Areas'!S$7,'NEW MODEL BY SES'!$C$17:$R$17,0),0),"")</f>
        <v/>
      </c>
      <c r="T408" s="140" t="str">
        <f>IFERROR(VLOOKUP($C408,'NEW MODEL BY SES'!$C$19:$R$242,MATCH('SeS in Retail Sales Areas'!T$7,'NEW MODEL BY SES'!$C$17:$R$17,0),0),"")</f>
        <v/>
      </c>
      <c r="U408" s="142" t="str">
        <f>IFERROR(VLOOKUP($C408,'NEW MODEL BY SES'!$C$19:$R$242,MATCH('SeS in Retail Sales Areas'!U$7,'NEW MODEL BY SES'!$C$17:$R$17,0),0),"")</f>
        <v/>
      </c>
      <c r="V408" s="140" t="str">
        <f>IFERROR(VLOOKUP($C408,'NEW MODEL BY SES'!$C$19:$R$242,MATCH('SeS in Retail Sales Areas'!V$7,'NEW MODEL BY SES'!$C$17:$R$17,0),0),"")</f>
        <v/>
      </c>
      <c r="W408" s="141" t="str">
        <f>IFERROR(VLOOKUP($C408,'NEW MODEL BY SES'!$C$19:$R$242,MATCH('SeS in Retail Sales Areas'!W$7,'NEW MODEL BY SES'!$C$17:$R$17,0),0),"")</f>
        <v/>
      </c>
      <c r="X408" s="140" t="str">
        <f>IFERROR(VLOOKUP($C408,'NEW MODEL BY SES'!$C$19:$R$242,MATCH('SeS in Retail Sales Areas'!X$7,'NEW MODEL BY SES'!$C$17:$R$17,0),0),"")</f>
        <v/>
      </c>
    </row>
    <row r="409" spans="1:24">
      <c r="A409" t="s">
        <v>1333</v>
      </c>
      <c r="B409" s="57">
        <v>93</v>
      </c>
      <c r="C409" t="s">
        <v>1351</v>
      </c>
      <c r="D409" t="s">
        <v>40</v>
      </c>
      <c r="F409" s="140" t="str">
        <f>IFERROR(VLOOKUP($C409,'NEW MODEL BY SES'!$C$19:$R$242,MATCH('SeS in Retail Sales Areas'!F$7,'NEW MODEL BY SES'!$C$17:$R$17,0),0),"")</f>
        <v/>
      </c>
      <c r="G409" s="140" t="str">
        <f>IFERROR(VLOOKUP($C409,'NEW MODEL BY SES'!$C$19:$R$242,MATCH('SeS in Retail Sales Areas'!G$7,'NEW MODEL BY SES'!$C$17:$R$17,0),0),"")</f>
        <v/>
      </c>
      <c r="H409" s="142" t="str">
        <f>IFERROR(VLOOKUP($C409,'NEW MODEL BY SES'!$C$19:$R$242,MATCH('SeS in Retail Sales Areas'!H$7,'NEW MODEL BY SES'!$C$17:$R$17,0),0),"")</f>
        <v/>
      </c>
      <c r="I409" s="140" t="str">
        <f>IFERROR(VLOOKUP($C409,'NEW MODEL BY SES'!$C$19:$R$242,MATCH('SeS in Retail Sales Areas'!I$7,'NEW MODEL BY SES'!$C$17:$R$17,0),0),"")</f>
        <v/>
      </c>
      <c r="J409" s="142" t="str">
        <f>IFERROR(VLOOKUP($C409,'NEW MODEL BY SES'!$C$19:$R$242,MATCH('SeS in Retail Sales Areas'!J$7,'NEW MODEL BY SES'!$C$17:$R$17,0),0),"")</f>
        <v/>
      </c>
      <c r="K409" s="140" t="str">
        <f>IFERROR(VLOOKUP($C409,'NEW MODEL BY SES'!$C$19:$R$242,MATCH('SeS in Retail Sales Areas'!K$7,'NEW MODEL BY SES'!$C$17:$R$17,0),0),"")</f>
        <v/>
      </c>
      <c r="L409" s="142" t="str">
        <f>IFERROR(VLOOKUP($C409,'NEW MODEL BY SES'!$C$19:$R$242,MATCH('SeS in Retail Sales Areas'!L$7,'NEW MODEL BY SES'!$C$17:$R$17,0),0),"")</f>
        <v/>
      </c>
      <c r="M409" s="140" t="str">
        <f>IFERROR(VLOOKUP($C409,'NEW MODEL BY SES'!$C$19:$R$242,MATCH('SeS in Retail Sales Areas'!M$7,'NEW MODEL BY SES'!$C$17:$R$17,0),0),"")</f>
        <v/>
      </c>
      <c r="N409" s="142" t="str">
        <f>IFERROR(VLOOKUP($C409,'NEW MODEL BY SES'!$C$19:$R$242,MATCH('SeS in Retail Sales Areas'!N$7,'NEW MODEL BY SES'!$C$17:$R$17,0),0),"")</f>
        <v/>
      </c>
      <c r="O409" s="140" t="str">
        <f>IFERROR(VLOOKUP($C409,'NEW MODEL BY SES'!$C$19:$R$242,MATCH('SeS in Retail Sales Areas'!O$7,'NEW MODEL BY SES'!$C$17:$R$17,0),0),"")</f>
        <v/>
      </c>
      <c r="P409" s="142" t="str">
        <f>IFERROR(VLOOKUP($C409,'NEW MODEL BY SES'!$C$19:$R$242,MATCH('SeS in Retail Sales Areas'!P$7,'NEW MODEL BY SES'!$C$17:$R$17,0),0),"")</f>
        <v/>
      </c>
      <c r="Q409" s="140" t="str">
        <f>IFERROR(VLOOKUP($C409,'NEW MODEL BY SES'!$C$19:$R$242,MATCH('SeS in Retail Sales Areas'!Q$7,'NEW MODEL BY SES'!$C$17:$R$17,0),0),"")</f>
        <v/>
      </c>
      <c r="R409" s="142" t="str">
        <f>IFERROR(VLOOKUP($C409,'NEW MODEL BY SES'!$C$19:$R$242,MATCH('SeS in Retail Sales Areas'!R$7,'NEW MODEL BY SES'!$C$17:$R$17,0),0),"")</f>
        <v/>
      </c>
      <c r="S409" s="141" t="str">
        <f>IFERROR(VLOOKUP($C409,'NEW MODEL BY SES'!$C$19:$R$242,MATCH('SeS in Retail Sales Areas'!S$7,'NEW MODEL BY SES'!$C$17:$R$17,0),0),"")</f>
        <v/>
      </c>
      <c r="T409" s="140" t="str">
        <f>IFERROR(VLOOKUP($C409,'NEW MODEL BY SES'!$C$19:$R$242,MATCH('SeS in Retail Sales Areas'!T$7,'NEW MODEL BY SES'!$C$17:$R$17,0),0),"")</f>
        <v/>
      </c>
      <c r="U409" s="142" t="str">
        <f>IFERROR(VLOOKUP($C409,'NEW MODEL BY SES'!$C$19:$R$242,MATCH('SeS in Retail Sales Areas'!U$7,'NEW MODEL BY SES'!$C$17:$R$17,0),0),"")</f>
        <v/>
      </c>
      <c r="V409" s="140" t="str">
        <f>IFERROR(VLOOKUP($C409,'NEW MODEL BY SES'!$C$19:$R$242,MATCH('SeS in Retail Sales Areas'!V$7,'NEW MODEL BY SES'!$C$17:$R$17,0),0),"")</f>
        <v/>
      </c>
      <c r="W409" s="141" t="str">
        <f>IFERROR(VLOOKUP($C409,'NEW MODEL BY SES'!$C$19:$R$242,MATCH('SeS in Retail Sales Areas'!W$7,'NEW MODEL BY SES'!$C$17:$R$17,0),0),"")</f>
        <v/>
      </c>
      <c r="X409" s="140" t="str">
        <f>IFERROR(VLOOKUP($C409,'NEW MODEL BY SES'!$C$19:$R$242,MATCH('SeS in Retail Sales Areas'!X$7,'NEW MODEL BY SES'!$C$17:$R$17,0),0),"")</f>
        <v/>
      </c>
    </row>
    <row r="410" spans="1:24">
      <c r="A410" t="s">
        <v>1333</v>
      </c>
      <c r="B410" s="57">
        <v>93</v>
      </c>
      <c r="C410" t="s">
        <v>1352</v>
      </c>
      <c r="D410" t="s">
        <v>40</v>
      </c>
      <c r="F410" s="140" t="str">
        <f>IFERROR(VLOOKUP($C410,'NEW MODEL BY SES'!$C$19:$R$242,MATCH('SeS in Retail Sales Areas'!F$7,'NEW MODEL BY SES'!$C$17:$R$17,0),0),"")</f>
        <v/>
      </c>
      <c r="G410" s="140" t="str">
        <f>IFERROR(VLOOKUP($C410,'NEW MODEL BY SES'!$C$19:$R$242,MATCH('SeS in Retail Sales Areas'!G$7,'NEW MODEL BY SES'!$C$17:$R$17,0),0),"")</f>
        <v/>
      </c>
      <c r="H410" s="142" t="str">
        <f>IFERROR(VLOOKUP($C410,'NEW MODEL BY SES'!$C$19:$R$242,MATCH('SeS in Retail Sales Areas'!H$7,'NEW MODEL BY SES'!$C$17:$R$17,0),0),"")</f>
        <v/>
      </c>
      <c r="I410" s="140" t="str">
        <f>IFERROR(VLOOKUP($C410,'NEW MODEL BY SES'!$C$19:$R$242,MATCH('SeS in Retail Sales Areas'!I$7,'NEW MODEL BY SES'!$C$17:$R$17,0),0),"")</f>
        <v/>
      </c>
      <c r="J410" s="142" t="str">
        <f>IFERROR(VLOOKUP($C410,'NEW MODEL BY SES'!$C$19:$R$242,MATCH('SeS in Retail Sales Areas'!J$7,'NEW MODEL BY SES'!$C$17:$R$17,0),0),"")</f>
        <v/>
      </c>
      <c r="K410" s="140" t="str">
        <f>IFERROR(VLOOKUP($C410,'NEW MODEL BY SES'!$C$19:$R$242,MATCH('SeS in Retail Sales Areas'!K$7,'NEW MODEL BY SES'!$C$17:$R$17,0),0),"")</f>
        <v/>
      </c>
      <c r="L410" s="142" t="str">
        <f>IFERROR(VLOOKUP($C410,'NEW MODEL BY SES'!$C$19:$R$242,MATCH('SeS in Retail Sales Areas'!L$7,'NEW MODEL BY SES'!$C$17:$R$17,0),0),"")</f>
        <v/>
      </c>
      <c r="M410" s="140" t="str">
        <f>IFERROR(VLOOKUP($C410,'NEW MODEL BY SES'!$C$19:$R$242,MATCH('SeS in Retail Sales Areas'!M$7,'NEW MODEL BY SES'!$C$17:$R$17,0),0),"")</f>
        <v/>
      </c>
      <c r="N410" s="142" t="str">
        <f>IFERROR(VLOOKUP($C410,'NEW MODEL BY SES'!$C$19:$R$242,MATCH('SeS in Retail Sales Areas'!N$7,'NEW MODEL BY SES'!$C$17:$R$17,0),0),"")</f>
        <v/>
      </c>
      <c r="O410" s="140" t="str">
        <f>IFERROR(VLOOKUP($C410,'NEW MODEL BY SES'!$C$19:$R$242,MATCH('SeS in Retail Sales Areas'!O$7,'NEW MODEL BY SES'!$C$17:$R$17,0),0),"")</f>
        <v/>
      </c>
      <c r="P410" s="142" t="str">
        <f>IFERROR(VLOOKUP($C410,'NEW MODEL BY SES'!$C$19:$R$242,MATCH('SeS in Retail Sales Areas'!P$7,'NEW MODEL BY SES'!$C$17:$R$17,0),0),"")</f>
        <v/>
      </c>
      <c r="Q410" s="140" t="str">
        <f>IFERROR(VLOOKUP($C410,'NEW MODEL BY SES'!$C$19:$R$242,MATCH('SeS in Retail Sales Areas'!Q$7,'NEW MODEL BY SES'!$C$17:$R$17,0),0),"")</f>
        <v/>
      </c>
      <c r="R410" s="142" t="str">
        <f>IFERROR(VLOOKUP($C410,'NEW MODEL BY SES'!$C$19:$R$242,MATCH('SeS in Retail Sales Areas'!R$7,'NEW MODEL BY SES'!$C$17:$R$17,0),0),"")</f>
        <v/>
      </c>
      <c r="S410" s="141" t="str">
        <f>IFERROR(VLOOKUP($C410,'NEW MODEL BY SES'!$C$19:$R$242,MATCH('SeS in Retail Sales Areas'!S$7,'NEW MODEL BY SES'!$C$17:$R$17,0),0),"")</f>
        <v/>
      </c>
      <c r="T410" s="140" t="str">
        <f>IFERROR(VLOOKUP($C410,'NEW MODEL BY SES'!$C$19:$R$242,MATCH('SeS in Retail Sales Areas'!T$7,'NEW MODEL BY SES'!$C$17:$R$17,0),0),"")</f>
        <v/>
      </c>
      <c r="U410" s="142" t="str">
        <f>IFERROR(VLOOKUP($C410,'NEW MODEL BY SES'!$C$19:$R$242,MATCH('SeS in Retail Sales Areas'!U$7,'NEW MODEL BY SES'!$C$17:$R$17,0),0),"")</f>
        <v/>
      </c>
      <c r="V410" s="140" t="str">
        <f>IFERROR(VLOOKUP($C410,'NEW MODEL BY SES'!$C$19:$R$242,MATCH('SeS in Retail Sales Areas'!V$7,'NEW MODEL BY SES'!$C$17:$R$17,0),0),"")</f>
        <v/>
      </c>
      <c r="W410" s="141" t="str">
        <f>IFERROR(VLOOKUP($C410,'NEW MODEL BY SES'!$C$19:$R$242,MATCH('SeS in Retail Sales Areas'!W$7,'NEW MODEL BY SES'!$C$17:$R$17,0),0),"")</f>
        <v/>
      </c>
      <c r="X410" s="140" t="str">
        <f>IFERROR(VLOOKUP($C410,'NEW MODEL BY SES'!$C$19:$R$242,MATCH('SeS in Retail Sales Areas'!X$7,'NEW MODEL BY SES'!$C$17:$R$17,0),0),"")</f>
        <v/>
      </c>
    </row>
    <row r="411" spans="1:24">
      <c r="A411" t="s">
        <v>1333</v>
      </c>
      <c r="B411" s="57">
        <v>78</v>
      </c>
      <c r="C411" t="s">
        <v>1353</v>
      </c>
      <c r="D411" t="s">
        <v>44</v>
      </c>
      <c r="F411" s="140" t="str">
        <f>IFERROR(VLOOKUP($C411,'NEW MODEL BY SES'!$C$19:$R$242,MATCH('SeS in Retail Sales Areas'!F$7,'NEW MODEL BY SES'!$C$17:$R$17,0),0),"")</f>
        <v/>
      </c>
      <c r="G411" s="140" t="str">
        <f>IFERROR(VLOOKUP($C411,'NEW MODEL BY SES'!$C$19:$R$242,MATCH('SeS in Retail Sales Areas'!G$7,'NEW MODEL BY SES'!$C$17:$R$17,0),0),"")</f>
        <v/>
      </c>
      <c r="H411" s="142" t="str">
        <f>IFERROR(VLOOKUP($C411,'NEW MODEL BY SES'!$C$19:$R$242,MATCH('SeS in Retail Sales Areas'!H$7,'NEW MODEL BY SES'!$C$17:$R$17,0),0),"")</f>
        <v/>
      </c>
      <c r="I411" s="140" t="str">
        <f>IFERROR(VLOOKUP($C411,'NEW MODEL BY SES'!$C$19:$R$242,MATCH('SeS in Retail Sales Areas'!I$7,'NEW MODEL BY SES'!$C$17:$R$17,0),0),"")</f>
        <v/>
      </c>
      <c r="J411" s="142" t="str">
        <f>IFERROR(VLOOKUP($C411,'NEW MODEL BY SES'!$C$19:$R$242,MATCH('SeS in Retail Sales Areas'!J$7,'NEW MODEL BY SES'!$C$17:$R$17,0),0),"")</f>
        <v/>
      </c>
      <c r="K411" s="140" t="str">
        <f>IFERROR(VLOOKUP($C411,'NEW MODEL BY SES'!$C$19:$R$242,MATCH('SeS in Retail Sales Areas'!K$7,'NEW MODEL BY SES'!$C$17:$R$17,0),0),"")</f>
        <v/>
      </c>
      <c r="L411" s="142" t="str">
        <f>IFERROR(VLOOKUP($C411,'NEW MODEL BY SES'!$C$19:$R$242,MATCH('SeS in Retail Sales Areas'!L$7,'NEW MODEL BY SES'!$C$17:$R$17,0),0),"")</f>
        <v/>
      </c>
      <c r="M411" s="140" t="str">
        <f>IFERROR(VLOOKUP($C411,'NEW MODEL BY SES'!$C$19:$R$242,MATCH('SeS in Retail Sales Areas'!M$7,'NEW MODEL BY SES'!$C$17:$R$17,0),0),"")</f>
        <v/>
      </c>
      <c r="N411" s="142" t="str">
        <f>IFERROR(VLOOKUP($C411,'NEW MODEL BY SES'!$C$19:$R$242,MATCH('SeS in Retail Sales Areas'!N$7,'NEW MODEL BY SES'!$C$17:$R$17,0),0),"")</f>
        <v/>
      </c>
      <c r="O411" s="140" t="str">
        <f>IFERROR(VLOOKUP($C411,'NEW MODEL BY SES'!$C$19:$R$242,MATCH('SeS in Retail Sales Areas'!O$7,'NEW MODEL BY SES'!$C$17:$R$17,0),0),"")</f>
        <v/>
      </c>
      <c r="P411" s="142" t="str">
        <f>IFERROR(VLOOKUP($C411,'NEW MODEL BY SES'!$C$19:$R$242,MATCH('SeS in Retail Sales Areas'!P$7,'NEW MODEL BY SES'!$C$17:$R$17,0),0),"")</f>
        <v/>
      </c>
      <c r="Q411" s="140" t="str">
        <f>IFERROR(VLOOKUP($C411,'NEW MODEL BY SES'!$C$19:$R$242,MATCH('SeS in Retail Sales Areas'!Q$7,'NEW MODEL BY SES'!$C$17:$R$17,0),0),"")</f>
        <v/>
      </c>
      <c r="R411" s="142" t="str">
        <f>IFERROR(VLOOKUP($C411,'NEW MODEL BY SES'!$C$19:$R$242,MATCH('SeS in Retail Sales Areas'!R$7,'NEW MODEL BY SES'!$C$17:$R$17,0),0),"")</f>
        <v/>
      </c>
      <c r="S411" s="141" t="str">
        <f>IFERROR(VLOOKUP($C411,'NEW MODEL BY SES'!$C$19:$R$242,MATCH('SeS in Retail Sales Areas'!S$7,'NEW MODEL BY SES'!$C$17:$R$17,0),0),"")</f>
        <v/>
      </c>
      <c r="T411" s="140" t="str">
        <f>IFERROR(VLOOKUP($C411,'NEW MODEL BY SES'!$C$19:$R$242,MATCH('SeS in Retail Sales Areas'!T$7,'NEW MODEL BY SES'!$C$17:$R$17,0),0),"")</f>
        <v/>
      </c>
      <c r="U411" s="142" t="str">
        <f>IFERROR(VLOOKUP($C411,'NEW MODEL BY SES'!$C$19:$R$242,MATCH('SeS in Retail Sales Areas'!U$7,'NEW MODEL BY SES'!$C$17:$R$17,0),0),"")</f>
        <v/>
      </c>
      <c r="V411" s="140" t="str">
        <f>IFERROR(VLOOKUP($C411,'NEW MODEL BY SES'!$C$19:$R$242,MATCH('SeS in Retail Sales Areas'!V$7,'NEW MODEL BY SES'!$C$17:$R$17,0),0),"")</f>
        <v/>
      </c>
      <c r="W411" s="141" t="str">
        <f>IFERROR(VLOOKUP($C411,'NEW MODEL BY SES'!$C$19:$R$242,MATCH('SeS in Retail Sales Areas'!W$7,'NEW MODEL BY SES'!$C$17:$R$17,0),0),"")</f>
        <v/>
      </c>
      <c r="X411" s="140" t="str">
        <f>IFERROR(VLOOKUP($C411,'NEW MODEL BY SES'!$C$19:$R$242,MATCH('SeS in Retail Sales Areas'!X$7,'NEW MODEL BY SES'!$C$17:$R$17,0),0),"")</f>
        <v/>
      </c>
    </row>
    <row r="412" spans="1:24">
      <c r="A412" t="s">
        <v>1333</v>
      </c>
      <c r="B412" s="57">
        <v>78</v>
      </c>
      <c r="C412" t="s">
        <v>1354</v>
      </c>
      <c r="D412" t="s">
        <v>44</v>
      </c>
      <c r="F412" s="140" t="str">
        <f>IFERROR(VLOOKUP($C412,'NEW MODEL BY SES'!$C$19:$R$242,MATCH('SeS in Retail Sales Areas'!F$7,'NEW MODEL BY SES'!$C$17:$R$17,0),0),"")</f>
        <v/>
      </c>
      <c r="G412" s="140" t="str">
        <f>IFERROR(VLOOKUP($C412,'NEW MODEL BY SES'!$C$19:$R$242,MATCH('SeS in Retail Sales Areas'!G$7,'NEW MODEL BY SES'!$C$17:$R$17,0),0),"")</f>
        <v/>
      </c>
      <c r="H412" s="142" t="str">
        <f>IFERROR(VLOOKUP($C412,'NEW MODEL BY SES'!$C$19:$R$242,MATCH('SeS in Retail Sales Areas'!H$7,'NEW MODEL BY SES'!$C$17:$R$17,0),0),"")</f>
        <v/>
      </c>
      <c r="I412" s="140" t="str">
        <f>IFERROR(VLOOKUP($C412,'NEW MODEL BY SES'!$C$19:$R$242,MATCH('SeS in Retail Sales Areas'!I$7,'NEW MODEL BY SES'!$C$17:$R$17,0),0),"")</f>
        <v/>
      </c>
      <c r="J412" s="142" t="str">
        <f>IFERROR(VLOOKUP($C412,'NEW MODEL BY SES'!$C$19:$R$242,MATCH('SeS in Retail Sales Areas'!J$7,'NEW MODEL BY SES'!$C$17:$R$17,0),0),"")</f>
        <v/>
      </c>
      <c r="K412" s="140" t="str">
        <f>IFERROR(VLOOKUP($C412,'NEW MODEL BY SES'!$C$19:$R$242,MATCH('SeS in Retail Sales Areas'!K$7,'NEW MODEL BY SES'!$C$17:$R$17,0),0),"")</f>
        <v/>
      </c>
      <c r="L412" s="142" t="str">
        <f>IFERROR(VLOOKUP($C412,'NEW MODEL BY SES'!$C$19:$R$242,MATCH('SeS in Retail Sales Areas'!L$7,'NEW MODEL BY SES'!$C$17:$R$17,0),0),"")</f>
        <v/>
      </c>
      <c r="M412" s="140" t="str">
        <f>IFERROR(VLOOKUP($C412,'NEW MODEL BY SES'!$C$19:$R$242,MATCH('SeS in Retail Sales Areas'!M$7,'NEW MODEL BY SES'!$C$17:$R$17,0),0),"")</f>
        <v/>
      </c>
      <c r="N412" s="142" t="str">
        <f>IFERROR(VLOOKUP($C412,'NEW MODEL BY SES'!$C$19:$R$242,MATCH('SeS in Retail Sales Areas'!N$7,'NEW MODEL BY SES'!$C$17:$R$17,0),0),"")</f>
        <v/>
      </c>
      <c r="O412" s="140" t="str">
        <f>IFERROR(VLOOKUP($C412,'NEW MODEL BY SES'!$C$19:$R$242,MATCH('SeS in Retail Sales Areas'!O$7,'NEW MODEL BY SES'!$C$17:$R$17,0),0),"")</f>
        <v/>
      </c>
      <c r="P412" s="142" t="str">
        <f>IFERROR(VLOOKUP($C412,'NEW MODEL BY SES'!$C$19:$R$242,MATCH('SeS in Retail Sales Areas'!P$7,'NEW MODEL BY SES'!$C$17:$R$17,0),0),"")</f>
        <v/>
      </c>
      <c r="Q412" s="140" t="str">
        <f>IFERROR(VLOOKUP($C412,'NEW MODEL BY SES'!$C$19:$R$242,MATCH('SeS in Retail Sales Areas'!Q$7,'NEW MODEL BY SES'!$C$17:$R$17,0),0),"")</f>
        <v/>
      </c>
      <c r="R412" s="142" t="str">
        <f>IFERROR(VLOOKUP($C412,'NEW MODEL BY SES'!$C$19:$R$242,MATCH('SeS in Retail Sales Areas'!R$7,'NEW MODEL BY SES'!$C$17:$R$17,0),0),"")</f>
        <v/>
      </c>
      <c r="S412" s="141" t="str">
        <f>IFERROR(VLOOKUP($C412,'NEW MODEL BY SES'!$C$19:$R$242,MATCH('SeS in Retail Sales Areas'!S$7,'NEW MODEL BY SES'!$C$17:$R$17,0),0),"")</f>
        <v/>
      </c>
      <c r="T412" s="140" t="str">
        <f>IFERROR(VLOOKUP($C412,'NEW MODEL BY SES'!$C$19:$R$242,MATCH('SeS in Retail Sales Areas'!T$7,'NEW MODEL BY SES'!$C$17:$R$17,0),0),"")</f>
        <v/>
      </c>
      <c r="U412" s="142" t="str">
        <f>IFERROR(VLOOKUP($C412,'NEW MODEL BY SES'!$C$19:$R$242,MATCH('SeS in Retail Sales Areas'!U$7,'NEW MODEL BY SES'!$C$17:$R$17,0),0),"")</f>
        <v/>
      </c>
      <c r="V412" s="140" t="str">
        <f>IFERROR(VLOOKUP($C412,'NEW MODEL BY SES'!$C$19:$R$242,MATCH('SeS in Retail Sales Areas'!V$7,'NEW MODEL BY SES'!$C$17:$R$17,0),0),"")</f>
        <v/>
      </c>
      <c r="W412" s="141" t="str">
        <f>IFERROR(VLOOKUP($C412,'NEW MODEL BY SES'!$C$19:$R$242,MATCH('SeS in Retail Sales Areas'!W$7,'NEW MODEL BY SES'!$C$17:$R$17,0),0),"")</f>
        <v/>
      </c>
      <c r="X412" s="140" t="str">
        <f>IFERROR(VLOOKUP($C412,'NEW MODEL BY SES'!$C$19:$R$242,MATCH('SeS in Retail Sales Areas'!X$7,'NEW MODEL BY SES'!$C$17:$R$17,0),0),"")</f>
        <v/>
      </c>
    </row>
    <row r="413" spans="1:24">
      <c r="A413" t="s">
        <v>1333</v>
      </c>
      <c r="B413" s="57">
        <v>77</v>
      </c>
      <c r="C413" t="s">
        <v>1355</v>
      </c>
      <c r="D413" t="s">
        <v>44</v>
      </c>
      <c r="F413" s="140" t="str">
        <f>IFERROR(VLOOKUP($C413,'NEW MODEL BY SES'!$C$19:$R$242,MATCH('SeS in Retail Sales Areas'!F$7,'NEW MODEL BY SES'!$C$17:$R$17,0),0),"")</f>
        <v/>
      </c>
      <c r="G413" s="140" t="str">
        <f>IFERROR(VLOOKUP($C413,'NEW MODEL BY SES'!$C$19:$R$242,MATCH('SeS in Retail Sales Areas'!G$7,'NEW MODEL BY SES'!$C$17:$R$17,0),0),"")</f>
        <v/>
      </c>
      <c r="H413" s="142" t="str">
        <f>IFERROR(VLOOKUP($C413,'NEW MODEL BY SES'!$C$19:$R$242,MATCH('SeS in Retail Sales Areas'!H$7,'NEW MODEL BY SES'!$C$17:$R$17,0),0),"")</f>
        <v/>
      </c>
      <c r="I413" s="140" t="str">
        <f>IFERROR(VLOOKUP($C413,'NEW MODEL BY SES'!$C$19:$R$242,MATCH('SeS in Retail Sales Areas'!I$7,'NEW MODEL BY SES'!$C$17:$R$17,0),0),"")</f>
        <v/>
      </c>
      <c r="J413" s="142" t="str">
        <f>IFERROR(VLOOKUP($C413,'NEW MODEL BY SES'!$C$19:$R$242,MATCH('SeS in Retail Sales Areas'!J$7,'NEW MODEL BY SES'!$C$17:$R$17,0),0),"")</f>
        <v/>
      </c>
      <c r="K413" s="140" t="str">
        <f>IFERROR(VLOOKUP($C413,'NEW MODEL BY SES'!$C$19:$R$242,MATCH('SeS in Retail Sales Areas'!K$7,'NEW MODEL BY SES'!$C$17:$R$17,0),0),"")</f>
        <v/>
      </c>
      <c r="L413" s="142" t="str">
        <f>IFERROR(VLOOKUP($C413,'NEW MODEL BY SES'!$C$19:$R$242,MATCH('SeS in Retail Sales Areas'!L$7,'NEW MODEL BY SES'!$C$17:$R$17,0),0),"")</f>
        <v/>
      </c>
      <c r="M413" s="140" t="str">
        <f>IFERROR(VLOOKUP($C413,'NEW MODEL BY SES'!$C$19:$R$242,MATCH('SeS in Retail Sales Areas'!M$7,'NEW MODEL BY SES'!$C$17:$R$17,0),0),"")</f>
        <v/>
      </c>
      <c r="N413" s="142" t="str">
        <f>IFERROR(VLOOKUP($C413,'NEW MODEL BY SES'!$C$19:$R$242,MATCH('SeS in Retail Sales Areas'!N$7,'NEW MODEL BY SES'!$C$17:$R$17,0),0),"")</f>
        <v/>
      </c>
      <c r="O413" s="140" t="str">
        <f>IFERROR(VLOOKUP($C413,'NEW MODEL BY SES'!$C$19:$R$242,MATCH('SeS in Retail Sales Areas'!O$7,'NEW MODEL BY SES'!$C$17:$R$17,0),0),"")</f>
        <v/>
      </c>
      <c r="P413" s="142" t="str">
        <f>IFERROR(VLOOKUP($C413,'NEW MODEL BY SES'!$C$19:$R$242,MATCH('SeS in Retail Sales Areas'!P$7,'NEW MODEL BY SES'!$C$17:$R$17,0),0),"")</f>
        <v/>
      </c>
      <c r="Q413" s="140" t="str">
        <f>IFERROR(VLOOKUP($C413,'NEW MODEL BY SES'!$C$19:$R$242,MATCH('SeS in Retail Sales Areas'!Q$7,'NEW MODEL BY SES'!$C$17:$R$17,0),0),"")</f>
        <v/>
      </c>
      <c r="R413" s="142" t="str">
        <f>IFERROR(VLOOKUP($C413,'NEW MODEL BY SES'!$C$19:$R$242,MATCH('SeS in Retail Sales Areas'!R$7,'NEW MODEL BY SES'!$C$17:$R$17,0),0),"")</f>
        <v/>
      </c>
      <c r="S413" s="141" t="str">
        <f>IFERROR(VLOOKUP($C413,'NEW MODEL BY SES'!$C$19:$R$242,MATCH('SeS in Retail Sales Areas'!S$7,'NEW MODEL BY SES'!$C$17:$R$17,0),0),"")</f>
        <v/>
      </c>
      <c r="T413" s="140" t="str">
        <f>IFERROR(VLOOKUP($C413,'NEW MODEL BY SES'!$C$19:$R$242,MATCH('SeS in Retail Sales Areas'!T$7,'NEW MODEL BY SES'!$C$17:$R$17,0),0),"")</f>
        <v/>
      </c>
      <c r="U413" s="142" t="str">
        <f>IFERROR(VLOOKUP($C413,'NEW MODEL BY SES'!$C$19:$R$242,MATCH('SeS in Retail Sales Areas'!U$7,'NEW MODEL BY SES'!$C$17:$R$17,0),0),"")</f>
        <v/>
      </c>
      <c r="V413" s="140" t="str">
        <f>IFERROR(VLOOKUP($C413,'NEW MODEL BY SES'!$C$19:$R$242,MATCH('SeS in Retail Sales Areas'!V$7,'NEW MODEL BY SES'!$C$17:$R$17,0),0),"")</f>
        <v/>
      </c>
      <c r="W413" s="141" t="str">
        <f>IFERROR(VLOOKUP($C413,'NEW MODEL BY SES'!$C$19:$R$242,MATCH('SeS in Retail Sales Areas'!W$7,'NEW MODEL BY SES'!$C$17:$R$17,0),0),"")</f>
        <v/>
      </c>
      <c r="X413" s="140" t="str">
        <f>IFERROR(VLOOKUP($C413,'NEW MODEL BY SES'!$C$19:$R$242,MATCH('SeS in Retail Sales Areas'!X$7,'NEW MODEL BY SES'!$C$17:$R$17,0),0),"")</f>
        <v/>
      </c>
    </row>
    <row r="414" spans="1:24">
      <c r="A414" t="s">
        <v>1333</v>
      </c>
      <c r="B414" s="57">
        <v>77</v>
      </c>
      <c r="C414" t="s">
        <v>1356</v>
      </c>
      <c r="D414" t="s">
        <v>44</v>
      </c>
      <c r="F414" s="140" t="str">
        <f>IFERROR(VLOOKUP($C414,'NEW MODEL BY SES'!$C$19:$R$242,MATCH('SeS in Retail Sales Areas'!F$7,'NEW MODEL BY SES'!$C$17:$R$17,0),0),"")</f>
        <v/>
      </c>
      <c r="G414" s="140" t="str">
        <f>IFERROR(VLOOKUP($C414,'NEW MODEL BY SES'!$C$19:$R$242,MATCH('SeS in Retail Sales Areas'!G$7,'NEW MODEL BY SES'!$C$17:$R$17,0),0),"")</f>
        <v/>
      </c>
      <c r="H414" s="142" t="str">
        <f>IFERROR(VLOOKUP($C414,'NEW MODEL BY SES'!$C$19:$R$242,MATCH('SeS in Retail Sales Areas'!H$7,'NEW MODEL BY SES'!$C$17:$R$17,0),0),"")</f>
        <v/>
      </c>
      <c r="I414" s="140" t="str">
        <f>IFERROR(VLOOKUP($C414,'NEW MODEL BY SES'!$C$19:$R$242,MATCH('SeS in Retail Sales Areas'!I$7,'NEW MODEL BY SES'!$C$17:$R$17,0),0),"")</f>
        <v/>
      </c>
      <c r="J414" s="142" t="str">
        <f>IFERROR(VLOOKUP($C414,'NEW MODEL BY SES'!$C$19:$R$242,MATCH('SeS in Retail Sales Areas'!J$7,'NEW MODEL BY SES'!$C$17:$R$17,0),0),"")</f>
        <v/>
      </c>
      <c r="K414" s="140" t="str">
        <f>IFERROR(VLOOKUP($C414,'NEW MODEL BY SES'!$C$19:$R$242,MATCH('SeS in Retail Sales Areas'!K$7,'NEW MODEL BY SES'!$C$17:$R$17,0),0),"")</f>
        <v/>
      </c>
      <c r="L414" s="142" t="str">
        <f>IFERROR(VLOOKUP($C414,'NEW MODEL BY SES'!$C$19:$R$242,MATCH('SeS in Retail Sales Areas'!L$7,'NEW MODEL BY SES'!$C$17:$R$17,0),0),"")</f>
        <v/>
      </c>
      <c r="M414" s="140" t="str">
        <f>IFERROR(VLOOKUP($C414,'NEW MODEL BY SES'!$C$19:$R$242,MATCH('SeS in Retail Sales Areas'!M$7,'NEW MODEL BY SES'!$C$17:$R$17,0),0),"")</f>
        <v/>
      </c>
      <c r="N414" s="142" t="str">
        <f>IFERROR(VLOOKUP($C414,'NEW MODEL BY SES'!$C$19:$R$242,MATCH('SeS in Retail Sales Areas'!N$7,'NEW MODEL BY SES'!$C$17:$R$17,0),0),"")</f>
        <v/>
      </c>
      <c r="O414" s="140" t="str">
        <f>IFERROR(VLOOKUP($C414,'NEW MODEL BY SES'!$C$19:$R$242,MATCH('SeS in Retail Sales Areas'!O$7,'NEW MODEL BY SES'!$C$17:$R$17,0),0),"")</f>
        <v/>
      </c>
      <c r="P414" s="142" t="str">
        <f>IFERROR(VLOOKUP($C414,'NEW MODEL BY SES'!$C$19:$R$242,MATCH('SeS in Retail Sales Areas'!P$7,'NEW MODEL BY SES'!$C$17:$R$17,0),0),"")</f>
        <v/>
      </c>
      <c r="Q414" s="140" t="str">
        <f>IFERROR(VLOOKUP($C414,'NEW MODEL BY SES'!$C$19:$R$242,MATCH('SeS in Retail Sales Areas'!Q$7,'NEW MODEL BY SES'!$C$17:$R$17,0),0),"")</f>
        <v/>
      </c>
      <c r="R414" s="142" t="str">
        <f>IFERROR(VLOOKUP($C414,'NEW MODEL BY SES'!$C$19:$R$242,MATCH('SeS in Retail Sales Areas'!R$7,'NEW MODEL BY SES'!$C$17:$R$17,0),0),"")</f>
        <v/>
      </c>
      <c r="S414" s="141" t="str">
        <f>IFERROR(VLOOKUP($C414,'NEW MODEL BY SES'!$C$19:$R$242,MATCH('SeS in Retail Sales Areas'!S$7,'NEW MODEL BY SES'!$C$17:$R$17,0),0),"")</f>
        <v/>
      </c>
      <c r="T414" s="140" t="str">
        <f>IFERROR(VLOOKUP($C414,'NEW MODEL BY SES'!$C$19:$R$242,MATCH('SeS in Retail Sales Areas'!T$7,'NEW MODEL BY SES'!$C$17:$R$17,0),0),"")</f>
        <v/>
      </c>
      <c r="U414" s="142" t="str">
        <f>IFERROR(VLOOKUP($C414,'NEW MODEL BY SES'!$C$19:$R$242,MATCH('SeS in Retail Sales Areas'!U$7,'NEW MODEL BY SES'!$C$17:$R$17,0),0),"")</f>
        <v/>
      </c>
      <c r="V414" s="140" t="str">
        <f>IFERROR(VLOOKUP($C414,'NEW MODEL BY SES'!$C$19:$R$242,MATCH('SeS in Retail Sales Areas'!V$7,'NEW MODEL BY SES'!$C$17:$R$17,0),0),"")</f>
        <v/>
      </c>
      <c r="W414" s="141" t="str">
        <f>IFERROR(VLOOKUP($C414,'NEW MODEL BY SES'!$C$19:$R$242,MATCH('SeS in Retail Sales Areas'!W$7,'NEW MODEL BY SES'!$C$17:$R$17,0),0),"")</f>
        <v/>
      </c>
      <c r="X414" s="140" t="str">
        <f>IFERROR(VLOOKUP($C414,'NEW MODEL BY SES'!$C$19:$R$242,MATCH('SeS in Retail Sales Areas'!X$7,'NEW MODEL BY SES'!$C$17:$R$17,0),0),"")</f>
        <v/>
      </c>
    </row>
    <row r="415" spans="1:24">
      <c r="A415" t="s">
        <v>1333</v>
      </c>
      <c r="B415" s="57">
        <v>73</v>
      </c>
      <c r="C415" t="s">
        <v>1357</v>
      </c>
      <c r="D415" t="s">
        <v>44</v>
      </c>
      <c r="F415" s="140" t="str">
        <f>IFERROR(VLOOKUP($C415,'NEW MODEL BY SES'!$C$19:$R$242,MATCH('SeS in Retail Sales Areas'!F$7,'NEW MODEL BY SES'!$C$17:$R$17,0),0),"")</f>
        <v/>
      </c>
      <c r="G415" s="140" t="str">
        <f>IFERROR(VLOOKUP($C415,'NEW MODEL BY SES'!$C$19:$R$242,MATCH('SeS in Retail Sales Areas'!G$7,'NEW MODEL BY SES'!$C$17:$R$17,0),0),"")</f>
        <v/>
      </c>
      <c r="H415" s="142" t="str">
        <f>IFERROR(VLOOKUP($C415,'NEW MODEL BY SES'!$C$19:$R$242,MATCH('SeS in Retail Sales Areas'!H$7,'NEW MODEL BY SES'!$C$17:$R$17,0),0),"")</f>
        <v/>
      </c>
      <c r="I415" s="140" t="str">
        <f>IFERROR(VLOOKUP($C415,'NEW MODEL BY SES'!$C$19:$R$242,MATCH('SeS in Retail Sales Areas'!I$7,'NEW MODEL BY SES'!$C$17:$R$17,0),0),"")</f>
        <v/>
      </c>
      <c r="J415" s="142" t="str">
        <f>IFERROR(VLOOKUP($C415,'NEW MODEL BY SES'!$C$19:$R$242,MATCH('SeS in Retail Sales Areas'!J$7,'NEW MODEL BY SES'!$C$17:$R$17,0),0),"")</f>
        <v/>
      </c>
      <c r="K415" s="140" t="str">
        <f>IFERROR(VLOOKUP($C415,'NEW MODEL BY SES'!$C$19:$R$242,MATCH('SeS in Retail Sales Areas'!K$7,'NEW MODEL BY SES'!$C$17:$R$17,0),0),"")</f>
        <v/>
      </c>
      <c r="L415" s="142" t="str">
        <f>IFERROR(VLOOKUP($C415,'NEW MODEL BY SES'!$C$19:$R$242,MATCH('SeS in Retail Sales Areas'!L$7,'NEW MODEL BY SES'!$C$17:$R$17,0),0),"")</f>
        <v/>
      </c>
      <c r="M415" s="140" t="str">
        <f>IFERROR(VLOOKUP($C415,'NEW MODEL BY SES'!$C$19:$R$242,MATCH('SeS in Retail Sales Areas'!M$7,'NEW MODEL BY SES'!$C$17:$R$17,0),0),"")</f>
        <v/>
      </c>
      <c r="N415" s="142" t="str">
        <f>IFERROR(VLOOKUP($C415,'NEW MODEL BY SES'!$C$19:$R$242,MATCH('SeS in Retail Sales Areas'!N$7,'NEW MODEL BY SES'!$C$17:$R$17,0),0),"")</f>
        <v/>
      </c>
      <c r="O415" s="140" t="str">
        <f>IFERROR(VLOOKUP($C415,'NEW MODEL BY SES'!$C$19:$R$242,MATCH('SeS in Retail Sales Areas'!O$7,'NEW MODEL BY SES'!$C$17:$R$17,0),0),"")</f>
        <v/>
      </c>
      <c r="P415" s="142" t="str">
        <f>IFERROR(VLOOKUP($C415,'NEW MODEL BY SES'!$C$19:$R$242,MATCH('SeS in Retail Sales Areas'!P$7,'NEW MODEL BY SES'!$C$17:$R$17,0),0),"")</f>
        <v/>
      </c>
      <c r="Q415" s="140" t="str">
        <f>IFERROR(VLOOKUP($C415,'NEW MODEL BY SES'!$C$19:$R$242,MATCH('SeS in Retail Sales Areas'!Q$7,'NEW MODEL BY SES'!$C$17:$R$17,0),0),"")</f>
        <v/>
      </c>
      <c r="R415" s="142" t="str">
        <f>IFERROR(VLOOKUP($C415,'NEW MODEL BY SES'!$C$19:$R$242,MATCH('SeS in Retail Sales Areas'!R$7,'NEW MODEL BY SES'!$C$17:$R$17,0),0),"")</f>
        <v/>
      </c>
      <c r="S415" s="141" t="str">
        <f>IFERROR(VLOOKUP($C415,'NEW MODEL BY SES'!$C$19:$R$242,MATCH('SeS in Retail Sales Areas'!S$7,'NEW MODEL BY SES'!$C$17:$R$17,0),0),"")</f>
        <v/>
      </c>
      <c r="T415" s="140" t="str">
        <f>IFERROR(VLOOKUP($C415,'NEW MODEL BY SES'!$C$19:$R$242,MATCH('SeS in Retail Sales Areas'!T$7,'NEW MODEL BY SES'!$C$17:$R$17,0),0),"")</f>
        <v/>
      </c>
      <c r="U415" s="142" t="str">
        <f>IFERROR(VLOOKUP($C415,'NEW MODEL BY SES'!$C$19:$R$242,MATCH('SeS in Retail Sales Areas'!U$7,'NEW MODEL BY SES'!$C$17:$R$17,0),0),"")</f>
        <v/>
      </c>
      <c r="V415" s="140" t="str">
        <f>IFERROR(VLOOKUP($C415,'NEW MODEL BY SES'!$C$19:$R$242,MATCH('SeS in Retail Sales Areas'!V$7,'NEW MODEL BY SES'!$C$17:$R$17,0),0),"")</f>
        <v/>
      </c>
      <c r="W415" s="141" t="str">
        <f>IFERROR(VLOOKUP($C415,'NEW MODEL BY SES'!$C$19:$R$242,MATCH('SeS in Retail Sales Areas'!W$7,'NEW MODEL BY SES'!$C$17:$R$17,0),0),"")</f>
        <v/>
      </c>
      <c r="X415" s="140" t="str">
        <f>IFERROR(VLOOKUP($C415,'NEW MODEL BY SES'!$C$19:$R$242,MATCH('SeS in Retail Sales Areas'!X$7,'NEW MODEL BY SES'!$C$17:$R$17,0),0),"")</f>
        <v/>
      </c>
    </row>
    <row r="416" spans="1:24">
      <c r="A416" t="s">
        <v>1333</v>
      </c>
      <c r="B416" s="57">
        <v>67</v>
      </c>
      <c r="C416" t="s">
        <v>1358</v>
      </c>
      <c r="D416" t="s">
        <v>44</v>
      </c>
      <c r="F416" s="140" t="str">
        <f>IFERROR(VLOOKUP($C416,'NEW MODEL BY SES'!$C$19:$R$242,MATCH('SeS in Retail Sales Areas'!F$7,'NEW MODEL BY SES'!$C$17:$R$17,0),0),"")</f>
        <v/>
      </c>
      <c r="G416" s="140" t="str">
        <f>IFERROR(VLOOKUP($C416,'NEW MODEL BY SES'!$C$19:$R$242,MATCH('SeS in Retail Sales Areas'!G$7,'NEW MODEL BY SES'!$C$17:$R$17,0),0),"")</f>
        <v/>
      </c>
      <c r="H416" s="142" t="str">
        <f>IFERROR(VLOOKUP($C416,'NEW MODEL BY SES'!$C$19:$R$242,MATCH('SeS in Retail Sales Areas'!H$7,'NEW MODEL BY SES'!$C$17:$R$17,0),0),"")</f>
        <v/>
      </c>
      <c r="I416" s="140" t="str">
        <f>IFERROR(VLOOKUP($C416,'NEW MODEL BY SES'!$C$19:$R$242,MATCH('SeS in Retail Sales Areas'!I$7,'NEW MODEL BY SES'!$C$17:$R$17,0),0),"")</f>
        <v/>
      </c>
      <c r="J416" s="142" t="str">
        <f>IFERROR(VLOOKUP($C416,'NEW MODEL BY SES'!$C$19:$R$242,MATCH('SeS in Retail Sales Areas'!J$7,'NEW MODEL BY SES'!$C$17:$R$17,0),0),"")</f>
        <v/>
      </c>
      <c r="K416" s="140" t="str">
        <f>IFERROR(VLOOKUP($C416,'NEW MODEL BY SES'!$C$19:$R$242,MATCH('SeS in Retail Sales Areas'!K$7,'NEW MODEL BY SES'!$C$17:$R$17,0),0),"")</f>
        <v/>
      </c>
      <c r="L416" s="142" t="str">
        <f>IFERROR(VLOOKUP($C416,'NEW MODEL BY SES'!$C$19:$R$242,MATCH('SeS in Retail Sales Areas'!L$7,'NEW MODEL BY SES'!$C$17:$R$17,0),0),"")</f>
        <v/>
      </c>
      <c r="M416" s="140" t="str">
        <f>IFERROR(VLOOKUP($C416,'NEW MODEL BY SES'!$C$19:$R$242,MATCH('SeS in Retail Sales Areas'!M$7,'NEW MODEL BY SES'!$C$17:$R$17,0),0),"")</f>
        <v/>
      </c>
      <c r="N416" s="142" t="str">
        <f>IFERROR(VLOOKUP($C416,'NEW MODEL BY SES'!$C$19:$R$242,MATCH('SeS in Retail Sales Areas'!N$7,'NEW MODEL BY SES'!$C$17:$R$17,0),0),"")</f>
        <v/>
      </c>
      <c r="O416" s="140" t="str">
        <f>IFERROR(VLOOKUP($C416,'NEW MODEL BY SES'!$C$19:$R$242,MATCH('SeS in Retail Sales Areas'!O$7,'NEW MODEL BY SES'!$C$17:$R$17,0),0),"")</f>
        <v/>
      </c>
      <c r="P416" s="142" t="str">
        <f>IFERROR(VLOOKUP($C416,'NEW MODEL BY SES'!$C$19:$R$242,MATCH('SeS in Retail Sales Areas'!P$7,'NEW MODEL BY SES'!$C$17:$R$17,0),0),"")</f>
        <v/>
      </c>
      <c r="Q416" s="140" t="str">
        <f>IFERROR(VLOOKUP($C416,'NEW MODEL BY SES'!$C$19:$R$242,MATCH('SeS in Retail Sales Areas'!Q$7,'NEW MODEL BY SES'!$C$17:$R$17,0),0),"")</f>
        <v/>
      </c>
      <c r="R416" s="142" t="str">
        <f>IFERROR(VLOOKUP($C416,'NEW MODEL BY SES'!$C$19:$R$242,MATCH('SeS in Retail Sales Areas'!R$7,'NEW MODEL BY SES'!$C$17:$R$17,0),0),"")</f>
        <v/>
      </c>
      <c r="S416" s="141" t="str">
        <f>IFERROR(VLOOKUP($C416,'NEW MODEL BY SES'!$C$19:$R$242,MATCH('SeS in Retail Sales Areas'!S$7,'NEW MODEL BY SES'!$C$17:$R$17,0),0),"")</f>
        <v/>
      </c>
      <c r="T416" s="140" t="str">
        <f>IFERROR(VLOOKUP($C416,'NEW MODEL BY SES'!$C$19:$R$242,MATCH('SeS in Retail Sales Areas'!T$7,'NEW MODEL BY SES'!$C$17:$R$17,0),0),"")</f>
        <v/>
      </c>
      <c r="U416" s="142" t="str">
        <f>IFERROR(VLOOKUP($C416,'NEW MODEL BY SES'!$C$19:$R$242,MATCH('SeS in Retail Sales Areas'!U$7,'NEW MODEL BY SES'!$C$17:$R$17,0),0),"")</f>
        <v/>
      </c>
      <c r="V416" s="140" t="str">
        <f>IFERROR(VLOOKUP($C416,'NEW MODEL BY SES'!$C$19:$R$242,MATCH('SeS in Retail Sales Areas'!V$7,'NEW MODEL BY SES'!$C$17:$R$17,0),0),"")</f>
        <v/>
      </c>
      <c r="W416" s="141" t="str">
        <f>IFERROR(VLOOKUP($C416,'NEW MODEL BY SES'!$C$19:$R$242,MATCH('SeS in Retail Sales Areas'!W$7,'NEW MODEL BY SES'!$C$17:$R$17,0),0),"")</f>
        <v/>
      </c>
      <c r="X416" s="140" t="str">
        <f>IFERROR(VLOOKUP($C416,'NEW MODEL BY SES'!$C$19:$R$242,MATCH('SeS in Retail Sales Areas'!X$7,'NEW MODEL BY SES'!$C$17:$R$17,0),0),"")</f>
        <v/>
      </c>
    </row>
    <row r="417" spans="1:24">
      <c r="A417" t="s">
        <v>1333</v>
      </c>
      <c r="B417" s="57">
        <v>67</v>
      </c>
      <c r="C417" t="s">
        <v>1359</v>
      </c>
      <c r="D417" t="s">
        <v>44</v>
      </c>
      <c r="F417" s="140" t="str">
        <f>IFERROR(VLOOKUP($C417,'NEW MODEL BY SES'!$C$19:$R$242,MATCH('SeS in Retail Sales Areas'!F$7,'NEW MODEL BY SES'!$C$17:$R$17,0),0),"")</f>
        <v/>
      </c>
      <c r="G417" s="140" t="str">
        <f>IFERROR(VLOOKUP($C417,'NEW MODEL BY SES'!$C$19:$R$242,MATCH('SeS in Retail Sales Areas'!G$7,'NEW MODEL BY SES'!$C$17:$R$17,0),0),"")</f>
        <v/>
      </c>
      <c r="H417" s="142" t="str">
        <f>IFERROR(VLOOKUP($C417,'NEW MODEL BY SES'!$C$19:$R$242,MATCH('SeS in Retail Sales Areas'!H$7,'NEW MODEL BY SES'!$C$17:$R$17,0),0),"")</f>
        <v/>
      </c>
      <c r="I417" s="140" t="str">
        <f>IFERROR(VLOOKUP($C417,'NEW MODEL BY SES'!$C$19:$R$242,MATCH('SeS in Retail Sales Areas'!I$7,'NEW MODEL BY SES'!$C$17:$R$17,0),0),"")</f>
        <v/>
      </c>
      <c r="J417" s="142" t="str">
        <f>IFERROR(VLOOKUP($C417,'NEW MODEL BY SES'!$C$19:$R$242,MATCH('SeS in Retail Sales Areas'!J$7,'NEW MODEL BY SES'!$C$17:$R$17,0),0),"")</f>
        <v/>
      </c>
      <c r="K417" s="140" t="str">
        <f>IFERROR(VLOOKUP($C417,'NEW MODEL BY SES'!$C$19:$R$242,MATCH('SeS in Retail Sales Areas'!K$7,'NEW MODEL BY SES'!$C$17:$R$17,0),0),"")</f>
        <v/>
      </c>
      <c r="L417" s="142" t="str">
        <f>IFERROR(VLOOKUP($C417,'NEW MODEL BY SES'!$C$19:$R$242,MATCH('SeS in Retail Sales Areas'!L$7,'NEW MODEL BY SES'!$C$17:$R$17,0),0),"")</f>
        <v/>
      </c>
      <c r="M417" s="140" t="str">
        <f>IFERROR(VLOOKUP($C417,'NEW MODEL BY SES'!$C$19:$R$242,MATCH('SeS in Retail Sales Areas'!M$7,'NEW MODEL BY SES'!$C$17:$R$17,0),0),"")</f>
        <v/>
      </c>
      <c r="N417" s="142" t="str">
        <f>IFERROR(VLOOKUP($C417,'NEW MODEL BY SES'!$C$19:$R$242,MATCH('SeS in Retail Sales Areas'!N$7,'NEW MODEL BY SES'!$C$17:$R$17,0),0),"")</f>
        <v/>
      </c>
      <c r="O417" s="140" t="str">
        <f>IFERROR(VLOOKUP($C417,'NEW MODEL BY SES'!$C$19:$R$242,MATCH('SeS in Retail Sales Areas'!O$7,'NEW MODEL BY SES'!$C$17:$R$17,0),0),"")</f>
        <v/>
      </c>
      <c r="P417" s="142" t="str">
        <f>IFERROR(VLOOKUP($C417,'NEW MODEL BY SES'!$C$19:$R$242,MATCH('SeS in Retail Sales Areas'!P$7,'NEW MODEL BY SES'!$C$17:$R$17,0),0),"")</f>
        <v/>
      </c>
      <c r="Q417" s="140" t="str">
        <f>IFERROR(VLOOKUP($C417,'NEW MODEL BY SES'!$C$19:$R$242,MATCH('SeS in Retail Sales Areas'!Q$7,'NEW MODEL BY SES'!$C$17:$R$17,0),0),"")</f>
        <v/>
      </c>
      <c r="R417" s="142" t="str">
        <f>IFERROR(VLOOKUP($C417,'NEW MODEL BY SES'!$C$19:$R$242,MATCH('SeS in Retail Sales Areas'!R$7,'NEW MODEL BY SES'!$C$17:$R$17,0),0),"")</f>
        <v/>
      </c>
      <c r="S417" s="141" t="str">
        <f>IFERROR(VLOOKUP($C417,'NEW MODEL BY SES'!$C$19:$R$242,MATCH('SeS in Retail Sales Areas'!S$7,'NEW MODEL BY SES'!$C$17:$R$17,0),0),"")</f>
        <v/>
      </c>
      <c r="T417" s="140" t="str">
        <f>IFERROR(VLOOKUP($C417,'NEW MODEL BY SES'!$C$19:$R$242,MATCH('SeS in Retail Sales Areas'!T$7,'NEW MODEL BY SES'!$C$17:$R$17,0),0),"")</f>
        <v/>
      </c>
      <c r="U417" s="142" t="str">
        <f>IFERROR(VLOOKUP($C417,'NEW MODEL BY SES'!$C$19:$R$242,MATCH('SeS in Retail Sales Areas'!U$7,'NEW MODEL BY SES'!$C$17:$R$17,0),0),"")</f>
        <v/>
      </c>
      <c r="V417" s="140" t="str">
        <f>IFERROR(VLOOKUP($C417,'NEW MODEL BY SES'!$C$19:$R$242,MATCH('SeS in Retail Sales Areas'!V$7,'NEW MODEL BY SES'!$C$17:$R$17,0),0),"")</f>
        <v/>
      </c>
      <c r="W417" s="141" t="str">
        <f>IFERROR(VLOOKUP($C417,'NEW MODEL BY SES'!$C$19:$R$242,MATCH('SeS in Retail Sales Areas'!W$7,'NEW MODEL BY SES'!$C$17:$R$17,0),0),"")</f>
        <v/>
      </c>
      <c r="X417" s="140" t="str">
        <f>IFERROR(VLOOKUP($C417,'NEW MODEL BY SES'!$C$19:$R$242,MATCH('SeS in Retail Sales Areas'!X$7,'NEW MODEL BY SES'!$C$17:$R$17,0),0),"")</f>
        <v/>
      </c>
    </row>
    <row r="418" spans="1:24">
      <c r="A418" t="s">
        <v>1333</v>
      </c>
      <c r="B418" s="57">
        <v>58</v>
      </c>
      <c r="C418" t="s">
        <v>1360</v>
      </c>
      <c r="D418" t="s">
        <v>44</v>
      </c>
      <c r="F418" s="140" t="str">
        <f>IFERROR(VLOOKUP($C418,'NEW MODEL BY SES'!$C$19:$R$242,MATCH('SeS in Retail Sales Areas'!F$7,'NEW MODEL BY SES'!$C$17:$R$17,0),0),"")</f>
        <v/>
      </c>
      <c r="G418" s="140" t="str">
        <f>IFERROR(VLOOKUP($C418,'NEW MODEL BY SES'!$C$19:$R$242,MATCH('SeS in Retail Sales Areas'!G$7,'NEW MODEL BY SES'!$C$17:$R$17,0),0),"")</f>
        <v/>
      </c>
      <c r="H418" s="142" t="str">
        <f>IFERROR(VLOOKUP($C418,'NEW MODEL BY SES'!$C$19:$R$242,MATCH('SeS in Retail Sales Areas'!H$7,'NEW MODEL BY SES'!$C$17:$R$17,0),0),"")</f>
        <v/>
      </c>
      <c r="I418" s="140" t="str">
        <f>IFERROR(VLOOKUP($C418,'NEW MODEL BY SES'!$C$19:$R$242,MATCH('SeS in Retail Sales Areas'!I$7,'NEW MODEL BY SES'!$C$17:$R$17,0),0),"")</f>
        <v/>
      </c>
      <c r="J418" s="142" t="str">
        <f>IFERROR(VLOOKUP($C418,'NEW MODEL BY SES'!$C$19:$R$242,MATCH('SeS in Retail Sales Areas'!J$7,'NEW MODEL BY SES'!$C$17:$R$17,0),0),"")</f>
        <v/>
      </c>
      <c r="K418" s="140" t="str">
        <f>IFERROR(VLOOKUP($C418,'NEW MODEL BY SES'!$C$19:$R$242,MATCH('SeS in Retail Sales Areas'!K$7,'NEW MODEL BY SES'!$C$17:$R$17,0),0),"")</f>
        <v/>
      </c>
      <c r="L418" s="142" t="str">
        <f>IFERROR(VLOOKUP($C418,'NEW MODEL BY SES'!$C$19:$R$242,MATCH('SeS in Retail Sales Areas'!L$7,'NEW MODEL BY SES'!$C$17:$R$17,0),0),"")</f>
        <v/>
      </c>
      <c r="M418" s="140" t="str">
        <f>IFERROR(VLOOKUP($C418,'NEW MODEL BY SES'!$C$19:$R$242,MATCH('SeS in Retail Sales Areas'!M$7,'NEW MODEL BY SES'!$C$17:$R$17,0),0),"")</f>
        <v/>
      </c>
      <c r="N418" s="142" t="str">
        <f>IFERROR(VLOOKUP($C418,'NEW MODEL BY SES'!$C$19:$R$242,MATCH('SeS in Retail Sales Areas'!N$7,'NEW MODEL BY SES'!$C$17:$R$17,0),0),"")</f>
        <v/>
      </c>
      <c r="O418" s="140" t="str">
        <f>IFERROR(VLOOKUP($C418,'NEW MODEL BY SES'!$C$19:$R$242,MATCH('SeS in Retail Sales Areas'!O$7,'NEW MODEL BY SES'!$C$17:$R$17,0),0),"")</f>
        <v/>
      </c>
      <c r="P418" s="142" t="str">
        <f>IFERROR(VLOOKUP($C418,'NEW MODEL BY SES'!$C$19:$R$242,MATCH('SeS in Retail Sales Areas'!P$7,'NEW MODEL BY SES'!$C$17:$R$17,0),0),"")</f>
        <v/>
      </c>
      <c r="Q418" s="140" t="str">
        <f>IFERROR(VLOOKUP($C418,'NEW MODEL BY SES'!$C$19:$R$242,MATCH('SeS in Retail Sales Areas'!Q$7,'NEW MODEL BY SES'!$C$17:$R$17,0),0),"")</f>
        <v/>
      </c>
      <c r="R418" s="142" t="str">
        <f>IFERROR(VLOOKUP($C418,'NEW MODEL BY SES'!$C$19:$R$242,MATCH('SeS in Retail Sales Areas'!R$7,'NEW MODEL BY SES'!$C$17:$R$17,0),0),"")</f>
        <v/>
      </c>
      <c r="S418" s="141" t="str">
        <f>IFERROR(VLOOKUP($C418,'NEW MODEL BY SES'!$C$19:$R$242,MATCH('SeS in Retail Sales Areas'!S$7,'NEW MODEL BY SES'!$C$17:$R$17,0),0),"")</f>
        <v/>
      </c>
      <c r="T418" s="140" t="str">
        <f>IFERROR(VLOOKUP($C418,'NEW MODEL BY SES'!$C$19:$R$242,MATCH('SeS in Retail Sales Areas'!T$7,'NEW MODEL BY SES'!$C$17:$R$17,0),0),"")</f>
        <v/>
      </c>
      <c r="U418" s="142" t="str">
        <f>IFERROR(VLOOKUP($C418,'NEW MODEL BY SES'!$C$19:$R$242,MATCH('SeS in Retail Sales Areas'!U$7,'NEW MODEL BY SES'!$C$17:$R$17,0),0),"")</f>
        <v/>
      </c>
      <c r="V418" s="140" t="str">
        <f>IFERROR(VLOOKUP($C418,'NEW MODEL BY SES'!$C$19:$R$242,MATCH('SeS in Retail Sales Areas'!V$7,'NEW MODEL BY SES'!$C$17:$R$17,0),0),"")</f>
        <v/>
      </c>
      <c r="W418" s="141" t="str">
        <f>IFERROR(VLOOKUP($C418,'NEW MODEL BY SES'!$C$19:$R$242,MATCH('SeS in Retail Sales Areas'!W$7,'NEW MODEL BY SES'!$C$17:$R$17,0),0),"")</f>
        <v/>
      </c>
      <c r="X418" s="140" t="str">
        <f>IFERROR(VLOOKUP($C418,'NEW MODEL BY SES'!$C$19:$R$242,MATCH('SeS in Retail Sales Areas'!X$7,'NEW MODEL BY SES'!$C$17:$R$17,0),0),"")</f>
        <v/>
      </c>
    </row>
    <row r="419" spans="1:24">
      <c r="A419" t="s">
        <v>1361</v>
      </c>
      <c r="B419" s="57">
        <v>144</v>
      </c>
      <c r="C419" t="s">
        <v>1362</v>
      </c>
      <c r="D419" t="s">
        <v>38</v>
      </c>
      <c r="F419" s="140" t="str">
        <f>IFERROR(VLOOKUP($C419,'NEW MODEL BY SES'!$C$19:$R$242,MATCH('SeS in Retail Sales Areas'!F$7,'NEW MODEL BY SES'!$C$17:$R$17,0),0),"")</f>
        <v/>
      </c>
      <c r="G419" s="140" t="str">
        <f>IFERROR(VLOOKUP($C419,'NEW MODEL BY SES'!$C$19:$R$242,MATCH('SeS in Retail Sales Areas'!G$7,'NEW MODEL BY SES'!$C$17:$R$17,0),0),"")</f>
        <v/>
      </c>
      <c r="H419" s="142" t="str">
        <f>IFERROR(VLOOKUP($C419,'NEW MODEL BY SES'!$C$19:$R$242,MATCH('SeS in Retail Sales Areas'!H$7,'NEW MODEL BY SES'!$C$17:$R$17,0),0),"")</f>
        <v/>
      </c>
      <c r="I419" s="140" t="str">
        <f>IFERROR(VLOOKUP($C419,'NEW MODEL BY SES'!$C$19:$R$242,MATCH('SeS in Retail Sales Areas'!I$7,'NEW MODEL BY SES'!$C$17:$R$17,0),0),"")</f>
        <v/>
      </c>
      <c r="J419" s="142" t="str">
        <f>IFERROR(VLOOKUP($C419,'NEW MODEL BY SES'!$C$19:$R$242,MATCH('SeS in Retail Sales Areas'!J$7,'NEW MODEL BY SES'!$C$17:$R$17,0),0),"")</f>
        <v/>
      </c>
      <c r="K419" s="140" t="str">
        <f>IFERROR(VLOOKUP($C419,'NEW MODEL BY SES'!$C$19:$R$242,MATCH('SeS in Retail Sales Areas'!K$7,'NEW MODEL BY SES'!$C$17:$R$17,0),0),"")</f>
        <v/>
      </c>
      <c r="L419" s="142" t="str">
        <f>IFERROR(VLOOKUP($C419,'NEW MODEL BY SES'!$C$19:$R$242,MATCH('SeS in Retail Sales Areas'!L$7,'NEW MODEL BY SES'!$C$17:$R$17,0),0),"")</f>
        <v/>
      </c>
      <c r="M419" s="140" t="str">
        <f>IFERROR(VLOOKUP($C419,'NEW MODEL BY SES'!$C$19:$R$242,MATCH('SeS in Retail Sales Areas'!M$7,'NEW MODEL BY SES'!$C$17:$R$17,0),0),"")</f>
        <v/>
      </c>
      <c r="N419" s="142" t="str">
        <f>IFERROR(VLOOKUP($C419,'NEW MODEL BY SES'!$C$19:$R$242,MATCH('SeS in Retail Sales Areas'!N$7,'NEW MODEL BY SES'!$C$17:$R$17,0),0),"")</f>
        <v/>
      </c>
      <c r="O419" s="140" t="str">
        <f>IFERROR(VLOOKUP($C419,'NEW MODEL BY SES'!$C$19:$R$242,MATCH('SeS in Retail Sales Areas'!O$7,'NEW MODEL BY SES'!$C$17:$R$17,0),0),"")</f>
        <v/>
      </c>
      <c r="P419" s="142" t="str">
        <f>IFERROR(VLOOKUP($C419,'NEW MODEL BY SES'!$C$19:$R$242,MATCH('SeS in Retail Sales Areas'!P$7,'NEW MODEL BY SES'!$C$17:$R$17,0),0),"")</f>
        <v/>
      </c>
      <c r="Q419" s="140" t="str">
        <f>IFERROR(VLOOKUP($C419,'NEW MODEL BY SES'!$C$19:$R$242,MATCH('SeS in Retail Sales Areas'!Q$7,'NEW MODEL BY SES'!$C$17:$R$17,0),0),"")</f>
        <v/>
      </c>
      <c r="R419" s="142" t="str">
        <f>IFERROR(VLOOKUP($C419,'NEW MODEL BY SES'!$C$19:$R$242,MATCH('SeS in Retail Sales Areas'!R$7,'NEW MODEL BY SES'!$C$17:$R$17,0),0),"")</f>
        <v/>
      </c>
      <c r="S419" s="141" t="str">
        <f>IFERROR(VLOOKUP($C419,'NEW MODEL BY SES'!$C$19:$R$242,MATCH('SeS in Retail Sales Areas'!S$7,'NEW MODEL BY SES'!$C$17:$R$17,0),0),"")</f>
        <v/>
      </c>
      <c r="T419" s="140" t="str">
        <f>IFERROR(VLOOKUP($C419,'NEW MODEL BY SES'!$C$19:$R$242,MATCH('SeS in Retail Sales Areas'!T$7,'NEW MODEL BY SES'!$C$17:$R$17,0),0),"")</f>
        <v/>
      </c>
      <c r="U419" s="142" t="str">
        <f>IFERROR(VLOOKUP($C419,'NEW MODEL BY SES'!$C$19:$R$242,MATCH('SeS in Retail Sales Areas'!U$7,'NEW MODEL BY SES'!$C$17:$R$17,0),0),"")</f>
        <v/>
      </c>
      <c r="V419" s="140" t="str">
        <f>IFERROR(VLOOKUP($C419,'NEW MODEL BY SES'!$C$19:$R$242,MATCH('SeS in Retail Sales Areas'!V$7,'NEW MODEL BY SES'!$C$17:$R$17,0),0),"")</f>
        <v/>
      </c>
      <c r="W419" s="141" t="str">
        <f>IFERROR(VLOOKUP($C419,'NEW MODEL BY SES'!$C$19:$R$242,MATCH('SeS in Retail Sales Areas'!W$7,'NEW MODEL BY SES'!$C$17:$R$17,0),0),"")</f>
        <v/>
      </c>
      <c r="X419" s="140" t="str">
        <f>IFERROR(VLOOKUP($C419,'NEW MODEL BY SES'!$C$19:$R$242,MATCH('SeS in Retail Sales Areas'!X$7,'NEW MODEL BY SES'!$C$17:$R$17,0),0),"")</f>
        <v/>
      </c>
    </row>
    <row r="420" spans="1:24">
      <c r="A420" t="s">
        <v>1361</v>
      </c>
      <c r="B420" s="57">
        <v>89</v>
      </c>
      <c r="C420" t="s">
        <v>1363</v>
      </c>
      <c r="D420" t="s">
        <v>40</v>
      </c>
      <c r="F420" s="140" t="str">
        <f>IFERROR(VLOOKUP($C420,'NEW MODEL BY SES'!$C$19:$R$242,MATCH('SeS in Retail Sales Areas'!F$7,'NEW MODEL BY SES'!$C$17:$R$17,0),0),"")</f>
        <v/>
      </c>
      <c r="G420" s="140" t="str">
        <f>IFERROR(VLOOKUP($C420,'NEW MODEL BY SES'!$C$19:$R$242,MATCH('SeS in Retail Sales Areas'!G$7,'NEW MODEL BY SES'!$C$17:$R$17,0),0),"")</f>
        <v/>
      </c>
      <c r="H420" s="142" t="str">
        <f>IFERROR(VLOOKUP($C420,'NEW MODEL BY SES'!$C$19:$R$242,MATCH('SeS in Retail Sales Areas'!H$7,'NEW MODEL BY SES'!$C$17:$R$17,0),0),"")</f>
        <v/>
      </c>
      <c r="I420" s="140" t="str">
        <f>IFERROR(VLOOKUP($C420,'NEW MODEL BY SES'!$C$19:$R$242,MATCH('SeS in Retail Sales Areas'!I$7,'NEW MODEL BY SES'!$C$17:$R$17,0),0),"")</f>
        <v/>
      </c>
      <c r="J420" s="142" t="str">
        <f>IFERROR(VLOOKUP($C420,'NEW MODEL BY SES'!$C$19:$R$242,MATCH('SeS in Retail Sales Areas'!J$7,'NEW MODEL BY SES'!$C$17:$R$17,0),0),"")</f>
        <v/>
      </c>
      <c r="K420" s="140" t="str">
        <f>IFERROR(VLOOKUP($C420,'NEW MODEL BY SES'!$C$19:$R$242,MATCH('SeS in Retail Sales Areas'!K$7,'NEW MODEL BY SES'!$C$17:$R$17,0),0),"")</f>
        <v/>
      </c>
      <c r="L420" s="142" t="str">
        <f>IFERROR(VLOOKUP($C420,'NEW MODEL BY SES'!$C$19:$R$242,MATCH('SeS in Retail Sales Areas'!L$7,'NEW MODEL BY SES'!$C$17:$R$17,0),0),"")</f>
        <v/>
      </c>
      <c r="M420" s="140" t="str">
        <f>IFERROR(VLOOKUP($C420,'NEW MODEL BY SES'!$C$19:$R$242,MATCH('SeS in Retail Sales Areas'!M$7,'NEW MODEL BY SES'!$C$17:$R$17,0),0),"")</f>
        <v/>
      </c>
      <c r="N420" s="142" t="str">
        <f>IFERROR(VLOOKUP($C420,'NEW MODEL BY SES'!$C$19:$R$242,MATCH('SeS in Retail Sales Areas'!N$7,'NEW MODEL BY SES'!$C$17:$R$17,0),0),"")</f>
        <v/>
      </c>
      <c r="O420" s="140" t="str">
        <f>IFERROR(VLOOKUP($C420,'NEW MODEL BY SES'!$C$19:$R$242,MATCH('SeS in Retail Sales Areas'!O$7,'NEW MODEL BY SES'!$C$17:$R$17,0),0),"")</f>
        <v/>
      </c>
      <c r="P420" s="142" t="str">
        <f>IFERROR(VLOOKUP($C420,'NEW MODEL BY SES'!$C$19:$R$242,MATCH('SeS in Retail Sales Areas'!P$7,'NEW MODEL BY SES'!$C$17:$R$17,0),0),"")</f>
        <v/>
      </c>
      <c r="Q420" s="140" t="str">
        <f>IFERROR(VLOOKUP($C420,'NEW MODEL BY SES'!$C$19:$R$242,MATCH('SeS in Retail Sales Areas'!Q$7,'NEW MODEL BY SES'!$C$17:$R$17,0),0),"")</f>
        <v/>
      </c>
      <c r="R420" s="142" t="str">
        <f>IFERROR(VLOOKUP($C420,'NEW MODEL BY SES'!$C$19:$R$242,MATCH('SeS in Retail Sales Areas'!R$7,'NEW MODEL BY SES'!$C$17:$R$17,0),0),"")</f>
        <v/>
      </c>
      <c r="S420" s="141" t="str">
        <f>IFERROR(VLOOKUP($C420,'NEW MODEL BY SES'!$C$19:$R$242,MATCH('SeS in Retail Sales Areas'!S$7,'NEW MODEL BY SES'!$C$17:$R$17,0),0),"")</f>
        <v/>
      </c>
      <c r="T420" s="140" t="str">
        <f>IFERROR(VLOOKUP($C420,'NEW MODEL BY SES'!$C$19:$R$242,MATCH('SeS in Retail Sales Areas'!T$7,'NEW MODEL BY SES'!$C$17:$R$17,0),0),"")</f>
        <v/>
      </c>
      <c r="U420" s="142" t="str">
        <f>IFERROR(VLOOKUP($C420,'NEW MODEL BY SES'!$C$19:$R$242,MATCH('SeS in Retail Sales Areas'!U$7,'NEW MODEL BY SES'!$C$17:$R$17,0),0),"")</f>
        <v/>
      </c>
      <c r="V420" s="140" t="str">
        <f>IFERROR(VLOOKUP($C420,'NEW MODEL BY SES'!$C$19:$R$242,MATCH('SeS in Retail Sales Areas'!V$7,'NEW MODEL BY SES'!$C$17:$R$17,0),0),"")</f>
        <v/>
      </c>
      <c r="W420" s="141" t="str">
        <f>IFERROR(VLOOKUP($C420,'NEW MODEL BY SES'!$C$19:$R$242,MATCH('SeS in Retail Sales Areas'!W$7,'NEW MODEL BY SES'!$C$17:$R$17,0),0),"")</f>
        <v/>
      </c>
      <c r="X420" s="140" t="str">
        <f>IFERROR(VLOOKUP($C420,'NEW MODEL BY SES'!$C$19:$R$242,MATCH('SeS in Retail Sales Areas'!X$7,'NEW MODEL BY SES'!$C$17:$R$17,0),0),"")</f>
        <v/>
      </c>
    </row>
    <row r="421" spans="1:24">
      <c r="A421" t="s">
        <v>1361</v>
      </c>
      <c r="B421" s="57">
        <v>83</v>
      </c>
      <c r="C421" t="s">
        <v>1364</v>
      </c>
      <c r="D421" t="s">
        <v>40</v>
      </c>
      <c r="F421" s="140" t="str">
        <f>IFERROR(VLOOKUP($C421,'NEW MODEL BY SES'!$C$19:$R$242,MATCH('SeS in Retail Sales Areas'!F$7,'NEW MODEL BY SES'!$C$17:$R$17,0),0),"")</f>
        <v/>
      </c>
      <c r="G421" s="140" t="str">
        <f>IFERROR(VLOOKUP($C421,'NEW MODEL BY SES'!$C$19:$R$242,MATCH('SeS in Retail Sales Areas'!G$7,'NEW MODEL BY SES'!$C$17:$R$17,0),0),"")</f>
        <v/>
      </c>
      <c r="H421" s="142" t="str">
        <f>IFERROR(VLOOKUP($C421,'NEW MODEL BY SES'!$C$19:$R$242,MATCH('SeS in Retail Sales Areas'!H$7,'NEW MODEL BY SES'!$C$17:$R$17,0),0),"")</f>
        <v/>
      </c>
      <c r="I421" s="140" t="str">
        <f>IFERROR(VLOOKUP($C421,'NEW MODEL BY SES'!$C$19:$R$242,MATCH('SeS in Retail Sales Areas'!I$7,'NEW MODEL BY SES'!$C$17:$R$17,0),0),"")</f>
        <v/>
      </c>
      <c r="J421" s="142" t="str">
        <f>IFERROR(VLOOKUP($C421,'NEW MODEL BY SES'!$C$19:$R$242,MATCH('SeS in Retail Sales Areas'!J$7,'NEW MODEL BY SES'!$C$17:$R$17,0),0),"")</f>
        <v/>
      </c>
      <c r="K421" s="140" t="str">
        <f>IFERROR(VLOOKUP($C421,'NEW MODEL BY SES'!$C$19:$R$242,MATCH('SeS in Retail Sales Areas'!K$7,'NEW MODEL BY SES'!$C$17:$R$17,0),0),"")</f>
        <v/>
      </c>
      <c r="L421" s="142" t="str">
        <f>IFERROR(VLOOKUP($C421,'NEW MODEL BY SES'!$C$19:$R$242,MATCH('SeS in Retail Sales Areas'!L$7,'NEW MODEL BY SES'!$C$17:$R$17,0),0),"")</f>
        <v/>
      </c>
      <c r="M421" s="140" t="str">
        <f>IFERROR(VLOOKUP($C421,'NEW MODEL BY SES'!$C$19:$R$242,MATCH('SeS in Retail Sales Areas'!M$7,'NEW MODEL BY SES'!$C$17:$R$17,0),0),"")</f>
        <v/>
      </c>
      <c r="N421" s="142" t="str">
        <f>IFERROR(VLOOKUP($C421,'NEW MODEL BY SES'!$C$19:$R$242,MATCH('SeS in Retail Sales Areas'!N$7,'NEW MODEL BY SES'!$C$17:$R$17,0),0),"")</f>
        <v/>
      </c>
      <c r="O421" s="140" t="str">
        <f>IFERROR(VLOOKUP($C421,'NEW MODEL BY SES'!$C$19:$R$242,MATCH('SeS in Retail Sales Areas'!O$7,'NEW MODEL BY SES'!$C$17:$R$17,0),0),"")</f>
        <v/>
      </c>
      <c r="P421" s="142" t="str">
        <f>IFERROR(VLOOKUP($C421,'NEW MODEL BY SES'!$C$19:$R$242,MATCH('SeS in Retail Sales Areas'!P$7,'NEW MODEL BY SES'!$C$17:$R$17,0),0),"")</f>
        <v/>
      </c>
      <c r="Q421" s="140" t="str">
        <f>IFERROR(VLOOKUP($C421,'NEW MODEL BY SES'!$C$19:$R$242,MATCH('SeS in Retail Sales Areas'!Q$7,'NEW MODEL BY SES'!$C$17:$R$17,0),0),"")</f>
        <v/>
      </c>
      <c r="R421" s="142" t="str">
        <f>IFERROR(VLOOKUP($C421,'NEW MODEL BY SES'!$C$19:$R$242,MATCH('SeS in Retail Sales Areas'!R$7,'NEW MODEL BY SES'!$C$17:$R$17,0),0),"")</f>
        <v/>
      </c>
      <c r="S421" s="141" t="str">
        <f>IFERROR(VLOOKUP($C421,'NEW MODEL BY SES'!$C$19:$R$242,MATCH('SeS in Retail Sales Areas'!S$7,'NEW MODEL BY SES'!$C$17:$R$17,0),0),"")</f>
        <v/>
      </c>
      <c r="T421" s="140" t="str">
        <f>IFERROR(VLOOKUP($C421,'NEW MODEL BY SES'!$C$19:$R$242,MATCH('SeS in Retail Sales Areas'!T$7,'NEW MODEL BY SES'!$C$17:$R$17,0),0),"")</f>
        <v/>
      </c>
      <c r="U421" s="142" t="str">
        <f>IFERROR(VLOOKUP($C421,'NEW MODEL BY SES'!$C$19:$R$242,MATCH('SeS in Retail Sales Areas'!U$7,'NEW MODEL BY SES'!$C$17:$R$17,0),0),"")</f>
        <v/>
      </c>
      <c r="V421" s="140" t="str">
        <f>IFERROR(VLOOKUP($C421,'NEW MODEL BY SES'!$C$19:$R$242,MATCH('SeS in Retail Sales Areas'!V$7,'NEW MODEL BY SES'!$C$17:$R$17,0),0),"")</f>
        <v/>
      </c>
      <c r="W421" s="141" t="str">
        <f>IFERROR(VLOOKUP($C421,'NEW MODEL BY SES'!$C$19:$R$242,MATCH('SeS in Retail Sales Areas'!W$7,'NEW MODEL BY SES'!$C$17:$R$17,0),0),"")</f>
        <v/>
      </c>
      <c r="X421" s="140" t="str">
        <f>IFERROR(VLOOKUP($C421,'NEW MODEL BY SES'!$C$19:$R$242,MATCH('SeS in Retail Sales Areas'!X$7,'NEW MODEL BY SES'!$C$17:$R$17,0),0),"")</f>
        <v/>
      </c>
    </row>
    <row r="422" spans="1:24">
      <c r="A422" t="s">
        <v>1365</v>
      </c>
      <c r="B422" s="57">
        <v>108</v>
      </c>
      <c r="C422" t="s">
        <v>1366</v>
      </c>
      <c r="D422" t="s">
        <v>40</v>
      </c>
      <c r="F422" s="140" t="str">
        <f>IFERROR(VLOOKUP($C422,'NEW MODEL BY SES'!$C$19:$R$242,MATCH('SeS in Retail Sales Areas'!F$7,'NEW MODEL BY SES'!$C$17:$R$17,0),0),"")</f>
        <v/>
      </c>
      <c r="G422" s="140" t="str">
        <f>IFERROR(VLOOKUP($C422,'NEW MODEL BY SES'!$C$19:$R$242,MATCH('SeS in Retail Sales Areas'!G$7,'NEW MODEL BY SES'!$C$17:$R$17,0),0),"")</f>
        <v/>
      </c>
      <c r="H422" s="142" t="str">
        <f>IFERROR(VLOOKUP($C422,'NEW MODEL BY SES'!$C$19:$R$242,MATCH('SeS in Retail Sales Areas'!H$7,'NEW MODEL BY SES'!$C$17:$R$17,0),0),"")</f>
        <v/>
      </c>
      <c r="I422" s="140" t="str">
        <f>IFERROR(VLOOKUP($C422,'NEW MODEL BY SES'!$C$19:$R$242,MATCH('SeS in Retail Sales Areas'!I$7,'NEW MODEL BY SES'!$C$17:$R$17,0),0),"")</f>
        <v/>
      </c>
      <c r="J422" s="142" t="str">
        <f>IFERROR(VLOOKUP($C422,'NEW MODEL BY SES'!$C$19:$R$242,MATCH('SeS in Retail Sales Areas'!J$7,'NEW MODEL BY SES'!$C$17:$R$17,0),0),"")</f>
        <v/>
      </c>
      <c r="K422" s="140" t="str">
        <f>IFERROR(VLOOKUP($C422,'NEW MODEL BY SES'!$C$19:$R$242,MATCH('SeS in Retail Sales Areas'!K$7,'NEW MODEL BY SES'!$C$17:$R$17,0),0),"")</f>
        <v/>
      </c>
      <c r="L422" s="142" t="str">
        <f>IFERROR(VLOOKUP($C422,'NEW MODEL BY SES'!$C$19:$R$242,MATCH('SeS in Retail Sales Areas'!L$7,'NEW MODEL BY SES'!$C$17:$R$17,0),0),"")</f>
        <v/>
      </c>
      <c r="M422" s="140" t="str">
        <f>IFERROR(VLOOKUP($C422,'NEW MODEL BY SES'!$C$19:$R$242,MATCH('SeS in Retail Sales Areas'!M$7,'NEW MODEL BY SES'!$C$17:$R$17,0),0),"")</f>
        <v/>
      </c>
      <c r="N422" s="142" t="str">
        <f>IFERROR(VLOOKUP($C422,'NEW MODEL BY SES'!$C$19:$R$242,MATCH('SeS in Retail Sales Areas'!N$7,'NEW MODEL BY SES'!$C$17:$R$17,0),0),"")</f>
        <v/>
      </c>
      <c r="O422" s="140" t="str">
        <f>IFERROR(VLOOKUP($C422,'NEW MODEL BY SES'!$C$19:$R$242,MATCH('SeS in Retail Sales Areas'!O$7,'NEW MODEL BY SES'!$C$17:$R$17,0),0),"")</f>
        <v/>
      </c>
      <c r="P422" s="142" t="str">
        <f>IFERROR(VLOOKUP($C422,'NEW MODEL BY SES'!$C$19:$R$242,MATCH('SeS in Retail Sales Areas'!P$7,'NEW MODEL BY SES'!$C$17:$R$17,0),0),"")</f>
        <v/>
      </c>
      <c r="Q422" s="140" t="str">
        <f>IFERROR(VLOOKUP($C422,'NEW MODEL BY SES'!$C$19:$R$242,MATCH('SeS in Retail Sales Areas'!Q$7,'NEW MODEL BY SES'!$C$17:$R$17,0),0),"")</f>
        <v/>
      </c>
      <c r="R422" s="142" t="str">
        <f>IFERROR(VLOOKUP($C422,'NEW MODEL BY SES'!$C$19:$R$242,MATCH('SeS in Retail Sales Areas'!R$7,'NEW MODEL BY SES'!$C$17:$R$17,0),0),"")</f>
        <v/>
      </c>
      <c r="S422" s="141" t="str">
        <f>IFERROR(VLOOKUP($C422,'NEW MODEL BY SES'!$C$19:$R$242,MATCH('SeS in Retail Sales Areas'!S$7,'NEW MODEL BY SES'!$C$17:$R$17,0),0),"")</f>
        <v/>
      </c>
      <c r="T422" s="140" t="str">
        <f>IFERROR(VLOOKUP($C422,'NEW MODEL BY SES'!$C$19:$R$242,MATCH('SeS in Retail Sales Areas'!T$7,'NEW MODEL BY SES'!$C$17:$R$17,0),0),"")</f>
        <v/>
      </c>
      <c r="U422" s="142" t="str">
        <f>IFERROR(VLOOKUP($C422,'NEW MODEL BY SES'!$C$19:$R$242,MATCH('SeS in Retail Sales Areas'!U$7,'NEW MODEL BY SES'!$C$17:$R$17,0),0),"")</f>
        <v/>
      </c>
      <c r="V422" s="140" t="str">
        <f>IFERROR(VLOOKUP($C422,'NEW MODEL BY SES'!$C$19:$R$242,MATCH('SeS in Retail Sales Areas'!V$7,'NEW MODEL BY SES'!$C$17:$R$17,0),0),"")</f>
        <v/>
      </c>
      <c r="W422" s="141" t="str">
        <f>IFERROR(VLOOKUP($C422,'NEW MODEL BY SES'!$C$19:$R$242,MATCH('SeS in Retail Sales Areas'!W$7,'NEW MODEL BY SES'!$C$17:$R$17,0),0),"")</f>
        <v/>
      </c>
      <c r="X422" s="140" t="str">
        <f>IFERROR(VLOOKUP($C422,'NEW MODEL BY SES'!$C$19:$R$242,MATCH('SeS in Retail Sales Areas'!X$7,'NEW MODEL BY SES'!$C$17:$R$17,0),0),"")</f>
        <v/>
      </c>
    </row>
    <row r="423" spans="1:24">
      <c r="A423" t="s">
        <v>1365</v>
      </c>
      <c r="B423" s="57">
        <v>98</v>
      </c>
      <c r="C423" t="s">
        <v>1367</v>
      </c>
      <c r="D423" t="s">
        <v>40</v>
      </c>
      <c r="F423" s="140" t="str">
        <f>IFERROR(VLOOKUP($C423,'NEW MODEL BY SES'!$C$19:$R$242,MATCH('SeS in Retail Sales Areas'!F$7,'NEW MODEL BY SES'!$C$17:$R$17,0),0),"")</f>
        <v/>
      </c>
      <c r="G423" s="140" t="str">
        <f>IFERROR(VLOOKUP($C423,'NEW MODEL BY SES'!$C$19:$R$242,MATCH('SeS in Retail Sales Areas'!G$7,'NEW MODEL BY SES'!$C$17:$R$17,0),0),"")</f>
        <v/>
      </c>
      <c r="H423" s="142" t="str">
        <f>IFERROR(VLOOKUP($C423,'NEW MODEL BY SES'!$C$19:$R$242,MATCH('SeS in Retail Sales Areas'!H$7,'NEW MODEL BY SES'!$C$17:$R$17,0),0),"")</f>
        <v/>
      </c>
      <c r="I423" s="140" t="str">
        <f>IFERROR(VLOOKUP($C423,'NEW MODEL BY SES'!$C$19:$R$242,MATCH('SeS in Retail Sales Areas'!I$7,'NEW MODEL BY SES'!$C$17:$R$17,0),0),"")</f>
        <v/>
      </c>
      <c r="J423" s="142" t="str">
        <f>IFERROR(VLOOKUP($C423,'NEW MODEL BY SES'!$C$19:$R$242,MATCH('SeS in Retail Sales Areas'!J$7,'NEW MODEL BY SES'!$C$17:$R$17,0),0),"")</f>
        <v/>
      </c>
      <c r="K423" s="140" t="str">
        <f>IFERROR(VLOOKUP($C423,'NEW MODEL BY SES'!$C$19:$R$242,MATCH('SeS in Retail Sales Areas'!K$7,'NEW MODEL BY SES'!$C$17:$R$17,0),0),"")</f>
        <v/>
      </c>
      <c r="L423" s="142" t="str">
        <f>IFERROR(VLOOKUP($C423,'NEW MODEL BY SES'!$C$19:$R$242,MATCH('SeS in Retail Sales Areas'!L$7,'NEW MODEL BY SES'!$C$17:$R$17,0),0),"")</f>
        <v/>
      </c>
      <c r="M423" s="140" t="str">
        <f>IFERROR(VLOOKUP($C423,'NEW MODEL BY SES'!$C$19:$R$242,MATCH('SeS in Retail Sales Areas'!M$7,'NEW MODEL BY SES'!$C$17:$R$17,0),0),"")</f>
        <v/>
      </c>
      <c r="N423" s="142" t="str">
        <f>IFERROR(VLOOKUP($C423,'NEW MODEL BY SES'!$C$19:$R$242,MATCH('SeS in Retail Sales Areas'!N$7,'NEW MODEL BY SES'!$C$17:$R$17,0),0),"")</f>
        <v/>
      </c>
      <c r="O423" s="140" t="str">
        <f>IFERROR(VLOOKUP($C423,'NEW MODEL BY SES'!$C$19:$R$242,MATCH('SeS in Retail Sales Areas'!O$7,'NEW MODEL BY SES'!$C$17:$R$17,0),0),"")</f>
        <v/>
      </c>
      <c r="P423" s="142" t="str">
        <f>IFERROR(VLOOKUP($C423,'NEW MODEL BY SES'!$C$19:$R$242,MATCH('SeS in Retail Sales Areas'!P$7,'NEW MODEL BY SES'!$C$17:$R$17,0),0),"")</f>
        <v/>
      </c>
      <c r="Q423" s="140" t="str">
        <f>IFERROR(VLOOKUP($C423,'NEW MODEL BY SES'!$C$19:$R$242,MATCH('SeS in Retail Sales Areas'!Q$7,'NEW MODEL BY SES'!$C$17:$R$17,0),0),"")</f>
        <v/>
      </c>
      <c r="R423" s="142" t="str">
        <f>IFERROR(VLOOKUP($C423,'NEW MODEL BY SES'!$C$19:$R$242,MATCH('SeS in Retail Sales Areas'!R$7,'NEW MODEL BY SES'!$C$17:$R$17,0),0),"")</f>
        <v/>
      </c>
      <c r="S423" s="141" t="str">
        <f>IFERROR(VLOOKUP($C423,'NEW MODEL BY SES'!$C$19:$R$242,MATCH('SeS in Retail Sales Areas'!S$7,'NEW MODEL BY SES'!$C$17:$R$17,0),0),"")</f>
        <v/>
      </c>
      <c r="T423" s="140" t="str">
        <f>IFERROR(VLOOKUP($C423,'NEW MODEL BY SES'!$C$19:$R$242,MATCH('SeS in Retail Sales Areas'!T$7,'NEW MODEL BY SES'!$C$17:$R$17,0),0),"")</f>
        <v/>
      </c>
      <c r="U423" s="142" t="str">
        <f>IFERROR(VLOOKUP($C423,'NEW MODEL BY SES'!$C$19:$R$242,MATCH('SeS in Retail Sales Areas'!U$7,'NEW MODEL BY SES'!$C$17:$R$17,0),0),"")</f>
        <v/>
      </c>
      <c r="V423" s="140" t="str">
        <f>IFERROR(VLOOKUP($C423,'NEW MODEL BY SES'!$C$19:$R$242,MATCH('SeS in Retail Sales Areas'!V$7,'NEW MODEL BY SES'!$C$17:$R$17,0),0),"")</f>
        <v/>
      </c>
      <c r="W423" s="141" t="str">
        <f>IFERROR(VLOOKUP($C423,'NEW MODEL BY SES'!$C$19:$R$242,MATCH('SeS in Retail Sales Areas'!W$7,'NEW MODEL BY SES'!$C$17:$R$17,0),0),"")</f>
        <v/>
      </c>
      <c r="X423" s="140" t="str">
        <f>IFERROR(VLOOKUP($C423,'NEW MODEL BY SES'!$C$19:$R$242,MATCH('SeS in Retail Sales Areas'!X$7,'NEW MODEL BY SES'!$C$17:$R$17,0),0),"")</f>
        <v/>
      </c>
    </row>
    <row r="424" spans="1:24">
      <c r="A424" t="s">
        <v>1365</v>
      </c>
      <c r="B424" s="57">
        <v>97</v>
      </c>
      <c r="C424" t="s">
        <v>1368</v>
      </c>
      <c r="D424" t="s">
        <v>40</v>
      </c>
      <c r="F424" s="140" t="str">
        <f>IFERROR(VLOOKUP($C424,'NEW MODEL BY SES'!$C$19:$R$242,MATCH('SeS in Retail Sales Areas'!F$7,'NEW MODEL BY SES'!$C$17:$R$17,0),0),"")</f>
        <v/>
      </c>
      <c r="G424" s="140" t="str">
        <f>IFERROR(VLOOKUP($C424,'NEW MODEL BY SES'!$C$19:$R$242,MATCH('SeS in Retail Sales Areas'!G$7,'NEW MODEL BY SES'!$C$17:$R$17,0),0),"")</f>
        <v/>
      </c>
      <c r="H424" s="142" t="str">
        <f>IFERROR(VLOOKUP($C424,'NEW MODEL BY SES'!$C$19:$R$242,MATCH('SeS in Retail Sales Areas'!H$7,'NEW MODEL BY SES'!$C$17:$R$17,0),0),"")</f>
        <v/>
      </c>
      <c r="I424" s="140" t="str">
        <f>IFERROR(VLOOKUP($C424,'NEW MODEL BY SES'!$C$19:$R$242,MATCH('SeS in Retail Sales Areas'!I$7,'NEW MODEL BY SES'!$C$17:$R$17,0),0),"")</f>
        <v/>
      </c>
      <c r="J424" s="142" t="str">
        <f>IFERROR(VLOOKUP($C424,'NEW MODEL BY SES'!$C$19:$R$242,MATCH('SeS in Retail Sales Areas'!J$7,'NEW MODEL BY SES'!$C$17:$R$17,0),0),"")</f>
        <v/>
      </c>
      <c r="K424" s="140" t="str">
        <f>IFERROR(VLOOKUP($C424,'NEW MODEL BY SES'!$C$19:$R$242,MATCH('SeS in Retail Sales Areas'!K$7,'NEW MODEL BY SES'!$C$17:$R$17,0),0),"")</f>
        <v/>
      </c>
      <c r="L424" s="142" t="str">
        <f>IFERROR(VLOOKUP($C424,'NEW MODEL BY SES'!$C$19:$R$242,MATCH('SeS in Retail Sales Areas'!L$7,'NEW MODEL BY SES'!$C$17:$R$17,0),0),"")</f>
        <v/>
      </c>
      <c r="M424" s="140" t="str">
        <f>IFERROR(VLOOKUP($C424,'NEW MODEL BY SES'!$C$19:$R$242,MATCH('SeS in Retail Sales Areas'!M$7,'NEW MODEL BY SES'!$C$17:$R$17,0),0),"")</f>
        <v/>
      </c>
      <c r="N424" s="142" t="str">
        <f>IFERROR(VLOOKUP($C424,'NEW MODEL BY SES'!$C$19:$R$242,MATCH('SeS in Retail Sales Areas'!N$7,'NEW MODEL BY SES'!$C$17:$R$17,0),0),"")</f>
        <v/>
      </c>
      <c r="O424" s="140" t="str">
        <f>IFERROR(VLOOKUP($C424,'NEW MODEL BY SES'!$C$19:$R$242,MATCH('SeS in Retail Sales Areas'!O$7,'NEW MODEL BY SES'!$C$17:$R$17,0),0),"")</f>
        <v/>
      </c>
      <c r="P424" s="142" t="str">
        <f>IFERROR(VLOOKUP($C424,'NEW MODEL BY SES'!$C$19:$R$242,MATCH('SeS in Retail Sales Areas'!P$7,'NEW MODEL BY SES'!$C$17:$R$17,0),0),"")</f>
        <v/>
      </c>
      <c r="Q424" s="140" t="str">
        <f>IFERROR(VLOOKUP($C424,'NEW MODEL BY SES'!$C$19:$R$242,MATCH('SeS in Retail Sales Areas'!Q$7,'NEW MODEL BY SES'!$C$17:$R$17,0),0),"")</f>
        <v/>
      </c>
      <c r="R424" s="142" t="str">
        <f>IFERROR(VLOOKUP($C424,'NEW MODEL BY SES'!$C$19:$R$242,MATCH('SeS in Retail Sales Areas'!R$7,'NEW MODEL BY SES'!$C$17:$R$17,0),0),"")</f>
        <v/>
      </c>
      <c r="S424" s="141" t="str">
        <f>IFERROR(VLOOKUP($C424,'NEW MODEL BY SES'!$C$19:$R$242,MATCH('SeS in Retail Sales Areas'!S$7,'NEW MODEL BY SES'!$C$17:$R$17,0),0),"")</f>
        <v/>
      </c>
      <c r="T424" s="140" t="str">
        <f>IFERROR(VLOOKUP($C424,'NEW MODEL BY SES'!$C$19:$R$242,MATCH('SeS in Retail Sales Areas'!T$7,'NEW MODEL BY SES'!$C$17:$R$17,0),0),"")</f>
        <v/>
      </c>
      <c r="U424" s="142" t="str">
        <f>IFERROR(VLOOKUP($C424,'NEW MODEL BY SES'!$C$19:$R$242,MATCH('SeS in Retail Sales Areas'!U$7,'NEW MODEL BY SES'!$C$17:$R$17,0),0),"")</f>
        <v/>
      </c>
      <c r="V424" s="140" t="str">
        <f>IFERROR(VLOOKUP($C424,'NEW MODEL BY SES'!$C$19:$R$242,MATCH('SeS in Retail Sales Areas'!V$7,'NEW MODEL BY SES'!$C$17:$R$17,0),0),"")</f>
        <v/>
      </c>
      <c r="W424" s="141" t="str">
        <f>IFERROR(VLOOKUP($C424,'NEW MODEL BY SES'!$C$19:$R$242,MATCH('SeS in Retail Sales Areas'!W$7,'NEW MODEL BY SES'!$C$17:$R$17,0),0),"")</f>
        <v/>
      </c>
      <c r="X424" s="140" t="str">
        <f>IFERROR(VLOOKUP($C424,'NEW MODEL BY SES'!$C$19:$R$242,MATCH('SeS in Retail Sales Areas'!X$7,'NEW MODEL BY SES'!$C$17:$R$17,0),0),"")</f>
        <v/>
      </c>
    </row>
    <row r="425" spans="1:24">
      <c r="A425" t="s">
        <v>1369</v>
      </c>
      <c r="B425" s="57">
        <v>200</v>
      </c>
      <c r="C425" t="s">
        <v>1370</v>
      </c>
      <c r="D425" t="s">
        <v>33</v>
      </c>
      <c r="F425" s="140" t="str">
        <f>IFERROR(VLOOKUP($C425,'NEW MODEL BY SES'!$C$19:$R$242,MATCH('SeS in Retail Sales Areas'!F$7,'NEW MODEL BY SES'!$C$17:$R$17,0),0),"")</f>
        <v/>
      </c>
      <c r="G425" s="140" t="str">
        <f>IFERROR(VLOOKUP($C425,'NEW MODEL BY SES'!$C$19:$R$242,MATCH('SeS in Retail Sales Areas'!G$7,'NEW MODEL BY SES'!$C$17:$R$17,0),0),"")</f>
        <v/>
      </c>
      <c r="H425" s="142" t="str">
        <f>IFERROR(VLOOKUP($C425,'NEW MODEL BY SES'!$C$19:$R$242,MATCH('SeS in Retail Sales Areas'!H$7,'NEW MODEL BY SES'!$C$17:$R$17,0),0),"")</f>
        <v/>
      </c>
      <c r="I425" s="140" t="str">
        <f>IFERROR(VLOOKUP($C425,'NEW MODEL BY SES'!$C$19:$R$242,MATCH('SeS in Retail Sales Areas'!I$7,'NEW MODEL BY SES'!$C$17:$R$17,0),0),"")</f>
        <v/>
      </c>
      <c r="J425" s="142" t="str">
        <f>IFERROR(VLOOKUP($C425,'NEW MODEL BY SES'!$C$19:$R$242,MATCH('SeS in Retail Sales Areas'!J$7,'NEW MODEL BY SES'!$C$17:$R$17,0),0),"")</f>
        <v/>
      </c>
      <c r="K425" s="140" t="str">
        <f>IFERROR(VLOOKUP($C425,'NEW MODEL BY SES'!$C$19:$R$242,MATCH('SeS in Retail Sales Areas'!K$7,'NEW MODEL BY SES'!$C$17:$R$17,0),0),"")</f>
        <v/>
      </c>
      <c r="L425" s="142" t="str">
        <f>IFERROR(VLOOKUP($C425,'NEW MODEL BY SES'!$C$19:$R$242,MATCH('SeS in Retail Sales Areas'!L$7,'NEW MODEL BY SES'!$C$17:$R$17,0),0),"")</f>
        <v/>
      </c>
      <c r="M425" s="140" t="str">
        <f>IFERROR(VLOOKUP($C425,'NEW MODEL BY SES'!$C$19:$R$242,MATCH('SeS in Retail Sales Areas'!M$7,'NEW MODEL BY SES'!$C$17:$R$17,0),0),"")</f>
        <v/>
      </c>
      <c r="N425" s="142" t="str">
        <f>IFERROR(VLOOKUP($C425,'NEW MODEL BY SES'!$C$19:$R$242,MATCH('SeS in Retail Sales Areas'!N$7,'NEW MODEL BY SES'!$C$17:$R$17,0),0),"")</f>
        <v/>
      </c>
      <c r="O425" s="140" t="str">
        <f>IFERROR(VLOOKUP($C425,'NEW MODEL BY SES'!$C$19:$R$242,MATCH('SeS in Retail Sales Areas'!O$7,'NEW MODEL BY SES'!$C$17:$R$17,0),0),"")</f>
        <v/>
      </c>
      <c r="P425" s="142" t="str">
        <f>IFERROR(VLOOKUP($C425,'NEW MODEL BY SES'!$C$19:$R$242,MATCH('SeS in Retail Sales Areas'!P$7,'NEW MODEL BY SES'!$C$17:$R$17,0),0),"")</f>
        <v/>
      </c>
      <c r="Q425" s="140" t="str">
        <f>IFERROR(VLOOKUP($C425,'NEW MODEL BY SES'!$C$19:$R$242,MATCH('SeS in Retail Sales Areas'!Q$7,'NEW MODEL BY SES'!$C$17:$R$17,0),0),"")</f>
        <v/>
      </c>
      <c r="R425" s="142" t="str">
        <f>IFERROR(VLOOKUP($C425,'NEW MODEL BY SES'!$C$19:$R$242,MATCH('SeS in Retail Sales Areas'!R$7,'NEW MODEL BY SES'!$C$17:$R$17,0),0),"")</f>
        <v/>
      </c>
      <c r="S425" s="141" t="str">
        <f>IFERROR(VLOOKUP($C425,'NEW MODEL BY SES'!$C$19:$R$242,MATCH('SeS in Retail Sales Areas'!S$7,'NEW MODEL BY SES'!$C$17:$R$17,0),0),"")</f>
        <v/>
      </c>
      <c r="T425" s="140" t="str">
        <f>IFERROR(VLOOKUP($C425,'NEW MODEL BY SES'!$C$19:$R$242,MATCH('SeS in Retail Sales Areas'!T$7,'NEW MODEL BY SES'!$C$17:$R$17,0),0),"")</f>
        <v/>
      </c>
      <c r="U425" s="142" t="str">
        <f>IFERROR(VLOOKUP($C425,'NEW MODEL BY SES'!$C$19:$R$242,MATCH('SeS in Retail Sales Areas'!U$7,'NEW MODEL BY SES'!$C$17:$R$17,0),0),"")</f>
        <v/>
      </c>
      <c r="V425" s="140" t="str">
        <f>IFERROR(VLOOKUP($C425,'NEW MODEL BY SES'!$C$19:$R$242,MATCH('SeS in Retail Sales Areas'!V$7,'NEW MODEL BY SES'!$C$17:$R$17,0),0),"")</f>
        <v/>
      </c>
      <c r="W425" s="141" t="str">
        <f>IFERROR(VLOOKUP($C425,'NEW MODEL BY SES'!$C$19:$R$242,MATCH('SeS in Retail Sales Areas'!W$7,'NEW MODEL BY SES'!$C$17:$R$17,0),0),"")</f>
        <v/>
      </c>
      <c r="X425" s="140" t="str">
        <f>IFERROR(VLOOKUP($C425,'NEW MODEL BY SES'!$C$19:$R$242,MATCH('SeS in Retail Sales Areas'!X$7,'NEW MODEL BY SES'!$C$17:$R$17,0),0),"")</f>
        <v/>
      </c>
    </row>
    <row r="426" spans="1:24">
      <c r="A426" t="s">
        <v>1369</v>
      </c>
      <c r="B426" s="57">
        <v>200</v>
      </c>
      <c r="C426" t="s">
        <v>1371</v>
      </c>
      <c r="D426" t="s">
        <v>33</v>
      </c>
      <c r="F426" s="140" t="str">
        <f>IFERROR(VLOOKUP($C426,'NEW MODEL BY SES'!$C$19:$R$242,MATCH('SeS in Retail Sales Areas'!F$7,'NEW MODEL BY SES'!$C$17:$R$17,0),0),"")</f>
        <v/>
      </c>
      <c r="G426" s="140" t="str">
        <f>IFERROR(VLOOKUP($C426,'NEW MODEL BY SES'!$C$19:$R$242,MATCH('SeS in Retail Sales Areas'!G$7,'NEW MODEL BY SES'!$C$17:$R$17,0),0),"")</f>
        <v/>
      </c>
      <c r="H426" s="142" t="str">
        <f>IFERROR(VLOOKUP($C426,'NEW MODEL BY SES'!$C$19:$R$242,MATCH('SeS in Retail Sales Areas'!H$7,'NEW MODEL BY SES'!$C$17:$R$17,0),0),"")</f>
        <v/>
      </c>
      <c r="I426" s="140" t="str">
        <f>IFERROR(VLOOKUP($C426,'NEW MODEL BY SES'!$C$19:$R$242,MATCH('SeS in Retail Sales Areas'!I$7,'NEW MODEL BY SES'!$C$17:$R$17,0),0),"")</f>
        <v/>
      </c>
      <c r="J426" s="142" t="str">
        <f>IFERROR(VLOOKUP($C426,'NEW MODEL BY SES'!$C$19:$R$242,MATCH('SeS in Retail Sales Areas'!J$7,'NEW MODEL BY SES'!$C$17:$R$17,0),0),"")</f>
        <v/>
      </c>
      <c r="K426" s="140" t="str">
        <f>IFERROR(VLOOKUP($C426,'NEW MODEL BY SES'!$C$19:$R$242,MATCH('SeS in Retail Sales Areas'!K$7,'NEW MODEL BY SES'!$C$17:$R$17,0),0),"")</f>
        <v/>
      </c>
      <c r="L426" s="142" t="str">
        <f>IFERROR(VLOOKUP($C426,'NEW MODEL BY SES'!$C$19:$R$242,MATCH('SeS in Retail Sales Areas'!L$7,'NEW MODEL BY SES'!$C$17:$R$17,0),0),"")</f>
        <v/>
      </c>
      <c r="M426" s="140" t="str">
        <f>IFERROR(VLOOKUP($C426,'NEW MODEL BY SES'!$C$19:$R$242,MATCH('SeS in Retail Sales Areas'!M$7,'NEW MODEL BY SES'!$C$17:$R$17,0),0),"")</f>
        <v/>
      </c>
      <c r="N426" s="142" t="str">
        <f>IFERROR(VLOOKUP($C426,'NEW MODEL BY SES'!$C$19:$R$242,MATCH('SeS in Retail Sales Areas'!N$7,'NEW MODEL BY SES'!$C$17:$R$17,0),0),"")</f>
        <v/>
      </c>
      <c r="O426" s="140" t="str">
        <f>IFERROR(VLOOKUP($C426,'NEW MODEL BY SES'!$C$19:$R$242,MATCH('SeS in Retail Sales Areas'!O$7,'NEW MODEL BY SES'!$C$17:$R$17,0),0),"")</f>
        <v/>
      </c>
      <c r="P426" s="142" t="str">
        <f>IFERROR(VLOOKUP($C426,'NEW MODEL BY SES'!$C$19:$R$242,MATCH('SeS in Retail Sales Areas'!P$7,'NEW MODEL BY SES'!$C$17:$R$17,0),0),"")</f>
        <v/>
      </c>
      <c r="Q426" s="140" t="str">
        <f>IFERROR(VLOOKUP($C426,'NEW MODEL BY SES'!$C$19:$R$242,MATCH('SeS in Retail Sales Areas'!Q$7,'NEW MODEL BY SES'!$C$17:$R$17,0),0),"")</f>
        <v/>
      </c>
      <c r="R426" s="142" t="str">
        <f>IFERROR(VLOOKUP($C426,'NEW MODEL BY SES'!$C$19:$R$242,MATCH('SeS in Retail Sales Areas'!R$7,'NEW MODEL BY SES'!$C$17:$R$17,0),0),"")</f>
        <v/>
      </c>
      <c r="S426" s="141" t="str">
        <f>IFERROR(VLOOKUP($C426,'NEW MODEL BY SES'!$C$19:$R$242,MATCH('SeS in Retail Sales Areas'!S$7,'NEW MODEL BY SES'!$C$17:$R$17,0),0),"")</f>
        <v/>
      </c>
      <c r="T426" s="140" t="str">
        <f>IFERROR(VLOOKUP($C426,'NEW MODEL BY SES'!$C$19:$R$242,MATCH('SeS in Retail Sales Areas'!T$7,'NEW MODEL BY SES'!$C$17:$R$17,0),0),"")</f>
        <v/>
      </c>
      <c r="U426" s="142" t="str">
        <f>IFERROR(VLOOKUP($C426,'NEW MODEL BY SES'!$C$19:$R$242,MATCH('SeS in Retail Sales Areas'!U$7,'NEW MODEL BY SES'!$C$17:$R$17,0),0),"")</f>
        <v/>
      </c>
      <c r="V426" s="140" t="str">
        <f>IFERROR(VLOOKUP($C426,'NEW MODEL BY SES'!$C$19:$R$242,MATCH('SeS in Retail Sales Areas'!V$7,'NEW MODEL BY SES'!$C$17:$R$17,0),0),"")</f>
        <v/>
      </c>
      <c r="W426" s="141" t="str">
        <f>IFERROR(VLOOKUP($C426,'NEW MODEL BY SES'!$C$19:$R$242,MATCH('SeS in Retail Sales Areas'!W$7,'NEW MODEL BY SES'!$C$17:$R$17,0),0),"")</f>
        <v/>
      </c>
      <c r="X426" s="140" t="str">
        <f>IFERROR(VLOOKUP($C426,'NEW MODEL BY SES'!$C$19:$R$242,MATCH('SeS in Retail Sales Areas'!X$7,'NEW MODEL BY SES'!$C$17:$R$17,0),0),"")</f>
        <v/>
      </c>
    </row>
    <row r="427" spans="1:24">
      <c r="A427" t="s">
        <v>1369</v>
      </c>
      <c r="B427" s="57">
        <v>189</v>
      </c>
      <c r="C427" t="s">
        <v>1372</v>
      </c>
      <c r="D427" t="s">
        <v>33</v>
      </c>
      <c r="F427" s="140" t="str">
        <f>IFERROR(VLOOKUP($C427,'NEW MODEL BY SES'!$C$19:$R$242,MATCH('SeS in Retail Sales Areas'!F$7,'NEW MODEL BY SES'!$C$17:$R$17,0),0),"")</f>
        <v/>
      </c>
      <c r="G427" s="140" t="str">
        <f>IFERROR(VLOOKUP($C427,'NEW MODEL BY SES'!$C$19:$R$242,MATCH('SeS in Retail Sales Areas'!G$7,'NEW MODEL BY SES'!$C$17:$R$17,0),0),"")</f>
        <v/>
      </c>
      <c r="H427" s="142" t="str">
        <f>IFERROR(VLOOKUP($C427,'NEW MODEL BY SES'!$C$19:$R$242,MATCH('SeS in Retail Sales Areas'!H$7,'NEW MODEL BY SES'!$C$17:$R$17,0),0),"")</f>
        <v/>
      </c>
      <c r="I427" s="140" t="str">
        <f>IFERROR(VLOOKUP($C427,'NEW MODEL BY SES'!$C$19:$R$242,MATCH('SeS in Retail Sales Areas'!I$7,'NEW MODEL BY SES'!$C$17:$R$17,0),0),"")</f>
        <v/>
      </c>
      <c r="J427" s="142" t="str">
        <f>IFERROR(VLOOKUP($C427,'NEW MODEL BY SES'!$C$19:$R$242,MATCH('SeS in Retail Sales Areas'!J$7,'NEW MODEL BY SES'!$C$17:$R$17,0),0),"")</f>
        <v/>
      </c>
      <c r="K427" s="140" t="str">
        <f>IFERROR(VLOOKUP($C427,'NEW MODEL BY SES'!$C$19:$R$242,MATCH('SeS in Retail Sales Areas'!K$7,'NEW MODEL BY SES'!$C$17:$R$17,0),0),"")</f>
        <v/>
      </c>
      <c r="L427" s="142" t="str">
        <f>IFERROR(VLOOKUP($C427,'NEW MODEL BY SES'!$C$19:$R$242,MATCH('SeS in Retail Sales Areas'!L$7,'NEW MODEL BY SES'!$C$17:$R$17,0),0),"")</f>
        <v/>
      </c>
      <c r="M427" s="140" t="str">
        <f>IFERROR(VLOOKUP($C427,'NEW MODEL BY SES'!$C$19:$R$242,MATCH('SeS in Retail Sales Areas'!M$7,'NEW MODEL BY SES'!$C$17:$R$17,0),0),"")</f>
        <v/>
      </c>
      <c r="N427" s="142" t="str">
        <f>IFERROR(VLOOKUP($C427,'NEW MODEL BY SES'!$C$19:$R$242,MATCH('SeS in Retail Sales Areas'!N$7,'NEW MODEL BY SES'!$C$17:$R$17,0),0),"")</f>
        <v/>
      </c>
      <c r="O427" s="140" t="str">
        <f>IFERROR(VLOOKUP($C427,'NEW MODEL BY SES'!$C$19:$R$242,MATCH('SeS in Retail Sales Areas'!O$7,'NEW MODEL BY SES'!$C$17:$R$17,0),0),"")</f>
        <v/>
      </c>
      <c r="P427" s="142" t="str">
        <f>IFERROR(VLOOKUP($C427,'NEW MODEL BY SES'!$C$19:$R$242,MATCH('SeS in Retail Sales Areas'!P$7,'NEW MODEL BY SES'!$C$17:$R$17,0),0),"")</f>
        <v/>
      </c>
      <c r="Q427" s="140" t="str">
        <f>IFERROR(VLOOKUP($C427,'NEW MODEL BY SES'!$C$19:$R$242,MATCH('SeS in Retail Sales Areas'!Q$7,'NEW MODEL BY SES'!$C$17:$R$17,0),0),"")</f>
        <v/>
      </c>
      <c r="R427" s="142" t="str">
        <f>IFERROR(VLOOKUP($C427,'NEW MODEL BY SES'!$C$19:$R$242,MATCH('SeS in Retail Sales Areas'!R$7,'NEW MODEL BY SES'!$C$17:$R$17,0),0),"")</f>
        <v/>
      </c>
      <c r="S427" s="141" t="str">
        <f>IFERROR(VLOOKUP($C427,'NEW MODEL BY SES'!$C$19:$R$242,MATCH('SeS in Retail Sales Areas'!S$7,'NEW MODEL BY SES'!$C$17:$R$17,0),0),"")</f>
        <v/>
      </c>
      <c r="T427" s="140" t="str">
        <f>IFERROR(VLOOKUP($C427,'NEW MODEL BY SES'!$C$19:$R$242,MATCH('SeS in Retail Sales Areas'!T$7,'NEW MODEL BY SES'!$C$17:$R$17,0),0),"")</f>
        <v/>
      </c>
      <c r="U427" s="142" t="str">
        <f>IFERROR(VLOOKUP($C427,'NEW MODEL BY SES'!$C$19:$R$242,MATCH('SeS in Retail Sales Areas'!U$7,'NEW MODEL BY SES'!$C$17:$R$17,0),0),"")</f>
        <v/>
      </c>
      <c r="V427" s="140" t="str">
        <f>IFERROR(VLOOKUP($C427,'NEW MODEL BY SES'!$C$19:$R$242,MATCH('SeS in Retail Sales Areas'!V$7,'NEW MODEL BY SES'!$C$17:$R$17,0),0),"")</f>
        <v/>
      </c>
      <c r="W427" s="141" t="str">
        <f>IFERROR(VLOOKUP($C427,'NEW MODEL BY SES'!$C$19:$R$242,MATCH('SeS in Retail Sales Areas'!W$7,'NEW MODEL BY SES'!$C$17:$R$17,0),0),"")</f>
        <v/>
      </c>
      <c r="X427" s="140" t="str">
        <f>IFERROR(VLOOKUP($C427,'NEW MODEL BY SES'!$C$19:$R$242,MATCH('SeS in Retail Sales Areas'!X$7,'NEW MODEL BY SES'!$C$17:$R$17,0),0),"")</f>
        <v/>
      </c>
    </row>
    <row r="428" spans="1:24">
      <c r="A428" t="s">
        <v>1369</v>
      </c>
      <c r="B428" s="57">
        <v>173</v>
      </c>
      <c r="C428" t="s">
        <v>1373</v>
      </c>
      <c r="D428" t="s">
        <v>33</v>
      </c>
      <c r="F428" s="140" t="str">
        <f>IFERROR(VLOOKUP($C428,'NEW MODEL BY SES'!$C$19:$R$242,MATCH('SeS in Retail Sales Areas'!F$7,'NEW MODEL BY SES'!$C$17:$R$17,0),0),"")</f>
        <v/>
      </c>
      <c r="G428" s="140" t="str">
        <f>IFERROR(VLOOKUP($C428,'NEW MODEL BY SES'!$C$19:$R$242,MATCH('SeS in Retail Sales Areas'!G$7,'NEW MODEL BY SES'!$C$17:$R$17,0),0),"")</f>
        <v/>
      </c>
      <c r="H428" s="142" t="str">
        <f>IFERROR(VLOOKUP($C428,'NEW MODEL BY SES'!$C$19:$R$242,MATCH('SeS in Retail Sales Areas'!H$7,'NEW MODEL BY SES'!$C$17:$R$17,0),0),"")</f>
        <v/>
      </c>
      <c r="I428" s="140" t="str">
        <f>IFERROR(VLOOKUP($C428,'NEW MODEL BY SES'!$C$19:$R$242,MATCH('SeS in Retail Sales Areas'!I$7,'NEW MODEL BY SES'!$C$17:$R$17,0),0),"")</f>
        <v/>
      </c>
      <c r="J428" s="142" t="str">
        <f>IFERROR(VLOOKUP($C428,'NEW MODEL BY SES'!$C$19:$R$242,MATCH('SeS in Retail Sales Areas'!J$7,'NEW MODEL BY SES'!$C$17:$R$17,0),0),"")</f>
        <v/>
      </c>
      <c r="K428" s="140" t="str">
        <f>IFERROR(VLOOKUP($C428,'NEW MODEL BY SES'!$C$19:$R$242,MATCH('SeS in Retail Sales Areas'!K$7,'NEW MODEL BY SES'!$C$17:$R$17,0),0),"")</f>
        <v/>
      </c>
      <c r="L428" s="142" t="str">
        <f>IFERROR(VLOOKUP($C428,'NEW MODEL BY SES'!$C$19:$R$242,MATCH('SeS in Retail Sales Areas'!L$7,'NEW MODEL BY SES'!$C$17:$R$17,0),0),"")</f>
        <v/>
      </c>
      <c r="M428" s="140" t="str">
        <f>IFERROR(VLOOKUP($C428,'NEW MODEL BY SES'!$C$19:$R$242,MATCH('SeS in Retail Sales Areas'!M$7,'NEW MODEL BY SES'!$C$17:$R$17,0),0),"")</f>
        <v/>
      </c>
      <c r="N428" s="142" t="str">
        <f>IFERROR(VLOOKUP($C428,'NEW MODEL BY SES'!$C$19:$R$242,MATCH('SeS in Retail Sales Areas'!N$7,'NEW MODEL BY SES'!$C$17:$R$17,0),0),"")</f>
        <v/>
      </c>
      <c r="O428" s="140" t="str">
        <f>IFERROR(VLOOKUP($C428,'NEW MODEL BY SES'!$C$19:$R$242,MATCH('SeS in Retail Sales Areas'!O$7,'NEW MODEL BY SES'!$C$17:$R$17,0),0),"")</f>
        <v/>
      </c>
      <c r="P428" s="142" t="str">
        <f>IFERROR(VLOOKUP($C428,'NEW MODEL BY SES'!$C$19:$R$242,MATCH('SeS in Retail Sales Areas'!P$7,'NEW MODEL BY SES'!$C$17:$R$17,0),0),"")</f>
        <v/>
      </c>
      <c r="Q428" s="140" t="str">
        <f>IFERROR(VLOOKUP($C428,'NEW MODEL BY SES'!$C$19:$R$242,MATCH('SeS in Retail Sales Areas'!Q$7,'NEW MODEL BY SES'!$C$17:$R$17,0),0),"")</f>
        <v/>
      </c>
      <c r="R428" s="142" t="str">
        <f>IFERROR(VLOOKUP($C428,'NEW MODEL BY SES'!$C$19:$R$242,MATCH('SeS in Retail Sales Areas'!R$7,'NEW MODEL BY SES'!$C$17:$R$17,0),0),"")</f>
        <v/>
      </c>
      <c r="S428" s="141" t="str">
        <f>IFERROR(VLOOKUP($C428,'NEW MODEL BY SES'!$C$19:$R$242,MATCH('SeS in Retail Sales Areas'!S$7,'NEW MODEL BY SES'!$C$17:$R$17,0),0),"")</f>
        <v/>
      </c>
      <c r="T428" s="140" t="str">
        <f>IFERROR(VLOOKUP($C428,'NEW MODEL BY SES'!$C$19:$R$242,MATCH('SeS in Retail Sales Areas'!T$7,'NEW MODEL BY SES'!$C$17:$R$17,0),0),"")</f>
        <v/>
      </c>
      <c r="U428" s="142" t="str">
        <f>IFERROR(VLOOKUP($C428,'NEW MODEL BY SES'!$C$19:$R$242,MATCH('SeS in Retail Sales Areas'!U$7,'NEW MODEL BY SES'!$C$17:$R$17,0),0),"")</f>
        <v/>
      </c>
      <c r="V428" s="140" t="str">
        <f>IFERROR(VLOOKUP($C428,'NEW MODEL BY SES'!$C$19:$R$242,MATCH('SeS in Retail Sales Areas'!V$7,'NEW MODEL BY SES'!$C$17:$R$17,0),0),"")</f>
        <v/>
      </c>
      <c r="W428" s="141" t="str">
        <f>IFERROR(VLOOKUP($C428,'NEW MODEL BY SES'!$C$19:$R$242,MATCH('SeS in Retail Sales Areas'!W$7,'NEW MODEL BY SES'!$C$17:$R$17,0),0),"")</f>
        <v/>
      </c>
      <c r="X428" s="140" t="str">
        <f>IFERROR(VLOOKUP($C428,'NEW MODEL BY SES'!$C$19:$R$242,MATCH('SeS in Retail Sales Areas'!X$7,'NEW MODEL BY SES'!$C$17:$R$17,0),0),"")</f>
        <v/>
      </c>
    </row>
    <row r="429" spans="1:24">
      <c r="A429" t="s">
        <v>1369</v>
      </c>
      <c r="B429" s="57">
        <v>173</v>
      </c>
      <c r="C429" t="s">
        <v>1374</v>
      </c>
      <c r="D429" t="s">
        <v>33</v>
      </c>
      <c r="F429" s="140" t="str">
        <f>IFERROR(VLOOKUP($C429,'NEW MODEL BY SES'!$C$19:$R$242,MATCH('SeS in Retail Sales Areas'!F$7,'NEW MODEL BY SES'!$C$17:$R$17,0),0),"")</f>
        <v/>
      </c>
      <c r="G429" s="140" t="str">
        <f>IFERROR(VLOOKUP($C429,'NEW MODEL BY SES'!$C$19:$R$242,MATCH('SeS in Retail Sales Areas'!G$7,'NEW MODEL BY SES'!$C$17:$R$17,0),0),"")</f>
        <v/>
      </c>
      <c r="H429" s="142" t="str">
        <f>IFERROR(VLOOKUP($C429,'NEW MODEL BY SES'!$C$19:$R$242,MATCH('SeS in Retail Sales Areas'!H$7,'NEW MODEL BY SES'!$C$17:$R$17,0),0),"")</f>
        <v/>
      </c>
      <c r="I429" s="140" t="str">
        <f>IFERROR(VLOOKUP($C429,'NEW MODEL BY SES'!$C$19:$R$242,MATCH('SeS in Retail Sales Areas'!I$7,'NEW MODEL BY SES'!$C$17:$R$17,0),0),"")</f>
        <v/>
      </c>
      <c r="J429" s="142" t="str">
        <f>IFERROR(VLOOKUP($C429,'NEW MODEL BY SES'!$C$19:$R$242,MATCH('SeS in Retail Sales Areas'!J$7,'NEW MODEL BY SES'!$C$17:$R$17,0),0),"")</f>
        <v/>
      </c>
      <c r="K429" s="140" t="str">
        <f>IFERROR(VLOOKUP($C429,'NEW MODEL BY SES'!$C$19:$R$242,MATCH('SeS in Retail Sales Areas'!K$7,'NEW MODEL BY SES'!$C$17:$R$17,0),0),"")</f>
        <v/>
      </c>
      <c r="L429" s="142" t="str">
        <f>IFERROR(VLOOKUP($C429,'NEW MODEL BY SES'!$C$19:$R$242,MATCH('SeS in Retail Sales Areas'!L$7,'NEW MODEL BY SES'!$C$17:$R$17,0),0),"")</f>
        <v/>
      </c>
      <c r="M429" s="140" t="str">
        <f>IFERROR(VLOOKUP($C429,'NEW MODEL BY SES'!$C$19:$R$242,MATCH('SeS in Retail Sales Areas'!M$7,'NEW MODEL BY SES'!$C$17:$R$17,0),0),"")</f>
        <v/>
      </c>
      <c r="N429" s="142" t="str">
        <f>IFERROR(VLOOKUP($C429,'NEW MODEL BY SES'!$C$19:$R$242,MATCH('SeS in Retail Sales Areas'!N$7,'NEW MODEL BY SES'!$C$17:$R$17,0),0),"")</f>
        <v/>
      </c>
      <c r="O429" s="140" t="str">
        <f>IFERROR(VLOOKUP($C429,'NEW MODEL BY SES'!$C$19:$R$242,MATCH('SeS in Retail Sales Areas'!O$7,'NEW MODEL BY SES'!$C$17:$R$17,0),0),"")</f>
        <v/>
      </c>
      <c r="P429" s="142" t="str">
        <f>IFERROR(VLOOKUP($C429,'NEW MODEL BY SES'!$C$19:$R$242,MATCH('SeS in Retail Sales Areas'!P$7,'NEW MODEL BY SES'!$C$17:$R$17,0),0),"")</f>
        <v/>
      </c>
      <c r="Q429" s="140" t="str">
        <f>IFERROR(VLOOKUP($C429,'NEW MODEL BY SES'!$C$19:$R$242,MATCH('SeS in Retail Sales Areas'!Q$7,'NEW MODEL BY SES'!$C$17:$R$17,0),0),"")</f>
        <v/>
      </c>
      <c r="R429" s="142" t="str">
        <f>IFERROR(VLOOKUP($C429,'NEW MODEL BY SES'!$C$19:$R$242,MATCH('SeS in Retail Sales Areas'!R$7,'NEW MODEL BY SES'!$C$17:$R$17,0),0),"")</f>
        <v/>
      </c>
      <c r="S429" s="141" t="str">
        <f>IFERROR(VLOOKUP($C429,'NEW MODEL BY SES'!$C$19:$R$242,MATCH('SeS in Retail Sales Areas'!S$7,'NEW MODEL BY SES'!$C$17:$R$17,0),0),"")</f>
        <v/>
      </c>
      <c r="T429" s="140" t="str">
        <f>IFERROR(VLOOKUP($C429,'NEW MODEL BY SES'!$C$19:$R$242,MATCH('SeS in Retail Sales Areas'!T$7,'NEW MODEL BY SES'!$C$17:$R$17,0),0),"")</f>
        <v/>
      </c>
      <c r="U429" s="142" t="str">
        <f>IFERROR(VLOOKUP($C429,'NEW MODEL BY SES'!$C$19:$R$242,MATCH('SeS in Retail Sales Areas'!U$7,'NEW MODEL BY SES'!$C$17:$R$17,0),0),"")</f>
        <v/>
      </c>
      <c r="V429" s="140" t="str">
        <f>IFERROR(VLOOKUP($C429,'NEW MODEL BY SES'!$C$19:$R$242,MATCH('SeS in Retail Sales Areas'!V$7,'NEW MODEL BY SES'!$C$17:$R$17,0),0),"")</f>
        <v/>
      </c>
      <c r="W429" s="141" t="str">
        <f>IFERROR(VLOOKUP($C429,'NEW MODEL BY SES'!$C$19:$R$242,MATCH('SeS in Retail Sales Areas'!W$7,'NEW MODEL BY SES'!$C$17:$R$17,0),0),"")</f>
        <v/>
      </c>
      <c r="X429" s="140" t="str">
        <f>IFERROR(VLOOKUP($C429,'NEW MODEL BY SES'!$C$19:$R$242,MATCH('SeS in Retail Sales Areas'!X$7,'NEW MODEL BY SES'!$C$17:$R$17,0),0),"")</f>
        <v/>
      </c>
    </row>
    <row r="430" spans="1:24">
      <c r="A430" t="s">
        <v>1369</v>
      </c>
      <c r="B430" s="57">
        <v>169</v>
      </c>
      <c r="C430" t="s">
        <v>1375</v>
      </c>
      <c r="D430" t="s">
        <v>33</v>
      </c>
      <c r="F430" s="140" t="str">
        <f>IFERROR(VLOOKUP($C430,'NEW MODEL BY SES'!$C$19:$R$242,MATCH('SeS in Retail Sales Areas'!F$7,'NEW MODEL BY SES'!$C$17:$R$17,0),0),"")</f>
        <v/>
      </c>
      <c r="G430" s="140" t="str">
        <f>IFERROR(VLOOKUP($C430,'NEW MODEL BY SES'!$C$19:$R$242,MATCH('SeS in Retail Sales Areas'!G$7,'NEW MODEL BY SES'!$C$17:$R$17,0),0),"")</f>
        <v/>
      </c>
      <c r="H430" s="142" t="str">
        <f>IFERROR(VLOOKUP($C430,'NEW MODEL BY SES'!$C$19:$R$242,MATCH('SeS in Retail Sales Areas'!H$7,'NEW MODEL BY SES'!$C$17:$R$17,0),0),"")</f>
        <v/>
      </c>
      <c r="I430" s="140" t="str">
        <f>IFERROR(VLOOKUP($C430,'NEW MODEL BY SES'!$C$19:$R$242,MATCH('SeS in Retail Sales Areas'!I$7,'NEW MODEL BY SES'!$C$17:$R$17,0),0),"")</f>
        <v/>
      </c>
      <c r="J430" s="142" t="str">
        <f>IFERROR(VLOOKUP($C430,'NEW MODEL BY SES'!$C$19:$R$242,MATCH('SeS in Retail Sales Areas'!J$7,'NEW MODEL BY SES'!$C$17:$R$17,0),0),"")</f>
        <v/>
      </c>
      <c r="K430" s="140" t="str">
        <f>IFERROR(VLOOKUP($C430,'NEW MODEL BY SES'!$C$19:$R$242,MATCH('SeS in Retail Sales Areas'!K$7,'NEW MODEL BY SES'!$C$17:$R$17,0),0),"")</f>
        <v/>
      </c>
      <c r="L430" s="142" t="str">
        <f>IFERROR(VLOOKUP($C430,'NEW MODEL BY SES'!$C$19:$R$242,MATCH('SeS in Retail Sales Areas'!L$7,'NEW MODEL BY SES'!$C$17:$R$17,0),0),"")</f>
        <v/>
      </c>
      <c r="M430" s="140" t="str">
        <f>IFERROR(VLOOKUP($C430,'NEW MODEL BY SES'!$C$19:$R$242,MATCH('SeS in Retail Sales Areas'!M$7,'NEW MODEL BY SES'!$C$17:$R$17,0),0),"")</f>
        <v/>
      </c>
      <c r="N430" s="142" t="str">
        <f>IFERROR(VLOOKUP($C430,'NEW MODEL BY SES'!$C$19:$R$242,MATCH('SeS in Retail Sales Areas'!N$7,'NEW MODEL BY SES'!$C$17:$R$17,0),0),"")</f>
        <v/>
      </c>
      <c r="O430" s="140" t="str">
        <f>IFERROR(VLOOKUP($C430,'NEW MODEL BY SES'!$C$19:$R$242,MATCH('SeS in Retail Sales Areas'!O$7,'NEW MODEL BY SES'!$C$17:$R$17,0),0),"")</f>
        <v/>
      </c>
      <c r="P430" s="142" t="str">
        <f>IFERROR(VLOOKUP($C430,'NEW MODEL BY SES'!$C$19:$R$242,MATCH('SeS in Retail Sales Areas'!P$7,'NEW MODEL BY SES'!$C$17:$R$17,0),0),"")</f>
        <v/>
      </c>
      <c r="Q430" s="140" t="str">
        <f>IFERROR(VLOOKUP($C430,'NEW MODEL BY SES'!$C$19:$R$242,MATCH('SeS in Retail Sales Areas'!Q$7,'NEW MODEL BY SES'!$C$17:$R$17,0),0),"")</f>
        <v/>
      </c>
      <c r="R430" s="142" t="str">
        <f>IFERROR(VLOOKUP($C430,'NEW MODEL BY SES'!$C$19:$R$242,MATCH('SeS in Retail Sales Areas'!R$7,'NEW MODEL BY SES'!$C$17:$R$17,0),0),"")</f>
        <v/>
      </c>
      <c r="S430" s="141" t="str">
        <f>IFERROR(VLOOKUP($C430,'NEW MODEL BY SES'!$C$19:$R$242,MATCH('SeS in Retail Sales Areas'!S$7,'NEW MODEL BY SES'!$C$17:$R$17,0),0),"")</f>
        <v/>
      </c>
      <c r="T430" s="140" t="str">
        <f>IFERROR(VLOOKUP($C430,'NEW MODEL BY SES'!$C$19:$R$242,MATCH('SeS in Retail Sales Areas'!T$7,'NEW MODEL BY SES'!$C$17:$R$17,0),0),"")</f>
        <v/>
      </c>
      <c r="U430" s="142" t="str">
        <f>IFERROR(VLOOKUP($C430,'NEW MODEL BY SES'!$C$19:$R$242,MATCH('SeS in Retail Sales Areas'!U$7,'NEW MODEL BY SES'!$C$17:$R$17,0),0),"")</f>
        <v/>
      </c>
      <c r="V430" s="140" t="str">
        <f>IFERROR(VLOOKUP($C430,'NEW MODEL BY SES'!$C$19:$R$242,MATCH('SeS in Retail Sales Areas'!V$7,'NEW MODEL BY SES'!$C$17:$R$17,0),0),"")</f>
        <v/>
      </c>
      <c r="W430" s="141" t="str">
        <f>IFERROR(VLOOKUP($C430,'NEW MODEL BY SES'!$C$19:$R$242,MATCH('SeS in Retail Sales Areas'!W$7,'NEW MODEL BY SES'!$C$17:$R$17,0),0),"")</f>
        <v/>
      </c>
      <c r="X430" s="140" t="str">
        <f>IFERROR(VLOOKUP($C430,'NEW MODEL BY SES'!$C$19:$R$242,MATCH('SeS in Retail Sales Areas'!X$7,'NEW MODEL BY SES'!$C$17:$R$17,0),0),"")</f>
        <v/>
      </c>
    </row>
    <row r="431" spans="1:24">
      <c r="A431" t="s">
        <v>1369</v>
      </c>
      <c r="B431" s="57">
        <v>168</v>
      </c>
      <c r="C431" t="s">
        <v>1376</v>
      </c>
      <c r="D431" t="s">
        <v>33</v>
      </c>
      <c r="F431" s="140" t="str">
        <f>IFERROR(VLOOKUP($C431,'NEW MODEL BY SES'!$C$19:$R$242,MATCH('SeS in Retail Sales Areas'!F$7,'NEW MODEL BY SES'!$C$17:$R$17,0),0),"")</f>
        <v/>
      </c>
      <c r="G431" s="140" t="str">
        <f>IFERROR(VLOOKUP($C431,'NEW MODEL BY SES'!$C$19:$R$242,MATCH('SeS in Retail Sales Areas'!G$7,'NEW MODEL BY SES'!$C$17:$R$17,0),0),"")</f>
        <v/>
      </c>
      <c r="H431" s="142" t="str">
        <f>IFERROR(VLOOKUP($C431,'NEW MODEL BY SES'!$C$19:$R$242,MATCH('SeS in Retail Sales Areas'!H$7,'NEW MODEL BY SES'!$C$17:$R$17,0),0),"")</f>
        <v/>
      </c>
      <c r="I431" s="140" t="str">
        <f>IFERROR(VLOOKUP($C431,'NEW MODEL BY SES'!$C$19:$R$242,MATCH('SeS in Retail Sales Areas'!I$7,'NEW MODEL BY SES'!$C$17:$R$17,0),0),"")</f>
        <v/>
      </c>
      <c r="J431" s="142" t="str">
        <f>IFERROR(VLOOKUP($C431,'NEW MODEL BY SES'!$C$19:$R$242,MATCH('SeS in Retail Sales Areas'!J$7,'NEW MODEL BY SES'!$C$17:$R$17,0),0),"")</f>
        <v/>
      </c>
      <c r="K431" s="140" t="str">
        <f>IFERROR(VLOOKUP($C431,'NEW MODEL BY SES'!$C$19:$R$242,MATCH('SeS in Retail Sales Areas'!K$7,'NEW MODEL BY SES'!$C$17:$R$17,0),0),"")</f>
        <v/>
      </c>
      <c r="L431" s="142" t="str">
        <f>IFERROR(VLOOKUP($C431,'NEW MODEL BY SES'!$C$19:$R$242,MATCH('SeS in Retail Sales Areas'!L$7,'NEW MODEL BY SES'!$C$17:$R$17,0),0),"")</f>
        <v/>
      </c>
      <c r="M431" s="140" t="str">
        <f>IFERROR(VLOOKUP($C431,'NEW MODEL BY SES'!$C$19:$R$242,MATCH('SeS in Retail Sales Areas'!M$7,'NEW MODEL BY SES'!$C$17:$R$17,0),0),"")</f>
        <v/>
      </c>
      <c r="N431" s="142" t="str">
        <f>IFERROR(VLOOKUP($C431,'NEW MODEL BY SES'!$C$19:$R$242,MATCH('SeS in Retail Sales Areas'!N$7,'NEW MODEL BY SES'!$C$17:$R$17,0),0),"")</f>
        <v/>
      </c>
      <c r="O431" s="140" t="str">
        <f>IFERROR(VLOOKUP($C431,'NEW MODEL BY SES'!$C$19:$R$242,MATCH('SeS in Retail Sales Areas'!O$7,'NEW MODEL BY SES'!$C$17:$R$17,0),0),"")</f>
        <v/>
      </c>
      <c r="P431" s="142" t="str">
        <f>IFERROR(VLOOKUP($C431,'NEW MODEL BY SES'!$C$19:$R$242,MATCH('SeS in Retail Sales Areas'!P$7,'NEW MODEL BY SES'!$C$17:$R$17,0),0),"")</f>
        <v/>
      </c>
      <c r="Q431" s="140" t="str">
        <f>IFERROR(VLOOKUP($C431,'NEW MODEL BY SES'!$C$19:$R$242,MATCH('SeS in Retail Sales Areas'!Q$7,'NEW MODEL BY SES'!$C$17:$R$17,0),0),"")</f>
        <v/>
      </c>
      <c r="R431" s="142" t="str">
        <f>IFERROR(VLOOKUP($C431,'NEW MODEL BY SES'!$C$19:$R$242,MATCH('SeS in Retail Sales Areas'!R$7,'NEW MODEL BY SES'!$C$17:$R$17,0),0),"")</f>
        <v/>
      </c>
      <c r="S431" s="141" t="str">
        <f>IFERROR(VLOOKUP($C431,'NEW MODEL BY SES'!$C$19:$R$242,MATCH('SeS in Retail Sales Areas'!S$7,'NEW MODEL BY SES'!$C$17:$R$17,0),0),"")</f>
        <v/>
      </c>
      <c r="T431" s="140" t="str">
        <f>IFERROR(VLOOKUP($C431,'NEW MODEL BY SES'!$C$19:$R$242,MATCH('SeS in Retail Sales Areas'!T$7,'NEW MODEL BY SES'!$C$17:$R$17,0),0),"")</f>
        <v/>
      </c>
      <c r="U431" s="142" t="str">
        <f>IFERROR(VLOOKUP($C431,'NEW MODEL BY SES'!$C$19:$R$242,MATCH('SeS in Retail Sales Areas'!U$7,'NEW MODEL BY SES'!$C$17:$R$17,0),0),"")</f>
        <v/>
      </c>
      <c r="V431" s="140" t="str">
        <f>IFERROR(VLOOKUP($C431,'NEW MODEL BY SES'!$C$19:$R$242,MATCH('SeS in Retail Sales Areas'!V$7,'NEW MODEL BY SES'!$C$17:$R$17,0),0),"")</f>
        <v/>
      </c>
      <c r="W431" s="141" t="str">
        <f>IFERROR(VLOOKUP($C431,'NEW MODEL BY SES'!$C$19:$R$242,MATCH('SeS in Retail Sales Areas'!W$7,'NEW MODEL BY SES'!$C$17:$R$17,0),0),"")</f>
        <v/>
      </c>
      <c r="X431" s="140" t="str">
        <f>IFERROR(VLOOKUP($C431,'NEW MODEL BY SES'!$C$19:$R$242,MATCH('SeS in Retail Sales Areas'!X$7,'NEW MODEL BY SES'!$C$17:$R$17,0),0),"")</f>
        <v/>
      </c>
    </row>
    <row r="432" spans="1:24">
      <c r="A432" t="s">
        <v>1369</v>
      </c>
      <c r="B432" s="57">
        <v>159</v>
      </c>
      <c r="C432" t="s">
        <v>1377</v>
      </c>
      <c r="D432" t="s">
        <v>38</v>
      </c>
      <c r="F432" s="140" t="str">
        <f>IFERROR(VLOOKUP($C432,'NEW MODEL BY SES'!$C$19:$R$242,MATCH('SeS in Retail Sales Areas'!F$7,'NEW MODEL BY SES'!$C$17:$R$17,0),0),"")</f>
        <v/>
      </c>
      <c r="G432" s="140" t="str">
        <f>IFERROR(VLOOKUP($C432,'NEW MODEL BY SES'!$C$19:$R$242,MATCH('SeS in Retail Sales Areas'!G$7,'NEW MODEL BY SES'!$C$17:$R$17,0),0),"")</f>
        <v/>
      </c>
      <c r="H432" s="142" t="str">
        <f>IFERROR(VLOOKUP($C432,'NEW MODEL BY SES'!$C$19:$R$242,MATCH('SeS in Retail Sales Areas'!H$7,'NEW MODEL BY SES'!$C$17:$R$17,0),0),"")</f>
        <v/>
      </c>
      <c r="I432" s="140" t="str">
        <f>IFERROR(VLOOKUP($C432,'NEW MODEL BY SES'!$C$19:$R$242,MATCH('SeS in Retail Sales Areas'!I$7,'NEW MODEL BY SES'!$C$17:$R$17,0),0),"")</f>
        <v/>
      </c>
      <c r="J432" s="142" t="str">
        <f>IFERROR(VLOOKUP($C432,'NEW MODEL BY SES'!$C$19:$R$242,MATCH('SeS in Retail Sales Areas'!J$7,'NEW MODEL BY SES'!$C$17:$R$17,0),0),"")</f>
        <v/>
      </c>
      <c r="K432" s="140" t="str">
        <f>IFERROR(VLOOKUP($C432,'NEW MODEL BY SES'!$C$19:$R$242,MATCH('SeS in Retail Sales Areas'!K$7,'NEW MODEL BY SES'!$C$17:$R$17,0),0),"")</f>
        <v/>
      </c>
      <c r="L432" s="142" t="str">
        <f>IFERROR(VLOOKUP($C432,'NEW MODEL BY SES'!$C$19:$R$242,MATCH('SeS in Retail Sales Areas'!L$7,'NEW MODEL BY SES'!$C$17:$R$17,0),0),"")</f>
        <v/>
      </c>
      <c r="M432" s="140" t="str">
        <f>IFERROR(VLOOKUP($C432,'NEW MODEL BY SES'!$C$19:$R$242,MATCH('SeS in Retail Sales Areas'!M$7,'NEW MODEL BY SES'!$C$17:$R$17,0),0),"")</f>
        <v/>
      </c>
      <c r="N432" s="142" t="str">
        <f>IFERROR(VLOOKUP($C432,'NEW MODEL BY SES'!$C$19:$R$242,MATCH('SeS in Retail Sales Areas'!N$7,'NEW MODEL BY SES'!$C$17:$R$17,0),0),"")</f>
        <v/>
      </c>
      <c r="O432" s="140" t="str">
        <f>IFERROR(VLOOKUP($C432,'NEW MODEL BY SES'!$C$19:$R$242,MATCH('SeS in Retail Sales Areas'!O$7,'NEW MODEL BY SES'!$C$17:$R$17,0),0),"")</f>
        <v/>
      </c>
      <c r="P432" s="142" t="str">
        <f>IFERROR(VLOOKUP($C432,'NEW MODEL BY SES'!$C$19:$R$242,MATCH('SeS in Retail Sales Areas'!P$7,'NEW MODEL BY SES'!$C$17:$R$17,0),0),"")</f>
        <v/>
      </c>
      <c r="Q432" s="140" t="str">
        <f>IFERROR(VLOOKUP($C432,'NEW MODEL BY SES'!$C$19:$R$242,MATCH('SeS in Retail Sales Areas'!Q$7,'NEW MODEL BY SES'!$C$17:$R$17,0),0),"")</f>
        <v/>
      </c>
      <c r="R432" s="142" t="str">
        <f>IFERROR(VLOOKUP($C432,'NEW MODEL BY SES'!$C$19:$R$242,MATCH('SeS in Retail Sales Areas'!R$7,'NEW MODEL BY SES'!$C$17:$R$17,0),0),"")</f>
        <v/>
      </c>
      <c r="S432" s="141" t="str">
        <f>IFERROR(VLOOKUP($C432,'NEW MODEL BY SES'!$C$19:$R$242,MATCH('SeS in Retail Sales Areas'!S$7,'NEW MODEL BY SES'!$C$17:$R$17,0),0),"")</f>
        <v/>
      </c>
      <c r="T432" s="140" t="str">
        <f>IFERROR(VLOOKUP($C432,'NEW MODEL BY SES'!$C$19:$R$242,MATCH('SeS in Retail Sales Areas'!T$7,'NEW MODEL BY SES'!$C$17:$R$17,0),0),"")</f>
        <v/>
      </c>
      <c r="U432" s="142" t="str">
        <f>IFERROR(VLOOKUP($C432,'NEW MODEL BY SES'!$C$19:$R$242,MATCH('SeS in Retail Sales Areas'!U$7,'NEW MODEL BY SES'!$C$17:$R$17,0),0),"")</f>
        <v/>
      </c>
      <c r="V432" s="140" t="str">
        <f>IFERROR(VLOOKUP($C432,'NEW MODEL BY SES'!$C$19:$R$242,MATCH('SeS in Retail Sales Areas'!V$7,'NEW MODEL BY SES'!$C$17:$R$17,0),0),"")</f>
        <v/>
      </c>
      <c r="W432" s="141" t="str">
        <f>IFERROR(VLOOKUP($C432,'NEW MODEL BY SES'!$C$19:$R$242,MATCH('SeS in Retail Sales Areas'!W$7,'NEW MODEL BY SES'!$C$17:$R$17,0),0),"")</f>
        <v/>
      </c>
      <c r="X432" s="140" t="str">
        <f>IFERROR(VLOOKUP($C432,'NEW MODEL BY SES'!$C$19:$R$242,MATCH('SeS in Retail Sales Areas'!X$7,'NEW MODEL BY SES'!$C$17:$R$17,0),0),"")</f>
        <v/>
      </c>
    </row>
    <row r="433" spans="1:24">
      <c r="A433" t="s">
        <v>1369</v>
      </c>
      <c r="B433" s="57">
        <v>153</v>
      </c>
      <c r="C433" t="s">
        <v>1378</v>
      </c>
      <c r="D433" t="s">
        <v>38</v>
      </c>
      <c r="F433" s="140" t="str">
        <f>IFERROR(VLOOKUP($C433,'NEW MODEL BY SES'!$C$19:$R$242,MATCH('SeS in Retail Sales Areas'!F$7,'NEW MODEL BY SES'!$C$17:$R$17,0),0),"")</f>
        <v/>
      </c>
      <c r="G433" s="140" t="str">
        <f>IFERROR(VLOOKUP($C433,'NEW MODEL BY SES'!$C$19:$R$242,MATCH('SeS in Retail Sales Areas'!G$7,'NEW MODEL BY SES'!$C$17:$R$17,0),0),"")</f>
        <v/>
      </c>
      <c r="H433" s="142" t="str">
        <f>IFERROR(VLOOKUP($C433,'NEW MODEL BY SES'!$C$19:$R$242,MATCH('SeS in Retail Sales Areas'!H$7,'NEW MODEL BY SES'!$C$17:$R$17,0),0),"")</f>
        <v/>
      </c>
      <c r="I433" s="140" t="str">
        <f>IFERROR(VLOOKUP($C433,'NEW MODEL BY SES'!$C$19:$R$242,MATCH('SeS in Retail Sales Areas'!I$7,'NEW MODEL BY SES'!$C$17:$R$17,0),0),"")</f>
        <v/>
      </c>
      <c r="J433" s="142" t="str">
        <f>IFERROR(VLOOKUP($C433,'NEW MODEL BY SES'!$C$19:$R$242,MATCH('SeS in Retail Sales Areas'!J$7,'NEW MODEL BY SES'!$C$17:$R$17,0),0),"")</f>
        <v/>
      </c>
      <c r="K433" s="140" t="str">
        <f>IFERROR(VLOOKUP($C433,'NEW MODEL BY SES'!$C$19:$R$242,MATCH('SeS in Retail Sales Areas'!K$7,'NEW MODEL BY SES'!$C$17:$R$17,0),0),"")</f>
        <v/>
      </c>
      <c r="L433" s="142" t="str">
        <f>IFERROR(VLOOKUP($C433,'NEW MODEL BY SES'!$C$19:$R$242,MATCH('SeS in Retail Sales Areas'!L$7,'NEW MODEL BY SES'!$C$17:$R$17,0),0),"")</f>
        <v/>
      </c>
      <c r="M433" s="140" t="str">
        <f>IFERROR(VLOOKUP($C433,'NEW MODEL BY SES'!$C$19:$R$242,MATCH('SeS in Retail Sales Areas'!M$7,'NEW MODEL BY SES'!$C$17:$R$17,0),0),"")</f>
        <v/>
      </c>
      <c r="N433" s="142" t="str">
        <f>IFERROR(VLOOKUP($C433,'NEW MODEL BY SES'!$C$19:$R$242,MATCH('SeS in Retail Sales Areas'!N$7,'NEW MODEL BY SES'!$C$17:$R$17,0),0),"")</f>
        <v/>
      </c>
      <c r="O433" s="140" t="str">
        <f>IFERROR(VLOOKUP($C433,'NEW MODEL BY SES'!$C$19:$R$242,MATCH('SeS in Retail Sales Areas'!O$7,'NEW MODEL BY SES'!$C$17:$R$17,0),0),"")</f>
        <v/>
      </c>
      <c r="P433" s="142" t="str">
        <f>IFERROR(VLOOKUP($C433,'NEW MODEL BY SES'!$C$19:$R$242,MATCH('SeS in Retail Sales Areas'!P$7,'NEW MODEL BY SES'!$C$17:$R$17,0),0),"")</f>
        <v/>
      </c>
      <c r="Q433" s="140" t="str">
        <f>IFERROR(VLOOKUP($C433,'NEW MODEL BY SES'!$C$19:$R$242,MATCH('SeS in Retail Sales Areas'!Q$7,'NEW MODEL BY SES'!$C$17:$R$17,0),0),"")</f>
        <v/>
      </c>
      <c r="R433" s="142" t="str">
        <f>IFERROR(VLOOKUP($C433,'NEW MODEL BY SES'!$C$19:$R$242,MATCH('SeS in Retail Sales Areas'!R$7,'NEW MODEL BY SES'!$C$17:$R$17,0),0),"")</f>
        <v/>
      </c>
      <c r="S433" s="141" t="str">
        <f>IFERROR(VLOOKUP($C433,'NEW MODEL BY SES'!$C$19:$R$242,MATCH('SeS in Retail Sales Areas'!S$7,'NEW MODEL BY SES'!$C$17:$R$17,0),0),"")</f>
        <v/>
      </c>
      <c r="T433" s="140" t="str">
        <f>IFERROR(VLOOKUP($C433,'NEW MODEL BY SES'!$C$19:$R$242,MATCH('SeS in Retail Sales Areas'!T$7,'NEW MODEL BY SES'!$C$17:$R$17,0),0),"")</f>
        <v/>
      </c>
      <c r="U433" s="142" t="str">
        <f>IFERROR(VLOOKUP($C433,'NEW MODEL BY SES'!$C$19:$R$242,MATCH('SeS in Retail Sales Areas'!U$7,'NEW MODEL BY SES'!$C$17:$R$17,0),0),"")</f>
        <v/>
      </c>
      <c r="V433" s="140" t="str">
        <f>IFERROR(VLOOKUP($C433,'NEW MODEL BY SES'!$C$19:$R$242,MATCH('SeS in Retail Sales Areas'!V$7,'NEW MODEL BY SES'!$C$17:$R$17,0),0),"")</f>
        <v/>
      </c>
      <c r="W433" s="141" t="str">
        <f>IFERROR(VLOOKUP($C433,'NEW MODEL BY SES'!$C$19:$R$242,MATCH('SeS in Retail Sales Areas'!W$7,'NEW MODEL BY SES'!$C$17:$R$17,0),0),"")</f>
        <v/>
      </c>
      <c r="X433" s="140" t="str">
        <f>IFERROR(VLOOKUP($C433,'NEW MODEL BY SES'!$C$19:$R$242,MATCH('SeS in Retail Sales Areas'!X$7,'NEW MODEL BY SES'!$C$17:$R$17,0),0),"")</f>
        <v/>
      </c>
    </row>
    <row r="434" spans="1:24">
      <c r="A434" t="s">
        <v>1369</v>
      </c>
      <c r="B434" s="57">
        <v>144</v>
      </c>
      <c r="C434" t="s">
        <v>1379</v>
      </c>
      <c r="D434" t="s">
        <v>38</v>
      </c>
      <c r="F434" s="140" t="str">
        <f>IFERROR(VLOOKUP($C434,'NEW MODEL BY SES'!$C$19:$R$242,MATCH('SeS in Retail Sales Areas'!F$7,'NEW MODEL BY SES'!$C$17:$R$17,0),0),"")</f>
        <v/>
      </c>
      <c r="G434" s="140" t="str">
        <f>IFERROR(VLOOKUP($C434,'NEW MODEL BY SES'!$C$19:$R$242,MATCH('SeS in Retail Sales Areas'!G$7,'NEW MODEL BY SES'!$C$17:$R$17,0),0),"")</f>
        <v/>
      </c>
      <c r="H434" s="142" t="str">
        <f>IFERROR(VLOOKUP($C434,'NEW MODEL BY SES'!$C$19:$R$242,MATCH('SeS in Retail Sales Areas'!H$7,'NEW MODEL BY SES'!$C$17:$R$17,0),0),"")</f>
        <v/>
      </c>
      <c r="I434" s="140" t="str">
        <f>IFERROR(VLOOKUP($C434,'NEW MODEL BY SES'!$C$19:$R$242,MATCH('SeS in Retail Sales Areas'!I$7,'NEW MODEL BY SES'!$C$17:$R$17,0),0),"")</f>
        <v/>
      </c>
      <c r="J434" s="142" t="str">
        <f>IFERROR(VLOOKUP($C434,'NEW MODEL BY SES'!$C$19:$R$242,MATCH('SeS in Retail Sales Areas'!J$7,'NEW MODEL BY SES'!$C$17:$R$17,0),0),"")</f>
        <v/>
      </c>
      <c r="K434" s="140" t="str">
        <f>IFERROR(VLOOKUP($C434,'NEW MODEL BY SES'!$C$19:$R$242,MATCH('SeS in Retail Sales Areas'!K$7,'NEW MODEL BY SES'!$C$17:$R$17,0),0),"")</f>
        <v/>
      </c>
      <c r="L434" s="142" t="str">
        <f>IFERROR(VLOOKUP($C434,'NEW MODEL BY SES'!$C$19:$R$242,MATCH('SeS in Retail Sales Areas'!L$7,'NEW MODEL BY SES'!$C$17:$R$17,0),0),"")</f>
        <v/>
      </c>
      <c r="M434" s="140" t="str">
        <f>IFERROR(VLOOKUP($C434,'NEW MODEL BY SES'!$C$19:$R$242,MATCH('SeS in Retail Sales Areas'!M$7,'NEW MODEL BY SES'!$C$17:$R$17,0),0),"")</f>
        <v/>
      </c>
      <c r="N434" s="142" t="str">
        <f>IFERROR(VLOOKUP($C434,'NEW MODEL BY SES'!$C$19:$R$242,MATCH('SeS in Retail Sales Areas'!N$7,'NEW MODEL BY SES'!$C$17:$R$17,0),0),"")</f>
        <v/>
      </c>
      <c r="O434" s="140" t="str">
        <f>IFERROR(VLOOKUP($C434,'NEW MODEL BY SES'!$C$19:$R$242,MATCH('SeS in Retail Sales Areas'!O$7,'NEW MODEL BY SES'!$C$17:$R$17,0),0),"")</f>
        <v/>
      </c>
      <c r="P434" s="142" t="str">
        <f>IFERROR(VLOOKUP($C434,'NEW MODEL BY SES'!$C$19:$R$242,MATCH('SeS in Retail Sales Areas'!P$7,'NEW MODEL BY SES'!$C$17:$R$17,0),0),"")</f>
        <v/>
      </c>
      <c r="Q434" s="140" t="str">
        <f>IFERROR(VLOOKUP($C434,'NEW MODEL BY SES'!$C$19:$R$242,MATCH('SeS in Retail Sales Areas'!Q$7,'NEW MODEL BY SES'!$C$17:$R$17,0),0),"")</f>
        <v/>
      </c>
      <c r="R434" s="142" t="str">
        <f>IFERROR(VLOOKUP($C434,'NEW MODEL BY SES'!$C$19:$R$242,MATCH('SeS in Retail Sales Areas'!R$7,'NEW MODEL BY SES'!$C$17:$R$17,0),0),"")</f>
        <v/>
      </c>
      <c r="S434" s="141" t="str">
        <f>IFERROR(VLOOKUP($C434,'NEW MODEL BY SES'!$C$19:$R$242,MATCH('SeS in Retail Sales Areas'!S$7,'NEW MODEL BY SES'!$C$17:$R$17,0),0),"")</f>
        <v/>
      </c>
      <c r="T434" s="140" t="str">
        <f>IFERROR(VLOOKUP($C434,'NEW MODEL BY SES'!$C$19:$R$242,MATCH('SeS in Retail Sales Areas'!T$7,'NEW MODEL BY SES'!$C$17:$R$17,0),0),"")</f>
        <v/>
      </c>
      <c r="U434" s="142" t="str">
        <f>IFERROR(VLOOKUP($C434,'NEW MODEL BY SES'!$C$19:$R$242,MATCH('SeS in Retail Sales Areas'!U$7,'NEW MODEL BY SES'!$C$17:$R$17,0),0),"")</f>
        <v/>
      </c>
      <c r="V434" s="140" t="str">
        <f>IFERROR(VLOOKUP($C434,'NEW MODEL BY SES'!$C$19:$R$242,MATCH('SeS in Retail Sales Areas'!V$7,'NEW MODEL BY SES'!$C$17:$R$17,0),0),"")</f>
        <v/>
      </c>
      <c r="W434" s="141" t="str">
        <f>IFERROR(VLOOKUP($C434,'NEW MODEL BY SES'!$C$19:$R$242,MATCH('SeS in Retail Sales Areas'!W$7,'NEW MODEL BY SES'!$C$17:$R$17,0),0),"")</f>
        <v/>
      </c>
      <c r="X434" s="140" t="str">
        <f>IFERROR(VLOOKUP($C434,'NEW MODEL BY SES'!$C$19:$R$242,MATCH('SeS in Retail Sales Areas'!X$7,'NEW MODEL BY SES'!$C$17:$R$17,0),0),"")</f>
        <v/>
      </c>
    </row>
    <row r="435" spans="1:24">
      <c r="A435" t="s">
        <v>1369</v>
      </c>
      <c r="B435" s="57">
        <v>118</v>
      </c>
      <c r="C435" t="s">
        <v>1380</v>
      </c>
      <c r="D435" t="s">
        <v>40</v>
      </c>
      <c r="F435" s="140" t="str">
        <f>IFERROR(VLOOKUP($C435,'NEW MODEL BY SES'!$C$19:$R$242,MATCH('SeS in Retail Sales Areas'!F$7,'NEW MODEL BY SES'!$C$17:$R$17,0),0),"")</f>
        <v/>
      </c>
      <c r="G435" s="140" t="str">
        <f>IFERROR(VLOOKUP($C435,'NEW MODEL BY SES'!$C$19:$R$242,MATCH('SeS in Retail Sales Areas'!G$7,'NEW MODEL BY SES'!$C$17:$R$17,0),0),"")</f>
        <v/>
      </c>
      <c r="H435" s="142" t="str">
        <f>IFERROR(VLOOKUP($C435,'NEW MODEL BY SES'!$C$19:$R$242,MATCH('SeS in Retail Sales Areas'!H$7,'NEW MODEL BY SES'!$C$17:$R$17,0),0),"")</f>
        <v/>
      </c>
      <c r="I435" s="140" t="str">
        <f>IFERROR(VLOOKUP($C435,'NEW MODEL BY SES'!$C$19:$R$242,MATCH('SeS in Retail Sales Areas'!I$7,'NEW MODEL BY SES'!$C$17:$R$17,0),0),"")</f>
        <v/>
      </c>
      <c r="J435" s="142" t="str">
        <f>IFERROR(VLOOKUP($C435,'NEW MODEL BY SES'!$C$19:$R$242,MATCH('SeS in Retail Sales Areas'!J$7,'NEW MODEL BY SES'!$C$17:$R$17,0),0),"")</f>
        <v/>
      </c>
      <c r="K435" s="140" t="str">
        <f>IFERROR(VLOOKUP($C435,'NEW MODEL BY SES'!$C$19:$R$242,MATCH('SeS in Retail Sales Areas'!K$7,'NEW MODEL BY SES'!$C$17:$R$17,0),0),"")</f>
        <v/>
      </c>
      <c r="L435" s="142" t="str">
        <f>IFERROR(VLOOKUP($C435,'NEW MODEL BY SES'!$C$19:$R$242,MATCH('SeS in Retail Sales Areas'!L$7,'NEW MODEL BY SES'!$C$17:$R$17,0),0),"")</f>
        <v/>
      </c>
      <c r="M435" s="140" t="str">
        <f>IFERROR(VLOOKUP($C435,'NEW MODEL BY SES'!$C$19:$R$242,MATCH('SeS in Retail Sales Areas'!M$7,'NEW MODEL BY SES'!$C$17:$R$17,0),0),"")</f>
        <v/>
      </c>
      <c r="N435" s="142" t="str">
        <f>IFERROR(VLOOKUP($C435,'NEW MODEL BY SES'!$C$19:$R$242,MATCH('SeS in Retail Sales Areas'!N$7,'NEW MODEL BY SES'!$C$17:$R$17,0),0),"")</f>
        <v/>
      </c>
      <c r="O435" s="140" t="str">
        <f>IFERROR(VLOOKUP($C435,'NEW MODEL BY SES'!$C$19:$R$242,MATCH('SeS in Retail Sales Areas'!O$7,'NEW MODEL BY SES'!$C$17:$R$17,0),0),"")</f>
        <v/>
      </c>
      <c r="P435" s="142" t="str">
        <f>IFERROR(VLOOKUP($C435,'NEW MODEL BY SES'!$C$19:$R$242,MATCH('SeS in Retail Sales Areas'!P$7,'NEW MODEL BY SES'!$C$17:$R$17,0),0),"")</f>
        <v/>
      </c>
      <c r="Q435" s="140" t="str">
        <f>IFERROR(VLOOKUP($C435,'NEW MODEL BY SES'!$C$19:$R$242,MATCH('SeS in Retail Sales Areas'!Q$7,'NEW MODEL BY SES'!$C$17:$R$17,0),0),"")</f>
        <v/>
      </c>
      <c r="R435" s="142" t="str">
        <f>IFERROR(VLOOKUP($C435,'NEW MODEL BY SES'!$C$19:$R$242,MATCH('SeS in Retail Sales Areas'!R$7,'NEW MODEL BY SES'!$C$17:$R$17,0),0),"")</f>
        <v/>
      </c>
      <c r="S435" s="141" t="str">
        <f>IFERROR(VLOOKUP($C435,'NEW MODEL BY SES'!$C$19:$R$242,MATCH('SeS in Retail Sales Areas'!S$7,'NEW MODEL BY SES'!$C$17:$R$17,0),0),"")</f>
        <v/>
      </c>
      <c r="T435" s="140" t="str">
        <f>IFERROR(VLOOKUP($C435,'NEW MODEL BY SES'!$C$19:$R$242,MATCH('SeS in Retail Sales Areas'!T$7,'NEW MODEL BY SES'!$C$17:$R$17,0),0),"")</f>
        <v/>
      </c>
      <c r="U435" s="142" t="str">
        <f>IFERROR(VLOOKUP($C435,'NEW MODEL BY SES'!$C$19:$R$242,MATCH('SeS in Retail Sales Areas'!U$7,'NEW MODEL BY SES'!$C$17:$R$17,0),0),"")</f>
        <v/>
      </c>
      <c r="V435" s="140" t="str">
        <f>IFERROR(VLOOKUP($C435,'NEW MODEL BY SES'!$C$19:$R$242,MATCH('SeS in Retail Sales Areas'!V$7,'NEW MODEL BY SES'!$C$17:$R$17,0),0),"")</f>
        <v/>
      </c>
      <c r="W435" s="141" t="str">
        <f>IFERROR(VLOOKUP($C435,'NEW MODEL BY SES'!$C$19:$R$242,MATCH('SeS in Retail Sales Areas'!W$7,'NEW MODEL BY SES'!$C$17:$R$17,0),0),"")</f>
        <v/>
      </c>
      <c r="X435" s="140" t="str">
        <f>IFERROR(VLOOKUP($C435,'NEW MODEL BY SES'!$C$19:$R$242,MATCH('SeS in Retail Sales Areas'!X$7,'NEW MODEL BY SES'!$C$17:$R$17,0),0),"")</f>
        <v/>
      </c>
    </row>
    <row r="436" spans="1:24">
      <c r="A436" t="s">
        <v>1369</v>
      </c>
      <c r="B436" s="57">
        <v>118</v>
      </c>
      <c r="C436" t="s">
        <v>1381</v>
      </c>
      <c r="D436" t="s">
        <v>40</v>
      </c>
      <c r="F436" s="140" t="str">
        <f>IFERROR(VLOOKUP($C436,'NEW MODEL BY SES'!$C$19:$R$242,MATCH('SeS in Retail Sales Areas'!F$7,'NEW MODEL BY SES'!$C$17:$R$17,0),0),"")</f>
        <v/>
      </c>
      <c r="G436" s="140" t="str">
        <f>IFERROR(VLOOKUP($C436,'NEW MODEL BY SES'!$C$19:$R$242,MATCH('SeS in Retail Sales Areas'!G$7,'NEW MODEL BY SES'!$C$17:$R$17,0),0),"")</f>
        <v/>
      </c>
      <c r="H436" s="142" t="str">
        <f>IFERROR(VLOOKUP($C436,'NEW MODEL BY SES'!$C$19:$R$242,MATCH('SeS in Retail Sales Areas'!H$7,'NEW MODEL BY SES'!$C$17:$R$17,0),0),"")</f>
        <v/>
      </c>
      <c r="I436" s="140" t="str">
        <f>IFERROR(VLOOKUP($C436,'NEW MODEL BY SES'!$C$19:$R$242,MATCH('SeS in Retail Sales Areas'!I$7,'NEW MODEL BY SES'!$C$17:$R$17,0),0),"")</f>
        <v/>
      </c>
      <c r="J436" s="142" t="str">
        <f>IFERROR(VLOOKUP($C436,'NEW MODEL BY SES'!$C$19:$R$242,MATCH('SeS in Retail Sales Areas'!J$7,'NEW MODEL BY SES'!$C$17:$R$17,0),0),"")</f>
        <v/>
      </c>
      <c r="K436" s="140" t="str">
        <f>IFERROR(VLOOKUP($C436,'NEW MODEL BY SES'!$C$19:$R$242,MATCH('SeS in Retail Sales Areas'!K$7,'NEW MODEL BY SES'!$C$17:$R$17,0),0),"")</f>
        <v/>
      </c>
      <c r="L436" s="142" t="str">
        <f>IFERROR(VLOOKUP($C436,'NEW MODEL BY SES'!$C$19:$R$242,MATCH('SeS in Retail Sales Areas'!L$7,'NEW MODEL BY SES'!$C$17:$R$17,0),0),"")</f>
        <v/>
      </c>
      <c r="M436" s="140" t="str">
        <f>IFERROR(VLOOKUP($C436,'NEW MODEL BY SES'!$C$19:$R$242,MATCH('SeS in Retail Sales Areas'!M$7,'NEW MODEL BY SES'!$C$17:$R$17,0),0),"")</f>
        <v/>
      </c>
      <c r="N436" s="142" t="str">
        <f>IFERROR(VLOOKUP($C436,'NEW MODEL BY SES'!$C$19:$R$242,MATCH('SeS in Retail Sales Areas'!N$7,'NEW MODEL BY SES'!$C$17:$R$17,0),0),"")</f>
        <v/>
      </c>
      <c r="O436" s="140" t="str">
        <f>IFERROR(VLOOKUP($C436,'NEW MODEL BY SES'!$C$19:$R$242,MATCH('SeS in Retail Sales Areas'!O$7,'NEW MODEL BY SES'!$C$17:$R$17,0),0),"")</f>
        <v/>
      </c>
      <c r="P436" s="142" t="str">
        <f>IFERROR(VLOOKUP($C436,'NEW MODEL BY SES'!$C$19:$R$242,MATCH('SeS in Retail Sales Areas'!P$7,'NEW MODEL BY SES'!$C$17:$R$17,0),0),"")</f>
        <v/>
      </c>
      <c r="Q436" s="140" t="str">
        <f>IFERROR(VLOOKUP($C436,'NEW MODEL BY SES'!$C$19:$R$242,MATCH('SeS in Retail Sales Areas'!Q$7,'NEW MODEL BY SES'!$C$17:$R$17,0),0),"")</f>
        <v/>
      </c>
      <c r="R436" s="142" t="str">
        <f>IFERROR(VLOOKUP($C436,'NEW MODEL BY SES'!$C$19:$R$242,MATCH('SeS in Retail Sales Areas'!R$7,'NEW MODEL BY SES'!$C$17:$R$17,0),0),"")</f>
        <v/>
      </c>
      <c r="S436" s="141" t="str">
        <f>IFERROR(VLOOKUP($C436,'NEW MODEL BY SES'!$C$19:$R$242,MATCH('SeS in Retail Sales Areas'!S$7,'NEW MODEL BY SES'!$C$17:$R$17,0),0),"")</f>
        <v/>
      </c>
      <c r="T436" s="140" t="str">
        <f>IFERROR(VLOOKUP($C436,'NEW MODEL BY SES'!$C$19:$R$242,MATCH('SeS in Retail Sales Areas'!T$7,'NEW MODEL BY SES'!$C$17:$R$17,0),0),"")</f>
        <v/>
      </c>
      <c r="U436" s="142" t="str">
        <f>IFERROR(VLOOKUP($C436,'NEW MODEL BY SES'!$C$19:$R$242,MATCH('SeS in Retail Sales Areas'!U$7,'NEW MODEL BY SES'!$C$17:$R$17,0),0),"")</f>
        <v/>
      </c>
      <c r="V436" s="140" t="str">
        <f>IFERROR(VLOOKUP($C436,'NEW MODEL BY SES'!$C$19:$R$242,MATCH('SeS in Retail Sales Areas'!V$7,'NEW MODEL BY SES'!$C$17:$R$17,0),0),"")</f>
        <v/>
      </c>
      <c r="W436" s="141" t="str">
        <f>IFERROR(VLOOKUP($C436,'NEW MODEL BY SES'!$C$19:$R$242,MATCH('SeS in Retail Sales Areas'!W$7,'NEW MODEL BY SES'!$C$17:$R$17,0),0),"")</f>
        <v/>
      </c>
      <c r="X436" s="140" t="str">
        <f>IFERROR(VLOOKUP($C436,'NEW MODEL BY SES'!$C$19:$R$242,MATCH('SeS in Retail Sales Areas'!X$7,'NEW MODEL BY SES'!$C$17:$R$17,0),0),"")</f>
        <v/>
      </c>
    </row>
    <row r="437" spans="1:24">
      <c r="A437" t="s">
        <v>1369</v>
      </c>
      <c r="B437" s="57">
        <v>103</v>
      </c>
      <c r="C437" t="s">
        <v>1382</v>
      </c>
      <c r="D437" t="s">
        <v>40</v>
      </c>
      <c r="F437" s="140" t="str">
        <f>IFERROR(VLOOKUP($C437,'NEW MODEL BY SES'!$C$19:$R$242,MATCH('SeS in Retail Sales Areas'!F$7,'NEW MODEL BY SES'!$C$17:$R$17,0),0),"")</f>
        <v/>
      </c>
      <c r="G437" s="140" t="str">
        <f>IFERROR(VLOOKUP($C437,'NEW MODEL BY SES'!$C$19:$R$242,MATCH('SeS in Retail Sales Areas'!G$7,'NEW MODEL BY SES'!$C$17:$R$17,0),0),"")</f>
        <v/>
      </c>
      <c r="H437" s="142" t="str">
        <f>IFERROR(VLOOKUP($C437,'NEW MODEL BY SES'!$C$19:$R$242,MATCH('SeS in Retail Sales Areas'!H$7,'NEW MODEL BY SES'!$C$17:$R$17,0),0),"")</f>
        <v/>
      </c>
      <c r="I437" s="140" t="str">
        <f>IFERROR(VLOOKUP($C437,'NEW MODEL BY SES'!$C$19:$R$242,MATCH('SeS in Retail Sales Areas'!I$7,'NEW MODEL BY SES'!$C$17:$R$17,0),0),"")</f>
        <v/>
      </c>
      <c r="J437" s="142" t="str">
        <f>IFERROR(VLOOKUP($C437,'NEW MODEL BY SES'!$C$19:$R$242,MATCH('SeS in Retail Sales Areas'!J$7,'NEW MODEL BY SES'!$C$17:$R$17,0),0),"")</f>
        <v/>
      </c>
      <c r="K437" s="140" t="str">
        <f>IFERROR(VLOOKUP($C437,'NEW MODEL BY SES'!$C$19:$R$242,MATCH('SeS in Retail Sales Areas'!K$7,'NEW MODEL BY SES'!$C$17:$R$17,0),0),"")</f>
        <v/>
      </c>
      <c r="L437" s="142" t="str">
        <f>IFERROR(VLOOKUP($C437,'NEW MODEL BY SES'!$C$19:$R$242,MATCH('SeS in Retail Sales Areas'!L$7,'NEW MODEL BY SES'!$C$17:$R$17,0),0),"")</f>
        <v/>
      </c>
      <c r="M437" s="140" t="str">
        <f>IFERROR(VLOOKUP($C437,'NEW MODEL BY SES'!$C$19:$R$242,MATCH('SeS in Retail Sales Areas'!M$7,'NEW MODEL BY SES'!$C$17:$R$17,0),0),"")</f>
        <v/>
      </c>
      <c r="N437" s="142" t="str">
        <f>IFERROR(VLOOKUP($C437,'NEW MODEL BY SES'!$C$19:$R$242,MATCH('SeS in Retail Sales Areas'!N$7,'NEW MODEL BY SES'!$C$17:$R$17,0),0),"")</f>
        <v/>
      </c>
      <c r="O437" s="140" t="str">
        <f>IFERROR(VLOOKUP($C437,'NEW MODEL BY SES'!$C$19:$R$242,MATCH('SeS in Retail Sales Areas'!O$7,'NEW MODEL BY SES'!$C$17:$R$17,0),0),"")</f>
        <v/>
      </c>
      <c r="P437" s="142" t="str">
        <f>IFERROR(VLOOKUP($C437,'NEW MODEL BY SES'!$C$19:$R$242,MATCH('SeS in Retail Sales Areas'!P$7,'NEW MODEL BY SES'!$C$17:$R$17,0),0),"")</f>
        <v/>
      </c>
      <c r="Q437" s="140" t="str">
        <f>IFERROR(VLOOKUP($C437,'NEW MODEL BY SES'!$C$19:$R$242,MATCH('SeS in Retail Sales Areas'!Q$7,'NEW MODEL BY SES'!$C$17:$R$17,0),0),"")</f>
        <v/>
      </c>
      <c r="R437" s="142" t="str">
        <f>IFERROR(VLOOKUP($C437,'NEW MODEL BY SES'!$C$19:$R$242,MATCH('SeS in Retail Sales Areas'!R$7,'NEW MODEL BY SES'!$C$17:$R$17,0),0),"")</f>
        <v/>
      </c>
      <c r="S437" s="141" t="str">
        <f>IFERROR(VLOOKUP($C437,'NEW MODEL BY SES'!$C$19:$R$242,MATCH('SeS in Retail Sales Areas'!S$7,'NEW MODEL BY SES'!$C$17:$R$17,0),0),"")</f>
        <v/>
      </c>
      <c r="T437" s="140" t="str">
        <f>IFERROR(VLOOKUP($C437,'NEW MODEL BY SES'!$C$19:$R$242,MATCH('SeS in Retail Sales Areas'!T$7,'NEW MODEL BY SES'!$C$17:$R$17,0),0),"")</f>
        <v/>
      </c>
      <c r="U437" s="142" t="str">
        <f>IFERROR(VLOOKUP($C437,'NEW MODEL BY SES'!$C$19:$R$242,MATCH('SeS in Retail Sales Areas'!U$7,'NEW MODEL BY SES'!$C$17:$R$17,0),0),"")</f>
        <v/>
      </c>
      <c r="V437" s="140" t="str">
        <f>IFERROR(VLOOKUP($C437,'NEW MODEL BY SES'!$C$19:$R$242,MATCH('SeS in Retail Sales Areas'!V$7,'NEW MODEL BY SES'!$C$17:$R$17,0),0),"")</f>
        <v/>
      </c>
      <c r="W437" s="141" t="str">
        <f>IFERROR(VLOOKUP($C437,'NEW MODEL BY SES'!$C$19:$R$242,MATCH('SeS in Retail Sales Areas'!W$7,'NEW MODEL BY SES'!$C$17:$R$17,0),0),"")</f>
        <v/>
      </c>
      <c r="X437" s="140" t="str">
        <f>IFERROR(VLOOKUP($C437,'NEW MODEL BY SES'!$C$19:$R$242,MATCH('SeS in Retail Sales Areas'!X$7,'NEW MODEL BY SES'!$C$17:$R$17,0),0),"")</f>
        <v/>
      </c>
    </row>
    <row r="438" spans="1:24">
      <c r="A438" t="s">
        <v>1369</v>
      </c>
      <c r="B438" s="57">
        <v>98</v>
      </c>
      <c r="C438" t="s">
        <v>1383</v>
      </c>
      <c r="D438" t="s">
        <v>40</v>
      </c>
      <c r="F438" s="140" t="str">
        <f>IFERROR(VLOOKUP($C438,'NEW MODEL BY SES'!$C$19:$R$242,MATCH('SeS in Retail Sales Areas'!F$7,'NEW MODEL BY SES'!$C$17:$R$17,0),0),"")</f>
        <v/>
      </c>
      <c r="G438" s="140" t="str">
        <f>IFERROR(VLOOKUP($C438,'NEW MODEL BY SES'!$C$19:$R$242,MATCH('SeS in Retail Sales Areas'!G$7,'NEW MODEL BY SES'!$C$17:$R$17,0),0),"")</f>
        <v/>
      </c>
      <c r="H438" s="142" t="str">
        <f>IFERROR(VLOOKUP($C438,'NEW MODEL BY SES'!$C$19:$R$242,MATCH('SeS in Retail Sales Areas'!H$7,'NEW MODEL BY SES'!$C$17:$R$17,0),0),"")</f>
        <v/>
      </c>
      <c r="I438" s="140" t="str">
        <f>IFERROR(VLOOKUP($C438,'NEW MODEL BY SES'!$C$19:$R$242,MATCH('SeS in Retail Sales Areas'!I$7,'NEW MODEL BY SES'!$C$17:$R$17,0),0),"")</f>
        <v/>
      </c>
      <c r="J438" s="142" t="str">
        <f>IFERROR(VLOOKUP($C438,'NEW MODEL BY SES'!$C$19:$R$242,MATCH('SeS in Retail Sales Areas'!J$7,'NEW MODEL BY SES'!$C$17:$R$17,0),0),"")</f>
        <v/>
      </c>
      <c r="K438" s="140" t="str">
        <f>IFERROR(VLOOKUP($C438,'NEW MODEL BY SES'!$C$19:$R$242,MATCH('SeS in Retail Sales Areas'!K$7,'NEW MODEL BY SES'!$C$17:$R$17,0),0),"")</f>
        <v/>
      </c>
      <c r="L438" s="142" t="str">
        <f>IFERROR(VLOOKUP($C438,'NEW MODEL BY SES'!$C$19:$R$242,MATCH('SeS in Retail Sales Areas'!L$7,'NEW MODEL BY SES'!$C$17:$R$17,0),0),"")</f>
        <v/>
      </c>
      <c r="M438" s="140" t="str">
        <f>IFERROR(VLOOKUP($C438,'NEW MODEL BY SES'!$C$19:$R$242,MATCH('SeS in Retail Sales Areas'!M$7,'NEW MODEL BY SES'!$C$17:$R$17,0),0),"")</f>
        <v/>
      </c>
      <c r="N438" s="142" t="str">
        <f>IFERROR(VLOOKUP($C438,'NEW MODEL BY SES'!$C$19:$R$242,MATCH('SeS in Retail Sales Areas'!N$7,'NEW MODEL BY SES'!$C$17:$R$17,0),0),"")</f>
        <v/>
      </c>
      <c r="O438" s="140" t="str">
        <f>IFERROR(VLOOKUP($C438,'NEW MODEL BY SES'!$C$19:$R$242,MATCH('SeS in Retail Sales Areas'!O$7,'NEW MODEL BY SES'!$C$17:$R$17,0),0),"")</f>
        <v/>
      </c>
      <c r="P438" s="142" t="str">
        <f>IFERROR(VLOOKUP($C438,'NEW MODEL BY SES'!$C$19:$R$242,MATCH('SeS in Retail Sales Areas'!P$7,'NEW MODEL BY SES'!$C$17:$R$17,0),0),"")</f>
        <v/>
      </c>
      <c r="Q438" s="140" t="str">
        <f>IFERROR(VLOOKUP($C438,'NEW MODEL BY SES'!$C$19:$R$242,MATCH('SeS in Retail Sales Areas'!Q$7,'NEW MODEL BY SES'!$C$17:$R$17,0),0),"")</f>
        <v/>
      </c>
      <c r="R438" s="142" t="str">
        <f>IFERROR(VLOOKUP($C438,'NEW MODEL BY SES'!$C$19:$R$242,MATCH('SeS in Retail Sales Areas'!R$7,'NEW MODEL BY SES'!$C$17:$R$17,0),0),"")</f>
        <v/>
      </c>
      <c r="S438" s="141" t="str">
        <f>IFERROR(VLOOKUP($C438,'NEW MODEL BY SES'!$C$19:$R$242,MATCH('SeS in Retail Sales Areas'!S$7,'NEW MODEL BY SES'!$C$17:$R$17,0),0),"")</f>
        <v/>
      </c>
      <c r="T438" s="140" t="str">
        <f>IFERROR(VLOOKUP($C438,'NEW MODEL BY SES'!$C$19:$R$242,MATCH('SeS in Retail Sales Areas'!T$7,'NEW MODEL BY SES'!$C$17:$R$17,0),0),"")</f>
        <v/>
      </c>
      <c r="U438" s="142" t="str">
        <f>IFERROR(VLOOKUP($C438,'NEW MODEL BY SES'!$C$19:$R$242,MATCH('SeS in Retail Sales Areas'!U$7,'NEW MODEL BY SES'!$C$17:$R$17,0),0),"")</f>
        <v/>
      </c>
      <c r="V438" s="140" t="str">
        <f>IFERROR(VLOOKUP($C438,'NEW MODEL BY SES'!$C$19:$R$242,MATCH('SeS in Retail Sales Areas'!V$7,'NEW MODEL BY SES'!$C$17:$R$17,0),0),"")</f>
        <v/>
      </c>
      <c r="W438" s="141" t="str">
        <f>IFERROR(VLOOKUP($C438,'NEW MODEL BY SES'!$C$19:$R$242,MATCH('SeS in Retail Sales Areas'!W$7,'NEW MODEL BY SES'!$C$17:$R$17,0),0),"")</f>
        <v/>
      </c>
      <c r="X438" s="140" t="str">
        <f>IFERROR(VLOOKUP($C438,'NEW MODEL BY SES'!$C$19:$R$242,MATCH('SeS in Retail Sales Areas'!X$7,'NEW MODEL BY SES'!$C$17:$R$17,0),0),"")</f>
        <v/>
      </c>
    </row>
    <row r="439" spans="1:24">
      <c r="A439" t="s">
        <v>1369</v>
      </c>
      <c r="B439" s="57">
        <v>93</v>
      </c>
      <c r="C439" t="s">
        <v>1384</v>
      </c>
      <c r="D439" t="s">
        <v>40</v>
      </c>
      <c r="F439" s="140" t="str">
        <f>IFERROR(VLOOKUP($C439,'NEW MODEL BY SES'!$C$19:$R$242,MATCH('SeS in Retail Sales Areas'!F$7,'NEW MODEL BY SES'!$C$17:$R$17,0),0),"")</f>
        <v/>
      </c>
      <c r="G439" s="140" t="str">
        <f>IFERROR(VLOOKUP($C439,'NEW MODEL BY SES'!$C$19:$R$242,MATCH('SeS in Retail Sales Areas'!G$7,'NEW MODEL BY SES'!$C$17:$R$17,0),0),"")</f>
        <v/>
      </c>
      <c r="H439" s="142" t="str">
        <f>IFERROR(VLOOKUP($C439,'NEW MODEL BY SES'!$C$19:$R$242,MATCH('SeS in Retail Sales Areas'!H$7,'NEW MODEL BY SES'!$C$17:$R$17,0),0),"")</f>
        <v/>
      </c>
      <c r="I439" s="140" t="str">
        <f>IFERROR(VLOOKUP($C439,'NEW MODEL BY SES'!$C$19:$R$242,MATCH('SeS in Retail Sales Areas'!I$7,'NEW MODEL BY SES'!$C$17:$R$17,0),0),"")</f>
        <v/>
      </c>
      <c r="J439" s="142" t="str">
        <f>IFERROR(VLOOKUP($C439,'NEW MODEL BY SES'!$C$19:$R$242,MATCH('SeS in Retail Sales Areas'!J$7,'NEW MODEL BY SES'!$C$17:$R$17,0),0),"")</f>
        <v/>
      </c>
      <c r="K439" s="140" t="str">
        <f>IFERROR(VLOOKUP($C439,'NEW MODEL BY SES'!$C$19:$R$242,MATCH('SeS in Retail Sales Areas'!K$7,'NEW MODEL BY SES'!$C$17:$R$17,0),0),"")</f>
        <v/>
      </c>
      <c r="L439" s="142" t="str">
        <f>IFERROR(VLOOKUP($C439,'NEW MODEL BY SES'!$C$19:$R$242,MATCH('SeS in Retail Sales Areas'!L$7,'NEW MODEL BY SES'!$C$17:$R$17,0),0),"")</f>
        <v/>
      </c>
      <c r="M439" s="140" t="str">
        <f>IFERROR(VLOOKUP($C439,'NEW MODEL BY SES'!$C$19:$R$242,MATCH('SeS in Retail Sales Areas'!M$7,'NEW MODEL BY SES'!$C$17:$R$17,0),0),"")</f>
        <v/>
      </c>
      <c r="N439" s="142" t="str">
        <f>IFERROR(VLOOKUP($C439,'NEW MODEL BY SES'!$C$19:$R$242,MATCH('SeS in Retail Sales Areas'!N$7,'NEW MODEL BY SES'!$C$17:$R$17,0),0),"")</f>
        <v/>
      </c>
      <c r="O439" s="140" t="str">
        <f>IFERROR(VLOOKUP($C439,'NEW MODEL BY SES'!$C$19:$R$242,MATCH('SeS in Retail Sales Areas'!O$7,'NEW MODEL BY SES'!$C$17:$R$17,0),0),"")</f>
        <v/>
      </c>
      <c r="P439" s="142" t="str">
        <f>IFERROR(VLOOKUP($C439,'NEW MODEL BY SES'!$C$19:$R$242,MATCH('SeS in Retail Sales Areas'!P$7,'NEW MODEL BY SES'!$C$17:$R$17,0),0),"")</f>
        <v/>
      </c>
      <c r="Q439" s="140" t="str">
        <f>IFERROR(VLOOKUP($C439,'NEW MODEL BY SES'!$C$19:$R$242,MATCH('SeS in Retail Sales Areas'!Q$7,'NEW MODEL BY SES'!$C$17:$R$17,0),0),"")</f>
        <v/>
      </c>
      <c r="R439" s="142" t="str">
        <f>IFERROR(VLOOKUP($C439,'NEW MODEL BY SES'!$C$19:$R$242,MATCH('SeS in Retail Sales Areas'!R$7,'NEW MODEL BY SES'!$C$17:$R$17,0),0),"")</f>
        <v/>
      </c>
      <c r="S439" s="141" t="str">
        <f>IFERROR(VLOOKUP($C439,'NEW MODEL BY SES'!$C$19:$R$242,MATCH('SeS in Retail Sales Areas'!S$7,'NEW MODEL BY SES'!$C$17:$R$17,0),0),"")</f>
        <v/>
      </c>
      <c r="T439" s="140" t="str">
        <f>IFERROR(VLOOKUP($C439,'NEW MODEL BY SES'!$C$19:$R$242,MATCH('SeS in Retail Sales Areas'!T$7,'NEW MODEL BY SES'!$C$17:$R$17,0),0),"")</f>
        <v/>
      </c>
      <c r="U439" s="142" t="str">
        <f>IFERROR(VLOOKUP($C439,'NEW MODEL BY SES'!$C$19:$R$242,MATCH('SeS in Retail Sales Areas'!U$7,'NEW MODEL BY SES'!$C$17:$R$17,0),0),"")</f>
        <v/>
      </c>
      <c r="V439" s="140" t="str">
        <f>IFERROR(VLOOKUP($C439,'NEW MODEL BY SES'!$C$19:$R$242,MATCH('SeS in Retail Sales Areas'!V$7,'NEW MODEL BY SES'!$C$17:$R$17,0),0),"")</f>
        <v/>
      </c>
      <c r="W439" s="141" t="str">
        <f>IFERROR(VLOOKUP($C439,'NEW MODEL BY SES'!$C$19:$R$242,MATCH('SeS in Retail Sales Areas'!W$7,'NEW MODEL BY SES'!$C$17:$R$17,0),0),"")</f>
        <v/>
      </c>
      <c r="X439" s="140" t="str">
        <f>IFERROR(VLOOKUP($C439,'NEW MODEL BY SES'!$C$19:$R$242,MATCH('SeS in Retail Sales Areas'!X$7,'NEW MODEL BY SES'!$C$17:$R$17,0),0),"")</f>
        <v/>
      </c>
    </row>
    <row r="440" spans="1:24">
      <c r="A440" t="s">
        <v>1369</v>
      </c>
      <c r="B440" s="57">
        <v>88</v>
      </c>
      <c r="C440" t="s">
        <v>1385</v>
      </c>
      <c r="D440" t="s">
        <v>40</v>
      </c>
      <c r="F440" s="140" t="str">
        <f>IFERROR(VLOOKUP($C440,'NEW MODEL BY SES'!$C$19:$R$242,MATCH('SeS in Retail Sales Areas'!F$7,'NEW MODEL BY SES'!$C$17:$R$17,0),0),"")</f>
        <v/>
      </c>
      <c r="G440" s="140" t="str">
        <f>IFERROR(VLOOKUP($C440,'NEW MODEL BY SES'!$C$19:$R$242,MATCH('SeS in Retail Sales Areas'!G$7,'NEW MODEL BY SES'!$C$17:$R$17,0),0),"")</f>
        <v/>
      </c>
      <c r="H440" s="142" t="str">
        <f>IFERROR(VLOOKUP($C440,'NEW MODEL BY SES'!$C$19:$R$242,MATCH('SeS in Retail Sales Areas'!H$7,'NEW MODEL BY SES'!$C$17:$R$17,0),0),"")</f>
        <v/>
      </c>
      <c r="I440" s="140" t="str">
        <f>IFERROR(VLOOKUP($C440,'NEW MODEL BY SES'!$C$19:$R$242,MATCH('SeS in Retail Sales Areas'!I$7,'NEW MODEL BY SES'!$C$17:$R$17,0),0),"")</f>
        <v/>
      </c>
      <c r="J440" s="142" t="str">
        <f>IFERROR(VLOOKUP($C440,'NEW MODEL BY SES'!$C$19:$R$242,MATCH('SeS in Retail Sales Areas'!J$7,'NEW MODEL BY SES'!$C$17:$R$17,0),0),"")</f>
        <v/>
      </c>
      <c r="K440" s="140" t="str">
        <f>IFERROR(VLOOKUP($C440,'NEW MODEL BY SES'!$C$19:$R$242,MATCH('SeS in Retail Sales Areas'!K$7,'NEW MODEL BY SES'!$C$17:$R$17,0),0),"")</f>
        <v/>
      </c>
      <c r="L440" s="142" t="str">
        <f>IFERROR(VLOOKUP($C440,'NEW MODEL BY SES'!$C$19:$R$242,MATCH('SeS in Retail Sales Areas'!L$7,'NEW MODEL BY SES'!$C$17:$R$17,0),0),"")</f>
        <v/>
      </c>
      <c r="M440" s="140" t="str">
        <f>IFERROR(VLOOKUP($C440,'NEW MODEL BY SES'!$C$19:$R$242,MATCH('SeS in Retail Sales Areas'!M$7,'NEW MODEL BY SES'!$C$17:$R$17,0),0),"")</f>
        <v/>
      </c>
      <c r="N440" s="142" t="str">
        <f>IFERROR(VLOOKUP($C440,'NEW MODEL BY SES'!$C$19:$R$242,MATCH('SeS in Retail Sales Areas'!N$7,'NEW MODEL BY SES'!$C$17:$R$17,0),0),"")</f>
        <v/>
      </c>
      <c r="O440" s="140" t="str">
        <f>IFERROR(VLOOKUP($C440,'NEW MODEL BY SES'!$C$19:$R$242,MATCH('SeS in Retail Sales Areas'!O$7,'NEW MODEL BY SES'!$C$17:$R$17,0),0),"")</f>
        <v/>
      </c>
      <c r="P440" s="142" t="str">
        <f>IFERROR(VLOOKUP($C440,'NEW MODEL BY SES'!$C$19:$R$242,MATCH('SeS in Retail Sales Areas'!P$7,'NEW MODEL BY SES'!$C$17:$R$17,0),0),"")</f>
        <v/>
      </c>
      <c r="Q440" s="140" t="str">
        <f>IFERROR(VLOOKUP($C440,'NEW MODEL BY SES'!$C$19:$R$242,MATCH('SeS in Retail Sales Areas'!Q$7,'NEW MODEL BY SES'!$C$17:$R$17,0),0),"")</f>
        <v/>
      </c>
      <c r="R440" s="142" t="str">
        <f>IFERROR(VLOOKUP($C440,'NEW MODEL BY SES'!$C$19:$R$242,MATCH('SeS in Retail Sales Areas'!R$7,'NEW MODEL BY SES'!$C$17:$R$17,0),0),"")</f>
        <v/>
      </c>
      <c r="S440" s="141" t="str">
        <f>IFERROR(VLOOKUP($C440,'NEW MODEL BY SES'!$C$19:$R$242,MATCH('SeS in Retail Sales Areas'!S$7,'NEW MODEL BY SES'!$C$17:$R$17,0),0),"")</f>
        <v/>
      </c>
      <c r="T440" s="140" t="str">
        <f>IFERROR(VLOOKUP($C440,'NEW MODEL BY SES'!$C$19:$R$242,MATCH('SeS in Retail Sales Areas'!T$7,'NEW MODEL BY SES'!$C$17:$R$17,0),0),"")</f>
        <v/>
      </c>
      <c r="U440" s="142" t="str">
        <f>IFERROR(VLOOKUP($C440,'NEW MODEL BY SES'!$C$19:$R$242,MATCH('SeS in Retail Sales Areas'!U$7,'NEW MODEL BY SES'!$C$17:$R$17,0),0),"")</f>
        <v/>
      </c>
      <c r="V440" s="140" t="str">
        <f>IFERROR(VLOOKUP($C440,'NEW MODEL BY SES'!$C$19:$R$242,MATCH('SeS in Retail Sales Areas'!V$7,'NEW MODEL BY SES'!$C$17:$R$17,0),0),"")</f>
        <v/>
      </c>
      <c r="W440" s="141" t="str">
        <f>IFERROR(VLOOKUP($C440,'NEW MODEL BY SES'!$C$19:$R$242,MATCH('SeS in Retail Sales Areas'!W$7,'NEW MODEL BY SES'!$C$17:$R$17,0),0),"")</f>
        <v/>
      </c>
      <c r="X440" s="140" t="str">
        <f>IFERROR(VLOOKUP($C440,'NEW MODEL BY SES'!$C$19:$R$242,MATCH('SeS in Retail Sales Areas'!X$7,'NEW MODEL BY SES'!$C$17:$R$17,0),0),"")</f>
        <v/>
      </c>
    </row>
    <row r="441" spans="1:24">
      <c r="A441" t="s">
        <v>1369</v>
      </c>
      <c r="B441" s="57">
        <v>84</v>
      </c>
      <c r="C441" t="s">
        <v>1386</v>
      </c>
      <c r="D441" t="s">
        <v>40</v>
      </c>
      <c r="F441" s="140" t="str">
        <f>IFERROR(VLOOKUP($C441,'NEW MODEL BY SES'!$C$19:$R$242,MATCH('SeS in Retail Sales Areas'!F$7,'NEW MODEL BY SES'!$C$17:$R$17,0),0),"")</f>
        <v/>
      </c>
      <c r="G441" s="140" t="str">
        <f>IFERROR(VLOOKUP($C441,'NEW MODEL BY SES'!$C$19:$R$242,MATCH('SeS in Retail Sales Areas'!G$7,'NEW MODEL BY SES'!$C$17:$R$17,0),0),"")</f>
        <v/>
      </c>
      <c r="H441" s="142" t="str">
        <f>IFERROR(VLOOKUP($C441,'NEW MODEL BY SES'!$C$19:$R$242,MATCH('SeS in Retail Sales Areas'!H$7,'NEW MODEL BY SES'!$C$17:$R$17,0),0),"")</f>
        <v/>
      </c>
      <c r="I441" s="140" t="str">
        <f>IFERROR(VLOOKUP($C441,'NEW MODEL BY SES'!$C$19:$R$242,MATCH('SeS in Retail Sales Areas'!I$7,'NEW MODEL BY SES'!$C$17:$R$17,0),0),"")</f>
        <v/>
      </c>
      <c r="J441" s="142" t="str">
        <f>IFERROR(VLOOKUP($C441,'NEW MODEL BY SES'!$C$19:$R$242,MATCH('SeS in Retail Sales Areas'!J$7,'NEW MODEL BY SES'!$C$17:$R$17,0),0),"")</f>
        <v/>
      </c>
      <c r="K441" s="140" t="str">
        <f>IFERROR(VLOOKUP($C441,'NEW MODEL BY SES'!$C$19:$R$242,MATCH('SeS in Retail Sales Areas'!K$7,'NEW MODEL BY SES'!$C$17:$R$17,0),0),"")</f>
        <v/>
      </c>
      <c r="L441" s="142" t="str">
        <f>IFERROR(VLOOKUP($C441,'NEW MODEL BY SES'!$C$19:$R$242,MATCH('SeS in Retail Sales Areas'!L$7,'NEW MODEL BY SES'!$C$17:$R$17,0),0),"")</f>
        <v/>
      </c>
      <c r="M441" s="140" t="str">
        <f>IFERROR(VLOOKUP($C441,'NEW MODEL BY SES'!$C$19:$R$242,MATCH('SeS in Retail Sales Areas'!M$7,'NEW MODEL BY SES'!$C$17:$R$17,0),0),"")</f>
        <v/>
      </c>
      <c r="N441" s="142" t="str">
        <f>IFERROR(VLOOKUP($C441,'NEW MODEL BY SES'!$C$19:$R$242,MATCH('SeS in Retail Sales Areas'!N$7,'NEW MODEL BY SES'!$C$17:$R$17,0),0),"")</f>
        <v/>
      </c>
      <c r="O441" s="140" t="str">
        <f>IFERROR(VLOOKUP($C441,'NEW MODEL BY SES'!$C$19:$R$242,MATCH('SeS in Retail Sales Areas'!O$7,'NEW MODEL BY SES'!$C$17:$R$17,0),0),"")</f>
        <v/>
      </c>
      <c r="P441" s="142" t="str">
        <f>IFERROR(VLOOKUP($C441,'NEW MODEL BY SES'!$C$19:$R$242,MATCH('SeS in Retail Sales Areas'!P$7,'NEW MODEL BY SES'!$C$17:$R$17,0),0),"")</f>
        <v/>
      </c>
      <c r="Q441" s="140" t="str">
        <f>IFERROR(VLOOKUP($C441,'NEW MODEL BY SES'!$C$19:$R$242,MATCH('SeS in Retail Sales Areas'!Q$7,'NEW MODEL BY SES'!$C$17:$R$17,0),0),"")</f>
        <v/>
      </c>
      <c r="R441" s="142" t="str">
        <f>IFERROR(VLOOKUP($C441,'NEW MODEL BY SES'!$C$19:$R$242,MATCH('SeS in Retail Sales Areas'!R$7,'NEW MODEL BY SES'!$C$17:$R$17,0),0),"")</f>
        <v/>
      </c>
      <c r="S441" s="141" t="str">
        <f>IFERROR(VLOOKUP($C441,'NEW MODEL BY SES'!$C$19:$R$242,MATCH('SeS in Retail Sales Areas'!S$7,'NEW MODEL BY SES'!$C$17:$R$17,0),0),"")</f>
        <v/>
      </c>
      <c r="T441" s="140" t="str">
        <f>IFERROR(VLOOKUP($C441,'NEW MODEL BY SES'!$C$19:$R$242,MATCH('SeS in Retail Sales Areas'!T$7,'NEW MODEL BY SES'!$C$17:$R$17,0),0),"")</f>
        <v/>
      </c>
      <c r="U441" s="142" t="str">
        <f>IFERROR(VLOOKUP($C441,'NEW MODEL BY SES'!$C$19:$R$242,MATCH('SeS in Retail Sales Areas'!U$7,'NEW MODEL BY SES'!$C$17:$R$17,0),0),"")</f>
        <v/>
      </c>
      <c r="V441" s="140" t="str">
        <f>IFERROR(VLOOKUP($C441,'NEW MODEL BY SES'!$C$19:$R$242,MATCH('SeS in Retail Sales Areas'!V$7,'NEW MODEL BY SES'!$C$17:$R$17,0),0),"")</f>
        <v/>
      </c>
      <c r="W441" s="141" t="str">
        <f>IFERROR(VLOOKUP($C441,'NEW MODEL BY SES'!$C$19:$R$242,MATCH('SeS in Retail Sales Areas'!W$7,'NEW MODEL BY SES'!$C$17:$R$17,0),0),"")</f>
        <v/>
      </c>
      <c r="X441" s="140" t="str">
        <f>IFERROR(VLOOKUP($C441,'NEW MODEL BY SES'!$C$19:$R$242,MATCH('SeS in Retail Sales Areas'!X$7,'NEW MODEL BY SES'!$C$17:$R$17,0),0),"")</f>
        <v/>
      </c>
    </row>
    <row r="442" spans="1:24">
      <c r="A442" t="s">
        <v>1369</v>
      </c>
      <c r="B442" s="57">
        <v>78</v>
      </c>
      <c r="C442" t="s">
        <v>1387</v>
      </c>
      <c r="D442" t="s">
        <v>44</v>
      </c>
      <c r="F442" s="140" t="str">
        <f>IFERROR(VLOOKUP($C442,'NEW MODEL BY SES'!$C$19:$R$242,MATCH('SeS in Retail Sales Areas'!F$7,'NEW MODEL BY SES'!$C$17:$R$17,0),0),"")</f>
        <v/>
      </c>
      <c r="G442" s="140" t="str">
        <f>IFERROR(VLOOKUP($C442,'NEW MODEL BY SES'!$C$19:$R$242,MATCH('SeS in Retail Sales Areas'!G$7,'NEW MODEL BY SES'!$C$17:$R$17,0),0),"")</f>
        <v/>
      </c>
      <c r="H442" s="142" t="str">
        <f>IFERROR(VLOOKUP($C442,'NEW MODEL BY SES'!$C$19:$R$242,MATCH('SeS in Retail Sales Areas'!H$7,'NEW MODEL BY SES'!$C$17:$R$17,0),0),"")</f>
        <v/>
      </c>
      <c r="I442" s="140" t="str">
        <f>IFERROR(VLOOKUP($C442,'NEW MODEL BY SES'!$C$19:$R$242,MATCH('SeS in Retail Sales Areas'!I$7,'NEW MODEL BY SES'!$C$17:$R$17,0),0),"")</f>
        <v/>
      </c>
      <c r="J442" s="142" t="str">
        <f>IFERROR(VLOOKUP($C442,'NEW MODEL BY SES'!$C$19:$R$242,MATCH('SeS in Retail Sales Areas'!J$7,'NEW MODEL BY SES'!$C$17:$R$17,0),0),"")</f>
        <v/>
      </c>
      <c r="K442" s="140" t="str">
        <f>IFERROR(VLOOKUP($C442,'NEW MODEL BY SES'!$C$19:$R$242,MATCH('SeS in Retail Sales Areas'!K$7,'NEW MODEL BY SES'!$C$17:$R$17,0),0),"")</f>
        <v/>
      </c>
      <c r="L442" s="142" t="str">
        <f>IFERROR(VLOOKUP($C442,'NEW MODEL BY SES'!$C$19:$R$242,MATCH('SeS in Retail Sales Areas'!L$7,'NEW MODEL BY SES'!$C$17:$R$17,0),0),"")</f>
        <v/>
      </c>
      <c r="M442" s="140" t="str">
        <f>IFERROR(VLOOKUP($C442,'NEW MODEL BY SES'!$C$19:$R$242,MATCH('SeS in Retail Sales Areas'!M$7,'NEW MODEL BY SES'!$C$17:$R$17,0),0),"")</f>
        <v/>
      </c>
      <c r="N442" s="142" t="str">
        <f>IFERROR(VLOOKUP($C442,'NEW MODEL BY SES'!$C$19:$R$242,MATCH('SeS in Retail Sales Areas'!N$7,'NEW MODEL BY SES'!$C$17:$R$17,0),0),"")</f>
        <v/>
      </c>
      <c r="O442" s="140" t="str">
        <f>IFERROR(VLOOKUP($C442,'NEW MODEL BY SES'!$C$19:$R$242,MATCH('SeS in Retail Sales Areas'!O$7,'NEW MODEL BY SES'!$C$17:$R$17,0),0),"")</f>
        <v/>
      </c>
      <c r="P442" s="142" t="str">
        <f>IFERROR(VLOOKUP($C442,'NEW MODEL BY SES'!$C$19:$R$242,MATCH('SeS in Retail Sales Areas'!P$7,'NEW MODEL BY SES'!$C$17:$R$17,0),0),"")</f>
        <v/>
      </c>
      <c r="Q442" s="140" t="str">
        <f>IFERROR(VLOOKUP($C442,'NEW MODEL BY SES'!$C$19:$R$242,MATCH('SeS in Retail Sales Areas'!Q$7,'NEW MODEL BY SES'!$C$17:$R$17,0),0),"")</f>
        <v/>
      </c>
      <c r="R442" s="142" t="str">
        <f>IFERROR(VLOOKUP($C442,'NEW MODEL BY SES'!$C$19:$R$242,MATCH('SeS in Retail Sales Areas'!R$7,'NEW MODEL BY SES'!$C$17:$R$17,0),0),"")</f>
        <v/>
      </c>
      <c r="S442" s="141" t="str">
        <f>IFERROR(VLOOKUP($C442,'NEW MODEL BY SES'!$C$19:$R$242,MATCH('SeS in Retail Sales Areas'!S$7,'NEW MODEL BY SES'!$C$17:$R$17,0),0),"")</f>
        <v/>
      </c>
      <c r="T442" s="140" t="str">
        <f>IFERROR(VLOOKUP($C442,'NEW MODEL BY SES'!$C$19:$R$242,MATCH('SeS in Retail Sales Areas'!T$7,'NEW MODEL BY SES'!$C$17:$R$17,0),0),"")</f>
        <v/>
      </c>
      <c r="U442" s="142" t="str">
        <f>IFERROR(VLOOKUP($C442,'NEW MODEL BY SES'!$C$19:$R$242,MATCH('SeS in Retail Sales Areas'!U$7,'NEW MODEL BY SES'!$C$17:$R$17,0),0),"")</f>
        <v/>
      </c>
      <c r="V442" s="140" t="str">
        <f>IFERROR(VLOOKUP($C442,'NEW MODEL BY SES'!$C$19:$R$242,MATCH('SeS in Retail Sales Areas'!V$7,'NEW MODEL BY SES'!$C$17:$R$17,0),0),"")</f>
        <v/>
      </c>
      <c r="W442" s="141" t="str">
        <f>IFERROR(VLOOKUP($C442,'NEW MODEL BY SES'!$C$19:$R$242,MATCH('SeS in Retail Sales Areas'!W$7,'NEW MODEL BY SES'!$C$17:$R$17,0),0),"")</f>
        <v/>
      </c>
      <c r="X442" s="140" t="str">
        <f>IFERROR(VLOOKUP($C442,'NEW MODEL BY SES'!$C$19:$R$242,MATCH('SeS in Retail Sales Areas'!X$7,'NEW MODEL BY SES'!$C$17:$R$17,0),0),"")</f>
        <v/>
      </c>
    </row>
    <row r="443" spans="1:24">
      <c r="A443" t="s">
        <v>1369</v>
      </c>
      <c r="B443" s="57">
        <v>73</v>
      </c>
      <c r="C443" t="s">
        <v>1388</v>
      </c>
      <c r="D443" t="s">
        <v>44</v>
      </c>
      <c r="F443" s="140" t="str">
        <f>IFERROR(VLOOKUP($C443,'NEW MODEL BY SES'!$C$19:$R$242,MATCH('SeS in Retail Sales Areas'!F$7,'NEW MODEL BY SES'!$C$17:$R$17,0),0),"")</f>
        <v/>
      </c>
      <c r="G443" s="140" t="str">
        <f>IFERROR(VLOOKUP($C443,'NEW MODEL BY SES'!$C$19:$R$242,MATCH('SeS in Retail Sales Areas'!G$7,'NEW MODEL BY SES'!$C$17:$R$17,0),0),"")</f>
        <v/>
      </c>
      <c r="H443" s="142" t="str">
        <f>IFERROR(VLOOKUP($C443,'NEW MODEL BY SES'!$C$19:$R$242,MATCH('SeS in Retail Sales Areas'!H$7,'NEW MODEL BY SES'!$C$17:$R$17,0),0),"")</f>
        <v/>
      </c>
      <c r="I443" s="140" t="str">
        <f>IFERROR(VLOOKUP($C443,'NEW MODEL BY SES'!$C$19:$R$242,MATCH('SeS in Retail Sales Areas'!I$7,'NEW MODEL BY SES'!$C$17:$R$17,0),0),"")</f>
        <v/>
      </c>
      <c r="J443" s="142" t="str">
        <f>IFERROR(VLOOKUP($C443,'NEW MODEL BY SES'!$C$19:$R$242,MATCH('SeS in Retail Sales Areas'!J$7,'NEW MODEL BY SES'!$C$17:$R$17,0),0),"")</f>
        <v/>
      </c>
      <c r="K443" s="140" t="str">
        <f>IFERROR(VLOOKUP($C443,'NEW MODEL BY SES'!$C$19:$R$242,MATCH('SeS in Retail Sales Areas'!K$7,'NEW MODEL BY SES'!$C$17:$R$17,0),0),"")</f>
        <v/>
      </c>
      <c r="L443" s="142" t="str">
        <f>IFERROR(VLOOKUP($C443,'NEW MODEL BY SES'!$C$19:$R$242,MATCH('SeS in Retail Sales Areas'!L$7,'NEW MODEL BY SES'!$C$17:$R$17,0),0),"")</f>
        <v/>
      </c>
      <c r="M443" s="140" t="str">
        <f>IFERROR(VLOOKUP($C443,'NEW MODEL BY SES'!$C$19:$R$242,MATCH('SeS in Retail Sales Areas'!M$7,'NEW MODEL BY SES'!$C$17:$R$17,0),0),"")</f>
        <v/>
      </c>
      <c r="N443" s="142" t="str">
        <f>IFERROR(VLOOKUP($C443,'NEW MODEL BY SES'!$C$19:$R$242,MATCH('SeS in Retail Sales Areas'!N$7,'NEW MODEL BY SES'!$C$17:$R$17,0),0),"")</f>
        <v/>
      </c>
      <c r="O443" s="140" t="str">
        <f>IFERROR(VLOOKUP($C443,'NEW MODEL BY SES'!$C$19:$R$242,MATCH('SeS in Retail Sales Areas'!O$7,'NEW MODEL BY SES'!$C$17:$R$17,0),0),"")</f>
        <v/>
      </c>
      <c r="P443" s="142" t="str">
        <f>IFERROR(VLOOKUP($C443,'NEW MODEL BY SES'!$C$19:$R$242,MATCH('SeS in Retail Sales Areas'!P$7,'NEW MODEL BY SES'!$C$17:$R$17,0),0),"")</f>
        <v/>
      </c>
      <c r="Q443" s="140" t="str">
        <f>IFERROR(VLOOKUP($C443,'NEW MODEL BY SES'!$C$19:$R$242,MATCH('SeS in Retail Sales Areas'!Q$7,'NEW MODEL BY SES'!$C$17:$R$17,0),0),"")</f>
        <v/>
      </c>
      <c r="R443" s="142" t="str">
        <f>IFERROR(VLOOKUP($C443,'NEW MODEL BY SES'!$C$19:$R$242,MATCH('SeS in Retail Sales Areas'!R$7,'NEW MODEL BY SES'!$C$17:$R$17,0),0),"")</f>
        <v/>
      </c>
      <c r="S443" s="141" t="str">
        <f>IFERROR(VLOOKUP($C443,'NEW MODEL BY SES'!$C$19:$R$242,MATCH('SeS in Retail Sales Areas'!S$7,'NEW MODEL BY SES'!$C$17:$R$17,0),0),"")</f>
        <v/>
      </c>
      <c r="T443" s="140" t="str">
        <f>IFERROR(VLOOKUP($C443,'NEW MODEL BY SES'!$C$19:$R$242,MATCH('SeS in Retail Sales Areas'!T$7,'NEW MODEL BY SES'!$C$17:$R$17,0),0),"")</f>
        <v/>
      </c>
      <c r="U443" s="142" t="str">
        <f>IFERROR(VLOOKUP($C443,'NEW MODEL BY SES'!$C$19:$R$242,MATCH('SeS in Retail Sales Areas'!U$7,'NEW MODEL BY SES'!$C$17:$R$17,0),0),"")</f>
        <v/>
      </c>
      <c r="V443" s="140" t="str">
        <f>IFERROR(VLOOKUP($C443,'NEW MODEL BY SES'!$C$19:$R$242,MATCH('SeS in Retail Sales Areas'!V$7,'NEW MODEL BY SES'!$C$17:$R$17,0),0),"")</f>
        <v/>
      </c>
      <c r="W443" s="141" t="str">
        <f>IFERROR(VLOOKUP($C443,'NEW MODEL BY SES'!$C$19:$R$242,MATCH('SeS in Retail Sales Areas'!W$7,'NEW MODEL BY SES'!$C$17:$R$17,0),0),"")</f>
        <v/>
      </c>
      <c r="X443" s="140" t="str">
        <f>IFERROR(VLOOKUP($C443,'NEW MODEL BY SES'!$C$19:$R$242,MATCH('SeS in Retail Sales Areas'!X$7,'NEW MODEL BY SES'!$C$17:$R$17,0),0),"")</f>
        <v/>
      </c>
    </row>
    <row r="444" spans="1:24">
      <c r="A444" t="s">
        <v>1369</v>
      </c>
      <c r="B444" s="57">
        <v>69</v>
      </c>
      <c r="C444" t="s">
        <v>1389</v>
      </c>
      <c r="D444" t="s">
        <v>44</v>
      </c>
      <c r="F444" s="140" t="str">
        <f>IFERROR(VLOOKUP($C444,'NEW MODEL BY SES'!$C$19:$R$242,MATCH('SeS in Retail Sales Areas'!F$7,'NEW MODEL BY SES'!$C$17:$R$17,0),0),"")</f>
        <v/>
      </c>
      <c r="G444" s="140" t="str">
        <f>IFERROR(VLOOKUP($C444,'NEW MODEL BY SES'!$C$19:$R$242,MATCH('SeS in Retail Sales Areas'!G$7,'NEW MODEL BY SES'!$C$17:$R$17,0),0),"")</f>
        <v/>
      </c>
      <c r="H444" s="142" t="str">
        <f>IFERROR(VLOOKUP($C444,'NEW MODEL BY SES'!$C$19:$R$242,MATCH('SeS in Retail Sales Areas'!H$7,'NEW MODEL BY SES'!$C$17:$R$17,0),0),"")</f>
        <v/>
      </c>
      <c r="I444" s="140" t="str">
        <f>IFERROR(VLOOKUP($C444,'NEW MODEL BY SES'!$C$19:$R$242,MATCH('SeS in Retail Sales Areas'!I$7,'NEW MODEL BY SES'!$C$17:$R$17,0),0),"")</f>
        <v/>
      </c>
      <c r="J444" s="142" t="str">
        <f>IFERROR(VLOOKUP($C444,'NEW MODEL BY SES'!$C$19:$R$242,MATCH('SeS in Retail Sales Areas'!J$7,'NEW MODEL BY SES'!$C$17:$R$17,0),0),"")</f>
        <v/>
      </c>
      <c r="K444" s="140" t="str">
        <f>IFERROR(VLOOKUP($C444,'NEW MODEL BY SES'!$C$19:$R$242,MATCH('SeS in Retail Sales Areas'!K$7,'NEW MODEL BY SES'!$C$17:$R$17,0),0),"")</f>
        <v/>
      </c>
      <c r="L444" s="142" t="str">
        <f>IFERROR(VLOOKUP($C444,'NEW MODEL BY SES'!$C$19:$R$242,MATCH('SeS in Retail Sales Areas'!L$7,'NEW MODEL BY SES'!$C$17:$R$17,0),0),"")</f>
        <v/>
      </c>
      <c r="M444" s="140" t="str">
        <f>IFERROR(VLOOKUP($C444,'NEW MODEL BY SES'!$C$19:$R$242,MATCH('SeS in Retail Sales Areas'!M$7,'NEW MODEL BY SES'!$C$17:$R$17,0),0),"")</f>
        <v/>
      </c>
      <c r="N444" s="142" t="str">
        <f>IFERROR(VLOOKUP($C444,'NEW MODEL BY SES'!$C$19:$R$242,MATCH('SeS in Retail Sales Areas'!N$7,'NEW MODEL BY SES'!$C$17:$R$17,0),0),"")</f>
        <v/>
      </c>
      <c r="O444" s="140" t="str">
        <f>IFERROR(VLOOKUP($C444,'NEW MODEL BY SES'!$C$19:$R$242,MATCH('SeS in Retail Sales Areas'!O$7,'NEW MODEL BY SES'!$C$17:$R$17,0),0),"")</f>
        <v/>
      </c>
      <c r="P444" s="142" t="str">
        <f>IFERROR(VLOOKUP($C444,'NEW MODEL BY SES'!$C$19:$R$242,MATCH('SeS in Retail Sales Areas'!P$7,'NEW MODEL BY SES'!$C$17:$R$17,0),0),"")</f>
        <v/>
      </c>
      <c r="Q444" s="140" t="str">
        <f>IFERROR(VLOOKUP($C444,'NEW MODEL BY SES'!$C$19:$R$242,MATCH('SeS in Retail Sales Areas'!Q$7,'NEW MODEL BY SES'!$C$17:$R$17,0),0),"")</f>
        <v/>
      </c>
      <c r="R444" s="142" t="str">
        <f>IFERROR(VLOOKUP($C444,'NEW MODEL BY SES'!$C$19:$R$242,MATCH('SeS in Retail Sales Areas'!R$7,'NEW MODEL BY SES'!$C$17:$R$17,0),0),"")</f>
        <v/>
      </c>
      <c r="S444" s="141" t="str">
        <f>IFERROR(VLOOKUP($C444,'NEW MODEL BY SES'!$C$19:$R$242,MATCH('SeS in Retail Sales Areas'!S$7,'NEW MODEL BY SES'!$C$17:$R$17,0),0),"")</f>
        <v/>
      </c>
      <c r="T444" s="140" t="str">
        <f>IFERROR(VLOOKUP($C444,'NEW MODEL BY SES'!$C$19:$R$242,MATCH('SeS in Retail Sales Areas'!T$7,'NEW MODEL BY SES'!$C$17:$R$17,0),0),"")</f>
        <v/>
      </c>
      <c r="U444" s="142" t="str">
        <f>IFERROR(VLOOKUP($C444,'NEW MODEL BY SES'!$C$19:$R$242,MATCH('SeS in Retail Sales Areas'!U$7,'NEW MODEL BY SES'!$C$17:$R$17,0),0),"")</f>
        <v/>
      </c>
      <c r="V444" s="140" t="str">
        <f>IFERROR(VLOOKUP($C444,'NEW MODEL BY SES'!$C$19:$R$242,MATCH('SeS in Retail Sales Areas'!V$7,'NEW MODEL BY SES'!$C$17:$R$17,0),0),"")</f>
        <v/>
      </c>
      <c r="W444" s="141" t="str">
        <f>IFERROR(VLOOKUP($C444,'NEW MODEL BY SES'!$C$19:$R$242,MATCH('SeS in Retail Sales Areas'!W$7,'NEW MODEL BY SES'!$C$17:$R$17,0),0),"")</f>
        <v/>
      </c>
      <c r="X444" s="140" t="str">
        <f>IFERROR(VLOOKUP($C444,'NEW MODEL BY SES'!$C$19:$R$242,MATCH('SeS in Retail Sales Areas'!X$7,'NEW MODEL BY SES'!$C$17:$R$17,0),0),"")</f>
        <v/>
      </c>
    </row>
    <row r="445" spans="1:24">
      <c r="A445" t="s">
        <v>1369</v>
      </c>
      <c r="B445" s="57">
        <v>68</v>
      </c>
      <c r="C445" t="s">
        <v>1390</v>
      </c>
      <c r="D445" t="s">
        <v>44</v>
      </c>
      <c r="F445" s="140" t="str">
        <f>IFERROR(VLOOKUP($C445,'NEW MODEL BY SES'!$C$19:$R$242,MATCH('SeS in Retail Sales Areas'!F$7,'NEW MODEL BY SES'!$C$17:$R$17,0),0),"")</f>
        <v/>
      </c>
      <c r="G445" s="140" t="str">
        <f>IFERROR(VLOOKUP($C445,'NEW MODEL BY SES'!$C$19:$R$242,MATCH('SeS in Retail Sales Areas'!G$7,'NEW MODEL BY SES'!$C$17:$R$17,0),0),"")</f>
        <v/>
      </c>
      <c r="H445" s="142" t="str">
        <f>IFERROR(VLOOKUP($C445,'NEW MODEL BY SES'!$C$19:$R$242,MATCH('SeS in Retail Sales Areas'!H$7,'NEW MODEL BY SES'!$C$17:$R$17,0),0),"")</f>
        <v/>
      </c>
      <c r="I445" s="140" t="str">
        <f>IFERROR(VLOOKUP($C445,'NEW MODEL BY SES'!$C$19:$R$242,MATCH('SeS in Retail Sales Areas'!I$7,'NEW MODEL BY SES'!$C$17:$R$17,0),0),"")</f>
        <v/>
      </c>
      <c r="J445" s="142" t="str">
        <f>IFERROR(VLOOKUP($C445,'NEW MODEL BY SES'!$C$19:$R$242,MATCH('SeS in Retail Sales Areas'!J$7,'NEW MODEL BY SES'!$C$17:$R$17,0),0),"")</f>
        <v/>
      </c>
      <c r="K445" s="140" t="str">
        <f>IFERROR(VLOOKUP($C445,'NEW MODEL BY SES'!$C$19:$R$242,MATCH('SeS in Retail Sales Areas'!K$7,'NEW MODEL BY SES'!$C$17:$R$17,0),0),"")</f>
        <v/>
      </c>
      <c r="L445" s="142" t="str">
        <f>IFERROR(VLOOKUP($C445,'NEW MODEL BY SES'!$C$19:$R$242,MATCH('SeS in Retail Sales Areas'!L$7,'NEW MODEL BY SES'!$C$17:$R$17,0),0),"")</f>
        <v/>
      </c>
      <c r="M445" s="140" t="str">
        <f>IFERROR(VLOOKUP($C445,'NEW MODEL BY SES'!$C$19:$R$242,MATCH('SeS in Retail Sales Areas'!M$7,'NEW MODEL BY SES'!$C$17:$R$17,0),0),"")</f>
        <v/>
      </c>
      <c r="N445" s="142" t="str">
        <f>IFERROR(VLOOKUP($C445,'NEW MODEL BY SES'!$C$19:$R$242,MATCH('SeS in Retail Sales Areas'!N$7,'NEW MODEL BY SES'!$C$17:$R$17,0),0),"")</f>
        <v/>
      </c>
      <c r="O445" s="140" t="str">
        <f>IFERROR(VLOOKUP($C445,'NEW MODEL BY SES'!$C$19:$R$242,MATCH('SeS in Retail Sales Areas'!O$7,'NEW MODEL BY SES'!$C$17:$R$17,0),0),"")</f>
        <v/>
      </c>
      <c r="P445" s="142" t="str">
        <f>IFERROR(VLOOKUP($C445,'NEW MODEL BY SES'!$C$19:$R$242,MATCH('SeS in Retail Sales Areas'!P$7,'NEW MODEL BY SES'!$C$17:$R$17,0),0),"")</f>
        <v/>
      </c>
      <c r="Q445" s="140" t="str">
        <f>IFERROR(VLOOKUP($C445,'NEW MODEL BY SES'!$C$19:$R$242,MATCH('SeS in Retail Sales Areas'!Q$7,'NEW MODEL BY SES'!$C$17:$R$17,0),0),"")</f>
        <v/>
      </c>
      <c r="R445" s="142" t="str">
        <f>IFERROR(VLOOKUP($C445,'NEW MODEL BY SES'!$C$19:$R$242,MATCH('SeS in Retail Sales Areas'!R$7,'NEW MODEL BY SES'!$C$17:$R$17,0),0),"")</f>
        <v/>
      </c>
      <c r="S445" s="141" t="str">
        <f>IFERROR(VLOOKUP($C445,'NEW MODEL BY SES'!$C$19:$R$242,MATCH('SeS in Retail Sales Areas'!S$7,'NEW MODEL BY SES'!$C$17:$R$17,0),0),"")</f>
        <v/>
      </c>
      <c r="T445" s="140" t="str">
        <f>IFERROR(VLOOKUP($C445,'NEW MODEL BY SES'!$C$19:$R$242,MATCH('SeS in Retail Sales Areas'!T$7,'NEW MODEL BY SES'!$C$17:$R$17,0),0),"")</f>
        <v/>
      </c>
      <c r="U445" s="142" t="str">
        <f>IFERROR(VLOOKUP($C445,'NEW MODEL BY SES'!$C$19:$R$242,MATCH('SeS in Retail Sales Areas'!U$7,'NEW MODEL BY SES'!$C$17:$R$17,0),0),"")</f>
        <v/>
      </c>
      <c r="V445" s="140" t="str">
        <f>IFERROR(VLOOKUP($C445,'NEW MODEL BY SES'!$C$19:$R$242,MATCH('SeS in Retail Sales Areas'!V$7,'NEW MODEL BY SES'!$C$17:$R$17,0),0),"")</f>
        <v/>
      </c>
      <c r="W445" s="141" t="str">
        <f>IFERROR(VLOOKUP($C445,'NEW MODEL BY SES'!$C$19:$R$242,MATCH('SeS in Retail Sales Areas'!W$7,'NEW MODEL BY SES'!$C$17:$R$17,0),0),"")</f>
        <v/>
      </c>
      <c r="X445" s="140" t="str">
        <f>IFERROR(VLOOKUP($C445,'NEW MODEL BY SES'!$C$19:$R$242,MATCH('SeS in Retail Sales Areas'!X$7,'NEW MODEL BY SES'!$C$17:$R$17,0),0),"")</f>
        <v/>
      </c>
    </row>
    <row r="446" spans="1:24">
      <c r="A446" t="s">
        <v>1369</v>
      </c>
      <c r="B446" s="57">
        <v>67</v>
      </c>
      <c r="C446" t="s">
        <v>1391</v>
      </c>
      <c r="D446" t="s">
        <v>44</v>
      </c>
      <c r="F446" s="140" t="str">
        <f>IFERROR(VLOOKUP($C446,'NEW MODEL BY SES'!$C$19:$R$242,MATCH('SeS in Retail Sales Areas'!F$7,'NEW MODEL BY SES'!$C$17:$R$17,0),0),"")</f>
        <v/>
      </c>
      <c r="G446" s="140" t="str">
        <f>IFERROR(VLOOKUP($C446,'NEW MODEL BY SES'!$C$19:$R$242,MATCH('SeS in Retail Sales Areas'!G$7,'NEW MODEL BY SES'!$C$17:$R$17,0),0),"")</f>
        <v/>
      </c>
      <c r="H446" s="142" t="str">
        <f>IFERROR(VLOOKUP($C446,'NEW MODEL BY SES'!$C$19:$R$242,MATCH('SeS in Retail Sales Areas'!H$7,'NEW MODEL BY SES'!$C$17:$R$17,0),0),"")</f>
        <v/>
      </c>
      <c r="I446" s="140" t="str">
        <f>IFERROR(VLOOKUP($C446,'NEW MODEL BY SES'!$C$19:$R$242,MATCH('SeS in Retail Sales Areas'!I$7,'NEW MODEL BY SES'!$C$17:$R$17,0),0),"")</f>
        <v/>
      </c>
      <c r="J446" s="142" t="str">
        <f>IFERROR(VLOOKUP($C446,'NEW MODEL BY SES'!$C$19:$R$242,MATCH('SeS in Retail Sales Areas'!J$7,'NEW MODEL BY SES'!$C$17:$R$17,0),0),"")</f>
        <v/>
      </c>
      <c r="K446" s="140" t="str">
        <f>IFERROR(VLOOKUP($C446,'NEW MODEL BY SES'!$C$19:$R$242,MATCH('SeS in Retail Sales Areas'!K$7,'NEW MODEL BY SES'!$C$17:$R$17,0),0),"")</f>
        <v/>
      </c>
      <c r="L446" s="142" t="str">
        <f>IFERROR(VLOOKUP($C446,'NEW MODEL BY SES'!$C$19:$R$242,MATCH('SeS in Retail Sales Areas'!L$7,'NEW MODEL BY SES'!$C$17:$R$17,0),0),"")</f>
        <v/>
      </c>
      <c r="M446" s="140" t="str">
        <f>IFERROR(VLOOKUP($C446,'NEW MODEL BY SES'!$C$19:$R$242,MATCH('SeS in Retail Sales Areas'!M$7,'NEW MODEL BY SES'!$C$17:$R$17,0),0),"")</f>
        <v/>
      </c>
      <c r="N446" s="142" t="str">
        <f>IFERROR(VLOOKUP($C446,'NEW MODEL BY SES'!$C$19:$R$242,MATCH('SeS in Retail Sales Areas'!N$7,'NEW MODEL BY SES'!$C$17:$R$17,0),0),"")</f>
        <v/>
      </c>
      <c r="O446" s="140" t="str">
        <f>IFERROR(VLOOKUP($C446,'NEW MODEL BY SES'!$C$19:$R$242,MATCH('SeS in Retail Sales Areas'!O$7,'NEW MODEL BY SES'!$C$17:$R$17,0),0),"")</f>
        <v/>
      </c>
      <c r="P446" s="142" t="str">
        <f>IFERROR(VLOOKUP($C446,'NEW MODEL BY SES'!$C$19:$R$242,MATCH('SeS in Retail Sales Areas'!P$7,'NEW MODEL BY SES'!$C$17:$R$17,0),0),"")</f>
        <v/>
      </c>
      <c r="Q446" s="140" t="str">
        <f>IFERROR(VLOOKUP($C446,'NEW MODEL BY SES'!$C$19:$R$242,MATCH('SeS in Retail Sales Areas'!Q$7,'NEW MODEL BY SES'!$C$17:$R$17,0),0),"")</f>
        <v/>
      </c>
      <c r="R446" s="142" t="str">
        <f>IFERROR(VLOOKUP($C446,'NEW MODEL BY SES'!$C$19:$R$242,MATCH('SeS in Retail Sales Areas'!R$7,'NEW MODEL BY SES'!$C$17:$R$17,0),0),"")</f>
        <v/>
      </c>
      <c r="S446" s="141" t="str">
        <f>IFERROR(VLOOKUP($C446,'NEW MODEL BY SES'!$C$19:$R$242,MATCH('SeS in Retail Sales Areas'!S$7,'NEW MODEL BY SES'!$C$17:$R$17,0),0),"")</f>
        <v/>
      </c>
      <c r="T446" s="140" t="str">
        <f>IFERROR(VLOOKUP($C446,'NEW MODEL BY SES'!$C$19:$R$242,MATCH('SeS in Retail Sales Areas'!T$7,'NEW MODEL BY SES'!$C$17:$R$17,0),0),"")</f>
        <v/>
      </c>
      <c r="U446" s="142" t="str">
        <f>IFERROR(VLOOKUP($C446,'NEW MODEL BY SES'!$C$19:$R$242,MATCH('SeS in Retail Sales Areas'!U$7,'NEW MODEL BY SES'!$C$17:$R$17,0),0),"")</f>
        <v/>
      </c>
      <c r="V446" s="140" t="str">
        <f>IFERROR(VLOOKUP($C446,'NEW MODEL BY SES'!$C$19:$R$242,MATCH('SeS in Retail Sales Areas'!V$7,'NEW MODEL BY SES'!$C$17:$R$17,0),0),"")</f>
        <v/>
      </c>
      <c r="W446" s="141" t="str">
        <f>IFERROR(VLOOKUP($C446,'NEW MODEL BY SES'!$C$19:$R$242,MATCH('SeS in Retail Sales Areas'!W$7,'NEW MODEL BY SES'!$C$17:$R$17,0),0),"")</f>
        <v/>
      </c>
      <c r="X446" s="140" t="str">
        <f>IFERROR(VLOOKUP($C446,'NEW MODEL BY SES'!$C$19:$R$242,MATCH('SeS in Retail Sales Areas'!X$7,'NEW MODEL BY SES'!$C$17:$R$17,0),0),"")</f>
        <v/>
      </c>
    </row>
    <row r="447" spans="1:24">
      <c r="A447" s="13" t="s">
        <v>1392</v>
      </c>
      <c r="C447" s="13"/>
      <c r="D447" s="13"/>
    </row>
    <row r="448" spans="1:24">
      <c r="D448" s="13"/>
    </row>
    <row r="449" spans="4:4">
      <c r="D449" s="13"/>
    </row>
    <row r="450" spans="4:4">
      <c r="D450" s="13"/>
    </row>
    <row r="451" spans="4:4">
      <c r="D451" s="13"/>
    </row>
    <row r="452" spans="4:4">
      <c r="D452" s="13"/>
    </row>
    <row r="453" spans="4:4">
      <c r="D453" s="13"/>
    </row>
    <row r="454" spans="4:4">
      <c r="D454" s="13"/>
    </row>
    <row r="455" spans="4:4">
      <c r="D455" s="13"/>
    </row>
    <row r="456" spans="4:4">
      <c r="D456" s="13"/>
    </row>
    <row r="457" spans="4:4">
      <c r="D457" s="13"/>
    </row>
    <row r="458" spans="4:4">
      <c r="D458" s="13"/>
    </row>
    <row r="459" spans="4:4">
      <c r="D459" s="13"/>
    </row>
    <row r="460" spans="4:4">
      <c r="D460" s="13"/>
    </row>
    <row r="461" spans="4:4">
      <c r="D461" s="13"/>
    </row>
    <row r="462" spans="4:4">
      <c r="D462" s="13"/>
    </row>
    <row r="463" spans="4:4">
      <c r="D463" s="13"/>
    </row>
    <row r="464" spans="4:4">
      <c r="D464" s="13"/>
    </row>
    <row r="465" spans="4:4">
      <c r="D465" s="13"/>
    </row>
    <row r="466" spans="4:4">
      <c r="D466" s="13"/>
    </row>
    <row r="467" spans="4:4">
      <c r="D467" s="13"/>
    </row>
    <row r="468" spans="4:4">
      <c r="D468" s="13"/>
    </row>
    <row r="469" spans="4:4">
      <c r="D469" s="13"/>
    </row>
    <row r="470" spans="4:4">
      <c r="D470" s="13"/>
    </row>
    <row r="471" spans="4:4">
      <c r="D471" s="13"/>
    </row>
    <row r="472" spans="4:4">
      <c r="D472" s="13"/>
    </row>
    <row r="473" spans="4:4">
      <c r="D473" s="13"/>
    </row>
    <row r="474" spans="4:4">
      <c r="D474" s="13"/>
    </row>
    <row r="475" spans="4:4">
      <c r="D475" s="13"/>
    </row>
    <row r="476" spans="4:4">
      <c r="D476" s="13"/>
    </row>
    <row r="477" spans="4:4">
      <c r="D477" s="13"/>
    </row>
    <row r="478" spans="4:4">
      <c r="D478" s="13"/>
    </row>
    <row r="479" spans="4:4">
      <c r="D479" s="13"/>
    </row>
    <row r="480" spans="4:4">
      <c r="D480" s="13"/>
    </row>
    <row r="481" spans="4:4">
      <c r="D481" s="13"/>
    </row>
    <row r="482" spans="4:4">
      <c r="D482" s="13"/>
    </row>
    <row r="483" spans="4:4">
      <c r="D483" s="13"/>
    </row>
    <row r="484" spans="4:4">
      <c r="D484" s="13"/>
    </row>
    <row r="485" spans="4:4">
      <c r="D485" s="13"/>
    </row>
    <row r="486" spans="4:4">
      <c r="D486" s="13"/>
    </row>
    <row r="487" spans="4:4">
      <c r="D487" s="13"/>
    </row>
    <row r="488" spans="4:4">
      <c r="D488" s="13"/>
    </row>
    <row r="489" spans="4:4">
      <c r="D489" s="13"/>
    </row>
    <row r="490" spans="4:4">
      <c r="D490" s="13"/>
    </row>
    <row r="491" spans="4:4">
      <c r="D491" s="13"/>
    </row>
    <row r="492" spans="4:4">
      <c r="D492" s="13"/>
    </row>
    <row r="493" spans="4:4">
      <c r="D493" s="13"/>
    </row>
    <row r="494" spans="4:4">
      <c r="D494" s="13"/>
    </row>
    <row r="495" spans="4:4">
      <c r="D495" s="13"/>
    </row>
    <row r="496" spans="4:4">
      <c r="D496" s="13"/>
    </row>
    <row r="497" spans="4:4">
      <c r="D497" s="13"/>
    </row>
    <row r="498" spans="4:4">
      <c r="D498" s="13"/>
    </row>
    <row r="499" spans="4:4">
      <c r="D499" s="13"/>
    </row>
    <row r="500" spans="4:4">
      <c r="D500" s="13"/>
    </row>
    <row r="501" spans="4:4">
      <c r="D501" s="13"/>
    </row>
    <row r="502" spans="4:4">
      <c r="D502" s="13"/>
    </row>
    <row r="503" spans="4:4">
      <c r="D503" s="13"/>
    </row>
    <row r="504" spans="4:4">
      <c r="D504" s="13"/>
    </row>
    <row r="505" spans="4:4">
      <c r="D505" s="13"/>
    </row>
    <row r="506" spans="4:4">
      <c r="D506" s="13"/>
    </row>
    <row r="507" spans="4:4">
      <c r="D507" s="13"/>
    </row>
    <row r="508" spans="4:4">
      <c r="D508" s="13"/>
    </row>
    <row r="509" spans="4:4">
      <c r="D509" s="13"/>
    </row>
    <row r="510" spans="4:4">
      <c r="D510" s="13"/>
    </row>
    <row r="511" spans="4:4">
      <c r="D511" s="13"/>
    </row>
    <row r="512" spans="4:4">
      <c r="D512" s="13"/>
    </row>
    <row r="513" spans="4:4">
      <c r="D513" s="13"/>
    </row>
    <row r="514" spans="4:4">
      <c r="D514" s="13"/>
    </row>
    <row r="515" spans="4:4">
      <c r="D515" s="13"/>
    </row>
    <row r="516" spans="4:4">
      <c r="D516" s="13"/>
    </row>
    <row r="517" spans="4:4">
      <c r="D517" s="13"/>
    </row>
    <row r="518" spans="4:4">
      <c r="D518" s="13"/>
    </row>
    <row r="519" spans="4:4">
      <c r="D519" s="13"/>
    </row>
    <row r="520" spans="4:4">
      <c r="D520" s="13"/>
    </row>
    <row r="521" spans="4:4">
      <c r="D521" s="13"/>
    </row>
    <row r="522" spans="4:4">
      <c r="D522" s="13"/>
    </row>
    <row r="523" spans="4:4">
      <c r="D523" s="13"/>
    </row>
    <row r="524" spans="4:4">
      <c r="D524" s="13"/>
    </row>
    <row r="525" spans="4:4">
      <c r="D525" s="13"/>
    </row>
    <row r="526" spans="4:4">
      <c r="D526" s="13"/>
    </row>
    <row r="527" spans="4:4">
      <c r="D527" s="13"/>
    </row>
    <row r="528" spans="4:4">
      <c r="D528" s="13"/>
    </row>
    <row r="529" spans="4:4">
      <c r="D529" s="13"/>
    </row>
    <row r="530" spans="4:4">
      <c r="D530" s="13"/>
    </row>
    <row r="531" spans="4:4">
      <c r="D531" s="13"/>
    </row>
    <row r="532" spans="4:4">
      <c r="D532" s="13"/>
    </row>
    <row r="533" spans="4:4">
      <c r="D533" s="13"/>
    </row>
    <row r="534" spans="4:4">
      <c r="D534" s="13"/>
    </row>
    <row r="535" spans="4:4">
      <c r="D535" s="13"/>
    </row>
    <row r="536" spans="4:4">
      <c r="D536" s="13"/>
    </row>
    <row r="537" spans="4:4">
      <c r="D537" s="13"/>
    </row>
    <row r="538" spans="4:4">
      <c r="D538" s="13"/>
    </row>
    <row r="539" spans="4:4">
      <c r="D539" s="13"/>
    </row>
    <row r="540" spans="4:4">
      <c r="D540" s="13"/>
    </row>
    <row r="541" spans="4:4">
      <c r="D541" s="13"/>
    </row>
    <row r="542" spans="4:4">
      <c r="D542" s="13"/>
    </row>
    <row r="543" spans="4:4">
      <c r="D543" s="13"/>
    </row>
    <row r="544" spans="4:4">
      <c r="D544" s="13"/>
    </row>
    <row r="545" spans="4:4">
      <c r="D545" s="13"/>
    </row>
    <row r="546" spans="4:4">
      <c r="D546" s="13"/>
    </row>
    <row r="547" spans="4:4">
      <c r="D547" s="13"/>
    </row>
    <row r="548" spans="4:4">
      <c r="D548" s="13"/>
    </row>
    <row r="549" spans="4:4">
      <c r="D549" s="13"/>
    </row>
    <row r="550" spans="4:4">
      <c r="D550" s="13"/>
    </row>
    <row r="551" spans="4:4">
      <c r="D551" s="13"/>
    </row>
    <row r="552" spans="4:4">
      <c r="D552" s="13"/>
    </row>
    <row r="553" spans="4:4">
      <c r="D553" s="13"/>
    </row>
    <row r="554" spans="4:4">
      <c r="D554" s="13"/>
    </row>
    <row r="555" spans="4:4">
      <c r="D555" s="13"/>
    </row>
    <row r="556" spans="4:4">
      <c r="D556" s="13"/>
    </row>
    <row r="557" spans="4:4">
      <c r="D557" s="13"/>
    </row>
    <row r="558" spans="4:4">
      <c r="D558" s="13"/>
    </row>
    <row r="559" spans="4:4">
      <c r="D559" s="13"/>
    </row>
    <row r="560" spans="4:4">
      <c r="D560" s="13"/>
    </row>
    <row r="561" spans="4:4">
      <c r="D561" s="13"/>
    </row>
    <row r="562" spans="4:4">
      <c r="D562" s="13"/>
    </row>
    <row r="563" spans="4:4">
      <c r="D563" s="13"/>
    </row>
    <row r="564" spans="4:4">
      <c r="D564" s="13"/>
    </row>
    <row r="565" spans="4:4">
      <c r="D565" s="13"/>
    </row>
    <row r="566" spans="4:4">
      <c r="D566" s="13"/>
    </row>
    <row r="567" spans="4:4">
      <c r="D567" s="13"/>
    </row>
    <row r="568" spans="4:4">
      <c r="D568" s="13"/>
    </row>
    <row r="569" spans="4:4">
      <c r="D569" s="13"/>
    </row>
    <row r="570" spans="4:4">
      <c r="D570" s="13"/>
    </row>
    <row r="571" spans="4:4">
      <c r="D571" s="13"/>
    </row>
    <row r="572" spans="4:4">
      <c r="D572" s="13"/>
    </row>
    <row r="573" spans="4:4">
      <c r="D573" s="13"/>
    </row>
    <row r="574" spans="4:4">
      <c r="D574" s="13"/>
    </row>
    <row r="575" spans="4:4">
      <c r="D575" s="13"/>
    </row>
    <row r="576" spans="4:4">
      <c r="D576" s="13"/>
    </row>
    <row r="577" spans="4:4">
      <c r="D577" s="13"/>
    </row>
    <row r="578" spans="4:4">
      <c r="D578" s="13"/>
    </row>
    <row r="579" spans="4:4">
      <c r="D579" s="13"/>
    </row>
    <row r="580" spans="4:4">
      <c r="D580" s="13"/>
    </row>
    <row r="581" spans="4:4">
      <c r="D581" s="13"/>
    </row>
    <row r="582" spans="4:4">
      <c r="D582" s="13"/>
    </row>
    <row r="583" spans="4:4">
      <c r="D583" s="13"/>
    </row>
    <row r="584" spans="4:4">
      <c r="D584" s="13"/>
    </row>
    <row r="585" spans="4:4">
      <c r="D585" s="13"/>
    </row>
    <row r="586" spans="4:4">
      <c r="D586" s="13"/>
    </row>
    <row r="587" spans="4:4">
      <c r="D587" s="13"/>
    </row>
    <row r="588" spans="4:4">
      <c r="D588" s="13"/>
    </row>
    <row r="589" spans="4:4">
      <c r="D589" s="13"/>
    </row>
    <row r="590" spans="4:4">
      <c r="D590" s="13"/>
    </row>
    <row r="591" spans="4:4">
      <c r="D591" s="13"/>
    </row>
    <row r="592" spans="4:4">
      <c r="D592" s="13"/>
    </row>
    <row r="593" spans="4:4">
      <c r="D593" s="13"/>
    </row>
    <row r="594" spans="4:4">
      <c r="D594" s="13"/>
    </row>
    <row r="595" spans="4:4">
      <c r="D595" s="13"/>
    </row>
    <row r="596" spans="4:4">
      <c r="D596" s="13"/>
    </row>
    <row r="597" spans="4:4">
      <c r="D597" s="13"/>
    </row>
    <row r="598" spans="4:4">
      <c r="D598" s="13"/>
    </row>
    <row r="599" spans="4:4">
      <c r="D599" s="13"/>
    </row>
    <row r="600" spans="4:4">
      <c r="D600" s="13"/>
    </row>
    <row r="601" spans="4:4">
      <c r="D601" s="13"/>
    </row>
    <row r="602" spans="4:4">
      <c r="D602" s="13"/>
    </row>
    <row r="603" spans="4:4">
      <c r="D603" s="13"/>
    </row>
    <row r="604" spans="4:4">
      <c r="D604" s="13"/>
    </row>
    <row r="605" spans="4:4">
      <c r="D605" s="13"/>
    </row>
    <row r="606" spans="4:4">
      <c r="D606" s="13"/>
    </row>
    <row r="607" spans="4:4">
      <c r="D607" s="13"/>
    </row>
    <row r="608" spans="4:4">
      <c r="D608" s="13"/>
    </row>
    <row r="609" spans="4:4">
      <c r="D609" s="13"/>
    </row>
    <row r="610" spans="4:4">
      <c r="D610" s="13"/>
    </row>
    <row r="611" spans="4:4">
      <c r="D611" s="13"/>
    </row>
    <row r="612" spans="4:4">
      <c r="D612" s="13"/>
    </row>
    <row r="613" spans="4:4">
      <c r="D613" s="13"/>
    </row>
    <row r="614" spans="4:4">
      <c r="D614" s="13"/>
    </row>
    <row r="615" spans="4:4">
      <c r="D615" s="13"/>
    </row>
    <row r="616" spans="4:4">
      <c r="D616" s="13"/>
    </row>
    <row r="617" spans="4:4">
      <c r="D617" s="13"/>
    </row>
    <row r="618" spans="4:4">
      <c r="D618" s="13"/>
    </row>
    <row r="619" spans="4:4">
      <c r="D619" s="13"/>
    </row>
    <row r="620" spans="4:4">
      <c r="D620" s="13"/>
    </row>
    <row r="621" spans="4:4">
      <c r="D621" s="13"/>
    </row>
    <row r="622" spans="4:4">
      <c r="D622" s="13"/>
    </row>
    <row r="623" spans="4:4">
      <c r="D623" s="13"/>
    </row>
    <row r="624" spans="4:4">
      <c r="D624" s="13"/>
    </row>
    <row r="625" spans="4:4">
      <c r="D625" s="13"/>
    </row>
    <row r="626" spans="4:4">
      <c r="D626" s="13"/>
    </row>
    <row r="627" spans="4:4">
      <c r="D627" s="13"/>
    </row>
    <row r="628" spans="4:4">
      <c r="D628" s="13"/>
    </row>
    <row r="629" spans="4:4">
      <c r="D629" s="13"/>
    </row>
    <row r="630" spans="4:4">
      <c r="D630" s="13"/>
    </row>
    <row r="631" spans="4:4">
      <c r="D631" s="13"/>
    </row>
    <row r="632" spans="4:4">
      <c r="D632" s="13"/>
    </row>
    <row r="633" spans="4:4">
      <c r="D633" s="13"/>
    </row>
    <row r="634" spans="4:4">
      <c r="D634" s="13"/>
    </row>
    <row r="635" spans="4:4">
      <c r="D635" s="13"/>
    </row>
    <row r="636" spans="4:4">
      <c r="D636" s="13"/>
    </row>
    <row r="637" spans="4:4">
      <c r="D637" s="13"/>
    </row>
    <row r="638" spans="4:4">
      <c r="D638" s="13"/>
    </row>
    <row r="639" spans="4:4">
      <c r="D639" s="13"/>
    </row>
    <row r="640" spans="4:4">
      <c r="D640" s="13"/>
    </row>
    <row r="641" spans="4:4">
      <c r="D641" s="13"/>
    </row>
    <row r="642" spans="4:4">
      <c r="D642" s="13"/>
    </row>
    <row r="643" spans="4:4">
      <c r="D643" s="13"/>
    </row>
    <row r="644" spans="4:4">
      <c r="D644" s="13"/>
    </row>
    <row r="645" spans="4:4">
      <c r="D645" s="13"/>
    </row>
    <row r="646" spans="4:4">
      <c r="D646" s="13"/>
    </row>
    <row r="647" spans="4:4">
      <c r="D647" s="13"/>
    </row>
    <row r="648" spans="4:4">
      <c r="D648" s="13"/>
    </row>
    <row r="649" spans="4:4">
      <c r="D649" s="13"/>
    </row>
    <row r="650" spans="4:4">
      <c r="D650" s="13"/>
    </row>
    <row r="651" spans="4:4">
      <c r="D651" s="13"/>
    </row>
    <row r="652" spans="4:4">
      <c r="D652" s="13"/>
    </row>
    <row r="653" spans="4:4">
      <c r="D653" s="13"/>
    </row>
    <row r="654" spans="4:4">
      <c r="D654" s="13"/>
    </row>
    <row r="655" spans="4:4">
      <c r="D655" s="13"/>
    </row>
    <row r="656" spans="4:4">
      <c r="D656" s="13"/>
    </row>
    <row r="657" spans="4:4">
      <c r="D657" s="13"/>
    </row>
    <row r="658" spans="4:4">
      <c r="D658" s="13"/>
    </row>
    <row r="659" spans="4:4">
      <c r="D659" s="13"/>
    </row>
    <row r="660" spans="4:4">
      <c r="D660" s="13"/>
    </row>
    <row r="661" spans="4:4">
      <c r="D661" s="13"/>
    </row>
    <row r="662" spans="4:4">
      <c r="D662" s="13"/>
    </row>
    <row r="663" spans="4:4">
      <c r="D663" s="13"/>
    </row>
    <row r="664" spans="4:4">
      <c r="D664" s="13"/>
    </row>
    <row r="665" spans="4:4">
      <c r="D665" s="13"/>
    </row>
    <row r="666" spans="4:4">
      <c r="D666" s="13"/>
    </row>
    <row r="667" spans="4:4">
      <c r="D667" s="13"/>
    </row>
    <row r="668" spans="4:4">
      <c r="D668" s="13"/>
    </row>
    <row r="669" spans="4:4">
      <c r="D669" s="13"/>
    </row>
    <row r="670" spans="4:4">
      <c r="D670" s="13"/>
    </row>
    <row r="671" spans="4:4">
      <c r="D671" s="13"/>
    </row>
    <row r="672" spans="4:4">
      <c r="D672" s="13"/>
    </row>
    <row r="673" spans="4:4">
      <c r="D673" s="13"/>
    </row>
    <row r="674" spans="4:4">
      <c r="D674" s="13"/>
    </row>
    <row r="675" spans="4:4">
      <c r="D675" s="13"/>
    </row>
    <row r="676" spans="4:4">
      <c r="D676" s="13"/>
    </row>
    <row r="677" spans="4:4">
      <c r="D677" s="13"/>
    </row>
    <row r="678" spans="4:4">
      <c r="D678" s="13"/>
    </row>
    <row r="679" spans="4:4">
      <c r="D679" s="13"/>
    </row>
    <row r="680" spans="4:4">
      <c r="D680" s="13"/>
    </row>
    <row r="681" spans="4:4">
      <c r="D681" s="13"/>
    </row>
    <row r="682" spans="4:4">
      <c r="D682" s="13"/>
    </row>
    <row r="683" spans="4:4">
      <c r="D683" s="13"/>
    </row>
    <row r="684" spans="4:4">
      <c r="D684" s="13"/>
    </row>
    <row r="685" spans="4:4">
      <c r="D685" s="13"/>
    </row>
    <row r="686" spans="4:4">
      <c r="D686" s="13"/>
    </row>
    <row r="687" spans="4:4">
      <c r="D687" s="13"/>
    </row>
    <row r="688" spans="4:4">
      <c r="D688" s="13"/>
    </row>
    <row r="689" spans="4:4">
      <c r="D689" s="13"/>
    </row>
    <row r="690" spans="4:4">
      <c r="D690" s="13"/>
    </row>
    <row r="691" spans="4:4">
      <c r="D691" s="13"/>
    </row>
    <row r="692" spans="4:4">
      <c r="D692" s="13"/>
    </row>
    <row r="693" spans="4:4">
      <c r="D693" s="13"/>
    </row>
    <row r="694" spans="4:4">
      <c r="D694" s="13"/>
    </row>
    <row r="695" spans="4:4">
      <c r="D695" s="13"/>
    </row>
    <row r="696" spans="4:4">
      <c r="D696" s="13"/>
    </row>
    <row r="697" spans="4:4">
      <c r="D697" s="13"/>
    </row>
    <row r="698" spans="4:4">
      <c r="D698" s="13"/>
    </row>
    <row r="699" spans="4:4">
      <c r="D699" s="13"/>
    </row>
    <row r="700" spans="4:4">
      <c r="D700" s="13"/>
    </row>
    <row r="701" spans="4:4">
      <c r="D701" s="13"/>
    </row>
    <row r="702" spans="4:4">
      <c r="D702" s="13"/>
    </row>
    <row r="703" spans="4:4">
      <c r="D703" s="13"/>
    </row>
    <row r="704" spans="4:4">
      <c r="D704" s="13"/>
    </row>
    <row r="705" spans="4:4">
      <c r="D705" s="13"/>
    </row>
    <row r="706" spans="4:4">
      <c r="D706" s="13"/>
    </row>
    <row r="707" spans="4:4">
      <c r="D707" s="13"/>
    </row>
    <row r="708" spans="4:4">
      <c r="D708" s="13"/>
    </row>
    <row r="709" spans="4:4">
      <c r="D709" s="13"/>
    </row>
    <row r="710" spans="4:4">
      <c r="D710" s="13"/>
    </row>
    <row r="711" spans="4:4">
      <c r="D711" s="13"/>
    </row>
    <row r="712" spans="4:4">
      <c r="D712" s="13"/>
    </row>
    <row r="713" spans="4:4">
      <c r="D713" s="13"/>
    </row>
    <row r="714" spans="4:4">
      <c r="D714" s="13"/>
    </row>
    <row r="715" spans="4:4">
      <c r="D715" s="13"/>
    </row>
    <row r="716" spans="4:4">
      <c r="D716" s="13"/>
    </row>
    <row r="717" spans="4:4">
      <c r="D717" s="13"/>
    </row>
    <row r="718" spans="4:4">
      <c r="D718" s="13"/>
    </row>
    <row r="719" spans="4:4">
      <c r="D719" s="13"/>
    </row>
    <row r="720" spans="4:4">
      <c r="D720" s="13"/>
    </row>
    <row r="721" spans="4:4">
      <c r="D721" s="13"/>
    </row>
    <row r="722" spans="4:4">
      <c r="D722" s="13"/>
    </row>
    <row r="723" spans="4:4">
      <c r="D723" s="13"/>
    </row>
    <row r="724" spans="4:4">
      <c r="D724" s="13"/>
    </row>
    <row r="725" spans="4:4">
      <c r="D725" s="13"/>
    </row>
    <row r="726" spans="4:4">
      <c r="D726" s="13"/>
    </row>
    <row r="727" spans="4:4">
      <c r="D727" s="13"/>
    </row>
    <row r="728" spans="4:4">
      <c r="D728" s="13"/>
    </row>
    <row r="729" spans="4:4">
      <c r="D729" s="13"/>
    </row>
    <row r="730" spans="4:4">
      <c r="D730" s="13"/>
    </row>
    <row r="731" spans="4:4">
      <c r="D731" s="13"/>
    </row>
    <row r="732" spans="4:4">
      <c r="D732" s="13"/>
    </row>
    <row r="733" spans="4:4">
      <c r="D733" s="13"/>
    </row>
    <row r="734" spans="4:4">
      <c r="D734" s="13"/>
    </row>
    <row r="735" spans="4:4">
      <c r="D735" s="13"/>
    </row>
    <row r="736" spans="4:4">
      <c r="D736" s="13"/>
    </row>
    <row r="737" spans="4:4">
      <c r="D737" s="13"/>
    </row>
    <row r="738" spans="4:4">
      <c r="D738" s="13"/>
    </row>
    <row r="739" spans="4:4">
      <c r="D739" s="13"/>
    </row>
    <row r="740" spans="4:4">
      <c r="D740" s="13"/>
    </row>
    <row r="741" spans="4:4">
      <c r="D741" s="13"/>
    </row>
    <row r="742" spans="4:4">
      <c r="D742" s="13"/>
    </row>
    <row r="743" spans="4:4">
      <c r="D743" s="13"/>
    </row>
    <row r="744" spans="4:4">
      <c r="D744" s="13"/>
    </row>
    <row r="745" spans="4:4">
      <c r="D745" s="13"/>
    </row>
    <row r="746" spans="4:4">
      <c r="D746" s="13"/>
    </row>
    <row r="747" spans="4:4">
      <c r="D747" s="13"/>
    </row>
    <row r="748" spans="4:4">
      <c r="D748" s="13"/>
    </row>
    <row r="749" spans="4:4">
      <c r="D749" s="13"/>
    </row>
    <row r="750" spans="4:4">
      <c r="D750" s="13"/>
    </row>
    <row r="751" spans="4:4">
      <c r="D751" s="13"/>
    </row>
    <row r="752" spans="4:4">
      <c r="D752" s="13"/>
    </row>
    <row r="753" spans="4:4">
      <c r="D753" s="13"/>
    </row>
    <row r="754" spans="4:4">
      <c r="D754" s="13"/>
    </row>
    <row r="755" spans="4:4">
      <c r="D755" s="13"/>
    </row>
    <row r="756" spans="4:4">
      <c r="D756" s="13"/>
    </row>
    <row r="757" spans="4:4">
      <c r="D757" s="13"/>
    </row>
    <row r="758" spans="4:4">
      <c r="D758" s="13"/>
    </row>
    <row r="759" spans="4:4">
      <c r="D759" s="13"/>
    </row>
    <row r="760" spans="4:4">
      <c r="D760" s="13"/>
    </row>
    <row r="761" spans="4:4">
      <c r="D761" s="13"/>
    </row>
    <row r="762" spans="4:4">
      <c r="D762" s="13"/>
    </row>
    <row r="763" spans="4:4">
      <c r="D763" s="13"/>
    </row>
    <row r="764" spans="4:4">
      <c r="D764" s="13"/>
    </row>
    <row r="765" spans="4:4">
      <c r="D765" s="13"/>
    </row>
    <row r="766" spans="4:4">
      <c r="D766" s="13"/>
    </row>
    <row r="767" spans="4:4">
      <c r="D767" s="13"/>
    </row>
    <row r="768" spans="4:4">
      <c r="D768" s="13"/>
    </row>
    <row r="769" spans="4:4">
      <c r="D769" s="13"/>
    </row>
    <row r="770" spans="4:4">
      <c r="D770" s="13"/>
    </row>
    <row r="771" spans="4:4">
      <c r="D771" s="13"/>
    </row>
    <row r="772" spans="4:4">
      <c r="D772" s="13"/>
    </row>
    <row r="773" spans="4:4">
      <c r="D773" s="13"/>
    </row>
    <row r="774" spans="4:4">
      <c r="D774" s="13"/>
    </row>
    <row r="775" spans="4:4">
      <c r="D775" s="13"/>
    </row>
    <row r="776" spans="4:4">
      <c r="D776" s="13"/>
    </row>
    <row r="777" spans="4:4">
      <c r="D777" s="13"/>
    </row>
    <row r="778" spans="4:4">
      <c r="D778" s="13"/>
    </row>
    <row r="779" spans="4:4">
      <c r="D779" s="13"/>
    </row>
    <row r="780" spans="4:4">
      <c r="D780" s="13"/>
    </row>
    <row r="781" spans="4:4">
      <c r="D781" s="13"/>
    </row>
    <row r="782" spans="4:4">
      <c r="D782" s="13"/>
    </row>
    <row r="783" spans="4:4">
      <c r="D783" s="13"/>
    </row>
    <row r="784" spans="4:4">
      <c r="D784" s="13"/>
    </row>
    <row r="785" spans="4:4">
      <c r="D785" s="13"/>
    </row>
    <row r="786" spans="4:4">
      <c r="D786" s="13"/>
    </row>
    <row r="787" spans="4:4">
      <c r="D787" s="13"/>
    </row>
    <row r="788" spans="4:4">
      <c r="D788" s="13"/>
    </row>
    <row r="789" spans="4:4">
      <c r="D789" s="13"/>
    </row>
    <row r="790" spans="4:4">
      <c r="D790" s="13"/>
    </row>
    <row r="791" spans="4:4">
      <c r="D791" s="13"/>
    </row>
    <row r="792" spans="4:4">
      <c r="D792" s="13"/>
    </row>
    <row r="793" spans="4:4">
      <c r="D793" s="13"/>
    </row>
    <row r="794" spans="4:4">
      <c r="D794" s="13"/>
    </row>
    <row r="795" spans="4:4">
      <c r="D795" s="13"/>
    </row>
    <row r="796" spans="4:4">
      <c r="D796" s="13"/>
    </row>
    <row r="797" spans="4:4">
      <c r="D797" s="13"/>
    </row>
    <row r="798" spans="4:4">
      <c r="D798" s="13"/>
    </row>
    <row r="799" spans="4:4">
      <c r="D799" s="13"/>
    </row>
    <row r="800" spans="4:4">
      <c r="D800" s="13"/>
    </row>
    <row r="801" spans="4:4">
      <c r="D801" s="13"/>
    </row>
    <row r="802" spans="4:4">
      <c r="D802" s="13"/>
    </row>
    <row r="803" spans="4:4">
      <c r="D803" s="13"/>
    </row>
    <row r="804" spans="4:4">
      <c r="D804" s="13"/>
    </row>
    <row r="805" spans="4:4">
      <c r="D805" s="13"/>
    </row>
    <row r="806" spans="4:4">
      <c r="D806" s="13"/>
    </row>
    <row r="807" spans="4:4">
      <c r="D807" s="13"/>
    </row>
    <row r="808" spans="4:4">
      <c r="D808" s="13"/>
    </row>
    <row r="809" spans="4:4">
      <c r="D809" s="13"/>
    </row>
    <row r="810" spans="4:4">
      <c r="D810" s="13"/>
    </row>
    <row r="811" spans="4:4">
      <c r="D811" s="13"/>
    </row>
    <row r="812" spans="4:4">
      <c r="D812" s="13"/>
    </row>
    <row r="813" spans="4:4">
      <c r="D813" s="13"/>
    </row>
    <row r="814" spans="4:4">
      <c r="D814" s="13"/>
    </row>
    <row r="815" spans="4:4">
      <c r="D815" s="13"/>
    </row>
    <row r="816" spans="4:4">
      <c r="D816" s="13"/>
    </row>
    <row r="817" spans="4:4">
      <c r="D817" s="13"/>
    </row>
    <row r="818" spans="4:4">
      <c r="D818" s="13"/>
    </row>
    <row r="819" spans="4:4">
      <c r="D819" s="13"/>
    </row>
    <row r="820" spans="4:4">
      <c r="D820" s="13"/>
    </row>
    <row r="821" spans="4:4">
      <c r="D821" s="13"/>
    </row>
    <row r="822" spans="4:4">
      <c r="D822" s="13"/>
    </row>
    <row r="823" spans="4:4">
      <c r="D823" s="13"/>
    </row>
    <row r="824" spans="4:4">
      <c r="D824" s="13"/>
    </row>
    <row r="825" spans="4:4">
      <c r="D825" s="13"/>
    </row>
    <row r="826" spans="4:4">
      <c r="D826" s="13"/>
    </row>
    <row r="827" spans="4:4">
      <c r="D827" s="13"/>
    </row>
    <row r="828" spans="4:4">
      <c r="D828" s="13"/>
    </row>
    <row r="829" spans="4:4">
      <c r="D829" s="13"/>
    </row>
    <row r="830" spans="4:4">
      <c r="D830" s="13"/>
    </row>
    <row r="831" spans="4:4">
      <c r="D831" s="13"/>
    </row>
    <row r="832" spans="4:4">
      <c r="D832" s="13"/>
    </row>
    <row r="833" spans="4:4">
      <c r="D833" s="13"/>
    </row>
    <row r="834" spans="4:4">
      <c r="D834" s="13"/>
    </row>
    <row r="835" spans="4:4">
      <c r="D835" s="13"/>
    </row>
    <row r="836" spans="4:4">
      <c r="D836" s="13"/>
    </row>
    <row r="837" spans="4:4">
      <c r="D837" s="13"/>
    </row>
    <row r="838" spans="4:4">
      <c r="D838" s="13"/>
    </row>
    <row r="839" spans="4:4">
      <c r="D839" s="13"/>
    </row>
    <row r="840" spans="4:4">
      <c r="D840" s="13"/>
    </row>
    <row r="841" spans="4:4">
      <c r="D841" s="13"/>
    </row>
    <row r="842" spans="4:4">
      <c r="D842" s="13"/>
    </row>
    <row r="843" spans="4:4">
      <c r="D843" s="13"/>
    </row>
    <row r="844" spans="4:4">
      <c r="D844" s="13"/>
    </row>
    <row r="845" spans="4:4">
      <c r="D845" s="13"/>
    </row>
    <row r="846" spans="4:4">
      <c r="D846" s="13"/>
    </row>
    <row r="847" spans="4:4">
      <c r="D847" s="13"/>
    </row>
    <row r="848" spans="4:4">
      <c r="D848" s="13"/>
    </row>
    <row r="849" spans="4:4">
      <c r="D849" s="13"/>
    </row>
    <row r="850" spans="4:4">
      <c r="D850" s="13"/>
    </row>
    <row r="851" spans="4:4">
      <c r="D851" s="13"/>
    </row>
    <row r="852" spans="4:4">
      <c r="D852" s="13"/>
    </row>
    <row r="853" spans="4:4">
      <c r="D853" s="13"/>
    </row>
    <row r="854" spans="4:4">
      <c r="D854" s="13"/>
    </row>
    <row r="855" spans="4:4">
      <c r="D855" s="13"/>
    </row>
    <row r="856" spans="4:4">
      <c r="D856" s="13"/>
    </row>
    <row r="857" spans="4:4">
      <c r="D857" s="13"/>
    </row>
    <row r="858" spans="4:4">
      <c r="D858" s="13"/>
    </row>
    <row r="859" spans="4:4">
      <c r="D859" s="13"/>
    </row>
    <row r="860" spans="4:4">
      <c r="D860" s="13"/>
    </row>
    <row r="861" spans="4:4">
      <c r="D861" s="13"/>
    </row>
    <row r="862" spans="4:4">
      <c r="D862" s="13"/>
    </row>
    <row r="863" spans="4:4">
      <c r="D863" s="13"/>
    </row>
    <row r="864" spans="4:4">
      <c r="D864" s="13"/>
    </row>
    <row r="865" spans="4:4">
      <c r="D865" s="13"/>
    </row>
    <row r="866" spans="4:4">
      <c r="D866" s="13"/>
    </row>
    <row r="867" spans="4:4">
      <c r="D867" s="13"/>
    </row>
    <row r="868" spans="4:4">
      <c r="D868" s="13"/>
    </row>
    <row r="869" spans="4:4">
      <c r="D869" s="13"/>
    </row>
    <row r="870" spans="4:4">
      <c r="D870" s="13"/>
    </row>
    <row r="871" spans="4:4">
      <c r="D871" s="13"/>
    </row>
    <row r="872" spans="4:4">
      <c r="D872" s="13"/>
    </row>
    <row r="873" spans="4:4">
      <c r="D873" s="13"/>
    </row>
    <row r="874" spans="4:4">
      <c r="D874" s="13"/>
    </row>
    <row r="875" spans="4:4">
      <c r="D875" s="13"/>
    </row>
    <row r="876" spans="4:4">
      <c r="D876" s="13"/>
    </row>
    <row r="877" spans="4:4">
      <c r="D877" s="13"/>
    </row>
    <row r="878" spans="4:4">
      <c r="D878" s="13"/>
    </row>
    <row r="879" spans="4:4">
      <c r="D879" s="13"/>
    </row>
    <row r="880" spans="4:4">
      <c r="D880" s="13"/>
    </row>
    <row r="881" spans="4:4">
      <c r="D881" s="13"/>
    </row>
    <row r="882" spans="4:4">
      <c r="D882" s="13"/>
    </row>
    <row r="883" spans="4:4">
      <c r="D883" s="13"/>
    </row>
    <row r="884" spans="4:4">
      <c r="D884" s="13"/>
    </row>
    <row r="885" spans="4:4">
      <c r="D885" s="13"/>
    </row>
    <row r="886" spans="4:4">
      <c r="D886" s="13"/>
    </row>
    <row r="887" spans="4:4">
      <c r="D887" s="13"/>
    </row>
    <row r="888" spans="4:4">
      <c r="D888" s="13"/>
    </row>
    <row r="889" spans="4:4">
      <c r="D889" s="13"/>
    </row>
    <row r="890" spans="4:4">
      <c r="D890" s="13"/>
    </row>
    <row r="891" spans="4:4">
      <c r="D891" s="13"/>
    </row>
    <row r="892" spans="4:4">
      <c r="D892" s="13"/>
    </row>
    <row r="893" spans="4:4">
      <c r="D893" s="13"/>
    </row>
    <row r="894" spans="4:4">
      <c r="D894" s="13"/>
    </row>
    <row r="895" spans="4:4">
      <c r="D895" s="13"/>
    </row>
    <row r="896" spans="4:4">
      <c r="D896" s="13"/>
    </row>
    <row r="897" spans="4:4">
      <c r="D897" s="13"/>
    </row>
    <row r="898" spans="4:4">
      <c r="D898" s="13"/>
    </row>
    <row r="899" spans="4:4">
      <c r="D899" s="13"/>
    </row>
    <row r="900" spans="4:4">
      <c r="D900" s="13"/>
    </row>
    <row r="901" spans="4:4">
      <c r="D901" s="13"/>
    </row>
    <row r="902" spans="4:4">
      <c r="D902" s="13"/>
    </row>
    <row r="903" spans="4:4">
      <c r="D903" s="13"/>
    </row>
    <row r="904" spans="4:4">
      <c r="D904" s="13"/>
    </row>
    <row r="905" spans="4:4">
      <c r="D905" s="13"/>
    </row>
    <row r="906" spans="4:4">
      <c r="D906" s="13"/>
    </row>
    <row r="907" spans="4:4">
      <c r="D907" s="13"/>
    </row>
    <row r="908" spans="4:4">
      <c r="D908" s="13"/>
    </row>
    <row r="909" spans="4:4">
      <c r="D909" s="13"/>
    </row>
    <row r="910" spans="4:4">
      <c r="D910" s="13"/>
    </row>
    <row r="911" spans="4:4">
      <c r="D911" s="13"/>
    </row>
    <row r="912" spans="4:4">
      <c r="D912" s="13"/>
    </row>
    <row r="913" spans="4:4">
      <c r="D913" s="13"/>
    </row>
    <row r="914" spans="4:4">
      <c r="D914" s="13"/>
    </row>
    <row r="915" spans="4:4">
      <c r="D915" s="13"/>
    </row>
    <row r="916" spans="4:4">
      <c r="D916" s="13"/>
    </row>
    <row r="917" spans="4:4">
      <c r="D917" s="13"/>
    </row>
    <row r="918" spans="4:4">
      <c r="D918" s="13"/>
    </row>
    <row r="919" spans="4:4">
      <c r="D919" s="13"/>
    </row>
    <row r="920" spans="4:4">
      <c r="D920" s="13"/>
    </row>
    <row r="921" spans="4:4">
      <c r="D921" s="13"/>
    </row>
    <row r="922" spans="4:4">
      <c r="D922" s="13"/>
    </row>
    <row r="923" spans="4:4">
      <c r="D923" s="13"/>
    </row>
    <row r="924" spans="4:4">
      <c r="D924" s="13"/>
    </row>
    <row r="925" spans="4:4">
      <c r="D925" s="13"/>
    </row>
    <row r="926" spans="4:4">
      <c r="D926" s="13"/>
    </row>
    <row r="927" spans="4:4">
      <c r="D927" s="13"/>
    </row>
    <row r="928" spans="4:4">
      <c r="D928" s="13"/>
    </row>
    <row r="929" spans="4:4">
      <c r="D929" s="13"/>
    </row>
    <row r="930" spans="4:4">
      <c r="D930" s="13"/>
    </row>
    <row r="931" spans="4:4">
      <c r="D931" s="13"/>
    </row>
    <row r="932" spans="4:4">
      <c r="D932" s="13"/>
    </row>
    <row r="933" spans="4:4">
      <c r="D933" s="13"/>
    </row>
    <row r="934" spans="4:4">
      <c r="D934" s="13"/>
    </row>
    <row r="935" spans="4:4">
      <c r="D935" s="13"/>
    </row>
    <row r="936" spans="4:4">
      <c r="D936" s="13"/>
    </row>
    <row r="937" spans="4:4">
      <c r="D937" s="13"/>
    </row>
    <row r="938" spans="4:4">
      <c r="D938" s="13"/>
    </row>
    <row r="939" spans="4:4">
      <c r="D939" s="13"/>
    </row>
    <row r="940" spans="4:4">
      <c r="D940" s="13"/>
    </row>
    <row r="941" spans="4:4">
      <c r="D941" s="13"/>
    </row>
    <row r="942" spans="4:4">
      <c r="D942" s="13"/>
    </row>
    <row r="943" spans="4:4">
      <c r="D943" s="13"/>
    </row>
    <row r="944" spans="4:4">
      <c r="D944" s="13"/>
    </row>
    <row r="945" spans="4:4">
      <c r="D945" s="13"/>
    </row>
    <row r="946" spans="4:4">
      <c r="D946" s="13"/>
    </row>
    <row r="947" spans="4:4">
      <c r="D947" s="13"/>
    </row>
    <row r="948" spans="4:4">
      <c r="D948" s="13"/>
    </row>
    <row r="949" spans="4:4">
      <c r="D949" s="13"/>
    </row>
    <row r="950" spans="4:4">
      <c r="D950" s="13"/>
    </row>
    <row r="951" spans="4:4">
      <c r="D951" s="13"/>
    </row>
    <row r="952" spans="4:4">
      <c r="D952" s="13"/>
    </row>
    <row r="953" spans="4:4">
      <c r="D953" s="13"/>
    </row>
    <row r="954" spans="4:4">
      <c r="D954" s="13"/>
    </row>
    <row r="955" spans="4:4">
      <c r="D955" s="13"/>
    </row>
    <row r="956" spans="4:4">
      <c r="D956" s="13"/>
    </row>
    <row r="957" spans="4:4">
      <c r="D957" s="13"/>
    </row>
    <row r="958" spans="4:4">
      <c r="D958" s="13"/>
    </row>
    <row r="959" spans="4:4">
      <c r="D959" s="13"/>
    </row>
    <row r="960" spans="4:4">
      <c r="D960" s="13"/>
    </row>
    <row r="961" spans="4:4">
      <c r="D961" s="13"/>
    </row>
    <row r="962" spans="4:4">
      <c r="D962" s="13"/>
    </row>
    <row r="963" spans="4:4">
      <c r="D963" s="13"/>
    </row>
    <row r="964" spans="4:4">
      <c r="D964" s="13"/>
    </row>
    <row r="965" spans="4:4">
      <c r="D965" s="13"/>
    </row>
    <row r="966" spans="4:4">
      <c r="D966" s="13"/>
    </row>
    <row r="967" spans="4:4">
      <c r="D967" s="13"/>
    </row>
    <row r="968" spans="4:4">
      <c r="D968" s="13"/>
    </row>
    <row r="969" spans="4:4">
      <c r="D969" s="13"/>
    </row>
    <row r="970" spans="4:4">
      <c r="D970" s="13"/>
    </row>
    <row r="971" spans="4:4">
      <c r="D971" s="13"/>
    </row>
    <row r="972" spans="4:4">
      <c r="D972" s="13"/>
    </row>
    <row r="973" spans="4:4">
      <c r="D973" s="13"/>
    </row>
    <row r="974" spans="4:4">
      <c r="D974" s="13"/>
    </row>
    <row r="975" spans="4:4">
      <c r="D975" s="13"/>
    </row>
    <row r="976" spans="4:4">
      <c r="D976" s="13"/>
    </row>
    <row r="977" spans="4:4">
      <c r="D977" s="13"/>
    </row>
    <row r="978" spans="4:4">
      <c r="D978" s="13"/>
    </row>
    <row r="979" spans="4:4">
      <c r="D979" s="13"/>
    </row>
    <row r="980" spans="4:4">
      <c r="D980" s="13"/>
    </row>
    <row r="981" spans="4:4">
      <c r="D981" s="13"/>
    </row>
    <row r="982" spans="4:4">
      <c r="D982" s="13"/>
    </row>
    <row r="983" spans="4:4">
      <c r="D983" s="13"/>
    </row>
    <row r="984" spans="4:4">
      <c r="D984" s="13"/>
    </row>
    <row r="985" spans="4:4">
      <c r="D985" s="13"/>
    </row>
    <row r="986" spans="4:4">
      <c r="D986" s="13"/>
    </row>
    <row r="987" spans="4:4">
      <c r="D987" s="13"/>
    </row>
    <row r="988" spans="4:4">
      <c r="D988" s="13"/>
    </row>
    <row r="989" spans="4:4">
      <c r="D989" s="13"/>
    </row>
    <row r="990" spans="4:4">
      <c r="D990" s="13"/>
    </row>
    <row r="991" spans="4:4">
      <c r="D991" s="13"/>
    </row>
    <row r="992" spans="4:4">
      <c r="D992" s="13"/>
    </row>
    <row r="993" spans="4:4">
      <c r="D993" s="13"/>
    </row>
    <row r="994" spans="4:4">
      <c r="D994" s="13"/>
    </row>
    <row r="995" spans="4:4">
      <c r="D995" s="13"/>
    </row>
    <row r="996" spans="4:4">
      <c r="D996" s="13"/>
    </row>
    <row r="997" spans="4:4">
      <c r="D997" s="13"/>
    </row>
    <row r="998" spans="4:4">
      <c r="D998" s="13"/>
    </row>
    <row r="999" spans="4:4">
      <c r="D999" s="13"/>
    </row>
    <row r="1000" spans="4:4">
      <c r="D1000" s="13"/>
    </row>
    <row r="1001" spans="4:4">
      <c r="D1001" s="13"/>
    </row>
    <row r="1002" spans="4:4">
      <c r="D1002" s="13"/>
    </row>
    <row r="1003" spans="4:4">
      <c r="D1003" s="13"/>
    </row>
    <row r="1004" spans="4:4">
      <c r="D1004" s="13"/>
    </row>
    <row r="1005" spans="4:4">
      <c r="D1005" s="13"/>
    </row>
    <row r="1006" spans="4:4">
      <c r="D1006" s="13"/>
    </row>
    <row r="1007" spans="4:4">
      <c r="D1007" s="13"/>
    </row>
    <row r="1008" spans="4:4">
      <c r="D1008" s="13"/>
    </row>
    <row r="1009" spans="4:4">
      <c r="D1009" s="13"/>
    </row>
    <row r="1010" spans="4:4">
      <c r="D1010" s="13"/>
    </row>
    <row r="1011" spans="4:4">
      <c r="D1011" s="13"/>
    </row>
    <row r="1012" spans="4:4">
      <c r="D1012" s="13"/>
    </row>
    <row r="1013" spans="4:4">
      <c r="D1013" s="13"/>
    </row>
    <row r="1014" spans="4:4">
      <c r="D1014" s="13"/>
    </row>
    <row r="1015" spans="4:4">
      <c r="D1015" s="13"/>
    </row>
    <row r="1016" spans="4:4">
      <c r="D1016" s="13"/>
    </row>
    <row r="1017" spans="4:4">
      <c r="D1017" s="13"/>
    </row>
    <row r="1018" spans="4:4">
      <c r="D1018" s="13"/>
    </row>
    <row r="1019" spans="4:4">
      <c r="D1019" s="13"/>
    </row>
    <row r="1020" spans="4:4">
      <c r="D1020" s="13"/>
    </row>
    <row r="1021" spans="4:4">
      <c r="D1021" s="13"/>
    </row>
    <row r="1022" spans="4:4">
      <c r="D1022" s="13"/>
    </row>
    <row r="1023" spans="4:4">
      <c r="D1023" s="13"/>
    </row>
    <row r="1024" spans="4:4">
      <c r="D1024" s="13"/>
    </row>
    <row r="1025" spans="4:4">
      <c r="D1025" s="13"/>
    </row>
    <row r="1026" spans="4:4">
      <c r="D1026" s="13"/>
    </row>
    <row r="1027" spans="4:4">
      <c r="D1027" s="13"/>
    </row>
    <row r="1028" spans="4:4">
      <c r="D1028" s="13"/>
    </row>
    <row r="1029" spans="4:4">
      <c r="D1029" s="13"/>
    </row>
    <row r="1030" spans="4:4">
      <c r="D1030" s="13"/>
    </row>
    <row r="1031" spans="4:4">
      <c r="D1031" s="13"/>
    </row>
    <row r="1032" spans="4:4">
      <c r="D1032" s="13"/>
    </row>
    <row r="1033" spans="4:4">
      <c r="D1033" s="13"/>
    </row>
    <row r="1034" spans="4:4">
      <c r="D1034" s="13"/>
    </row>
    <row r="1035" spans="4:4">
      <c r="D1035" s="13"/>
    </row>
    <row r="1036" spans="4:4">
      <c r="D1036" s="13"/>
    </row>
    <row r="1037" spans="4:4">
      <c r="D1037" s="13"/>
    </row>
    <row r="1038" spans="4:4">
      <c r="D1038" s="13"/>
    </row>
    <row r="1039" spans="4:4">
      <c r="D1039" s="13"/>
    </row>
    <row r="1040" spans="4:4">
      <c r="D1040" s="13"/>
    </row>
    <row r="1041" spans="4:4">
      <c r="D1041" s="13"/>
    </row>
    <row r="1042" spans="4:4">
      <c r="D1042" s="13"/>
    </row>
    <row r="1043" spans="4:4">
      <c r="D1043" s="13"/>
    </row>
    <row r="1044" spans="4:4">
      <c r="D1044" s="13"/>
    </row>
    <row r="1045" spans="4:4">
      <c r="D1045" s="13"/>
    </row>
    <row r="1046" spans="4:4">
      <c r="D1046" s="13"/>
    </row>
    <row r="1047" spans="4:4">
      <c r="D1047" s="13"/>
    </row>
    <row r="1048" spans="4:4">
      <c r="D1048" s="13"/>
    </row>
    <row r="1049" spans="4:4">
      <c r="D1049" s="13"/>
    </row>
    <row r="1050" spans="4:4">
      <c r="D1050" s="13"/>
    </row>
    <row r="1051" spans="4:4">
      <c r="D1051" s="13"/>
    </row>
    <row r="1052" spans="4:4">
      <c r="D1052" s="13"/>
    </row>
    <row r="1053" spans="4:4">
      <c r="D1053" s="13"/>
    </row>
    <row r="1054" spans="4:4">
      <c r="D1054" s="13"/>
    </row>
    <row r="1055" spans="4:4">
      <c r="D1055" s="13"/>
    </row>
    <row r="1056" spans="4:4">
      <c r="D1056" s="13"/>
    </row>
    <row r="1057" spans="4:4">
      <c r="D1057" s="13"/>
    </row>
    <row r="1058" spans="4:4">
      <c r="D1058" s="13"/>
    </row>
    <row r="1059" spans="4:4">
      <c r="D1059" s="13"/>
    </row>
    <row r="1060" spans="4:4">
      <c r="D1060" s="13"/>
    </row>
    <row r="1061" spans="4:4">
      <c r="D1061" s="13"/>
    </row>
    <row r="1062" spans="4:4">
      <c r="D1062" s="13"/>
    </row>
    <row r="1063" spans="4:4">
      <c r="D1063" s="13"/>
    </row>
    <row r="1064" spans="4:4">
      <c r="D1064" s="13"/>
    </row>
    <row r="1065" spans="4:4">
      <c r="D1065" s="13"/>
    </row>
    <row r="1066" spans="4:4">
      <c r="D1066" s="13"/>
    </row>
    <row r="1067" spans="4:4">
      <c r="D1067" s="13"/>
    </row>
    <row r="1068" spans="4:4">
      <c r="D1068" s="13"/>
    </row>
    <row r="1069" spans="4:4">
      <c r="D1069" s="13"/>
    </row>
    <row r="1070" spans="4:4">
      <c r="D1070" s="13"/>
    </row>
    <row r="1071" spans="4:4">
      <c r="D1071" s="13"/>
    </row>
    <row r="1072" spans="4:4">
      <c r="D1072" s="13"/>
    </row>
    <row r="1073" spans="4:4">
      <c r="D1073" s="13"/>
    </row>
    <row r="1074" spans="4:4">
      <c r="D1074" s="13"/>
    </row>
    <row r="1075" spans="4:4">
      <c r="D1075" s="13"/>
    </row>
    <row r="1076" spans="4:4">
      <c r="D1076" s="13"/>
    </row>
    <row r="1077" spans="4:4">
      <c r="D1077" s="13"/>
    </row>
    <row r="1078" spans="4:4">
      <c r="D1078" s="13"/>
    </row>
    <row r="1079" spans="4:4">
      <c r="D1079" s="13"/>
    </row>
    <row r="1080" spans="4:4">
      <c r="D1080" s="13"/>
    </row>
    <row r="1081" spans="4:4">
      <c r="D1081" s="13"/>
    </row>
    <row r="1082" spans="4:4">
      <c r="D1082" s="13"/>
    </row>
    <row r="1083" spans="4:4">
      <c r="D1083" s="13"/>
    </row>
    <row r="1084" spans="4:4">
      <c r="D1084" s="13"/>
    </row>
    <row r="1085" spans="4:4">
      <c r="D1085" s="13"/>
    </row>
    <row r="1086" spans="4:4">
      <c r="D1086" s="13"/>
    </row>
    <row r="1087" spans="4:4">
      <c r="D1087" s="13"/>
    </row>
    <row r="1088" spans="4:4">
      <c r="D1088" s="13"/>
    </row>
    <row r="1089" spans="4:4">
      <c r="D1089" s="13"/>
    </row>
    <row r="1090" spans="4:4">
      <c r="D1090" s="13"/>
    </row>
    <row r="1091" spans="4:4">
      <c r="D1091" s="13"/>
    </row>
    <row r="1092" spans="4:4">
      <c r="D1092" s="13"/>
    </row>
    <row r="1093" spans="4:4">
      <c r="D1093" s="13"/>
    </row>
    <row r="1094" spans="4:4">
      <c r="D1094" s="13"/>
    </row>
    <row r="1095" spans="4:4">
      <c r="D1095" s="13"/>
    </row>
    <row r="1096" spans="4:4">
      <c r="D1096" s="13"/>
    </row>
    <row r="1097" spans="4:4">
      <c r="D1097" s="13"/>
    </row>
    <row r="1098" spans="4:4">
      <c r="D1098" s="13"/>
    </row>
    <row r="1099" spans="4:4">
      <c r="D1099" s="13"/>
    </row>
    <row r="1100" spans="4:4">
      <c r="D1100" s="13"/>
    </row>
    <row r="1101" spans="4:4">
      <c r="D1101" s="13"/>
    </row>
    <row r="1102" spans="4:4">
      <c r="D1102" s="13"/>
    </row>
    <row r="1103" spans="4:4">
      <c r="D1103" s="13"/>
    </row>
    <row r="1104" spans="4:4">
      <c r="D1104" s="13"/>
    </row>
    <row r="1105" spans="4:4">
      <c r="D1105" s="13"/>
    </row>
    <row r="1106" spans="4:4">
      <c r="D1106" s="13"/>
    </row>
    <row r="1107" spans="4:4">
      <c r="D1107" s="13"/>
    </row>
    <row r="1108" spans="4:4">
      <c r="D1108" s="13"/>
    </row>
    <row r="1109" spans="4:4">
      <c r="D1109" s="13"/>
    </row>
    <row r="1110" spans="4:4">
      <c r="D1110" s="13"/>
    </row>
    <row r="1111" spans="4:4">
      <c r="D1111" s="13"/>
    </row>
    <row r="1112" spans="4:4">
      <c r="D1112" s="13"/>
    </row>
    <row r="1113" spans="4:4">
      <c r="D1113" s="13"/>
    </row>
    <row r="1114" spans="4:4">
      <c r="D1114" s="13"/>
    </row>
    <row r="1115" spans="4:4">
      <c r="D1115" s="13"/>
    </row>
  </sheetData>
  <mergeCells count="1">
    <mergeCell ref="G1:H1"/>
  </mergeCells>
  <conditionalFormatting sqref="D8:D418">
    <cfRule type="cellIs" dxfId="10" priority="9" operator="equal">
      <formula>"IV"</formula>
    </cfRule>
    <cfRule type="cellIs" dxfId="9" priority="10" operator="equal">
      <formula>"III"</formula>
    </cfRule>
    <cfRule type="cellIs" dxfId="8" priority="11" operator="equal">
      <formula>"II"</formula>
    </cfRule>
    <cfRule type="cellIs" dxfId="7" priority="12" operator="equal">
      <formula>"I"</formula>
    </cfRule>
  </conditionalFormatting>
  <conditionalFormatting sqref="F8:F446">
    <cfRule type="dataBar" priority="8">
      <dataBar>
        <cfvo type="min"/>
        <cfvo type="max"/>
        <color rgb="FF638EC6"/>
      </dataBar>
      <extLst>
        <ext xmlns:x14="http://schemas.microsoft.com/office/spreadsheetml/2009/9/main" uri="{B025F937-C7B1-47D3-B67F-A62EFF666E3E}">
          <x14:id>{8367FAEA-A29F-4687-BCEF-F1945BF885B9}</x14:id>
        </ext>
      </extLst>
    </cfRule>
  </conditionalFormatting>
  <conditionalFormatting sqref="H8:H446">
    <cfRule type="dataBar" priority="7">
      <dataBar>
        <cfvo type="min"/>
        <cfvo type="max"/>
        <color rgb="FF638EC6"/>
      </dataBar>
      <extLst>
        <ext xmlns:x14="http://schemas.microsoft.com/office/spreadsheetml/2009/9/main" uri="{B025F937-C7B1-47D3-B67F-A62EFF666E3E}">
          <x14:id>{0CE57102-1A47-46AF-BFFC-BC2FE0C65014}</x14:id>
        </ext>
      </extLst>
    </cfRule>
  </conditionalFormatting>
  <conditionalFormatting sqref="J8:J446">
    <cfRule type="dataBar" priority="6">
      <dataBar>
        <cfvo type="min"/>
        <cfvo type="max"/>
        <color rgb="FF638EC6"/>
      </dataBar>
      <extLst>
        <ext xmlns:x14="http://schemas.microsoft.com/office/spreadsheetml/2009/9/main" uri="{B025F937-C7B1-47D3-B67F-A62EFF666E3E}">
          <x14:id>{BFF575F4-A98A-4B47-8791-123A19E0A473}</x14:id>
        </ext>
      </extLst>
    </cfRule>
  </conditionalFormatting>
  <conditionalFormatting sqref="L8:L446">
    <cfRule type="dataBar" priority="5">
      <dataBar>
        <cfvo type="min"/>
        <cfvo type="max"/>
        <color rgb="FF638EC6"/>
      </dataBar>
      <extLst>
        <ext xmlns:x14="http://schemas.microsoft.com/office/spreadsheetml/2009/9/main" uri="{B025F937-C7B1-47D3-B67F-A62EFF666E3E}">
          <x14:id>{C3F01792-987D-4DF8-ADF2-C30203559029}</x14:id>
        </ext>
      </extLst>
    </cfRule>
  </conditionalFormatting>
  <conditionalFormatting sqref="N8:N446">
    <cfRule type="dataBar" priority="4">
      <dataBar>
        <cfvo type="min"/>
        <cfvo type="max"/>
        <color rgb="FF638EC6"/>
      </dataBar>
      <extLst>
        <ext xmlns:x14="http://schemas.microsoft.com/office/spreadsheetml/2009/9/main" uri="{B025F937-C7B1-47D3-B67F-A62EFF666E3E}">
          <x14:id>{927EB7CC-DAC1-47F6-8384-280233C1C8F3}</x14:id>
        </ext>
      </extLst>
    </cfRule>
  </conditionalFormatting>
  <conditionalFormatting sqref="P8:P446">
    <cfRule type="dataBar" priority="3">
      <dataBar>
        <cfvo type="min"/>
        <cfvo type="max"/>
        <color rgb="FF638EC6"/>
      </dataBar>
      <extLst>
        <ext xmlns:x14="http://schemas.microsoft.com/office/spreadsheetml/2009/9/main" uri="{B025F937-C7B1-47D3-B67F-A62EFF666E3E}">
          <x14:id>{F48A7035-55BD-4D3D-B07C-2A8F8BA9BC63}</x14:id>
        </ext>
      </extLst>
    </cfRule>
  </conditionalFormatting>
  <conditionalFormatting sqref="R8:R446">
    <cfRule type="dataBar" priority="2">
      <dataBar>
        <cfvo type="min"/>
        <cfvo type="max"/>
        <color rgb="FF638EC6"/>
      </dataBar>
      <extLst>
        <ext xmlns:x14="http://schemas.microsoft.com/office/spreadsheetml/2009/9/main" uri="{B025F937-C7B1-47D3-B67F-A62EFF666E3E}">
          <x14:id>{08BBEC5F-38D7-46BE-A35A-4C4800DBE6ED}</x14:id>
        </ext>
      </extLst>
    </cfRule>
  </conditionalFormatting>
  <conditionalFormatting sqref="U8:U446">
    <cfRule type="dataBar" priority="1">
      <dataBar>
        <cfvo type="min"/>
        <cfvo type="max"/>
        <color rgb="FF638EC6"/>
      </dataBar>
      <extLst>
        <ext xmlns:x14="http://schemas.microsoft.com/office/spreadsheetml/2009/9/main" uri="{B025F937-C7B1-47D3-B67F-A62EFF666E3E}">
          <x14:id>{7F032F3E-BC54-406E-9D14-A4C01C4BC5DF}</x14:id>
        </ext>
      </extLst>
    </cfRule>
  </conditionalFormatting>
  <pageMargins left="0.7" right="0.7" top="0.75" bottom="0.75" header="0.3" footer="0.3"/>
  <pageSetup paperSize="9" orientation="portrait" r:id="rId2"/>
  <legacyDrawing r:id="rId3"/>
  <extLst>
    <ext xmlns:x14="http://schemas.microsoft.com/office/spreadsheetml/2009/9/main" uri="{78C0D931-6437-407d-A8EE-F0AAD7539E65}">
      <x14:conditionalFormattings>
        <x14:conditionalFormatting xmlns:xm="http://schemas.microsoft.com/office/excel/2006/main">
          <x14:cfRule type="dataBar" id="{8367FAEA-A29F-4687-BCEF-F1945BF885B9}">
            <x14:dataBar minLength="0" maxLength="100" border="1" negativeBarBorderColorSameAsPositive="0">
              <x14:cfvo type="autoMin"/>
              <x14:cfvo type="autoMax"/>
              <x14:borderColor rgb="FF638EC6"/>
              <x14:negativeFillColor rgb="FFFF0000"/>
              <x14:negativeBorderColor rgb="FFFF0000"/>
              <x14:axisColor rgb="FF000000"/>
            </x14:dataBar>
          </x14:cfRule>
          <xm:sqref>F8:F446</xm:sqref>
        </x14:conditionalFormatting>
        <x14:conditionalFormatting xmlns:xm="http://schemas.microsoft.com/office/excel/2006/main">
          <x14:cfRule type="dataBar" id="{0CE57102-1A47-46AF-BFFC-BC2FE0C65014}">
            <x14:dataBar minLength="0" maxLength="100" border="1" negativeBarBorderColorSameAsPositive="0">
              <x14:cfvo type="autoMin"/>
              <x14:cfvo type="autoMax"/>
              <x14:borderColor rgb="FF638EC6"/>
              <x14:negativeFillColor rgb="FFFF0000"/>
              <x14:negativeBorderColor rgb="FFFF0000"/>
              <x14:axisColor rgb="FF000000"/>
            </x14:dataBar>
          </x14:cfRule>
          <xm:sqref>H8:H446</xm:sqref>
        </x14:conditionalFormatting>
        <x14:conditionalFormatting xmlns:xm="http://schemas.microsoft.com/office/excel/2006/main">
          <x14:cfRule type="dataBar" id="{BFF575F4-A98A-4B47-8791-123A19E0A473}">
            <x14:dataBar minLength="0" maxLength="100" border="1" negativeBarBorderColorSameAsPositive="0">
              <x14:cfvo type="autoMin"/>
              <x14:cfvo type="autoMax"/>
              <x14:borderColor rgb="FF638EC6"/>
              <x14:negativeFillColor rgb="FFFF0000"/>
              <x14:negativeBorderColor rgb="FFFF0000"/>
              <x14:axisColor rgb="FF000000"/>
            </x14:dataBar>
          </x14:cfRule>
          <xm:sqref>J8:J446</xm:sqref>
        </x14:conditionalFormatting>
        <x14:conditionalFormatting xmlns:xm="http://schemas.microsoft.com/office/excel/2006/main">
          <x14:cfRule type="dataBar" id="{C3F01792-987D-4DF8-ADF2-C30203559029}">
            <x14:dataBar minLength="0" maxLength="100" border="1" negativeBarBorderColorSameAsPositive="0">
              <x14:cfvo type="autoMin"/>
              <x14:cfvo type="autoMax"/>
              <x14:borderColor rgb="FF638EC6"/>
              <x14:negativeFillColor rgb="FFFF0000"/>
              <x14:negativeBorderColor rgb="FFFF0000"/>
              <x14:axisColor rgb="FF000000"/>
            </x14:dataBar>
          </x14:cfRule>
          <xm:sqref>L8:L446</xm:sqref>
        </x14:conditionalFormatting>
        <x14:conditionalFormatting xmlns:xm="http://schemas.microsoft.com/office/excel/2006/main">
          <x14:cfRule type="dataBar" id="{927EB7CC-DAC1-47F6-8384-280233C1C8F3}">
            <x14:dataBar minLength="0" maxLength="100" border="1" negativeBarBorderColorSameAsPositive="0">
              <x14:cfvo type="autoMin"/>
              <x14:cfvo type="autoMax"/>
              <x14:borderColor rgb="FF638EC6"/>
              <x14:negativeFillColor rgb="FFFF0000"/>
              <x14:negativeBorderColor rgb="FFFF0000"/>
              <x14:axisColor rgb="FF000000"/>
            </x14:dataBar>
          </x14:cfRule>
          <xm:sqref>N8:N446</xm:sqref>
        </x14:conditionalFormatting>
        <x14:conditionalFormatting xmlns:xm="http://schemas.microsoft.com/office/excel/2006/main">
          <x14:cfRule type="dataBar" id="{F48A7035-55BD-4D3D-B07C-2A8F8BA9BC63}">
            <x14:dataBar minLength="0" maxLength="100" border="1" negativeBarBorderColorSameAsPositive="0">
              <x14:cfvo type="autoMin"/>
              <x14:cfvo type="autoMax"/>
              <x14:borderColor rgb="FF638EC6"/>
              <x14:negativeFillColor rgb="FFFF0000"/>
              <x14:negativeBorderColor rgb="FFFF0000"/>
              <x14:axisColor rgb="FF000000"/>
            </x14:dataBar>
          </x14:cfRule>
          <xm:sqref>P8:P446</xm:sqref>
        </x14:conditionalFormatting>
        <x14:conditionalFormatting xmlns:xm="http://schemas.microsoft.com/office/excel/2006/main">
          <x14:cfRule type="dataBar" id="{08BBEC5F-38D7-46BE-A35A-4C4800DBE6ED}">
            <x14:dataBar minLength="0" maxLength="100" border="1" negativeBarBorderColorSameAsPositive="0">
              <x14:cfvo type="autoMin"/>
              <x14:cfvo type="autoMax"/>
              <x14:borderColor rgb="FF638EC6"/>
              <x14:negativeFillColor rgb="FFFF0000"/>
              <x14:negativeBorderColor rgb="FFFF0000"/>
              <x14:axisColor rgb="FF000000"/>
            </x14:dataBar>
          </x14:cfRule>
          <xm:sqref>R8:R446</xm:sqref>
        </x14:conditionalFormatting>
        <x14:conditionalFormatting xmlns:xm="http://schemas.microsoft.com/office/excel/2006/main">
          <x14:cfRule type="dataBar" id="{7F032F3E-BC54-406E-9D14-A4C01C4BC5DF}">
            <x14:dataBar minLength="0" maxLength="100" border="1" negativeBarBorderColorSameAsPositive="0">
              <x14:cfvo type="autoMin"/>
              <x14:cfvo type="autoMax"/>
              <x14:borderColor rgb="FF638EC6"/>
              <x14:negativeFillColor rgb="FFFF0000"/>
              <x14:negativeBorderColor rgb="FFFF0000"/>
              <x14:axisColor rgb="FF000000"/>
            </x14:dataBar>
          </x14:cfRule>
          <xm:sqref>U8:U446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5E6D-5AB8-4E69-BFFB-4B4D3EC07128}">
  <sheetPr codeName="Sheet1">
    <tabColor theme="4" tint="0.59999389629810485"/>
    <outlinePr summaryBelow="0"/>
  </sheetPr>
  <dimension ref="B3:L20"/>
  <sheetViews>
    <sheetView showGridLines="0" topLeftCell="A19" zoomScaleNormal="100" workbookViewId="0">
      <selection activeCell="H13" sqref="H13"/>
    </sheetView>
  </sheetViews>
  <sheetFormatPr defaultRowHeight="15" outlineLevelRow="1"/>
  <cols>
    <col min="2" max="2" width="42.7109375" bestFit="1" customWidth="1"/>
    <col min="3" max="6" width="17.42578125" customWidth="1"/>
    <col min="8" max="8" width="45" customWidth="1"/>
    <col min="9" max="12" width="14.5703125" customWidth="1"/>
  </cols>
  <sheetData>
    <row r="3" spans="2:12" ht="15.75">
      <c r="B3" s="47" t="s">
        <v>1393</v>
      </c>
      <c r="H3" s="47" t="s">
        <v>1394</v>
      </c>
    </row>
    <row r="5" spans="2:12" ht="17.25" customHeight="1">
      <c r="B5" s="98" t="s">
        <v>1395</v>
      </c>
      <c r="C5" s="338" t="s">
        <v>1396</v>
      </c>
      <c r="D5" s="338"/>
      <c r="E5" s="338"/>
      <c r="F5" s="338"/>
      <c r="H5" s="98" t="s">
        <v>1397</v>
      </c>
      <c r="I5" s="338" t="s">
        <v>1398</v>
      </c>
      <c r="J5" s="338"/>
      <c r="K5" s="338"/>
      <c r="L5" s="338"/>
    </row>
    <row r="6" spans="2:12" ht="87" customHeight="1">
      <c r="B6" s="99" t="s">
        <v>1399</v>
      </c>
      <c r="C6" s="339" t="s">
        <v>1400</v>
      </c>
      <c r="D6" s="340"/>
      <c r="E6" s="340"/>
      <c r="F6" s="341"/>
      <c r="H6" s="99" t="s">
        <v>1401</v>
      </c>
      <c r="I6" s="339" t="s">
        <v>1402</v>
      </c>
      <c r="J6" s="340"/>
      <c r="K6" s="340"/>
      <c r="L6" s="341"/>
    </row>
    <row r="7" spans="2:12" ht="57.75" customHeight="1">
      <c r="B7" s="99" t="s">
        <v>1403</v>
      </c>
      <c r="C7" s="339" t="s">
        <v>1404</v>
      </c>
      <c r="D7" s="340"/>
      <c r="E7" s="340"/>
      <c r="F7" s="341"/>
      <c r="H7" s="99" t="s">
        <v>1405</v>
      </c>
      <c r="I7" s="339" t="s">
        <v>1406</v>
      </c>
      <c r="J7" s="340"/>
      <c r="K7" s="340"/>
      <c r="L7" s="341"/>
    </row>
    <row r="8" spans="2:12" ht="57" customHeight="1">
      <c r="B8" s="99" t="s">
        <v>1407</v>
      </c>
      <c r="C8" s="339" t="s">
        <v>1408</v>
      </c>
      <c r="D8" s="340"/>
      <c r="E8" s="340"/>
      <c r="F8" s="341"/>
      <c r="H8" s="99" t="s">
        <v>1409</v>
      </c>
      <c r="I8" s="339" t="s">
        <v>1410</v>
      </c>
      <c r="J8" s="340"/>
      <c r="K8" s="340"/>
      <c r="L8" s="341"/>
    </row>
    <row r="9" spans="2:12" outlineLevel="1">
      <c r="B9" s="74" t="s">
        <v>1411</v>
      </c>
      <c r="C9" s="104" t="s">
        <v>1412</v>
      </c>
      <c r="D9" s="104" t="s">
        <v>1413</v>
      </c>
      <c r="E9" s="105" t="s">
        <v>1414</v>
      </c>
      <c r="F9" s="105" t="s">
        <v>1413</v>
      </c>
      <c r="H9" s="74" t="s">
        <v>1415</v>
      </c>
      <c r="I9" s="104" t="s">
        <v>1416</v>
      </c>
      <c r="J9" s="104" t="s">
        <v>1417</v>
      </c>
      <c r="K9" s="105" t="s">
        <v>1418</v>
      </c>
      <c r="L9" s="105" t="s">
        <v>1417</v>
      </c>
    </row>
    <row r="10" spans="2:12" ht="15" customHeight="1" outlineLevel="1">
      <c r="B10" s="106" t="s">
        <v>1419</v>
      </c>
      <c r="C10" s="48">
        <v>1400282596.4299998</v>
      </c>
      <c r="D10" s="49">
        <f t="shared" ref="D10:D15" si="0">C10/$I$10</f>
        <v>1</v>
      </c>
      <c r="E10" s="50">
        <v>302022094.37</v>
      </c>
      <c r="F10" s="51">
        <f t="shared" ref="F10:F15" si="1">E10/$K$10</f>
        <v>1</v>
      </c>
      <c r="H10" s="106" t="s">
        <v>1420</v>
      </c>
      <c r="I10" s="48">
        <v>1400282596.4299998</v>
      </c>
      <c r="J10" s="49">
        <f t="shared" ref="J10:J15" si="2">I10/$I$10</f>
        <v>1</v>
      </c>
      <c r="K10" s="50">
        <v>302022094.37</v>
      </c>
      <c r="L10" s="51">
        <f t="shared" ref="L10:L15" si="3">K10/$K$10</f>
        <v>1</v>
      </c>
    </row>
    <row r="11" spans="2:12" ht="15" customHeight="1" outlineLevel="1">
      <c r="B11" s="107" t="s">
        <v>1421</v>
      </c>
      <c r="C11" s="48">
        <v>1104343188</v>
      </c>
      <c r="D11" s="52">
        <f t="shared" si="0"/>
        <v>0.78865736874507109</v>
      </c>
      <c r="E11" s="50">
        <v>169676108.01999998</v>
      </c>
      <c r="F11" s="53">
        <f t="shared" si="1"/>
        <v>0.56180031588064505</v>
      </c>
      <c r="H11" s="107" t="s">
        <v>1422</v>
      </c>
      <c r="I11" s="48">
        <v>1104343188</v>
      </c>
      <c r="J11" s="52">
        <f t="shared" si="2"/>
        <v>0.78865736874507109</v>
      </c>
      <c r="K11" s="50">
        <v>169676108.01999998</v>
      </c>
      <c r="L11" s="53">
        <f t="shared" si="3"/>
        <v>0.56180031588064505</v>
      </c>
    </row>
    <row r="12" spans="2:12" ht="15" customHeight="1" outlineLevel="1">
      <c r="B12" s="107" t="s">
        <v>1423</v>
      </c>
      <c r="C12" s="48">
        <v>121306225.99000001</v>
      </c>
      <c r="D12" s="52">
        <f t="shared" si="0"/>
        <v>8.6629817652000007E-2</v>
      </c>
      <c r="E12" s="50">
        <v>35625558.589999996</v>
      </c>
      <c r="F12" s="53">
        <f t="shared" si="1"/>
        <v>0.11795679605597324</v>
      </c>
      <c r="H12" s="107" t="s">
        <v>1424</v>
      </c>
      <c r="I12" s="48">
        <v>121306225.99000001</v>
      </c>
      <c r="J12" s="52">
        <f t="shared" si="2"/>
        <v>8.6629817652000007E-2</v>
      </c>
      <c r="K12" s="50">
        <v>35625558.589999996</v>
      </c>
      <c r="L12" s="53">
        <f t="shared" si="3"/>
        <v>0.11795679605597324</v>
      </c>
    </row>
    <row r="13" spans="2:12" ht="15" customHeight="1" outlineLevel="1">
      <c r="B13" s="107" t="s">
        <v>1425</v>
      </c>
      <c r="C13" s="48">
        <v>47279367.440000005</v>
      </c>
      <c r="D13" s="52">
        <f t="shared" si="0"/>
        <v>3.3764161291826425E-2</v>
      </c>
      <c r="E13" s="50">
        <v>13615801.969999999</v>
      </c>
      <c r="F13" s="53">
        <f t="shared" si="1"/>
        <v>4.5082138770018619E-2</v>
      </c>
      <c r="H13" s="107" t="s">
        <v>1426</v>
      </c>
      <c r="I13" s="48">
        <v>47279367.440000005</v>
      </c>
      <c r="J13" s="52">
        <f t="shared" si="2"/>
        <v>3.3764161291826425E-2</v>
      </c>
      <c r="K13" s="50">
        <v>13615801.969999999</v>
      </c>
      <c r="L13" s="53">
        <f t="shared" si="3"/>
        <v>4.5082138770018619E-2</v>
      </c>
    </row>
    <row r="14" spans="2:12" ht="15" customHeight="1" outlineLevel="1">
      <c r="B14" s="107" t="s">
        <v>1427</v>
      </c>
      <c r="C14" s="48">
        <v>121067523</v>
      </c>
      <c r="D14" s="52">
        <f t="shared" si="0"/>
        <v>8.6459349925979145E-2</v>
      </c>
      <c r="E14" s="50">
        <v>77725938.539999992</v>
      </c>
      <c r="F14" s="53">
        <f t="shared" si="1"/>
        <v>0.25735182951476332</v>
      </c>
      <c r="H14" s="107" t="s">
        <v>1428</v>
      </c>
      <c r="I14" s="48">
        <v>121067523</v>
      </c>
      <c r="J14" s="52">
        <f t="shared" si="2"/>
        <v>8.6459349925979145E-2</v>
      </c>
      <c r="K14" s="50">
        <v>77725938.539999992</v>
      </c>
      <c r="L14" s="53">
        <f t="shared" si="3"/>
        <v>0.25735182951476332</v>
      </c>
    </row>
    <row r="15" spans="2:12" ht="15" customHeight="1" outlineLevel="1">
      <c r="B15" s="108" t="s">
        <v>1429</v>
      </c>
      <c r="C15" s="100">
        <v>6286292</v>
      </c>
      <c r="D15" s="101">
        <f t="shared" si="0"/>
        <v>4.4893023851234103E-3</v>
      </c>
      <c r="E15" s="102">
        <v>5378687.25</v>
      </c>
      <c r="F15" s="103">
        <f t="shared" si="1"/>
        <v>1.7808919778599705E-2</v>
      </c>
      <c r="H15" s="108" t="s">
        <v>1430</v>
      </c>
      <c r="I15" s="100">
        <v>6286292</v>
      </c>
      <c r="J15" s="101">
        <f t="shared" si="2"/>
        <v>4.4893023851234103E-3</v>
      </c>
      <c r="K15" s="102">
        <v>5378687.25</v>
      </c>
      <c r="L15" s="103">
        <f t="shared" si="3"/>
        <v>1.7808919778599705E-2</v>
      </c>
    </row>
    <row r="16" spans="2:12" ht="96" customHeight="1">
      <c r="B16" s="99" t="s">
        <v>1431</v>
      </c>
      <c r="C16" s="339" t="s">
        <v>1432</v>
      </c>
      <c r="D16" s="340"/>
      <c r="E16" s="340"/>
      <c r="F16" s="341"/>
      <c r="H16" s="99" t="s">
        <v>1433</v>
      </c>
      <c r="I16" s="339" t="s">
        <v>1434</v>
      </c>
      <c r="J16" s="340"/>
      <c r="K16" s="340"/>
      <c r="L16" s="341"/>
    </row>
    <row r="17" spans="2:12" ht="99" customHeight="1">
      <c r="B17" s="73" t="s">
        <v>1435</v>
      </c>
      <c r="C17" s="339" t="s">
        <v>1436</v>
      </c>
      <c r="D17" s="340"/>
      <c r="E17" s="340"/>
      <c r="F17" s="341"/>
      <c r="H17" s="73" t="s">
        <v>1435</v>
      </c>
      <c r="I17" s="339" t="s">
        <v>1437</v>
      </c>
      <c r="J17" s="340"/>
      <c r="K17" s="340"/>
      <c r="L17" s="341"/>
    </row>
    <row r="18" spans="2:12" ht="69" customHeight="1">
      <c r="B18" s="109" t="s">
        <v>1438</v>
      </c>
      <c r="C18" s="339" t="s">
        <v>1439</v>
      </c>
      <c r="D18" s="340"/>
      <c r="E18" s="340"/>
      <c r="F18" s="341"/>
      <c r="H18" s="109" t="s">
        <v>1440</v>
      </c>
      <c r="I18" s="339" t="s">
        <v>1441</v>
      </c>
      <c r="J18" s="340"/>
      <c r="K18" s="340"/>
      <c r="L18" s="341"/>
    </row>
    <row r="19" spans="2:12" ht="105">
      <c r="B19" s="73" t="s">
        <v>1442</v>
      </c>
      <c r="C19" s="339" t="s">
        <v>1443</v>
      </c>
      <c r="D19" s="340"/>
      <c r="E19" s="340"/>
      <c r="F19" s="341"/>
      <c r="H19" s="73" t="s">
        <v>1444</v>
      </c>
      <c r="I19" s="339" t="s">
        <v>1445</v>
      </c>
      <c r="J19" s="340"/>
      <c r="K19" s="340"/>
      <c r="L19" s="341"/>
    </row>
    <row r="20" spans="2:12" ht="134.25" customHeight="1">
      <c r="B20" s="73" t="s">
        <v>1446</v>
      </c>
      <c r="C20" s="339" t="s">
        <v>1447</v>
      </c>
      <c r="D20" s="340"/>
      <c r="E20" s="340"/>
      <c r="F20" s="341"/>
      <c r="H20" s="73" t="s">
        <v>1448</v>
      </c>
      <c r="I20" s="339" t="s">
        <v>1449</v>
      </c>
      <c r="J20" s="340"/>
      <c r="K20" s="340"/>
      <c r="L20" s="341"/>
    </row>
  </sheetData>
  <mergeCells count="18">
    <mergeCell ref="I20:L20"/>
    <mergeCell ref="C17:F17"/>
    <mergeCell ref="C18:F18"/>
    <mergeCell ref="C19:F19"/>
    <mergeCell ref="C20:F20"/>
    <mergeCell ref="I17:L17"/>
    <mergeCell ref="I18:L18"/>
    <mergeCell ref="I19:L19"/>
    <mergeCell ref="C5:F5"/>
    <mergeCell ref="C6:F6"/>
    <mergeCell ref="C7:F7"/>
    <mergeCell ref="C8:F8"/>
    <mergeCell ref="C16:F16"/>
    <mergeCell ref="I5:L5"/>
    <mergeCell ref="I6:L6"/>
    <mergeCell ref="I7:L7"/>
    <mergeCell ref="I8:L8"/>
    <mergeCell ref="I16:L1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D610-E3D1-43E5-BF02-52192D7D3140}">
  <sheetPr codeName="Sheet5">
    <tabColor theme="0" tint="-0.499984740745262"/>
  </sheetPr>
  <dimension ref="B2:AG35"/>
  <sheetViews>
    <sheetView showGridLines="0" workbookViewId="0">
      <selection activeCell="K18" sqref="K18"/>
    </sheetView>
  </sheetViews>
  <sheetFormatPr defaultRowHeight="15"/>
  <cols>
    <col min="18" max="18" width="9.7109375" customWidth="1"/>
    <col min="19" max="19" width="3.28515625" customWidth="1"/>
    <col min="20" max="20" width="5.5703125" bestFit="1" customWidth="1"/>
    <col min="21" max="21" width="4" customWidth="1"/>
    <col min="22" max="22" width="2.28515625" customWidth="1"/>
    <col min="23" max="23" width="5.5703125" bestFit="1" customWidth="1"/>
    <col min="24" max="24" width="5" customWidth="1"/>
    <col min="25" max="25" width="5.5703125" bestFit="1" customWidth="1"/>
    <col min="26" max="26" width="4.7109375" bestFit="1" customWidth="1"/>
    <col min="27" max="27" width="5.5703125" bestFit="1" customWidth="1"/>
    <col min="28" max="28" width="5" customWidth="1"/>
    <col min="29" max="29" width="5.5703125" bestFit="1" customWidth="1"/>
    <col min="30" max="30" width="4.5703125" customWidth="1"/>
    <col min="31" max="31" width="2" bestFit="1" customWidth="1"/>
    <col min="32" max="32" width="5.5703125" bestFit="1" customWidth="1"/>
  </cols>
  <sheetData>
    <row r="2" spans="2:33" ht="15.75">
      <c r="D2" s="47" t="s">
        <v>745</v>
      </c>
    </row>
    <row r="3" spans="2:33" ht="15.75">
      <c r="D3" s="47" t="s">
        <v>1450</v>
      </c>
    </row>
    <row r="4" spans="2:33">
      <c r="Q4" s="24"/>
      <c r="R4" s="24" t="s">
        <v>1451</v>
      </c>
      <c r="S4" s="24"/>
      <c r="T4" s="24"/>
      <c r="U4" s="24"/>
      <c r="V4" s="24"/>
      <c r="W4" s="24"/>
      <c r="X4" s="24"/>
      <c r="Y4" s="24"/>
      <c r="Z4" s="24"/>
      <c r="AA4" s="24"/>
      <c r="AB4" s="24"/>
      <c r="AC4" s="24"/>
      <c r="AD4" s="24"/>
      <c r="AE4" s="24"/>
      <c r="AF4" s="24"/>
      <c r="AG4" s="24"/>
    </row>
    <row r="5" spans="2:33">
      <c r="Q5" s="24"/>
      <c r="R5" s="24"/>
      <c r="S5" s="24"/>
      <c r="T5" s="24"/>
      <c r="U5" s="24"/>
      <c r="V5" s="24"/>
      <c r="W5" s="24"/>
      <c r="X5" s="24"/>
      <c r="Y5" s="24"/>
      <c r="Z5" s="24"/>
      <c r="AA5" s="24"/>
      <c r="AB5" s="24"/>
      <c r="AC5" s="24"/>
      <c r="AD5" s="24"/>
      <c r="AE5" s="24"/>
      <c r="AF5" s="24"/>
      <c r="AG5" s="24"/>
    </row>
    <row r="6" spans="2:33">
      <c r="Q6" s="24"/>
      <c r="R6" s="24"/>
      <c r="S6" s="342" t="s">
        <v>40</v>
      </c>
      <c r="T6" s="343"/>
      <c r="U6" s="30"/>
      <c r="V6" s="342" t="s">
        <v>38</v>
      </c>
      <c r="W6" s="344"/>
      <c r="X6" s="297"/>
      <c r="Y6" s="296"/>
      <c r="Z6" s="297" t="s">
        <v>38</v>
      </c>
      <c r="AA6" s="12"/>
      <c r="AB6" s="29"/>
      <c r="AC6" s="12" t="s">
        <v>38</v>
      </c>
      <c r="AD6" s="24"/>
      <c r="AE6" s="342" t="s">
        <v>33</v>
      </c>
      <c r="AF6" s="343"/>
      <c r="AG6" s="24"/>
    </row>
    <row r="7" spans="2:33">
      <c r="Q7" s="24"/>
      <c r="R7" s="28" t="s">
        <v>1452</v>
      </c>
      <c r="S7" s="11" t="s">
        <v>1453</v>
      </c>
      <c r="T7" s="27">
        <v>3500</v>
      </c>
      <c r="U7" s="10"/>
      <c r="V7" s="11" t="s">
        <v>1453</v>
      </c>
      <c r="W7" s="10">
        <v>3500</v>
      </c>
      <c r="X7" s="9"/>
      <c r="Y7" s="17">
        <v>2000</v>
      </c>
      <c r="Z7" s="10" t="s">
        <v>1454</v>
      </c>
      <c r="AA7" s="27">
        <v>3500</v>
      </c>
      <c r="AB7" s="9" t="s">
        <v>1455</v>
      </c>
      <c r="AC7" s="27">
        <v>2000</v>
      </c>
      <c r="AD7" s="24"/>
      <c r="AE7" s="22" t="s">
        <v>1455</v>
      </c>
      <c r="AF7" s="27">
        <v>2000</v>
      </c>
      <c r="AG7" s="24"/>
    </row>
    <row r="8" spans="2:33">
      <c r="Q8" s="24"/>
      <c r="R8" s="24"/>
      <c r="S8" s="26"/>
      <c r="T8" s="25"/>
      <c r="U8" s="24"/>
      <c r="V8" s="26"/>
      <c r="W8" s="24"/>
      <c r="X8" s="9"/>
      <c r="Y8" s="4"/>
      <c r="Z8" s="24"/>
      <c r="AA8" s="25"/>
      <c r="AB8" s="24"/>
      <c r="AC8" s="25"/>
      <c r="AD8" s="24"/>
      <c r="AE8" s="26"/>
      <c r="AF8" s="25"/>
      <c r="AG8" s="24"/>
    </row>
    <row r="9" spans="2:33">
      <c r="Q9" s="24"/>
      <c r="R9" s="28" t="s">
        <v>1456</v>
      </c>
      <c r="S9" s="23" t="s">
        <v>1453</v>
      </c>
      <c r="T9" s="8">
        <v>1500</v>
      </c>
      <c r="U9" s="10"/>
      <c r="V9" s="21" t="s">
        <v>1455</v>
      </c>
      <c r="W9" s="7">
        <v>1500</v>
      </c>
      <c r="X9" s="20"/>
      <c r="Y9" s="16"/>
      <c r="Z9" s="19" t="s">
        <v>1457</v>
      </c>
      <c r="AA9" s="15"/>
      <c r="AB9" s="18" t="s">
        <v>1453</v>
      </c>
      <c r="AC9" s="8">
        <v>1500</v>
      </c>
      <c r="AD9" s="30"/>
      <c r="AE9" s="21" t="s">
        <v>1455</v>
      </c>
      <c r="AF9" s="8">
        <v>1500</v>
      </c>
      <c r="AG9" s="24"/>
    </row>
    <row r="10" spans="2:33" ht="28.5">
      <c r="B10" s="5" t="s">
        <v>40</v>
      </c>
      <c r="Q10" s="24"/>
      <c r="R10" s="24"/>
      <c r="S10" s="6"/>
      <c r="T10" s="6"/>
      <c r="U10" s="6"/>
      <c r="V10" s="6"/>
      <c r="W10" s="6"/>
      <c r="X10" s="6"/>
      <c r="Y10" s="30"/>
      <c r="Z10" s="24"/>
      <c r="AA10" s="24"/>
      <c r="AB10" s="24"/>
      <c r="AC10" s="24"/>
      <c r="AD10" s="24"/>
      <c r="AE10" s="24"/>
      <c r="AF10" s="24"/>
      <c r="AG10" s="24"/>
    </row>
    <row r="23" spans="2:2" ht="28.5">
      <c r="B23" s="5" t="s">
        <v>38</v>
      </c>
    </row>
    <row r="35" spans="2:2" ht="28.5">
      <c r="B35" s="5" t="s">
        <v>33</v>
      </c>
    </row>
  </sheetData>
  <mergeCells count="3">
    <mergeCell ref="S6:T6"/>
    <mergeCell ref="AE6:AF6"/>
    <mergeCell ref="V6:W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442C-3669-4F6C-B526-0EFEAC530AF4}">
  <sheetPr codeName="Sheet6"/>
  <dimension ref="A1:CA482"/>
  <sheetViews>
    <sheetView zoomScale="55" zoomScaleNormal="55" workbookViewId="0">
      <pane xSplit="14" ySplit="1" topLeftCell="AO2" activePane="bottomRight" state="frozen"/>
      <selection pane="bottomRight" activeCell="BQ34" sqref="BQ34"/>
      <selection pane="bottomLeft" activeCell="M6" sqref="M6"/>
      <selection pane="topRight" activeCell="M6" sqref="M6"/>
    </sheetView>
  </sheetViews>
  <sheetFormatPr defaultRowHeight="15" outlineLevelCol="1"/>
  <cols>
    <col min="1" max="1" width="3.7109375" bestFit="1" customWidth="1"/>
    <col min="2" max="2" width="4.7109375" hidden="1" customWidth="1" outlineLevel="1"/>
    <col min="3" max="3" width="9.42578125" hidden="1" customWidth="1" outlineLevel="1"/>
    <col min="4" max="4" width="8.5703125" hidden="1" customWidth="1" outlineLevel="1"/>
    <col min="5" max="5" width="11.7109375" hidden="1" customWidth="1" outlineLevel="1"/>
    <col min="6" max="6" width="15.28515625" hidden="1" customWidth="1" outlineLevel="1"/>
    <col min="7" max="9" width="9.28515625" hidden="1" customWidth="1" outlineLevel="1"/>
    <col min="10" max="10" width="9.5703125" hidden="1" customWidth="1" outlineLevel="1"/>
    <col min="11" max="11" width="13.5703125" hidden="1" customWidth="1" outlineLevel="1"/>
    <col min="12" max="12" width="6.7109375" hidden="1" customWidth="1" outlineLevel="1"/>
    <col min="13" max="13" width="32.28515625" style="1" bestFit="1" customWidth="1" collapsed="1"/>
    <col min="14" max="14" width="32.28515625" customWidth="1"/>
    <col min="15" max="15" width="16" customWidth="1"/>
    <col min="16" max="27" width="10" customWidth="1"/>
    <col min="28" max="28" width="16" customWidth="1"/>
    <col min="29" max="40" width="10" customWidth="1"/>
    <col min="41" max="41" width="16" customWidth="1"/>
    <col min="42" max="53" width="10" customWidth="1"/>
    <col min="54" max="54" width="16" customWidth="1"/>
    <col min="55" max="66" width="10" customWidth="1"/>
    <col min="67" max="67" width="16" customWidth="1"/>
    <col min="68" max="79" width="10" customWidth="1"/>
  </cols>
  <sheetData>
    <row r="1" spans="1:79" s="45" customFormat="1" ht="22.5" customHeight="1">
      <c r="A1" s="40" t="s">
        <v>1458</v>
      </c>
      <c r="B1" s="40" t="s">
        <v>1459</v>
      </c>
      <c r="C1" s="40" t="s">
        <v>1460</v>
      </c>
      <c r="D1" s="40" t="s">
        <v>1461</v>
      </c>
      <c r="E1" s="40" t="s">
        <v>1462</v>
      </c>
      <c r="F1" s="40" t="s">
        <v>1463</v>
      </c>
      <c r="G1" s="40" t="s">
        <v>1464</v>
      </c>
      <c r="H1" s="40" t="s">
        <v>1465</v>
      </c>
      <c r="I1" s="40" t="s">
        <v>1466</v>
      </c>
      <c r="J1" s="40" t="s">
        <v>1467</v>
      </c>
      <c r="K1" s="40" t="s">
        <v>1468</v>
      </c>
      <c r="L1" s="40" t="s">
        <v>1469</v>
      </c>
      <c r="M1" s="42" t="s">
        <v>1470</v>
      </c>
      <c r="N1" s="40" t="s">
        <v>1471</v>
      </c>
      <c r="O1" s="91">
        <f>SUM(O2:O482)</f>
        <v>89</v>
      </c>
      <c r="P1" s="43" t="s">
        <v>1472</v>
      </c>
      <c r="Q1" s="43" t="s">
        <v>1473</v>
      </c>
      <c r="R1" s="43" t="s">
        <v>1474</v>
      </c>
      <c r="S1" s="43" t="s">
        <v>1475</v>
      </c>
      <c r="T1" s="43" t="s">
        <v>1476</v>
      </c>
      <c r="U1" s="43" t="s">
        <v>1477</v>
      </c>
      <c r="V1" s="43" t="s">
        <v>1478</v>
      </c>
      <c r="W1" s="43" t="s">
        <v>1479</v>
      </c>
      <c r="X1" s="43" t="s">
        <v>1480</v>
      </c>
      <c r="Y1" s="43" t="s">
        <v>1481</v>
      </c>
      <c r="Z1" s="43" t="s">
        <v>1482</v>
      </c>
      <c r="AA1" s="43" t="s">
        <v>1483</v>
      </c>
      <c r="AB1" s="91">
        <f>SUM(AB2:AB482)</f>
        <v>134</v>
      </c>
      <c r="AC1" s="44" t="s">
        <v>1484</v>
      </c>
      <c r="AD1" s="44" t="s">
        <v>1485</v>
      </c>
      <c r="AE1" s="44" t="s">
        <v>1486</v>
      </c>
      <c r="AF1" s="44" t="s">
        <v>1487</v>
      </c>
      <c r="AG1" s="44" t="s">
        <v>1488</v>
      </c>
      <c r="AH1" s="44" t="s">
        <v>1489</v>
      </c>
      <c r="AI1" s="44" t="s">
        <v>1490</v>
      </c>
      <c r="AJ1" s="44" t="s">
        <v>1491</v>
      </c>
      <c r="AK1" s="44" t="s">
        <v>1492</v>
      </c>
      <c r="AL1" s="44" t="s">
        <v>1493</v>
      </c>
      <c r="AM1" s="44" t="s">
        <v>1494</v>
      </c>
      <c r="AN1" s="44" t="s">
        <v>1495</v>
      </c>
      <c r="AO1" s="91">
        <f>SUM(AO2:AO482)</f>
        <v>131</v>
      </c>
      <c r="AP1" s="43" t="s">
        <v>1496</v>
      </c>
      <c r="AQ1" s="43" t="s">
        <v>1497</v>
      </c>
      <c r="AR1" s="43" t="s">
        <v>1498</v>
      </c>
      <c r="AS1" s="43" t="s">
        <v>1499</v>
      </c>
      <c r="AT1" s="43" t="s">
        <v>1500</v>
      </c>
      <c r="AU1" s="43" t="s">
        <v>1501</v>
      </c>
      <c r="AV1" s="43" t="s">
        <v>1502</v>
      </c>
      <c r="AW1" s="43" t="s">
        <v>1503</v>
      </c>
      <c r="AX1" s="43" t="s">
        <v>1504</v>
      </c>
      <c r="AY1" s="43" t="s">
        <v>1505</v>
      </c>
      <c r="AZ1" s="43" t="s">
        <v>1506</v>
      </c>
      <c r="BA1" s="43" t="s">
        <v>1507</v>
      </c>
      <c r="BB1" s="91">
        <f>SUM(BB2:BB482)</f>
        <v>109</v>
      </c>
      <c r="BC1" s="44" t="s">
        <v>1508</v>
      </c>
      <c r="BD1" s="44" t="s">
        <v>1509</v>
      </c>
      <c r="BE1" s="44" t="s">
        <v>1510</v>
      </c>
      <c r="BF1" s="44" t="s">
        <v>1511</v>
      </c>
      <c r="BG1" s="44" t="s">
        <v>1512</v>
      </c>
      <c r="BH1" s="44" t="s">
        <v>1513</v>
      </c>
      <c r="BI1" s="44" t="s">
        <v>1514</v>
      </c>
      <c r="BJ1" s="44" t="s">
        <v>1515</v>
      </c>
      <c r="BK1" s="44" t="s">
        <v>1516</v>
      </c>
      <c r="BL1" s="44" t="s">
        <v>1517</v>
      </c>
      <c r="BM1" s="44" t="s">
        <v>1518</v>
      </c>
      <c r="BN1" s="44" t="s">
        <v>1519</v>
      </c>
      <c r="BO1" s="91">
        <f>SUM(BO2:BO482)</f>
        <v>176</v>
      </c>
      <c r="BP1" s="43" t="s">
        <v>1520</v>
      </c>
      <c r="BQ1" s="43" t="s">
        <v>1521</v>
      </c>
      <c r="BR1" s="43" t="s">
        <v>1522</v>
      </c>
      <c r="BS1" s="43" t="s">
        <v>1523</v>
      </c>
      <c r="BT1" s="43" t="s">
        <v>1524</v>
      </c>
      <c r="BU1" s="43" t="s">
        <v>1525</v>
      </c>
      <c r="BV1" s="43" t="s">
        <v>1526</v>
      </c>
      <c r="BW1" s="43" t="s">
        <v>1527</v>
      </c>
      <c r="BX1" s="43" t="s">
        <v>1528</v>
      </c>
      <c r="BY1" s="43" t="s">
        <v>1529</v>
      </c>
      <c r="BZ1" s="43" t="s">
        <v>1530</v>
      </c>
      <c r="CA1" s="43" t="s">
        <v>1531</v>
      </c>
    </row>
    <row r="2" spans="1:79">
      <c r="A2">
        <v>1</v>
      </c>
      <c r="B2">
        <v>1</v>
      </c>
      <c r="C2" t="s">
        <v>1532</v>
      </c>
      <c r="D2" t="s">
        <v>1533</v>
      </c>
      <c r="E2" t="s">
        <v>1534</v>
      </c>
      <c r="F2" t="s">
        <v>1535</v>
      </c>
      <c r="G2" t="s">
        <v>1536</v>
      </c>
      <c r="H2" t="s">
        <v>1536</v>
      </c>
      <c r="J2" t="s">
        <v>1537</v>
      </c>
      <c r="K2" t="s">
        <v>1538</v>
      </c>
      <c r="L2" t="s">
        <v>1539</v>
      </c>
      <c r="M2" s="1" t="s">
        <v>1540</v>
      </c>
      <c r="N2" t="s">
        <v>1541</v>
      </c>
      <c r="O2" s="46">
        <f>COUNTIF(P2:AA2,"NE")</f>
        <v>0</v>
      </c>
      <c r="P2" s="43" t="s">
        <v>1542</v>
      </c>
      <c r="Q2" s="43" t="s">
        <v>1542</v>
      </c>
      <c r="R2" s="43" t="s">
        <v>1542</v>
      </c>
      <c r="S2" s="43" t="s">
        <v>1542</v>
      </c>
      <c r="T2" s="43" t="s">
        <v>1542</v>
      </c>
      <c r="U2" s="43" t="s">
        <v>1542</v>
      </c>
      <c r="V2" s="43" t="s">
        <v>1542</v>
      </c>
      <c r="W2" s="43" t="s">
        <v>1542</v>
      </c>
      <c r="X2" s="43" t="s">
        <v>1542</v>
      </c>
      <c r="Y2" s="43" t="s">
        <v>1542</v>
      </c>
      <c r="Z2" s="43" t="s">
        <v>1542</v>
      </c>
      <c r="AA2" s="43" t="s">
        <v>1542</v>
      </c>
      <c r="AB2" s="46">
        <f>COUNTIF(AC2:AN2,"NE")</f>
        <v>0</v>
      </c>
      <c r="AC2" s="44" t="s">
        <v>1542</v>
      </c>
      <c r="AD2" s="44" t="s">
        <v>1542</v>
      </c>
      <c r="AE2" s="44" t="s">
        <v>1542</v>
      </c>
      <c r="AF2" s="44" t="s">
        <v>1542</v>
      </c>
      <c r="AG2" s="44" t="s">
        <v>1542</v>
      </c>
      <c r="AH2" s="44" t="s">
        <v>1542</v>
      </c>
      <c r="AI2" s="44" t="s">
        <v>1542</v>
      </c>
      <c r="AJ2" s="44" t="s">
        <v>1542</v>
      </c>
      <c r="AK2" s="44" t="s">
        <v>1542</v>
      </c>
      <c r="AL2" s="44" t="s">
        <v>1542</v>
      </c>
      <c r="AM2" s="44" t="s">
        <v>1542</v>
      </c>
      <c r="AN2" s="44" t="s">
        <v>1542</v>
      </c>
      <c r="AO2" s="46">
        <f t="shared" ref="AO2:AO65" si="0">COUNTIF(AC2:AM2,"NE")</f>
        <v>0</v>
      </c>
      <c r="AP2" s="43" t="s">
        <v>1542</v>
      </c>
      <c r="AQ2" s="43" t="s">
        <v>1542</v>
      </c>
      <c r="AR2" s="43" t="s">
        <v>1542</v>
      </c>
      <c r="AS2" s="43" t="s">
        <v>1542</v>
      </c>
      <c r="AT2" s="43" t="s">
        <v>1542</v>
      </c>
      <c r="AU2" s="43" t="s">
        <v>1542</v>
      </c>
      <c r="AV2" s="43" t="s">
        <v>1542</v>
      </c>
      <c r="AW2" s="43" t="s">
        <v>1542</v>
      </c>
      <c r="AX2" s="43" t="s">
        <v>1542</v>
      </c>
      <c r="AY2" s="43" t="s">
        <v>1542</v>
      </c>
      <c r="AZ2" s="43" t="s">
        <v>1542</v>
      </c>
      <c r="BA2" s="43" t="s">
        <v>1542</v>
      </c>
      <c r="BB2" s="46">
        <f t="shared" ref="BB2:BB65" si="1">COUNTIF(AP2:AZ2,"NE")</f>
        <v>0</v>
      </c>
      <c r="BC2" s="44" t="s">
        <v>1542</v>
      </c>
      <c r="BD2" s="44" t="s">
        <v>1542</v>
      </c>
      <c r="BE2" s="44" t="s">
        <v>1542</v>
      </c>
      <c r="BF2" s="44" t="s">
        <v>1542</v>
      </c>
      <c r="BG2" s="44" t="s">
        <v>1542</v>
      </c>
      <c r="BH2" s="44" t="s">
        <v>1542</v>
      </c>
      <c r="BI2" s="44" t="s">
        <v>1542</v>
      </c>
      <c r="BJ2" s="44" t="s">
        <v>1542</v>
      </c>
      <c r="BK2" s="44" t="s">
        <v>1542</v>
      </c>
      <c r="BL2" s="44" t="s">
        <v>1542</v>
      </c>
      <c r="BM2" s="44" t="s">
        <v>1542</v>
      </c>
      <c r="BN2" s="44" t="s">
        <v>1542</v>
      </c>
      <c r="BO2" s="46">
        <f t="shared" ref="BO2:BO65" si="2">COUNTIF(BC2:BM2,"NE")</f>
        <v>0</v>
      </c>
      <c r="BP2" s="43" t="s">
        <v>1542</v>
      </c>
      <c r="BQ2" s="43" t="s">
        <v>1542</v>
      </c>
      <c r="BR2" s="43" t="s">
        <v>1542</v>
      </c>
      <c r="BS2" s="43" t="s">
        <v>1542</v>
      </c>
      <c r="BT2" s="43" t="s">
        <v>1542</v>
      </c>
      <c r="BU2" s="43" t="s">
        <v>1542</v>
      </c>
      <c r="BV2" s="43" t="s">
        <v>1542</v>
      </c>
      <c r="BW2" s="43" t="s">
        <v>1542</v>
      </c>
      <c r="BX2" s="43" t="s">
        <v>1542</v>
      </c>
      <c r="BY2" s="43" t="s">
        <v>1542</v>
      </c>
      <c r="BZ2" s="43" t="s">
        <v>1542</v>
      </c>
      <c r="CA2" s="43" t="s">
        <v>1542</v>
      </c>
    </row>
    <row r="3" spans="1:79">
      <c r="A3">
        <v>2</v>
      </c>
      <c r="B3" t="s">
        <v>1543</v>
      </c>
      <c r="C3" t="s">
        <v>1532</v>
      </c>
      <c r="D3" t="s">
        <v>1533</v>
      </c>
      <c r="E3" t="s">
        <v>1534</v>
      </c>
      <c r="F3" t="s">
        <v>1535</v>
      </c>
      <c r="G3" t="s">
        <v>1544</v>
      </c>
      <c r="H3" t="s">
        <v>1544</v>
      </c>
      <c r="J3" t="s">
        <v>1545</v>
      </c>
      <c r="K3" t="s">
        <v>1546</v>
      </c>
      <c r="M3" s="1" t="s">
        <v>1547</v>
      </c>
      <c r="N3" t="s">
        <v>1548</v>
      </c>
      <c r="O3" s="46">
        <f t="shared" ref="O3:O66" si="3">COUNTIF(P3:AA3,"NE")</f>
        <v>0</v>
      </c>
      <c r="P3" s="43"/>
      <c r="Q3" s="43"/>
      <c r="R3" s="43"/>
      <c r="S3" s="43"/>
      <c r="T3" s="43"/>
      <c r="U3" s="43"/>
      <c r="V3" s="43"/>
      <c r="W3" s="43"/>
      <c r="X3" s="43"/>
      <c r="Y3" s="43"/>
      <c r="Z3" s="43"/>
      <c r="AA3" s="43"/>
      <c r="AB3" s="46">
        <f t="shared" ref="AB3:AB66" si="4">COUNTIF(AC3:AN3,"NE")</f>
        <v>0</v>
      </c>
      <c r="AC3" s="44"/>
      <c r="AD3" s="44"/>
      <c r="AE3" s="44"/>
      <c r="AF3" s="44"/>
      <c r="AG3" s="44"/>
      <c r="AH3" s="44"/>
      <c r="AI3" s="44"/>
      <c r="AJ3" s="44"/>
      <c r="AK3" s="44"/>
      <c r="AL3" s="44"/>
      <c r="AM3" s="44"/>
      <c r="AN3" s="44"/>
      <c r="AO3" s="46">
        <f t="shared" si="0"/>
        <v>0</v>
      </c>
      <c r="AP3" s="43"/>
      <c r="AQ3" s="43"/>
      <c r="AR3" s="43"/>
      <c r="AS3" s="43"/>
      <c r="AT3" s="43"/>
      <c r="AU3" s="43"/>
      <c r="AV3" s="43"/>
      <c r="AW3" s="43"/>
      <c r="AX3" s="43"/>
      <c r="AY3" s="43"/>
      <c r="AZ3" s="43"/>
      <c r="BA3" s="43"/>
      <c r="BB3" s="46">
        <f t="shared" si="1"/>
        <v>0</v>
      </c>
      <c r="BC3" s="44"/>
      <c r="BD3" s="44"/>
      <c r="BE3" s="44"/>
      <c r="BF3" s="44"/>
      <c r="BG3" s="44"/>
      <c r="BH3" s="44"/>
      <c r="BI3" s="44"/>
      <c r="BJ3" s="44"/>
      <c r="BK3" s="44"/>
      <c r="BL3" s="44"/>
      <c r="BM3" s="44"/>
      <c r="BN3" s="44"/>
      <c r="BO3" s="46">
        <f t="shared" si="2"/>
        <v>0</v>
      </c>
      <c r="BP3" s="43"/>
      <c r="BQ3" s="43"/>
      <c r="BR3" s="43"/>
      <c r="BS3" s="43"/>
      <c r="BT3" s="43"/>
      <c r="BU3" s="43"/>
      <c r="BV3" s="43"/>
      <c r="BW3" s="43"/>
      <c r="BX3" s="43"/>
      <c r="BY3" s="43"/>
      <c r="BZ3" s="43"/>
      <c r="CA3" s="43"/>
    </row>
    <row r="4" spans="1:79">
      <c r="A4">
        <v>3</v>
      </c>
      <c r="B4">
        <v>1</v>
      </c>
      <c r="C4" t="s">
        <v>1532</v>
      </c>
      <c r="D4" t="s">
        <v>1533</v>
      </c>
      <c r="E4" t="s">
        <v>1534</v>
      </c>
      <c r="F4" t="s">
        <v>1535</v>
      </c>
      <c r="G4" t="s">
        <v>1549</v>
      </c>
      <c r="H4" t="s">
        <v>1549</v>
      </c>
      <c r="J4" t="s">
        <v>1550</v>
      </c>
      <c r="K4" t="s">
        <v>1551</v>
      </c>
      <c r="M4" s="1" t="s">
        <v>1552</v>
      </c>
      <c r="N4" t="s">
        <v>1553</v>
      </c>
      <c r="O4" s="46">
        <f t="shared" si="3"/>
        <v>0</v>
      </c>
      <c r="P4" s="43" t="s">
        <v>1542</v>
      </c>
      <c r="Q4" s="43" t="s">
        <v>1542</v>
      </c>
      <c r="R4" s="43" t="s">
        <v>1542</v>
      </c>
      <c r="S4" s="43" t="s">
        <v>1542</v>
      </c>
      <c r="T4" s="43" t="s">
        <v>1542</v>
      </c>
      <c r="U4" s="43" t="s">
        <v>1542</v>
      </c>
      <c r="V4" s="43" t="s">
        <v>1542</v>
      </c>
      <c r="W4" s="43" t="s">
        <v>1542</v>
      </c>
      <c r="X4" s="43" t="s">
        <v>1542</v>
      </c>
      <c r="Y4" s="43" t="s">
        <v>1542</v>
      </c>
      <c r="Z4" s="43" t="s">
        <v>1542</v>
      </c>
      <c r="AA4" s="43" t="s">
        <v>1542</v>
      </c>
      <c r="AB4" s="46">
        <f t="shared" si="4"/>
        <v>0</v>
      </c>
      <c r="AC4" s="44" t="s">
        <v>1542</v>
      </c>
      <c r="AD4" s="44" t="s">
        <v>1542</v>
      </c>
      <c r="AE4" s="44" t="s">
        <v>1542</v>
      </c>
      <c r="AF4" s="44" t="s">
        <v>1542</v>
      </c>
      <c r="AG4" s="44" t="s">
        <v>1542</v>
      </c>
      <c r="AH4" s="44" t="s">
        <v>1542</v>
      </c>
      <c r="AI4" s="44" t="s">
        <v>1542</v>
      </c>
      <c r="AJ4" s="44" t="s">
        <v>1542</v>
      </c>
      <c r="AK4" s="44" t="s">
        <v>1542</v>
      </c>
      <c r="AL4" s="44" t="s">
        <v>1542</v>
      </c>
      <c r="AM4" s="44" t="s">
        <v>1542</v>
      </c>
      <c r="AN4" s="44" t="s">
        <v>1542</v>
      </c>
      <c r="AO4" s="46">
        <f t="shared" si="0"/>
        <v>0</v>
      </c>
      <c r="AP4" s="43" t="s">
        <v>1542</v>
      </c>
      <c r="AQ4" s="43" t="s">
        <v>1542</v>
      </c>
      <c r="AR4" s="43" t="s">
        <v>1542</v>
      </c>
      <c r="AS4" s="43" t="s">
        <v>1542</v>
      </c>
      <c r="AT4" s="43" t="s">
        <v>1542</v>
      </c>
      <c r="AU4" s="43" t="s">
        <v>1542</v>
      </c>
      <c r="AV4" s="43" t="s">
        <v>1542</v>
      </c>
      <c r="AW4" s="43" t="s">
        <v>1554</v>
      </c>
      <c r="AX4" s="43" t="s">
        <v>1554</v>
      </c>
      <c r="AY4" s="43" t="s">
        <v>1554</v>
      </c>
      <c r="AZ4" s="43" t="s">
        <v>1554</v>
      </c>
      <c r="BA4" s="43" t="s">
        <v>1542</v>
      </c>
      <c r="BB4" s="46">
        <f t="shared" si="1"/>
        <v>4</v>
      </c>
      <c r="BC4" s="44" t="s">
        <v>1542</v>
      </c>
      <c r="BD4" s="44" t="s">
        <v>1542</v>
      </c>
      <c r="BE4" s="44" t="s">
        <v>1542</v>
      </c>
      <c r="BF4" s="44" t="s">
        <v>1542</v>
      </c>
      <c r="BG4" s="44" t="s">
        <v>1542</v>
      </c>
      <c r="BH4" s="44" t="s">
        <v>1542</v>
      </c>
      <c r="BI4" s="44" t="s">
        <v>1542</v>
      </c>
      <c r="BJ4" s="44" t="s">
        <v>1542</v>
      </c>
      <c r="BK4" s="44" t="s">
        <v>1542</v>
      </c>
      <c r="BL4" s="44" t="s">
        <v>1542</v>
      </c>
      <c r="BM4" s="44" t="s">
        <v>1542</v>
      </c>
      <c r="BN4" s="44" t="s">
        <v>1542</v>
      </c>
      <c r="BO4" s="46">
        <f t="shared" si="2"/>
        <v>0</v>
      </c>
      <c r="BP4" s="43" t="s">
        <v>1542</v>
      </c>
      <c r="BQ4" s="43" t="s">
        <v>1542</v>
      </c>
      <c r="BR4" s="43" t="s">
        <v>1542</v>
      </c>
      <c r="BS4" s="43" t="s">
        <v>1542</v>
      </c>
      <c r="BT4" s="43" t="s">
        <v>1542</v>
      </c>
      <c r="BU4" s="43" t="s">
        <v>1542</v>
      </c>
      <c r="BV4" s="43" t="s">
        <v>1542</v>
      </c>
      <c r="BW4" s="43" t="s">
        <v>1542</v>
      </c>
      <c r="BX4" s="43" t="s">
        <v>1542</v>
      </c>
      <c r="BY4" s="43" t="s">
        <v>1542</v>
      </c>
      <c r="BZ4" s="43" t="s">
        <v>1542</v>
      </c>
      <c r="CA4" s="43" t="s">
        <v>1542</v>
      </c>
    </row>
    <row r="5" spans="1:79">
      <c r="A5">
        <v>4</v>
      </c>
      <c r="B5" t="s">
        <v>1543</v>
      </c>
      <c r="C5" t="s">
        <v>1532</v>
      </c>
      <c r="D5" t="s">
        <v>1533</v>
      </c>
      <c r="E5" t="s">
        <v>1534</v>
      </c>
      <c r="F5" t="s">
        <v>1535</v>
      </c>
      <c r="G5" t="s">
        <v>1555</v>
      </c>
      <c r="H5" t="s">
        <v>1555</v>
      </c>
      <c r="J5" t="s">
        <v>1556</v>
      </c>
      <c r="K5" t="s">
        <v>1557</v>
      </c>
      <c r="M5" s="1" t="s">
        <v>1558</v>
      </c>
      <c r="N5" t="s">
        <v>1559</v>
      </c>
      <c r="O5" s="46">
        <f t="shared" si="3"/>
        <v>0</v>
      </c>
      <c r="P5" s="43"/>
      <c r="Q5" s="43"/>
      <c r="R5" s="43"/>
      <c r="S5" s="43"/>
      <c r="T5" s="43"/>
      <c r="U5" s="43"/>
      <c r="V5" s="43"/>
      <c r="W5" s="43"/>
      <c r="X5" s="43"/>
      <c r="Y5" s="43"/>
      <c r="Z5" s="43"/>
      <c r="AA5" s="43"/>
      <c r="AB5" s="46">
        <f t="shared" si="4"/>
        <v>0</v>
      </c>
      <c r="AC5" s="44"/>
      <c r="AD5" s="44"/>
      <c r="AE5" s="44"/>
      <c r="AF5" s="44"/>
      <c r="AG5" s="44"/>
      <c r="AH5" s="44"/>
      <c r="AI5" s="44"/>
      <c r="AJ5" s="44"/>
      <c r="AK5" s="44"/>
      <c r="AL5" s="44"/>
      <c r="AM5" s="44"/>
      <c r="AN5" s="44"/>
      <c r="AO5" s="46">
        <f t="shared" si="0"/>
        <v>0</v>
      </c>
      <c r="AP5" s="43"/>
      <c r="AQ5" s="43"/>
      <c r="AR5" s="43"/>
      <c r="AS5" s="43"/>
      <c r="AT5" s="43"/>
      <c r="AU5" s="43"/>
      <c r="AV5" s="43"/>
      <c r="AW5" s="43"/>
      <c r="AX5" s="43"/>
      <c r="AY5" s="43"/>
      <c r="AZ5" s="43"/>
      <c r="BA5" s="43"/>
      <c r="BB5" s="46">
        <f t="shared" si="1"/>
        <v>0</v>
      </c>
      <c r="BC5" s="44"/>
      <c r="BD5" s="44"/>
      <c r="BE5" s="44"/>
      <c r="BF5" s="44"/>
      <c r="BG5" s="44"/>
      <c r="BH5" s="44"/>
      <c r="BI5" s="44"/>
      <c r="BJ5" s="44"/>
      <c r="BK5" s="44"/>
      <c r="BL5" s="44"/>
      <c r="BM5" s="44"/>
      <c r="BN5" s="44"/>
      <c r="BO5" s="46">
        <f t="shared" si="2"/>
        <v>0</v>
      </c>
      <c r="BP5" s="43"/>
      <c r="BQ5" s="43"/>
      <c r="BR5" s="43"/>
      <c r="BS5" s="43"/>
      <c r="BT5" s="43"/>
      <c r="BU5" s="43"/>
      <c r="BV5" s="43"/>
      <c r="BW5" s="43"/>
      <c r="BX5" s="43"/>
      <c r="BY5" s="43"/>
      <c r="BZ5" s="43"/>
      <c r="CA5" s="43"/>
    </row>
    <row r="6" spans="1:79">
      <c r="A6">
        <v>5</v>
      </c>
      <c r="B6">
        <v>1</v>
      </c>
      <c r="C6" t="s">
        <v>1532</v>
      </c>
      <c r="D6" t="s">
        <v>1533</v>
      </c>
      <c r="E6" t="s">
        <v>1534</v>
      </c>
      <c r="F6" t="s">
        <v>1535</v>
      </c>
      <c r="G6" t="s">
        <v>1560</v>
      </c>
      <c r="H6" t="s">
        <v>1560</v>
      </c>
      <c r="J6" t="s">
        <v>1561</v>
      </c>
      <c r="K6" t="s">
        <v>1562</v>
      </c>
      <c r="L6" t="s">
        <v>1539</v>
      </c>
      <c r="M6" s="1" t="s">
        <v>1563</v>
      </c>
      <c r="N6" t="s">
        <v>1564</v>
      </c>
      <c r="O6" s="46">
        <f t="shared" si="3"/>
        <v>0</v>
      </c>
      <c r="P6" s="43" t="s">
        <v>1542</v>
      </c>
      <c r="Q6" s="43" t="s">
        <v>1542</v>
      </c>
      <c r="R6" s="43" t="s">
        <v>1542</v>
      </c>
      <c r="S6" s="43" t="s">
        <v>1542</v>
      </c>
      <c r="T6" s="43" t="s">
        <v>1542</v>
      </c>
      <c r="U6" s="43" t="s">
        <v>1542</v>
      </c>
      <c r="V6" s="43" t="s">
        <v>1542</v>
      </c>
      <c r="W6" s="43" t="s">
        <v>1542</v>
      </c>
      <c r="X6" s="43" t="s">
        <v>1542</v>
      </c>
      <c r="Y6" s="43" t="s">
        <v>1542</v>
      </c>
      <c r="Z6" s="43" t="s">
        <v>1542</v>
      </c>
      <c r="AA6" s="43" t="s">
        <v>1542</v>
      </c>
      <c r="AB6" s="46">
        <f t="shared" si="4"/>
        <v>0</v>
      </c>
      <c r="AC6" s="44" t="s">
        <v>1542</v>
      </c>
      <c r="AD6" s="44" t="s">
        <v>1542</v>
      </c>
      <c r="AE6" s="44" t="s">
        <v>1542</v>
      </c>
      <c r="AF6" s="44" t="s">
        <v>1542</v>
      </c>
      <c r="AG6" s="44" t="s">
        <v>1542</v>
      </c>
      <c r="AH6" s="44" t="s">
        <v>1542</v>
      </c>
      <c r="AI6" s="44" t="s">
        <v>1542</v>
      </c>
      <c r="AJ6" s="44" t="s">
        <v>1542</v>
      </c>
      <c r="AK6" s="44" t="s">
        <v>1542</v>
      </c>
      <c r="AL6" s="44" t="s">
        <v>1542</v>
      </c>
      <c r="AM6" s="44" t="s">
        <v>1542</v>
      </c>
      <c r="AN6" s="44" t="s">
        <v>1542</v>
      </c>
      <c r="AO6" s="46">
        <f t="shared" si="0"/>
        <v>0</v>
      </c>
      <c r="AP6" s="43" t="s">
        <v>1542</v>
      </c>
      <c r="AQ6" s="43" t="s">
        <v>1542</v>
      </c>
      <c r="AR6" s="43" t="s">
        <v>1542</v>
      </c>
      <c r="AS6" s="43" t="s">
        <v>1542</v>
      </c>
      <c r="AT6" s="43" t="s">
        <v>1542</v>
      </c>
      <c r="AU6" s="43" t="s">
        <v>1542</v>
      </c>
      <c r="AV6" s="43" t="s">
        <v>1542</v>
      </c>
      <c r="AW6" s="43" t="s">
        <v>1542</v>
      </c>
      <c r="AX6" s="43" t="s">
        <v>1554</v>
      </c>
      <c r="AY6" s="43" t="s">
        <v>1542</v>
      </c>
      <c r="AZ6" s="43" t="s">
        <v>1542</v>
      </c>
      <c r="BA6" s="43" t="s">
        <v>1542</v>
      </c>
      <c r="BB6" s="46">
        <f t="shared" si="1"/>
        <v>1</v>
      </c>
      <c r="BC6" s="44" t="s">
        <v>1542</v>
      </c>
      <c r="BD6" s="44" t="s">
        <v>1542</v>
      </c>
      <c r="BE6" s="44" t="s">
        <v>1542</v>
      </c>
      <c r="BF6" s="44" t="s">
        <v>1542</v>
      </c>
      <c r="BG6" s="44" t="s">
        <v>1542</v>
      </c>
      <c r="BH6" s="44" t="s">
        <v>1542</v>
      </c>
      <c r="BI6" s="44" t="s">
        <v>1542</v>
      </c>
      <c r="BJ6" s="44" t="s">
        <v>1542</v>
      </c>
      <c r="BK6" s="44" t="s">
        <v>1542</v>
      </c>
      <c r="BL6" s="44" t="s">
        <v>1542</v>
      </c>
      <c r="BM6" s="44" t="s">
        <v>1542</v>
      </c>
      <c r="BN6" s="44" t="s">
        <v>1542</v>
      </c>
      <c r="BO6" s="46">
        <f t="shared" si="2"/>
        <v>0</v>
      </c>
      <c r="BP6" s="43" t="s">
        <v>1542</v>
      </c>
      <c r="BQ6" s="43" t="s">
        <v>1542</v>
      </c>
      <c r="BR6" s="43" t="s">
        <v>1542</v>
      </c>
      <c r="BS6" s="43" t="s">
        <v>1542</v>
      </c>
      <c r="BT6" s="43" t="s">
        <v>1542</v>
      </c>
      <c r="BU6" s="43" t="s">
        <v>1542</v>
      </c>
      <c r="BV6" s="43" t="s">
        <v>1542</v>
      </c>
      <c r="BW6" s="43" t="s">
        <v>1542</v>
      </c>
      <c r="BX6" s="43" t="s">
        <v>1542</v>
      </c>
      <c r="BY6" s="43" t="s">
        <v>1542</v>
      </c>
      <c r="BZ6" s="43" t="s">
        <v>1542</v>
      </c>
      <c r="CA6" s="43" t="s">
        <v>1542</v>
      </c>
    </row>
    <row r="7" spans="1:79">
      <c r="A7">
        <v>6</v>
      </c>
      <c r="B7">
        <v>1</v>
      </c>
      <c r="C7" t="s">
        <v>1532</v>
      </c>
      <c r="D7" t="s">
        <v>1533</v>
      </c>
      <c r="E7" t="s">
        <v>1534</v>
      </c>
      <c r="F7" t="s">
        <v>1535</v>
      </c>
      <c r="G7" t="s">
        <v>1565</v>
      </c>
      <c r="H7" t="s">
        <v>1565</v>
      </c>
      <c r="I7" t="s">
        <v>1566</v>
      </c>
      <c r="J7" t="s">
        <v>1567</v>
      </c>
      <c r="K7" t="s">
        <v>1568</v>
      </c>
      <c r="M7" s="1" t="s">
        <v>1569</v>
      </c>
      <c r="O7" s="46">
        <f t="shared" si="3"/>
        <v>0</v>
      </c>
      <c r="P7" s="43" t="s">
        <v>1542</v>
      </c>
      <c r="Q7" s="43" t="s">
        <v>1542</v>
      </c>
      <c r="R7" s="43" t="s">
        <v>1542</v>
      </c>
      <c r="S7" s="43" t="s">
        <v>1542</v>
      </c>
      <c r="T7" s="43" t="s">
        <v>1542</v>
      </c>
      <c r="U7" s="43" t="s">
        <v>1542</v>
      </c>
      <c r="V7" s="43" t="s">
        <v>1542</v>
      </c>
      <c r="W7" s="43" t="s">
        <v>1542</v>
      </c>
      <c r="X7" s="43" t="s">
        <v>1542</v>
      </c>
      <c r="Y7" s="43" t="s">
        <v>1542</v>
      </c>
      <c r="Z7" s="43" t="s">
        <v>1542</v>
      </c>
      <c r="AA7" s="43" t="s">
        <v>1542</v>
      </c>
      <c r="AB7" s="46">
        <f t="shared" si="4"/>
        <v>0</v>
      </c>
      <c r="AC7" s="44" t="s">
        <v>1542</v>
      </c>
      <c r="AD7" s="44" t="s">
        <v>1542</v>
      </c>
      <c r="AE7" s="44" t="s">
        <v>1542</v>
      </c>
      <c r="AF7" s="44" t="s">
        <v>1542</v>
      </c>
      <c r="AG7" s="44" t="s">
        <v>1542</v>
      </c>
      <c r="AH7" s="44" t="s">
        <v>1542</v>
      </c>
      <c r="AI7" s="44" t="s">
        <v>1542</v>
      </c>
      <c r="AJ7" s="44" t="s">
        <v>1542</v>
      </c>
      <c r="AK7" s="44" t="s">
        <v>1542</v>
      </c>
      <c r="AL7" s="44" t="s">
        <v>1542</v>
      </c>
      <c r="AM7" s="44" t="s">
        <v>1542</v>
      </c>
      <c r="AN7" s="44" t="s">
        <v>1542</v>
      </c>
      <c r="AO7" s="46">
        <f t="shared" si="0"/>
        <v>0</v>
      </c>
      <c r="AP7" s="43" t="s">
        <v>1542</v>
      </c>
      <c r="AQ7" s="43" t="s">
        <v>1542</v>
      </c>
      <c r="AR7" s="43" t="s">
        <v>1542</v>
      </c>
      <c r="AS7" s="43" t="s">
        <v>1542</v>
      </c>
      <c r="AT7" s="43" t="s">
        <v>1542</v>
      </c>
      <c r="AU7" s="43" t="s">
        <v>1542</v>
      </c>
      <c r="AV7" s="43" t="s">
        <v>1542</v>
      </c>
      <c r="AW7" s="43" t="s">
        <v>1542</v>
      </c>
      <c r="AX7" s="43" t="s">
        <v>1542</v>
      </c>
      <c r="AY7" s="43" t="s">
        <v>1542</v>
      </c>
      <c r="AZ7" s="43" t="s">
        <v>1542</v>
      </c>
      <c r="BA7" s="43" t="s">
        <v>1542</v>
      </c>
      <c r="BB7" s="46">
        <f t="shared" si="1"/>
        <v>0</v>
      </c>
      <c r="BC7" s="44" t="s">
        <v>1542</v>
      </c>
      <c r="BD7" s="44" t="s">
        <v>1542</v>
      </c>
      <c r="BE7" s="44" t="s">
        <v>1542</v>
      </c>
      <c r="BF7" s="44" t="s">
        <v>1542</v>
      </c>
      <c r="BG7" s="44" t="s">
        <v>1542</v>
      </c>
      <c r="BH7" s="44" t="s">
        <v>1542</v>
      </c>
      <c r="BI7" s="44" t="s">
        <v>1542</v>
      </c>
      <c r="BJ7" s="44" t="s">
        <v>1542</v>
      </c>
      <c r="BK7" s="44" t="s">
        <v>1542</v>
      </c>
      <c r="BL7" s="44" t="s">
        <v>1542</v>
      </c>
      <c r="BM7" s="44" t="s">
        <v>1542</v>
      </c>
      <c r="BN7" s="44" t="s">
        <v>1542</v>
      </c>
      <c r="BO7" s="46">
        <f t="shared" si="2"/>
        <v>0</v>
      </c>
      <c r="BP7" s="43" t="s">
        <v>1542</v>
      </c>
      <c r="BQ7" s="43" t="s">
        <v>1542</v>
      </c>
      <c r="BR7" s="43" t="s">
        <v>1542</v>
      </c>
      <c r="BS7" s="43" t="s">
        <v>1542</v>
      </c>
      <c r="BT7" s="43" t="s">
        <v>1542</v>
      </c>
      <c r="BU7" s="43" t="s">
        <v>1542</v>
      </c>
      <c r="BV7" s="43" t="s">
        <v>1542</v>
      </c>
      <c r="BW7" s="43" t="s">
        <v>1542</v>
      </c>
      <c r="BX7" s="43" t="s">
        <v>1542</v>
      </c>
      <c r="BY7" s="43" t="s">
        <v>1542</v>
      </c>
      <c r="BZ7" s="43" t="s">
        <v>1542</v>
      </c>
      <c r="CA7" s="43" t="s">
        <v>1542</v>
      </c>
    </row>
    <row r="8" spans="1:79">
      <c r="A8">
        <v>7</v>
      </c>
      <c r="B8">
        <v>1</v>
      </c>
      <c r="C8" t="s">
        <v>1532</v>
      </c>
      <c r="D8" t="s">
        <v>1533</v>
      </c>
      <c r="E8" t="s">
        <v>1534</v>
      </c>
      <c r="F8" t="s">
        <v>1535</v>
      </c>
      <c r="G8" t="s">
        <v>1570</v>
      </c>
      <c r="H8" t="s">
        <v>1570</v>
      </c>
      <c r="J8" t="s">
        <v>1571</v>
      </c>
      <c r="K8" t="s">
        <v>1572</v>
      </c>
      <c r="M8" s="1" t="s">
        <v>1573</v>
      </c>
      <c r="O8" s="46">
        <f t="shared" si="3"/>
        <v>0</v>
      </c>
      <c r="P8" s="43" t="s">
        <v>1542</v>
      </c>
      <c r="Q8" s="43" t="s">
        <v>1542</v>
      </c>
      <c r="R8" s="43" t="s">
        <v>1542</v>
      </c>
      <c r="S8" s="43" t="s">
        <v>1542</v>
      </c>
      <c r="T8" s="43" t="s">
        <v>1542</v>
      </c>
      <c r="U8" s="43" t="s">
        <v>1542</v>
      </c>
      <c r="V8" s="43" t="s">
        <v>1542</v>
      </c>
      <c r="W8" s="43" t="s">
        <v>1542</v>
      </c>
      <c r="X8" s="43" t="s">
        <v>1542</v>
      </c>
      <c r="Y8" s="43" t="s">
        <v>1542</v>
      </c>
      <c r="Z8" s="43" t="s">
        <v>1542</v>
      </c>
      <c r="AA8" s="43" t="s">
        <v>1542</v>
      </c>
      <c r="AB8" s="46">
        <f t="shared" si="4"/>
        <v>0</v>
      </c>
      <c r="AC8" s="44" t="s">
        <v>1542</v>
      </c>
      <c r="AD8" s="44" t="s">
        <v>1542</v>
      </c>
      <c r="AE8" s="44" t="s">
        <v>1542</v>
      </c>
      <c r="AF8" s="44" t="s">
        <v>1542</v>
      </c>
      <c r="AG8" s="44" t="s">
        <v>1542</v>
      </c>
      <c r="AH8" s="44" t="s">
        <v>1542</v>
      </c>
      <c r="AI8" s="44" t="s">
        <v>1542</v>
      </c>
      <c r="AJ8" s="44" t="s">
        <v>1542</v>
      </c>
      <c r="AK8" s="44" t="s">
        <v>1542</v>
      </c>
      <c r="AL8" s="44" t="s">
        <v>1542</v>
      </c>
      <c r="AM8" s="44" t="s">
        <v>1542</v>
      </c>
      <c r="AN8" s="44" t="s">
        <v>1542</v>
      </c>
      <c r="AO8" s="46">
        <f t="shared" si="0"/>
        <v>0</v>
      </c>
      <c r="AP8" s="43" t="s">
        <v>1542</v>
      </c>
      <c r="AQ8" s="43" t="s">
        <v>1542</v>
      </c>
      <c r="AR8" s="43" t="s">
        <v>1542</v>
      </c>
      <c r="AS8" s="43" t="s">
        <v>1542</v>
      </c>
      <c r="AT8" s="43" t="s">
        <v>1542</v>
      </c>
      <c r="AU8" s="43" t="s">
        <v>1542</v>
      </c>
      <c r="AV8" s="43" t="s">
        <v>1542</v>
      </c>
      <c r="AW8" s="43" t="s">
        <v>1542</v>
      </c>
      <c r="AX8" s="43" t="s">
        <v>1542</v>
      </c>
      <c r="AY8" s="43" t="s">
        <v>1542</v>
      </c>
      <c r="AZ8" s="43" t="s">
        <v>1542</v>
      </c>
      <c r="BA8" s="43" t="s">
        <v>1542</v>
      </c>
      <c r="BB8" s="46">
        <f t="shared" si="1"/>
        <v>0</v>
      </c>
      <c r="BC8" s="44" t="s">
        <v>1542</v>
      </c>
      <c r="BD8" s="44" t="s">
        <v>1542</v>
      </c>
      <c r="BE8" s="44" t="s">
        <v>1542</v>
      </c>
      <c r="BF8" s="44" t="s">
        <v>1542</v>
      </c>
      <c r="BG8" s="44" t="s">
        <v>1542</v>
      </c>
      <c r="BH8" s="44" t="s">
        <v>1542</v>
      </c>
      <c r="BI8" s="44" t="s">
        <v>1542</v>
      </c>
      <c r="BJ8" s="44" t="s">
        <v>1542</v>
      </c>
      <c r="BK8" s="44" t="s">
        <v>1542</v>
      </c>
      <c r="BL8" s="44" t="s">
        <v>1542</v>
      </c>
      <c r="BM8" s="44" t="s">
        <v>1542</v>
      </c>
      <c r="BN8" s="44" t="s">
        <v>1542</v>
      </c>
      <c r="BO8" s="46">
        <f t="shared" si="2"/>
        <v>0</v>
      </c>
      <c r="BP8" s="43" t="s">
        <v>1542</v>
      </c>
      <c r="BQ8" s="43" t="s">
        <v>1542</v>
      </c>
      <c r="BR8" s="43" t="s">
        <v>1542</v>
      </c>
      <c r="BS8" s="43" t="s">
        <v>1542</v>
      </c>
      <c r="BT8" s="43" t="s">
        <v>1542</v>
      </c>
      <c r="BU8" s="43" t="s">
        <v>1542</v>
      </c>
      <c r="BV8" s="43" t="s">
        <v>1542</v>
      </c>
      <c r="BW8" s="43" t="s">
        <v>1542</v>
      </c>
      <c r="BX8" s="43" t="s">
        <v>1542</v>
      </c>
      <c r="BY8" s="43" t="s">
        <v>1542</v>
      </c>
      <c r="BZ8" s="43" t="s">
        <v>1542</v>
      </c>
      <c r="CA8" s="43" t="s">
        <v>1542</v>
      </c>
    </row>
    <row r="9" spans="1:79">
      <c r="A9">
        <v>8</v>
      </c>
      <c r="B9">
        <v>1</v>
      </c>
      <c r="C9" t="s">
        <v>1532</v>
      </c>
      <c r="D9" t="s">
        <v>1533</v>
      </c>
      <c r="E9" t="s">
        <v>1534</v>
      </c>
      <c r="F9" t="s">
        <v>1535</v>
      </c>
      <c r="G9" t="s">
        <v>1574</v>
      </c>
      <c r="H9" t="s">
        <v>1574</v>
      </c>
      <c r="J9" t="s">
        <v>1575</v>
      </c>
      <c r="K9" t="s">
        <v>1576</v>
      </c>
      <c r="M9" s="1" t="s">
        <v>1577</v>
      </c>
      <c r="N9" t="s">
        <v>1578</v>
      </c>
      <c r="O9" s="46">
        <f t="shared" si="3"/>
        <v>0</v>
      </c>
      <c r="P9" s="43" t="s">
        <v>1542</v>
      </c>
      <c r="Q9" s="43" t="s">
        <v>1542</v>
      </c>
      <c r="R9" s="43" t="s">
        <v>1542</v>
      </c>
      <c r="S9" s="43" t="s">
        <v>1542</v>
      </c>
      <c r="T9" s="43" t="s">
        <v>1542</v>
      </c>
      <c r="U9" s="43" t="s">
        <v>1542</v>
      </c>
      <c r="V9" s="43" t="s">
        <v>1542</v>
      </c>
      <c r="W9" s="43" t="s">
        <v>1542</v>
      </c>
      <c r="X9" s="43" t="s">
        <v>1542</v>
      </c>
      <c r="Y9" s="43" t="s">
        <v>1542</v>
      </c>
      <c r="Z9" s="43" t="s">
        <v>1542</v>
      </c>
      <c r="AA9" s="43" t="s">
        <v>1542</v>
      </c>
      <c r="AB9" s="46">
        <f t="shared" si="4"/>
        <v>2</v>
      </c>
      <c r="AC9" s="44" t="s">
        <v>1542</v>
      </c>
      <c r="AD9" s="44" t="s">
        <v>1542</v>
      </c>
      <c r="AE9" s="44" t="s">
        <v>1542</v>
      </c>
      <c r="AF9" s="44" t="s">
        <v>1554</v>
      </c>
      <c r="AG9" s="44" t="s">
        <v>1554</v>
      </c>
      <c r="AH9" s="44" t="s">
        <v>1542</v>
      </c>
      <c r="AI9" s="44" t="s">
        <v>1542</v>
      </c>
      <c r="AJ9" s="44" t="s">
        <v>1542</v>
      </c>
      <c r="AK9" s="44" t="s">
        <v>1542</v>
      </c>
      <c r="AL9" s="44" t="s">
        <v>1542</v>
      </c>
      <c r="AM9" s="44" t="s">
        <v>1542</v>
      </c>
      <c r="AN9" s="44" t="s">
        <v>1542</v>
      </c>
      <c r="AO9" s="46">
        <f t="shared" si="0"/>
        <v>2</v>
      </c>
      <c r="AP9" s="43" t="s">
        <v>1542</v>
      </c>
      <c r="AQ9" s="43" t="s">
        <v>1542</v>
      </c>
      <c r="AR9" s="43" t="s">
        <v>1542</v>
      </c>
      <c r="AS9" s="43" t="s">
        <v>1542</v>
      </c>
      <c r="AT9" s="43" t="s">
        <v>1542</v>
      </c>
      <c r="AU9" s="43" t="s">
        <v>1542</v>
      </c>
      <c r="AV9" s="43" t="s">
        <v>1542</v>
      </c>
      <c r="AW9" s="43" t="s">
        <v>1542</v>
      </c>
      <c r="AX9" s="43" t="s">
        <v>1542</v>
      </c>
      <c r="AY9" s="43" t="s">
        <v>1542</v>
      </c>
      <c r="AZ9" s="43" t="s">
        <v>1542</v>
      </c>
      <c r="BA9" s="43" t="s">
        <v>1542</v>
      </c>
      <c r="BB9" s="46">
        <f t="shared" si="1"/>
        <v>0</v>
      </c>
      <c r="BC9" s="44" t="s">
        <v>1542</v>
      </c>
      <c r="BD9" s="44" t="s">
        <v>1542</v>
      </c>
      <c r="BE9" s="44" t="s">
        <v>1542</v>
      </c>
      <c r="BF9" s="44" t="s">
        <v>1542</v>
      </c>
      <c r="BG9" s="44" t="s">
        <v>1542</v>
      </c>
      <c r="BH9" s="44" t="s">
        <v>1542</v>
      </c>
      <c r="BI9" s="44" t="s">
        <v>1542</v>
      </c>
      <c r="BJ9" s="44" t="s">
        <v>1542</v>
      </c>
      <c r="BK9" s="44" t="s">
        <v>1542</v>
      </c>
      <c r="BL9" s="44" t="s">
        <v>1542</v>
      </c>
      <c r="BM9" s="44" t="s">
        <v>1542</v>
      </c>
      <c r="BN9" s="44" t="s">
        <v>1542</v>
      </c>
      <c r="BO9" s="46">
        <f t="shared" si="2"/>
        <v>0</v>
      </c>
      <c r="BP9" s="43" t="s">
        <v>1542</v>
      </c>
      <c r="BQ9" s="43" t="s">
        <v>1542</v>
      </c>
      <c r="BR9" s="43" t="s">
        <v>1542</v>
      </c>
      <c r="BS9" s="43" t="s">
        <v>1542</v>
      </c>
      <c r="BT9" s="43" t="s">
        <v>1542</v>
      </c>
      <c r="BU9" s="43" t="s">
        <v>1542</v>
      </c>
      <c r="BV9" s="43" t="s">
        <v>1542</v>
      </c>
      <c r="BW9" s="43" t="s">
        <v>1542</v>
      </c>
      <c r="BX9" s="43" t="s">
        <v>1542</v>
      </c>
      <c r="BY9" s="43" t="s">
        <v>1542</v>
      </c>
      <c r="BZ9" s="43" t="s">
        <v>1542</v>
      </c>
      <c r="CA9" s="43" t="s">
        <v>1542</v>
      </c>
    </row>
    <row r="10" spans="1:79">
      <c r="A10">
        <v>9</v>
      </c>
      <c r="C10" t="s">
        <v>1532</v>
      </c>
      <c r="D10" t="s">
        <v>1533</v>
      </c>
      <c r="E10" t="s">
        <v>1534</v>
      </c>
      <c r="F10" t="s">
        <v>1535</v>
      </c>
      <c r="G10" t="s">
        <v>1574</v>
      </c>
      <c r="H10" t="s">
        <v>1579</v>
      </c>
      <c r="I10" t="s">
        <v>1579</v>
      </c>
      <c r="J10" t="s">
        <v>1575</v>
      </c>
      <c r="K10" t="s">
        <v>1576</v>
      </c>
      <c r="M10" s="1" t="s">
        <v>1580</v>
      </c>
      <c r="N10" t="s">
        <v>1581</v>
      </c>
      <c r="O10" s="46">
        <f t="shared" si="3"/>
        <v>0</v>
      </c>
      <c r="P10" s="43"/>
      <c r="Q10" s="43"/>
      <c r="R10" s="43"/>
      <c r="S10" s="43"/>
      <c r="T10" s="43"/>
      <c r="U10" s="43"/>
      <c r="V10" s="43"/>
      <c r="W10" s="43"/>
      <c r="X10" s="43"/>
      <c r="Y10" s="43"/>
      <c r="Z10" s="43"/>
      <c r="AA10" s="43"/>
      <c r="AB10" s="46">
        <f t="shared" si="4"/>
        <v>4</v>
      </c>
      <c r="AC10" s="44"/>
      <c r="AD10" s="44"/>
      <c r="AE10" s="44"/>
      <c r="AF10" s="44" t="s">
        <v>1554</v>
      </c>
      <c r="AG10" s="44" t="s">
        <v>1554</v>
      </c>
      <c r="AH10" s="44" t="s">
        <v>1554</v>
      </c>
      <c r="AI10" s="44" t="s">
        <v>1554</v>
      </c>
      <c r="AJ10" s="44"/>
      <c r="AK10" s="44"/>
      <c r="AL10" s="44"/>
      <c r="AM10" s="44"/>
      <c r="AN10" s="44"/>
      <c r="AO10" s="46">
        <f t="shared" si="0"/>
        <v>4</v>
      </c>
      <c r="AP10" s="43"/>
      <c r="AQ10" s="43"/>
      <c r="AR10" s="43"/>
      <c r="AS10" s="43"/>
      <c r="AT10" s="43"/>
      <c r="AU10" s="43"/>
      <c r="AV10" s="43"/>
      <c r="AW10" s="43"/>
      <c r="AX10" s="43"/>
      <c r="AY10" s="43"/>
      <c r="AZ10" s="43"/>
      <c r="BA10" s="43"/>
      <c r="BB10" s="46">
        <f t="shared" si="1"/>
        <v>0</v>
      </c>
      <c r="BC10" s="44"/>
      <c r="BD10" s="44"/>
      <c r="BE10" s="44"/>
      <c r="BF10" s="44"/>
      <c r="BG10" s="44"/>
      <c r="BH10" s="44"/>
      <c r="BI10" s="44"/>
      <c r="BJ10" s="44"/>
      <c r="BK10" s="44"/>
      <c r="BL10" s="44"/>
      <c r="BM10" s="44"/>
      <c r="BN10" s="44"/>
      <c r="BO10" s="46">
        <f t="shared" si="2"/>
        <v>0</v>
      </c>
      <c r="BP10" s="43"/>
      <c r="BQ10" s="43"/>
      <c r="BR10" s="43"/>
      <c r="BS10" s="43"/>
      <c r="BT10" s="43"/>
      <c r="BU10" s="43"/>
      <c r="BV10" s="43"/>
      <c r="BW10" s="43"/>
      <c r="BX10" s="43"/>
      <c r="BY10" s="43"/>
      <c r="BZ10" s="43"/>
      <c r="CA10" s="43"/>
    </row>
    <row r="11" spans="1:79">
      <c r="A11">
        <v>10</v>
      </c>
      <c r="B11">
        <v>1</v>
      </c>
      <c r="C11" t="s">
        <v>1532</v>
      </c>
      <c r="D11" t="s">
        <v>1533</v>
      </c>
      <c r="E11" t="s">
        <v>1534</v>
      </c>
      <c r="F11" t="s">
        <v>1535</v>
      </c>
      <c r="G11" t="s">
        <v>1582</v>
      </c>
      <c r="H11" t="s">
        <v>1582</v>
      </c>
      <c r="I11" t="s">
        <v>1583</v>
      </c>
      <c r="J11" t="s">
        <v>1584</v>
      </c>
      <c r="K11" t="s">
        <v>1585</v>
      </c>
      <c r="M11" s="1" t="s">
        <v>1586</v>
      </c>
      <c r="O11" s="46">
        <f t="shared" si="3"/>
        <v>0</v>
      </c>
      <c r="P11" s="43" t="s">
        <v>1542</v>
      </c>
      <c r="Q11" s="43" t="s">
        <v>1542</v>
      </c>
      <c r="R11" s="43" t="s">
        <v>1542</v>
      </c>
      <c r="S11" s="43" t="s">
        <v>1542</v>
      </c>
      <c r="T11" s="43" t="s">
        <v>1542</v>
      </c>
      <c r="U11" s="43" t="s">
        <v>1542</v>
      </c>
      <c r="V11" s="43" t="s">
        <v>1542</v>
      </c>
      <c r="W11" s="43" t="s">
        <v>1542</v>
      </c>
      <c r="X11" s="43" t="s">
        <v>1542</v>
      </c>
      <c r="Y11" s="43" t="s">
        <v>1542</v>
      </c>
      <c r="Z11" s="43" t="s">
        <v>1542</v>
      </c>
      <c r="AA11" s="43" t="s">
        <v>1542</v>
      </c>
      <c r="AB11" s="46">
        <f t="shared" si="4"/>
        <v>0</v>
      </c>
      <c r="AC11" s="44" t="s">
        <v>1542</v>
      </c>
      <c r="AD11" s="44" t="s">
        <v>1542</v>
      </c>
      <c r="AE11" s="44" t="s">
        <v>1542</v>
      </c>
      <c r="AF11" s="44" t="s">
        <v>1542</v>
      </c>
      <c r="AG11" s="44" t="s">
        <v>1542</v>
      </c>
      <c r="AH11" s="44" t="s">
        <v>1542</v>
      </c>
      <c r="AI11" s="44" t="s">
        <v>1542</v>
      </c>
      <c r="AJ11" s="44" t="s">
        <v>1542</v>
      </c>
      <c r="AK11" s="44" t="s">
        <v>1542</v>
      </c>
      <c r="AL11" s="44" t="s">
        <v>1542</v>
      </c>
      <c r="AM11" s="44" t="s">
        <v>1542</v>
      </c>
      <c r="AN11" s="44" t="s">
        <v>1542</v>
      </c>
      <c r="AO11" s="46">
        <f t="shared" si="0"/>
        <v>0</v>
      </c>
      <c r="AP11" s="43" t="s">
        <v>1542</v>
      </c>
      <c r="AQ11" s="43" t="s">
        <v>1542</v>
      </c>
      <c r="AR11" s="43" t="s">
        <v>1542</v>
      </c>
      <c r="AS11" s="43" t="s">
        <v>1542</v>
      </c>
      <c r="AT11" s="43" t="s">
        <v>1542</v>
      </c>
      <c r="AU11" s="43" t="s">
        <v>1542</v>
      </c>
      <c r="AV11" s="43" t="s">
        <v>1542</v>
      </c>
      <c r="AW11" s="43" t="s">
        <v>1542</v>
      </c>
      <c r="AX11" s="43" t="s">
        <v>1542</v>
      </c>
      <c r="AY11" s="43" t="s">
        <v>1542</v>
      </c>
      <c r="AZ11" s="43" t="s">
        <v>1542</v>
      </c>
      <c r="BA11" s="43" t="s">
        <v>1542</v>
      </c>
      <c r="BB11" s="46">
        <f t="shared" si="1"/>
        <v>0</v>
      </c>
      <c r="BC11" s="44" t="s">
        <v>1542</v>
      </c>
      <c r="BD11" s="44" t="s">
        <v>1542</v>
      </c>
      <c r="BE11" s="44" t="s">
        <v>1542</v>
      </c>
      <c r="BF11" s="44" t="s">
        <v>1542</v>
      </c>
      <c r="BG11" s="44" t="s">
        <v>1542</v>
      </c>
      <c r="BH11" s="44" t="s">
        <v>1542</v>
      </c>
      <c r="BI11" s="44" t="s">
        <v>1542</v>
      </c>
      <c r="BJ11" s="44" t="s">
        <v>1542</v>
      </c>
      <c r="BK11" s="44" t="s">
        <v>1542</v>
      </c>
      <c r="BL11" s="44" t="s">
        <v>1542</v>
      </c>
      <c r="BM11" s="44" t="s">
        <v>1542</v>
      </c>
      <c r="BN11" s="44" t="s">
        <v>1542</v>
      </c>
      <c r="BO11" s="46">
        <f t="shared" si="2"/>
        <v>0</v>
      </c>
      <c r="BP11" s="43" t="s">
        <v>1542</v>
      </c>
      <c r="BQ11" s="43" t="s">
        <v>1542</v>
      </c>
      <c r="BR11" s="43" t="s">
        <v>1542</v>
      </c>
      <c r="BS11" s="43" t="s">
        <v>1542</v>
      </c>
      <c r="BT11" s="43" t="s">
        <v>1542</v>
      </c>
      <c r="BU11" s="43" t="s">
        <v>1542</v>
      </c>
      <c r="BV11" s="43" t="s">
        <v>1542</v>
      </c>
      <c r="BW11" s="43" t="s">
        <v>1542</v>
      </c>
      <c r="BX11" s="43" t="s">
        <v>1542</v>
      </c>
      <c r="BY11" s="43" t="s">
        <v>1542</v>
      </c>
      <c r="BZ11" s="43" t="s">
        <v>1542</v>
      </c>
      <c r="CA11" s="43" t="s">
        <v>1542</v>
      </c>
    </row>
    <row r="12" spans="1:79">
      <c r="A12">
        <v>11</v>
      </c>
      <c r="B12">
        <v>1</v>
      </c>
      <c r="C12" t="s">
        <v>1532</v>
      </c>
      <c r="D12" t="s">
        <v>1533</v>
      </c>
      <c r="E12" t="s">
        <v>1534</v>
      </c>
      <c r="F12" t="s">
        <v>1535</v>
      </c>
      <c r="G12" t="s">
        <v>1587</v>
      </c>
      <c r="H12" t="s">
        <v>1587</v>
      </c>
      <c r="J12" t="s">
        <v>1588</v>
      </c>
      <c r="K12" t="s">
        <v>1589</v>
      </c>
      <c r="M12" s="1" t="s">
        <v>1590</v>
      </c>
      <c r="O12" s="46">
        <f t="shared" si="3"/>
        <v>0</v>
      </c>
      <c r="P12" s="43" t="s">
        <v>1542</v>
      </c>
      <c r="Q12" s="43" t="s">
        <v>1542</v>
      </c>
      <c r="R12" s="43" t="s">
        <v>1542</v>
      </c>
      <c r="S12" s="43" t="s">
        <v>1542</v>
      </c>
      <c r="T12" s="43" t="s">
        <v>1542</v>
      </c>
      <c r="U12" s="43" t="s">
        <v>1542</v>
      </c>
      <c r="V12" s="43" t="s">
        <v>1542</v>
      </c>
      <c r="W12" s="43" t="s">
        <v>1542</v>
      </c>
      <c r="X12" s="43" t="s">
        <v>1542</v>
      </c>
      <c r="Y12" s="43" t="s">
        <v>1542</v>
      </c>
      <c r="Z12" s="43" t="s">
        <v>1542</v>
      </c>
      <c r="AA12" s="43" t="s">
        <v>1542</v>
      </c>
      <c r="AB12" s="46">
        <f t="shared" si="4"/>
        <v>0</v>
      </c>
      <c r="AC12" s="44" t="s">
        <v>1542</v>
      </c>
      <c r="AD12" s="44" t="s">
        <v>1542</v>
      </c>
      <c r="AE12" s="44" t="s">
        <v>1542</v>
      </c>
      <c r="AF12" s="44" t="s">
        <v>1542</v>
      </c>
      <c r="AG12" s="44" t="s">
        <v>1542</v>
      </c>
      <c r="AH12" s="44" t="s">
        <v>1542</v>
      </c>
      <c r="AI12" s="44" t="s">
        <v>1542</v>
      </c>
      <c r="AJ12" s="44" t="s">
        <v>1542</v>
      </c>
      <c r="AK12" s="44" t="s">
        <v>1542</v>
      </c>
      <c r="AL12" s="44" t="s">
        <v>1542</v>
      </c>
      <c r="AM12" s="44" t="s">
        <v>1542</v>
      </c>
      <c r="AN12" s="44" t="s">
        <v>1542</v>
      </c>
      <c r="AO12" s="46">
        <f t="shared" si="0"/>
        <v>0</v>
      </c>
      <c r="AP12" s="43" t="s">
        <v>1542</v>
      </c>
      <c r="AQ12" s="43" t="s">
        <v>1542</v>
      </c>
      <c r="AR12" s="43" t="s">
        <v>1542</v>
      </c>
      <c r="AS12" s="43" t="s">
        <v>1542</v>
      </c>
      <c r="AT12" s="43" t="s">
        <v>1542</v>
      </c>
      <c r="AU12" s="43" t="s">
        <v>1542</v>
      </c>
      <c r="AV12" s="43" t="s">
        <v>1542</v>
      </c>
      <c r="AW12" s="43" t="s">
        <v>1542</v>
      </c>
      <c r="AX12" s="43" t="s">
        <v>1542</v>
      </c>
      <c r="AY12" s="43" t="s">
        <v>1542</v>
      </c>
      <c r="AZ12" s="43" t="s">
        <v>1542</v>
      </c>
      <c r="BA12" s="43" t="s">
        <v>1542</v>
      </c>
      <c r="BB12" s="46">
        <f t="shared" si="1"/>
        <v>0</v>
      </c>
      <c r="BC12" s="44" t="s">
        <v>1542</v>
      </c>
      <c r="BD12" s="44" t="s">
        <v>1542</v>
      </c>
      <c r="BE12" s="44" t="s">
        <v>1542</v>
      </c>
      <c r="BF12" s="44" t="s">
        <v>1542</v>
      </c>
      <c r="BG12" s="44" t="s">
        <v>1542</v>
      </c>
      <c r="BH12" s="44" t="s">
        <v>1542</v>
      </c>
      <c r="BI12" s="44" t="s">
        <v>1542</v>
      </c>
      <c r="BJ12" s="44" t="s">
        <v>1542</v>
      </c>
      <c r="BK12" s="44" t="s">
        <v>1542</v>
      </c>
      <c r="BL12" s="44" t="s">
        <v>1542</v>
      </c>
      <c r="BM12" s="44" t="s">
        <v>1542</v>
      </c>
      <c r="BN12" s="44" t="s">
        <v>1542</v>
      </c>
      <c r="BO12" s="46">
        <f t="shared" si="2"/>
        <v>0</v>
      </c>
      <c r="BP12" s="43" t="s">
        <v>1542</v>
      </c>
      <c r="BQ12" s="43" t="s">
        <v>1542</v>
      </c>
      <c r="BR12" s="43" t="s">
        <v>1542</v>
      </c>
      <c r="BS12" s="43" t="s">
        <v>1542</v>
      </c>
      <c r="BT12" s="43" t="s">
        <v>1542</v>
      </c>
      <c r="BU12" s="43" t="s">
        <v>1542</v>
      </c>
      <c r="BV12" s="43" t="s">
        <v>1542</v>
      </c>
      <c r="BW12" s="43" t="s">
        <v>1542</v>
      </c>
      <c r="BX12" s="43" t="s">
        <v>1542</v>
      </c>
      <c r="BY12" s="43" t="s">
        <v>1542</v>
      </c>
      <c r="BZ12" s="43" t="s">
        <v>1542</v>
      </c>
      <c r="CA12" s="43" t="s">
        <v>1542</v>
      </c>
    </row>
    <row r="13" spans="1:79">
      <c r="A13">
        <v>12</v>
      </c>
      <c r="B13">
        <v>1</v>
      </c>
      <c r="C13" t="s">
        <v>1532</v>
      </c>
      <c r="D13" t="s">
        <v>1533</v>
      </c>
      <c r="E13" t="s">
        <v>1534</v>
      </c>
      <c r="F13" t="s">
        <v>1535</v>
      </c>
      <c r="G13" t="s">
        <v>1591</v>
      </c>
      <c r="H13" t="s">
        <v>1591</v>
      </c>
      <c r="I13" t="s">
        <v>1592</v>
      </c>
      <c r="J13" t="s">
        <v>1593</v>
      </c>
      <c r="K13" t="s">
        <v>1594</v>
      </c>
      <c r="M13" s="1" t="s">
        <v>1595</v>
      </c>
      <c r="N13" t="s">
        <v>1596</v>
      </c>
      <c r="O13" s="46">
        <f t="shared" si="3"/>
        <v>0</v>
      </c>
      <c r="P13" s="43" t="s">
        <v>1542</v>
      </c>
      <c r="Q13" s="43" t="s">
        <v>1542</v>
      </c>
      <c r="R13" s="43" t="s">
        <v>1542</v>
      </c>
      <c r="S13" s="43" t="s">
        <v>1542</v>
      </c>
      <c r="T13" s="43" t="s">
        <v>1542</v>
      </c>
      <c r="U13" s="43" t="s">
        <v>1542</v>
      </c>
      <c r="V13" s="43" t="s">
        <v>1542</v>
      </c>
      <c r="W13" s="43" t="s">
        <v>1542</v>
      </c>
      <c r="X13" s="43" t="s">
        <v>1542</v>
      </c>
      <c r="Y13" s="43" t="s">
        <v>1542</v>
      </c>
      <c r="Z13" s="43" t="s">
        <v>1542</v>
      </c>
      <c r="AA13" s="43" t="s">
        <v>1542</v>
      </c>
      <c r="AB13" s="46">
        <f t="shared" si="4"/>
        <v>0</v>
      </c>
      <c r="AC13" s="44" t="s">
        <v>1542</v>
      </c>
      <c r="AD13" s="44" t="s">
        <v>1542</v>
      </c>
      <c r="AE13" s="44" t="s">
        <v>1542</v>
      </c>
      <c r="AF13" s="44" t="s">
        <v>1542</v>
      </c>
      <c r="AG13" s="44" t="s">
        <v>1542</v>
      </c>
      <c r="AH13" s="44" t="s">
        <v>1542</v>
      </c>
      <c r="AI13" s="44" t="s">
        <v>1542</v>
      </c>
      <c r="AJ13" s="44" t="s">
        <v>1542</v>
      </c>
      <c r="AK13" s="44" t="s">
        <v>1542</v>
      </c>
      <c r="AL13" s="44" t="s">
        <v>1542</v>
      </c>
      <c r="AM13" s="44" t="s">
        <v>1542</v>
      </c>
      <c r="AN13" s="44" t="s">
        <v>1542</v>
      </c>
      <c r="AO13" s="46">
        <f t="shared" si="0"/>
        <v>0</v>
      </c>
      <c r="AP13" s="43" t="s">
        <v>1542</v>
      </c>
      <c r="AQ13" s="43" t="s">
        <v>1542</v>
      </c>
      <c r="AR13" s="43" t="s">
        <v>1542</v>
      </c>
      <c r="AS13" s="43" t="s">
        <v>1542</v>
      </c>
      <c r="AT13" s="43" t="s">
        <v>1542</v>
      </c>
      <c r="AU13" s="43" t="s">
        <v>1542</v>
      </c>
      <c r="AV13" s="43" t="s">
        <v>1542</v>
      </c>
      <c r="AW13" s="43" t="s">
        <v>1542</v>
      </c>
      <c r="AX13" s="43" t="s">
        <v>1542</v>
      </c>
      <c r="AY13" s="43" t="s">
        <v>1542</v>
      </c>
      <c r="AZ13" s="43" t="s">
        <v>1542</v>
      </c>
      <c r="BA13" s="43" t="s">
        <v>1542</v>
      </c>
      <c r="BB13" s="46">
        <f t="shared" si="1"/>
        <v>0</v>
      </c>
      <c r="BC13" s="44" t="s">
        <v>1554</v>
      </c>
      <c r="BD13" s="44" t="s">
        <v>1554</v>
      </c>
      <c r="BE13" s="44" t="s">
        <v>1554</v>
      </c>
      <c r="BF13" s="44" t="s">
        <v>1554</v>
      </c>
      <c r="BG13" s="44" t="s">
        <v>1542</v>
      </c>
      <c r="BH13" s="44" t="s">
        <v>1542</v>
      </c>
      <c r="BI13" s="44" t="s">
        <v>1542</v>
      </c>
      <c r="BJ13" s="44" t="s">
        <v>1542</v>
      </c>
      <c r="BK13" s="44" t="s">
        <v>1542</v>
      </c>
      <c r="BL13" s="44" t="s">
        <v>1542</v>
      </c>
      <c r="BM13" s="44" t="s">
        <v>1542</v>
      </c>
      <c r="BN13" s="44" t="s">
        <v>1542</v>
      </c>
      <c r="BO13" s="46">
        <f t="shared" si="2"/>
        <v>4</v>
      </c>
      <c r="BP13" s="43" t="s">
        <v>1542</v>
      </c>
      <c r="BQ13" s="43" t="s">
        <v>1542</v>
      </c>
      <c r="BR13" s="43" t="s">
        <v>1542</v>
      </c>
      <c r="BS13" s="43" t="s">
        <v>1542</v>
      </c>
      <c r="BT13" s="43" t="s">
        <v>1542</v>
      </c>
      <c r="BU13" s="43" t="s">
        <v>1542</v>
      </c>
      <c r="BV13" s="43" t="s">
        <v>1542</v>
      </c>
      <c r="BW13" s="43" t="s">
        <v>1542</v>
      </c>
      <c r="BX13" s="43" t="s">
        <v>1542</v>
      </c>
      <c r="BY13" s="43" t="s">
        <v>1542</v>
      </c>
      <c r="BZ13" s="43" t="s">
        <v>1542</v>
      </c>
      <c r="CA13" s="43" t="s">
        <v>1542</v>
      </c>
    </row>
    <row r="14" spans="1:79">
      <c r="A14">
        <v>13</v>
      </c>
      <c r="B14">
        <v>1</v>
      </c>
      <c r="C14" t="s">
        <v>1532</v>
      </c>
      <c r="D14" t="s">
        <v>1533</v>
      </c>
      <c r="E14" t="s">
        <v>1534</v>
      </c>
      <c r="F14" t="s">
        <v>1535</v>
      </c>
      <c r="G14" t="s">
        <v>1597</v>
      </c>
      <c r="H14" t="s">
        <v>1597</v>
      </c>
      <c r="J14" t="s">
        <v>1598</v>
      </c>
      <c r="K14" t="s">
        <v>1599</v>
      </c>
      <c r="M14" s="1" t="s">
        <v>1600</v>
      </c>
      <c r="O14" s="46">
        <f t="shared" si="3"/>
        <v>0</v>
      </c>
      <c r="P14" s="43" t="s">
        <v>1542</v>
      </c>
      <c r="Q14" s="43" t="s">
        <v>1542</v>
      </c>
      <c r="R14" s="43" t="s">
        <v>1542</v>
      </c>
      <c r="S14" s="43" t="s">
        <v>1542</v>
      </c>
      <c r="T14" s="43" t="s">
        <v>1542</v>
      </c>
      <c r="U14" s="43" t="s">
        <v>1542</v>
      </c>
      <c r="V14" s="43" t="s">
        <v>1542</v>
      </c>
      <c r="W14" s="43" t="s">
        <v>1542</v>
      </c>
      <c r="X14" s="43" t="s">
        <v>1542</v>
      </c>
      <c r="Y14" s="43" t="s">
        <v>1542</v>
      </c>
      <c r="Z14" s="43" t="s">
        <v>1542</v>
      </c>
      <c r="AA14" s="43" t="s">
        <v>1542</v>
      </c>
      <c r="AB14" s="46">
        <f t="shared" si="4"/>
        <v>0</v>
      </c>
      <c r="AC14" s="44" t="s">
        <v>1542</v>
      </c>
      <c r="AD14" s="44" t="s">
        <v>1542</v>
      </c>
      <c r="AE14" s="44" t="s">
        <v>1542</v>
      </c>
      <c r="AF14" s="44" t="s">
        <v>1542</v>
      </c>
      <c r="AG14" s="44" t="s">
        <v>1542</v>
      </c>
      <c r="AH14" s="44" t="s">
        <v>1542</v>
      </c>
      <c r="AI14" s="44" t="s">
        <v>1542</v>
      </c>
      <c r="AJ14" s="44" t="s">
        <v>1542</v>
      </c>
      <c r="AK14" s="44" t="s">
        <v>1542</v>
      </c>
      <c r="AL14" s="44" t="s">
        <v>1542</v>
      </c>
      <c r="AM14" s="44" t="s">
        <v>1542</v>
      </c>
      <c r="AN14" s="44" t="s">
        <v>1542</v>
      </c>
      <c r="AO14" s="46">
        <f t="shared" si="0"/>
        <v>0</v>
      </c>
      <c r="AP14" s="43" t="s">
        <v>1542</v>
      </c>
      <c r="AQ14" s="43" t="s">
        <v>1542</v>
      </c>
      <c r="AR14" s="43" t="s">
        <v>1542</v>
      </c>
      <c r="AS14" s="43" t="s">
        <v>1542</v>
      </c>
      <c r="AT14" s="43" t="s">
        <v>1542</v>
      </c>
      <c r="AU14" s="43" t="s">
        <v>1542</v>
      </c>
      <c r="AV14" s="43" t="s">
        <v>1542</v>
      </c>
      <c r="AW14" s="43" t="s">
        <v>1542</v>
      </c>
      <c r="AX14" s="43" t="s">
        <v>1542</v>
      </c>
      <c r="AY14" s="43" t="s">
        <v>1542</v>
      </c>
      <c r="AZ14" s="43" t="s">
        <v>1542</v>
      </c>
      <c r="BA14" s="43" t="s">
        <v>1542</v>
      </c>
      <c r="BB14" s="46">
        <f t="shared" si="1"/>
        <v>0</v>
      </c>
      <c r="BC14" s="44" t="s">
        <v>1542</v>
      </c>
      <c r="BD14" s="44" t="s">
        <v>1542</v>
      </c>
      <c r="BE14" s="44" t="s">
        <v>1542</v>
      </c>
      <c r="BF14" s="44" t="s">
        <v>1542</v>
      </c>
      <c r="BG14" s="44" t="s">
        <v>1542</v>
      </c>
      <c r="BH14" s="44" t="s">
        <v>1542</v>
      </c>
      <c r="BI14" s="44" t="s">
        <v>1542</v>
      </c>
      <c r="BJ14" s="44" t="s">
        <v>1542</v>
      </c>
      <c r="BK14" s="44" t="s">
        <v>1542</v>
      </c>
      <c r="BL14" s="44" t="s">
        <v>1542</v>
      </c>
      <c r="BM14" s="44" t="s">
        <v>1542</v>
      </c>
      <c r="BN14" s="44" t="s">
        <v>1542</v>
      </c>
      <c r="BO14" s="46">
        <f t="shared" si="2"/>
        <v>0</v>
      </c>
      <c r="BP14" s="43" t="s">
        <v>1542</v>
      </c>
      <c r="BQ14" s="43" t="s">
        <v>1542</v>
      </c>
      <c r="BR14" s="43" t="s">
        <v>1542</v>
      </c>
      <c r="BS14" s="43" t="s">
        <v>1542</v>
      </c>
      <c r="BT14" s="43" t="s">
        <v>1542</v>
      </c>
      <c r="BU14" s="43" t="s">
        <v>1542</v>
      </c>
      <c r="BV14" s="43" t="s">
        <v>1542</v>
      </c>
      <c r="BW14" s="43" t="s">
        <v>1542</v>
      </c>
      <c r="BX14" s="43" t="s">
        <v>1542</v>
      </c>
      <c r="BY14" s="43" t="s">
        <v>1542</v>
      </c>
      <c r="BZ14" s="43" t="s">
        <v>1542</v>
      </c>
      <c r="CA14" s="43" t="s">
        <v>1542</v>
      </c>
    </row>
    <row r="15" spans="1:79">
      <c r="A15">
        <v>14</v>
      </c>
      <c r="B15">
        <v>1</v>
      </c>
      <c r="C15" t="s">
        <v>1532</v>
      </c>
      <c r="D15" t="s">
        <v>1533</v>
      </c>
      <c r="E15" t="s">
        <v>1534</v>
      </c>
      <c r="F15" t="s">
        <v>1535</v>
      </c>
      <c r="G15" t="s">
        <v>1601</v>
      </c>
      <c r="H15" t="s">
        <v>1601</v>
      </c>
      <c r="I15" t="s">
        <v>1602</v>
      </c>
      <c r="J15" t="s">
        <v>1603</v>
      </c>
      <c r="K15" t="s">
        <v>1604</v>
      </c>
      <c r="M15" s="1" t="s">
        <v>1605</v>
      </c>
      <c r="N15" t="s">
        <v>1606</v>
      </c>
      <c r="O15" s="46">
        <f t="shared" si="3"/>
        <v>3</v>
      </c>
      <c r="P15" s="43" t="s">
        <v>1554</v>
      </c>
      <c r="Q15" s="43" t="s">
        <v>1554</v>
      </c>
      <c r="R15" s="43" t="s">
        <v>1554</v>
      </c>
      <c r="S15" s="43" t="s">
        <v>1542</v>
      </c>
      <c r="T15" s="43" t="s">
        <v>1542</v>
      </c>
      <c r="U15" s="43" t="s">
        <v>1542</v>
      </c>
      <c r="V15" s="43" t="s">
        <v>1542</v>
      </c>
      <c r="W15" s="43" t="s">
        <v>1542</v>
      </c>
      <c r="X15" s="43" t="s">
        <v>1542</v>
      </c>
      <c r="Y15" s="43" t="s">
        <v>1542</v>
      </c>
      <c r="Z15" s="43" t="s">
        <v>1542</v>
      </c>
      <c r="AA15" s="43" t="s">
        <v>1542</v>
      </c>
      <c r="AB15" s="46">
        <f t="shared" si="4"/>
        <v>1</v>
      </c>
      <c r="AC15" s="44" t="s">
        <v>1542</v>
      </c>
      <c r="AD15" s="44" t="s">
        <v>1542</v>
      </c>
      <c r="AE15" s="44" t="s">
        <v>1542</v>
      </c>
      <c r="AF15" s="44" t="s">
        <v>1542</v>
      </c>
      <c r="AG15" s="44" t="s">
        <v>1542</v>
      </c>
      <c r="AH15" s="44" t="s">
        <v>1542</v>
      </c>
      <c r="AI15" s="44" t="s">
        <v>1542</v>
      </c>
      <c r="AJ15" s="44" t="s">
        <v>1542</v>
      </c>
      <c r="AK15" s="44" t="s">
        <v>1542</v>
      </c>
      <c r="AL15" s="44" t="s">
        <v>1542</v>
      </c>
      <c r="AM15" s="44" t="s">
        <v>1542</v>
      </c>
      <c r="AN15" s="44" t="s">
        <v>1554</v>
      </c>
      <c r="AO15" s="46">
        <f t="shared" si="0"/>
        <v>0</v>
      </c>
      <c r="AP15" s="43" t="s">
        <v>1542</v>
      </c>
      <c r="AQ15" s="43" t="s">
        <v>1542</v>
      </c>
      <c r="AR15" s="43" t="s">
        <v>1542</v>
      </c>
      <c r="AS15" s="43" t="s">
        <v>1542</v>
      </c>
      <c r="AT15" s="43" t="s">
        <v>1542</v>
      </c>
      <c r="AU15" s="43" t="s">
        <v>1542</v>
      </c>
      <c r="AV15" s="43" t="s">
        <v>1542</v>
      </c>
      <c r="AW15" s="43" t="s">
        <v>1542</v>
      </c>
      <c r="AX15" s="43" t="s">
        <v>1542</v>
      </c>
      <c r="AY15" s="43" t="s">
        <v>1542</v>
      </c>
      <c r="AZ15" s="43" t="s">
        <v>1542</v>
      </c>
      <c r="BA15" s="43" t="s">
        <v>1542</v>
      </c>
      <c r="BB15" s="46">
        <f t="shared" si="1"/>
        <v>0</v>
      </c>
      <c r="BC15" s="44" t="s">
        <v>1542</v>
      </c>
      <c r="BD15" s="44" t="s">
        <v>1542</v>
      </c>
      <c r="BE15" s="44" t="s">
        <v>1542</v>
      </c>
      <c r="BF15" s="44" t="s">
        <v>1542</v>
      </c>
      <c r="BG15" s="44" t="s">
        <v>1542</v>
      </c>
      <c r="BH15" s="44" t="s">
        <v>1542</v>
      </c>
      <c r="BI15" s="44" t="s">
        <v>1542</v>
      </c>
      <c r="BJ15" s="44" t="s">
        <v>1542</v>
      </c>
      <c r="BK15" s="44" t="s">
        <v>1542</v>
      </c>
      <c r="BL15" s="44" t="s">
        <v>1542</v>
      </c>
      <c r="BM15" s="44" t="s">
        <v>1542</v>
      </c>
      <c r="BN15" s="44" t="s">
        <v>1542</v>
      </c>
      <c r="BO15" s="46">
        <f t="shared" si="2"/>
        <v>0</v>
      </c>
      <c r="BP15" s="43" t="s">
        <v>1542</v>
      </c>
      <c r="BQ15" s="43" t="s">
        <v>1542</v>
      </c>
      <c r="BR15" s="43" t="s">
        <v>1542</v>
      </c>
      <c r="BS15" s="43" t="s">
        <v>1542</v>
      </c>
      <c r="BT15" s="43" t="s">
        <v>1542</v>
      </c>
      <c r="BU15" s="43" t="s">
        <v>1542</v>
      </c>
      <c r="BV15" s="43" t="s">
        <v>1542</v>
      </c>
      <c r="BW15" s="43" t="s">
        <v>1542</v>
      </c>
      <c r="BX15" s="43" t="s">
        <v>1542</v>
      </c>
      <c r="BY15" s="43" t="s">
        <v>1542</v>
      </c>
      <c r="BZ15" s="43" t="s">
        <v>1542</v>
      </c>
      <c r="CA15" s="43" t="s">
        <v>1542</v>
      </c>
    </row>
    <row r="16" spans="1:79">
      <c r="A16">
        <v>15</v>
      </c>
      <c r="B16">
        <v>1</v>
      </c>
      <c r="C16" t="s">
        <v>1532</v>
      </c>
      <c r="D16" t="s">
        <v>1533</v>
      </c>
      <c r="E16" t="s">
        <v>1534</v>
      </c>
      <c r="F16" t="s">
        <v>1535</v>
      </c>
      <c r="G16" t="s">
        <v>1607</v>
      </c>
      <c r="H16" t="s">
        <v>1607</v>
      </c>
      <c r="J16" t="s">
        <v>1608</v>
      </c>
      <c r="K16" t="s">
        <v>1609</v>
      </c>
      <c r="M16" s="1" t="s">
        <v>1610</v>
      </c>
      <c r="N16" t="s">
        <v>1611</v>
      </c>
      <c r="O16" s="46">
        <f t="shared" si="3"/>
        <v>0</v>
      </c>
      <c r="P16" s="43" t="s">
        <v>1542</v>
      </c>
      <c r="Q16" s="43" t="s">
        <v>1542</v>
      </c>
      <c r="R16" s="43" t="s">
        <v>1542</v>
      </c>
      <c r="S16" s="43" t="s">
        <v>1542</v>
      </c>
      <c r="T16" s="43" t="s">
        <v>1542</v>
      </c>
      <c r="U16" s="43" t="s">
        <v>1542</v>
      </c>
      <c r="V16" s="43" t="s">
        <v>1542</v>
      </c>
      <c r="W16" s="43" t="s">
        <v>1542</v>
      </c>
      <c r="X16" s="43" t="s">
        <v>1542</v>
      </c>
      <c r="Y16" s="43" t="s">
        <v>1542</v>
      </c>
      <c r="Z16" s="43" t="s">
        <v>1542</v>
      </c>
      <c r="AA16" s="43" t="s">
        <v>1542</v>
      </c>
      <c r="AB16" s="46">
        <f t="shared" si="4"/>
        <v>0</v>
      </c>
      <c r="AC16" s="44" t="s">
        <v>1542</v>
      </c>
      <c r="AD16" s="44" t="s">
        <v>1542</v>
      </c>
      <c r="AE16" s="44" t="s">
        <v>1542</v>
      </c>
      <c r="AF16" s="44" t="s">
        <v>1542</v>
      </c>
      <c r="AG16" s="44" t="s">
        <v>1542</v>
      </c>
      <c r="AH16" s="44" t="s">
        <v>1542</v>
      </c>
      <c r="AI16" s="44" t="s">
        <v>1542</v>
      </c>
      <c r="AJ16" s="44" t="s">
        <v>1542</v>
      </c>
      <c r="AK16" s="44" t="s">
        <v>1542</v>
      </c>
      <c r="AL16" s="44" t="s">
        <v>1542</v>
      </c>
      <c r="AM16" s="44" t="s">
        <v>1542</v>
      </c>
      <c r="AN16" s="44" t="s">
        <v>1542</v>
      </c>
      <c r="AO16" s="46">
        <f t="shared" si="0"/>
        <v>0</v>
      </c>
      <c r="AP16" s="43" t="s">
        <v>1542</v>
      </c>
      <c r="AQ16" s="43" t="s">
        <v>1542</v>
      </c>
      <c r="AR16" s="43" t="s">
        <v>1542</v>
      </c>
      <c r="AS16" s="43" t="s">
        <v>1542</v>
      </c>
      <c r="AT16" s="43" t="s">
        <v>1542</v>
      </c>
      <c r="AU16" s="43" t="s">
        <v>1542</v>
      </c>
      <c r="AV16" s="43" t="s">
        <v>1542</v>
      </c>
      <c r="AW16" s="43" t="s">
        <v>1542</v>
      </c>
      <c r="AX16" s="43" t="s">
        <v>1542</v>
      </c>
      <c r="AY16" s="43" t="s">
        <v>1542</v>
      </c>
      <c r="AZ16" s="43" t="s">
        <v>1542</v>
      </c>
      <c r="BA16" s="43" t="s">
        <v>1542</v>
      </c>
      <c r="BB16" s="46">
        <f t="shared" si="1"/>
        <v>0</v>
      </c>
      <c r="BC16" s="44" t="s">
        <v>1542</v>
      </c>
      <c r="BD16" s="44" t="s">
        <v>1542</v>
      </c>
      <c r="BE16" s="44" t="s">
        <v>1542</v>
      </c>
      <c r="BF16" s="44" t="s">
        <v>1542</v>
      </c>
      <c r="BG16" s="44" t="s">
        <v>1542</v>
      </c>
      <c r="BH16" s="44" t="s">
        <v>1542</v>
      </c>
      <c r="BI16" s="44" t="s">
        <v>1542</v>
      </c>
      <c r="BJ16" s="44" t="s">
        <v>1542</v>
      </c>
      <c r="BK16" s="44" t="s">
        <v>1542</v>
      </c>
      <c r="BL16" s="44" t="s">
        <v>1542</v>
      </c>
      <c r="BM16" s="44" t="s">
        <v>1542</v>
      </c>
      <c r="BN16" s="44" t="s">
        <v>1542</v>
      </c>
      <c r="BO16" s="46">
        <f t="shared" si="2"/>
        <v>0</v>
      </c>
      <c r="BP16" s="43" t="s">
        <v>1542</v>
      </c>
      <c r="BQ16" s="43" t="s">
        <v>1542</v>
      </c>
      <c r="BR16" s="43" t="s">
        <v>1542</v>
      </c>
      <c r="BS16" s="43" t="s">
        <v>1542</v>
      </c>
      <c r="BT16" s="43" t="s">
        <v>1542</v>
      </c>
      <c r="BU16" s="43" t="s">
        <v>1542</v>
      </c>
      <c r="BV16" s="43" t="s">
        <v>1542</v>
      </c>
      <c r="BW16" s="43" t="s">
        <v>1542</v>
      </c>
      <c r="BX16" s="43" t="s">
        <v>1542</v>
      </c>
      <c r="BY16" s="43" t="s">
        <v>1542</v>
      </c>
      <c r="BZ16" s="43" t="s">
        <v>1542</v>
      </c>
      <c r="CA16" s="43" t="s">
        <v>1542</v>
      </c>
    </row>
    <row r="17" spans="1:79">
      <c r="A17">
        <v>16</v>
      </c>
      <c r="C17" t="s">
        <v>1532</v>
      </c>
      <c r="D17" t="s">
        <v>1533</v>
      </c>
      <c r="E17" t="s">
        <v>1534</v>
      </c>
      <c r="F17" t="s">
        <v>1535</v>
      </c>
      <c r="G17" t="s">
        <v>1607</v>
      </c>
      <c r="H17" t="s">
        <v>1612</v>
      </c>
      <c r="I17" t="s">
        <v>1612</v>
      </c>
      <c r="J17" t="s">
        <v>1613</v>
      </c>
      <c r="K17" t="s">
        <v>1609</v>
      </c>
      <c r="M17" s="1" t="s">
        <v>1614</v>
      </c>
      <c r="N17" t="s">
        <v>1615</v>
      </c>
      <c r="O17" s="46">
        <f t="shared" si="3"/>
        <v>0</v>
      </c>
      <c r="P17" s="43" t="s">
        <v>1542</v>
      </c>
      <c r="Q17" s="43" t="s">
        <v>1542</v>
      </c>
      <c r="R17" s="43" t="s">
        <v>1542</v>
      </c>
      <c r="S17" s="43" t="s">
        <v>1542</v>
      </c>
      <c r="T17" s="43" t="s">
        <v>1542</v>
      </c>
      <c r="U17" s="43" t="s">
        <v>1542</v>
      </c>
      <c r="V17" s="43" t="s">
        <v>1542</v>
      </c>
      <c r="W17" s="43" t="s">
        <v>1542</v>
      </c>
      <c r="X17" s="43" t="s">
        <v>1542</v>
      </c>
      <c r="Y17" s="43" t="s">
        <v>1542</v>
      </c>
      <c r="Z17" s="43" t="s">
        <v>1542</v>
      </c>
      <c r="AA17" s="43" t="s">
        <v>1542</v>
      </c>
      <c r="AB17" s="46">
        <f t="shared" si="4"/>
        <v>0</v>
      </c>
      <c r="AC17" s="44" t="s">
        <v>1542</v>
      </c>
      <c r="AD17" s="44" t="s">
        <v>1542</v>
      </c>
      <c r="AE17" s="44" t="s">
        <v>1542</v>
      </c>
      <c r="AF17" s="44" t="s">
        <v>1542</v>
      </c>
      <c r="AG17" s="44" t="s">
        <v>1542</v>
      </c>
      <c r="AH17" s="44" t="s">
        <v>1542</v>
      </c>
      <c r="AI17" s="44" t="s">
        <v>1542</v>
      </c>
      <c r="AJ17" s="44" t="s">
        <v>1542</v>
      </c>
      <c r="AK17" s="44" t="s">
        <v>1542</v>
      </c>
      <c r="AL17" s="44" t="s">
        <v>1542</v>
      </c>
      <c r="AM17" s="44" t="s">
        <v>1542</v>
      </c>
      <c r="AN17" s="44" t="s">
        <v>1542</v>
      </c>
      <c r="AO17" s="46">
        <f t="shared" si="0"/>
        <v>0</v>
      </c>
      <c r="AP17" s="43" t="s">
        <v>1542</v>
      </c>
      <c r="AQ17" s="43" t="s">
        <v>1542</v>
      </c>
      <c r="AR17" s="43" t="s">
        <v>1542</v>
      </c>
      <c r="AS17" s="43" t="s">
        <v>1542</v>
      </c>
      <c r="AT17" s="43" t="s">
        <v>1542</v>
      </c>
      <c r="AU17" s="43" t="s">
        <v>1542</v>
      </c>
      <c r="AV17" s="43" t="s">
        <v>1542</v>
      </c>
      <c r="AW17" s="43" t="s">
        <v>1542</v>
      </c>
      <c r="AX17" s="43" t="s">
        <v>1542</v>
      </c>
      <c r="AY17" s="43" t="s">
        <v>1542</v>
      </c>
      <c r="AZ17" s="43" t="s">
        <v>1542</v>
      </c>
      <c r="BA17" s="43" t="s">
        <v>1542</v>
      </c>
      <c r="BB17" s="46">
        <f t="shared" si="1"/>
        <v>0</v>
      </c>
      <c r="BC17" s="44" t="s">
        <v>1542</v>
      </c>
      <c r="BD17" s="44" t="s">
        <v>1542</v>
      </c>
      <c r="BE17" s="44" t="s">
        <v>1542</v>
      </c>
      <c r="BF17" s="44" t="s">
        <v>1542</v>
      </c>
      <c r="BG17" s="44" t="s">
        <v>1542</v>
      </c>
      <c r="BH17" s="44" t="s">
        <v>1542</v>
      </c>
      <c r="BI17" s="44" t="s">
        <v>1542</v>
      </c>
      <c r="BJ17" s="44" t="s">
        <v>1542</v>
      </c>
      <c r="BK17" s="44" t="s">
        <v>1542</v>
      </c>
      <c r="BL17" s="44" t="s">
        <v>1542</v>
      </c>
      <c r="BM17" s="44" t="s">
        <v>1542</v>
      </c>
      <c r="BN17" s="44" t="s">
        <v>1542</v>
      </c>
      <c r="BO17" s="46">
        <f t="shared" si="2"/>
        <v>0</v>
      </c>
      <c r="BP17" s="43" t="s">
        <v>1542</v>
      </c>
      <c r="BQ17" s="43" t="s">
        <v>1542</v>
      </c>
      <c r="BR17" s="43" t="s">
        <v>1542</v>
      </c>
      <c r="BS17" s="43" t="s">
        <v>1542</v>
      </c>
      <c r="BT17" s="43" t="s">
        <v>1542</v>
      </c>
      <c r="BU17" s="43" t="s">
        <v>1542</v>
      </c>
      <c r="BV17" s="43" t="s">
        <v>1542</v>
      </c>
      <c r="BW17" s="43" t="s">
        <v>1542</v>
      </c>
      <c r="BX17" s="43" t="s">
        <v>1542</v>
      </c>
      <c r="BY17" s="43" t="s">
        <v>1542</v>
      </c>
      <c r="BZ17" s="43" t="s">
        <v>1542</v>
      </c>
      <c r="CA17" s="43" t="s">
        <v>1542</v>
      </c>
    </row>
    <row r="18" spans="1:79">
      <c r="A18">
        <v>17</v>
      </c>
      <c r="C18" t="s">
        <v>1532</v>
      </c>
      <c r="D18" t="s">
        <v>1533</v>
      </c>
      <c r="E18" t="s">
        <v>1534</v>
      </c>
      <c r="F18" t="s">
        <v>1535</v>
      </c>
      <c r="G18" t="s">
        <v>1607</v>
      </c>
      <c r="H18" t="s">
        <v>1616</v>
      </c>
      <c r="I18" t="s">
        <v>1616</v>
      </c>
      <c r="J18" t="s">
        <v>1608</v>
      </c>
      <c r="K18" t="s">
        <v>1609</v>
      </c>
      <c r="M18" s="1" t="s">
        <v>1617</v>
      </c>
      <c r="N18" t="s">
        <v>1618</v>
      </c>
      <c r="O18" s="46">
        <f t="shared" si="3"/>
        <v>0</v>
      </c>
      <c r="P18" s="43" t="s">
        <v>1542</v>
      </c>
      <c r="Q18" s="43" t="s">
        <v>1542</v>
      </c>
      <c r="R18" s="43" t="s">
        <v>1542</v>
      </c>
      <c r="S18" s="43" t="s">
        <v>1542</v>
      </c>
      <c r="T18" s="43" t="s">
        <v>1542</v>
      </c>
      <c r="U18" s="43" t="s">
        <v>1542</v>
      </c>
      <c r="V18" s="43" t="s">
        <v>1542</v>
      </c>
      <c r="W18" s="43" t="s">
        <v>1542</v>
      </c>
      <c r="X18" s="43" t="s">
        <v>1542</v>
      </c>
      <c r="Y18" s="43" t="s">
        <v>1542</v>
      </c>
      <c r="Z18" s="43" t="s">
        <v>1542</v>
      </c>
      <c r="AA18" s="43" t="s">
        <v>1542</v>
      </c>
      <c r="AB18" s="46">
        <f t="shared" si="4"/>
        <v>0</v>
      </c>
      <c r="AC18" s="44" t="s">
        <v>1542</v>
      </c>
      <c r="AD18" s="44" t="s">
        <v>1542</v>
      </c>
      <c r="AE18" s="44" t="s">
        <v>1542</v>
      </c>
      <c r="AF18" s="44" t="s">
        <v>1542</v>
      </c>
      <c r="AG18" s="44" t="s">
        <v>1542</v>
      </c>
      <c r="AH18" s="44" t="s">
        <v>1542</v>
      </c>
      <c r="AI18" s="44" t="s">
        <v>1542</v>
      </c>
      <c r="AJ18" s="44" t="s">
        <v>1542</v>
      </c>
      <c r="AK18" s="44" t="s">
        <v>1542</v>
      </c>
      <c r="AL18" s="44" t="s">
        <v>1542</v>
      </c>
      <c r="AM18" s="44" t="s">
        <v>1542</v>
      </c>
      <c r="AN18" s="44" t="s">
        <v>1542</v>
      </c>
      <c r="AO18" s="46">
        <f t="shared" si="0"/>
        <v>0</v>
      </c>
      <c r="AP18" s="43" t="s">
        <v>1542</v>
      </c>
      <c r="AQ18" s="43" t="s">
        <v>1542</v>
      </c>
      <c r="AR18" s="43" t="s">
        <v>1542</v>
      </c>
      <c r="AS18" s="43" t="s">
        <v>1542</v>
      </c>
      <c r="AT18" s="43" t="s">
        <v>1542</v>
      </c>
      <c r="AU18" s="43" t="s">
        <v>1542</v>
      </c>
      <c r="AV18" s="43" t="s">
        <v>1542</v>
      </c>
      <c r="AW18" s="43" t="s">
        <v>1542</v>
      </c>
      <c r="AX18" s="43" t="s">
        <v>1542</v>
      </c>
      <c r="AY18" s="43" t="s">
        <v>1542</v>
      </c>
      <c r="AZ18" s="43" t="s">
        <v>1542</v>
      </c>
      <c r="BA18" s="43" t="s">
        <v>1542</v>
      </c>
      <c r="BB18" s="46">
        <f t="shared" si="1"/>
        <v>0</v>
      </c>
      <c r="BC18" s="44" t="s">
        <v>1542</v>
      </c>
      <c r="BD18" s="44" t="s">
        <v>1542</v>
      </c>
      <c r="BE18" s="44" t="s">
        <v>1542</v>
      </c>
      <c r="BF18" s="44" t="s">
        <v>1542</v>
      </c>
      <c r="BG18" s="44" t="s">
        <v>1542</v>
      </c>
      <c r="BH18" s="44" t="s">
        <v>1542</v>
      </c>
      <c r="BI18" s="44" t="s">
        <v>1542</v>
      </c>
      <c r="BJ18" s="44" t="s">
        <v>1542</v>
      </c>
      <c r="BK18" s="44" t="s">
        <v>1542</v>
      </c>
      <c r="BL18" s="44" t="s">
        <v>1542</v>
      </c>
      <c r="BM18" s="44" t="s">
        <v>1542</v>
      </c>
      <c r="BN18" s="44" t="s">
        <v>1542</v>
      </c>
      <c r="BO18" s="46">
        <f t="shared" si="2"/>
        <v>0</v>
      </c>
      <c r="BP18" s="43" t="s">
        <v>1542</v>
      </c>
      <c r="BQ18" s="43" t="s">
        <v>1542</v>
      </c>
      <c r="BR18" s="43" t="s">
        <v>1542</v>
      </c>
      <c r="BS18" s="43" t="s">
        <v>1542</v>
      </c>
      <c r="BT18" s="43" t="s">
        <v>1542</v>
      </c>
      <c r="BU18" s="43" t="s">
        <v>1542</v>
      </c>
      <c r="BV18" s="43" t="s">
        <v>1542</v>
      </c>
      <c r="BW18" s="43" t="s">
        <v>1542</v>
      </c>
      <c r="BX18" s="43" t="s">
        <v>1542</v>
      </c>
      <c r="BY18" s="43" t="s">
        <v>1542</v>
      </c>
      <c r="BZ18" s="43" t="s">
        <v>1542</v>
      </c>
      <c r="CA18" s="43" t="s">
        <v>1542</v>
      </c>
    </row>
    <row r="19" spans="1:79">
      <c r="A19">
        <v>18</v>
      </c>
      <c r="B19">
        <v>1</v>
      </c>
      <c r="C19" t="s">
        <v>1532</v>
      </c>
      <c r="D19" t="s">
        <v>1533</v>
      </c>
      <c r="E19" t="s">
        <v>1619</v>
      </c>
      <c r="F19" t="s">
        <v>1620</v>
      </c>
      <c r="G19" t="s">
        <v>1621</v>
      </c>
      <c r="H19" t="s">
        <v>1621</v>
      </c>
      <c r="J19" t="s">
        <v>1622</v>
      </c>
      <c r="K19" t="s">
        <v>1623</v>
      </c>
      <c r="L19" t="s">
        <v>1539</v>
      </c>
      <c r="M19" s="1" t="s">
        <v>1624</v>
      </c>
      <c r="N19" t="s">
        <v>1625</v>
      </c>
      <c r="O19" s="46">
        <f t="shared" si="3"/>
        <v>0</v>
      </c>
      <c r="P19" s="43" t="s">
        <v>1542</v>
      </c>
      <c r="Q19" s="43" t="s">
        <v>1542</v>
      </c>
      <c r="R19" s="43" t="s">
        <v>1542</v>
      </c>
      <c r="S19" s="43" t="s">
        <v>1542</v>
      </c>
      <c r="T19" s="43" t="s">
        <v>1542</v>
      </c>
      <c r="U19" s="43" t="s">
        <v>1542</v>
      </c>
      <c r="V19" s="43" t="s">
        <v>1542</v>
      </c>
      <c r="W19" s="43" t="s">
        <v>1542</v>
      </c>
      <c r="X19" s="43" t="s">
        <v>1542</v>
      </c>
      <c r="Y19" s="43" t="s">
        <v>1542</v>
      </c>
      <c r="Z19" s="43" t="s">
        <v>1542</v>
      </c>
      <c r="AA19" s="43" t="s">
        <v>1542</v>
      </c>
      <c r="AB19" s="46">
        <f t="shared" si="4"/>
        <v>0</v>
      </c>
      <c r="AC19" s="44" t="s">
        <v>1542</v>
      </c>
      <c r="AD19" s="44" t="s">
        <v>1542</v>
      </c>
      <c r="AE19" s="44" t="s">
        <v>1542</v>
      </c>
      <c r="AF19" s="44" t="s">
        <v>1542</v>
      </c>
      <c r="AG19" s="44" t="s">
        <v>1542</v>
      </c>
      <c r="AH19" s="44" t="s">
        <v>1542</v>
      </c>
      <c r="AI19" s="44" t="s">
        <v>1542</v>
      </c>
      <c r="AJ19" s="44" t="s">
        <v>1542</v>
      </c>
      <c r="AK19" s="44" t="s">
        <v>1542</v>
      </c>
      <c r="AL19" s="44" t="s">
        <v>1542</v>
      </c>
      <c r="AM19" s="44" t="s">
        <v>1542</v>
      </c>
      <c r="AN19" s="44" t="s">
        <v>1542</v>
      </c>
      <c r="AO19" s="46">
        <f t="shared" si="0"/>
        <v>0</v>
      </c>
      <c r="AP19" s="43" t="s">
        <v>1542</v>
      </c>
      <c r="AQ19" s="43" t="s">
        <v>1542</v>
      </c>
      <c r="AR19" s="43" t="s">
        <v>1542</v>
      </c>
      <c r="AS19" s="43" t="s">
        <v>1542</v>
      </c>
      <c r="AT19" s="43" t="s">
        <v>1542</v>
      </c>
      <c r="AU19" s="43" t="s">
        <v>1542</v>
      </c>
      <c r="AV19" s="43" t="s">
        <v>1542</v>
      </c>
      <c r="AW19" s="43" t="s">
        <v>1542</v>
      </c>
      <c r="AX19" s="43" t="s">
        <v>1542</v>
      </c>
      <c r="AY19" s="43" t="s">
        <v>1542</v>
      </c>
      <c r="AZ19" s="43" t="s">
        <v>1542</v>
      </c>
      <c r="BA19" s="43" t="s">
        <v>1542</v>
      </c>
      <c r="BB19" s="46">
        <f t="shared" si="1"/>
        <v>0</v>
      </c>
      <c r="BC19" s="44" t="s">
        <v>1542</v>
      </c>
      <c r="BD19" s="44" t="s">
        <v>1542</v>
      </c>
      <c r="BE19" s="44" t="s">
        <v>1542</v>
      </c>
      <c r="BF19" s="44" t="s">
        <v>1542</v>
      </c>
      <c r="BG19" s="44" t="s">
        <v>1542</v>
      </c>
      <c r="BH19" s="44" t="s">
        <v>1542</v>
      </c>
      <c r="BI19" s="44" t="s">
        <v>1542</v>
      </c>
      <c r="BJ19" s="44" t="s">
        <v>1542</v>
      </c>
      <c r="BK19" s="44" t="s">
        <v>1542</v>
      </c>
      <c r="BL19" s="44" t="s">
        <v>1542</v>
      </c>
      <c r="BM19" s="44" t="s">
        <v>1542</v>
      </c>
      <c r="BN19" s="44" t="s">
        <v>1542</v>
      </c>
      <c r="BO19" s="46">
        <f t="shared" si="2"/>
        <v>0</v>
      </c>
      <c r="BP19" s="43" t="s">
        <v>1542</v>
      </c>
      <c r="BQ19" s="43" t="s">
        <v>1542</v>
      </c>
      <c r="BR19" s="43" t="s">
        <v>1542</v>
      </c>
      <c r="BS19" s="43" t="s">
        <v>1542</v>
      </c>
      <c r="BT19" s="43" t="s">
        <v>1542</v>
      </c>
      <c r="BU19" s="43" t="s">
        <v>1542</v>
      </c>
      <c r="BV19" s="43" t="s">
        <v>1542</v>
      </c>
      <c r="BW19" s="43" t="s">
        <v>1542</v>
      </c>
      <c r="BX19" s="43" t="s">
        <v>1542</v>
      </c>
      <c r="BY19" s="43" t="s">
        <v>1542</v>
      </c>
      <c r="BZ19" s="43" t="s">
        <v>1542</v>
      </c>
      <c r="CA19" s="43" t="s">
        <v>1542</v>
      </c>
    </row>
    <row r="20" spans="1:79">
      <c r="A20">
        <v>19</v>
      </c>
      <c r="B20">
        <v>1</v>
      </c>
      <c r="C20" t="s">
        <v>1532</v>
      </c>
      <c r="D20" t="s">
        <v>1533</v>
      </c>
      <c r="E20" t="s">
        <v>1619</v>
      </c>
      <c r="F20" t="s">
        <v>1620</v>
      </c>
      <c r="G20" t="s">
        <v>1626</v>
      </c>
      <c r="H20" t="s">
        <v>1626</v>
      </c>
      <c r="J20" t="s">
        <v>1627</v>
      </c>
      <c r="K20" t="s">
        <v>1628</v>
      </c>
      <c r="L20" t="s">
        <v>1539</v>
      </c>
      <c r="M20" s="1" t="s">
        <v>1629</v>
      </c>
      <c r="N20" t="s">
        <v>1630</v>
      </c>
      <c r="O20" s="46">
        <f t="shared" si="3"/>
        <v>0</v>
      </c>
      <c r="P20" s="43" t="s">
        <v>1542</v>
      </c>
      <c r="Q20" s="43" t="s">
        <v>1542</v>
      </c>
      <c r="R20" s="43" t="s">
        <v>1542</v>
      </c>
      <c r="S20" s="43" t="s">
        <v>1542</v>
      </c>
      <c r="T20" s="43" t="s">
        <v>1542</v>
      </c>
      <c r="U20" s="43" t="s">
        <v>1542</v>
      </c>
      <c r="V20" s="43" t="s">
        <v>1542</v>
      </c>
      <c r="W20" s="43" t="s">
        <v>1542</v>
      </c>
      <c r="X20" s="43" t="s">
        <v>1542</v>
      </c>
      <c r="Y20" s="43" t="s">
        <v>1542</v>
      </c>
      <c r="Z20" s="43" t="s">
        <v>1542</v>
      </c>
      <c r="AA20" s="43" t="s">
        <v>1542</v>
      </c>
      <c r="AB20" s="46">
        <f t="shared" si="4"/>
        <v>0</v>
      </c>
      <c r="AC20" s="44" t="s">
        <v>1542</v>
      </c>
      <c r="AD20" s="44" t="s">
        <v>1542</v>
      </c>
      <c r="AE20" s="44" t="s">
        <v>1542</v>
      </c>
      <c r="AF20" s="44" t="s">
        <v>1542</v>
      </c>
      <c r="AG20" s="44" t="s">
        <v>1542</v>
      </c>
      <c r="AH20" s="44" t="s">
        <v>1542</v>
      </c>
      <c r="AI20" s="44" t="s">
        <v>1542</v>
      </c>
      <c r="AJ20" s="44" t="s">
        <v>1542</v>
      </c>
      <c r="AK20" s="44" t="s">
        <v>1542</v>
      </c>
      <c r="AL20" s="44" t="s">
        <v>1542</v>
      </c>
      <c r="AM20" s="44" t="s">
        <v>1542</v>
      </c>
      <c r="AN20" s="44" t="s">
        <v>1542</v>
      </c>
      <c r="AO20" s="46">
        <f t="shared" si="0"/>
        <v>0</v>
      </c>
      <c r="AP20" s="43" t="s">
        <v>1542</v>
      </c>
      <c r="AQ20" s="43" t="s">
        <v>1542</v>
      </c>
      <c r="AR20" s="43" t="s">
        <v>1542</v>
      </c>
      <c r="AS20" s="43" t="s">
        <v>1542</v>
      </c>
      <c r="AT20" s="43" t="s">
        <v>1542</v>
      </c>
      <c r="AU20" s="43" t="s">
        <v>1542</v>
      </c>
      <c r="AV20" s="43" t="s">
        <v>1542</v>
      </c>
      <c r="AW20" s="43" t="s">
        <v>1542</v>
      </c>
      <c r="AX20" s="43" t="s">
        <v>1542</v>
      </c>
      <c r="AY20" s="43" t="s">
        <v>1542</v>
      </c>
      <c r="AZ20" s="43" t="s">
        <v>1542</v>
      </c>
      <c r="BA20" s="43" t="s">
        <v>1542</v>
      </c>
      <c r="BB20" s="46">
        <f t="shared" si="1"/>
        <v>0</v>
      </c>
      <c r="BC20" s="44" t="s">
        <v>1554</v>
      </c>
      <c r="BD20" s="44" t="s">
        <v>1542</v>
      </c>
      <c r="BE20" s="44" t="s">
        <v>1542</v>
      </c>
      <c r="BF20" s="44" t="s">
        <v>1542</v>
      </c>
      <c r="BG20" s="44" t="s">
        <v>1542</v>
      </c>
      <c r="BH20" s="44" t="s">
        <v>1542</v>
      </c>
      <c r="BI20" s="44" t="s">
        <v>1542</v>
      </c>
      <c r="BJ20" s="44" t="s">
        <v>1542</v>
      </c>
      <c r="BK20" s="44" t="s">
        <v>1542</v>
      </c>
      <c r="BL20" s="44" t="s">
        <v>1542</v>
      </c>
      <c r="BM20" s="44" t="s">
        <v>1542</v>
      </c>
      <c r="BN20" s="44" t="s">
        <v>1542</v>
      </c>
      <c r="BO20" s="46">
        <f t="shared" si="2"/>
        <v>1</v>
      </c>
      <c r="BP20" s="43" t="s">
        <v>1542</v>
      </c>
      <c r="BQ20" s="43" t="s">
        <v>1542</v>
      </c>
      <c r="BR20" s="43" t="s">
        <v>1542</v>
      </c>
      <c r="BS20" s="43" t="s">
        <v>1542</v>
      </c>
      <c r="BT20" s="43" t="s">
        <v>1542</v>
      </c>
      <c r="BU20" s="43" t="s">
        <v>1542</v>
      </c>
      <c r="BV20" s="43" t="s">
        <v>1542</v>
      </c>
      <c r="BW20" s="43" t="s">
        <v>1542</v>
      </c>
      <c r="BX20" s="43" t="s">
        <v>1542</v>
      </c>
      <c r="BY20" s="43" t="s">
        <v>1542</v>
      </c>
      <c r="BZ20" s="43" t="s">
        <v>1542</v>
      </c>
      <c r="CA20" s="43" t="s">
        <v>1542</v>
      </c>
    </row>
    <row r="21" spans="1:79">
      <c r="A21">
        <v>20</v>
      </c>
      <c r="C21" t="s">
        <v>1532</v>
      </c>
      <c r="D21" t="s">
        <v>1533</v>
      </c>
      <c r="E21" t="s">
        <v>1619</v>
      </c>
      <c r="F21" t="s">
        <v>1620</v>
      </c>
      <c r="G21" t="s">
        <v>1626</v>
      </c>
      <c r="H21" t="s">
        <v>1631</v>
      </c>
      <c r="I21" t="s">
        <v>1631</v>
      </c>
      <c r="J21" t="s">
        <v>1627</v>
      </c>
      <c r="K21" t="s">
        <v>1628</v>
      </c>
      <c r="L21" t="s">
        <v>1539</v>
      </c>
      <c r="M21" s="1" t="s">
        <v>1632</v>
      </c>
      <c r="N21" t="s">
        <v>1633</v>
      </c>
      <c r="O21" s="46">
        <f t="shared" si="3"/>
        <v>0</v>
      </c>
      <c r="P21" s="43"/>
      <c r="Q21" s="43"/>
      <c r="R21" s="43"/>
      <c r="S21" s="43"/>
      <c r="T21" s="43"/>
      <c r="U21" s="43"/>
      <c r="V21" s="43"/>
      <c r="W21" s="43"/>
      <c r="X21" s="43"/>
      <c r="Y21" s="43"/>
      <c r="Z21" s="43"/>
      <c r="AA21" s="43"/>
      <c r="AB21" s="46">
        <f t="shared" si="4"/>
        <v>0</v>
      </c>
      <c r="AC21" s="44" t="s">
        <v>1542</v>
      </c>
      <c r="AD21" s="44" t="s">
        <v>1542</v>
      </c>
      <c r="AE21" s="44" t="s">
        <v>1542</v>
      </c>
      <c r="AF21" s="44" t="s">
        <v>1542</v>
      </c>
      <c r="AG21" s="44" t="s">
        <v>1542</v>
      </c>
      <c r="AH21" s="44" t="s">
        <v>1542</v>
      </c>
      <c r="AI21" s="44" t="s">
        <v>1542</v>
      </c>
      <c r="AJ21" s="44"/>
      <c r="AK21" s="44"/>
      <c r="AL21" s="44"/>
      <c r="AM21" s="44"/>
      <c r="AN21" s="44"/>
      <c r="AO21" s="46">
        <f t="shared" si="0"/>
        <v>0</v>
      </c>
      <c r="AP21" s="43"/>
      <c r="AQ21" s="43"/>
      <c r="AR21" s="43"/>
      <c r="AS21" s="43"/>
      <c r="AT21" s="43"/>
      <c r="AU21" s="43"/>
      <c r="AV21" s="43"/>
      <c r="AW21" s="43"/>
      <c r="AX21" s="43"/>
      <c r="AY21" s="43" t="s">
        <v>1554</v>
      </c>
      <c r="AZ21" s="43" t="s">
        <v>1554</v>
      </c>
      <c r="BA21" s="43" t="s">
        <v>1554</v>
      </c>
      <c r="BB21" s="46">
        <f t="shared" si="1"/>
        <v>2</v>
      </c>
      <c r="BC21" s="44"/>
      <c r="BD21" s="44"/>
      <c r="BE21" s="44"/>
      <c r="BF21" s="44"/>
      <c r="BG21" s="44"/>
      <c r="BH21" s="44"/>
      <c r="BI21" s="44"/>
      <c r="BJ21" s="44"/>
      <c r="BK21" s="44"/>
      <c r="BL21" s="44"/>
      <c r="BM21" s="44"/>
      <c r="BN21" s="44"/>
      <c r="BO21" s="46">
        <f t="shared" si="2"/>
        <v>0</v>
      </c>
      <c r="BP21" s="43"/>
      <c r="BQ21" s="43"/>
      <c r="BR21" s="43"/>
      <c r="BS21" s="43"/>
      <c r="BT21" s="43"/>
      <c r="BU21" s="43"/>
      <c r="BV21" s="43"/>
      <c r="BW21" s="43"/>
      <c r="BX21" s="43"/>
      <c r="BY21" s="43"/>
      <c r="BZ21" s="43"/>
      <c r="CA21" s="43"/>
    </row>
    <row r="22" spans="1:79">
      <c r="A22">
        <v>21</v>
      </c>
      <c r="C22" t="s">
        <v>1532</v>
      </c>
      <c r="D22" t="s">
        <v>1533</v>
      </c>
      <c r="E22" t="s">
        <v>1619</v>
      </c>
      <c r="F22" t="s">
        <v>1620</v>
      </c>
      <c r="G22" t="s">
        <v>1626</v>
      </c>
      <c r="H22" t="s">
        <v>1634</v>
      </c>
      <c r="I22" t="s">
        <v>1634</v>
      </c>
      <c r="J22" t="s">
        <v>1635</v>
      </c>
      <c r="K22" t="s">
        <v>1628</v>
      </c>
      <c r="M22" s="1" t="s">
        <v>1636</v>
      </c>
      <c r="N22" t="s">
        <v>1637</v>
      </c>
      <c r="O22" s="46">
        <f t="shared" si="3"/>
        <v>0</v>
      </c>
      <c r="P22" s="43"/>
      <c r="Q22" s="43"/>
      <c r="R22" s="43"/>
      <c r="S22" s="43"/>
      <c r="T22" s="43"/>
      <c r="U22" s="43"/>
      <c r="V22" s="43"/>
      <c r="W22" s="43"/>
      <c r="X22" s="43"/>
      <c r="Y22" s="43"/>
      <c r="Z22" s="43"/>
      <c r="AA22" s="43"/>
      <c r="AB22" s="46">
        <f t="shared" si="4"/>
        <v>0</v>
      </c>
      <c r="AC22" s="44"/>
      <c r="AD22" s="44"/>
      <c r="AE22" s="44"/>
      <c r="AF22" s="44"/>
      <c r="AG22" s="44"/>
      <c r="AH22" s="44"/>
      <c r="AI22" s="44"/>
      <c r="AJ22" s="44"/>
      <c r="AK22" s="44"/>
      <c r="AL22" s="44"/>
      <c r="AM22" s="44"/>
      <c r="AN22" s="44"/>
      <c r="AO22" s="46">
        <f t="shared" si="0"/>
        <v>0</v>
      </c>
      <c r="AP22" s="43"/>
      <c r="AQ22" s="43"/>
      <c r="AR22" s="43"/>
      <c r="AS22" s="43"/>
      <c r="AT22" s="43"/>
      <c r="AU22" s="43"/>
      <c r="AV22" s="43"/>
      <c r="AW22" s="43"/>
      <c r="AX22" s="43"/>
      <c r="AY22" s="43"/>
      <c r="AZ22" s="43"/>
      <c r="BA22" s="43"/>
      <c r="BB22" s="46">
        <f t="shared" si="1"/>
        <v>0</v>
      </c>
      <c r="BC22" s="44"/>
      <c r="BD22" s="44"/>
      <c r="BE22" s="44"/>
      <c r="BF22" s="44"/>
      <c r="BG22" s="44"/>
      <c r="BH22" s="44"/>
      <c r="BI22" s="44"/>
      <c r="BJ22" s="44"/>
      <c r="BK22" s="44"/>
      <c r="BL22" s="44"/>
      <c r="BM22" s="44"/>
      <c r="BN22" s="44"/>
      <c r="BO22" s="46">
        <f t="shared" si="2"/>
        <v>0</v>
      </c>
      <c r="BP22" s="43" t="s">
        <v>1554</v>
      </c>
      <c r="BQ22" s="43" t="s">
        <v>1554</v>
      </c>
      <c r="BR22" s="43" t="s">
        <v>1554</v>
      </c>
      <c r="BS22" s="43" t="s">
        <v>1554</v>
      </c>
      <c r="BT22" s="43" t="s">
        <v>1554</v>
      </c>
      <c r="BU22" s="43" t="s">
        <v>1554</v>
      </c>
      <c r="BV22" s="43"/>
      <c r="BW22" s="43"/>
      <c r="BX22" s="43"/>
      <c r="BY22" s="43"/>
      <c r="BZ22" s="43"/>
      <c r="CA22" s="43"/>
    </row>
    <row r="23" spans="1:79">
      <c r="A23">
        <v>22</v>
      </c>
      <c r="B23">
        <v>1</v>
      </c>
      <c r="C23" t="s">
        <v>1532</v>
      </c>
      <c r="D23" t="s">
        <v>1533</v>
      </c>
      <c r="E23" t="s">
        <v>1619</v>
      </c>
      <c r="F23" t="s">
        <v>1620</v>
      </c>
      <c r="G23" t="s">
        <v>1638</v>
      </c>
      <c r="H23" t="s">
        <v>1638</v>
      </c>
      <c r="J23" t="s">
        <v>1639</v>
      </c>
      <c r="K23" t="s">
        <v>1640</v>
      </c>
      <c r="M23" s="1" t="s">
        <v>1641</v>
      </c>
      <c r="N23" t="s">
        <v>1642</v>
      </c>
      <c r="O23" s="46">
        <f t="shared" si="3"/>
        <v>5</v>
      </c>
      <c r="P23" s="43" t="s">
        <v>1542</v>
      </c>
      <c r="Q23" s="43" t="s">
        <v>1542</v>
      </c>
      <c r="R23" s="43" t="s">
        <v>1542</v>
      </c>
      <c r="S23" s="43" t="s">
        <v>1542</v>
      </c>
      <c r="T23" s="43" t="s">
        <v>1542</v>
      </c>
      <c r="U23" s="43" t="s">
        <v>1542</v>
      </c>
      <c r="V23" s="43" t="s">
        <v>1542</v>
      </c>
      <c r="W23" s="43" t="s">
        <v>1554</v>
      </c>
      <c r="X23" s="43" t="s">
        <v>1554</v>
      </c>
      <c r="Y23" s="43" t="s">
        <v>1554</v>
      </c>
      <c r="Z23" s="43" t="s">
        <v>1554</v>
      </c>
      <c r="AA23" s="43" t="s">
        <v>1554</v>
      </c>
      <c r="AB23" s="46">
        <f t="shared" si="4"/>
        <v>0</v>
      </c>
      <c r="AC23" s="44" t="s">
        <v>1542</v>
      </c>
      <c r="AD23" s="44" t="s">
        <v>1542</v>
      </c>
      <c r="AE23" s="44" t="s">
        <v>1542</v>
      </c>
      <c r="AF23" s="44" t="s">
        <v>1542</v>
      </c>
      <c r="AG23" s="44" t="s">
        <v>1542</v>
      </c>
      <c r="AH23" s="44" t="s">
        <v>1542</v>
      </c>
      <c r="AI23" s="44" t="s">
        <v>1542</v>
      </c>
      <c r="AJ23" s="44" t="s">
        <v>1542</v>
      </c>
      <c r="AK23" s="44" t="s">
        <v>1542</v>
      </c>
      <c r="AL23" s="44" t="s">
        <v>1542</v>
      </c>
      <c r="AM23" s="44" t="s">
        <v>1542</v>
      </c>
      <c r="AN23" s="44" t="s">
        <v>1542</v>
      </c>
      <c r="AO23" s="46">
        <f t="shared" si="0"/>
        <v>0</v>
      </c>
      <c r="AP23" s="43" t="s">
        <v>1542</v>
      </c>
      <c r="AQ23" s="43" t="s">
        <v>1542</v>
      </c>
      <c r="AR23" s="43" t="s">
        <v>1542</v>
      </c>
      <c r="AS23" s="43" t="s">
        <v>1542</v>
      </c>
      <c r="AT23" s="43" t="s">
        <v>1542</v>
      </c>
      <c r="AU23" s="43" t="s">
        <v>1542</v>
      </c>
      <c r="AV23" s="43" t="s">
        <v>1542</v>
      </c>
      <c r="AW23" s="43" t="s">
        <v>1542</v>
      </c>
      <c r="AX23" s="43" t="s">
        <v>1542</v>
      </c>
      <c r="AY23" s="43" t="s">
        <v>1542</v>
      </c>
      <c r="AZ23" s="43" t="s">
        <v>1542</v>
      </c>
      <c r="BA23" s="43" t="s">
        <v>1542</v>
      </c>
      <c r="BB23" s="46">
        <f t="shared" si="1"/>
        <v>0</v>
      </c>
      <c r="BC23" s="44" t="s">
        <v>1542</v>
      </c>
      <c r="BD23" s="44" t="s">
        <v>1542</v>
      </c>
      <c r="BE23" s="44" t="s">
        <v>1542</v>
      </c>
      <c r="BF23" s="44" t="s">
        <v>1542</v>
      </c>
      <c r="BG23" s="44" t="s">
        <v>1542</v>
      </c>
      <c r="BH23" s="44" t="s">
        <v>1542</v>
      </c>
      <c r="BI23" s="44" t="s">
        <v>1542</v>
      </c>
      <c r="BJ23" s="44" t="s">
        <v>1542</v>
      </c>
      <c r="BK23" s="44" t="s">
        <v>1542</v>
      </c>
      <c r="BL23" s="44" t="s">
        <v>1542</v>
      </c>
      <c r="BM23" s="44" t="s">
        <v>1542</v>
      </c>
      <c r="BN23" s="44" t="s">
        <v>1542</v>
      </c>
      <c r="BO23" s="46">
        <f t="shared" si="2"/>
        <v>0</v>
      </c>
      <c r="BP23" s="43" t="s">
        <v>1542</v>
      </c>
      <c r="BQ23" s="43" t="s">
        <v>1542</v>
      </c>
      <c r="BR23" s="43" t="s">
        <v>1542</v>
      </c>
      <c r="BS23" s="43" t="s">
        <v>1542</v>
      </c>
      <c r="BT23" s="43" t="s">
        <v>1542</v>
      </c>
      <c r="BU23" s="43" t="s">
        <v>1542</v>
      </c>
      <c r="BV23" s="43" t="s">
        <v>1542</v>
      </c>
      <c r="BW23" s="43" t="s">
        <v>1542</v>
      </c>
      <c r="BX23" s="43" t="s">
        <v>1542</v>
      </c>
      <c r="BY23" s="43" t="s">
        <v>1542</v>
      </c>
      <c r="BZ23" s="43" t="s">
        <v>1542</v>
      </c>
      <c r="CA23" s="43" t="s">
        <v>1542</v>
      </c>
    </row>
    <row r="24" spans="1:79">
      <c r="A24">
        <v>23</v>
      </c>
      <c r="B24">
        <v>1</v>
      </c>
      <c r="C24" t="s">
        <v>1532</v>
      </c>
      <c r="D24" t="s">
        <v>1533</v>
      </c>
      <c r="E24" t="s">
        <v>1619</v>
      </c>
      <c r="F24" t="s">
        <v>1620</v>
      </c>
      <c r="G24" t="s">
        <v>1643</v>
      </c>
      <c r="H24" t="s">
        <v>1643</v>
      </c>
      <c r="J24" t="s">
        <v>1644</v>
      </c>
      <c r="K24" t="s">
        <v>1645</v>
      </c>
      <c r="M24" s="1" t="s">
        <v>1646</v>
      </c>
      <c r="N24" t="s">
        <v>1647</v>
      </c>
      <c r="O24" s="46">
        <f t="shared" si="3"/>
        <v>0</v>
      </c>
      <c r="P24" s="43" t="s">
        <v>1542</v>
      </c>
      <c r="Q24" s="43" t="s">
        <v>1542</v>
      </c>
      <c r="R24" s="43" t="s">
        <v>1542</v>
      </c>
      <c r="S24" s="43" t="s">
        <v>1542</v>
      </c>
      <c r="T24" s="43" t="s">
        <v>1542</v>
      </c>
      <c r="U24" s="43" t="s">
        <v>1542</v>
      </c>
      <c r="V24" s="43" t="s">
        <v>1542</v>
      </c>
      <c r="W24" s="43" t="s">
        <v>1542</v>
      </c>
      <c r="X24" s="43" t="s">
        <v>1542</v>
      </c>
      <c r="Y24" s="43" t="s">
        <v>1542</v>
      </c>
      <c r="Z24" s="43" t="s">
        <v>1542</v>
      </c>
      <c r="AA24" s="43" t="s">
        <v>1542</v>
      </c>
      <c r="AB24" s="46">
        <f t="shared" si="4"/>
        <v>3</v>
      </c>
      <c r="AC24" s="44" t="s">
        <v>1542</v>
      </c>
      <c r="AD24" s="44" t="s">
        <v>1554</v>
      </c>
      <c r="AE24" s="44" t="s">
        <v>1554</v>
      </c>
      <c r="AF24" s="44" t="s">
        <v>1554</v>
      </c>
      <c r="AG24" s="44" t="s">
        <v>1542</v>
      </c>
      <c r="AH24" s="44" t="s">
        <v>1542</v>
      </c>
      <c r="AI24" s="44" t="s">
        <v>1542</v>
      </c>
      <c r="AJ24" s="44" t="s">
        <v>1542</v>
      </c>
      <c r="AK24" s="44" t="s">
        <v>1542</v>
      </c>
      <c r="AL24" s="44" t="s">
        <v>1542</v>
      </c>
      <c r="AM24" s="44" t="s">
        <v>1542</v>
      </c>
      <c r="AN24" s="44" t="s">
        <v>1542</v>
      </c>
      <c r="AO24" s="46">
        <f t="shared" si="0"/>
        <v>3</v>
      </c>
      <c r="AP24" s="43" t="s">
        <v>1542</v>
      </c>
      <c r="AQ24" s="43" t="s">
        <v>1542</v>
      </c>
      <c r="AR24" s="43" t="s">
        <v>1542</v>
      </c>
      <c r="AS24" s="43" t="s">
        <v>1542</v>
      </c>
      <c r="AT24" s="43" t="s">
        <v>1542</v>
      </c>
      <c r="AU24" s="43" t="s">
        <v>1542</v>
      </c>
      <c r="AV24" s="43" t="s">
        <v>1542</v>
      </c>
      <c r="AW24" s="43" t="s">
        <v>1542</v>
      </c>
      <c r="AX24" s="43" t="s">
        <v>1542</v>
      </c>
      <c r="AY24" s="43" t="s">
        <v>1542</v>
      </c>
      <c r="AZ24" s="43" t="s">
        <v>1542</v>
      </c>
      <c r="BA24" s="43" t="s">
        <v>1542</v>
      </c>
      <c r="BB24" s="46">
        <f t="shared" si="1"/>
        <v>0</v>
      </c>
      <c r="BC24" s="44" t="s">
        <v>1542</v>
      </c>
      <c r="BD24" s="44" t="s">
        <v>1542</v>
      </c>
      <c r="BE24" s="44" t="s">
        <v>1542</v>
      </c>
      <c r="BF24" s="44" t="s">
        <v>1542</v>
      </c>
      <c r="BG24" s="44" t="s">
        <v>1542</v>
      </c>
      <c r="BH24" s="44" t="s">
        <v>1542</v>
      </c>
      <c r="BI24" s="44" t="s">
        <v>1542</v>
      </c>
      <c r="BJ24" s="44" t="s">
        <v>1542</v>
      </c>
      <c r="BK24" s="44" t="s">
        <v>1542</v>
      </c>
      <c r="BL24" s="44" t="s">
        <v>1542</v>
      </c>
      <c r="BM24" s="44" t="s">
        <v>1542</v>
      </c>
      <c r="BN24" s="44" t="s">
        <v>1542</v>
      </c>
      <c r="BO24" s="46">
        <f t="shared" si="2"/>
        <v>0</v>
      </c>
      <c r="BP24" s="43" t="s">
        <v>1542</v>
      </c>
      <c r="BQ24" s="43" t="s">
        <v>1542</v>
      </c>
      <c r="BR24" s="43" t="s">
        <v>1542</v>
      </c>
      <c r="BS24" s="43" t="s">
        <v>1542</v>
      </c>
      <c r="BT24" s="43" t="s">
        <v>1542</v>
      </c>
      <c r="BU24" s="43" t="s">
        <v>1542</v>
      </c>
      <c r="BV24" s="43" t="s">
        <v>1542</v>
      </c>
      <c r="BW24" s="43" t="s">
        <v>1542</v>
      </c>
      <c r="BX24" s="43" t="s">
        <v>1542</v>
      </c>
      <c r="BY24" s="43" t="s">
        <v>1542</v>
      </c>
      <c r="BZ24" s="43" t="s">
        <v>1542</v>
      </c>
      <c r="CA24" s="43" t="s">
        <v>1542</v>
      </c>
    </row>
    <row r="25" spans="1:79">
      <c r="A25">
        <v>24</v>
      </c>
      <c r="B25">
        <v>1</v>
      </c>
      <c r="C25" t="s">
        <v>1532</v>
      </c>
      <c r="D25" t="s">
        <v>1533</v>
      </c>
      <c r="E25" t="s">
        <v>1619</v>
      </c>
      <c r="F25" t="s">
        <v>1620</v>
      </c>
      <c r="G25" t="s">
        <v>1648</v>
      </c>
      <c r="H25" t="s">
        <v>1648</v>
      </c>
      <c r="J25" t="s">
        <v>1649</v>
      </c>
      <c r="K25" t="s">
        <v>1650</v>
      </c>
      <c r="M25" s="1" t="s">
        <v>1651</v>
      </c>
      <c r="N25" t="s">
        <v>1652</v>
      </c>
      <c r="O25" s="46">
        <f t="shared" si="3"/>
        <v>0</v>
      </c>
      <c r="P25" s="43" t="s">
        <v>1542</v>
      </c>
      <c r="Q25" s="43" t="s">
        <v>1542</v>
      </c>
      <c r="R25" s="43" t="s">
        <v>1542</v>
      </c>
      <c r="S25" s="43" t="s">
        <v>1542</v>
      </c>
      <c r="T25" s="43" t="s">
        <v>1542</v>
      </c>
      <c r="U25" s="43" t="s">
        <v>1542</v>
      </c>
      <c r="V25" s="43" t="s">
        <v>1542</v>
      </c>
      <c r="W25" s="43" t="s">
        <v>1542</v>
      </c>
      <c r="X25" s="43" t="s">
        <v>1542</v>
      </c>
      <c r="Y25" s="43" t="s">
        <v>1542</v>
      </c>
      <c r="Z25" s="43" t="s">
        <v>1542</v>
      </c>
      <c r="AA25" s="43" t="s">
        <v>1542</v>
      </c>
      <c r="AB25" s="46">
        <f t="shared" si="4"/>
        <v>0</v>
      </c>
      <c r="AC25" s="44" t="s">
        <v>1542</v>
      </c>
      <c r="AD25" s="44" t="s">
        <v>1542</v>
      </c>
      <c r="AE25" s="44" t="s">
        <v>1542</v>
      </c>
      <c r="AF25" s="44" t="s">
        <v>1542</v>
      </c>
      <c r="AG25" s="44" t="s">
        <v>1542</v>
      </c>
      <c r="AH25" s="44" t="s">
        <v>1542</v>
      </c>
      <c r="AI25" s="44" t="s">
        <v>1542</v>
      </c>
      <c r="AJ25" s="44" t="s">
        <v>1542</v>
      </c>
      <c r="AK25" s="44" t="s">
        <v>1542</v>
      </c>
      <c r="AL25" s="44" t="s">
        <v>1542</v>
      </c>
      <c r="AM25" s="44" t="s">
        <v>1542</v>
      </c>
      <c r="AN25" s="44" t="s">
        <v>1542</v>
      </c>
      <c r="AO25" s="46">
        <f t="shared" si="0"/>
        <v>0</v>
      </c>
      <c r="AP25" s="43" t="s">
        <v>1542</v>
      </c>
      <c r="AQ25" s="43" t="s">
        <v>1542</v>
      </c>
      <c r="AR25" s="43" t="s">
        <v>1542</v>
      </c>
      <c r="AS25" s="43" t="s">
        <v>1542</v>
      </c>
      <c r="AT25" s="43" t="s">
        <v>1542</v>
      </c>
      <c r="AU25" s="43" t="s">
        <v>1542</v>
      </c>
      <c r="AV25" s="43" t="s">
        <v>1542</v>
      </c>
      <c r="AW25" s="43" t="s">
        <v>1542</v>
      </c>
      <c r="AX25" s="43" t="s">
        <v>1542</v>
      </c>
      <c r="AY25" s="43" t="s">
        <v>1542</v>
      </c>
      <c r="AZ25" s="43" t="s">
        <v>1542</v>
      </c>
      <c r="BA25" s="43" t="s">
        <v>1542</v>
      </c>
      <c r="BB25" s="46">
        <f t="shared" si="1"/>
        <v>0</v>
      </c>
      <c r="BC25" s="44" t="s">
        <v>1542</v>
      </c>
      <c r="BD25" s="44" t="s">
        <v>1542</v>
      </c>
      <c r="BE25" s="44" t="s">
        <v>1542</v>
      </c>
      <c r="BF25" s="44" t="s">
        <v>1542</v>
      </c>
      <c r="BG25" s="44" t="s">
        <v>1542</v>
      </c>
      <c r="BH25" s="44" t="s">
        <v>1542</v>
      </c>
      <c r="BI25" s="44" t="s">
        <v>1542</v>
      </c>
      <c r="BJ25" s="44" t="s">
        <v>1542</v>
      </c>
      <c r="BK25" s="44" t="s">
        <v>1542</v>
      </c>
      <c r="BL25" s="44" t="s">
        <v>1542</v>
      </c>
      <c r="BM25" s="44" t="s">
        <v>1542</v>
      </c>
      <c r="BN25" s="44" t="s">
        <v>1542</v>
      </c>
      <c r="BO25" s="46">
        <f t="shared" si="2"/>
        <v>0</v>
      </c>
      <c r="BP25" s="43" t="s">
        <v>1542</v>
      </c>
      <c r="BQ25" s="43" t="s">
        <v>1542</v>
      </c>
      <c r="BR25" s="43" t="s">
        <v>1542</v>
      </c>
      <c r="BS25" s="43" t="s">
        <v>1542</v>
      </c>
      <c r="BT25" s="43" t="s">
        <v>1542</v>
      </c>
      <c r="BU25" s="43" t="s">
        <v>1542</v>
      </c>
      <c r="BV25" s="43" t="s">
        <v>1542</v>
      </c>
      <c r="BW25" s="43" t="s">
        <v>1542</v>
      </c>
      <c r="BX25" s="43" t="s">
        <v>1542</v>
      </c>
      <c r="BY25" s="43" t="s">
        <v>1542</v>
      </c>
      <c r="BZ25" s="43" t="s">
        <v>1542</v>
      </c>
      <c r="CA25" s="43" t="s">
        <v>1542</v>
      </c>
    </row>
    <row r="26" spans="1:79">
      <c r="A26">
        <v>25</v>
      </c>
      <c r="B26">
        <v>1</v>
      </c>
      <c r="C26" t="s">
        <v>1532</v>
      </c>
      <c r="D26" t="s">
        <v>1533</v>
      </c>
      <c r="E26" t="s">
        <v>1619</v>
      </c>
      <c r="F26" t="s">
        <v>1620</v>
      </c>
      <c r="G26" t="s">
        <v>1653</v>
      </c>
      <c r="H26" t="s">
        <v>1653</v>
      </c>
      <c r="J26" t="s">
        <v>1654</v>
      </c>
      <c r="K26" t="s">
        <v>1655</v>
      </c>
      <c r="M26" s="1" t="s">
        <v>1656</v>
      </c>
      <c r="N26" t="s">
        <v>1657</v>
      </c>
      <c r="O26" s="46">
        <f t="shared" si="3"/>
        <v>0</v>
      </c>
      <c r="P26" s="43" t="s">
        <v>1542</v>
      </c>
      <c r="Q26" s="43" t="s">
        <v>1542</v>
      </c>
      <c r="R26" s="43" t="s">
        <v>1542</v>
      </c>
      <c r="S26" s="43" t="s">
        <v>1542</v>
      </c>
      <c r="T26" s="43" t="s">
        <v>1542</v>
      </c>
      <c r="U26" s="43" t="s">
        <v>1542</v>
      </c>
      <c r="V26" s="43" t="s">
        <v>1542</v>
      </c>
      <c r="W26" s="43" t="s">
        <v>1542</v>
      </c>
      <c r="X26" s="43" t="s">
        <v>1542</v>
      </c>
      <c r="Y26" s="43" t="s">
        <v>1542</v>
      </c>
      <c r="Z26" s="43" t="s">
        <v>1542</v>
      </c>
      <c r="AA26" s="43" t="s">
        <v>1542</v>
      </c>
      <c r="AB26" s="46">
        <f t="shared" si="4"/>
        <v>3</v>
      </c>
      <c r="AC26" s="44" t="s">
        <v>1542</v>
      </c>
      <c r="AD26" s="44" t="s">
        <v>1542</v>
      </c>
      <c r="AE26" s="44" t="s">
        <v>1554</v>
      </c>
      <c r="AF26" s="44" t="s">
        <v>1554</v>
      </c>
      <c r="AG26" s="44" t="s">
        <v>1554</v>
      </c>
      <c r="AH26" s="44" t="s">
        <v>1542</v>
      </c>
      <c r="AI26" s="44" t="s">
        <v>1542</v>
      </c>
      <c r="AJ26" s="44" t="s">
        <v>1542</v>
      </c>
      <c r="AK26" s="44" t="s">
        <v>1542</v>
      </c>
      <c r="AL26" s="44" t="s">
        <v>1542</v>
      </c>
      <c r="AM26" s="44" t="s">
        <v>1542</v>
      </c>
      <c r="AN26" s="44" t="s">
        <v>1542</v>
      </c>
      <c r="AO26" s="46">
        <f t="shared" si="0"/>
        <v>3</v>
      </c>
      <c r="AP26" s="43" t="s">
        <v>1542</v>
      </c>
      <c r="AQ26" s="43" t="s">
        <v>1542</v>
      </c>
      <c r="AR26" s="43" t="s">
        <v>1542</v>
      </c>
      <c r="AS26" s="43" t="s">
        <v>1542</v>
      </c>
      <c r="AT26" s="43" t="s">
        <v>1542</v>
      </c>
      <c r="AU26" s="43" t="s">
        <v>1542</v>
      </c>
      <c r="AV26" s="43" t="s">
        <v>1542</v>
      </c>
      <c r="AW26" s="43" t="s">
        <v>1542</v>
      </c>
      <c r="AX26" s="43" t="s">
        <v>1542</v>
      </c>
      <c r="AY26" s="43" t="s">
        <v>1542</v>
      </c>
      <c r="AZ26" s="43" t="s">
        <v>1542</v>
      </c>
      <c r="BA26" s="43" t="s">
        <v>1542</v>
      </c>
      <c r="BB26" s="46">
        <f t="shared" si="1"/>
        <v>0</v>
      </c>
      <c r="BC26" s="44" t="s">
        <v>1542</v>
      </c>
      <c r="BD26" s="44" t="s">
        <v>1542</v>
      </c>
      <c r="BE26" s="44" t="s">
        <v>1542</v>
      </c>
      <c r="BF26" s="44" t="s">
        <v>1542</v>
      </c>
      <c r="BG26" s="44" t="s">
        <v>1542</v>
      </c>
      <c r="BH26" s="44" t="s">
        <v>1542</v>
      </c>
      <c r="BI26" s="44" t="s">
        <v>1542</v>
      </c>
      <c r="BJ26" s="44" t="s">
        <v>1542</v>
      </c>
      <c r="BK26" s="44" t="s">
        <v>1542</v>
      </c>
      <c r="BL26" s="44" t="s">
        <v>1542</v>
      </c>
      <c r="BM26" s="44" t="s">
        <v>1542</v>
      </c>
      <c r="BN26" s="44" t="s">
        <v>1542</v>
      </c>
      <c r="BO26" s="46">
        <f t="shared" si="2"/>
        <v>0</v>
      </c>
      <c r="BP26" s="43" t="s">
        <v>1542</v>
      </c>
      <c r="BQ26" s="43" t="s">
        <v>1542</v>
      </c>
      <c r="BR26" s="43" t="s">
        <v>1542</v>
      </c>
      <c r="BS26" s="43" t="s">
        <v>1542</v>
      </c>
      <c r="BT26" s="43" t="s">
        <v>1542</v>
      </c>
      <c r="BU26" s="43" t="s">
        <v>1542</v>
      </c>
      <c r="BV26" s="43" t="s">
        <v>1542</v>
      </c>
      <c r="BW26" s="43" t="s">
        <v>1542</v>
      </c>
      <c r="BX26" s="43" t="s">
        <v>1542</v>
      </c>
      <c r="BY26" s="43" t="s">
        <v>1542</v>
      </c>
      <c r="BZ26" s="43" t="s">
        <v>1542</v>
      </c>
      <c r="CA26" s="43" t="s">
        <v>1542</v>
      </c>
    </row>
    <row r="27" spans="1:79">
      <c r="A27">
        <v>26</v>
      </c>
      <c r="C27" t="s">
        <v>1532</v>
      </c>
      <c r="D27" t="s">
        <v>1533</v>
      </c>
      <c r="E27" t="s">
        <v>1619</v>
      </c>
      <c r="F27" t="s">
        <v>1620</v>
      </c>
      <c r="G27" t="s">
        <v>1653</v>
      </c>
      <c r="H27" t="s">
        <v>1658</v>
      </c>
      <c r="I27" t="s">
        <v>1658</v>
      </c>
      <c r="J27" t="s">
        <v>1654</v>
      </c>
      <c r="K27" t="s">
        <v>1655</v>
      </c>
      <c r="M27" s="1" t="s">
        <v>1659</v>
      </c>
      <c r="N27" t="s">
        <v>1660</v>
      </c>
      <c r="O27" s="46">
        <f t="shared" si="3"/>
        <v>0</v>
      </c>
      <c r="P27" s="43"/>
      <c r="Q27" s="43"/>
      <c r="R27" s="43"/>
      <c r="S27" s="43"/>
      <c r="T27" s="43"/>
      <c r="U27" s="43"/>
      <c r="V27" s="43"/>
      <c r="W27" s="43"/>
      <c r="X27" s="43"/>
      <c r="Y27" s="43"/>
      <c r="Z27" s="43"/>
      <c r="AA27" s="43"/>
      <c r="AB27" s="46">
        <f t="shared" si="4"/>
        <v>4</v>
      </c>
      <c r="AC27" s="44"/>
      <c r="AD27" s="44"/>
      <c r="AE27" s="44"/>
      <c r="AF27" s="44" t="s">
        <v>1554</v>
      </c>
      <c r="AG27" s="44" t="s">
        <v>1554</v>
      </c>
      <c r="AH27" s="44" t="s">
        <v>1554</v>
      </c>
      <c r="AI27" s="44" t="s">
        <v>1554</v>
      </c>
      <c r="AJ27" s="44"/>
      <c r="AK27" s="44"/>
      <c r="AL27" s="44"/>
      <c r="AM27" s="44"/>
      <c r="AN27" s="44"/>
      <c r="AO27" s="46">
        <f t="shared" si="0"/>
        <v>4</v>
      </c>
      <c r="AP27" s="43"/>
      <c r="AQ27" s="43"/>
      <c r="AR27" s="43"/>
      <c r="AS27" s="43"/>
      <c r="AT27" s="43"/>
      <c r="AU27" s="43"/>
      <c r="AV27" s="43"/>
      <c r="AW27" s="43"/>
      <c r="AX27" s="43"/>
      <c r="AY27" s="43"/>
      <c r="AZ27" s="43"/>
      <c r="BA27" s="43"/>
      <c r="BB27" s="46">
        <f t="shared" si="1"/>
        <v>0</v>
      </c>
      <c r="BC27" s="44"/>
      <c r="BD27" s="44"/>
      <c r="BE27" s="44"/>
      <c r="BF27" s="44"/>
      <c r="BG27" s="44"/>
      <c r="BH27" s="44"/>
      <c r="BI27" s="44"/>
      <c r="BJ27" s="44"/>
      <c r="BK27" s="44"/>
      <c r="BL27" s="44"/>
      <c r="BM27" s="44"/>
      <c r="BN27" s="44"/>
      <c r="BO27" s="46">
        <f t="shared" si="2"/>
        <v>0</v>
      </c>
      <c r="BP27" s="43"/>
      <c r="BQ27" s="43"/>
      <c r="BR27" s="43"/>
      <c r="BS27" s="43"/>
      <c r="BT27" s="43"/>
      <c r="BU27" s="43"/>
      <c r="BV27" s="43"/>
      <c r="BW27" s="43"/>
      <c r="BX27" s="43"/>
      <c r="BY27" s="43"/>
      <c r="BZ27" s="43"/>
      <c r="CA27" s="43"/>
    </row>
    <row r="28" spans="1:79">
      <c r="A28">
        <v>27</v>
      </c>
      <c r="B28">
        <v>1</v>
      </c>
      <c r="C28" t="s">
        <v>1532</v>
      </c>
      <c r="D28" t="s">
        <v>1533</v>
      </c>
      <c r="E28" t="s">
        <v>1619</v>
      </c>
      <c r="F28" t="s">
        <v>1620</v>
      </c>
      <c r="G28" t="s">
        <v>1661</v>
      </c>
      <c r="H28" t="s">
        <v>1661</v>
      </c>
      <c r="J28" t="s">
        <v>1662</v>
      </c>
      <c r="K28" t="s">
        <v>1663</v>
      </c>
      <c r="L28" t="s">
        <v>1539</v>
      </c>
      <c r="M28" s="1" t="s">
        <v>1664</v>
      </c>
      <c r="N28" t="s">
        <v>1665</v>
      </c>
      <c r="O28" s="46">
        <f t="shared" si="3"/>
        <v>0</v>
      </c>
      <c r="P28" s="43" t="s">
        <v>1542</v>
      </c>
      <c r="Q28" s="43" t="s">
        <v>1542</v>
      </c>
      <c r="R28" s="43" t="s">
        <v>1542</v>
      </c>
      <c r="S28" s="43" t="s">
        <v>1542</v>
      </c>
      <c r="T28" s="43" t="s">
        <v>1542</v>
      </c>
      <c r="U28" s="43" t="s">
        <v>1542</v>
      </c>
      <c r="V28" s="43" t="s">
        <v>1542</v>
      </c>
      <c r="W28" s="43" t="s">
        <v>1542</v>
      </c>
      <c r="X28" s="43" t="s">
        <v>1542</v>
      </c>
      <c r="Y28" s="43" t="s">
        <v>1542</v>
      </c>
      <c r="Z28" s="43" t="s">
        <v>1542</v>
      </c>
      <c r="AA28" s="43" t="s">
        <v>1542</v>
      </c>
      <c r="AB28" s="46">
        <f t="shared" si="4"/>
        <v>0</v>
      </c>
      <c r="AC28" s="44" t="s">
        <v>1542</v>
      </c>
      <c r="AD28" s="44" t="s">
        <v>1542</v>
      </c>
      <c r="AE28" s="44" t="s">
        <v>1542</v>
      </c>
      <c r="AF28" s="44" t="s">
        <v>1542</v>
      </c>
      <c r="AG28" s="44" t="s">
        <v>1542</v>
      </c>
      <c r="AH28" s="44" t="s">
        <v>1542</v>
      </c>
      <c r="AI28" s="44" t="s">
        <v>1542</v>
      </c>
      <c r="AJ28" s="44" t="s">
        <v>1542</v>
      </c>
      <c r="AK28" s="44" t="s">
        <v>1542</v>
      </c>
      <c r="AL28" s="44" t="s">
        <v>1542</v>
      </c>
      <c r="AM28" s="44" t="s">
        <v>1542</v>
      </c>
      <c r="AN28" s="44" t="s">
        <v>1542</v>
      </c>
      <c r="AO28" s="46">
        <f t="shared" si="0"/>
        <v>0</v>
      </c>
      <c r="AP28" s="43" t="s">
        <v>1542</v>
      </c>
      <c r="AQ28" s="43" t="s">
        <v>1542</v>
      </c>
      <c r="AR28" s="43" t="s">
        <v>1542</v>
      </c>
      <c r="AS28" s="43" t="s">
        <v>1542</v>
      </c>
      <c r="AT28" s="43" t="s">
        <v>1542</v>
      </c>
      <c r="AU28" s="43" t="s">
        <v>1542</v>
      </c>
      <c r="AV28" s="43" t="s">
        <v>1542</v>
      </c>
      <c r="AW28" s="43" t="s">
        <v>1542</v>
      </c>
      <c r="AX28" s="43" t="s">
        <v>1542</v>
      </c>
      <c r="AY28" s="43" t="s">
        <v>1542</v>
      </c>
      <c r="AZ28" s="43" t="s">
        <v>1542</v>
      </c>
      <c r="BA28" s="43" t="s">
        <v>1542</v>
      </c>
      <c r="BB28" s="46">
        <f t="shared" si="1"/>
        <v>0</v>
      </c>
      <c r="BC28" s="44" t="s">
        <v>1542</v>
      </c>
      <c r="BD28" s="44" t="s">
        <v>1542</v>
      </c>
      <c r="BE28" s="44" t="s">
        <v>1542</v>
      </c>
      <c r="BF28" s="44" t="s">
        <v>1542</v>
      </c>
      <c r="BG28" s="44" t="s">
        <v>1542</v>
      </c>
      <c r="BH28" s="44" t="s">
        <v>1542</v>
      </c>
      <c r="BI28" s="44" t="s">
        <v>1542</v>
      </c>
      <c r="BJ28" s="44" t="s">
        <v>1542</v>
      </c>
      <c r="BK28" s="44" t="s">
        <v>1542</v>
      </c>
      <c r="BL28" s="44" t="s">
        <v>1542</v>
      </c>
      <c r="BM28" s="44" t="s">
        <v>1542</v>
      </c>
      <c r="BN28" s="44" t="s">
        <v>1542</v>
      </c>
      <c r="BO28" s="46">
        <f t="shared" si="2"/>
        <v>0</v>
      </c>
      <c r="BP28" s="43" t="s">
        <v>1542</v>
      </c>
      <c r="BQ28" s="43" t="s">
        <v>1542</v>
      </c>
      <c r="BR28" s="43" t="s">
        <v>1542</v>
      </c>
      <c r="BS28" s="43" t="s">
        <v>1542</v>
      </c>
      <c r="BT28" s="43" t="s">
        <v>1542</v>
      </c>
      <c r="BU28" s="43" t="s">
        <v>1542</v>
      </c>
      <c r="BV28" s="43" t="s">
        <v>1542</v>
      </c>
      <c r="BW28" s="43" t="s">
        <v>1542</v>
      </c>
      <c r="BX28" s="43" t="s">
        <v>1542</v>
      </c>
      <c r="BY28" s="43" t="s">
        <v>1542</v>
      </c>
      <c r="BZ28" s="43" t="s">
        <v>1542</v>
      </c>
      <c r="CA28" s="43" t="s">
        <v>1542</v>
      </c>
    </row>
    <row r="29" spans="1:79">
      <c r="A29">
        <v>28</v>
      </c>
      <c r="B29">
        <v>1</v>
      </c>
      <c r="C29" t="s">
        <v>1532</v>
      </c>
      <c r="D29" t="s">
        <v>1533</v>
      </c>
      <c r="E29" t="s">
        <v>1619</v>
      </c>
      <c r="F29" t="s">
        <v>1620</v>
      </c>
      <c r="G29" t="s">
        <v>1666</v>
      </c>
      <c r="H29" t="s">
        <v>1666</v>
      </c>
      <c r="J29" t="s">
        <v>1667</v>
      </c>
      <c r="K29" t="s">
        <v>1668</v>
      </c>
      <c r="L29" t="s">
        <v>1539</v>
      </c>
      <c r="M29" s="1" t="s">
        <v>1669</v>
      </c>
      <c r="N29" t="s">
        <v>1670</v>
      </c>
      <c r="O29" s="46">
        <f t="shared" si="3"/>
        <v>0</v>
      </c>
      <c r="P29" s="43" t="s">
        <v>1542</v>
      </c>
      <c r="Q29" s="43" t="s">
        <v>1542</v>
      </c>
      <c r="R29" s="43" t="s">
        <v>1542</v>
      </c>
      <c r="S29" s="43" t="s">
        <v>1542</v>
      </c>
      <c r="T29" s="43" t="s">
        <v>1542</v>
      </c>
      <c r="U29" s="43" t="s">
        <v>1542</v>
      </c>
      <c r="V29" s="43" t="s">
        <v>1542</v>
      </c>
      <c r="W29" s="43" t="s">
        <v>1542</v>
      </c>
      <c r="X29" s="43" t="s">
        <v>1542</v>
      </c>
      <c r="Y29" s="43" t="s">
        <v>1542</v>
      </c>
      <c r="Z29" s="43" t="s">
        <v>1542</v>
      </c>
      <c r="AA29" s="43" t="s">
        <v>1542</v>
      </c>
      <c r="AB29" s="46">
        <f t="shared" si="4"/>
        <v>0</v>
      </c>
      <c r="AC29" s="44" t="s">
        <v>1542</v>
      </c>
      <c r="AD29" s="44" t="s">
        <v>1542</v>
      </c>
      <c r="AE29" s="44" t="s">
        <v>1542</v>
      </c>
      <c r="AF29" s="44" t="s">
        <v>1542</v>
      </c>
      <c r="AG29" s="44" t="s">
        <v>1542</v>
      </c>
      <c r="AH29" s="44" t="s">
        <v>1542</v>
      </c>
      <c r="AI29" s="44" t="s">
        <v>1542</v>
      </c>
      <c r="AJ29" s="44" t="s">
        <v>1542</v>
      </c>
      <c r="AK29" s="44" t="s">
        <v>1542</v>
      </c>
      <c r="AL29" s="44" t="s">
        <v>1542</v>
      </c>
      <c r="AM29" s="44" t="s">
        <v>1542</v>
      </c>
      <c r="AN29" s="44" t="s">
        <v>1542</v>
      </c>
      <c r="AO29" s="46">
        <f t="shared" si="0"/>
        <v>0</v>
      </c>
      <c r="AP29" s="43" t="s">
        <v>1542</v>
      </c>
      <c r="AQ29" s="43" t="s">
        <v>1542</v>
      </c>
      <c r="AR29" s="43" t="s">
        <v>1542</v>
      </c>
      <c r="AS29" s="43" t="s">
        <v>1542</v>
      </c>
      <c r="AT29" s="43" t="s">
        <v>1542</v>
      </c>
      <c r="AU29" s="43" t="s">
        <v>1542</v>
      </c>
      <c r="AV29" s="43" t="s">
        <v>1542</v>
      </c>
      <c r="AW29" s="43" t="s">
        <v>1542</v>
      </c>
      <c r="AX29" s="43" t="s">
        <v>1542</v>
      </c>
      <c r="AY29" s="43" t="s">
        <v>1542</v>
      </c>
      <c r="AZ29" s="43" t="s">
        <v>1542</v>
      </c>
      <c r="BA29" s="43" t="s">
        <v>1542</v>
      </c>
      <c r="BB29" s="46">
        <f t="shared" si="1"/>
        <v>0</v>
      </c>
      <c r="BC29" s="44" t="s">
        <v>1542</v>
      </c>
      <c r="BD29" s="44" t="s">
        <v>1542</v>
      </c>
      <c r="BE29" s="44" t="s">
        <v>1542</v>
      </c>
      <c r="BF29" s="44" t="s">
        <v>1542</v>
      </c>
      <c r="BG29" s="44" t="s">
        <v>1542</v>
      </c>
      <c r="BH29" s="44" t="s">
        <v>1542</v>
      </c>
      <c r="BI29" s="44" t="s">
        <v>1542</v>
      </c>
      <c r="BJ29" s="44" t="s">
        <v>1542</v>
      </c>
      <c r="BK29" s="44" t="s">
        <v>1542</v>
      </c>
      <c r="BL29" s="44" t="s">
        <v>1542</v>
      </c>
      <c r="BM29" s="44" t="s">
        <v>1542</v>
      </c>
      <c r="BN29" s="44" t="s">
        <v>1542</v>
      </c>
      <c r="BO29" s="46">
        <f t="shared" si="2"/>
        <v>0</v>
      </c>
      <c r="BP29" s="43" t="s">
        <v>1542</v>
      </c>
      <c r="BQ29" s="43" t="s">
        <v>1542</v>
      </c>
      <c r="BR29" s="43" t="s">
        <v>1542</v>
      </c>
      <c r="BS29" s="43" t="s">
        <v>1542</v>
      </c>
      <c r="BT29" s="43" t="s">
        <v>1542</v>
      </c>
      <c r="BU29" s="43" t="s">
        <v>1542</v>
      </c>
      <c r="BV29" s="43" t="s">
        <v>1542</v>
      </c>
      <c r="BW29" s="43" t="s">
        <v>1542</v>
      </c>
      <c r="BX29" s="43" t="s">
        <v>1542</v>
      </c>
      <c r="BY29" s="43" t="s">
        <v>1542</v>
      </c>
      <c r="BZ29" s="43" t="s">
        <v>1542</v>
      </c>
      <c r="CA29" s="43" t="s">
        <v>1542</v>
      </c>
    </row>
    <row r="30" spans="1:79">
      <c r="A30">
        <v>29</v>
      </c>
      <c r="B30">
        <v>1</v>
      </c>
      <c r="C30" t="s">
        <v>1532</v>
      </c>
      <c r="D30" t="s">
        <v>1533</v>
      </c>
      <c r="E30" t="s">
        <v>1619</v>
      </c>
      <c r="F30" t="s">
        <v>1620</v>
      </c>
      <c r="G30" t="s">
        <v>1671</v>
      </c>
      <c r="H30" t="s">
        <v>1671</v>
      </c>
      <c r="J30" t="s">
        <v>1672</v>
      </c>
      <c r="K30" t="s">
        <v>1673</v>
      </c>
      <c r="L30" t="s">
        <v>1539</v>
      </c>
      <c r="M30" s="1" t="s">
        <v>1674</v>
      </c>
      <c r="N30" t="s">
        <v>1675</v>
      </c>
      <c r="O30" s="46">
        <f t="shared" si="3"/>
        <v>0</v>
      </c>
      <c r="P30" s="43" t="s">
        <v>1542</v>
      </c>
      <c r="Q30" s="43" t="s">
        <v>1542</v>
      </c>
      <c r="R30" s="43" t="s">
        <v>1542</v>
      </c>
      <c r="S30" s="43" t="s">
        <v>1542</v>
      </c>
      <c r="T30" s="43" t="s">
        <v>1542</v>
      </c>
      <c r="U30" s="43" t="s">
        <v>1542</v>
      </c>
      <c r="V30" s="43" t="s">
        <v>1542</v>
      </c>
      <c r="W30" s="43" t="s">
        <v>1542</v>
      </c>
      <c r="X30" s="43" t="s">
        <v>1542</v>
      </c>
      <c r="Y30" s="43" t="s">
        <v>1542</v>
      </c>
      <c r="Z30" s="43" t="s">
        <v>1542</v>
      </c>
      <c r="AA30" s="43" t="s">
        <v>1542</v>
      </c>
      <c r="AB30" s="46">
        <f t="shared" si="4"/>
        <v>0</v>
      </c>
      <c r="AC30" s="44" t="s">
        <v>1542</v>
      </c>
      <c r="AD30" s="44" t="s">
        <v>1542</v>
      </c>
      <c r="AE30" s="44" t="s">
        <v>1542</v>
      </c>
      <c r="AF30" s="44" t="s">
        <v>1542</v>
      </c>
      <c r="AG30" s="44" t="s">
        <v>1542</v>
      </c>
      <c r="AH30" s="44" t="s">
        <v>1542</v>
      </c>
      <c r="AI30" s="44" t="s">
        <v>1542</v>
      </c>
      <c r="AJ30" s="44" t="s">
        <v>1542</v>
      </c>
      <c r="AK30" s="44" t="s">
        <v>1542</v>
      </c>
      <c r="AL30" s="44" t="s">
        <v>1542</v>
      </c>
      <c r="AM30" s="44" t="s">
        <v>1542</v>
      </c>
      <c r="AN30" s="44" t="s">
        <v>1542</v>
      </c>
      <c r="AO30" s="46">
        <f t="shared" si="0"/>
        <v>0</v>
      </c>
      <c r="AP30" s="43" t="s">
        <v>1542</v>
      </c>
      <c r="AQ30" s="43" t="s">
        <v>1542</v>
      </c>
      <c r="AR30" s="43" t="s">
        <v>1542</v>
      </c>
      <c r="AS30" s="43" t="s">
        <v>1542</v>
      </c>
      <c r="AT30" s="43" t="s">
        <v>1542</v>
      </c>
      <c r="AU30" s="43" t="s">
        <v>1542</v>
      </c>
      <c r="AV30" s="43" t="s">
        <v>1542</v>
      </c>
      <c r="AW30" s="43" t="s">
        <v>1542</v>
      </c>
      <c r="AX30" s="43" t="s">
        <v>1542</v>
      </c>
      <c r="AY30" s="43" t="s">
        <v>1542</v>
      </c>
      <c r="AZ30" s="43" t="s">
        <v>1542</v>
      </c>
      <c r="BA30" s="43" t="s">
        <v>1542</v>
      </c>
      <c r="BB30" s="46">
        <f t="shared" si="1"/>
        <v>0</v>
      </c>
      <c r="BC30" s="44" t="s">
        <v>1542</v>
      </c>
      <c r="BD30" s="44" t="s">
        <v>1542</v>
      </c>
      <c r="BE30" s="44" t="s">
        <v>1542</v>
      </c>
      <c r="BF30" s="44" t="s">
        <v>1542</v>
      </c>
      <c r="BG30" s="44" t="s">
        <v>1542</v>
      </c>
      <c r="BH30" s="44" t="s">
        <v>1542</v>
      </c>
      <c r="BI30" s="44" t="s">
        <v>1542</v>
      </c>
      <c r="BJ30" s="44" t="s">
        <v>1542</v>
      </c>
      <c r="BK30" s="44" t="s">
        <v>1542</v>
      </c>
      <c r="BL30" s="44" t="s">
        <v>1542</v>
      </c>
      <c r="BM30" s="44" t="s">
        <v>1542</v>
      </c>
      <c r="BN30" s="44" t="s">
        <v>1542</v>
      </c>
      <c r="BO30" s="46">
        <f t="shared" si="2"/>
        <v>0</v>
      </c>
      <c r="BP30" s="43" t="s">
        <v>1542</v>
      </c>
      <c r="BQ30" s="43" t="s">
        <v>1542</v>
      </c>
      <c r="BR30" s="43" t="s">
        <v>1542</v>
      </c>
      <c r="BS30" s="43" t="s">
        <v>1542</v>
      </c>
      <c r="BT30" s="43" t="s">
        <v>1542</v>
      </c>
      <c r="BU30" s="43" t="s">
        <v>1542</v>
      </c>
      <c r="BV30" s="43" t="s">
        <v>1542</v>
      </c>
      <c r="BW30" s="43" t="s">
        <v>1542</v>
      </c>
      <c r="BX30" s="43" t="s">
        <v>1542</v>
      </c>
      <c r="BY30" s="43" t="s">
        <v>1542</v>
      </c>
      <c r="BZ30" s="43" t="s">
        <v>1542</v>
      </c>
      <c r="CA30" s="43" t="s">
        <v>1542</v>
      </c>
    </row>
    <row r="31" spans="1:79">
      <c r="A31">
        <v>30</v>
      </c>
      <c r="B31">
        <v>1</v>
      </c>
      <c r="C31" t="s">
        <v>1532</v>
      </c>
      <c r="D31" t="s">
        <v>1533</v>
      </c>
      <c r="E31" t="s">
        <v>1619</v>
      </c>
      <c r="F31" t="s">
        <v>1620</v>
      </c>
      <c r="G31" t="s">
        <v>1676</v>
      </c>
      <c r="H31" t="s">
        <v>1676</v>
      </c>
      <c r="J31" t="s">
        <v>1677</v>
      </c>
      <c r="K31" t="s">
        <v>1678</v>
      </c>
      <c r="M31" s="1" t="s">
        <v>1679</v>
      </c>
      <c r="N31" t="s">
        <v>1680</v>
      </c>
      <c r="O31" s="46">
        <f t="shared" si="3"/>
        <v>0</v>
      </c>
      <c r="P31" s="43" t="s">
        <v>1542</v>
      </c>
      <c r="Q31" s="43" t="s">
        <v>1542</v>
      </c>
      <c r="R31" s="43" t="s">
        <v>1542</v>
      </c>
      <c r="S31" s="43" t="s">
        <v>1542</v>
      </c>
      <c r="T31" s="43" t="s">
        <v>1542</v>
      </c>
      <c r="U31" s="43" t="s">
        <v>1542</v>
      </c>
      <c r="V31" s="43" t="s">
        <v>1542</v>
      </c>
      <c r="W31" s="43" t="s">
        <v>1542</v>
      </c>
      <c r="X31" s="43" t="s">
        <v>1542</v>
      </c>
      <c r="Y31" s="43" t="s">
        <v>1542</v>
      </c>
      <c r="Z31" s="43" t="s">
        <v>1542</v>
      </c>
      <c r="AA31" s="43" t="s">
        <v>1542</v>
      </c>
      <c r="AB31" s="46">
        <f t="shared" si="4"/>
        <v>0</v>
      </c>
      <c r="AC31" s="44" t="s">
        <v>1542</v>
      </c>
      <c r="AD31" s="44" t="s">
        <v>1542</v>
      </c>
      <c r="AE31" s="44" t="s">
        <v>1542</v>
      </c>
      <c r="AF31" s="44" t="s">
        <v>1542</v>
      </c>
      <c r="AG31" s="44" t="s">
        <v>1542</v>
      </c>
      <c r="AH31" s="44" t="s">
        <v>1542</v>
      </c>
      <c r="AI31" s="44" t="s">
        <v>1542</v>
      </c>
      <c r="AJ31" s="44" t="s">
        <v>1542</v>
      </c>
      <c r="AK31" s="44" t="s">
        <v>1542</v>
      </c>
      <c r="AL31" s="44" t="s">
        <v>1542</v>
      </c>
      <c r="AM31" s="44" t="s">
        <v>1542</v>
      </c>
      <c r="AN31" s="44" t="s">
        <v>1542</v>
      </c>
      <c r="AO31" s="46">
        <f t="shared" si="0"/>
        <v>0</v>
      </c>
      <c r="AP31" s="43" t="s">
        <v>1542</v>
      </c>
      <c r="AQ31" s="43" t="s">
        <v>1542</v>
      </c>
      <c r="AR31" s="43" t="s">
        <v>1542</v>
      </c>
      <c r="AS31" s="43" t="s">
        <v>1542</v>
      </c>
      <c r="AT31" s="43" t="s">
        <v>1542</v>
      </c>
      <c r="AU31" s="43" t="s">
        <v>1542</v>
      </c>
      <c r="AV31" s="43" t="s">
        <v>1542</v>
      </c>
      <c r="AW31" s="43" t="s">
        <v>1542</v>
      </c>
      <c r="AX31" s="43" t="s">
        <v>1542</v>
      </c>
      <c r="AY31" s="43" t="s">
        <v>1542</v>
      </c>
      <c r="AZ31" s="43" t="s">
        <v>1542</v>
      </c>
      <c r="BA31" s="43" t="s">
        <v>1542</v>
      </c>
      <c r="BB31" s="46">
        <f t="shared" si="1"/>
        <v>0</v>
      </c>
      <c r="BC31" s="44" t="s">
        <v>1542</v>
      </c>
      <c r="BD31" s="44" t="s">
        <v>1542</v>
      </c>
      <c r="BE31" s="44" t="s">
        <v>1542</v>
      </c>
      <c r="BF31" s="44" t="s">
        <v>1542</v>
      </c>
      <c r="BG31" s="44" t="s">
        <v>1542</v>
      </c>
      <c r="BH31" s="44" t="s">
        <v>1542</v>
      </c>
      <c r="BI31" s="44" t="s">
        <v>1542</v>
      </c>
      <c r="BJ31" s="44" t="s">
        <v>1542</v>
      </c>
      <c r="BK31" s="44" t="s">
        <v>1542</v>
      </c>
      <c r="BL31" s="44" t="s">
        <v>1542</v>
      </c>
      <c r="BM31" s="44" t="s">
        <v>1542</v>
      </c>
      <c r="BN31" s="44" t="s">
        <v>1542</v>
      </c>
      <c r="BO31" s="46">
        <f t="shared" si="2"/>
        <v>0</v>
      </c>
      <c r="BP31" s="43" t="s">
        <v>1542</v>
      </c>
      <c r="BQ31" s="43" t="s">
        <v>1542</v>
      </c>
      <c r="BR31" s="43" t="s">
        <v>1542</v>
      </c>
      <c r="BS31" s="43" t="s">
        <v>1542</v>
      </c>
      <c r="BT31" s="43" t="s">
        <v>1542</v>
      </c>
      <c r="BU31" s="43" t="s">
        <v>1542</v>
      </c>
      <c r="BV31" s="43" t="s">
        <v>1542</v>
      </c>
      <c r="BW31" s="43" t="s">
        <v>1542</v>
      </c>
      <c r="BX31" s="43" t="s">
        <v>1542</v>
      </c>
      <c r="BY31" s="43" t="s">
        <v>1542</v>
      </c>
      <c r="BZ31" s="43" t="s">
        <v>1542</v>
      </c>
      <c r="CA31" s="43" t="s">
        <v>1542</v>
      </c>
    </row>
    <row r="32" spans="1:79">
      <c r="A32">
        <v>31</v>
      </c>
      <c r="C32" t="s">
        <v>1532</v>
      </c>
      <c r="D32" t="s">
        <v>1533</v>
      </c>
      <c r="E32" t="s">
        <v>1619</v>
      </c>
      <c r="F32" t="s">
        <v>1620</v>
      </c>
      <c r="G32" t="s">
        <v>1676</v>
      </c>
      <c r="H32" t="s">
        <v>1681</v>
      </c>
      <c r="I32" t="s">
        <v>1681</v>
      </c>
      <c r="J32" t="s">
        <v>1677</v>
      </c>
      <c r="K32" t="s">
        <v>1678</v>
      </c>
      <c r="M32" s="1" t="s">
        <v>1682</v>
      </c>
      <c r="N32" t="s">
        <v>1633</v>
      </c>
      <c r="O32" s="46">
        <f t="shared" si="3"/>
        <v>0</v>
      </c>
      <c r="P32" s="43"/>
      <c r="Q32" s="43"/>
      <c r="R32" s="43"/>
      <c r="S32" s="43"/>
      <c r="T32" s="43"/>
      <c r="U32" s="43"/>
      <c r="V32" s="43"/>
      <c r="W32" s="43"/>
      <c r="X32" s="43"/>
      <c r="Y32" s="43"/>
      <c r="Z32" s="43"/>
      <c r="AA32" s="43"/>
      <c r="AB32" s="46">
        <f t="shared" si="4"/>
        <v>0</v>
      </c>
      <c r="AC32" s="44" t="s">
        <v>1542</v>
      </c>
      <c r="AD32" s="44" t="s">
        <v>1542</v>
      </c>
      <c r="AE32" s="44" t="s">
        <v>1542</v>
      </c>
      <c r="AF32" s="44" t="s">
        <v>1542</v>
      </c>
      <c r="AG32" s="44" t="s">
        <v>1542</v>
      </c>
      <c r="AH32" s="44" t="s">
        <v>1542</v>
      </c>
      <c r="AI32" s="44" t="s">
        <v>1542</v>
      </c>
      <c r="AJ32" s="44"/>
      <c r="AK32" s="44"/>
      <c r="AL32" s="44"/>
      <c r="AM32" s="44"/>
      <c r="AN32" s="44"/>
      <c r="AO32" s="46">
        <f t="shared" si="0"/>
        <v>0</v>
      </c>
      <c r="AP32" s="43"/>
      <c r="AQ32" s="43"/>
      <c r="AR32" s="43"/>
      <c r="AS32" s="43"/>
      <c r="AT32" s="43"/>
      <c r="AU32" s="43"/>
      <c r="AV32" s="43"/>
      <c r="AW32" s="43"/>
      <c r="AX32" s="43"/>
      <c r="AY32" s="43" t="s">
        <v>1554</v>
      </c>
      <c r="AZ32" s="43" t="s">
        <v>1554</v>
      </c>
      <c r="BA32" s="43" t="s">
        <v>1554</v>
      </c>
      <c r="BB32" s="46">
        <f t="shared" si="1"/>
        <v>2</v>
      </c>
      <c r="BC32" s="44"/>
      <c r="BD32" s="44"/>
      <c r="BE32" s="44"/>
      <c r="BF32" s="44"/>
      <c r="BG32" s="44"/>
      <c r="BH32" s="44"/>
      <c r="BI32" s="44"/>
      <c r="BJ32" s="44"/>
      <c r="BK32" s="44"/>
      <c r="BL32" s="44"/>
      <c r="BM32" s="44"/>
      <c r="BN32" s="44"/>
      <c r="BO32" s="46">
        <f t="shared" si="2"/>
        <v>0</v>
      </c>
      <c r="BP32" s="43"/>
      <c r="BQ32" s="43"/>
      <c r="BR32" s="43"/>
      <c r="BS32" s="43"/>
      <c r="BT32" s="43"/>
      <c r="BU32" s="43"/>
      <c r="BV32" s="43"/>
      <c r="BW32" s="43"/>
      <c r="BX32" s="43"/>
      <c r="BY32" s="43"/>
      <c r="BZ32" s="43"/>
      <c r="CA32" s="43"/>
    </row>
    <row r="33" spans="1:79">
      <c r="A33">
        <v>32</v>
      </c>
      <c r="B33">
        <v>1</v>
      </c>
      <c r="C33" t="s">
        <v>1532</v>
      </c>
      <c r="D33" t="s">
        <v>1533</v>
      </c>
      <c r="E33" t="s">
        <v>1619</v>
      </c>
      <c r="F33" t="s">
        <v>1620</v>
      </c>
      <c r="G33" t="s">
        <v>1683</v>
      </c>
      <c r="H33" t="s">
        <v>1683</v>
      </c>
      <c r="J33" t="s">
        <v>1684</v>
      </c>
      <c r="K33" t="s">
        <v>1685</v>
      </c>
      <c r="M33" s="1" t="s">
        <v>1686</v>
      </c>
      <c r="O33" s="46">
        <f t="shared" si="3"/>
        <v>0</v>
      </c>
      <c r="P33" s="43" t="s">
        <v>1542</v>
      </c>
      <c r="Q33" s="43" t="s">
        <v>1542</v>
      </c>
      <c r="R33" s="43" t="s">
        <v>1542</v>
      </c>
      <c r="S33" s="43" t="s">
        <v>1542</v>
      </c>
      <c r="T33" s="43" t="s">
        <v>1542</v>
      </c>
      <c r="U33" s="43" t="s">
        <v>1542</v>
      </c>
      <c r="V33" s="43" t="s">
        <v>1542</v>
      </c>
      <c r="W33" s="43" t="s">
        <v>1542</v>
      </c>
      <c r="X33" s="43" t="s">
        <v>1542</v>
      </c>
      <c r="Y33" s="43" t="s">
        <v>1542</v>
      </c>
      <c r="Z33" s="43" t="s">
        <v>1542</v>
      </c>
      <c r="AA33" s="43" t="s">
        <v>1542</v>
      </c>
      <c r="AB33" s="46">
        <f t="shared" si="4"/>
        <v>0</v>
      </c>
      <c r="AC33" s="44" t="s">
        <v>1542</v>
      </c>
      <c r="AD33" s="44" t="s">
        <v>1542</v>
      </c>
      <c r="AE33" s="44" t="s">
        <v>1542</v>
      </c>
      <c r="AF33" s="44" t="s">
        <v>1542</v>
      </c>
      <c r="AG33" s="44" t="s">
        <v>1542</v>
      </c>
      <c r="AH33" s="44" t="s">
        <v>1542</v>
      </c>
      <c r="AI33" s="44" t="s">
        <v>1542</v>
      </c>
      <c r="AJ33" s="44" t="s">
        <v>1542</v>
      </c>
      <c r="AK33" s="44" t="s">
        <v>1542</v>
      </c>
      <c r="AL33" s="44" t="s">
        <v>1542</v>
      </c>
      <c r="AM33" s="44" t="s">
        <v>1542</v>
      </c>
      <c r="AN33" s="44" t="s">
        <v>1542</v>
      </c>
      <c r="AO33" s="46">
        <f t="shared" si="0"/>
        <v>0</v>
      </c>
      <c r="AP33" s="43" t="s">
        <v>1542</v>
      </c>
      <c r="AQ33" s="43" t="s">
        <v>1542</v>
      </c>
      <c r="AR33" s="43" t="s">
        <v>1542</v>
      </c>
      <c r="AS33" s="43" t="s">
        <v>1542</v>
      </c>
      <c r="AT33" s="43" t="s">
        <v>1542</v>
      </c>
      <c r="AU33" s="43" t="s">
        <v>1542</v>
      </c>
      <c r="AV33" s="43" t="s">
        <v>1542</v>
      </c>
      <c r="AW33" s="43" t="s">
        <v>1542</v>
      </c>
      <c r="AX33" s="43" t="s">
        <v>1542</v>
      </c>
      <c r="AY33" s="43" t="s">
        <v>1542</v>
      </c>
      <c r="AZ33" s="43" t="s">
        <v>1542</v>
      </c>
      <c r="BA33" s="43" t="s">
        <v>1542</v>
      </c>
      <c r="BB33" s="46">
        <f t="shared" si="1"/>
        <v>0</v>
      </c>
      <c r="BC33" s="44" t="s">
        <v>1542</v>
      </c>
      <c r="BD33" s="44" t="s">
        <v>1542</v>
      </c>
      <c r="BE33" s="44" t="s">
        <v>1542</v>
      </c>
      <c r="BF33" s="44" t="s">
        <v>1542</v>
      </c>
      <c r="BG33" s="44" t="s">
        <v>1542</v>
      </c>
      <c r="BH33" s="44" t="s">
        <v>1542</v>
      </c>
      <c r="BI33" s="44" t="s">
        <v>1542</v>
      </c>
      <c r="BJ33" s="44" t="s">
        <v>1542</v>
      </c>
      <c r="BK33" s="44" t="s">
        <v>1542</v>
      </c>
      <c r="BL33" s="44" t="s">
        <v>1542</v>
      </c>
      <c r="BM33" s="44" t="s">
        <v>1542</v>
      </c>
      <c r="BN33" s="44" t="s">
        <v>1542</v>
      </c>
      <c r="BO33" s="46">
        <f t="shared" si="2"/>
        <v>0</v>
      </c>
      <c r="BP33" s="43" t="s">
        <v>1542</v>
      </c>
      <c r="BQ33" s="43" t="s">
        <v>1542</v>
      </c>
      <c r="BR33" s="43" t="s">
        <v>1542</v>
      </c>
      <c r="BS33" s="43" t="s">
        <v>1542</v>
      </c>
      <c r="BT33" s="43" t="s">
        <v>1542</v>
      </c>
      <c r="BU33" s="43" t="s">
        <v>1542</v>
      </c>
      <c r="BV33" s="43" t="s">
        <v>1542</v>
      </c>
      <c r="BW33" s="43" t="s">
        <v>1542</v>
      </c>
      <c r="BX33" s="43" t="s">
        <v>1542</v>
      </c>
      <c r="BY33" s="43" t="s">
        <v>1542</v>
      </c>
      <c r="BZ33" s="43" t="s">
        <v>1542</v>
      </c>
      <c r="CA33" s="43" t="s">
        <v>1542</v>
      </c>
    </row>
    <row r="34" spans="1:79">
      <c r="A34">
        <v>33</v>
      </c>
      <c r="B34">
        <v>1</v>
      </c>
      <c r="C34" t="s">
        <v>1532</v>
      </c>
      <c r="D34" t="s">
        <v>1533</v>
      </c>
      <c r="E34" t="s">
        <v>1619</v>
      </c>
      <c r="F34" t="s">
        <v>1620</v>
      </c>
      <c r="G34" t="s">
        <v>1687</v>
      </c>
      <c r="H34" t="s">
        <v>1687</v>
      </c>
      <c r="I34" t="s">
        <v>1688</v>
      </c>
      <c r="J34" t="s">
        <v>1689</v>
      </c>
      <c r="K34" t="s">
        <v>1690</v>
      </c>
      <c r="M34" s="1" t="s">
        <v>1691</v>
      </c>
      <c r="O34" s="46">
        <f t="shared" si="3"/>
        <v>0</v>
      </c>
      <c r="P34" s="43" t="s">
        <v>1542</v>
      </c>
      <c r="Q34" s="43" t="s">
        <v>1542</v>
      </c>
      <c r="R34" s="43" t="s">
        <v>1542</v>
      </c>
      <c r="S34" s="43" t="s">
        <v>1542</v>
      </c>
      <c r="T34" s="43" t="s">
        <v>1542</v>
      </c>
      <c r="U34" s="43" t="s">
        <v>1542</v>
      </c>
      <c r="V34" s="43" t="s">
        <v>1542</v>
      </c>
      <c r="W34" s="43" t="s">
        <v>1542</v>
      </c>
      <c r="X34" s="43" t="s">
        <v>1542</v>
      </c>
      <c r="Y34" s="43" t="s">
        <v>1542</v>
      </c>
      <c r="Z34" s="43" t="s">
        <v>1542</v>
      </c>
      <c r="AA34" s="43" t="s">
        <v>1542</v>
      </c>
      <c r="AB34" s="46">
        <f t="shared" si="4"/>
        <v>0</v>
      </c>
      <c r="AC34" s="44" t="s">
        <v>1542</v>
      </c>
      <c r="AD34" s="44" t="s">
        <v>1542</v>
      </c>
      <c r="AE34" s="44" t="s">
        <v>1542</v>
      </c>
      <c r="AF34" s="44" t="s">
        <v>1542</v>
      </c>
      <c r="AG34" s="44" t="s">
        <v>1542</v>
      </c>
      <c r="AH34" s="44" t="s">
        <v>1542</v>
      </c>
      <c r="AI34" s="44" t="s">
        <v>1542</v>
      </c>
      <c r="AJ34" s="44" t="s">
        <v>1542</v>
      </c>
      <c r="AK34" s="44" t="s">
        <v>1542</v>
      </c>
      <c r="AL34" s="44" t="s">
        <v>1542</v>
      </c>
      <c r="AM34" s="44" t="s">
        <v>1542</v>
      </c>
      <c r="AN34" s="44" t="s">
        <v>1542</v>
      </c>
      <c r="AO34" s="46">
        <f t="shared" si="0"/>
        <v>0</v>
      </c>
      <c r="AP34" s="43" t="s">
        <v>1542</v>
      </c>
      <c r="AQ34" s="43" t="s">
        <v>1542</v>
      </c>
      <c r="AR34" s="43" t="s">
        <v>1542</v>
      </c>
      <c r="AS34" s="43" t="s">
        <v>1542</v>
      </c>
      <c r="AT34" s="43" t="s">
        <v>1542</v>
      </c>
      <c r="AU34" s="43" t="s">
        <v>1542</v>
      </c>
      <c r="AV34" s="43" t="s">
        <v>1542</v>
      </c>
      <c r="AW34" s="43" t="s">
        <v>1542</v>
      </c>
      <c r="AX34" s="43" t="s">
        <v>1542</v>
      </c>
      <c r="AY34" s="43" t="s">
        <v>1542</v>
      </c>
      <c r="AZ34" s="43" t="s">
        <v>1542</v>
      </c>
      <c r="BA34" s="43" t="s">
        <v>1542</v>
      </c>
      <c r="BB34" s="46">
        <f t="shared" si="1"/>
        <v>0</v>
      </c>
      <c r="BC34" s="44" t="s">
        <v>1542</v>
      </c>
      <c r="BD34" s="44" t="s">
        <v>1542</v>
      </c>
      <c r="BE34" s="44" t="s">
        <v>1542</v>
      </c>
      <c r="BF34" s="44" t="s">
        <v>1542</v>
      </c>
      <c r="BG34" s="44" t="s">
        <v>1542</v>
      </c>
      <c r="BH34" s="44" t="s">
        <v>1542</v>
      </c>
      <c r="BI34" s="44" t="s">
        <v>1542</v>
      </c>
      <c r="BJ34" s="44" t="s">
        <v>1542</v>
      </c>
      <c r="BK34" s="44" t="s">
        <v>1542</v>
      </c>
      <c r="BL34" s="44" t="s">
        <v>1542</v>
      </c>
      <c r="BM34" s="44" t="s">
        <v>1542</v>
      </c>
      <c r="BN34" s="44" t="s">
        <v>1542</v>
      </c>
      <c r="BO34" s="46">
        <f t="shared" si="2"/>
        <v>0</v>
      </c>
      <c r="BP34" s="43" t="s">
        <v>1542</v>
      </c>
      <c r="BQ34" s="43" t="s">
        <v>1542</v>
      </c>
      <c r="BR34" s="43" t="s">
        <v>1542</v>
      </c>
      <c r="BS34" s="43" t="s">
        <v>1542</v>
      </c>
      <c r="BT34" s="43" t="s">
        <v>1542</v>
      </c>
      <c r="BU34" s="43" t="s">
        <v>1542</v>
      </c>
      <c r="BV34" s="43" t="s">
        <v>1542</v>
      </c>
      <c r="BW34" s="43" t="s">
        <v>1542</v>
      </c>
      <c r="BX34" s="43" t="s">
        <v>1542</v>
      </c>
      <c r="BY34" s="43" t="s">
        <v>1542</v>
      </c>
      <c r="BZ34" s="43" t="s">
        <v>1542</v>
      </c>
      <c r="CA34" s="43" t="s">
        <v>1542</v>
      </c>
    </row>
    <row r="35" spans="1:79">
      <c r="A35">
        <v>34</v>
      </c>
      <c r="B35">
        <v>1</v>
      </c>
      <c r="C35" t="s">
        <v>1532</v>
      </c>
      <c r="D35" t="s">
        <v>1533</v>
      </c>
      <c r="E35" t="s">
        <v>1619</v>
      </c>
      <c r="F35" t="s">
        <v>1620</v>
      </c>
      <c r="G35" t="s">
        <v>1692</v>
      </c>
      <c r="H35" t="s">
        <v>1692</v>
      </c>
      <c r="J35" t="s">
        <v>1693</v>
      </c>
      <c r="K35" t="s">
        <v>1694</v>
      </c>
      <c r="M35" s="1" t="s">
        <v>1695</v>
      </c>
      <c r="O35" s="46">
        <f t="shared" si="3"/>
        <v>0</v>
      </c>
      <c r="P35" s="43" t="s">
        <v>1542</v>
      </c>
      <c r="Q35" s="43" t="s">
        <v>1542</v>
      </c>
      <c r="R35" s="43" t="s">
        <v>1542</v>
      </c>
      <c r="S35" s="43" t="s">
        <v>1542</v>
      </c>
      <c r="T35" s="43" t="s">
        <v>1542</v>
      </c>
      <c r="U35" s="43" t="s">
        <v>1542</v>
      </c>
      <c r="V35" s="43" t="s">
        <v>1542</v>
      </c>
      <c r="W35" s="43" t="s">
        <v>1542</v>
      </c>
      <c r="X35" s="43" t="s">
        <v>1542</v>
      </c>
      <c r="Y35" s="43" t="s">
        <v>1542</v>
      </c>
      <c r="Z35" s="43" t="s">
        <v>1542</v>
      </c>
      <c r="AA35" s="43" t="s">
        <v>1542</v>
      </c>
      <c r="AB35" s="46">
        <f t="shared" si="4"/>
        <v>0</v>
      </c>
      <c r="AC35" s="44" t="s">
        <v>1542</v>
      </c>
      <c r="AD35" s="44" t="s">
        <v>1542</v>
      </c>
      <c r="AE35" s="44" t="s">
        <v>1542</v>
      </c>
      <c r="AF35" s="44" t="s">
        <v>1542</v>
      </c>
      <c r="AG35" s="44" t="s">
        <v>1542</v>
      </c>
      <c r="AH35" s="44" t="s">
        <v>1542</v>
      </c>
      <c r="AI35" s="44" t="s">
        <v>1542</v>
      </c>
      <c r="AJ35" s="44" t="s">
        <v>1542</v>
      </c>
      <c r="AK35" s="44" t="s">
        <v>1542</v>
      </c>
      <c r="AL35" s="44" t="s">
        <v>1542</v>
      </c>
      <c r="AM35" s="44" t="s">
        <v>1542</v>
      </c>
      <c r="AN35" s="44" t="s">
        <v>1542</v>
      </c>
      <c r="AO35" s="46">
        <f t="shared" si="0"/>
        <v>0</v>
      </c>
      <c r="AP35" s="43" t="s">
        <v>1542</v>
      </c>
      <c r="AQ35" s="43" t="s">
        <v>1542</v>
      </c>
      <c r="AR35" s="43" t="s">
        <v>1542</v>
      </c>
      <c r="AS35" s="43" t="s">
        <v>1542</v>
      </c>
      <c r="AT35" s="43" t="s">
        <v>1542</v>
      </c>
      <c r="AU35" s="43" t="s">
        <v>1542</v>
      </c>
      <c r="AV35" s="43" t="s">
        <v>1542</v>
      </c>
      <c r="AW35" s="43" t="s">
        <v>1542</v>
      </c>
      <c r="AX35" s="43" t="s">
        <v>1542</v>
      </c>
      <c r="AY35" s="43" t="s">
        <v>1542</v>
      </c>
      <c r="AZ35" s="43" t="s">
        <v>1542</v>
      </c>
      <c r="BA35" s="43" t="s">
        <v>1542</v>
      </c>
      <c r="BB35" s="46">
        <f t="shared" si="1"/>
        <v>0</v>
      </c>
      <c r="BC35" s="44" t="s">
        <v>1542</v>
      </c>
      <c r="BD35" s="44" t="s">
        <v>1542</v>
      </c>
      <c r="BE35" s="44" t="s">
        <v>1542</v>
      </c>
      <c r="BF35" s="44" t="s">
        <v>1542</v>
      </c>
      <c r="BG35" s="44" t="s">
        <v>1542</v>
      </c>
      <c r="BH35" s="44" t="s">
        <v>1542</v>
      </c>
      <c r="BI35" s="44" t="s">
        <v>1542</v>
      </c>
      <c r="BJ35" s="44" t="s">
        <v>1542</v>
      </c>
      <c r="BK35" s="44" t="s">
        <v>1542</v>
      </c>
      <c r="BL35" s="44" t="s">
        <v>1542</v>
      </c>
      <c r="BM35" s="44" t="s">
        <v>1542</v>
      </c>
      <c r="BN35" s="44" t="s">
        <v>1542</v>
      </c>
      <c r="BO35" s="46">
        <f t="shared" si="2"/>
        <v>0</v>
      </c>
      <c r="BP35" s="43" t="s">
        <v>1542</v>
      </c>
      <c r="BQ35" s="43" t="s">
        <v>1542</v>
      </c>
      <c r="BR35" s="43" t="s">
        <v>1542</v>
      </c>
      <c r="BS35" s="43" t="s">
        <v>1542</v>
      </c>
      <c r="BT35" s="43" t="s">
        <v>1542</v>
      </c>
      <c r="BU35" s="43" t="s">
        <v>1542</v>
      </c>
      <c r="BV35" s="43" t="s">
        <v>1542</v>
      </c>
      <c r="BW35" s="43" t="s">
        <v>1542</v>
      </c>
      <c r="BX35" s="43" t="s">
        <v>1542</v>
      </c>
      <c r="BY35" s="43" t="s">
        <v>1542</v>
      </c>
      <c r="BZ35" s="43" t="s">
        <v>1542</v>
      </c>
      <c r="CA35" s="43" t="s">
        <v>1542</v>
      </c>
    </row>
    <row r="36" spans="1:79">
      <c r="A36">
        <v>35</v>
      </c>
      <c r="B36">
        <v>1</v>
      </c>
      <c r="C36" t="s">
        <v>1696</v>
      </c>
      <c r="D36" t="s">
        <v>1697</v>
      </c>
      <c r="E36" t="s">
        <v>1698</v>
      </c>
      <c r="F36" t="s">
        <v>1699</v>
      </c>
      <c r="G36" t="s">
        <v>1700</v>
      </c>
      <c r="H36" t="s">
        <v>1700</v>
      </c>
      <c r="I36" t="s">
        <v>1701</v>
      </c>
      <c r="J36" t="s">
        <v>1702</v>
      </c>
      <c r="K36" t="s">
        <v>1703</v>
      </c>
      <c r="M36" s="1" t="s">
        <v>1704</v>
      </c>
      <c r="O36" s="46">
        <f t="shared" si="3"/>
        <v>0</v>
      </c>
      <c r="P36" s="43" t="s">
        <v>1542</v>
      </c>
      <c r="Q36" s="43" t="s">
        <v>1542</v>
      </c>
      <c r="R36" s="43" t="s">
        <v>1542</v>
      </c>
      <c r="S36" s="43" t="s">
        <v>1542</v>
      </c>
      <c r="T36" s="43" t="s">
        <v>1542</v>
      </c>
      <c r="U36" s="43" t="s">
        <v>1542</v>
      </c>
      <c r="V36" s="43" t="s">
        <v>1542</v>
      </c>
      <c r="W36" s="43" t="s">
        <v>1542</v>
      </c>
      <c r="X36" s="43" t="s">
        <v>1542</v>
      </c>
      <c r="Y36" s="43" t="s">
        <v>1542</v>
      </c>
      <c r="Z36" s="43" t="s">
        <v>1542</v>
      </c>
      <c r="AA36" s="43" t="s">
        <v>1542</v>
      </c>
      <c r="AB36" s="46">
        <f t="shared" si="4"/>
        <v>0</v>
      </c>
      <c r="AC36" s="44" t="s">
        <v>1542</v>
      </c>
      <c r="AD36" s="44" t="s">
        <v>1542</v>
      </c>
      <c r="AE36" s="44" t="s">
        <v>1542</v>
      </c>
      <c r="AF36" s="44" t="s">
        <v>1542</v>
      </c>
      <c r="AG36" s="44" t="s">
        <v>1542</v>
      </c>
      <c r="AH36" s="44" t="s">
        <v>1542</v>
      </c>
      <c r="AI36" s="44" t="s">
        <v>1542</v>
      </c>
      <c r="AJ36" s="44" t="s">
        <v>1542</v>
      </c>
      <c r="AK36" s="44" t="s">
        <v>1542</v>
      </c>
      <c r="AL36" s="44" t="s">
        <v>1542</v>
      </c>
      <c r="AM36" s="44" t="s">
        <v>1542</v>
      </c>
      <c r="AN36" s="44" t="s">
        <v>1542</v>
      </c>
      <c r="AO36" s="46">
        <f t="shared" si="0"/>
        <v>0</v>
      </c>
      <c r="AP36" s="43" t="s">
        <v>1542</v>
      </c>
      <c r="AQ36" s="43" t="s">
        <v>1542</v>
      </c>
      <c r="AR36" s="43" t="s">
        <v>1542</v>
      </c>
      <c r="AS36" s="43" t="s">
        <v>1542</v>
      </c>
      <c r="AT36" s="43" t="s">
        <v>1542</v>
      </c>
      <c r="AU36" s="43" t="s">
        <v>1542</v>
      </c>
      <c r="AV36" s="43" t="s">
        <v>1542</v>
      </c>
      <c r="AW36" s="43" t="s">
        <v>1542</v>
      </c>
      <c r="AX36" s="43" t="s">
        <v>1542</v>
      </c>
      <c r="AY36" s="43" t="s">
        <v>1542</v>
      </c>
      <c r="AZ36" s="43" t="s">
        <v>1542</v>
      </c>
      <c r="BA36" s="43" t="s">
        <v>1542</v>
      </c>
      <c r="BB36" s="46">
        <f t="shared" si="1"/>
        <v>0</v>
      </c>
      <c r="BC36" s="44" t="s">
        <v>1542</v>
      </c>
      <c r="BD36" s="44" t="s">
        <v>1542</v>
      </c>
      <c r="BE36" s="44" t="s">
        <v>1542</v>
      </c>
      <c r="BF36" s="44" t="s">
        <v>1542</v>
      </c>
      <c r="BG36" s="44" t="s">
        <v>1542</v>
      </c>
      <c r="BH36" s="44" t="s">
        <v>1542</v>
      </c>
      <c r="BI36" s="44" t="s">
        <v>1542</v>
      </c>
      <c r="BJ36" s="44" t="s">
        <v>1542</v>
      </c>
      <c r="BK36" s="44" t="s">
        <v>1542</v>
      </c>
      <c r="BL36" s="44" t="s">
        <v>1542</v>
      </c>
      <c r="BM36" s="44" t="s">
        <v>1542</v>
      </c>
      <c r="BN36" s="44" t="s">
        <v>1542</v>
      </c>
      <c r="BO36" s="46">
        <f t="shared" si="2"/>
        <v>0</v>
      </c>
      <c r="BP36" s="43" t="s">
        <v>1542</v>
      </c>
      <c r="BQ36" s="43" t="s">
        <v>1542</v>
      </c>
      <c r="BR36" s="43" t="s">
        <v>1542</v>
      </c>
      <c r="BS36" s="43" t="s">
        <v>1542</v>
      </c>
      <c r="BT36" s="43" t="s">
        <v>1542</v>
      </c>
      <c r="BU36" s="43" t="s">
        <v>1542</v>
      </c>
      <c r="BV36" s="43" t="s">
        <v>1542</v>
      </c>
      <c r="BW36" s="43" t="s">
        <v>1542</v>
      </c>
      <c r="BX36" s="43" t="s">
        <v>1542</v>
      </c>
      <c r="BY36" s="43" t="s">
        <v>1542</v>
      </c>
      <c r="BZ36" s="43" t="s">
        <v>1542</v>
      </c>
      <c r="CA36" s="43" t="s">
        <v>1542</v>
      </c>
    </row>
    <row r="37" spans="1:79">
      <c r="A37">
        <v>36</v>
      </c>
      <c r="B37">
        <v>1</v>
      </c>
      <c r="C37" t="s">
        <v>1696</v>
      </c>
      <c r="D37" t="s">
        <v>1697</v>
      </c>
      <c r="E37" t="s">
        <v>1698</v>
      </c>
      <c r="F37" t="s">
        <v>1699</v>
      </c>
      <c r="G37" t="s">
        <v>1705</v>
      </c>
      <c r="H37" t="s">
        <v>1705</v>
      </c>
      <c r="J37" t="s">
        <v>1706</v>
      </c>
      <c r="K37" t="s">
        <v>1707</v>
      </c>
      <c r="M37" s="1" t="s">
        <v>1708</v>
      </c>
      <c r="N37" t="s">
        <v>1709</v>
      </c>
      <c r="O37" s="46">
        <f t="shared" si="3"/>
        <v>0</v>
      </c>
      <c r="P37" s="43" t="s">
        <v>1542</v>
      </c>
      <c r="Q37" s="43" t="s">
        <v>1542</v>
      </c>
      <c r="R37" s="43" t="s">
        <v>1542</v>
      </c>
      <c r="S37" s="43" t="s">
        <v>1542</v>
      </c>
      <c r="T37" s="43" t="s">
        <v>1542</v>
      </c>
      <c r="U37" s="43" t="s">
        <v>1542</v>
      </c>
      <c r="V37" s="43" t="s">
        <v>1542</v>
      </c>
      <c r="W37" s="43" t="s">
        <v>1542</v>
      </c>
      <c r="X37" s="43" t="s">
        <v>1542</v>
      </c>
      <c r="Y37" s="43" t="s">
        <v>1542</v>
      </c>
      <c r="Z37" s="43" t="s">
        <v>1542</v>
      </c>
      <c r="AA37" s="43" t="s">
        <v>1542</v>
      </c>
      <c r="AB37" s="46">
        <f t="shared" si="4"/>
        <v>0</v>
      </c>
      <c r="AC37" s="44" t="s">
        <v>1542</v>
      </c>
      <c r="AD37" s="44" t="s">
        <v>1542</v>
      </c>
      <c r="AE37" s="44" t="s">
        <v>1542</v>
      </c>
      <c r="AF37" s="44" t="s">
        <v>1542</v>
      </c>
      <c r="AG37" s="44" t="s">
        <v>1542</v>
      </c>
      <c r="AH37" s="44" t="s">
        <v>1542</v>
      </c>
      <c r="AI37" s="44" t="s">
        <v>1542</v>
      </c>
      <c r="AJ37" s="44" t="s">
        <v>1542</v>
      </c>
      <c r="AK37" s="44" t="s">
        <v>1542</v>
      </c>
      <c r="AL37" s="44" t="s">
        <v>1542</v>
      </c>
      <c r="AM37" s="44" t="s">
        <v>1542</v>
      </c>
      <c r="AN37" s="44" t="s">
        <v>1542</v>
      </c>
      <c r="AO37" s="46">
        <f t="shared" si="0"/>
        <v>0</v>
      </c>
      <c r="AP37" s="43" t="s">
        <v>1542</v>
      </c>
      <c r="AQ37" s="43" t="s">
        <v>1542</v>
      </c>
      <c r="AR37" s="43" t="s">
        <v>1542</v>
      </c>
      <c r="AS37" s="43" t="s">
        <v>1542</v>
      </c>
      <c r="AT37" s="43" t="s">
        <v>1542</v>
      </c>
      <c r="AU37" s="43" t="s">
        <v>1542</v>
      </c>
      <c r="AV37" s="43" t="s">
        <v>1542</v>
      </c>
      <c r="AW37" s="43" t="s">
        <v>1542</v>
      </c>
      <c r="AX37" s="43" t="s">
        <v>1542</v>
      </c>
      <c r="AY37" s="43" t="s">
        <v>1542</v>
      </c>
      <c r="AZ37" s="43" t="s">
        <v>1542</v>
      </c>
      <c r="BA37" s="43" t="s">
        <v>1542</v>
      </c>
      <c r="BB37" s="46">
        <f t="shared" si="1"/>
        <v>0</v>
      </c>
      <c r="BC37" s="44" t="s">
        <v>1542</v>
      </c>
      <c r="BD37" s="44" t="s">
        <v>1542</v>
      </c>
      <c r="BE37" s="44" t="s">
        <v>1542</v>
      </c>
      <c r="BF37" s="44" t="s">
        <v>1542</v>
      </c>
      <c r="BG37" s="44" t="s">
        <v>1542</v>
      </c>
      <c r="BH37" s="44" t="s">
        <v>1542</v>
      </c>
      <c r="BI37" s="44" t="s">
        <v>1542</v>
      </c>
      <c r="BJ37" s="44" t="s">
        <v>1542</v>
      </c>
      <c r="BK37" s="44" t="s">
        <v>1542</v>
      </c>
      <c r="BL37" s="44" t="s">
        <v>1542</v>
      </c>
      <c r="BM37" s="44" t="s">
        <v>1542</v>
      </c>
      <c r="BN37" s="44" t="s">
        <v>1542</v>
      </c>
      <c r="BO37" s="46">
        <f t="shared" si="2"/>
        <v>0</v>
      </c>
      <c r="BP37" s="43" t="s">
        <v>1542</v>
      </c>
      <c r="BQ37" s="43" t="s">
        <v>1542</v>
      </c>
      <c r="BR37" s="43" t="s">
        <v>1542</v>
      </c>
      <c r="BS37" s="43" t="s">
        <v>1542</v>
      </c>
      <c r="BT37" s="43" t="s">
        <v>1542</v>
      </c>
      <c r="BU37" s="43" t="s">
        <v>1542</v>
      </c>
      <c r="BV37" s="43" t="s">
        <v>1542</v>
      </c>
      <c r="BW37" s="43" t="s">
        <v>1542</v>
      </c>
      <c r="BX37" s="43" t="s">
        <v>1542</v>
      </c>
      <c r="BY37" s="43" t="s">
        <v>1542</v>
      </c>
      <c r="BZ37" s="43" t="s">
        <v>1542</v>
      </c>
      <c r="CA37" s="43" t="s">
        <v>1542</v>
      </c>
    </row>
    <row r="38" spans="1:79">
      <c r="A38">
        <v>37</v>
      </c>
      <c r="C38" t="s">
        <v>1696</v>
      </c>
      <c r="D38" t="s">
        <v>1697</v>
      </c>
      <c r="E38" t="s">
        <v>1698</v>
      </c>
      <c r="F38" t="s">
        <v>1699</v>
      </c>
      <c r="G38" t="s">
        <v>1705</v>
      </c>
      <c r="H38" t="s">
        <v>1710</v>
      </c>
      <c r="I38" t="s">
        <v>1710</v>
      </c>
      <c r="J38" t="s">
        <v>1706</v>
      </c>
      <c r="K38" t="s">
        <v>1707</v>
      </c>
      <c r="M38" s="1" t="s">
        <v>1711</v>
      </c>
      <c r="N38" t="s">
        <v>1712</v>
      </c>
      <c r="O38" s="46">
        <f t="shared" si="3"/>
        <v>0</v>
      </c>
      <c r="P38" s="43"/>
      <c r="Q38" s="43"/>
      <c r="R38" s="43"/>
      <c r="S38" s="43"/>
      <c r="T38" s="43"/>
      <c r="U38" s="43"/>
      <c r="V38" s="43"/>
      <c r="W38" s="43"/>
      <c r="X38" s="43"/>
      <c r="Y38" s="43"/>
      <c r="Z38" s="43"/>
      <c r="AA38" s="43"/>
      <c r="AB38" s="46">
        <f t="shared" si="4"/>
        <v>3</v>
      </c>
      <c r="AC38" s="44"/>
      <c r="AD38" s="44"/>
      <c r="AE38" s="44"/>
      <c r="AF38" s="44"/>
      <c r="AG38" s="44" t="s">
        <v>1554</v>
      </c>
      <c r="AH38" s="44" t="s">
        <v>1554</v>
      </c>
      <c r="AI38" s="44" t="s">
        <v>1554</v>
      </c>
      <c r="AJ38" s="44"/>
      <c r="AK38" s="44"/>
      <c r="AL38" s="44"/>
      <c r="AM38" s="44"/>
      <c r="AN38" s="44"/>
      <c r="AO38" s="46">
        <f t="shared" si="0"/>
        <v>3</v>
      </c>
      <c r="AP38" s="43"/>
      <c r="AQ38" s="43"/>
      <c r="AR38" s="43"/>
      <c r="AS38" s="43"/>
      <c r="AT38" s="43"/>
      <c r="AU38" s="43"/>
      <c r="AV38" s="43"/>
      <c r="AW38" s="43"/>
      <c r="AX38" s="43"/>
      <c r="AY38" s="43"/>
      <c r="AZ38" s="43"/>
      <c r="BA38" s="43"/>
      <c r="BB38" s="46">
        <f t="shared" si="1"/>
        <v>0</v>
      </c>
      <c r="BC38" s="44"/>
      <c r="BD38" s="44"/>
      <c r="BE38" s="44"/>
      <c r="BF38" s="44"/>
      <c r="BG38" s="44"/>
      <c r="BH38" s="44"/>
      <c r="BI38" s="44"/>
      <c r="BJ38" s="44"/>
      <c r="BK38" s="44"/>
      <c r="BL38" s="44"/>
      <c r="BM38" s="44"/>
      <c r="BN38" s="44"/>
      <c r="BO38" s="46">
        <f t="shared" si="2"/>
        <v>0</v>
      </c>
      <c r="BP38" s="43"/>
      <c r="BQ38" s="43"/>
      <c r="BR38" s="43"/>
      <c r="BS38" s="43"/>
      <c r="BT38" s="43"/>
      <c r="BU38" s="43"/>
      <c r="BV38" s="43"/>
      <c r="BW38" s="43"/>
      <c r="BX38" s="43"/>
      <c r="BY38" s="43"/>
      <c r="BZ38" s="43"/>
      <c r="CA38" s="43"/>
    </row>
    <row r="39" spans="1:79">
      <c r="A39">
        <v>38</v>
      </c>
      <c r="B39">
        <v>1</v>
      </c>
      <c r="C39" t="s">
        <v>1696</v>
      </c>
      <c r="D39" t="s">
        <v>1697</v>
      </c>
      <c r="E39" t="s">
        <v>1698</v>
      </c>
      <c r="F39" t="s">
        <v>1699</v>
      </c>
      <c r="G39" t="s">
        <v>1713</v>
      </c>
      <c r="H39" t="s">
        <v>1713</v>
      </c>
      <c r="J39" t="s">
        <v>1714</v>
      </c>
      <c r="K39" t="s">
        <v>1715</v>
      </c>
      <c r="M39" s="1" t="s">
        <v>1716</v>
      </c>
      <c r="O39" s="46">
        <f t="shared" si="3"/>
        <v>0</v>
      </c>
      <c r="P39" s="43" t="s">
        <v>1542</v>
      </c>
      <c r="Q39" s="43" t="s">
        <v>1542</v>
      </c>
      <c r="R39" s="43" t="s">
        <v>1542</v>
      </c>
      <c r="S39" s="43" t="s">
        <v>1542</v>
      </c>
      <c r="T39" s="43" t="s">
        <v>1542</v>
      </c>
      <c r="U39" s="43" t="s">
        <v>1542</v>
      </c>
      <c r="V39" s="43" t="s">
        <v>1542</v>
      </c>
      <c r="W39" s="43" t="s">
        <v>1542</v>
      </c>
      <c r="X39" s="43" t="s">
        <v>1542</v>
      </c>
      <c r="Y39" s="43" t="s">
        <v>1542</v>
      </c>
      <c r="Z39" s="43" t="s">
        <v>1542</v>
      </c>
      <c r="AA39" s="43" t="s">
        <v>1542</v>
      </c>
      <c r="AB39" s="46">
        <f t="shared" si="4"/>
        <v>0</v>
      </c>
      <c r="AC39" s="44" t="s">
        <v>1542</v>
      </c>
      <c r="AD39" s="44" t="s">
        <v>1542</v>
      </c>
      <c r="AE39" s="44" t="s">
        <v>1542</v>
      </c>
      <c r="AF39" s="44" t="s">
        <v>1542</v>
      </c>
      <c r="AG39" s="44" t="s">
        <v>1542</v>
      </c>
      <c r="AH39" s="44" t="s">
        <v>1542</v>
      </c>
      <c r="AI39" s="44" t="s">
        <v>1542</v>
      </c>
      <c r="AJ39" s="44" t="s">
        <v>1542</v>
      </c>
      <c r="AK39" s="44" t="s">
        <v>1542</v>
      </c>
      <c r="AL39" s="44" t="s">
        <v>1542</v>
      </c>
      <c r="AM39" s="44" t="s">
        <v>1542</v>
      </c>
      <c r="AN39" s="44" t="s">
        <v>1542</v>
      </c>
      <c r="AO39" s="46">
        <f t="shared" si="0"/>
        <v>0</v>
      </c>
      <c r="AP39" s="43" t="s">
        <v>1542</v>
      </c>
      <c r="AQ39" s="43" t="s">
        <v>1542</v>
      </c>
      <c r="AR39" s="43" t="s">
        <v>1542</v>
      </c>
      <c r="AS39" s="43" t="s">
        <v>1542</v>
      </c>
      <c r="AT39" s="43" t="s">
        <v>1542</v>
      </c>
      <c r="AU39" s="43" t="s">
        <v>1542</v>
      </c>
      <c r="AV39" s="43" t="s">
        <v>1542</v>
      </c>
      <c r="AW39" s="43" t="s">
        <v>1542</v>
      </c>
      <c r="AX39" s="43" t="s">
        <v>1542</v>
      </c>
      <c r="AY39" s="43" t="s">
        <v>1542</v>
      </c>
      <c r="AZ39" s="43" t="s">
        <v>1542</v>
      </c>
      <c r="BA39" s="43" t="s">
        <v>1542</v>
      </c>
      <c r="BB39" s="46">
        <f t="shared" si="1"/>
        <v>0</v>
      </c>
      <c r="BC39" s="44" t="s">
        <v>1542</v>
      </c>
      <c r="BD39" s="44" t="s">
        <v>1542</v>
      </c>
      <c r="BE39" s="44" t="s">
        <v>1542</v>
      </c>
      <c r="BF39" s="44" t="s">
        <v>1542</v>
      </c>
      <c r="BG39" s="44" t="s">
        <v>1542</v>
      </c>
      <c r="BH39" s="44" t="s">
        <v>1542</v>
      </c>
      <c r="BI39" s="44" t="s">
        <v>1542</v>
      </c>
      <c r="BJ39" s="44" t="s">
        <v>1542</v>
      </c>
      <c r="BK39" s="44" t="s">
        <v>1542</v>
      </c>
      <c r="BL39" s="44" t="s">
        <v>1542</v>
      </c>
      <c r="BM39" s="44" t="s">
        <v>1542</v>
      </c>
      <c r="BN39" s="44" t="s">
        <v>1542</v>
      </c>
      <c r="BO39" s="46">
        <f t="shared" si="2"/>
        <v>0</v>
      </c>
      <c r="BP39" s="43" t="s">
        <v>1542</v>
      </c>
      <c r="BQ39" s="43" t="s">
        <v>1542</v>
      </c>
      <c r="BR39" s="43" t="s">
        <v>1542</v>
      </c>
      <c r="BS39" s="43" t="s">
        <v>1542</v>
      </c>
      <c r="BT39" s="43" t="s">
        <v>1542</v>
      </c>
      <c r="BU39" s="43" t="s">
        <v>1542</v>
      </c>
      <c r="BV39" s="43" t="s">
        <v>1542</v>
      </c>
      <c r="BW39" s="43" t="s">
        <v>1542</v>
      </c>
      <c r="BX39" s="43" t="s">
        <v>1542</v>
      </c>
      <c r="BY39" s="43" t="s">
        <v>1542</v>
      </c>
      <c r="BZ39" s="43" t="s">
        <v>1542</v>
      </c>
      <c r="CA39" s="43" t="s">
        <v>1542</v>
      </c>
    </row>
    <row r="40" spans="1:79">
      <c r="A40">
        <v>39</v>
      </c>
      <c r="B40">
        <v>1</v>
      </c>
      <c r="C40" t="s">
        <v>1696</v>
      </c>
      <c r="D40" t="s">
        <v>1697</v>
      </c>
      <c r="E40" t="s">
        <v>1698</v>
      </c>
      <c r="F40" t="s">
        <v>1699</v>
      </c>
      <c r="G40" t="s">
        <v>1717</v>
      </c>
      <c r="H40" t="s">
        <v>1717</v>
      </c>
      <c r="J40" t="s">
        <v>1718</v>
      </c>
      <c r="K40" t="s">
        <v>1719</v>
      </c>
      <c r="M40" s="1" t="s">
        <v>1720</v>
      </c>
      <c r="N40" t="s">
        <v>1721</v>
      </c>
      <c r="O40" s="46">
        <f t="shared" si="3"/>
        <v>0</v>
      </c>
      <c r="P40" s="43" t="s">
        <v>1542</v>
      </c>
      <c r="Q40" s="43" t="s">
        <v>1542</v>
      </c>
      <c r="R40" s="43" t="s">
        <v>1542</v>
      </c>
      <c r="S40" s="43" t="s">
        <v>1542</v>
      </c>
      <c r="T40" s="43" t="s">
        <v>1542</v>
      </c>
      <c r="U40" s="43" t="s">
        <v>1542</v>
      </c>
      <c r="V40" s="43" t="s">
        <v>1542</v>
      </c>
      <c r="W40" s="43" t="s">
        <v>1542</v>
      </c>
      <c r="X40" s="43" t="s">
        <v>1542</v>
      </c>
      <c r="Y40" s="43" t="s">
        <v>1542</v>
      </c>
      <c r="Z40" s="43" t="s">
        <v>1542</v>
      </c>
      <c r="AA40" s="43" t="s">
        <v>1542</v>
      </c>
      <c r="AB40" s="46">
        <f t="shared" si="4"/>
        <v>0</v>
      </c>
      <c r="AC40" s="44" t="s">
        <v>1542</v>
      </c>
      <c r="AD40" s="44" t="s">
        <v>1542</v>
      </c>
      <c r="AE40" s="44" t="s">
        <v>1542</v>
      </c>
      <c r="AF40" s="44" t="s">
        <v>1542</v>
      </c>
      <c r="AG40" s="44" t="s">
        <v>1542</v>
      </c>
      <c r="AH40" s="44" t="s">
        <v>1542</v>
      </c>
      <c r="AI40" s="44" t="s">
        <v>1542</v>
      </c>
      <c r="AJ40" s="44" t="s">
        <v>1542</v>
      </c>
      <c r="AK40" s="44" t="s">
        <v>1542</v>
      </c>
      <c r="AL40" s="44" t="s">
        <v>1542</v>
      </c>
      <c r="AM40" s="44" t="s">
        <v>1542</v>
      </c>
      <c r="AN40" s="44" t="s">
        <v>1542</v>
      </c>
      <c r="AO40" s="46">
        <f t="shared" si="0"/>
        <v>0</v>
      </c>
      <c r="AP40" s="43" t="s">
        <v>1542</v>
      </c>
      <c r="AQ40" s="43" t="s">
        <v>1542</v>
      </c>
      <c r="AR40" s="43" t="s">
        <v>1542</v>
      </c>
      <c r="AS40" s="43" t="s">
        <v>1542</v>
      </c>
      <c r="AT40" s="43" t="s">
        <v>1542</v>
      </c>
      <c r="AU40" s="43" t="s">
        <v>1542</v>
      </c>
      <c r="AV40" s="43" t="s">
        <v>1542</v>
      </c>
      <c r="AW40" s="43" t="s">
        <v>1542</v>
      </c>
      <c r="AX40" s="43" t="s">
        <v>1542</v>
      </c>
      <c r="AY40" s="43" t="s">
        <v>1542</v>
      </c>
      <c r="AZ40" s="43" t="s">
        <v>1542</v>
      </c>
      <c r="BA40" s="43" t="s">
        <v>1542</v>
      </c>
      <c r="BB40" s="46">
        <f t="shared" si="1"/>
        <v>0</v>
      </c>
      <c r="BC40" s="44" t="s">
        <v>1542</v>
      </c>
      <c r="BD40" s="44" t="s">
        <v>1542</v>
      </c>
      <c r="BE40" s="44" t="s">
        <v>1542</v>
      </c>
      <c r="BF40" s="44" t="s">
        <v>1542</v>
      </c>
      <c r="BG40" s="44" t="s">
        <v>1542</v>
      </c>
      <c r="BH40" s="44" t="s">
        <v>1542</v>
      </c>
      <c r="BI40" s="44" t="s">
        <v>1542</v>
      </c>
      <c r="BJ40" s="44" t="s">
        <v>1542</v>
      </c>
      <c r="BK40" s="44" t="s">
        <v>1542</v>
      </c>
      <c r="BL40" s="44" t="s">
        <v>1542</v>
      </c>
      <c r="BM40" s="44" t="s">
        <v>1542</v>
      </c>
      <c r="BN40" s="44" t="s">
        <v>1542</v>
      </c>
      <c r="BO40" s="46">
        <f t="shared" si="2"/>
        <v>0</v>
      </c>
      <c r="BP40" s="43" t="s">
        <v>1542</v>
      </c>
      <c r="BQ40" s="43" t="s">
        <v>1542</v>
      </c>
      <c r="BR40" s="43" t="s">
        <v>1542</v>
      </c>
      <c r="BS40" s="43" t="s">
        <v>1542</v>
      </c>
      <c r="BT40" s="43" t="s">
        <v>1542</v>
      </c>
      <c r="BU40" s="43" t="s">
        <v>1542</v>
      </c>
      <c r="BV40" s="43" t="s">
        <v>1542</v>
      </c>
      <c r="BW40" s="43" t="s">
        <v>1542</v>
      </c>
      <c r="BX40" s="43" t="s">
        <v>1542</v>
      </c>
      <c r="BY40" s="43" t="s">
        <v>1542</v>
      </c>
      <c r="BZ40" s="43" t="s">
        <v>1542</v>
      </c>
      <c r="CA40" s="43" t="s">
        <v>1542</v>
      </c>
    </row>
    <row r="41" spans="1:79">
      <c r="A41">
        <v>40</v>
      </c>
      <c r="B41">
        <v>1</v>
      </c>
      <c r="C41" t="s">
        <v>1696</v>
      </c>
      <c r="D41" t="s">
        <v>1697</v>
      </c>
      <c r="E41" t="s">
        <v>1698</v>
      </c>
      <c r="F41" t="s">
        <v>1699</v>
      </c>
      <c r="G41" t="s">
        <v>1722</v>
      </c>
      <c r="H41" t="s">
        <v>1722</v>
      </c>
      <c r="J41" t="s">
        <v>1723</v>
      </c>
      <c r="K41" t="s">
        <v>1724</v>
      </c>
      <c r="M41" s="1" t="s">
        <v>1725</v>
      </c>
      <c r="O41" s="46">
        <f t="shared" si="3"/>
        <v>0</v>
      </c>
      <c r="P41" s="43" t="s">
        <v>1542</v>
      </c>
      <c r="Q41" s="43" t="s">
        <v>1542</v>
      </c>
      <c r="R41" s="43" t="s">
        <v>1542</v>
      </c>
      <c r="S41" s="43" t="s">
        <v>1542</v>
      </c>
      <c r="T41" s="43" t="s">
        <v>1542</v>
      </c>
      <c r="U41" s="43" t="s">
        <v>1542</v>
      </c>
      <c r="V41" s="43" t="s">
        <v>1542</v>
      </c>
      <c r="W41" s="43" t="s">
        <v>1542</v>
      </c>
      <c r="X41" s="43" t="s">
        <v>1542</v>
      </c>
      <c r="Y41" s="43" t="s">
        <v>1542</v>
      </c>
      <c r="Z41" s="43" t="s">
        <v>1542</v>
      </c>
      <c r="AA41" s="43" t="s">
        <v>1542</v>
      </c>
      <c r="AB41" s="46">
        <f t="shared" si="4"/>
        <v>0</v>
      </c>
      <c r="AC41" s="44" t="s">
        <v>1542</v>
      </c>
      <c r="AD41" s="44" t="s">
        <v>1542</v>
      </c>
      <c r="AE41" s="44" t="s">
        <v>1542</v>
      </c>
      <c r="AF41" s="44" t="s">
        <v>1542</v>
      </c>
      <c r="AG41" s="44" t="s">
        <v>1542</v>
      </c>
      <c r="AH41" s="44" t="s">
        <v>1542</v>
      </c>
      <c r="AI41" s="44" t="s">
        <v>1542</v>
      </c>
      <c r="AJ41" s="44" t="s">
        <v>1542</v>
      </c>
      <c r="AK41" s="44" t="s">
        <v>1542</v>
      </c>
      <c r="AL41" s="44" t="s">
        <v>1542</v>
      </c>
      <c r="AM41" s="44" t="s">
        <v>1542</v>
      </c>
      <c r="AN41" s="44" t="s">
        <v>1542</v>
      </c>
      <c r="AO41" s="46">
        <f t="shared" si="0"/>
        <v>0</v>
      </c>
      <c r="AP41" s="43" t="s">
        <v>1542</v>
      </c>
      <c r="AQ41" s="43" t="s">
        <v>1542</v>
      </c>
      <c r="AR41" s="43" t="s">
        <v>1542</v>
      </c>
      <c r="AS41" s="43" t="s">
        <v>1542</v>
      </c>
      <c r="AT41" s="43" t="s">
        <v>1542</v>
      </c>
      <c r="AU41" s="43" t="s">
        <v>1542</v>
      </c>
      <c r="AV41" s="43" t="s">
        <v>1542</v>
      </c>
      <c r="AW41" s="43" t="s">
        <v>1542</v>
      </c>
      <c r="AX41" s="43" t="s">
        <v>1542</v>
      </c>
      <c r="AY41" s="43" t="s">
        <v>1542</v>
      </c>
      <c r="AZ41" s="43" t="s">
        <v>1542</v>
      </c>
      <c r="BA41" s="43" t="s">
        <v>1542</v>
      </c>
      <c r="BB41" s="46">
        <f t="shared" si="1"/>
        <v>0</v>
      </c>
      <c r="BC41" s="44" t="s">
        <v>1542</v>
      </c>
      <c r="BD41" s="44" t="s">
        <v>1542</v>
      </c>
      <c r="BE41" s="44" t="s">
        <v>1542</v>
      </c>
      <c r="BF41" s="44" t="s">
        <v>1542</v>
      </c>
      <c r="BG41" s="44" t="s">
        <v>1542</v>
      </c>
      <c r="BH41" s="44" t="s">
        <v>1542</v>
      </c>
      <c r="BI41" s="44" t="s">
        <v>1542</v>
      </c>
      <c r="BJ41" s="44" t="s">
        <v>1542</v>
      </c>
      <c r="BK41" s="44" t="s">
        <v>1542</v>
      </c>
      <c r="BL41" s="44" t="s">
        <v>1542</v>
      </c>
      <c r="BM41" s="44" t="s">
        <v>1542</v>
      </c>
      <c r="BN41" s="44" t="s">
        <v>1542</v>
      </c>
      <c r="BO41" s="46">
        <f t="shared" si="2"/>
        <v>0</v>
      </c>
      <c r="BP41" s="43" t="s">
        <v>1542</v>
      </c>
      <c r="BQ41" s="43" t="s">
        <v>1542</v>
      </c>
      <c r="BR41" s="43" t="s">
        <v>1542</v>
      </c>
      <c r="BS41" s="43" t="s">
        <v>1542</v>
      </c>
      <c r="BT41" s="43" t="s">
        <v>1542</v>
      </c>
      <c r="BU41" s="43" t="s">
        <v>1542</v>
      </c>
      <c r="BV41" s="43" t="s">
        <v>1542</v>
      </c>
      <c r="BW41" s="43" t="s">
        <v>1542</v>
      </c>
      <c r="BX41" s="43" t="s">
        <v>1542</v>
      </c>
      <c r="BY41" s="43" t="s">
        <v>1542</v>
      </c>
      <c r="BZ41" s="43" t="s">
        <v>1542</v>
      </c>
      <c r="CA41" s="43" t="s">
        <v>1542</v>
      </c>
    </row>
    <row r="42" spans="1:79">
      <c r="A42">
        <v>41</v>
      </c>
      <c r="B42">
        <v>1</v>
      </c>
      <c r="C42" t="s">
        <v>1696</v>
      </c>
      <c r="D42" t="s">
        <v>1697</v>
      </c>
      <c r="E42" t="s">
        <v>1698</v>
      </c>
      <c r="F42" t="s">
        <v>1699</v>
      </c>
      <c r="G42" t="s">
        <v>1726</v>
      </c>
      <c r="H42" t="s">
        <v>1726</v>
      </c>
      <c r="J42" t="s">
        <v>1727</v>
      </c>
      <c r="K42" t="s">
        <v>1728</v>
      </c>
      <c r="M42" s="1" t="s">
        <v>1729</v>
      </c>
      <c r="N42" t="s">
        <v>1730</v>
      </c>
      <c r="O42" s="46">
        <f t="shared" si="3"/>
        <v>0</v>
      </c>
      <c r="P42" s="43" t="s">
        <v>1542</v>
      </c>
      <c r="Q42" s="43" t="s">
        <v>1542</v>
      </c>
      <c r="R42" s="43" t="s">
        <v>1542</v>
      </c>
      <c r="S42" s="43" t="s">
        <v>1542</v>
      </c>
      <c r="T42" s="43" t="s">
        <v>1542</v>
      </c>
      <c r="U42" s="43" t="s">
        <v>1542</v>
      </c>
      <c r="V42" s="43" t="s">
        <v>1542</v>
      </c>
      <c r="W42" s="43" t="s">
        <v>1542</v>
      </c>
      <c r="X42" s="43" t="s">
        <v>1542</v>
      </c>
      <c r="Y42" s="43" t="s">
        <v>1542</v>
      </c>
      <c r="Z42" s="43" t="s">
        <v>1542</v>
      </c>
      <c r="AA42" s="43" t="s">
        <v>1542</v>
      </c>
      <c r="AB42" s="46">
        <f t="shared" si="4"/>
        <v>3</v>
      </c>
      <c r="AC42" s="44" t="s">
        <v>1542</v>
      </c>
      <c r="AD42" s="44" t="s">
        <v>1542</v>
      </c>
      <c r="AE42" s="44" t="s">
        <v>1542</v>
      </c>
      <c r="AF42" s="44" t="s">
        <v>1542</v>
      </c>
      <c r="AG42" s="44" t="s">
        <v>1554</v>
      </c>
      <c r="AH42" s="44" t="s">
        <v>1554</v>
      </c>
      <c r="AI42" s="44" t="s">
        <v>1554</v>
      </c>
      <c r="AJ42" s="44" t="s">
        <v>1542</v>
      </c>
      <c r="AK42" s="44" t="s">
        <v>1542</v>
      </c>
      <c r="AL42" s="44" t="s">
        <v>1542</v>
      </c>
      <c r="AM42" s="44" t="s">
        <v>1542</v>
      </c>
      <c r="AN42" s="44" t="s">
        <v>1542</v>
      </c>
      <c r="AO42" s="46">
        <f t="shared" si="0"/>
        <v>3</v>
      </c>
      <c r="AP42" s="43" t="s">
        <v>1542</v>
      </c>
      <c r="AQ42" s="43" t="s">
        <v>1542</v>
      </c>
      <c r="AR42" s="43" t="s">
        <v>1542</v>
      </c>
      <c r="AS42" s="43" t="s">
        <v>1542</v>
      </c>
      <c r="AT42" s="43" t="s">
        <v>1542</v>
      </c>
      <c r="AU42" s="43" t="s">
        <v>1542</v>
      </c>
      <c r="AV42" s="43" t="s">
        <v>1542</v>
      </c>
      <c r="AW42" s="43" t="s">
        <v>1542</v>
      </c>
      <c r="AX42" s="43" t="s">
        <v>1542</v>
      </c>
      <c r="AY42" s="43" t="s">
        <v>1542</v>
      </c>
      <c r="AZ42" s="43" t="s">
        <v>1542</v>
      </c>
      <c r="BA42" s="43" t="s">
        <v>1542</v>
      </c>
      <c r="BB42" s="46">
        <f t="shared" si="1"/>
        <v>0</v>
      </c>
      <c r="BC42" s="44" t="s">
        <v>1542</v>
      </c>
      <c r="BD42" s="44" t="s">
        <v>1542</v>
      </c>
      <c r="BE42" s="44" t="s">
        <v>1542</v>
      </c>
      <c r="BF42" s="44" t="s">
        <v>1542</v>
      </c>
      <c r="BG42" s="44" t="s">
        <v>1542</v>
      </c>
      <c r="BH42" s="44" t="s">
        <v>1542</v>
      </c>
      <c r="BI42" s="44" t="s">
        <v>1542</v>
      </c>
      <c r="BJ42" s="44" t="s">
        <v>1542</v>
      </c>
      <c r="BK42" s="44" t="s">
        <v>1542</v>
      </c>
      <c r="BL42" s="44" t="s">
        <v>1542</v>
      </c>
      <c r="BM42" s="44" t="s">
        <v>1542</v>
      </c>
      <c r="BN42" s="44" t="s">
        <v>1542</v>
      </c>
      <c r="BO42" s="46">
        <f t="shared" si="2"/>
        <v>0</v>
      </c>
      <c r="BP42" s="43" t="s">
        <v>1542</v>
      </c>
      <c r="BQ42" s="43" t="s">
        <v>1542</v>
      </c>
      <c r="BR42" s="43" t="s">
        <v>1542</v>
      </c>
      <c r="BS42" s="43" t="s">
        <v>1542</v>
      </c>
      <c r="BT42" s="43" t="s">
        <v>1542</v>
      </c>
      <c r="BU42" s="43" t="s">
        <v>1542</v>
      </c>
      <c r="BV42" s="43" t="s">
        <v>1542</v>
      </c>
      <c r="BW42" s="43" t="s">
        <v>1542</v>
      </c>
      <c r="BX42" s="43" t="s">
        <v>1542</v>
      </c>
      <c r="BY42" s="43" t="s">
        <v>1542</v>
      </c>
      <c r="BZ42" s="43" t="s">
        <v>1542</v>
      </c>
      <c r="CA42" s="43" t="s">
        <v>1542</v>
      </c>
    </row>
    <row r="43" spans="1:79">
      <c r="A43">
        <v>42</v>
      </c>
      <c r="B43">
        <v>1</v>
      </c>
      <c r="C43" t="s">
        <v>1696</v>
      </c>
      <c r="D43" t="s">
        <v>1697</v>
      </c>
      <c r="E43" t="s">
        <v>1698</v>
      </c>
      <c r="F43" t="s">
        <v>1699</v>
      </c>
      <c r="G43" t="s">
        <v>1731</v>
      </c>
      <c r="H43" t="s">
        <v>1731</v>
      </c>
      <c r="J43" t="s">
        <v>1732</v>
      </c>
      <c r="K43" t="s">
        <v>1733</v>
      </c>
      <c r="M43" s="1" t="s">
        <v>1734</v>
      </c>
      <c r="N43" t="s">
        <v>1735</v>
      </c>
      <c r="O43" s="46">
        <f t="shared" si="3"/>
        <v>0</v>
      </c>
      <c r="P43" s="43" t="s">
        <v>1542</v>
      </c>
      <c r="Q43" s="43" t="s">
        <v>1542</v>
      </c>
      <c r="R43" s="43" t="s">
        <v>1542</v>
      </c>
      <c r="S43" s="43" t="s">
        <v>1542</v>
      </c>
      <c r="T43" s="43" t="s">
        <v>1542</v>
      </c>
      <c r="U43" s="43" t="s">
        <v>1542</v>
      </c>
      <c r="V43" s="43" t="s">
        <v>1542</v>
      </c>
      <c r="W43" s="43" t="s">
        <v>1542</v>
      </c>
      <c r="X43" s="43" t="s">
        <v>1542</v>
      </c>
      <c r="Y43" s="43" t="s">
        <v>1542</v>
      </c>
      <c r="Z43" s="43" t="s">
        <v>1542</v>
      </c>
      <c r="AA43" s="43" t="s">
        <v>1542</v>
      </c>
      <c r="AB43" s="46">
        <f t="shared" si="4"/>
        <v>7</v>
      </c>
      <c r="AC43" s="44" t="s">
        <v>1542</v>
      </c>
      <c r="AD43" s="44" t="s">
        <v>1542</v>
      </c>
      <c r="AE43" s="44" t="s">
        <v>1542</v>
      </c>
      <c r="AF43" s="44" t="s">
        <v>1554</v>
      </c>
      <c r="AG43" s="44" t="s">
        <v>1554</v>
      </c>
      <c r="AH43" s="44" t="s">
        <v>1554</v>
      </c>
      <c r="AI43" s="44" t="s">
        <v>1554</v>
      </c>
      <c r="AJ43" s="44" t="s">
        <v>1554</v>
      </c>
      <c r="AK43" s="44" t="s">
        <v>1554</v>
      </c>
      <c r="AL43" s="44" t="s">
        <v>1554</v>
      </c>
      <c r="AM43" s="44" t="s">
        <v>1542</v>
      </c>
      <c r="AN43" s="44" t="s">
        <v>1542</v>
      </c>
      <c r="AO43" s="46">
        <f t="shared" si="0"/>
        <v>7</v>
      </c>
      <c r="AP43" s="43" t="s">
        <v>1542</v>
      </c>
      <c r="AQ43" s="43" t="s">
        <v>1542</v>
      </c>
      <c r="AR43" s="43" t="s">
        <v>1542</v>
      </c>
      <c r="AS43" s="43" t="s">
        <v>1542</v>
      </c>
      <c r="AT43" s="43" t="s">
        <v>1542</v>
      </c>
      <c r="AU43" s="43" t="s">
        <v>1542</v>
      </c>
      <c r="AV43" s="43" t="s">
        <v>1542</v>
      </c>
      <c r="AW43" s="43" t="s">
        <v>1542</v>
      </c>
      <c r="AX43" s="43" t="s">
        <v>1542</v>
      </c>
      <c r="AY43" s="43" t="s">
        <v>1542</v>
      </c>
      <c r="AZ43" s="43" t="s">
        <v>1542</v>
      </c>
      <c r="BA43" s="43" t="s">
        <v>1542</v>
      </c>
      <c r="BB43" s="46">
        <f t="shared" si="1"/>
        <v>0</v>
      </c>
      <c r="BC43" s="44" t="s">
        <v>1542</v>
      </c>
      <c r="BD43" s="44" t="s">
        <v>1542</v>
      </c>
      <c r="BE43" s="44" t="s">
        <v>1542</v>
      </c>
      <c r="BF43" s="44" t="s">
        <v>1542</v>
      </c>
      <c r="BG43" s="44" t="s">
        <v>1542</v>
      </c>
      <c r="BH43" s="44" t="s">
        <v>1542</v>
      </c>
      <c r="BI43" s="44" t="s">
        <v>1542</v>
      </c>
      <c r="BJ43" s="44" t="s">
        <v>1542</v>
      </c>
      <c r="BK43" s="44" t="s">
        <v>1542</v>
      </c>
      <c r="BL43" s="44" t="s">
        <v>1542</v>
      </c>
      <c r="BM43" s="44" t="s">
        <v>1542</v>
      </c>
      <c r="BN43" s="44" t="s">
        <v>1542</v>
      </c>
      <c r="BO43" s="46">
        <f t="shared" si="2"/>
        <v>0</v>
      </c>
      <c r="BP43" s="43" t="s">
        <v>1542</v>
      </c>
      <c r="BQ43" s="43" t="s">
        <v>1542</v>
      </c>
      <c r="BR43" s="43" t="s">
        <v>1542</v>
      </c>
      <c r="BS43" s="43" t="s">
        <v>1542</v>
      </c>
      <c r="BT43" s="43" t="s">
        <v>1542</v>
      </c>
      <c r="BU43" s="43" t="s">
        <v>1542</v>
      </c>
      <c r="BV43" s="43" t="s">
        <v>1542</v>
      </c>
      <c r="BW43" s="43" t="s">
        <v>1542</v>
      </c>
      <c r="BX43" s="43" t="s">
        <v>1542</v>
      </c>
      <c r="BY43" s="43" t="s">
        <v>1542</v>
      </c>
      <c r="BZ43" s="43" t="s">
        <v>1542</v>
      </c>
      <c r="CA43" s="43" t="s">
        <v>1542</v>
      </c>
    </row>
    <row r="44" spans="1:79">
      <c r="A44">
        <v>43</v>
      </c>
      <c r="B44">
        <v>1</v>
      </c>
      <c r="C44" t="s">
        <v>1696</v>
      </c>
      <c r="D44" t="s">
        <v>1697</v>
      </c>
      <c r="E44" t="s">
        <v>1698</v>
      </c>
      <c r="F44" t="s">
        <v>1699</v>
      </c>
      <c r="G44" t="s">
        <v>1736</v>
      </c>
      <c r="H44" t="s">
        <v>1736</v>
      </c>
      <c r="J44" t="s">
        <v>1737</v>
      </c>
      <c r="K44" t="s">
        <v>1738</v>
      </c>
      <c r="M44" s="1" t="s">
        <v>1739</v>
      </c>
      <c r="O44" s="46">
        <f t="shared" si="3"/>
        <v>0</v>
      </c>
      <c r="P44" s="43" t="s">
        <v>1542</v>
      </c>
      <c r="Q44" s="43" t="s">
        <v>1542</v>
      </c>
      <c r="R44" s="43" t="s">
        <v>1542</v>
      </c>
      <c r="S44" s="43" t="s">
        <v>1542</v>
      </c>
      <c r="T44" s="43" t="s">
        <v>1542</v>
      </c>
      <c r="U44" s="43" t="s">
        <v>1542</v>
      </c>
      <c r="V44" s="43" t="s">
        <v>1542</v>
      </c>
      <c r="W44" s="43" t="s">
        <v>1542</v>
      </c>
      <c r="X44" s="43" t="s">
        <v>1542</v>
      </c>
      <c r="Y44" s="43" t="s">
        <v>1542</v>
      </c>
      <c r="Z44" s="43" t="s">
        <v>1542</v>
      </c>
      <c r="AA44" s="43" t="s">
        <v>1542</v>
      </c>
      <c r="AB44" s="46">
        <f t="shared" si="4"/>
        <v>0</v>
      </c>
      <c r="AC44" s="44" t="s">
        <v>1542</v>
      </c>
      <c r="AD44" s="44" t="s">
        <v>1542</v>
      </c>
      <c r="AE44" s="44" t="s">
        <v>1542</v>
      </c>
      <c r="AF44" s="44" t="s">
        <v>1542</v>
      </c>
      <c r="AG44" s="44" t="s">
        <v>1542</v>
      </c>
      <c r="AH44" s="44" t="s">
        <v>1542</v>
      </c>
      <c r="AI44" s="44" t="s">
        <v>1542</v>
      </c>
      <c r="AJ44" s="44" t="s">
        <v>1542</v>
      </c>
      <c r="AK44" s="44" t="s">
        <v>1542</v>
      </c>
      <c r="AL44" s="44" t="s">
        <v>1542</v>
      </c>
      <c r="AM44" s="44" t="s">
        <v>1542</v>
      </c>
      <c r="AN44" s="44" t="s">
        <v>1542</v>
      </c>
      <c r="AO44" s="46">
        <f t="shared" si="0"/>
        <v>0</v>
      </c>
      <c r="AP44" s="43" t="s">
        <v>1542</v>
      </c>
      <c r="AQ44" s="43" t="s">
        <v>1542</v>
      </c>
      <c r="AR44" s="43" t="s">
        <v>1542</v>
      </c>
      <c r="AS44" s="43" t="s">
        <v>1542</v>
      </c>
      <c r="AT44" s="43" t="s">
        <v>1542</v>
      </c>
      <c r="AU44" s="43" t="s">
        <v>1542</v>
      </c>
      <c r="AV44" s="43" t="s">
        <v>1542</v>
      </c>
      <c r="AW44" s="43" t="s">
        <v>1542</v>
      </c>
      <c r="AX44" s="43" t="s">
        <v>1542</v>
      </c>
      <c r="AY44" s="43" t="s">
        <v>1542</v>
      </c>
      <c r="AZ44" s="43" t="s">
        <v>1542</v>
      </c>
      <c r="BA44" s="43" t="s">
        <v>1542</v>
      </c>
      <c r="BB44" s="46">
        <f t="shared" si="1"/>
        <v>0</v>
      </c>
      <c r="BC44" s="44" t="s">
        <v>1542</v>
      </c>
      <c r="BD44" s="44" t="s">
        <v>1542</v>
      </c>
      <c r="BE44" s="44" t="s">
        <v>1542</v>
      </c>
      <c r="BF44" s="44" t="s">
        <v>1542</v>
      </c>
      <c r="BG44" s="44" t="s">
        <v>1542</v>
      </c>
      <c r="BH44" s="44" t="s">
        <v>1542</v>
      </c>
      <c r="BI44" s="44" t="s">
        <v>1542</v>
      </c>
      <c r="BJ44" s="44" t="s">
        <v>1542</v>
      </c>
      <c r="BK44" s="44" t="s">
        <v>1542</v>
      </c>
      <c r="BL44" s="44" t="s">
        <v>1542</v>
      </c>
      <c r="BM44" s="44" t="s">
        <v>1542</v>
      </c>
      <c r="BN44" s="44" t="s">
        <v>1542</v>
      </c>
      <c r="BO44" s="46">
        <f t="shared" si="2"/>
        <v>0</v>
      </c>
      <c r="BP44" s="43" t="s">
        <v>1542</v>
      </c>
      <c r="BQ44" s="43" t="s">
        <v>1542</v>
      </c>
      <c r="BR44" s="43" t="s">
        <v>1542</v>
      </c>
      <c r="BS44" s="43" t="s">
        <v>1542</v>
      </c>
      <c r="BT44" s="43" t="s">
        <v>1542</v>
      </c>
      <c r="BU44" s="43" t="s">
        <v>1542</v>
      </c>
      <c r="BV44" s="43" t="s">
        <v>1542</v>
      </c>
      <c r="BW44" s="43" t="s">
        <v>1542</v>
      </c>
      <c r="BX44" s="43" t="s">
        <v>1542</v>
      </c>
      <c r="BY44" s="43" t="s">
        <v>1542</v>
      </c>
      <c r="BZ44" s="43" t="s">
        <v>1542</v>
      </c>
      <c r="CA44" s="43" t="s">
        <v>1542</v>
      </c>
    </row>
    <row r="45" spans="1:79">
      <c r="A45">
        <v>44</v>
      </c>
      <c r="B45">
        <v>1</v>
      </c>
      <c r="C45" t="s">
        <v>1696</v>
      </c>
      <c r="D45" t="s">
        <v>1697</v>
      </c>
      <c r="E45" t="s">
        <v>1698</v>
      </c>
      <c r="F45" t="s">
        <v>1699</v>
      </c>
      <c r="G45" t="s">
        <v>1740</v>
      </c>
      <c r="H45" t="s">
        <v>1740</v>
      </c>
      <c r="J45" t="s">
        <v>1741</v>
      </c>
      <c r="K45" t="s">
        <v>1742</v>
      </c>
      <c r="M45" s="1" t="s">
        <v>1743</v>
      </c>
      <c r="O45" s="46">
        <f t="shared" si="3"/>
        <v>0</v>
      </c>
      <c r="P45" s="43" t="s">
        <v>1542</v>
      </c>
      <c r="Q45" s="43" t="s">
        <v>1542</v>
      </c>
      <c r="R45" s="43" t="s">
        <v>1542</v>
      </c>
      <c r="S45" s="43" t="s">
        <v>1542</v>
      </c>
      <c r="T45" s="43" t="s">
        <v>1542</v>
      </c>
      <c r="U45" s="43" t="s">
        <v>1542</v>
      </c>
      <c r="V45" s="43" t="s">
        <v>1542</v>
      </c>
      <c r="W45" s="43" t="s">
        <v>1542</v>
      </c>
      <c r="X45" s="43" t="s">
        <v>1542</v>
      </c>
      <c r="Y45" s="43" t="s">
        <v>1542</v>
      </c>
      <c r="Z45" s="43" t="s">
        <v>1542</v>
      </c>
      <c r="AA45" s="43" t="s">
        <v>1542</v>
      </c>
      <c r="AB45" s="46">
        <f t="shared" si="4"/>
        <v>0</v>
      </c>
      <c r="AC45" s="44" t="s">
        <v>1542</v>
      </c>
      <c r="AD45" s="44" t="s">
        <v>1542</v>
      </c>
      <c r="AE45" s="44" t="s">
        <v>1542</v>
      </c>
      <c r="AF45" s="44" t="s">
        <v>1542</v>
      </c>
      <c r="AG45" s="44" t="s">
        <v>1542</v>
      </c>
      <c r="AH45" s="44" t="s">
        <v>1542</v>
      </c>
      <c r="AI45" s="44" t="s">
        <v>1542</v>
      </c>
      <c r="AJ45" s="44" t="s">
        <v>1542</v>
      </c>
      <c r="AK45" s="44" t="s">
        <v>1542</v>
      </c>
      <c r="AL45" s="44" t="s">
        <v>1542</v>
      </c>
      <c r="AM45" s="44" t="s">
        <v>1542</v>
      </c>
      <c r="AN45" s="44" t="s">
        <v>1542</v>
      </c>
      <c r="AO45" s="46">
        <f t="shared" si="0"/>
        <v>0</v>
      </c>
      <c r="AP45" s="43" t="s">
        <v>1542</v>
      </c>
      <c r="AQ45" s="43" t="s">
        <v>1542</v>
      </c>
      <c r="AR45" s="43" t="s">
        <v>1542</v>
      </c>
      <c r="AS45" s="43" t="s">
        <v>1542</v>
      </c>
      <c r="AT45" s="43" t="s">
        <v>1542</v>
      </c>
      <c r="AU45" s="43" t="s">
        <v>1542</v>
      </c>
      <c r="AV45" s="43" t="s">
        <v>1542</v>
      </c>
      <c r="AW45" s="43" t="s">
        <v>1542</v>
      </c>
      <c r="AX45" s="43" t="s">
        <v>1542</v>
      </c>
      <c r="AY45" s="43" t="s">
        <v>1542</v>
      </c>
      <c r="AZ45" s="43" t="s">
        <v>1542</v>
      </c>
      <c r="BA45" s="43" t="s">
        <v>1542</v>
      </c>
      <c r="BB45" s="46">
        <f t="shared" si="1"/>
        <v>0</v>
      </c>
      <c r="BC45" s="44" t="s">
        <v>1542</v>
      </c>
      <c r="BD45" s="44" t="s">
        <v>1542</v>
      </c>
      <c r="BE45" s="44" t="s">
        <v>1542</v>
      </c>
      <c r="BF45" s="44" t="s">
        <v>1542</v>
      </c>
      <c r="BG45" s="44" t="s">
        <v>1542</v>
      </c>
      <c r="BH45" s="44" t="s">
        <v>1542</v>
      </c>
      <c r="BI45" s="44" t="s">
        <v>1542</v>
      </c>
      <c r="BJ45" s="44" t="s">
        <v>1542</v>
      </c>
      <c r="BK45" s="44" t="s">
        <v>1542</v>
      </c>
      <c r="BL45" s="44" t="s">
        <v>1542</v>
      </c>
      <c r="BM45" s="44" t="s">
        <v>1542</v>
      </c>
      <c r="BN45" s="44" t="s">
        <v>1542</v>
      </c>
      <c r="BO45" s="46">
        <f t="shared" si="2"/>
        <v>0</v>
      </c>
      <c r="BP45" s="43" t="s">
        <v>1542</v>
      </c>
      <c r="BQ45" s="43" t="s">
        <v>1542</v>
      </c>
      <c r="BR45" s="43" t="s">
        <v>1542</v>
      </c>
      <c r="BS45" s="43" t="s">
        <v>1542</v>
      </c>
      <c r="BT45" s="43" t="s">
        <v>1542</v>
      </c>
      <c r="BU45" s="43" t="s">
        <v>1542</v>
      </c>
      <c r="BV45" s="43" t="s">
        <v>1542</v>
      </c>
      <c r="BW45" s="43" t="s">
        <v>1542</v>
      </c>
      <c r="BX45" s="43" t="s">
        <v>1542</v>
      </c>
      <c r="BY45" s="43" t="s">
        <v>1542</v>
      </c>
      <c r="BZ45" s="43" t="s">
        <v>1542</v>
      </c>
      <c r="CA45" s="43" t="s">
        <v>1542</v>
      </c>
    </row>
    <row r="46" spans="1:79">
      <c r="A46">
        <v>45</v>
      </c>
      <c r="B46">
        <v>1</v>
      </c>
      <c r="C46" t="s">
        <v>1696</v>
      </c>
      <c r="D46" t="s">
        <v>1697</v>
      </c>
      <c r="E46" t="s">
        <v>1698</v>
      </c>
      <c r="F46" t="s">
        <v>1699</v>
      </c>
      <c r="G46" t="s">
        <v>1744</v>
      </c>
      <c r="H46" t="s">
        <v>1744</v>
      </c>
      <c r="J46" t="s">
        <v>1745</v>
      </c>
      <c r="K46" t="s">
        <v>1746</v>
      </c>
      <c r="M46" s="1" t="s">
        <v>1747</v>
      </c>
      <c r="N46" t="s">
        <v>1748</v>
      </c>
      <c r="O46" s="46">
        <f t="shared" si="3"/>
        <v>0</v>
      </c>
      <c r="P46" s="43" t="s">
        <v>1542</v>
      </c>
      <c r="Q46" s="43" t="s">
        <v>1542</v>
      </c>
      <c r="R46" s="43" t="s">
        <v>1542</v>
      </c>
      <c r="S46" s="43" t="s">
        <v>1542</v>
      </c>
      <c r="T46" s="43" t="s">
        <v>1542</v>
      </c>
      <c r="U46" s="43" t="s">
        <v>1542</v>
      </c>
      <c r="V46" s="43" t="s">
        <v>1542</v>
      </c>
      <c r="W46" s="43" t="s">
        <v>1542</v>
      </c>
      <c r="X46" s="43" t="s">
        <v>1542</v>
      </c>
      <c r="Y46" s="43" t="s">
        <v>1542</v>
      </c>
      <c r="Z46" s="43" t="s">
        <v>1542</v>
      </c>
      <c r="AA46" s="43" t="s">
        <v>1542</v>
      </c>
      <c r="AB46" s="46">
        <f t="shared" si="4"/>
        <v>0</v>
      </c>
      <c r="AC46" s="44" t="s">
        <v>1542</v>
      </c>
      <c r="AD46" s="44" t="s">
        <v>1542</v>
      </c>
      <c r="AE46" s="44" t="s">
        <v>1542</v>
      </c>
      <c r="AF46" s="44" t="s">
        <v>1542</v>
      </c>
      <c r="AG46" s="44" t="s">
        <v>1542</v>
      </c>
      <c r="AH46" s="44" t="s">
        <v>1542</v>
      </c>
      <c r="AI46" s="44" t="s">
        <v>1542</v>
      </c>
      <c r="AJ46" s="44" t="s">
        <v>1542</v>
      </c>
      <c r="AK46" s="44" t="s">
        <v>1542</v>
      </c>
      <c r="AL46" s="44" t="s">
        <v>1542</v>
      </c>
      <c r="AM46" s="44" t="s">
        <v>1542</v>
      </c>
      <c r="AN46" s="44" t="s">
        <v>1542</v>
      </c>
      <c r="AO46" s="46">
        <f t="shared" si="0"/>
        <v>0</v>
      </c>
      <c r="AP46" s="43" t="s">
        <v>1542</v>
      </c>
      <c r="AQ46" s="43" t="s">
        <v>1542</v>
      </c>
      <c r="AR46" s="43" t="s">
        <v>1542</v>
      </c>
      <c r="AS46" s="43" t="s">
        <v>1542</v>
      </c>
      <c r="AT46" s="43" t="s">
        <v>1542</v>
      </c>
      <c r="AU46" s="43" t="s">
        <v>1542</v>
      </c>
      <c r="AV46" s="43" t="s">
        <v>1542</v>
      </c>
      <c r="AW46" s="43" t="s">
        <v>1542</v>
      </c>
      <c r="AX46" s="43" t="s">
        <v>1542</v>
      </c>
      <c r="AY46" s="43" t="s">
        <v>1542</v>
      </c>
      <c r="AZ46" s="43" t="s">
        <v>1542</v>
      </c>
      <c r="BA46" s="43" t="s">
        <v>1542</v>
      </c>
      <c r="BB46" s="46">
        <f t="shared" si="1"/>
        <v>0</v>
      </c>
      <c r="BC46" s="44" t="s">
        <v>1542</v>
      </c>
      <c r="BD46" s="44" t="s">
        <v>1542</v>
      </c>
      <c r="BE46" s="44" t="s">
        <v>1542</v>
      </c>
      <c r="BF46" s="44" t="s">
        <v>1542</v>
      </c>
      <c r="BG46" s="44" t="s">
        <v>1542</v>
      </c>
      <c r="BH46" s="44" t="s">
        <v>1542</v>
      </c>
      <c r="BI46" s="44" t="s">
        <v>1542</v>
      </c>
      <c r="BJ46" s="44" t="s">
        <v>1542</v>
      </c>
      <c r="BK46" s="44" t="s">
        <v>1542</v>
      </c>
      <c r="BL46" s="44" t="s">
        <v>1542</v>
      </c>
      <c r="BM46" s="44" t="s">
        <v>1542</v>
      </c>
      <c r="BN46" s="44" t="s">
        <v>1542</v>
      </c>
      <c r="BO46" s="46">
        <f t="shared" si="2"/>
        <v>0</v>
      </c>
      <c r="BP46" s="43" t="s">
        <v>1542</v>
      </c>
      <c r="BQ46" s="43" t="s">
        <v>1542</v>
      </c>
      <c r="BR46" s="43" t="s">
        <v>1542</v>
      </c>
      <c r="BS46" s="43" t="s">
        <v>1542</v>
      </c>
      <c r="BT46" s="43" t="s">
        <v>1542</v>
      </c>
      <c r="BU46" s="43" t="s">
        <v>1542</v>
      </c>
      <c r="BV46" s="43" t="s">
        <v>1542</v>
      </c>
      <c r="BW46" s="43" t="s">
        <v>1542</v>
      </c>
      <c r="BX46" s="43" t="s">
        <v>1542</v>
      </c>
      <c r="BY46" s="43" t="s">
        <v>1542</v>
      </c>
      <c r="BZ46" s="43" t="s">
        <v>1542</v>
      </c>
      <c r="CA46" s="43" t="s">
        <v>1542</v>
      </c>
    </row>
    <row r="47" spans="1:79">
      <c r="A47">
        <v>46</v>
      </c>
      <c r="C47" t="s">
        <v>1696</v>
      </c>
      <c r="D47" t="s">
        <v>1697</v>
      </c>
      <c r="E47" t="s">
        <v>1698</v>
      </c>
      <c r="F47" t="s">
        <v>1699</v>
      </c>
      <c r="G47" t="s">
        <v>1744</v>
      </c>
      <c r="H47" t="s">
        <v>1749</v>
      </c>
      <c r="I47" t="s">
        <v>1749</v>
      </c>
      <c r="J47" t="s">
        <v>1745</v>
      </c>
      <c r="K47" t="s">
        <v>1746</v>
      </c>
      <c r="M47" s="1" t="s">
        <v>1750</v>
      </c>
      <c r="N47" t="s">
        <v>1751</v>
      </c>
      <c r="O47" s="46">
        <f t="shared" si="3"/>
        <v>0</v>
      </c>
      <c r="P47" s="43"/>
      <c r="Q47" s="43"/>
      <c r="R47" s="43"/>
      <c r="S47" s="43"/>
      <c r="T47" s="43"/>
      <c r="U47" s="43"/>
      <c r="V47" s="43"/>
      <c r="W47" s="43"/>
      <c r="X47" s="43"/>
      <c r="Y47" s="43"/>
      <c r="Z47" s="43"/>
      <c r="AA47" s="43"/>
      <c r="AB47" s="46">
        <f t="shared" si="4"/>
        <v>1</v>
      </c>
      <c r="AC47" s="44" t="s">
        <v>1542</v>
      </c>
      <c r="AD47" s="44" t="s">
        <v>1542</v>
      </c>
      <c r="AE47" s="44" t="s">
        <v>1542</v>
      </c>
      <c r="AF47" s="44" t="s">
        <v>1542</v>
      </c>
      <c r="AG47" s="44" t="s">
        <v>1542</v>
      </c>
      <c r="AH47" s="44" t="s">
        <v>1542</v>
      </c>
      <c r="AI47" s="44" t="s">
        <v>1542</v>
      </c>
      <c r="AJ47" s="44" t="s">
        <v>1542</v>
      </c>
      <c r="AK47" s="44" t="s">
        <v>1554</v>
      </c>
      <c r="AL47" s="44"/>
      <c r="AM47" s="44"/>
      <c r="AN47" s="44"/>
      <c r="AO47" s="46">
        <f t="shared" si="0"/>
        <v>1</v>
      </c>
      <c r="AP47" s="43" t="s">
        <v>1542</v>
      </c>
      <c r="AQ47" s="43" t="s">
        <v>1542</v>
      </c>
      <c r="AR47" s="43" t="s">
        <v>1542</v>
      </c>
      <c r="AS47" s="43" t="s">
        <v>1542</v>
      </c>
      <c r="AT47" s="43" t="s">
        <v>1542</v>
      </c>
      <c r="AU47" s="43" t="s">
        <v>1542</v>
      </c>
      <c r="AV47" s="43" t="s">
        <v>1542</v>
      </c>
      <c r="AW47" s="43" t="s">
        <v>1542</v>
      </c>
      <c r="AX47" s="43" t="s">
        <v>1542</v>
      </c>
      <c r="AY47" s="43" t="s">
        <v>1542</v>
      </c>
      <c r="AZ47" s="43" t="s">
        <v>1542</v>
      </c>
      <c r="BA47" s="43" t="s">
        <v>1542</v>
      </c>
      <c r="BB47" s="46">
        <f t="shared" si="1"/>
        <v>0</v>
      </c>
      <c r="BC47" s="44" t="s">
        <v>1542</v>
      </c>
      <c r="BD47" s="44" t="s">
        <v>1542</v>
      </c>
      <c r="BE47" s="44" t="s">
        <v>1542</v>
      </c>
      <c r="BF47" s="44" t="s">
        <v>1554</v>
      </c>
      <c r="BG47" s="44" t="s">
        <v>1554</v>
      </c>
      <c r="BH47" s="44" t="s">
        <v>1554</v>
      </c>
      <c r="BI47" s="44" t="s">
        <v>1542</v>
      </c>
      <c r="BJ47" s="44" t="s">
        <v>1542</v>
      </c>
      <c r="BK47" s="44" t="s">
        <v>1542</v>
      </c>
      <c r="BL47" s="44" t="s">
        <v>1542</v>
      </c>
      <c r="BM47" s="44" t="s">
        <v>1542</v>
      </c>
      <c r="BN47" s="44" t="s">
        <v>1542</v>
      </c>
      <c r="BO47" s="46">
        <f t="shared" si="2"/>
        <v>3</v>
      </c>
      <c r="BP47" s="43" t="s">
        <v>1542</v>
      </c>
      <c r="BQ47" s="43" t="s">
        <v>1542</v>
      </c>
      <c r="BR47" s="43" t="s">
        <v>1542</v>
      </c>
      <c r="BS47" s="43" t="s">
        <v>1542</v>
      </c>
      <c r="BT47" s="43" t="s">
        <v>1542</v>
      </c>
      <c r="BU47" s="43" t="s">
        <v>1542</v>
      </c>
      <c r="BV47" s="43" t="s">
        <v>1542</v>
      </c>
      <c r="BW47" s="43" t="s">
        <v>1542</v>
      </c>
      <c r="BX47" s="43" t="s">
        <v>1542</v>
      </c>
      <c r="BY47" s="43" t="s">
        <v>1542</v>
      </c>
      <c r="BZ47" s="43" t="s">
        <v>1542</v>
      </c>
      <c r="CA47" s="43" t="s">
        <v>1542</v>
      </c>
    </row>
    <row r="48" spans="1:79">
      <c r="A48">
        <v>47</v>
      </c>
      <c r="B48">
        <v>1</v>
      </c>
      <c r="C48" t="s">
        <v>1696</v>
      </c>
      <c r="D48" t="s">
        <v>1697</v>
      </c>
      <c r="E48" t="s">
        <v>1698</v>
      </c>
      <c r="F48" t="s">
        <v>1699</v>
      </c>
      <c r="G48" t="s">
        <v>1752</v>
      </c>
      <c r="H48" t="s">
        <v>1752</v>
      </c>
      <c r="J48" t="s">
        <v>1753</v>
      </c>
      <c r="K48" t="s">
        <v>1754</v>
      </c>
      <c r="M48" s="1" t="s">
        <v>1755</v>
      </c>
      <c r="N48" t="s">
        <v>1756</v>
      </c>
      <c r="O48" s="46">
        <f t="shared" si="3"/>
        <v>0</v>
      </c>
      <c r="P48" s="43" t="s">
        <v>1542</v>
      </c>
      <c r="Q48" s="43" t="s">
        <v>1542</v>
      </c>
      <c r="R48" s="43" t="s">
        <v>1542</v>
      </c>
      <c r="S48" s="43" t="s">
        <v>1542</v>
      </c>
      <c r="T48" s="43" t="s">
        <v>1542</v>
      </c>
      <c r="U48" s="43" t="s">
        <v>1542</v>
      </c>
      <c r="V48" s="43" t="s">
        <v>1542</v>
      </c>
      <c r="W48" s="43" t="s">
        <v>1542</v>
      </c>
      <c r="X48" s="43" t="s">
        <v>1542</v>
      </c>
      <c r="Y48" s="43" t="s">
        <v>1542</v>
      </c>
      <c r="Z48" s="43" t="s">
        <v>1542</v>
      </c>
      <c r="AA48" s="43" t="s">
        <v>1542</v>
      </c>
      <c r="AB48" s="46">
        <f t="shared" si="4"/>
        <v>0</v>
      </c>
      <c r="AC48" s="44" t="s">
        <v>1542</v>
      </c>
      <c r="AD48" s="44" t="s">
        <v>1542</v>
      </c>
      <c r="AE48" s="44" t="s">
        <v>1542</v>
      </c>
      <c r="AF48" s="44" t="s">
        <v>1542</v>
      </c>
      <c r="AG48" s="44" t="s">
        <v>1542</v>
      </c>
      <c r="AH48" s="44" t="s">
        <v>1542</v>
      </c>
      <c r="AI48" s="44" t="s">
        <v>1542</v>
      </c>
      <c r="AJ48" s="44" t="s">
        <v>1542</v>
      </c>
      <c r="AK48" s="44" t="s">
        <v>1542</v>
      </c>
      <c r="AL48" s="44" t="s">
        <v>1542</v>
      </c>
      <c r="AM48" s="44" t="s">
        <v>1542</v>
      </c>
      <c r="AN48" s="44" t="s">
        <v>1542</v>
      </c>
      <c r="AO48" s="46">
        <f t="shared" si="0"/>
        <v>0</v>
      </c>
      <c r="AP48" s="43" t="s">
        <v>1542</v>
      </c>
      <c r="AQ48" s="43" t="s">
        <v>1542</v>
      </c>
      <c r="AR48" s="43" t="s">
        <v>1542</v>
      </c>
      <c r="AS48" s="43" t="s">
        <v>1542</v>
      </c>
      <c r="AT48" s="43" t="s">
        <v>1542</v>
      </c>
      <c r="AU48" s="43" t="s">
        <v>1542</v>
      </c>
      <c r="AV48" s="43" t="s">
        <v>1542</v>
      </c>
      <c r="AW48" s="43" t="s">
        <v>1542</v>
      </c>
      <c r="AX48" s="43" t="s">
        <v>1542</v>
      </c>
      <c r="AY48" s="43" t="s">
        <v>1542</v>
      </c>
      <c r="AZ48" s="43" t="s">
        <v>1542</v>
      </c>
      <c r="BA48" s="43" t="s">
        <v>1542</v>
      </c>
      <c r="BB48" s="46">
        <f t="shared" si="1"/>
        <v>0</v>
      </c>
      <c r="BC48" s="44" t="s">
        <v>1542</v>
      </c>
      <c r="BD48" s="44" t="s">
        <v>1542</v>
      </c>
      <c r="BE48" s="44" t="s">
        <v>1542</v>
      </c>
      <c r="BF48" s="44" t="s">
        <v>1542</v>
      </c>
      <c r="BG48" s="44" t="s">
        <v>1542</v>
      </c>
      <c r="BH48" s="44" t="s">
        <v>1542</v>
      </c>
      <c r="BI48" s="44" t="s">
        <v>1542</v>
      </c>
      <c r="BJ48" s="44" t="s">
        <v>1542</v>
      </c>
      <c r="BK48" s="44" t="s">
        <v>1542</v>
      </c>
      <c r="BL48" s="44" t="s">
        <v>1542</v>
      </c>
      <c r="BM48" s="44" t="s">
        <v>1542</v>
      </c>
      <c r="BN48" s="44" t="s">
        <v>1542</v>
      </c>
      <c r="BO48" s="46">
        <f t="shared" si="2"/>
        <v>0</v>
      </c>
      <c r="BP48" s="43" t="s">
        <v>1542</v>
      </c>
      <c r="BQ48" s="43" t="s">
        <v>1542</v>
      </c>
      <c r="BR48" s="43" t="s">
        <v>1542</v>
      </c>
      <c r="BS48" s="43" t="s">
        <v>1542</v>
      </c>
      <c r="BT48" s="43" t="s">
        <v>1542</v>
      </c>
      <c r="BU48" s="43" t="s">
        <v>1542</v>
      </c>
      <c r="BV48" s="43" t="s">
        <v>1542</v>
      </c>
      <c r="BW48" s="43" t="s">
        <v>1542</v>
      </c>
      <c r="BX48" s="43" t="s">
        <v>1542</v>
      </c>
      <c r="BY48" s="43" t="s">
        <v>1542</v>
      </c>
      <c r="BZ48" s="43" t="s">
        <v>1542</v>
      </c>
      <c r="CA48" s="43" t="s">
        <v>1542</v>
      </c>
    </row>
    <row r="49" spans="1:79">
      <c r="A49">
        <v>48</v>
      </c>
      <c r="C49" t="s">
        <v>1696</v>
      </c>
      <c r="D49" t="s">
        <v>1697</v>
      </c>
      <c r="E49" t="s">
        <v>1698</v>
      </c>
      <c r="F49" t="s">
        <v>1699</v>
      </c>
      <c r="G49" t="s">
        <v>1752</v>
      </c>
      <c r="H49" t="s">
        <v>1757</v>
      </c>
      <c r="I49" t="s">
        <v>1757</v>
      </c>
      <c r="J49" t="s">
        <v>1753</v>
      </c>
      <c r="K49" t="s">
        <v>1754</v>
      </c>
      <c r="M49" s="1" t="s">
        <v>1758</v>
      </c>
      <c r="N49" t="s">
        <v>1759</v>
      </c>
      <c r="O49" s="46">
        <f t="shared" si="3"/>
        <v>0</v>
      </c>
      <c r="P49" s="43"/>
      <c r="Q49" s="43"/>
      <c r="R49" s="43"/>
      <c r="S49" s="43"/>
      <c r="T49" s="43"/>
      <c r="U49" s="43"/>
      <c r="V49" s="43"/>
      <c r="W49" s="43"/>
      <c r="X49" s="43"/>
      <c r="Y49" s="43"/>
      <c r="Z49" s="43"/>
      <c r="AA49" s="43"/>
      <c r="AB49" s="46">
        <f t="shared" si="4"/>
        <v>1</v>
      </c>
      <c r="AC49" s="44" t="s">
        <v>1542</v>
      </c>
      <c r="AD49" s="44" t="s">
        <v>1542</v>
      </c>
      <c r="AE49" s="44" t="s">
        <v>1542</v>
      </c>
      <c r="AF49" s="44" t="s">
        <v>1542</v>
      </c>
      <c r="AG49" s="44" t="s">
        <v>1542</v>
      </c>
      <c r="AH49" s="44" t="s">
        <v>1542</v>
      </c>
      <c r="AI49" s="44" t="s">
        <v>1542</v>
      </c>
      <c r="AJ49" s="44" t="s">
        <v>1542</v>
      </c>
      <c r="AK49" s="44" t="s">
        <v>1554</v>
      </c>
      <c r="AL49" s="44"/>
      <c r="AM49" s="44"/>
      <c r="AN49" s="44"/>
      <c r="AO49" s="46">
        <f t="shared" si="0"/>
        <v>1</v>
      </c>
      <c r="AP49" s="43" t="s">
        <v>1542</v>
      </c>
      <c r="AQ49" s="43" t="s">
        <v>1542</v>
      </c>
      <c r="AR49" s="43" t="s">
        <v>1542</v>
      </c>
      <c r="AS49" s="43" t="s">
        <v>1542</v>
      </c>
      <c r="AT49" s="43" t="s">
        <v>1542</v>
      </c>
      <c r="AU49" s="43" t="s">
        <v>1542</v>
      </c>
      <c r="AV49" s="43" t="s">
        <v>1542</v>
      </c>
      <c r="AW49" s="43" t="s">
        <v>1542</v>
      </c>
      <c r="AX49" s="43" t="s">
        <v>1542</v>
      </c>
      <c r="AY49" s="43" t="s">
        <v>1542</v>
      </c>
      <c r="AZ49" s="43" t="s">
        <v>1542</v>
      </c>
      <c r="BA49" s="43" t="s">
        <v>1542</v>
      </c>
      <c r="BB49" s="46">
        <f t="shared" si="1"/>
        <v>0</v>
      </c>
      <c r="BC49" s="44" t="s">
        <v>1542</v>
      </c>
      <c r="BD49" s="44" t="s">
        <v>1554</v>
      </c>
      <c r="BE49" s="44" t="s">
        <v>1554</v>
      </c>
      <c r="BF49" s="44" t="s">
        <v>1554</v>
      </c>
      <c r="BG49" s="44" t="s">
        <v>1554</v>
      </c>
      <c r="BH49" s="44" t="s">
        <v>1542</v>
      </c>
      <c r="BI49" s="44" t="s">
        <v>1542</v>
      </c>
      <c r="BJ49" s="44" t="s">
        <v>1542</v>
      </c>
      <c r="BK49" s="44" t="s">
        <v>1542</v>
      </c>
      <c r="BL49" s="44" t="s">
        <v>1542</v>
      </c>
      <c r="BM49" s="44" t="s">
        <v>1542</v>
      </c>
      <c r="BN49" s="44" t="s">
        <v>1542</v>
      </c>
      <c r="BO49" s="46">
        <f t="shared" si="2"/>
        <v>4</v>
      </c>
      <c r="BP49" s="43" t="s">
        <v>1542</v>
      </c>
      <c r="BQ49" s="43" t="s">
        <v>1542</v>
      </c>
      <c r="BR49" s="43" t="s">
        <v>1542</v>
      </c>
      <c r="BS49" s="43" t="s">
        <v>1542</v>
      </c>
      <c r="BT49" s="43" t="s">
        <v>1542</v>
      </c>
      <c r="BU49" s="43" t="s">
        <v>1542</v>
      </c>
      <c r="BV49" s="43" t="s">
        <v>1542</v>
      </c>
      <c r="BW49" s="43" t="s">
        <v>1542</v>
      </c>
      <c r="BX49" s="43" t="s">
        <v>1542</v>
      </c>
      <c r="BY49" s="43" t="s">
        <v>1542</v>
      </c>
      <c r="BZ49" s="43" t="s">
        <v>1542</v>
      </c>
      <c r="CA49" s="43" t="s">
        <v>1542</v>
      </c>
    </row>
    <row r="50" spans="1:79">
      <c r="A50">
        <v>49</v>
      </c>
      <c r="B50">
        <v>1</v>
      </c>
      <c r="C50" t="s">
        <v>1696</v>
      </c>
      <c r="D50" t="s">
        <v>1697</v>
      </c>
      <c r="E50" t="s">
        <v>1698</v>
      </c>
      <c r="F50" t="s">
        <v>1699</v>
      </c>
      <c r="G50" t="s">
        <v>1760</v>
      </c>
      <c r="H50" t="s">
        <v>1760</v>
      </c>
      <c r="I50" t="s">
        <v>1761</v>
      </c>
      <c r="J50" t="s">
        <v>1762</v>
      </c>
      <c r="K50" t="s">
        <v>1763</v>
      </c>
      <c r="M50" s="1" t="s">
        <v>1764</v>
      </c>
      <c r="O50" s="46">
        <f t="shared" si="3"/>
        <v>0</v>
      </c>
      <c r="P50" s="43" t="s">
        <v>1542</v>
      </c>
      <c r="Q50" s="43" t="s">
        <v>1542</v>
      </c>
      <c r="R50" s="43" t="s">
        <v>1542</v>
      </c>
      <c r="S50" s="43" t="s">
        <v>1542</v>
      </c>
      <c r="T50" s="43" t="s">
        <v>1542</v>
      </c>
      <c r="U50" s="43" t="s">
        <v>1542</v>
      </c>
      <c r="V50" s="43" t="s">
        <v>1542</v>
      </c>
      <c r="W50" s="43" t="s">
        <v>1542</v>
      </c>
      <c r="X50" s="43" t="s">
        <v>1542</v>
      </c>
      <c r="Y50" s="43" t="s">
        <v>1542</v>
      </c>
      <c r="Z50" s="43" t="s">
        <v>1542</v>
      </c>
      <c r="AA50" s="43" t="s">
        <v>1542</v>
      </c>
      <c r="AB50" s="46">
        <f t="shared" si="4"/>
        <v>0</v>
      </c>
      <c r="AC50" s="44" t="s">
        <v>1542</v>
      </c>
      <c r="AD50" s="44" t="s">
        <v>1542</v>
      </c>
      <c r="AE50" s="44" t="s">
        <v>1542</v>
      </c>
      <c r="AF50" s="44" t="s">
        <v>1542</v>
      </c>
      <c r="AG50" s="44" t="s">
        <v>1542</v>
      </c>
      <c r="AH50" s="44" t="s">
        <v>1542</v>
      </c>
      <c r="AI50" s="44" t="s">
        <v>1542</v>
      </c>
      <c r="AJ50" s="44" t="s">
        <v>1542</v>
      </c>
      <c r="AK50" s="44" t="s">
        <v>1542</v>
      </c>
      <c r="AL50" s="44" t="s">
        <v>1542</v>
      </c>
      <c r="AM50" s="44" t="s">
        <v>1542</v>
      </c>
      <c r="AN50" s="44" t="s">
        <v>1542</v>
      </c>
      <c r="AO50" s="46">
        <f t="shared" si="0"/>
        <v>0</v>
      </c>
      <c r="AP50" s="43" t="s">
        <v>1542</v>
      </c>
      <c r="AQ50" s="43" t="s">
        <v>1542</v>
      </c>
      <c r="AR50" s="43" t="s">
        <v>1542</v>
      </c>
      <c r="AS50" s="43" t="s">
        <v>1542</v>
      </c>
      <c r="AT50" s="43" t="s">
        <v>1542</v>
      </c>
      <c r="AU50" s="43" t="s">
        <v>1542</v>
      </c>
      <c r="AV50" s="43" t="s">
        <v>1542</v>
      </c>
      <c r="AW50" s="43" t="s">
        <v>1542</v>
      </c>
      <c r="AX50" s="43" t="s">
        <v>1542</v>
      </c>
      <c r="AY50" s="43" t="s">
        <v>1542</v>
      </c>
      <c r="AZ50" s="43" t="s">
        <v>1542</v>
      </c>
      <c r="BA50" s="43" t="s">
        <v>1542</v>
      </c>
      <c r="BB50" s="46">
        <f t="shared" si="1"/>
        <v>0</v>
      </c>
      <c r="BC50" s="44" t="s">
        <v>1542</v>
      </c>
      <c r="BD50" s="44" t="s">
        <v>1542</v>
      </c>
      <c r="BE50" s="44" t="s">
        <v>1542</v>
      </c>
      <c r="BF50" s="44" t="s">
        <v>1542</v>
      </c>
      <c r="BG50" s="44" t="s">
        <v>1542</v>
      </c>
      <c r="BH50" s="44" t="s">
        <v>1542</v>
      </c>
      <c r="BI50" s="44" t="s">
        <v>1542</v>
      </c>
      <c r="BJ50" s="44" t="s">
        <v>1542</v>
      </c>
      <c r="BK50" s="44" t="s">
        <v>1542</v>
      </c>
      <c r="BL50" s="44" t="s">
        <v>1542</v>
      </c>
      <c r="BM50" s="44" t="s">
        <v>1542</v>
      </c>
      <c r="BN50" s="44" t="s">
        <v>1542</v>
      </c>
      <c r="BO50" s="46">
        <f t="shared" si="2"/>
        <v>0</v>
      </c>
      <c r="BP50" s="43" t="s">
        <v>1542</v>
      </c>
      <c r="BQ50" s="43" t="s">
        <v>1542</v>
      </c>
      <c r="BR50" s="43" t="s">
        <v>1542</v>
      </c>
      <c r="BS50" s="43" t="s">
        <v>1542</v>
      </c>
      <c r="BT50" s="43" t="s">
        <v>1542</v>
      </c>
      <c r="BU50" s="43" t="s">
        <v>1542</v>
      </c>
      <c r="BV50" s="43" t="s">
        <v>1542</v>
      </c>
      <c r="BW50" s="43" t="s">
        <v>1542</v>
      </c>
      <c r="BX50" s="43" t="s">
        <v>1542</v>
      </c>
      <c r="BY50" s="43" t="s">
        <v>1542</v>
      </c>
      <c r="BZ50" s="43" t="s">
        <v>1542</v>
      </c>
      <c r="CA50" s="43" t="s">
        <v>1542</v>
      </c>
    </row>
    <row r="51" spans="1:79">
      <c r="A51">
        <v>50</v>
      </c>
      <c r="B51">
        <v>1</v>
      </c>
      <c r="C51" t="s">
        <v>1696</v>
      </c>
      <c r="D51" t="s">
        <v>1697</v>
      </c>
      <c r="E51" t="s">
        <v>1698</v>
      </c>
      <c r="F51" t="s">
        <v>1699</v>
      </c>
      <c r="G51" t="s">
        <v>1765</v>
      </c>
      <c r="H51" t="s">
        <v>1765</v>
      </c>
      <c r="I51" t="s">
        <v>1766</v>
      </c>
      <c r="J51" t="s">
        <v>1767</v>
      </c>
      <c r="K51" t="s">
        <v>1768</v>
      </c>
      <c r="M51" s="1" t="s">
        <v>1769</v>
      </c>
      <c r="O51" s="46">
        <f t="shared" si="3"/>
        <v>0</v>
      </c>
      <c r="P51" s="43" t="s">
        <v>1542</v>
      </c>
      <c r="Q51" s="43" t="s">
        <v>1542</v>
      </c>
      <c r="R51" s="43" t="s">
        <v>1542</v>
      </c>
      <c r="S51" s="43" t="s">
        <v>1542</v>
      </c>
      <c r="T51" s="43" t="s">
        <v>1542</v>
      </c>
      <c r="U51" s="43" t="s">
        <v>1542</v>
      </c>
      <c r="V51" s="43" t="s">
        <v>1542</v>
      </c>
      <c r="W51" s="43" t="s">
        <v>1542</v>
      </c>
      <c r="X51" s="43" t="s">
        <v>1542</v>
      </c>
      <c r="Y51" s="43" t="s">
        <v>1542</v>
      </c>
      <c r="Z51" s="43" t="s">
        <v>1542</v>
      </c>
      <c r="AA51" s="43" t="s">
        <v>1542</v>
      </c>
      <c r="AB51" s="46">
        <f t="shared" si="4"/>
        <v>0</v>
      </c>
      <c r="AC51" s="44" t="s">
        <v>1542</v>
      </c>
      <c r="AD51" s="44" t="s">
        <v>1542</v>
      </c>
      <c r="AE51" s="44" t="s">
        <v>1542</v>
      </c>
      <c r="AF51" s="44" t="s">
        <v>1542</v>
      </c>
      <c r="AG51" s="44" t="s">
        <v>1542</v>
      </c>
      <c r="AH51" s="44" t="s">
        <v>1542</v>
      </c>
      <c r="AI51" s="44" t="s">
        <v>1542</v>
      </c>
      <c r="AJ51" s="44" t="s">
        <v>1542</v>
      </c>
      <c r="AK51" s="44" t="s">
        <v>1542</v>
      </c>
      <c r="AL51" s="44" t="s">
        <v>1542</v>
      </c>
      <c r="AM51" s="44" t="s">
        <v>1542</v>
      </c>
      <c r="AN51" s="44" t="s">
        <v>1542</v>
      </c>
      <c r="AO51" s="46">
        <f t="shared" si="0"/>
        <v>0</v>
      </c>
      <c r="AP51" s="43" t="s">
        <v>1542</v>
      </c>
      <c r="AQ51" s="43" t="s">
        <v>1542</v>
      </c>
      <c r="AR51" s="43" t="s">
        <v>1542</v>
      </c>
      <c r="AS51" s="43" t="s">
        <v>1542</v>
      </c>
      <c r="AT51" s="43" t="s">
        <v>1542</v>
      </c>
      <c r="AU51" s="43" t="s">
        <v>1542</v>
      </c>
      <c r="AV51" s="43" t="s">
        <v>1542</v>
      </c>
      <c r="AW51" s="43" t="s">
        <v>1542</v>
      </c>
      <c r="AX51" s="43" t="s">
        <v>1542</v>
      </c>
      <c r="AY51" s="43" t="s">
        <v>1542</v>
      </c>
      <c r="AZ51" s="43" t="s">
        <v>1542</v>
      </c>
      <c r="BA51" s="43" t="s">
        <v>1542</v>
      </c>
      <c r="BB51" s="46">
        <f t="shared" si="1"/>
        <v>0</v>
      </c>
      <c r="BC51" s="44" t="s">
        <v>1542</v>
      </c>
      <c r="BD51" s="44" t="s">
        <v>1542</v>
      </c>
      <c r="BE51" s="44" t="s">
        <v>1542</v>
      </c>
      <c r="BF51" s="44" t="s">
        <v>1542</v>
      </c>
      <c r="BG51" s="44" t="s">
        <v>1542</v>
      </c>
      <c r="BH51" s="44" t="s">
        <v>1542</v>
      </c>
      <c r="BI51" s="44" t="s">
        <v>1542</v>
      </c>
      <c r="BJ51" s="44" t="s">
        <v>1542</v>
      </c>
      <c r="BK51" s="44" t="s">
        <v>1542</v>
      </c>
      <c r="BL51" s="44" t="s">
        <v>1542</v>
      </c>
      <c r="BM51" s="44" t="s">
        <v>1542</v>
      </c>
      <c r="BN51" s="44" t="s">
        <v>1542</v>
      </c>
      <c r="BO51" s="46">
        <f t="shared" si="2"/>
        <v>0</v>
      </c>
      <c r="BP51" s="43" t="s">
        <v>1542</v>
      </c>
      <c r="BQ51" s="43" t="s">
        <v>1542</v>
      </c>
      <c r="BR51" s="43" t="s">
        <v>1542</v>
      </c>
      <c r="BS51" s="43" t="s">
        <v>1542</v>
      </c>
      <c r="BT51" s="43" t="s">
        <v>1542</v>
      </c>
      <c r="BU51" s="43" t="s">
        <v>1542</v>
      </c>
      <c r="BV51" s="43" t="s">
        <v>1542</v>
      </c>
      <c r="BW51" s="43" t="s">
        <v>1542</v>
      </c>
      <c r="BX51" s="43" t="s">
        <v>1542</v>
      </c>
      <c r="BY51" s="43" t="s">
        <v>1542</v>
      </c>
      <c r="BZ51" s="43" t="s">
        <v>1542</v>
      </c>
      <c r="CA51" s="43" t="s">
        <v>1542</v>
      </c>
    </row>
    <row r="52" spans="1:79">
      <c r="A52">
        <v>51</v>
      </c>
      <c r="B52">
        <v>1</v>
      </c>
      <c r="C52" t="s">
        <v>1696</v>
      </c>
      <c r="D52" t="s">
        <v>1697</v>
      </c>
      <c r="E52" t="s">
        <v>1698</v>
      </c>
      <c r="F52" t="s">
        <v>1699</v>
      </c>
      <c r="G52" t="s">
        <v>1770</v>
      </c>
      <c r="H52" t="s">
        <v>1770</v>
      </c>
      <c r="J52" t="s">
        <v>1771</v>
      </c>
      <c r="K52" t="s">
        <v>1772</v>
      </c>
      <c r="M52" s="1" t="s">
        <v>1773</v>
      </c>
      <c r="O52" s="46">
        <f t="shared" si="3"/>
        <v>0</v>
      </c>
      <c r="P52" s="43" t="s">
        <v>1542</v>
      </c>
      <c r="Q52" s="43" t="s">
        <v>1542</v>
      </c>
      <c r="R52" s="43" t="s">
        <v>1542</v>
      </c>
      <c r="S52" s="43" t="s">
        <v>1542</v>
      </c>
      <c r="T52" s="43" t="s">
        <v>1542</v>
      </c>
      <c r="U52" s="43" t="s">
        <v>1542</v>
      </c>
      <c r="V52" s="43" t="s">
        <v>1542</v>
      </c>
      <c r="W52" s="43" t="s">
        <v>1542</v>
      </c>
      <c r="X52" s="43" t="s">
        <v>1542</v>
      </c>
      <c r="Y52" s="43" t="s">
        <v>1542</v>
      </c>
      <c r="Z52" s="43" t="s">
        <v>1542</v>
      </c>
      <c r="AA52" s="43" t="s">
        <v>1542</v>
      </c>
      <c r="AB52" s="46">
        <f t="shared" si="4"/>
        <v>0</v>
      </c>
      <c r="AC52" s="44" t="s">
        <v>1542</v>
      </c>
      <c r="AD52" s="44" t="s">
        <v>1542</v>
      </c>
      <c r="AE52" s="44" t="s">
        <v>1542</v>
      </c>
      <c r="AF52" s="44" t="s">
        <v>1542</v>
      </c>
      <c r="AG52" s="44" t="s">
        <v>1542</v>
      </c>
      <c r="AH52" s="44" t="s">
        <v>1542</v>
      </c>
      <c r="AI52" s="44" t="s">
        <v>1542</v>
      </c>
      <c r="AJ52" s="44" t="s">
        <v>1542</v>
      </c>
      <c r="AK52" s="44" t="s">
        <v>1542</v>
      </c>
      <c r="AL52" s="44" t="s">
        <v>1542</v>
      </c>
      <c r="AM52" s="44" t="s">
        <v>1542</v>
      </c>
      <c r="AN52" s="44" t="s">
        <v>1542</v>
      </c>
      <c r="AO52" s="46">
        <f t="shared" si="0"/>
        <v>0</v>
      </c>
      <c r="AP52" s="43" t="s">
        <v>1542</v>
      </c>
      <c r="AQ52" s="43" t="s">
        <v>1542</v>
      </c>
      <c r="AR52" s="43" t="s">
        <v>1542</v>
      </c>
      <c r="AS52" s="43" t="s">
        <v>1542</v>
      </c>
      <c r="AT52" s="43" t="s">
        <v>1542</v>
      </c>
      <c r="AU52" s="43" t="s">
        <v>1542</v>
      </c>
      <c r="AV52" s="43" t="s">
        <v>1542</v>
      </c>
      <c r="AW52" s="43" t="s">
        <v>1542</v>
      </c>
      <c r="AX52" s="43" t="s">
        <v>1542</v>
      </c>
      <c r="AY52" s="43" t="s">
        <v>1542</v>
      </c>
      <c r="AZ52" s="43" t="s">
        <v>1542</v>
      </c>
      <c r="BA52" s="43" t="s">
        <v>1542</v>
      </c>
      <c r="BB52" s="46">
        <f t="shared" si="1"/>
        <v>0</v>
      </c>
      <c r="BC52" s="44" t="s">
        <v>1542</v>
      </c>
      <c r="BD52" s="44" t="s">
        <v>1542</v>
      </c>
      <c r="BE52" s="44" t="s">
        <v>1542</v>
      </c>
      <c r="BF52" s="44" t="s">
        <v>1542</v>
      </c>
      <c r="BG52" s="44" t="s">
        <v>1542</v>
      </c>
      <c r="BH52" s="44" t="s">
        <v>1542</v>
      </c>
      <c r="BI52" s="44" t="s">
        <v>1542</v>
      </c>
      <c r="BJ52" s="44" t="s">
        <v>1542</v>
      </c>
      <c r="BK52" s="44" t="s">
        <v>1542</v>
      </c>
      <c r="BL52" s="44" t="s">
        <v>1542</v>
      </c>
      <c r="BM52" s="44" t="s">
        <v>1542</v>
      </c>
      <c r="BN52" s="44" t="s">
        <v>1542</v>
      </c>
      <c r="BO52" s="46">
        <f t="shared" si="2"/>
        <v>0</v>
      </c>
      <c r="BP52" s="43" t="s">
        <v>1542</v>
      </c>
      <c r="BQ52" s="43" t="s">
        <v>1542</v>
      </c>
      <c r="BR52" s="43" t="s">
        <v>1542</v>
      </c>
      <c r="BS52" s="43" t="s">
        <v>1542</v>
      </c>
      <c r="BT52" s="43" t="s">
        <v>1542</v>
      </c>
      <c r="BU52" s="43" t="s">
        <v>1542</v>
      </c>
      <c r="BV52" s="43" t="s">
        <v>1542</v>
      </c>
      <c r="BW52" s="43" t="s">
        <v>1542</v>
      </c>
      <c r="BX52" s="43" t="s">
        <v>1542</v>
      </c>
      <c r="BY52" s="43" t="s">
        <v>1542</v>
      </c>
      <c r="BZ52" s="43" t="s">
        <v>1542</v>
      </c>
      <c r="CA52" s="43" t="s">
        <v>1542</v>
      </c>
    </row>
    <row r="53" spans="1:79">
      <c r="A53">
        <v>52</v>
      </c>
      <c r="B53">
        <v>1</v>
      </c>
      <c r="C53" t="s">
        <v>1696</v>
      </c>
      <c r="D53" t="s">
        <v>1697</v>
      </c>
      <c r="E53" t="s">
        <v>1698</v>
      </c>
      <c r="F53" t="s">
        <v>1699</v>
      </c>
      <c r="G53" t="s">
        <v>1774</v>
      </c>
      <c r="H53" t="s">
        <v>1774</v>
      </c>
      <c r="I53" t="s">
        <v>1775</v>
      </c>
      <c r="J53" t="s">
        <v>1776</v>
      </c>
      <c r="K53" t="s">
        <v>1777</v>
      </c>
      <c r="L53" t="s">
        <v>1539</v>
      </c>
      <c r="M53" s="1" t="s">
        <v>1778</v>
      </c>
      <c r="N53" t="s">
        <v>1779</v>
      </c>
      <c r="O53" s="46">
        <f t="shared" si="3"/>
        <v>0</v>
      </c>
      <c r="P53" s="43" t="s">
        <v>1542</v>
      </c>
      <c r="Q53" s="43" t="s">
        <v>1542</v>
      </c>
      <c r="R53" s="43" t="s">
        <v>1542</v>
      </c>
      <c r="S53" s="43" t="s">
        <v>1542</v>
      </c>
      <c r="T53" s="43" t="s">
        <v>1542</v>
      </c>
      <c r="U53" s="43" t="s">
        <v>1542</v>
      </c>
      <c r="V53" s="43" t="s">
        <v>1542</v>
      </c>
      <c r="W53" s="43" t="s">
        <v>1542</v>
      </c>
      <c r="X53" s="43" t="s">
        <v>1542</v>
      </c>
      <c r="Y53" s="43" t="s">
        <v>1542</v>
      </c>
      <c r="Z53" s="43" t="s">
        <v>1542</v>
      </c>
      <c r="AA53" s="43" t="s">
        <v>1542</v>
      </c>
      <c r="AB53" s="46">
        <f t="shared" si="4"/>
        <v>0</v>
      </c>
      <c r="AC53" s="44" t="s">
        <v>1542</v>
      </c>
      <c r="AD53" s="44" t="s">
        <v>1542</v>
      </c>
      <c r="AE53" s="44" t="s">
        <v>1542</v>
      </c>
      <c r="AF53" s="44" t="s">
        <v>1542</v>
      </c>
      <c r="AG53" s="44" t="s">
        <v>1542</v>
      </c>
      <c r="AH53" s="44" t="s">
        <v>1542</v>
      </c>
      <c r="AI53" s="44" t="s">
        <v>1542</v>
      </c>
      <c r="AJ53" s="44" t="s">
        <v>1542</v>
      </c>
      <c r="AK53" s="44" t="s">
        <v>1542</v>
      </c>
      <c r="AL53" s="44" t="s">
        <v>1542</v>
      </c>
      <c r="AM53" s="44" t="s">
        <v>1542</v>
      </c>
      <c r="AN53" s="44" t="s">
        <v>1542</v>
      </c>
      <c r="AO53" s="46">
        <f t="shared" si="0"/>
        <v>0</v>
      </c>
      <c r="AP53" s="43" t="s">
        <v>1542</v>
      </c>
      <c r="AQ53" s="43" t="s">
        <v>1542</v>
      </c>
      <c r="AR53" s="43" t="s">
        <v>1542</v>
      </c>
      <c r="AS53" s="43" t="s">
        <v>1542</v>
      </c>
      <c r="AT53" s="43" t="s">
        <v>1542</v>
      </c>
      <c r="AU53" s="43" t="s">
        <v>1542</v>
      </c>
      <c r="AV53" s="43" t="s">
        <v>1542</v>
      </c>
      <c r="AW53" s="43" t="s">
        <v>1542</v>
      </c>
      <c r="AX53" s="43" t="s">
        <v>1542</v>
      </c>
      <c r="AY53" s="43" t="s">
        <v>1542</v>
      </c>
      <c r="AZ53" s="43" t="s">
        <v>1542</v>
      </c>
      <c r="BA53" s="43" t="s">
        <v>1542</v>
      </c>
      <c r="BB53" s="46">
        <f t="shared" si="1"/>
        <v>0</v>
      </c>
      <c r="BC53" s="44" t="s">
        <v>1542</v>
      </c>
      <c r="BD53" s="44" t="s">
        <v>1542</v>
      </c>
      <c r="BE53" s="44" t="s">
        <v>1542</v>
      </c>
      <c r="BF53" s="44" t="s">
        <v>1542</v>
      </c>
      <c r="BG53" s="44" t="s">
        <v>1542</v>
      </c>
      <c r="BH53" s="44" t="s">
        <v>1542</v>
      </c>
      <c r="BI53" s="44" t="s">
        <v>1542</v>
      </c>
      <c r="BJ53" s="44" t="s">
        <v>1542</v>
      </c>
      <c r="BK53" s="44" t="s">
        <v>1542</v>
      </c>
      <c r="BL53" s="44" t="s">
        <v>1542</v>
      </c>
      <c r="BM53" s="44" t="s">
        <v>1542</v>
      </c>
      <c r="BN53" s="44" t="s">
        <v>1542</v>
      </c>
      <c r="BO53" s="46">
        <f t="shared" si="2"/>
        <v>0</v>
      </c>
      <c r="BP53" s="43" t="s">
        <v>1542</v>
      </c>
      <c r="BQ53" s="43" t="s">
        <v>1542</v>
      </c>
      <c r="BR53" s="43" t="s">
        <v>1554</v>
      </c>
      <c r="BS53" s="43" t="s">
        <v>1554</v>
      </c>
      <c r="BT53" s="43" t="s">
        <v>1554</v>
      </c>
      <c r="BU53" s="43" t="s">
        <v>1554</v>
      </c>
      <c r="BV53" s="43" t="s">
        <v>1554</v>
      </c>
      <c r="BW53" s="43" t="s">
        <v>1554</v>
      </c>
      <c r="BX53" s="43" t="s">
        <v>1542</v>
      </c>
      <c r="BY53" s="43" t="s">
        <v>1542</v>
      </c>
      <c r="BZ53" s="43" t="s">
        <v>1542</v>
      </c>
      <c r="CA53" s="43" t="s">
        <v>1554</v>
      </c>
    </row>
    <row r="54" spans="1:79">
      <c r="A54">
        <v>53</v>
      </c>
      <c r="B54">
        <v>1</v>
      </c>
      <c r="C54" t="s">
        <v>1696</v>
      </c>
      <c r="D54" t="s">
        <v>1697</v>
      </c>
      <c r="E54" t="s">
        <v>1698</v>
      </c>
      <c r="F54" t="s">
        <v>1699</v>
      </c>
      <c r="G54" t="s">
        <v>1780</v>
      </c>
      <c r="H54" t="s">
        <v>1780</v>
      </c>
      <c r="J54" t="s">
        <v>1781</v>
      </c>
      <c r="K54" t="s">
        <v>1782</v>
      </c>
      <c r="L54" t="s">
        <v>1539</v>
      </c>
      <c r="M54" s="1" t="s">
        <v>1783</v>
      </c>
      <c r="N54" t="s">
        <v>1784</v>
      </c>
      <c r="O54" s="46">
        <f t="shared" si="3"/>
        <v>0</v>
      </c>
      <c r="P54" s="43" t="s">
        <v>1542</v>
      </c>
      <c r="Q54" s="43" t="s">
        <v>1542</v>
      </c>
      <c r="R54" s="43" t="s">
        <v>1542</v>
      </c>
      <c r="S54" s="43" t="s">
        <v>1542</v>
      </c>
      <c r="T54" s="43" t="s">
        <v>1542</v>
      </c>
      <c r="U54" s="43" t="s">
        <v>1542</v>
      </c>
      <c r="V54" s="43" t="s">
        <v>1542</v>
      </c>
      <c r="W54" s="43" t="s">
        <v>1542</v>
      </c>
      <c r="X54" s="43" t="s">
        <v>1542</v>
      </c>
      <c r="Y54" s="43" t="s">
        <v>1542</v>
      </c>
      <c r="Z54" s="43" t="s">
        <v>1542</v>
      </c>
      <c r="AA54" s="43" t="s">
        <v>1542</v>
      </c>
      <c r="AB54" s="46">
        <f t="shared" si="4"/>
        <v>0</v>
      </c>
      <c r="AC54" s="44" t="s">
        <v>1542</v>
      </c>
      <c r="AD54" s="44" t="s">
        <v>1542</v>
      </c>
      <c r="AE54" s="44" t="s">
        <v>1542</v>
      </c>
      <c r="AF54" s="44" t="s">
        <v>1542</v>
      </c>
      <c r="AG54" s="44" t="s">
        <v>1542</v>
      </c>
      <c r="AH54" s="44" t="s">
        <v>1542</v>
      </c>
      <c r="AI54" s="44" t="s">
        <v>1542</v>
      </c>
      <c r="AJ54" s="44" t="s">
        <v>1542</v>
      </c>
      <c r="AK54" s="44" t="s">
        <v>1542</v>
      </c>
      <c r="AL54" s="44" t="s">
        <v>1542</v>
      </c>
      <c r="AM54" s="44" t="s">
        <v>1542</v>
      </c>
      <c r="AN54" s="44" t="s">
        <v>1542</v>
      </c>
      <c r="AO54" s="46">
        <f t="shared" si="0"/>
        <v>0</v>
      </c>
      <c r="AP54" s="43" t="s">
        <v>1542</v>
      </c>
      <c r="AQ54" s="43" t="s">
        <v>1542</v>
      </c>
      <c r="AR54" s="43" t="s">
        <v>1542</v>
      </c>
      <c r="AS54" s="43" t="s">
        <v>1542</v>
      </c>
      <c r="AT54" s="43" t="s">
        <v>1542</v>
      </c>
      <c r="AU54" s="43" t="s">
        <v>1542</v>
      </c>
      <c r="AV54" s="43" t="s">
        <v>1542</v>
      </c>
      <c r="AW54" s="43" t="s">
        <v>1542</v>
      </c>
      <c r="AX54" s="43" t="s">
        <v>1542</v>
      </c>
      <c r="AY54" s="43" t="s">
        <v>1542</v>
      </c>
      <c r="AZ54" s="43" t="s">
        <v>1542</v>
      </c>
      <c r="BA54" s="43" t="s">
        <v>1542</v>
      </c>
      <c r="BB54" s="46">
        <f t="shared" si="1"/>
        <v>0</v>
      </c>
      <c r="BC54" s="44" t="s">
        <v>1542</v>
      </c>
      <c r="BD54" s="44" t="s">
        <v>1542</v>
      </c>
      <c r="BE54" s="44" t="s">
        <v>1542</v>
      </c>
      <c r="BF54" s="44" t="s">
        <v>1542</v>
      </c>
      <c r="BG54" s="44" t="s">
        <v>1542</v>
      </c>
      <c r="BH54" s="44" t="s">
        <v>1542</v>
      </c>
      <c r="BI54" s="44" t="s">
        <v>1542</v>
      </c>
      <c r="BJ54" s="44" t="s">
        <v>1542</v>
      </c>
      <c r="BK54" s="44" t="s">
        <v>1542</v>
      </c>
      <c r="BL54" s="44" t="s">
        <v>1542</v>
      </c>
      <c r="BM54" s="44" t="s">
        <v>1542</v>
      </c>
      <c r="BN54" s="44" t="s">
        <v>1542</v>
      </c>
      <c r="BO54" s="46">
        <f t="shared" si="2"/>
        <v>0</v>
      </c>
      <c r="BP54" s="43" t="s">
        <v>1542</v>
      </c>
      <c r="BQ54" s="43" t="s">
        <v>1542</v>
      </c>
      <c r="BR54" s="43" t="s">
        <v>1542</v>
      </c>
      <c r="BS54" s="43" t="s">
        <v>1542</v>
      </c>
      <c r="BT54" s="43" t="s">
        <v>1542</v>
      </c>
      <c r="BU54" s="43" t="s">
        <v>1542</v>
      </c>
      <c r="BV54" s="43" t="s">
        <v>1542</v>
      </c>
      <c r="BW54" s="43" t="s">
        <v>1542</v>
      </c>
      <c r="BX54" s="43" t="s">
        <v>1542</v>
      </c>
      <c r="BY54" s="43" t="s">
        <v>1542</v>
      </c>
      <c r="BZ54" s="43" t="s">
        <v>1554</v>
      </c>
      <c r="CA54" s="43" t="s">
        <v>1542</v>
      </c>
    </row>
    <row r="55" spans="1:79">
      <c r="A55">
        <v>54</v>
      </c>
      <c r="B55">
        <v>1</v>
      </c>
      <c r="C55" t="s">
        <v>1696</v>
      </c>
      <c r="D55" t="s">
        <v>1697</v>
      </c>
      <c r="E55" t="s">
        <v>1698</v>
      </c>
      <c r="F55" t="s">
        <v>1699</v>
      </c>
      <c r="G55" t="s">
        <v>1785</v>
      </c>
      <c r="H55" t="s">
        <v>1785</v>
      </c>
      <c r="J55" t="s">
        <v>1786</v>
      </c>
      <c r="K55" t="s">
        <v>1787</v>
      </c>
      <c r="M55" s="1" t="s">
        <v>1788</v>
      </c>
      <c r="O55" s="46">
        <f t="shared" si="3"/>
        <v>0</v>
      </c>
      <c r="P55" s="43" t="s">
        <v>1542</v>
      </c>
      <c r="Q55" s="43" t="s">
        <v>1542</v>
      </c>
      <c r="R55" s="43" t="s">
        <v>1542</v>
      </c>
      <c r="S55" s="43" t="s">
        <v>1542</v>
      </c>
      <c r="T55" s="43" t="s">
        <v>1542</v>
      </c>
      <c r="U55" s="43" t="s">
        <v>1542</v>
      </c>
      <c r="V55" s="43" t="s">
        <v>1542</v>
      </c>
      <c r="W55" s="43" t="s">
        <v>1542</v>
      </c>
      <c r="X55" s="43" t="s">
        <v>1542</v>
      </c>
      <c r="Y55" s="43" t="s">
        <v>1542</v>
      </c>
      <c r="Z55" s="43" t="s">
        <v>1542</v>
      </c>
      <c r="AA55" s="43" t="s">
        <v>1542</v>
      </c>
      <c r="AB55" s="46">
        <f t="shared" si="4"/>
        <v>0</v>
      </c>
      <c r="AC55" s="44" t="s">
        <v>1542</v>
      </c>
      <c r="AD55" s="44" t="s">
        <v>1542</v>
      </c>
      <c r="AE55" s="44" t="s">
        <v>1542</v>
      </c>
      <c r="AF55" s="44" t="s">
        <v>1542</v>
      </c>
      <c r="AG55" s="44" t="s">
        <v>1542</v>
      </c>
      <c r="AH55" s="44" t="s">
        <v>1542</v>
      </c>
      <c r="AI55" s="44" t="s">
        <v>1542</v>
      </c>
      <c r="AJ55" s="44" t="s">
        <v>1542</v>
      </c>
      <c r="AK55" s="44" t="s">
        <v>1542</v>
      </c>
      <c r="AL55" s="44" t="s">
        <v>1542</v>
      </c>
      <c r="AM55" s="44" t="s">
        <v>1542</v>
      </c>
      <c r="AN55" s="44" t="s">
        <v>1542</v>
      </c>
      <c r="AO55" s="46">
        <f t="shared" si="0"/>
        <v>0</v>
      </c>
      <c r="AP55" s="43" t="s">
        <v>1542</v>
      </c>
      <c r="AQ55" s="43" t="s">
        <v>1542</v>
      </c>
      <c r="AR55" s="43" t="s">
        <v>1542</v>
      </c>
      <c r="AS55" s="43" t="s">
        <v>1542</v>
      </c>
      <c r="AT55" s="43" t="s">
        <v>1542</v>
      </c>
      <c r="AU55" s="43" t="s">
        <v>1542</v>
      </c>
      <c r="AV55" s="43" t="s">
        <v>1542</v>
      </c>
      <c r="AW55" s="43" t="s">
        <v>1542</v>
      </c>
      <c r="AX55" s="43" t="s">
        <v>1542</v>
      </c>
      <c r="AY55" s="43" t="s">
        <v>1542</v>
      </c>
      <c r="AZ55" s="43" t="s">
        <v>1542</v>
      </c>
      <c r="BA55" s="43" t="s">
        <v>1542</v>
      </c>
      <c r="BB55" s="46">
        <f t="shared" si="1"/>
        <v>0</v>
      </c>
      <c r="BC55" s="44" t="s">
        <v>1542</v>
      </c>
      <c r="BD55" s="44" t="s">
        <v>1542</v>
      </c>
      <c r="BE55" s="44" t="s">
        <v>1542</v>
      </c>
      <c r="BF55" s="44" t="s">
        <v>1542</v>
      </c>
      <c r="BG55" s="44" t="s">
        <v>1542</v>
      </c>
      <c r="BH55" s="44" t="s">
        <v>1542</v>
      </c>
      <c r="BI55" s="44" t="s">
        <v>1542</v>
      </c>
      <c r="BJ55" s="44" t="s">
        <v>1542</v>
      </c>
      <c r="BK55" s="44" t="s">
        <v>1542</v>
      </c>
      <c r="BL55" s="44" t="s">
        <v>1542</v>
      </c>
      <c r="BM55" s="44" t="s">
        <v>1542</v>
      </c>
      <c r="BN55" s="44" t="s">
        <v>1542</v>
      </c>
      <c r="BO55" s="46">
        <f t="shared" si="2"/>
        <v>0</v>
      </c>
      <c r="BP55" s="43" t="s">
        <v>1542</v>
      </c>
      <c r="BQ55" s="43" t="s">
        <v>1542</v>
      </c>
      <c r="BR55" s="43" t="s">
        <v>1542</v>
      </c>
      <c r="BS55" s="43" t="s">
        <v>1542</v>
      </c>
      <c r="BT55" s="43" t="s">
        <v>1542</v>
      </c>
      <c r="BU55" s="43" t="s">
        <v>1542</v>
      </c>
      <c r="BV55" s="43" t="s">
        <v>1542</v>
      </c>
      <c r="BW55" s="43" t="s">
        <v>1542</v>
      </c>
      <c r="BX55" s="43" t="s">
        <v>1542</v>
      </c>
      <c r="BY55" s="43" t="s">
        <v>1542</v>
      </c>
      <c r="BZ55" s="43" t="s">
        <v>1542</v>
      </c>
      <c r="CA55" s="43" t="s">
        <v>1542</v>
      </c>
    </row>
    <row r="56" spans="1:79">
      <c r="A56">
        <v>55</v>
      </c>
      <c r="B56">
        <v>1</v>
      </c>
      <c r="C56" t="s">
        <v>1696</v>
      </c>
      <c r="D56" t="s">
        <v>1697</v>
      </c>
      <c r="E56" t="s">
        <v>1698</v>
      </c>
      <c r="F56" t="s">
        <v>1699</v>
      </c>
      <c r="G56" t="s">
        <v>1789</v>
      </c>
      <c r="H56" t="s">
        <v>1789</v>
      </c>
      <c r="J56" t="s">
        <v>1790</v>
      </c>
      <c r="K56" t="s">
        <v>1791</v>
      </c>
      <c r="M56" s="1" t="s">
        <v>1792</v>
      </c>
      <c r="O56" s="46">
        <f t="shared" si="3"/>
        <v>0</v>
      </c>
      <c r="P56" s="43" t="s">
        <v>1542</v>
      </c>
      <c r="Q56" s="43" t="s">
        <v>1542</v>
      </c>
      <c r="R56" s="43" t="s">
        <v>1542</v>
      </c>
      <c r="S56" s="43" t="s">
        <v>1542</v>
      </c>
      <c r="T56" s="43" t="s">
        <v>1542</v>
      </c>
      <c r="U56" s="43" t="s">
        <v>1542</v>
      </c>
      <c r="V56" s="43" t="s">
        <v>1542</v>
      </c>
      <c r="W56" s="43" t="s">
        <v>1542</v>
      </c>
      <c r="X56" s="43" t="s">
        <v>1542</v>
      </c>
      <c r="Y56" s="43" t="s">
        <v>1542</v>
      </c>
      <c r="Z56" s="43" t="s">
        <v>1542</v>
      </c>
      <c r="AA56" s="43" t="s">
        <v>1542</v>
      </c>
      <c r="AB56" s="46">
        <f t="shared" si="4"/>
        <v>0</v>
      </c>
      <c r="AC56" s="44" t="s">
        <v>1542</v>
      </c>
      <c r="AD56" s="44" t="s">
        <v>1542</v>
      </c>
      <c r="AE56" s="44" t="s">
        <v>1542</v>
      </c>
      <c r="AF56" s="44" t="s">
        <v>1542</v>
      </c>
      <c r="AG56" s="44" t="s">
        <v>1542</v>
      </c>
      <c r="AH56" s="44" t="s">
        <v>1542</v>
      </c>
      <c r="AI56" s="44" t="s">
        <v>1542</v>
      </c>
      <c r="AJ56" s="44" t="s">
        <v>1542</v>
      </c>
      <c r="AK56" s="44" t="s">
        <v>1542</v>
      </c>
      <c r="AL56" s="44" t="s">
        <v>1542</v>
      </c>
      <c r="AM56" s="44" t="s">
        <v>1542</v>
      </c>
      <c r="AN56" s="44" t="s">
        <v>1542</v>
      </c>
      <c r="AO56" s="46">
        <f t="shared" si="0"/>
        <v>0</v>
      </c>
      <c r="AP56" s="43" t="s">
        <v>1542</v>
      </c>
      <c r="AQ56" s="43" t="s">
        <v>1542</v>
      </c>
      <c r="AR56" s="43" t="s">
        <v>1542</v>
      </c>
      <c r="AS56" s="43" t="s">
        <v>1542</v>
      </c>
      <c r="AT56" s="43" t="s">
        <v>1542</v>
      </c>
      <c r="AU56" s="43" t="s">
        <v>1542</v>
      </c>
      <c r="AV56" s="43" t="s">
        <v>1542</v>
      </c>
      <c r="AW56" s="43" t="s">
        <v>1542</v>
      </c>
      <c r="AX56" s="43" t="s">
        <v>1542</v>
      </c>
      <c r="AY56" s="43" t="s">
        <v>1542</v>
      </c>
      <c r="AZ56" s="43" t="s">
        <v>1542</v>
      </c>
      <c r="BA56" s="43" t="s">
        <v>1542</v>
      </c>
      <c r="BB56" s="46">
        <f t="shared" si="1"/>
        <v>0</v>
      </c>
      <c r="BC56" s="44" t="s">
        <v>1542</v>
      </c>
      <c r="BD56" s="44" t="s">
        <v>1542</v>
      </c>
      <c r="BE56" s="44" t="s">
        <v>1542</v>
      </c>
      <c r="BF56" s="44" t="s">
        <v>1542</v>
      </c>
      <c r="BG56" s="44" t="s">
        <v>1542</v>
      </c>
      <c r="BH56" s="44" t="s">
        <v>1542</v>
      </c>
      <c r="BI56" s="44" t="s">
        <v>1542</v>
      </c>
      <c r="BJ56" s="44" t="s">
        <v>1542</v>
      </c>
      <c r="BK56" s="44" t="s">
        <v>1542</v>
      </c>
      <c r="BL56" s="44" t="s">
        <v>1542</v>
      </c>
      <c r="BM56" s="44" t="s">
        <v>1542</v>
      </c>
      <c r="BN56" s="44" t="s">
        <v>1542</v>
      </c>
      <c r="BO56" s="46">
        <f t="shared" si="2"/>
        <v>0</v>
      </c>
      <c r="BP56" s="43" t="s">
        <v>1542</v>
      </c>
      <c r="BQ56" s="43" t="s">
        <v>1542</v>
      </c>
      <c r="BR56" s="43" t="s">
        <v>1542</v>
      </c>
      <c r="BS56" s="43" t="s">
        <v>1542</v>
      </c>
      <c r="BT56" s="43" t="s">
        <v>1542</v>
      </c>
      <c r="BU56" s="43" t="s">
        <v>1542</v>
      </c>
      <c r="BV56" s="43" t="s">
        <v>1542</v>
      </c>
      <c r="BW56" s="43" t="s">
        <v>1542</v>
      </c>
      <c r="BX56" s="43" t="s">
        <v>1542</v>
      </c>
      <c r="BY56" s="43" t="s">
        <v>1542</v>
      </c>
      <c r="BZ56" s="43" t="s">
        <v>1542</v>
      </c>
      <c r="CA56" s="43" t="s">
        <v>1542</v>
      </c>
    </row>
    <row r="57" spans="1:79">
      <c r="A57">
        <v>56</v>
      </c>
      <c r="B57">
        <v>1</v>
      </c>
      <c r="C57" t="s">
        <v>1696</v>
      </c>
      <c r="D57" t="s">
        <v>1697</v>
      </c>
      <c r="E57" t="s">
        <v>1698</v>
      </c>
      <c r="F57" t="s">
        <v>1699</v>
      </c>
      <c r="G57" t="s">
        <v>1793</v>
      </c>
      <c r="H57" t="s">
        <v>1793</v>
      </c>
      <c r="J57" t="s">
        <v>1794</v>
      </c>
      <c r="K57" t="s">
        <v>1795</v>
      </c>
      <c r="M57" s="1" t="s">
        <v>1796</v>
      </c>
      <c r="O57" s="46">
        <f t="shared" si="3"/>
        <v>0</v>
      </c>
      <c r="P57" s="43" t="s">
        <v>1542</v>
      </c>
      <c r="Q57" s="43" t="s">
        <v>1542</v>
      </c>
      <c r="R57" s="43" t="s">
        <v>1542</v>
      </c>
      <c r="S57" s="43" t="s">
        <v>1542</v>
      </c>
      <c r="T57" s="43" t="s">
        <v>1542</v>
      </c>
      <c r="U57" s="43" t="s">
        <v>1542</v>
      </c>
      <c r="V57" s="43" t="s">
        <v>1542</v>
      </c>
      <c r="W57" s="43" t="s">
        <v>1542</v>
      </c>
      <c r="X57" s="43" t="s">
        <v>1542</v>
      </c>
      <c r="Y57" s="43" t="s">
        <v>1542</v>
      </c>
      <c r="Z57" s="43" t="s">
        <v>1542</v>
      </c>
      <c r="AA57" s="43" t="s">
        <v>1542</v>
      </c>
      <c r="AB57" s="46">
        <f t="shared" si="4"/>
        <v>0</v>
      </c>
      <c r="AC57" s="44" t="s">
        <v>1542</v>
      </c>
      <c r="AD57" s="44" t="s">
        <v>1542</v>
      </c>
      <c r="AE57" s="44" t="s">
        <v>1542</v>
      </c>
      <c r="AF57" s="44" t="s">
        <v>1542</v>
      </c>
      <c r="AG57" s="44" t="s">
        <v>1542</v>
      </c>
      <c r="AH57" s="44" t="s">
        <v>1542</v>
      </c>
      <c r="AI57" s="44" t="s">
        <v>1542</v>
      </c>
      <c r="AJ57" s="44" t="s">
        <v>1542</v>
      </c>
      <c r="AK57" s="44" t="s">
        <v>1542</v>
      </c>
      <c r="AL57" s="44" t="s">
        <v>1542</v>
      </c>
      <c r="AM57" s="44" t="s">
        <v>1542</v>
      </c>
      <c r="AN57" s="44" t="s">
        <v>1542</v>
      </c>
      <c r="AO57" s="46">
        <f t="shared" si="0"/>
        <v>0</v>
      </c>
      <c r="AP57" s="43" t="s">
        <v>1542</v>
      </c>
      <c r="AQ57" s="43" t="s">
        <v>1542</v>
      </c>
      <c r="AR57" s="43" t="s">
        <v>1542</v>
      </c>
      <c r="AS57" s="43" t="s">
        <v>1542</v>
      </c>
      <c r="AT57" s="43" t="s">
        <v>1542</v>
      </c>
      <c r="AU57" s="43" t="s">
        <v>1542</v>
      </c>
      <c r="AV57" s="43" t="s">
        <v>1542</v>
      </c>
      <c r="AW57" s="43" t="s">
        <v>1542</v>
      </c>
      <c r="AX57" s="43" t="s">
        <v>1542</v>
      </c>
      <c r="AY57" s="43" t="s">
        <v>1542</v>
      </c>
      <c r="AZ57" s="43" t="s">
        <v>1542</v>
      </c>
      <c r="BA57" s="43" t="s">
        <v>1542</v>
      </c>
      <c r="BB57" s="46">
        <f t="shared" si="1"/>
        <v>0</v>
      </c>
      <c r="BC57" s="44" t="s">
        <v>1542</v>
      </c>
      <c r="BD57" s="44" t="s">
        <v>1542</v>
      </c>
      <c r="BE57" s="44" t="s">
        <v>1542</v>
      </c>
      <c r="BF57" s="44" t="s">
        <v>1542</v>
      </c>
      <c r="BG57" s="44" t="s">
        <v>1542</v>
      </c>
      <c r="BH57" s="44" t="s">
        <v>1542</v>
      </c>
      <c r="BI57" s="44" t="s">
        <v>1542</v>
      </c>
      <c r="BJ57" s="44" t="s">
        <v>1542</v>
      </c>
      <c r="BK57" s="44" t="s">
        <v>1542</v>
      </c>
      <c r="BL57" s="44" t="s">
        <v>1542</v>
      </c>
      <c r="BM57" s="44" t="s">
        <v>1542</v>
      </c>
      <c r="BN57" s="44" t="s">
        <v>1542</v>
      </c>
      <c r="BO57" s="46">
        <f t="shared" si="2"/>
        <v>0</v>
      </c>
      <c r="BP57" s="43" t="s">
        <v>1542</v>
      </c>
      <c r="BQ57" s="43" t="s">
        <v>1542</v>
      </c>
      <c r="BR57" s="43" t="s">
        <v>1542</v>
      </c>
      <c r="BS57" s="43" t="s">
        <v>1542</v>
      </c>
      <c r="BT57" s="43" t="s">
        <v>1542</v>
      </c>
      <c r="BU57" s="43" t="s">
        <v>1542</v>
      </c>
      <c r="BV57" s="43" t="s">
        <v>1542</v>
      </c>
      <c r="BW57" s="43" t="s">
        <v>1542</v>
      </c>
      <c r="BX57" s="43" t="s">
        <v>1542</v>
      </c>
      <c r="BY57" s="43" t="s">
        <v>1542</v>
      </c>
      <c r="BZ57" s="43" t="s">
        <v>1542</v>
      </c>
      <c r="CA57" s="43" t="s">
        <v>1542</v>
      </c>
    </row>
    <row r="58" spans="1:79">
      <c r="A58">
        <v>57</v>
      </c>
      <c r="B58">
        <v>1</v>
      </c>
      <c r="C58" t="s">
        <v>1532</v>
      </c>
      <c r="D58" t="s">
        <v>1533</v>
      </c>
      <c r="E58" t="s">
        <v>1797</v>
      </c>
      <c r="F58" t="s">
        <v>1798</v>
      </c>
      <c r="G58" t="s">
        <v>1799</v>
      </c>
      <c r="H58" t="s">
        <v>1799</v>
      </c>
      <c r="J58" t="s">
        <v>1800</v>
      </c>
      <c r="K58" t="s">
        <v>1801</v>
      </c>
      <c r="L58" t="s">
        <v>1539</v>
      </c>
      <c r="M58" s="1" t="s">
        <v>1802</v>
      </c>
      <c r="N58" t="s">
        <v>1803</v>
      </c>
      <c r="O58" s="46">
        <f t="shared" si="3"/>
        <v>0</v>
      </c>
      <c r="P58" s="43" t="s">
        <v>1542</v>
      </c>
      <c r="Q58" s="43" t="s">
        <v>1542</v>
      </c>
      <c r="R58" s="43" t="s">
        <v>1542</v>
      </c>
      <c r="S58" s="43" t="s">
        <v>1542</v>
      </c>
      <c r="T58" s="43" t="s">
        <v>1542</v>
      </c>
      <c r="U58" s="43" t="s">
        <v>1542</v>
      </c>
      <c r="V58" s="43" t="s">
        <v>1542</v>
      </c>
      <c r="W58" s="43" t="s">
        <v>1542</v>
      </c>
      <c r="X58" s="43" t="s">
        <v>1542</v>
      </c>
      <c r="Y58" s="43" t="s">
        <v>1542</v>
      </c>
      <c r="Z58" s="43" t="s">
        <v>1542</v>
      </c>
      <c r="AA58" s="43" t="s">
        <v>1542</v>
      </c>
      <c r="AB58" s="46">
        <f t="shared" si="4"/>
        <v>0</v>
      </c>
      <c r="AC58" s="44" t="s">
        <v>1542</v>
      </c>
      <c r="AD58" s="44" t="s">
        <v>1542</v>
      </c>
      <c r="AE58" s="44" t="s">
        <v>1542</v>
      </c>
      <c r="AF58" s="44" t="s">
        <v>1542</v>
      </c>
      <c r="AG58" s="44" t="s">
        <v>1542</v>
      </c>
      <c r="AH58" s="44" t="s">
        <v>1542</v>
      </c>
      <c r="AI58" s="44" t="s">
        <v>1542</v>
      </c>
      <c r="AJ58" s="44" t="s">
        <v>1542</v>
      </c>
      <c r="AK58" s="44" t="s">
        <v>1542</v>
      </c>
      <c r="AL58" s="44" t="s">
        <v>1542</v>
      </c>
      <c r="AM58" s="44" t="s">
        <v>1542</v>
      </c>
      <c r="AN58" s="44" t="s">
        <v>1542</v>
      </c>
      <c r="AO58" s="46">
        <f t="shared" si="0"/>
        <v>0</v>
      </c>
      <c r="AP58" s="43" t="s">
        <v>1542</v>
      </c>
      <c r="AQ58" s="43" t="s">
        <v>1542</v>
      </c>
      <c r="AR58" s="43" t="s">
        <v>1542</v>
      </c>
      <c r="AS58" s="43" t="s">
        <v>1542</v>
      </c>
      <c r="AT58" s="43" t="s">
        <v>1542</v>
      </c>
      <c r="AU58" s="43" t="s">
        <v>1542</v>
      </c>
      <c r="AV58" s="43" t="s">
        <v>1542</v>
      </c>
      <c r="AW58" s="43" t="s">
        <v>1542</v>
      </c>
      <c r="AX58" s="43" t="s">
        <v>1542</v>
      </c>
      <c r="AY58" s="43" t="s">
        <v>1542</v>
      </c>
      <c r="AZ58" s="43" t="s">
        <v>1542</v>
      </c>
      <c r="BA58" s="43" t="s">
        <v>1542</v>
      </c>
      <c r="BB58" s="46">
        <f t="shared" si="1"/>
        <v>0</v>
      </c>
      <c r="BC58" s="44" t="s">
        <v>1542</v>
      </c>
      <c r="BD58" s="44" t="s">
        <v>1542</v>
      </c>
      <c r="BE58" s="44" t="s">
        <v>1542</v>
      </c>
      <c r="BF58" s="44" t="s">
        <v>1542</v>
      </c>
      <c r="BG58" s="44" t="s">
        <v>1542</v>
      </c>
      <c r="BH58" s="44" t="s">
        <v>1542</v>
      </c>
      <c r="BI58" s="44" t="s">
        <v>1542</v>
      </c>
      <c r="BJ58" s="44" t="s">
        <v>1542</v>
      </c>
      <c r="BK58" s="44" t="s">
        <v>1542</v>
      </c>
      <c r="BL58" s="44" t="s">
        <v>1542</v>
      </c>
      <c r="BM58" s="44" t="s">
        <v>1542</v>
      </c>
      <c r="BN58" s="44" t="s">
        <v>1542</v>
      </c>
      <c r="BO58" s="46">
        <f t="shared" si="2"/>
        <v>0</v>
      </c>
      <c r="BP58" s="43" t="s">
        <v>1542</v>
      </c>
      <c r="BQ58" s="43" t="s">
        <v>1542</v>
      </c>
      <c r="BR58" s="43" t="s">
        <v>1542</v>
      </c>
      <c r="BS58" s="43" t="s">
        <v>1542</v>
      </c>
      <c r="BT58" s="43" t="s">
        <v>1542</v>
      </c>
      <c r="BU58" s="43" t="s">
        <v>1542</v>
      </c>
      <c r="BV58" s="43" t="s">
        <v>1542</v>
      </c>
      <c r="BW58" s="43" t="s">
        <v>1542</v>
      </c>
      <c r="BX58" s="43" t="s">
        <v>1542</v>
      </c>
      <c r="BY58" s="43" t="s">
        <v>1542</v>
      </c>
      <c r="BZ58" s="43" t="s">
        <v>1542</v>
      </c>
      <c r="CA58" s="43" t="s">
        <v>1542</v>
      </c>
    </row>
    <row r="59" spans="1:79">
      <c r="A59">
        <v>58</v>
      </c>
      <c r="B59">
        <v>1</v>
      </c>
      <c r="C59" t="s">
        <v>1532</v>
      </c>
      <c r="D59" t="s">
        <v>1533</v>
      </c>
      <c r="E59" t="s">
        <v>1797</v>
      </c>
      <c r="F59" t="s">
        <v>1798</v>
      </c>
      <c r="G59" t="s">
        <v>1804</v>
      </c>
      <c r="H59" t="s">
        <v>1804</v>
      </c>
      <c r="J59" t="s">
        <v>1805</v>
      </c>
      <c r="K59" t="s">
        <v>1806</v>
      </c>
      <c r="L59" t="s">
        <v>1539</v>
      </c>
      <c r="M59" s="1" t="s">
        <v>1807</v>
      </c>
      <c r="N59" t="s">
        <v>1808</v>
      </c>
      <c r="O59" s="46">
        <f t="shared" si="3"/>
        <v>0</v>
      </c>
      <c r="P59" s="43" t="s">
        <v>1542</v>
      </c>
      <c r="Q59" s="43" t="s">
        <v>1542</v>
      </c>
      <c r="R59" s="43" t="s">
        <v>1542</v>
      </c>
      <c r="S59" s="43" t="s">
        <v>1542</v>
      </c>
      <c r="T59" s="43" t="s">
        <v>1542</v>
      </c>
      <c r="U59" s="43" t="s">
        <v>1542</v>
      </c>
      <c r="V59" s="43" t="s">
        <v>1542</v>
      </c>
      <c r="W59" s="43" t="s">
        <v>1542</v>
      </c>
      <c r="X59" s="43" t="s">
        <v>1542</v>
      </c>
      <c r="Y59" s="43" t="s">
        <v>1542</v>
      </c>
      <c r="Z59" s="43" t="s">
        <v>1542</v>
      </c>
      <c r="AA59" s="43" t="s">
        <v>1542</v>
      </c>
      <c r="AB59" s="46">
        <f t="shared" si="4"/>
        <v>0</v>
      </c>
      <c r="AC59" s="44" t="s">
        <v>1542</v>
      </c>
      <c r="AD59" s="44" t="s">
        <v>1542</v>
      </c>
      <c r="AE59" s="44" t="s">
        <v>1542</v>
      </c>
      <c r="AF59" s="44" t="s">
        <v>1542</v>
      </c>
      <c r="AG59" s="44" t="s">
        <v>1542</v>
      </c>
      <c r="AH59" s="44" t="s">
        <v>1542</v>
      </c>
      <c r="AI59" s="44" t="s">
        <v>1542</v>
      </c>
      <c r="AJ59" s="44" t="s">
        <v>1542</v>
      </c>
      <c r="AK59" s="44" t="s">
        <v>1542</v>
      </c>
      <c r="AL59" s="44" t="s">
        <v>1542</v>
      </c>
      <c r="AM59" s="44" t="s">
        <v>1542</v>
      </c>
      <c r="AN59" s="44" t="s">
        <v>1542</v>
      </c>
      <c r="AO59" s="46">
        <f t="shared" si="0"/>
        <v>0</v>
      </c>
      <c r="AP59" s="43" t="s">
        <v>1542</v>
      </c>
      <c r="AQ59" s="43" t="s">
        <v>1542</v>
      </c>
      <c r="AR59" s="43" t="s">
        <v>1542</v>
      </c>
      <c r="AS59" s="43" t="s">
        <v>1542</v>
      </c>
      <c r="AT59" s="43" t="s">
        <v>1542</v>
      </c>
      <c r="AU59" s="43" t="s">
        <v>1542</v>
      </c>
      <c r="AV59" s="43" t="s">
        <v>1542</v>
      </c>
      <c r="AW59" s="43" t="s">
        <v>1542</v>
      </c>
      <c r="AX59" s="43" t="s">
        <v>1542</v>
      </c>
      <c r="AY59" s="43" t="s">
        <v>1542</v>
      </c>
      <c r="AZ59" s="43" t="s">
        <v>1542</v>
      </c>
      <c r="BA59" s="43" t="s">
        <v>1542</v>
      </c>
      <c r="BB59" s="46">
        <f t="shared" si="1"/>
        <v>0</v>
      </c>
      <c r="BC59" s="44" t="s">
        <v>1542</v>
      </c>
      <c r="BD59" s="44" t="s">
        <v>1542</v>
      </c>
      <c r="BE59" s="44" t="s">
        <v>1542</v>
      </c>
      <c r="BF59" s="44" t="s">
        <v>1542</v>
      </c>
      <c r="BG59" s="44" t="s">
        <v>1542</v>
      </c>
      <c r="BH59" s="44" t="s">
        <v>1542</v>
      </c>
      <c r="BI59" s="44" t="s">
        <v>1542</v>
      </c>
      <c r="BJ59" s="44" t="s">
        <v>1542</v>
      </c>
      <c r="BK59" s="44" t="s">
        <v>1542</v>
      </c>
      <c r="BL59" s="44" t="s">
        <v>1542</v>
      </c>
      <c r="BM59" s="44" t="s">
        <v>1542</v>
      </c>
      <c r="BN59" s="44" t="s">
        <v>1542</v>
      </c>
      <c r="BO59" s="46">
        <f t="shared" si="2"/>
        <v>0</v>
      </c>
      <c r="BP59" s="43" t="s">
        <v>1542</v>
      </c>
      <c r="BQ59" s="43" t="s">
        <v>1542</v>
      </c>
      <c r="BR59" s="43" t="s">
        <v>1542</v>
      </c>
      <c r="BS59" s="43" t="s">
        <v>1542</v>
      </c>
      <c r="BT59" s="43" t="s">
        <v>1542</v>
      </c>
      <c r="BU59" s="43" t="s">
        <v>1542</v>
      </c>
      <c r="BV59" s="43" t="s">
        <v>1542</v>
      </c>
      <c r="BW59" s="43" t="s">
        <v>1542</v>
      </c>
      <c r="BX59" s="43" t="s">
        <v>1542</v>
      </c>
      <c r="BY59" s="43" t="s">
        <v>1542</v>
      </c>
      <c r="BZ59" s="43" t="s">
        <v>1542</v>
      </c>
      <c r="CA59" s="43" t="s">
        <v>1542</v>
      </c>
    </row>
    <row r="60" spans="1:79">
      <c r="A60">
        <v>59</v>
      </c>
      <c r="B60">
        <v>1</v>
      </c>
      <c r="C60" t="s">
        <v>1532</v>
      </c>
      <c r="D60" t="s">
        <v>1533</v>
      </c>
      <c r="E60" t="s">
        <v>1797</v>
      </c>
      <c r="F60" t="s">
        <v>1798</v>
      </c>
      <c r="G60" t="s">
        <v>1809</v>
      </c>
      <c r="H60" t="s">
        <v>1809</v>
      </c>
      <c r="J60" t="s">
        <v>1810</v>
      </c>
      <c r="K60" t="s">
        <v>1811</v>
      </c>
      <c r="M60" s="1" t="s">
        <v>1812</v>
      </c>
      <c r="N60" t="s">
        <v>1813</v>
      </c>
      <c r="O60" s="46">
        <f t="shared" si="3"/>
        <v>0</v>
      </c>
      <c r="P60" s="43" t="s">
        <v>1542</v>
      </c>
      <c r="Q60" s="43" t="s">
        <v>1542</v>
      </c>
      <c r="R60" s="43" t="s">
        <v>1542</v>
      </c>
      <c r="S60" s="43" t="s">
        <v>1542</v>
      </c>
      <c r="T60" s="43" t="s">
        <v>1542</v>
      </c>
      <c r="U60" s="43" t="s">
        <v>1542</v>
      </c>
      <c r="V60" s="43" t="s">
        <v>1542</v>
      </c>
      <c r="W60" s="43" t="s">
        <v>1542</v>
      </c>
      <c r="X60" s="43" t="s">
        <v>1542</v>
      </c>
      <c r="Y60" s="43" t="s">
        <v>1542</v>
      </c>
      <c r="Z60" s="43" t="s">
        <v>1542</v>
      </c>
      <c r="AA60" s="43" t="s">
        <v>1542</v>
      </c>
      <c r="AB60" s="46">
        <f t="shared" si="4"/>
        <v>0</v>
      </c>
      <c r="AC60" s="44" t="s">
        <v>1542</v>
      </c>
      <c r="AD60" s="44" t="s">
        <v>1542</v>
      </c>
      <c r="AE60" s="44" t="s">
        <v>1542</v>
      </c>
      <c r="AF60" s="44" t="s">
        <v>1542</v>
      </c>
      <c r="AG60" s="44" t="s">
        <v>1542</v>
      </c>
      <c r="AH60" s="44" t="s">
        <v>1542</v>
      </c>
      <c r="AI60" s="44" t="s">
        <v>1542</v>
      </c>
      <c r="AJ60" s="44" t="s">
        <v>1542</v>
      </c>
      <c r="AK60" s="44" t="s">
        <v>1542</v>
      </c>
      <c r="AL60" s="44" t="s">
        <v>1542</v>
      </c>
      <c r="AM60" s="44" t="s">
        <v>1542</v>
      </c>
      <c r="AN60" s="44" t="s">
        <v>1542</v>
      </c>
      <c r="AO60" s="46">
        <f t="shared" si="0"/>
        <v>0</v>
      </c>
      <c r="AP60" s="43" t="s">
        <v>1542</v>
      </c>
      <c r="AQ60" s="43" t="s">
        <v>1542</v>
      </c>
      <c r="AR60" s="43" t="s">
        <v>1542</v>
      </c>
      <c r="AS60" s="43" t="s">
        <v>1542</v>
      </c>
      <c r="AT60" s="43" t="s">
        <v>1542</v>
      </c>
      <c r="AU60" s="43" t="s">
        <v>1542</v>
      </c>
      <c r="AV60" s="43" t="s">
        <v>1542</v>
      </c>
      <c r="AW60" s="43" t="s">
        <v>1542</v>
      </c>
      <c r="AX60" s="43" t="s">
        <v>1542</v>
      </c>
      <c r="AY60" s="43" t="s">
        <v>1542</v>
      </c>
      <c r="AZ60" s="43" t="s">
        <v>1542</v>
      </c>
      <c r="BA60" s="43" t="s">
        <v>1542</v>
      </c>
      <c r="BB60" s="46">
        <f t="shared" si="1"/>
        <v>0</v>
      </c>
      <c r="BC60" s="44" t="s">
        <v>1542</v>
      </c>
      <c r="BD60" s="44" t="s">
        <v>1542</v>
      </c>
      <c r="BE60" s="44" t="s">
        <v>1542</v>
      </c>
      <c r="BF60" s="44" t="s">
        <v>1542</v>
      </c>
      <c r="BG60" s="44" t="s">
        <v>1542</v>
      </c>
      <c r="BH60" s="44" t="s">
        <v>1542</v>
      </c>
      <c r="BI60" s="44" t="s">
        <v>1542</v>
      </c>
      <c r="BJ60" s="44" t="s">
        <v>1542</v>
      </c>
      <c r="BK60" s="44" t="s">
        <v>1542</v>
      </c>
      <c r="BL60" s="44" t="s">
        <v>1542</v>
      </c>
      <c r="BM60" s="44" t="s">
        <v>1542</v>
      </c>
      <c r="BN60" s="44" t="s">
        <v>1542</v>
      </c>
      <c r="BO60" s="46">
        <f t="shared" si="2"/>
        <v>0</v>
      </c>
      <c r="BP60" s="43" t="s">
        <v>1542</v>
      </c>
      <c r="BQ60" s="43" t="s">
        <v>1542</v>
      </c>
      <c r="BR60" s="43" t="s">
        <v>1542</v>
      </c>
      <c r="BS60" s="43" t="s">
        <v>1542</v>
      </c>
      <c r="BT60" s="43" t="s">
        <v>1542</v>
      </c>
      <c r="BU60" s="43" t="s">
        <v>1542</v>
      </c>
      <c r="BV60" s="43" t="s">
        <v>1542</v>
      </c>
      <c r="BW60" s="43" t="s">
        <v>1542</v>
      </c>
      <c r="BX60" s="43" t="s">
        <v>1542</v>
      </c>
      <c r="BY60" s="43" t="s">
        <v>1542</v>
      </c>
      <c r="BZ60" s="43" t="s">
        <v>1542</v>
      </c>
      <c r="CA60" s="43" t="s">
        <v>1542</v>
      </c>
    </row>
    <row r="61" spans="1:79">
      <c r="A61">
        <v>60</v>
      </c>
      <c r="C61" t="s">
        <v>1532</v>
      </c>
      <c r="D61" t="s">
        <v>1533</v>
      </c>
      <c r="E61" t="s">
        <v>1797</v>
      </c>
      <c r="F61" t="s">
        <v>1798</v>
      </c>
      <c r="G61" t="s">
        <v>1809</v>
      </c>
      <c r="H61" t="s">
        <v>1814</v>
      </c>
      <c r="I61" t="s">
        <v>1814</v>
      </c>
      <c r="J61" t="s">
        <v>1810</v>
      </c>
      <c r="K61" t="s">
        <v>1811</v>
      </c>
      <c r="M61" s="1" t="s">
        <v>1815</v>
      </c>
      <c r="N61" t="s">
        <v>1816</v>
      </c>
      <c r="O61" s="46">
        <f t="shared" si="3"/>
        <v>1</v>
      </c>
      <c r="P61" s="43" t="s">
        <v>1542</v>
      </c>
      <c r="Q61" s="43" t="s">
        <v>1554</v>
      </c>
      <c r="R61" s="43"/>
      <c r="S61" s="43"/>
      <c r="T61" s="43"/>
      <c r="U61" s="43"/>
      <c r="V61" s="43"/>
      <c r="W61" s="43"/>
      <c r="X61" s="43"/>
      <c r="Y61" s="43"/>
      <c r="Z61" s="43"/>
      <c r="AA61" s="43"/>
      <c r="AB61" s="46">
        <f t="shared" si="4"/>
        <v>0</v>
      </c>
      <c r="AC61" s="44" t="s">
        <v>1542</v>
      </c>
      <c r="AD61" s="44" t="s">
        <v>1542</v>
      </c>
      <c r="AE61" s="44" t="s">
        <v>1542</v>
      </c>
      <c r="AF61" s="44" t="s">
        <v>1542</v>
      </c>
      <c r="AG61" s="44" t="s">
        <v>1542</v>
      </c>
      <c r="AH61" s="44" t="s">
        <v>1542</v>
      </c>
      <c r="AI61" s="44" t="s">
        <v>1542</v>
      </c>
      <c r="AJ61" s="44" t="s">
        <v>1542</v>
      </c>
      <c r="AK61" s="44" t="s">
        <v>1542</v>
      </c>
      <c r="AL61" s="44" t="s">
        <v>1542</v>
      </c>
      <c r="AM61" s="44" t="s">
        <v>1542</v>
      </c>
      <c r="AN61" s="44" t="s">
        <v>1542</v>
      </c>
      <c r="AO61" s="46">
        <f t="shared" si="0"/>
        <v>0</v>
      </c>
      <c r="AP61" s="43" t="s">
        <v>1542</v>
      </c>
      <c r="AQ61" s="43" t="s">
        <v>1542</v>
      </c>
      <c r="AR61" s="43" t="s">
        <v>1542</v>
      </c>
      <c r="AS61" s="43" t="s">
        <v>1542</v>
      </c>
      <c r="AT61" s="43" t="s">
        <v>1542</v>
      </c>
      <c r="AU61" s="43" t="s">
        <v>1542</v>
      </c>
      <c r="AV61" s="43" t="s">
        <v>1542</v>
      </c>
      <c r="AW61" s="43" t="s">
        <v>1542</v>
      </c>
      <c r="AX61" s="43" t="s">
        <v>1542</v>
      </c>
      <c r="AY61" s="43" t="s">
        <v>1542</v>
      </c>
      <c r="AZ61" s="43" t="s">
        <v>1542</v>
      </c>
      <c r="BA61" s="43" t="s">
        <v>1542</v>
      </c>
      <c r="BB61" s="46">
        <f t="shared" si="1"/>
        <v>0</v>
      </c>
      <c r="BC61" s="44" t="s">
        <v>1542</v>
      </c>
      <c r="BD61" s="44" t="s">
        <v>1542</v>
      </c>
      <c r="BE61" s="44" t="s">
        <v>1542</v>
      </c>
      <c r="BF61" s="44" t="s">
        <v>1542</v>
      </c>
      <c r="BG61" s="44" t="s">
        <v>1542</v>
      </c>
      <c r="BH61" s="44" t="s">
        <v>1542</v>
      </c>
      <c r="BI61" s="44" t="s">
        <v>1542</v>
      </c>
      <c r="BJ61" s="44" t="s">
        <v>1542</v>
      </c>
      <c r="BK61" s="44" t="s">
        <v>1542</v>
      </c>
      <c r="BL61" s="44" t="s">
        <v>1542</v>
      </c>
      <c r="BM61" s="44" t="s">
        <v>1542</v>
      </c>
      <c r="BN61" s="44" t="s">
        <v>1542</v>
      </c>
      <c r="BO61" s="46">
        <f t="shared" si="2"/>
        <v>0</v>
      </c>
      <c r="BP61" s="43" t="s">
        <v>1542</v>
      </c>
      <c r="BQ61" s="43" t="s">
        <v>1542</v>
      </c>
      <c r="BR61" s="43" t="s">
        <v>1542</v>
      </c>
      <c r="BS61" s="43" t="s">
        <v>1542</v>
      </c>
      <c r="BT61" s="43" t="s">
        <v>1542</v>
      </c>
      <c r="BU61" s="43" t="s">
        <v>1542</v>
      </c>
      <c r="BV61" s="43" t="s">
        <v>1542</v>
      </c>
      <c r="BW61" s="43" t="s">
        <v>1542</v>
      </c>
      <c r="BX61" s="43" t="s">
        <v>1542</v>
      </c>
      <c r="BY61" s="43" t="s">
        <v>1542</v>
      </c>
      <c r="BZ61" s="43" t="s">
        <v>1542</v>
      </c>
      <c r="CA61" s="43" t="s">
        <v>1542</v>
      </c>
    </row>
    <row r="62" spans="1:79">
      <c r="A62">
        <v>61</v>
      </c>
      <c r="B62">
        <v>1</v>
      </c>
      <c r="C62" t="s">
        <v>1532</v>
      </c>
      <c r="D62" t="s">
        <v>1533</v>
      </c>
      <c r="E62" t="s">
        <v>1797</v>
      </c>
      <c r="F62" t="s">
        <v>1798</v>
      </c>
      <c r="G62" t="s">
        <v>1817</v>
      </c>
      <c r="H62" t="s">
        <v>1817</v>
      </c>
      <c r="J62" t="s">
        <v>1818</v>
      </c>
      <c r="K62" t="s">
        <v>1819</v>
      </c>
      <c r="M62" s="1" t="s">
        <v>1820</v>
      </c>
      <c r="N62" t="s">
        <v>1821</v>
      </c>
      <c r="O62" s="46">
        <f t="shared" si="3"/>
        <v>0</v>
      </c>
      <c r="P62" s="43" t="s">
        <v>1542</v>
      </c>
      <c r="Q62" s="43" t="s">
        <v>1542</v>
      </c>
      <c r="R62" s="43" t="s">
        <v>1542</v>
      </c>
      <c r="S62" s="43" t="s">
        <v>1542</v>
      </c>
      <c r="T62" s="43" t="s">
        <v>1542</v>
      </c>
      <c r="U62" s="43" t="s">
        <v>1542</v>
      </c>
      <c r="V62" s="43" t="s">
        <v>1542</v>
      </c>
      <c r="W62" s="43" t="s">
        <v>1542</v>
      </c>
      <c r="X62" s="43" t="s">
        <v>1542</v>
      </c>
      <c r="Y62" s="43" t="s">
        <v>1542</v>
      </c>
      <c r="Z62" s="43" t="s">
        <v>1542</v>
      </c>
      <c r="AA62" s="43" t="s">
        <v>1542</v>
      </c>
      <c r="AB62" s="46">
        <f t="shared" si="4"/>
        <v>0</v>
      </c>
      <c r="AC62" s="44" t="s">
        <v>1542</v>
      </c>
      <c r="AD62" s="44" t="s">
        <v>1542</v>
      </c>
      <c r="AE62" s="44" t="s">
        <v>1542</v>
      </c>
      <c r="AF62" s="44" t="s">
        <v>1542</v>
      </c>
      <c r="AG62" s="44" t="s">
        <v>1542</v>
      </c>
      <c r="AH62" s="44" t="s">
        <v>1542</v>
      </c>
      <c r="AI62" s="44" t="s">
        <v>1542</v>
      </c>
      <c r="AJ62" s="44" t="s">
        <v>1542</v>
      </c>
      <c r="AK62" s="44" t="s">
        <v>1542</v>
      </c>
      <c r="AL62" s="44" t="s">
        <v>1542</v>
      </c>
      <c r="AM62" s="44" t="s">
        <v>1542</v>
      </c>
      <c r="AN62" s="44" t="s">
        <v>1542</v>
      </c>
      <c r="AO62" s="46">
        <f t="shared" si="0"/>
        <v>0</v>
      </c>
      <c r="AP62" s="43" t="s">
        <v>1542</v>
      </c>
      <c r="AQ62" s="43" t="s">
        <v>1542</v>
      </c>
      <c r="AR62" s="43" t="s">
        <v>1542</v>
      </c>
      <c r="AS62" s="43" t="s">
        <v>1542</v>
      </c>
      <c r="AT62" s="43" t="s">
        <v>1542</v>
      </c>
      <c r="AU62" s="43" t="s">
        <v>1542</v>
      </c>
      <c r="AV62" s="43" t="s">
        <v>1542</v>
      </c>
      <c r="AW62" s="43" t="s">
        <v>1542</v>
      </c>
      <c r="AX62" s="43" t="s">
        <v>1554</v>
      </c>
      <c r="AY62" s="43" t="s">
        <v>1554</v>
      </c>
      <c r="AZ62" s="43" t="s">
        <v>1542</v>
      </c>
      <c r="BA62" s="43" t="s">
        <v>1542</v>
      </c>
      <c r="BB62" s="46">
        <f t="shared" si="1"/>
        <v>2</v>
      </c>
      <c r="BC62" s="44" t="s">
        <v>1542</v>
      </c>
      <c r="BD62" s="44" t="s">
        <v>1542</v>
      </c>
      <c r="BE62" s="44" t="s">
        <v>1542</v>
      </c>
      <c r="BF62" s="44" t="s">
        <v>1542</v>
      </c>
      <c r="BG62" s="44" t="s">
        <v>1542</v>
      </c>
      <c r="BH62" s="44" t="s">
        <v>1542</v>
      </c>
      <c r="BI62" s="44" t="s">
        <v>1542</v>
      </c>
      <c r="BJ62" s="44" t="s">
        <v>1542</v>
      </c>
      <c r="BK62" s="44" t="s">
        <v>1542</v>
      </c>
      <c r="BL62" s="44" t="s">
        <v>1542</v>
      </c>
      <c r="BM62" s="44" t="s">
        <v>1542</v>
      </c>
      <c r="BN62" s="44" t="s">
        <v>1542</v>
      </c>
      <c r="BO62" s="46">
        <f t="shared" si="2"/>
        <v>0</v>
      </c>
      <c r="BP62" s="43" t="s">
        <v>1542</v>
      </c>
      <c r="BQ62" s="43" t="s">
        <v>1542</v>
      </c>
      <c r="BR62" s="43" t="s">
        <v>1542</v>
      </c>
      <c r="BS62" s="43" t="s">
        <v>1542</v>
      </c>
      <c r="BT62" s="43" t="s">
        <v>1542</v>
      </c>
      <c r="BU62" s="43" t="s">
        <v>1542</v>
      </c>
      <c r="BV62" s="43" t="s">
        <v>1542</v>
      </c>
      <c r="BW62" s="43" t="s">
        <v>1542</v>
      </c>
      <c r="BX62" s="43" t="s">
        <v>1542</v>
      </c>
      <c r="BY62" s="43" t="s">
        <v>1542</v>
      </c>
      <c r="BZ62" s="43" t="s">
        <v>1542</v>
      </c>
      <c r="CA62" s="43" t="s">
        <v>1542</v>
      </c>
    </row>
    <row r="63" spans="1:79">
      <c r="A63">
        <v>62</v>
      </c>
      <c r="C63" t="s">
        <v>1532</v>
      </c>
      <c r="D63" t="s">
        <v>1533</v>
      </c>
      <c r="E63" t="s">
        <v>1797</v>
      </c>
      <c r="F63" t="s">
        <v>1798</v>
      </c>
      <c r="G63" t="s">
        <v>1817</v>
      </c>
      <c r="H63" t="s">
        <v>1822</v>
      </c>
      <c r="I63" t="s">
        <v>1822</v>
      </c>
      <c r="J63" t="s">
        <v>1818</v>
      </c>
      <c r="K63" t="s">
        <v>1819</v>
      </c>
      <c r="M63" s="1" t="s">
        <v>1823</v>
      </c>
      <c r="N63" t="s">
        <v>1824</v>
      </c>
      <c r="O63" s="46">
        <f t="shared" si="3"/>
        <v>0</v>
      </c>
      <c r="P63" s="43"/>
      <c r="Q63" s="43"/>
      <c r="R63" s="43"/>
      <c r="S63" s="43"/>
      <c r="T63" s="43"/>
      <c r="U63" s="43"/>
      <c r="V63" s="43"/>
      <c r="W63" s="43"/>
      <c r="X63" s="43"/>
      <c r="Y63" s="43"/>
      <c r="Z63" s="43"/>
      <c r="AA63" s="43"/>
      <c r="AB63" s="46">
        <f t="shared" si="4"/>
        <v>1</v>
      </c>
      <c r="AC63" s="44" t="s">
        <v>1542</v>
      </c>
      <c r="AD63" s="44" t="s">
        <v>1542</v>
      </c>
      <c r="AE63" s="44" t="s">
        <v>1542</v>
      </c>
      <c r="AF63" s="44" t="s">
        <v>1542</v>
      </c>
      <c r="AG63" s="44" t="s">
        <v>1542</v>
      </c>
      <c r="AH63" s="44" t="s">
        <v>1542</v>
      </c>
      <c r="AI63" s="44" t="s">
        <v>1542</v>
      </c>
      <c r="AJ63" s="44" t="s">
        <v>1542</v>
      </c>
      <c r="AK63" s="44" t="s">
        <v>1554</v>
      </c>
      <c r="AL63" s="44"/>
      <c r="AM63" s="44"/>
      <c r="AN63" s="44"/>
      <c r="AO63" s="46">
        <f t="shared" si="0"/>
        <v>1</v>
      </c>
      <c r="AP63" s="43" t="s">
        <v>1542</v>
      </c>
      <c r="AQ63" s="43" t="s">
        <v>1542</v>
      </c>
      <c r="AR63" s="43" t="s">
        <v>1542</v>
      </c>
      <c r="AS63" s="43" t="s">
        <v>1542</v>
      </c>
      <c r="AT63" s="43" t="s">
        <v>1542</v>
      </c>
      <c r="AU63" s="43" t="s">
        <v>1542</v>
      </c>
      <c r="AV63" s="43" t="s">
        <v>1542</v>
      </c>
      <c r="AW63" s="43" t="s">
        <v>1542</v>
      </c>
      <c r="AX63" s="43" t="s">
        <v>1554</v>
      </c>
      <c r="AY63" s="43" t="s">
        <v>1554</v>
      </c>
      <c r="AZ63" s="43" t="s">
        <v>1542</v>
      </c>
      <c r="BA63" s="43" t="s">
        <v>1542</v>
      </c>
      <c r="BB63" s="46">
        <f t="shared" si="1"/>
        <v>2</v>
      </c>
      <c r="BC63" s="44" t="s">
        <v>1554</v>
      </c>
      <c r="BD63" s="44" t="s">
        <v>1554</v>
      </c>
      <c r="BE63" s="44" t="s">
        <v>1554</v>
      </c>
      <c r="BF63" s="44" t="s">
        <v>1554</v>
      </c>
      <c r="BG63" s="44" t="s">
        <v>1554</v>
      </c>
      <c r="BH63" s="44" t="s">
        <v>1542</v>
      </c>
      <c r="BI63" s="44" t="s">
        <v>1542</v>
      </c>
      <c r="BJ63" s="44" t="s">
        <v>1542</v>
      </c>
      <c r="BK63" s="44" t="s">
        <v>1542</v>
      </c>
      <c r="BL63" s="44" t="s">
        <v>1542</v>
      </c>
      <c r="BM63" s="44" t="s">
        <v>1542</v>
      </c>
      <c r="BN63" s="44" t="s">
        <v>1542</v>
      </c>
      <c r="BO63" s="46">
        <f t="shared" si="2"/>
        <v>5</v>
      </c>
      <c r="BP63" s="43" t="s">
        <v>1542</v>
      </c>
      <c r="BQ63" s="43" t="s">
        <v>1542</v>
      </c>
      <c r="BR63" s="43" t="s">
        <v>1542</v>
      </c>
      <c r="BS63" s="43" t="s">
        <v>1542</v>
      </c>
      <c r="BT63" s="43" t="s">
        <v>1542</v>
      </c>
      <c r="BU63" s="43" t="s">
        <v>1542</v>
      </c>
      <c r="BV63" s="43" t="s">
        <v>1542</v>
      </c>
      <c r="BW63" s="43" t="s">
        <v>1542</v>
      </c>
      <c r="BX63" s="43" t="s">
        <v>1542</v>
      </c>
      <c r="BY63" s="43" t="s">
        <v>1542</v>
      </c>
      <c r="BZ63" s="43" t="s">
        <v>1542</v>
      </c>
      <c r="CA63" s="43" t="s">
        <v>1542</v>
      </c>
    </row>
    <row r="64" spans="1:79">
      <c r="A64">
        <v>63</v>
      </c>
      <c r="B64">
        <v>1</v>
      </c>
      <c r="C64" t="s">
        <v>1532</v>
      </c>
      <c r="D64" t="s">
        <v>1533</v>
      </c>
      <c r="E64" t="s">
        <v>1797</v>
      </c>
      <c r="F64" t="s">
        <v>1798</v>
      </c>
      <c r="G64" t="s">
        <v>1825</v>
      </c>
      <c r="H64" t="s">
        <v>1825</v>
      </c>
      <c r="J64" t="s">
        <v>1826</v>
      </c>
      <c r="K64" t="s">
        <v>1827</v>
      </c>
      <c r="L64" t="s">
        <v>1539</v>
      </c>
      <c r="M64" s="1" t="s">
        <v>1828</v>
      </c>
      <c r="N64" t="s">
        <v>1808</v>
      </c>
      <c r="O64" s="46">
        <f t="shared" si="3"/>
        <v>0</v>
      </c>
      <c r="P64" s="43" t="s">
        <v>1542</v>
      </c>
      <c r="Q64" s="43" t="s">
        <v>1542</v>
      </c>
      <c r="R64" s="43" t="s">
        <v>1542</v>
      </c>
      <c r="S64" s="43" t="s">
        <v>1542</v>
      </c>
      <c r="T64" s="43" t="s">
        <v>1542</v>
      </c>
      <c r="U64" s="43" t="s">
        <v>1542</v>
      </c>
      <c r="V64" s="43" t="s">
        <v>1542</v>
      </c>
      <c r="W64" s="43" t="s">
        <v>1542</v>
      </c>
      <c r="X64" s="43" t="s">
        <v>1542</v>
      </c>
      <c r="Y64" s="43" t="s">
        <v>1542</v>
      </c>
      <c r="Z64" s="43" t="s">
        <v>1542</v>
      </c>
      <c r="AA64" s="43" t="s">
        <v>1542</v>
      </c>
      <c r="AB64" s="46">
        <f t="shared" si="4"/>
        <v>0</v>
      </c>
      <c r="AC64" s="44" t="s">
        <v>1542</v>
      </c>
      <c r="AD64" s="44" t="s">
        <v>1542</v>
      </c>
      <c r="AE64" s="44" t="s">
        <v>1542</v>
      </c>
      <c r="AF64" s="44" t="s">
        <v>1542</v>
      </c>
      <c r="AG64" s="44" t="s">
        <v>1542</v>
      </c>
      <c r="AH64" s="44" t="s">
        <v>1542</v>
      </c>
      <c r="AI64" s="44" t="s">
        <v>1542</v>
      </c>
      <c r="AJ64" s="44" t="s">
        <v>1542</v>
      </c>
      <c r="AK64" s="44" t="s">
        <v>1542</v>
      </c>
      <c r="AL64" s="44" t="s">
        <v>1542</v>
      </c>
      <c r="AM64" s="44" t="s">
        <v>1542</v>
      </c>
      <c r="AN64" s="44" t="s">
        <v>1542</v>
      </c>
      <c r="AO64" s="46">
        <f t="shared" si="0"/>
        <v>0</v>
      </c>
      <c r="AP64" s="43" t="s">
        <v>1542</v>
      </c>
      <c r="AQ64" s="43" t="s">
        <v>1542</v>
      </c>
      <c r="AR64" s="43" t="s">
        <v>1542</v>
      </c>
      <c r="AS64" s="43" t="s">
        <v>1542</v>
      </c>
      <c r="AT64" s="43" t="s">
        <v>1542</v>
      </c>
      <c r="AU64" s="43" t="s">
        <v>1542</v>
      </c>
      <c r="AV64" s="43" t="s">
        <v>1542</v>
      </c>
      <c r="AW64" s="43" t="s">
        <v>1542</v>
      </c>
      <c r="AX64" s="43" t="s">
        <v>1542</v>
      </c>
      <c r="AY64" s="43" t="s">
        <v>1542</v>
      </c>
      <c r="AZ64" s="43" t="s">
        <v>1542</v>
      </c>
      <c r="BA64" s="43" t="s">
        <v>1542</v>
      </c>
      <c r="BB64" s="46">
        <f t="shared" si="1"/>
        <v>0</v>
      </c>
      <c r="BC64" s="44" t="s">
        <v>1542</v>
      </c>
      <c r="BD64" s="44" t="s">
        <v>1542</v>
      </c>
      <c r="BE64" s="44" t="s">
        <v>1542</v>
      </c>
      <c r="BF64" s="44" t="s">
        <v>1542</v>
      </c>
      <c r="BG64" s="44" t="s">
        <v>1542</v>
      </c>
      <c r="BH64" s="44" t="s">
        <v>1542</v>
      </c>
      <c r="BI64" s="44" t="s">
        <v>1542</v>
      </c>
      <c r="BJ64" s="44" t="s">
        <v>1542</v>
      </c>
      <c r="BK64" s="44" t="s">
        <v>1542</v>
      </c>
      <c r="BL64" s="44" t="s">
        <v>1542</v>
      </c>
      <c r="BM64" s="44" t="s">
        <v>1542</v>
      </c>
      <c r="BN64" s="44" t="s">
        <v>1542</v>
      </c>
      <c r="BO64" s="46">
        <f t="shared" si="2"/>
        <v>0</v>
      </c>
      <c r="BP64" s="43" t="s">
        <v>1542</v>
      </c>
      <c r="BQ64" s="43" t="s">
        <v>1542</v>
      </c>
      <c r="BR64" s="43" t="s">
        <v>1542</v>
      </c>
      <c r="BS64" s="43" t="s">
        <v>1542</v>
      </c>
      <c r="BT64" s="43" t="s">
        <v>1542</v>
      </c>
      <c r="BU64" s="43" t="s">
        <v>1542</v>
      </c>
      <c r="BV64" s="43" t="s">
        <v>1542</v>
      </c>
      <c r="BW64" s="43" t="s">
        <v>1542</v>
      </c>
      <c r="BX64" s="43" t="s">
        <v>1542</v>
      </c>
      <c r="BY64" s="43" t="s">
        <v>1542</v>
      </c>
      <c r="BZ64" s="43" t="s">
        <v>1542</v>
      </c>
      <c r="CA64" s="43" t="s">
        <v>1542</v>
      </c>
    </row>
    <row r="65" spans="1:79">
      <c r="A65">
        <v>64</v>
      </c>
      <c r="B65">
        <v>1</v>
      </c>
      <c r="C65" t="s">
        <v>1532</v>
      </c>
      <c r="D65" t="s">
        <v>1533</v>
      </c>
      <c r="E65" t="s">
        <v>1797</v>
      </c>
      <c r="F65" t="s">
        <v>1798</v>
      </c>
      <c r="G65" t="s">
        <v>1829</v>
      </c>
      <c r="H65" t="s">
        <v>1829</v>
      </c>
      <c r="J65" t="s">
        <v>1830</v>
      </c>
      <c r="K65" t="s">
        <v>1831</v>
      </c>
      <c r="L65" t="s">
        <v>1539</v>
      </c>
      <c r="M65" s="1" t="s">
        <v>1832</v>
      </c>
      <c r="N65" t="s">
        <v>1833</v>
      </c>
      <c r="O65" s="46">
        <f t="shared" si="3"/>
        <v>0</v>
      </c>
      <c r="P65" s="43" t="s">
        <v>1542</v>
      </c>
      <c r="Q65" s="43" t="s">
        <v>1542</v>
      </c>
      <c r="R65" s="43" t="s">
        <v>1542</v>
      </c>
      <c r="S65" s="43" t="s">
        <v>1542</v>
      </c>
      <c r="T65" s="43" t="s">
        <v>1542</v>
      </c>
      <c r="U65" s="43" t="s">
        <v>1542</v>
      </c>
      <c r="V65" s="43" t="s">
        <v>1542</v>
      </c>
      <c r="W65" s="43" t="s">
        <v>1542</v>
      </c>
      <c r="X65" s="43" t="s">
        <v>1542</v>
      </c>
      <c r="Y65" s="43" t="s">
        <v>1542</v>
      </c>
      <c r="Z65" s="43" t="s">
        <v>1542</v>
      </c>
      <c r="AA65" s="43" t="s">
        <v>1542</v>
      </c>
      <c r="AB65" s="46">
        <f t="shared" si="4"/>
        <v>0</v>
      </c>
      <c r="AC65" s="44" t="s">
        <v>1542</v>
      </c>
      <c r="AD65" s="44" t="s">
        <v>1542</v>
      </c>
      <c r="AE65" s="44" t="s">
        <v>1542</v>
      </c>
      <c r="AF65" s="44" t="s">
        <v>1542</v>
      </c>
      <c r="AG65" s="44" t="s">
        <v>1542</v>
      </c>
      <c r="AH65" s="44" t="s">
        <v>1542</v>
      </c>
      <c r="AI65" s="44" t="s">
        <v>1542</v>
      </c>
      <c r="AJ65" s="44" t="s">
        <v>1542</v>
      </c>
      <c r="AK65" s="44" t="s">
        <v>1542</v>
      </c>
      <c r="AL65" s="44" t="s">
        <v>1542</v>
      </c>
      <c r="AM65" s="44" t="s">
        <v>1542</v>
      </c>
      <c r="AN65" s="44" t="s">
        <v>1542</v>
      </c>
      <c r="AO65" s="46">
        <f t="shared" si="0"/>
        <v>0</v>
      </c>
      <c r="AP65" s="43" t="s">
        <v>1542</v>
      </c>
      <c r="AQ65" s="43" t="s">
        <v>1542</v>
      </c>
      <c r="AR65" s="43" t="s">
        <v>1542</v>
      </c>
      <c r="AS65" s="43" t="s">
        <v>1542</v>
      </c>
      <c r="AT65" s="43" t="s">
        <v>1542</v>
      </c>
      <c r="AU65" s="43" t="s">
        <v>1542</v>
      </c>
      <c r="AV65" s="43" t="s">
        <v>1542</v>
      </c>
      <c r="AW65" s="43" t="s">
        <v>1542</v>
      </c>
      <c r="AX65" s="43" t="s">
        <v>1542</v>
      </c>
      <c r="AY65" s="43" t="s">
        <v>1554</v>
      </c>
      <c r="AZ65" s="43" t="s">
        <v>1554</v>
      </c>
      <c r="BA65" s="43" t="s">
        <v>1554</v>
      </c>
      <c r="BB65" s="46">
        <f t="shared" si="1"/>
        <v>2</v>
      </c>
      <c r="BC65" s="44" t="s">
        <v>1542</v>
      </c>
      <c r="BD65" s="44" t="s">
        <v>1542</v>
      </c>
      <c r="BE65" s="44" t="s">
        <v>1542</v>
      </c>
      <c r="BF65" s="44" t="s">
        <v>1542</v>
      </c>
      <c r="BG65" s="44" t="s">
        <v>1542</v>
      </c>
      <c r="BH65" s="44" t="s">
        <v>1542</v>
      </c>
      <c r="BI65" s="44" t="s">
        <v>1542</v>
      </c>
      <c r="BJ65" s="44" t="s">
        <v>1542</v>
      </c>
      <c r="BK65" s="44" t="s">
        <v>1542</v>
      </c>
      <c r="BL65" s="44" t="s">
        <v>1542</v>
      </c>
      <c r="BM65" s="44" t="s">
        <v>1542</v>
      </c>
      <c r="BN65" s="44" t="s">
        <v>1542</v>
      </c>
      <c r="BO65" s="46">
        <f t="shared" si="2"/>
        <v>0</v>
      </c>
      <c r="BP65" s="43" t="s">
        <v>1542</v>
      </c>
      <c r="BQ65" s="43" t="s">
        <v>1542</v>
      </c>
      <c r="BR65" s="43" t="s">
        <v>1542</v>
      </c>
      <c r="BS65" s="43" t="s">
        <v>1542</v>
      </c>
      <c r="BT65" s="43" t="s">
        <v>1542</v>
      </c>
      <c r="BU65" s="43" t="s">
        <v>1542</v>
      </c>
      <c r="BV65" s="43" t="s">
        <v>1542</v>
      </c>
      <c r="BW65" s="43" t="s">
        <v>1542</v>
      </c>
      <c r="BX65" s="43" t="s">
        <v>1542</v>
      </c>
      <c r="BY65" s="43" t="s">
        <v>1542</v>
      </c>
      <c r="BZ65" s="43" t="s">
        <v>1542</v>
      </c>
      <c r="CA65" s="43" t="s">
        <v>1542</v>
      </c>
    </row>
    <row r="66" spans="1:79">
      <c r="A66">
        <v>65</v>
      </c>
      <c r="B66">
        <v>1</v>
      </c>
      <c r="C66" t="s">
        <v>1532</v>
      </c>
      <c r="D66" t="s">
        <v>1533</v>
      </c>
      <c r="E66" t="s">
        <v>1797</v>
      </c>
      <c r="F66" t="s">
        <v>1798</v>
      </c>
      <c r="G66" t="s">
        <v>1834</v>
      </c>
      <c r="H66" t="s">
        <v>1834</v>
      </c>
      <c r="J66" t="s">
        <v>1835</v>
      </c>
      <c r="K66" t="s">
        <v>1836</v>
      </c>
      <c r="M66" s="1" t="s">
        <v>1837</v>
      </c>
      <c r="O66" s="46">
        <f t="shared" si="3"/>
        <v>0</v>
      </c>
      <c r="P66" s="43" t="s">
        <v>1542</v>
      </c>
      <c r="Q66" s="43" t="s">
        <v>1542</v>
      </c>
      <c r="R66" s="43" t="s">
        <v>1542</v>
      </c>
      <c r="S66" s="43" t="s">
        <v>1542</v>
      </c>
      <c r="T66" s="43" t="s">
        <v>1542</v>
      </c>
      <c r="U66" s="43" t="s">
        <v>1542</v>
      </c>
      <c r="V66" s="43" t="s">
        <v>1542</v>
      </c>
      <c r="W66" s="43" t="s">
        <v>1542</v>
      </c>
      <c r="X66" s="43" t="s">
        <v>1542</v>
      </c>
      <c r="Y66" s="43" t="s">
        <v>1542</v>
      </c>
      <c r="Z66" s="43" t="s">
        <v>1542</v>
      </c>
      <c r="AA66" s="43" t="s">
        <v>1542</v>
      </c>
      <c r="AB66" s="46">
        <f t="shared" si="4"/>
        <v>0</v>
      </c>
      <c r="AC66" s="44" t="s">
        <v>1542</v>
      </c>
      <c r="AD66" s="44" t="s">
        <v>1542</v>
      </c>
      <c r="AE66" s="44" t="s">
        <v>1542</v>
      </c>
      <c r="AF66" s="44" t="s">
        <v>1542</v>
      </c>
      <c r="AG66" s="44" t="s">
        <v>1542</v>
      </c>
      <c r="AH66" s="44" t="s">
        <v>1542</v>
      </c>
      <c r="AI66" s="44" t="s">
        <v>1542</v>
      </c>
      <c r="AJ66" s="44" t="s">
        <v>1542</v>
      </c>
      <c r="AK66" s="44" t="s">
        <v>1542</v>
      </c>
      <c r="AL66" s="44" t="s">
        <v>1542</v>
      </c>
      <c r="AM66" s="44" t="s">
        <v>1542</v>
      </c>
      <c r="AN66" s="44" t="s">
        <v>1542</v>
      </c>
      <c r="AO66" s="46">
        <f t="shared" ref="AO66:AO129" si="5">COUNTIF(AC66:AM66,"NE")</f>
        <v>0</v>
      </c>
      <c r="AP66" s="43" t="s">
        <v>1542</v>
      </c>
      <c r="AQ66" s="43" t="s">
        <v>1542</v>
      </c>
      <c r="AR66" s="43" t="s">
        <v>1542</v>
      </c>
      <c r="AS66" s="43" t="s">
        <v>1542</v>
      </c>
      <c r="AT66" s="43" t="s">
        <v>1542</v>
      </c>
      <c r="AU66" s="43" t="s">
        <v>1542</v>
      </c>
      <c r="AV66" s="43" t="s">
        <v>1542</v>
      </c>
      <c r="AW66" s="43" t="s">
        <v>1542</v>
      </c>
      <c r="AX66" s="43" t="s">
        <v>1542</v>
      </c>
      <c r="AY66" s="43" t="s">
        <v>1542</v>
      </c>
      <c r="AZ66" s="43" t="s">
        <v>1542</v>
      </c>
      <c r="BA66" s="43" t="s">
        <v>1542</v>
      </c>
      <c r="BB66" s="46">
        <f t="shared" ref="BB66:BB129" si="6">COUNTIF(AP66:AZ66,"NE")</f>
        <v>0</v>
      </c>
      <c r="BC66" s="44" t="s">
        <v>1542</v>
      </c>
      <c r="BD66" s="44" t="s">
        <v>1542</v>
      </c>
      <c r="BE66" s="44" t="s">
        <v>1542</v>
      </c>
      <c r="BF66" s="44" t="s">
        <v>1542</v>
      </c>
      <c r="BG66" s="44" t="s">
        <v>1542</v>
      </c>
      <c r="BH66" s="44" t="s">
        <v>1542</v>
      </c>
      <c r="BI66" s="44" t="s">
        <v>1542</v>
      </c>
      <c r="BJ66" s="44" t="s">
        <v>1542</v>
      </c>
      <c r="BK66" s="44" t="s">
        <v>1542</v>
      </c>
      <c r="BL66" s="44" t="s">
        <v>1542</v>
      </c>
      <c r="BM66" s="44" t="s">
        <v>1542</v>
      </c>
      <c r="BN66" s="44" t="s">
        <v>1542</v>
      </c>
      <c r="BO66" s="46">
        <f t="shared" ref="BO66:BO129" si="7">COUNTIF(BC66:BM66,"NE")</f>
        <v>0</v>
      </c>
      <c r="BP66" s="43" t="s">
        <v>1542</v>
      </c>
      <c r="BQ66" s="43" t="s">
        <v>1542</v>
      </c>
      <c r="BR66" s="43" t="s">
        <v>1542</v>
      </c>
      <c r="BS66" s="43" t="s">
        <v>1542</v>
      </c>
      <c r="BT66" s="43" t="s">
        <v>1542</v>
      </c>
      <c r="BU66" s="43" t="s">
        <v>1542</v>
      </c>
      <c r="BV66" s="43" t="s">
        <v>1542</v>
      </c>
      <c r="BW66" s="43" t="s">
        <v>1542</v>
      </c>
      <c r="BX66" s="43" t="s">
        <v>1542</v>
      </c>
      <c r="BY66" s="43" t="s">
        <v>1542</v>
      </c>
      <c r="BZ66" s="43" t="s">
        <v>1542</v>
      </c>
      <c r="CA66" s="43" t="s">
        <v>1542</v>
      </c>
    </row>
    <row r="67" spans="1:79">
      <c r="A67">
        <v>66</v>
      </c>
      <c r="B67">
        <v>1</v>
      </c>
      <c r="C67" t="s">
        <v>1532</v>
      </c>
      <c r="D67" t="s">
        <v>1533</v>
      </c>
      <c r="E67" t="s">
        <v>1797</v>
      </c>
      <c r="F67" t="s">
        <v>1798</v>
      </c>
      <c r="G67" t="s">
        <v>1838</v>
      </c>
      <c r="H67" t="s">
        <v>1838</v>
      </c>
      <c r="J67" t="s">
        <v>1839</v>
      </c>
      <c r="K67" t="s">
        <v>1840</v>
      </c>
      <c r="M67" s="1" t="s">
        <v>1841</v>
      </c>
      <c r="O67" s="46">
        <f t="shared" ref="O67:O130" si="8">COUNTIF(P67:AA67,"NE")</f>
        <v>0</v>
      </c>
      <c r="P67" s="43" t="s">
        <v>1542</v>
      </c>
      <c r="Q67" s="43" t="s">
        <v>1542</v>
      </c>
      <c r="R67" s="43" t="s">
        <v>1542</v>
      </c>
      <c r="S67" s="43" t="s">
        <v>1542</v>
      </c>
      <c r="T67" s="43" t="s">
        <v>1542</v>
      </c>
      <c r="U67" s="43" t="s">
        <v>1542</v>
      </c>
      <c r="V67" s="43" t="s">
        <v>1542</v>
      </c>
      <c r="W67" s="43" t="s">
        <v>1542</v>
      </c>
      <c r="X67" s="43" t="s">
        <v>1542</v>
      </c>
      <c r="Y67" s="43" t="s">
        <v>1542</v>
      </c>
      <c r="Z67" s="43" t="s">
        <v>1542</v>
      </c>
      <c r="AA67" s="43" t="s">
        <v>1542</v>
      </c>
      <c r="AB67" s="46">
        <f t="shared" ref="AB67:AB130" si="9">COUNTIF(AC67:AN67,"NE")</f>
        <v>0</v>
      </c>
      <c r="AC67" s="44" t="s">
        <v>1542</v>
      </c>
      <c r="AD67" s="44" t="s">
        <v>1542</v>
      </c>
      <c r="AE67" s="44" t="s">
        <v>1542</v>
      </c>
      <c r="AF67" s="44" t="s">
        <v>1542</v>
      </c>
      <c r="AG67" s="44" t="s">
        <v>1542</v>
      </c>
      <c r="AH67" s="44" t="s">
        <v>1542</v>
      </c>
      <c r="AI67" s="44" t="s">
        <v>1542</v>
      </c>
      <c r="AJ67" s="44" t="s">
        <v>1542</v>
      </c>
      <c r="AK67" s="44" t="s">
        <v>1542</v>
      </c>
      <c r="AL67" s="44" t="s">
        <v>1542</v>
      </c>
      <c r="AM67" s="44" t="s">
        <v>1542</v>
      </c>
      <c r="AN67" s="44" t="s">
        <v>1542</v>
      </c>
      <c r="AO67" s="46">
        <f t="shared" si="5"/>
        <v>0</v>
      </c>
      <c r="AP67" s="43" t="s">
        <v>1542</v>
      </c>
      <c r="AQ67" s="43" t="s">
        <v>1542</v>
      </c>
      <c r="AR67" s="43" t="s">
        <v>1542</v>
      </c>
      <c r="AS67" s="43" t="s">
        <v>1542</v>
      </c>
      <c r="AT67" s="43" t="s">
        <v>1542</v>
      </c>
      <c r="AU67" s="43" t="s">
        <v>1542</v>
      </c>
      <c r="AV67" s="43" t="s">
        <v>1542</v>
      </c>
      <c r="AW67" s="43" t="s">
        <v>1542</v>
      </c>
      <c r="AX67" s="43" t="s">
        <v>1542</v>
      </c>
      <c r="AY67" s="43" t="s">
        <v>1542</v>
      </c>
      <c r="AZ67" s="43" t="s">
        <v>1542</v>
      </c>
      <c r="BA67" s="43" t="s">
        <v>1542</v>
      </c>
      <c r="BB67" s="46">
        <f t="shared" si="6"/>
        <v>0</v>
      </c>
      <c r="BC67" s="44" t="s">
        <v>1542</v>
      </c>
      <c r="BD67" s="44" t="s">
        <v>1542</v>
      </c>
      <c r="BE67" s="44" t="s">
        <v>1542</v>
      </c>
      <c r="BF67" s="44" t="s">
        <v>1542</v>
      </c>
      <c r="BG67" s="44" t="s">
        <v>1542</v>
      </c>
      <c r="BH67" s="44" t="s">
        <v>1542</v>
      </c>
      <c r="BI67" s="44" t="s">
        <v>1542</v>
      </c>
      <c r="BJ67" s="44" t="s">
        <v>1542</v>
      </c>
      <c r="BK67" s="44" t="s">
        <v>1542</v>
      </c>
      <c r="BL67" s="44" t="s">
        <v>1542</v>
      </c>
      <c r="BM67" s="44" t="s">
        <v>1542</v>
      </c>
      <c r="BN67" s="44" t="s">
        <v>1542</v>
      </c>
      <c r="BO67" s="46">
        <f t="shared" si="7"/>
        <v>0</v>
      </c>
      <c r="BP67" s="43" t="s">
        <v>1542</v>
      </c>
      <c r="BQ67" s="43" t="s">
        <v>1542</v>
      </c>
      <c r="BR67" s="43" t="s">
        <v>1542</v>
      </c>
      <c r="BS67" s="43" t="s">
        <v>1542</v>
      </c>
      <c r="BT67" s="43" t="s">
        <v>1542</v>
      </c>
      <c r="BU67" s="43" t="s">
        <v>1542</v>
      </c>
      <c r="BV67" s="43" t="s">
        <v>1542</v>
      </c>
      <c r="BW67" s="43" t="s">
        <v>1542</v>
      </c>
      <c r="BX67" s="43" t="s">
        <v>1542</v>
      </c>
      <c r="BY67" s="43" t="s">
        <v>1542</v>
      </c>
      <c r="BZ67" s="43" t="s">
        <v>1542</v>
      </c>
      <c r="CA67" s="43" t="s">
        <v>1542</v>
      </c>
    </row>
    <row r="68" spans="1:79">
      <c r="A68">
        <v>67</v>
      </c>
      <c r="B68">
        <v>1</v>
      </c>
      <c r="C68" t="s">
        <v>1532</v>
      </c>
      <c r="D68" t="s">
        <v>1533</v>
      </c>
      <c r="E68" t="s">
        <v>1797</v>
      </c>
      <c r="F68" t="s">
        <v>1798</v>
      </c>
      <c r="G68" t="s">
        <v>1842</v>
      </c>
      <c r="H68" t="s">
        <v>1842</v>
      </c>
      <c r="J68" t="s">
        <v>1843</v>
      </c>
      <c r="K68" t="s">
        <v>1844</v>
      </c>
      <c r="M68" s="1" t="s">
        <v>1845</v>
      </c>
      <c r="N68" t="s">
        <v>1846</v>
      </c>
      <c r="O68" s="46">
        <f t="shared" si="8"/>
        <v>2</v>
      </c>
      <c r="P68" s="43" t="s">
        <v>1542</v>
      </c>
      <c r="Q68" s="43" t="s">
        <v>1542</v>
      </c>
      <c r="R68" s="43" t="s">
        <v>1542</v>
      </c>
      <c r="S68" s="43" t="s">
        <v>1542</v>
      </c>
      <c r="T68" s="43" t="s">
        <v>1542</v>
      </c>
      <c r="U68" s="43" t="s">
        <v>1542</v>
      </c>
      <c r="V68" s="43" t="s">
        <v>1542</v>
      </c>
      <c r="W68" s="43" t="s">
        <v>1542</v>
      </c>
      <c r="X68" s="43" t="s">
        <v>1554</v>
      </c>
      <c r="Y68" s="43" t="s">
        <v>1554</v>
      </c>
      <c r="Z68" s="43" t="s">
        <v>1542</v>
      </c>
      <c r="AA68" s="43" t="s">
        <v>1542</v>
      </c>
      <c r="AB68" s="46">
        <f t="shared" si="9"/>
        <v>0</v>
      </c>
      <c r="AC68" s="44" t="s">
        <v>1542</v>
      </c>
      <c r="AD68" s="44" t="s">
        <v>1542</v>
      </c>
      <c r="AE68" s="44" t="s">
        <v>1542</v>
      </c>
      <c r="AF68" s="44" t="s">
        <v>1542</v>
      </c>
      <c r="AG68" s="44" t="s">
        <v>1542</v>
      </c>
      <c r="AH68" s="44" t="s">
        <v>1542</v>
      </c>
      <c r="AI68" s="44" t="s">
        <v>1542</v>
      </c>
      <c r="AJ68" s="44" t="s">
        <v>1542</v>
      </c>
      <c r="AK68" s="44" t="s">
        <v>1542</v>
      </c>
      <c r="AL68" s="44" t="s">
        <v>1542</v>
      </c>
      <c r="AM68" s="44" t="s">
        <v>1542</v>
      </c>
      <c r="AN68" s="44" t="s">
        <v>1542</v>
      </c>
      <c r="AO68" s="46">
        <f t="shared" si="5"/>
        <v>0</v>
      </c>
      <c r="AP68" s="43" t="s">
        <v>1542</v>
      </c>
      <c r="AQ68" s="43" t="s">
        <v>1542</v>
      </c>
      <c r="AR68" s="43" t="s">
        <v>1542</v>
      </c>
      <c r="AS68" s="43" t="s">
        <v>1542</v>
      </c>
      <c r="AT68" s="43" t="s">
        <v>1542</v>
      </c>
      <c r="AU68" s="43" t="s">
        <v>1542</v>
      </c>
      <c r="AV68" s="43" t="s">
        <v>1542</v>
      </c>
      <c r="AW68" s="43" t="s">
        <v>1542</v>
      </c>
      <c r="AX68" s="43" t="s">
        <v>1542</v>
      </c>
      <c r="AY68" s="43" t="s">
        <v>1554</v>
      </c>
      <c r="AZ68" s="43" t="s">
        <v>1554</v>
      </c>
      <c r="BA68" s="43" t="s">
        <v>1554</v>
      </c>
      <c r="BB68" s="46">
        <f t="shared" si="6"/>
        <v>2</v>
      </c>
      <c r="BC68" s="44" t="s">
        <v>1542</v>
      </c>
      <c r="BD68" s="44" t="s">
        <v>1542</v>
      </c>
      <c r="BE68" s="44" t="s">
        <v>1542</v>
      </c>
      <c r="BF68" s="44" t="s">
        <v>1542</v>
      </c>
      <c r="BG68" s="44" t="s">
        <v>1542</v>
      </c>
      <c r="BH68" s="44" t="s">
        <v>1542</v>
      </c>
      <c r="BI68" s="44" t="s">
        <v>1542</v>
      </c>
      <c r="BJ68" s="44" t="s">
        <v>1542</v>
      </c>
      <c r="BK68" s="44" t="s">
        <v>1542</v>
      </c>
      <c r="BL68" s="44" t="s">
        <v>1542</v>
      </c>
      <c r="BM68" s="44" t="s">
        <v>1542</v>
      </c>
      <c r="BN68" s="44" t="s">
        <v>1542</v>
      </c>
      <c r="BO68" s="46">
        <f t="shared" si="7"/>
        <v>0</v>
      </c>
      <c r="BP68" s="43" t="s">
        <v>1542</v>
      </c>
      <c r="BQ68" s="43" t="s">
        <v>1542</v>
      </c>
      <c r="BR68" s="43" t="s">
        <v>1542</v>
      </c>
      <c r="BS68" s="43" t="s">
        <v>1542</v>
      </c>
      <c r="BT68" s="43" t="s">
        <v>1542</v>
      </c>
      <c r="BU68" s="43" t="s">
        <v>1542</v>
      </c>
      <c r="BV68" s="43" t="s">
        <v>1542</v>
      </c>
      <c r="BW68" s="43" t="s">
        <v>1542</v>
      </c>
      <c r="BX68" s="43" t="s">
        <v>1542</v>
      </c>
      <c r="BY68" s="43" t="s">
        <v>1542</v>
      </c>
      <c r="BZ68" s="43" t="s">
        <v>1542</v>
      </c>
      <c r="CA68" s="43" t="s">
        <v>1542</v>
      </c>
    </row>
    <row r="69" spans="1:79">
      <c r="A69">
        <v>68</v>
      </c>
      <c r="C69" t="s">
        <v>1532</v>
      </c>
      <c r="D69" t="s">
        <v>1533</v>
      </c>
      <c r="E69" t="s">
        <v>1797</v>
      </c>
      <c r="F69" t="s">
        <v>1798</v>
      </c>
      <c r="G69" t="s">
        <v>1842</v>
      </c>
      <c r="H69" t="s">
        <v>1847</v>
      </c>
      <c r="I69" t="s">
        <v>1847</v>
      </c>
      <c r="J69" t="s">
        <v>1843</v>
      </c>
      <c r="K69" t="s">
        <v>1844</v>
      </c>
      <c r="M69" s="1" t="s">
        <v>1848</v>
      </c>
      <c r="N69" t="s">
        <v>1849</v>
      </c>
      <c r="O69" s="46">
        <f t="shared" si="8"/>
        <v>0</v>
      </c>
      <c r="P69" s="43"/>
      <c r="Q69" s="43"/>
      <c r="R69" s="43"/>
      <c r="S69" s="43"/>
      <c r="T69" s="43"/>
      <c r="U69" s="43"/>
      <c r="V69" s="43"/>
      <c r="W69" s="43"/>
      <c r="X69" s="43"/>
      <c r="Y69" s="43"/>
      <c r="Z69" s="43"/>
      <c r="AA69" s="43"/>
      <c r="AB69" s="46">
        <f t="shared" si="9"/>
        <v>1</v>
      </c>
      <c r="AC69" s="44" t="s">
        <v>1542</v>
      </c>
      <c r="AD69" s="44" t="s">
        <v>1542</v>
      </c>
      <c r="AE69" s="44" t="s">
        <v>1542</v>
      </c>
      <c r="AF69" s="44" t="s">
        <v>1542</v>
      </c>
      <c r="AG69" s="44" t="s">
        <v>1542</v>
      </c>
      <c r="AH69" s="44" t="s">
        <v>1542</v>
      </c>
      <c r="AI69" s="44" t="s">
        <v>1542</v>
      </c>
      <c r="AJ69" s="44" t="s">
        <v>1542</v>
      </c>
      <c r="AK69" s="44" t="s">
        <v>1554</v>
      </c>
      <c r="AL69" s="44"/>
      <c r="AM69" s="44"/>
      <c r="AN69" s="44"/>
      <c r="AO69" s="46">
        <f t="shared" si="5"/>
        <v>1</v>
      </c>
      <c r="AP69" s="43" t="s">
        <v>1542</v>
      </c>
      <c r="AQ69" s="43" t="s">
        <v>1542</v>
      </c>
      <c r="AR69" s="43" t="s">
        <v>1542</v>
      </c>
      <c r="AS69" s="43" t="s">
        <v>1542</v>
      </c>
      <c r="AT69" s="43" t="s">
        <v>1542</v>
      </c>
      <c r="AU69" s="43" t="s">
        <v>1542</v>
      </c>
      <c r="AV69" s="43" t="s">
        <v>1542</v>
      </c>
      <c r="AW69" s="43" t="s">
        <v>1542</v>
      </c>
      <c r="AX69" s="43" t="s">
        <v>1542</v>
      </c>
      <c r="AY69" s="43" t="s">
        <v>1554</v>
      </c>
      <c r="AZ69" s="43" t="s">
        <v>1554</v>
      </c>
      <c r="BA69" s="43" t="s">
        <v>1554</v>
      </c>
      <c r="BB69" s="46">
        <f t="shared" si="6"/>
        <v>2</v>
      </c>
      <c r="BC69" s="44" t="s">
        <v>1542</v>
      </c>
      <c r="BD69" s="44" t="s">
        <v>1542</v>
      </c>
      <c r="BE69" s="44" t="s">
        <v>1542</v>
      </c>
      <c r="BF69" s="44" t="s">
        <v>1542</v>
      </c>
      <c r="BG69" s="44" t="s">
        <v>1542</v>
      </c>
      <c r="BH69" s="44" t="s">
        <v>1542</v>
      </c>
      <c r="BI69" s="44" t="s">
        <v>1542</v>
      </c>
      <c r="BJ69" s="44" t="s">
        <v>1542</v>
      </c>
      <c r="BK69" s="44" t="s">
        <v>1542</v>
      </c>
      <c r="BL69" s="44" t="s">
        <v>1542</v>
      </c>
      <c r="BM69" s="44" t="s">
        <v>1542</v>
      </c>
      <c r="BN69" s="44" t="s">
        <v>1542</v>
      </c>
      <c r="BO69" s="46">
        <f t="shared" si="7"/>
        <v>0</v>
      </c>
      <c r="BP69" s="43" t="s">
        <v>1542</v>
      </c>
      <c r="BQ69" s="43" t="s">
        <v>1542</v>
      </c>
      <c r="BR69" s="43" t="s">
        <v>1542</v>
      </c>
      <c r="BS69" s="43" t="s">
        <v>1542</v>
      </c>
      <c r="BT69" s="43" t="s">
        <v>1542</v>
      </c>
      <c r="BU69" s="43" t="s">
        <v>1542</v>
      </c>
      <c r="BV69" s="43" t="s">
        <v>1542</v>
      </c>
      <c r="BW69" s="43" t="s">
        <v>1542</v>
      </c>
      <c r="BX69" s="43" t="s">
        <v>1542</v>
      </c>
      <c r="BY69" s="43" t="s">
        <v>1542</v>
      </c>
      <c r="BZ69" s="43" t="s">
        <v>1542</v>
      </c>
      <c r="CA69" s="43" t="s">
        <v>1542</v>
      </c>
    </row>
    <row r="70" spans="1:79">
      <c r="A70">
        <v>69</v>
      </c>
      <c r="B70">
        <v>1</v>
      </c>
      <c r="C70" t="s">
        <v>1532</v>
      </c>
      <c r="D70" t="s">
        <v>1533</v>
      </c>
      <c r="E70" t="s">
        <v>1797</v>
      </c>
      <c r="F70" t="s">
        <v>1798</v>
      </c>
      <c r="G70" t="s">
        <v>1850</v>
      </c>
      <c r="H70" t="s">
        <v>1850</v>
      </c>
      <c r="J70" t="s">
        <v>1851</v>
      </c>
      <c r="K70" t="s">
        <v>1852</v>
      </c>
      <c r="M70" s="1" t="s">
        <v>1853</v>
      </c>
      <c r="O70" s="46">
        <f t="shared" si="8"/>
        <v>0</v>
      </c>
      <c r="P70" s="43" t="s">
        <v>1542</v>
      </c>
      <c r="Q70" s="43" t="s">
        <v>1542</v>
      </c>
      <c r="R70" s="43" t="s">
        <v>1542</v>
      </c>
      <c r="S70" s="43" t="s">
        <v>1542</v>
      </c>
      <c r="T70" s="43" t="s">
        <v>1542</v>
      </c>
      <c r="U70" s="43" t="s">
        <v>1542</v>
      </c>
      <c r="V70" s="43" t="s">
        <v>1542</v>
      </c>
      <c r="W70" s="43" t="s">
        <v>1542</v>
      </c>
      <c r="X70" s="43" t="s">
        <v>1542</v>
      </c>
      <c r="Y70" s="43" t="s">
        <v>1542</v>
      </c>
      <c r="Z70" s="43" t="s">
        <v>1542</v>
      </c>
      <c r="AA70" s="43" t="s">
        <v>1542</v>
      </c>
      <c r="AB70" s="46">
        <f t="shared" si="9"/>
        <v>0</v>
      </c>
      <c r="AC70" s="44" t="s">
        <v>1542</v>
      </c>
      <c r="AD70" s="44" t="s">
        <v>1542</v>
      </c>
      <c r="AE70" s="44" t="s">
        <v>1542</v>
      </c>
      <c r="AF70" s="44" t="s">
        <v>1542</v>
      </c>
      <c r="AG70" s="44" t="s">
        <v>1542</v>
      </c>
      <c r="AH70" s="44" t="s">
        <v>1542</v>
      </c>
      <c r="AI70" s="44" t="s">
        <v>1542</v>
      </c>
      <c r="AJ70" s="44" t="s">
        <v>1542</v>
      </c>
      <c r="AK70" s="44" t="s">
        <v>1542</v>
      </c>
      <c r="AL70" s="44" t="s">
        <v>1542</v>
      </c>
      <c r="AM70" s="44" t="s">
        <v>1542</v>
      </c>
      <c r="AN70" s="44" t="s">
        <v>1542</v>
      </c>
      <c r="AO70" s="46">
        <f t="shared" si="5"/>
        <v>0</v>
      </c>
      <c r="AP70" s="43" t="s">
        <v>1542</v>
      </c>
      <c r="AQ70" s="43" t="s">
        <v>1542</v>
      </c>
      <c r="AR70" s="43" t="s">
        <v>1542</v>
      </c>
      <c r="AS70" s="43" t="s">
        <v>1542</v>
      </c>
      <c r="AT70" s="43" t="s">
        <v>1542</v>
      </c>
      <c r="AU70" s="43" t="s">
        <v>1542</v>
      </c>
      <c r="AV70" s="43" t="s">
        <v>1542</v>
      </c>
      <c r="AW70" s="43" t="s">
        <v>1542</v>
      </c>
      <c r="AX70" s="43" t="s">
        <v>1542</v>
      </c>
      <c r="AY70" s="43" t="s">
        <v>1542</v>
      </c>
      <c r="AZ70" s="43" t="s">
        <v>1542</v>
      </c>
      <c r="BA70" s="43" t="s">
        <v>1542</v>
      </c>
      <c r="BB70" s="46">
        <f t="shared" si="6"/>
        <v>0</v>
      </c>
      <c r="BC70" s="44" t="s">
        <v>1542</v>
      </c>
      <c r="BD70" s="44" t="s">
        <v>1542</v>
      </c>
      <c r="BE70" s="44" t="s">
        <v>1542</v>
      </c>
      <c r="BF70" s="44" t="s">
        <v>1542</v>
      </c>
      <c r="BG70" s="44" t="s">
        <v>1542</v>
      </c>
      <c r="BH70" s="44" t="s">
        <v>1542</v>
      </c>
      <c r="BI70" s="44" t="s">
        <v>1542</v>
      </c>
      <c r="BJ70" s="44" t="s">
        <v>1542</v>
      </c>
      <c r="BK70" s="44" t="s">
        <v>1542</v>
      </c>
      <c r="BL70" s="44" t="s">
        <v>1542</v>
      </c>
      <c r="BM70" s="44" t="s">
        <v>1542</v>
      </c>
      <c r="BN70" s="44" t="s">
        <v>1542</v>
      </c>
      <c r="BO70" s="46">
        <f t="shared" si="7"/>
        <v>0</v>
      </c>
      <c r="BP70" s="43" t="s">
        <v>1542</v>
      </c>
      <c r="BQ70" s="43" t="s">
        <v>1542</v>
      </c>
      <c r="BR70" s="43" t="s">
        <v>1542</v>
      </c>
      <c r="BS70" s="43" t="s">
        <v>1542</v>
      </c>
      <c r="BT70" s="43" t="s">
        <v>1542</v>
      </c>
      <c r="BU70" s="43" t="s">
        <v>1542</v>
      </c>
      <c r="BV70" s="43" t="s">
        <v>1542</v>
      </c>
      <c r="BW70" s="43" t="s">
        <v>1542</v>
      </c>
      <c r="BX70" s="43" t="s">
        <v>1542</v>
      </c>
      <c r="BY70" s="43" t="s">
        <v>1542</v>
      </c>
      <c r="BZ70" s="43" t="s">
        <v>1542</v>
      </c>
      <c r="CA70" s="43" t="s">
        <v>1542</v>
      </c>
    </row>
    <row r="71" spans="1:79">
      <c r="A71">
        <v>70</v>
      </c>
      <c r="B71">
        <v>1</v>
      </c>
      <c r="C71" t="s">
        <v>1532</v>
      </c>
      <c r="D71" t="s">
        <v>1533</v>
      </c>
      <c r="E71" t="s">
        <v>1797</v>
      </c>
      <c r="F71" t="s">
        <v>1798</v>
      </c>
      <c r="G71" t="s">
        <v>1854</v>
      </c>
      <c r="H71" t="s">
        <v>1854</v>
      </c>
      <c r="J71" t="s">
        <v>1855</v>
      </c>
      <c r="K71" t="s">
        <v>1856</v>
      </c>
      <c r="M71" s="1" t="s">
        <v>1857</v>
      </c>
      <c r="O71" s="46">
        <f t="shared" si="8"/>
        <v>0</v>
      </c>
      <c r="P71" s="43" t="s">
        <v>1542</v>
      </c>
      <c r="Q71" s="43" t="s">
        <v>1542</v>
      </c>
      <c r="R71" s="43" t="s">
        <v>1542</v>
      </c>
      <c r="S71" s="43" t="s">
        <v>1542</v>
      </c>
      <c r="T71" s="43" t="s">
        <v>1542</v>
      </c>
      <c r="U71" s="43" t="s">
        <v>1542</v>
      </c>
      <c r="V71" s="43" t="s">
        <v>1542</v>
      </c>
      <c r="W71" s="43" t="s">
        <v>1542</v>
      </c>
      <c r="X71" s="43" t="s">
        <v>1542</v>
      </c>
      <c r="Y71" s="43" t="s">
        <v>1542</v>
      </c>
      <c r="Z71" s="43" t="s">
        <v>1542</v>
      </c>
      <c r="AA71" s="43" t="s">
        <v>1542</v>
      </c>
      <c r="AB71" s="46">
        <f t="shared" si="9"/>
        <v>0</v>
      </c>
      <c r="AC71" s="44" t="s">
        <v>1542</v>
      </c>
      <c r="AD71" s="44" t="s">
        <v>1542</v>
      </c>
      <c r="AE71" s="44" t="s">
        <v>1542</v>
      </c>
      <c r="AF71" s="44" t="s">
        <v>1542</v>
      </c>
      <c r="AG71" s="44" t="s">
        <v>1542</v>
      </c>
      <c r="AH71" s="44" t="s">
        <v>1542</v>
      </c>
      <c r="AI71" s="44" t="s">
        <v>1542</v>
      </c>
      <c r="AJ71" s="44" t="s">
        <v>1542</v>
      </c>
      <c r="AK71" s="44" t="s">
        <v>1542</v>
      </c>
      <c r="AL71" s="44" t="s">
        <v>1542</v>
      </c>
      <c r="AM71" s="44" t="s">
        <v>1542</v>
      </c>
      <c r="AN71" s="44" t="s">
        <v>1542</v>
      </c>
      <c r="AO71" s="46">
        <f t="shared" si="5"/>
        <v>0</v>
      </c>
      <c r="AP71" s="43" t="s">
        <v>1542</v>
      </c>
      <c r="AQ71" s="43" t="s">
        <v>1542</v>
      </c>
      <c r="AR71" s="43" t="s">
        <v>1542</v>
      </c>
      <c r="AS71" s="43" t="s">
        <v>1542</v>
      </c>
      <c r="AT71" s="43" t="s">
        <v>1542</v>
      </c>
      <c r="AU71" s="43" t="s">
        <v>1542</v>
      </c>
      <c r="AV71" s="43" t="s">
        <v>1542</v>
      </c>
      <c r="AW71" s="43" t="s">
        <v>1542</v>
      </c>
      <c r="AX71" s="43" t="s">
        <v>1542</v>
      </c>
      <c r="AY71" s="43" t="s">
        <v>1542</v>
      </c>
      <c r="AZ71" s="43" t="s">
        <v>1542</v>
      </c>
      <c r="BA71" s="43" t="s">
        <v>1542</v>
      </c>
      <c r="BB71" s="46">
        <f t="shared" si="6"/>
        <v>0</v>
      </c>
      <c r="BC71" s="44" t="s">
        <v>1542</v>
      </c>
      <c r="BD71" s="44" t="s">
        <v>1542</v>
      </c>
      <c r="BE71" s="44" t="s">
        <v>1542</v>
      </c>
      <c r="BF71" s="44" t="s">
        <v>1542</v>
      </c>
      <c r="BG71" s="44" t="s">
        <v>1542</v>
      </c>
      <c r="BH71" s="44" t="s">
        <v>1542</v>
      </c>
      <c r="BI71" s="44" t="s">
        <v>1542</v>
      </c>
      <c r="BJ71" s="44" t="s">
        <v>1542</v>
      </c>
      <c r="BK71" s="44" t="s">
        <v>1542</v>
      </c>
      <c r="BL71" s="44" t="s">
        <v>1542</v>
      </c>
      <c r="BM71" s="44" t="s">
        <v>1542</v>
      </c>
      <c r="BN71" s="44" t="s">
        <v>1542</v>
      </c>
      <c r="BO71" s="46">
        <f t="shared" si="7"/>
        <v>0</v>
      </c>
      <c r="BP71" s="43" t="s">
        <v>1542</v>
      </c>
      <c r="BQ71" s="43" t="s">
        <v>1542</v>
      </c>
      <c r="BR71" s="43" t="s">
        <v>1542</v>
      </c>
      <c r="BS71" s="43" t="s">
        <v>1542</v>
      </c>
      <c r="BT71" s="43" t="s">
        <v>1542</v>
      </c>
      <c r="BU71" s="43" t="s">
        <v>1542</v>
      </c>
      <c r="BV71" s="43" t="s">
        <v>1542</v>
      </c>
      <c r="BW71" s="43" t="s">
        <v>1542</v>
      </c>
      <c r="BX71" s="43" t="s">
        <v>1542</v>
      </c>
      <c r="BY71" s="43" t="s">
        <v>1542</v>
      </c>
      <c r="BZ71" s="43" t="s">
        <v>1542</v>
      </c>
      <c r="CA71" s="43" t="s">
        <v>1542</v>
      </c>
    </row>
    <row r="72" spans="1:79">
      <c r="A72">
        <v>71</v>
      </c>
      <c r="B72">
        <v>1</v>
      </c>
      <c r="C72" t="s">
        <v>1532</v>
      </c>
      <c r="D72" t="s">
        <v>1533</v>
      </c>
      <c r="E72" t="s">
        <v>1797</v>
      </c>
      <c r="F72" t="s">
        <v>1798</v>
      </c>
      <c r="G72" t="s">
        <v>1858</v>
      </c>
      <c r="H72" t="s">
        <v>1858</v>
      </c>
      <c r="J72" t="s">
        <v>1859</v>
      </c>
      <c r="K72" t="s">
        <v>1860</v>
      </c>
      <c r="M72" s="1" t="s">
        <v>1861</v>
      </c>
      <c r="O72" s="46">
        <f t="shared" si="8"/>
        <v>0</v>
      </c>
      <c r="P72" s="43" t="s">
        <v>1542</v>
      </c>
      <c r="Q72" s="43" t="s">
        <v>1542</v>
      </c>
      <c r="R72" s="43" t="s">
        <v>1542</v>
      </c>
      <c r="S72" s="43" t="s">
        <v>1542</v>
      </c>
      <c r="T72" s="43" t="s">
        <v>1542</v>
      </c>
      <c r="U72" s="43" t="s">
        <v>1542</v>
      </c>
      <c r="V72" s="43" t="s">
        <v>1542</v>
      </c>
      <c r="W72" s="43" t="s">
        <v>1542</v>
      </c>
      <c r="X72" s="43" t="s">
        <v>1542</v>
      </c>
      <c r="Y72" s="43" t="s">
        <v>1542</v>
      </c>
      <c r="Z72" s="43" t="s">
        <v>1542</v>
      </c>
      <c r="AA72" s="43" t="s">
        <v>1542</v>
      </c>
      <c r="AB72" s="46">
        <f t="shared" si="9"/>
        <v>0</v>
      </c>
      <c r="AC72" s="44" t="s">
        <v>1542</v>
      </c>
      <c r="AD72" s="44" t="s">
        <v>1542</v>
      </c>
      <c r="AE72" s="44" t="s">
        <v>1542</v>
      </c>
      <c r="AF72" s="44" t="s">
        <v>1542</v>
      </c>
      <c r="AG72" s="44" t="s">
        <v>1542</v>
      </c>
      <c r="AH72" s="44" t="s">
        <v>1542</v>
      </c>
      <c r="AI72" s="44" t="s">
        <v>1542</v>
      </c>
      <c r="AJ72" s="44" t="s">
        <v>1542</v>
      </c>
      <c r="AK72" s="44" t="s">
        <v>1542</v>
      </c>
      <c r="AL72" s="44" t="s">
        <v>1542</v>
      </c>
      <c r="AM72" s="44" t="s">
        <v>1542</v>
      </c>
      <c r="AN72" s="44" t="s">
        <v>1542</v>
      </c>
      <c r="AO72" s="46">
        <f t="shared" si="5"/>
        <v>0</v>
      </c>
      <c r="AP72" s="43" t="s">
        <v>1542</v>
      </c>
      <c r="AQ72" s="43" t="s">
        <v>1542</v>
      </c>
      <c r="AR72" s="43" t="s">
        <v>1542</v>
      </c>
      <c r="AS72" s="43" t="s">
        <v>1542</v>
      </c>
      <c r="AT72" s="43" t="s">
        <v>1542</v>
      </c>
      <c r="AU72" s="43" t="s">
        <v>1542</v>
      </c>
      <c r="AV72" s="43" t="s">
        <v>1542</v>
      </c>
      <c r="AW72" s="43" t="s">
        <v>1542</v>
      </c>
      <c r="AX72" s="43" t="s">
        <v>1542</v>
      </c>
      <c r="AY72" s="43" t="s">
        <v>1542</v>
      </c>
      <c r="AZ72" s="43" t="s">
        <v>1542</v>
      </c>
      <c r="BA72" s="43" t="s">
        <v>1542</v>
      </c>
      <c r="BB72" s="46">
        <f t="shared" si="6"/>
        <v>0</v>
      </c>
      <c r="BC72" s="44" t="s">
        <v>1542</v>
      </c>
      <c r="BD72" s="44" t="s">
        <v>1542</v>
      </c>
      <c r="BE72" s="44" t="s">
        <v>1542</v>
      </c>
      <c r="BF72" s="44" t="s">
        <v>1542</v>
      </c>
      <c r="BG72" s="44" t="s">
        <v>1542</v>
      </c>
      <c r="BH72" s="44" t="s">
        <v>1542</v>
      </c>
      <c r="BI72" s="44" t="s">
        <v>1542</v>
      </c>
      <c r="BJ72" s="44" t="s">
        <v>1542</v>
      </c>
      <c r="BK72" s="44" t="s">
        <v>1542</v>
      </c>
      <c r="BL72" s="44" t="s">
        <v>1542</v>
      </c>
      <c r="BM72" s="44" t="s">
        <v>1542</v>
      </c>
      <c r="BN72" s="44" t="s">
        <v>1542</v>
      </c>
      <c r="BO72" s="46">
        <f t="shared" si="7"/>
        <v>0</v>
      </c>
      <c r="BP72" s="43" t="s">
        <v>1542</v>
      </c>
      <c r="BQ72" s="43" t="s">
        <v>1542</v>
      </c>
      <c r="BR72" s="43" t="s">
        <v>1542</v>
      </c>
      <c r="BS72" s="43" t="s">
        <v>1542</v>
      </c>
      <c r="BT72" s="43" t="s">
        <v>1542</v>
      </c>
      <c r="BU72" s="43" t="s">
        <v>1542</v>
      </c>
      <c r="BV72" s="43" t="s">
        <v>1542</v>
      </c>
      <c r="BW72" s="43" t="s">
        <v>1542</v>
      </c>
      <c r="BX72" s="43" t="s">
        <v>1542</v>
      </c>
      <c r="BY72" s="43" t="s">
        <v>1542</v>
      </c>
      <c r="BZ72" s="43" t="s">
        <v>1542</v>
      </c>
      <c r="CA72" s="43" t="s">
        <v>1542</v>
      </c>
    </row>
    <row r="73" spans="1:79">
      <c r="A73">
        <v>72</v>
      </c>
      <c r="B73">
        <v>1</v>
      </c>
      <c r="C73" t="s">
        <v>1532</v>
      </c>
      <c r="D73" t="s">
        <v>1533</v>
      </c>
      <c r="E73" t="s">
        <v>1797</v>
      </c>
      <c r="F73" t="s">
        <v>1798</v>
      </c>
      <c r="G73" t="s">
        <v>1862</v>
      </c>
      <c r="H73" t="s">
        <v>1862</v>
      </c>
      <c r="J73" t="s">
        <v>1863</v>
      </c>
      <c r="K73" t="s">
        <v>1864</v>
      </c>
      <c r="M73" s="1" t="s">
        <v>1865</v>
      </c>
      <c r="O73" s="46">
        <f t="shared" si="8"/>
        <v>0</v>
      </c>
      <c r="P73" s="43" t="s">
        <v>1542</v>
      </c>
      <c r="Q73" s="43" t="s">
        <v>1542</v>
      </c>
      <c r="R73" s="43" t="s">
        <v>1542</v>
      </c>
      <c r="S73" s="43" t="s">
        <v>1542</v>
      </c>
      <c r="T73" s="43" t="s">
        <v>1542</v>
      </c>
      <c r="U73" s="43" t="s">
        <v>1542</v>
      </c>
      <c r="V73" s="43" t="s">
        <v>1542</v>
      </c>
      <c r="W73" s="43" t="s">
        <v>1542</v>
      </c>
      <c r="X73" s="43" t="s">
        <v>1542</v>
      </c>
      <c r="Y73" s="43" t="s">
        <v>1542</v>
      </c>
      <c r="Z73" s="43" t="s">
        <v>1542</v>
      </c>
      <c r="AA73" s="43" t="s">
        <v>1542</v>
      </c>
      <c r="AB73" s="46">
        <f t="shared" si="9"/>
        <v>0</v>
      </c>
      <c r="AC73" s="44" t="s">
        <v>1542</v>
      </c>
      <c r="AD73" s="44" t="s">
        <v>1542</v>
      </c>
      <c r="AE73" s="44" t="s">
        <v>1542</v>
      </c>
      <c r="AF73" s="44" t="s">
        <v>1542</v>
      </c>
      <c r="AG73" s="44" t="s">
        <v>1542</v>
      </c>
      <c r="AH73" s="44" t="s">
        <v>1542</v>
      </c>
      <c r="AI73" s="44" t="s">
        <v>1542</v>
      </c>
      <c r="AJ73" s="44" t="s">
        <v>1542</v>
      </c>
      <c r="AK73" s="44" t="s">
        <v>1542</v>
      </c>
      <c r="AL73" s="44" t="s">
        <v>1542</v>
      </c>
      <c r="AM73" s="44" t="s">
        <v>1542</v>
      </c>
      <c r="AN73" s="44" t="s">
        <v>1542</v>
      </c>
      <c r="AO73" s="46">
        <f t="shared" si="5"/>
        <v>0</v>
      </c>
      <c r="AP73" s="43" t="s">
        <v>1542</v>
      </c>
      <c r="AQ73" s="43" t="s">
        <v>1542</v>
      </c>
      <c r="AR73" s="43" t="s">
        <v>1542</v>
      </c>
      <c r="AS73" s="43" t="s">
        <v>1542</v>
      </c>
      <c r="AT73" s="43" t="s">
        <v>1542</v>
      </c>
      <c r="AU73" s="43" t="s">
        <v>1542</v>
      </c>
      <c r="AV73" s="43" t="s">
        <v>1542</v>
      </c>
      <c r="AW73" s="43" t="s">
        <v>1542</v>
      </c>
      <c r="AX73" s="43" t="s">
        <v>1542</v>
      </c>
      <c r="AY73" s="43" t="s">
        <v>1542</v>
      </c>
      <c r="AZ73" s="43" t="s">
        <v>1542</v>
      </c>
      <c r="BA73" s="43" t="s">
        <v>1542</v>
      </c>
      <c r="BB73" s="46">
        <f t="shared" si="6"/>
        <v>0</v>
      </c>
      <c r="BC73" s="44" t="s">
        <v>1542</v>
      </c>
      <c r="BD73" s="44" t="s">
        <v>1542</v>
      </c>
      <c r="BE73" s="44" t="s">
        <v>1542</v>
      </c>
      <c r="BF73" s="44" t="s">
        <v>1542</v>
      </c>
      <c r="BG73" s="44" t="s">
        <v>1542</v>
      </c>
      <c r="BH73" s="44" t="s">
        <v>1542</v>
      </c>
      <c r="BI73" s="44" t="s">
        <v>1542</v>
      </c>
      <c r="BJ73" s="44" t="s">
        <v>1542</v>
      </c>
      <c r="BK73" s="44" t="s">
        <v>1542</v>
      </c>
      <c r="BL73" s="44" t="s">
        <v>1542</v>
      </c>
      <c r="BM73" s="44" t="s">
        <v>1542</v>
      </c>
      <c r="BN73" s="44" t="s">
        <v>1542</v>
      </c>
      <c r="BO73" s="46">
        <f t="shared" si="7"/>
        <v>0</v>
      </c>
      <c r="BP73" s="43" t="s">
        <v>1542</v>
      </c>
      <c r="BQ73" s="43" t="s">
        <v>1542</v>
      </c>
      <c r="BR73" s="43" t="s">
        <v>1542</v>
      </c>
      <c r="BS73" s="43" t="s">
        <v>1542</v>
      </c>
      <c r="BT73" s="43" t="s">
        <v>1542</v>
      </c>
      <c r="BU73" s="43" t="s">
        <v>1542</v>
      </c>
      <c r="BV73" s="43" t="s">
        <v>1542</v>
      </c>
      <c r="BW73" s="43" t="s">
        <v>1542</v>
      </c>
      <c r="BX73" s="43" t="s">
        <v>1542</v>
      </c>
      <c r="BY73" s="43" t="s">
        <v>1542</v>
      </c>
      <c r="BZ73" s="43" t="s">
        <v>1542</v>
      </c>
      <c r="CA73" s="43" t="s">
        <v>1542</v>
      </c>
    </row>
    <row r="74" spans="1:79">
      <c r="A74">
        <v>73</v>
      </c>
      <c r="B74">
        <v>1</v>
      </c>
      <c r="C74" t="s">
        <v>1532</v>
      </c>
      <c r="D74" t="s">
        <v>1533</v>
      </c>
      <c r="E74" t="s">
        <v>1797</v>
      </c>
      <c r="F74" t="s">
        <v>1798</v>
      </c>
      <c r="G74" t="s">
        <v>1866</v>
      </c>
      <c r="H74" t="s">
        <v>1866</v>
      </c>
      <c r="J74" t="s">
        <v>1867</v>
      </c>
      <c r="K74" t="s">
        <v>1868</v>
      </c>
      <c r="M74" s="1" t="s">
        <v>1869</v>
      </c>
      <c r="O74" s="46">
        <f t="shared" si="8"/>
        <v>0</v>
      </c>
      <c r="P74" s="43" t="s">
        <v>1542</v>
      </c>
      <c r="Q74" s="43" t="s">
        <v>1542</v>
      </c>
      <c r="R74" s="43" t="s">
        <v>1542</v>
      </c>
      <c r="S74" s="43" t="s">
        <v>1542</v>
      </c>
      <c r="T74" s="43" t="s">
        <v>1542</v>
      </c>
      <c r="U74" s="43" t="s">
        <v>1542</v>
      </c>
      <c r="V74" s="43" t="s">
        <v>1542</v>
      </c>
      <c r="W74" s="43" t="s">
        <v>1542</v>
      </c>
      <c r="X74" s="43" t="s">
        <v>1542</v>
      </c>
      <c r="Y74" s="43" t="s">
        <v>1542</v>
      </c>
      <c r="Z74" s="43" t="s">
        <v>1542</v>
      </c>
      <c r="AA74" s="43" t="s">
        <v>1542</v>
      </c>
      <c r="AB74" s="46">
        <f t="shared" si="9"/>
        <v>0</v>
      </c>
      <c r="AC74" s="44" t="s">
        <v>1542</v>
      </c>
      <c r="AD74" s="44" t="s">
        <v>1542</v>
      </c>
      <c r="AE74" s="44" t="s">
        <v>1542</v>
      </c>
      <c r="AF74" s="44" t="s">
        <v>1542</v>
      </c>
      <c r="AG74" s="44" t="s">
        <v>1542</v>
      </c>
      <c r="AH74" s="44" t="s">
        <v>1542</v>
      </c>
      <c r="AI74" s="44" t="s">
        <v>1542</v>
      </c>
      <c r="AJ74" s="44" t="s">
        <v>1542</v>
      </c>
      <c r="AK74" s="44" t="s">
        <v>1542</v>
      </c>
      <c r="AL74" s="44" t="s">
        <v>1542</v>
      </c>
      <c r="AM74" s="44" t="s">
        <v>1542</v>
      </c>
      <c r="AN74" s="44" t="s">
        <v>1542</v>
      </c>
      <c r="AO74" s="46">
        <f t="shared" si="5"/>
        <v>0</v>
      </c>
      <c r="AP74" s="43" t="s">
        <v>1542</v>
      </c>
      <c r="AQ74" s="43" t="s">
        <v>1542</v>
      </c>
      <c r="AR74" s="43" t="s">
        <v>1542</v>
      </c>
      <c r="AS74" s="43" t="s">
        <v>1542</v>
      </c>
      <c r="AT74" s="43" t="s">
        <v>1542</v>
      </c>
      <c r="AU74" s="43" t="s">
        <v>1542</v>
      </c>
      <c r="AV74" s="43" t="s">
        <v>1542</v>
      </c>
      <c r="AW74" s="43" t="s">
        <v>1542</v>
      </c>
      <c r="AX74" s="43" t="s">
        <v>1542</v>
      </c>
      <c r="AY74" s="43" t="s">
        <v>1542</v>
      </c>
      <c r="AZ74" s="43" t="s">
        <v>1542</v>
      </c>
      <c r="BA74" s="43" t="s">
        <v>1542</v>
      </c>
      <c r="BB74" s="46">
        <f t="shared" si="6"/>
        <v>0</v>
      </c>
      <c r="BC74" s="44" t="s">
        <v>1542</v>
      </c>
      <c r="BD74" s="44" t="s">
        <v>1542</v>
      </c>
      <c r="BE74" s="44" t="s">
        <v>1542</v>
      </c>
      <c r="BF74" s="44" t="s">
        <v>1542</v>
      </c>
      <c r="BG74" s="44" t="s">
        <v>1542</v>
      </c>
      <c r="BH74" s="44" t="s">
        <v>1542</v>
      </c>
      <c r="BI74" s="44" t="s">
        <v>1542</v>
      </c>
      <c r="BJ74" s="44" t="s">
        <v>1542</v>
      </c>
      <c r="BK74" s="44" t="s">
        <v>1542</v>
      </c>
      <c r="BL74" s="44" t="s">
        <v>1542</v>
      </c>
      <c r="BM74" s="44" t="s">
        <v>1542</v>
      </c>
      <c r="BN74" s="44" t="s">
        <v>1542</v>
      </c>
      <c r="BO74" s="46">
        <f t="shared" si="7"/>
        <v>0</v>
      </c>
      <c r="BP74" s="43" t="s">
        <v>1542</v>
      </c>
      <c r="BQ74" s="43" t="s">
        <v>1542</v>
      </c>
      <c r="BR74" s="43" t="s">
        <v>1542</v>
      </c>
      <c r="BS74" s="43" t="s">
        <v>1542</v>
      </c>
      <c r="BT74" s="43" t="s">
        <v>1542</v>
      </c>
      <c r="BU74" s="43" t="s">
        <v>1542</v>
      </c>
      <c r="BV74" s="43" t="s">
        <v>1542</v>
      </c>
      <c r="BW74" s="43" t="s">
        <v>1542</v>
      </c>
      <c r="BX74" s="43" t="s">
        <v>1542</v>
      </c>
      <c r="BY74" s="43" t="s">
        <v>1542</v>
      </c>
      <c r="BZ74" s="43" t="s">
        <v>1542</v>
      </c>
      <c r="CA74" s="43" t="s">
        <v>1542</v>
      </c>
    </row>
    <row r="75" spans="1:79">
      <c r="A75">
        <v>74</v>
      </c>
      <c r="B75">
        <v>1</v>
      </c>
      <c r="C75" t="s">
        <v>1532</v>
      </c>
      <c r="D75" t="s">
        <v>1533</v>
      </c>
      <c r="E75" t="s">
        <v>1797</v>
      </c>
      <c r="F75" t="s">
        <v>1798</v>
      </c>
      <c r="G75" t="s">
        <v>1870</v>
      </c>
      <c r="H75" t="s">
        <v>1870</v>
      </c>
      <c r="J75" t="s">
        <v>1871</v>
      </c>
      <c r="K75" t="s">
        <v>1872</v>
      </c>
      <c r="L75" t="s">
        <v>1539</v>
      </c>
      <c r="M75" s="1" t="s">
        <v>1873</v>
      </c>
      <c r="N75" t="s">
        <v>1874</v>
      </c>
      <c r="O75" s="46">
        <f t="shared" si="8"/>
        <v>0</v>
      </c>
      <c r="P75" s="43" t="s">
        <v>1542</v>
      </c>
      <c r="Q75" s="43" t="s">
        <v>1542</v>
      </c>
      <c r="R75" s="43" t="s">
        <v>1542</v>
      </c>
      <c r="S75" s="43" t="s">
        <v>1542</v>
      </c>
      <c r="T75" s="43" t="s">
        <v>1542</v>
      </c>
      <c r="U75" s="43" t="s">
        <v>1542</v>
      </c>
      <c r="V75" s="43" t="s">
        <v>1542</v>
      </c>
      <c r="W75" s="43" t="s">
        <v>1542</v>
      </c>
      <c r="X75" s="43" t="s">
        <v>1542</v>
      </c>
      <c r="Y75" s="43" t="s">
        <v>1542</v>
      </c>
      <c r="Z75" s="43" t="s">
        <v>1542</v>
      </c>
      <c r="AA75" s="43" t="s">
        <v>1542</v>
      </c>
      <c r="AB75" s="46">
        <f t="shared" si="9"/>
        <v>0</v>
      </c>
      <c r="AC75" s="44" t="s">
        <v>1542</v>
      </c>
      <c r="AD75" s="44" t="s">
        <v>1542</v>
      </c>
      <c r="AE75" s="44" t="s">
        <v>1542</v>
      </c>
      <c r="AF75" s="44" t="s">
        <v>1542</v>
      </c>
      <c r="AG75" s="44" t="s">
        <v>1542</v>
      </c>
      <c r="AH75" s="44" t="s">
        <v>1542</v>
      </c>
      <c r="AI75" s="44" t="s">
        <v>1542</v>
      </c>
      <c r="AJ75" s="44" t="s">
        <v>1542</v>
      </c>
      <c r="AK75" s="44" t="s">
        <v>1542</v>
      </c>
      <c r="AL75" s="44" t="s">
        <v>1542</v>
      </c>
      <c r="AM75" s="44" t="s">
        <v>1542</v>
      </c>
      <c r="AN75" s="44" t="s">
        <v>1542</v>
      </c>
      <c r="AO75" s="46">
        <f t="shared" si="5"/>
        <v>0</v>
      </c>
      <c r="AP75" s="43" t="s">
        <v>1542</v>
      </c>
      <c r="AQ75" s="43" t="s">
        <v>1542</v>
      </c>
      <c r="AR75" s="43" t="s">
        <v>1542</v>
      </c>
      <c r="AS75" s="43" t="s">
        <v>1542</v>
      </c>
      <c r="AT75" s="43" t="s">
        <v>1542</v>
      </c>
      <c r="AU75" s="43" t="s">
        <v>1542</v>
      </c>
      <c r="AV75" s="43" t="s">
        <v>1542</v>
      </c>
      <c r="AW75" s="43" t="s">
        <v>1542</v>
      </c>
      <c r="AX75" s="43" t="s">
        <v>1542</v>
      </c>
      <c r="AY75" s="43" t="s">
        <v>1542</v>
      </c>
      <c r="AZ75" s="43" t="s">
        <v>1542</v>
      </c>
      <c r="BA75" s="43" t="s">
        <v>1542</v>
      </c>
      <c r="BB75" s="46">
        <f t="shared" si="6"/>
        <v>0</v>
      </c>
      <c r="BC75" s="44" t="s">
        <v>1542</v>
      </c>
      <c r="BD75" s="44" t="s">
        <v>1542</v>
      </c>
      <c r="BE75" s="44" t="s">
        <v>1542</v>
      </c>
      <c r="BF75" s="44" t="s">
        <v>1542</v>
      </c>
      <c r="BG75" s="44" t="s">
        <v>1542</v>
      </c>
      <c r="BH75" s="44" t="s">
        <v>1542</v>
      </c>
      <c r="BI75" s="44" t="s">
        <v>1542</v>
      </c>
      <c r="BJ75" s="44" t="s">
        <v>1542</v>
      </c>
      <c r="BK75" s="44" t="s">
        <v>1542</v>
      </c>
      <c r="BL75" s="44" t="s">
        <v>1542</v>
      </c>
      <c r="BM75" s="44" t="s">
        <v>1542</v>
      </c>
      <c r="BN75" s="44" t="s">
        <v>1542</v>
      </c>
      <c r="BO75" s="46">
        <f t="shared" si="7"/>
        <v>0</v>
      </c>
      <c r="BP75" s="43" t="s">
        <v>1542</v>
      </c>
      <c r="BQ75" s="43" t="s">
        <v>1542</v>
      </c>
      <c r="BR75" s="43" t="s">
        <v>1542</v>
      </c>
      <c r="BS75" s="43" t="s">
        <v>1542</v>
      </c>
      <c r="BT75" s="43" t="s">
        <v>1542</v>
      </c>
      <c r="BU75" s="43" t="s">
        <v>1542</v>
      </c>
      <c r="BV75" s="43" t="s">
        <v>1542</v>
      </c>
      <c r="BW75" s="43" t="s">
        <v>1542</v>
      </c>
      <c r="BX75" s="43" t="s">
        <v>1542</v>
      </c>
      <c r="BY75" s="43" t="s">
        <v>1542</v>
      </c>
      <c r="BZ75" s="43" t="s">
        <v>1542</v>
      </c>
      <c r="CA75" s="43" t="s">
        <v>1542</v>
      </c>
    </row>
    <row r="76" spans="1:79">
      <c r="A76">
        <v>75</v>
      </c>
      <c r="B76">
        <v>1</v>
      </c>
      <c r="C76" t="s">
        <v>1532</v>
      </c>
      <c r="D76" t="s">
        <v>1533</v>
      </c>
      <c r="E76" t="s">
        <v>1797</v>
      </c>
      <c r="F76" t="s">
        <v>1798</v>
      </c>
      <c r="G76" t="s">
        <v>1875</v>
      </c>
      <c r="H76" t="s">
        <v>1875</v>
      </c>
      <c r="J76" t="s">
        <v>1876</v>
      </c>
      <c r="K76" t="s">
        <v>1877</v>
      </c>
      <c r="L76" t="s">
        <v>1539</v>
      </c>
      <c r="M76" s="1" t="s">
        <v>1878</v>
      </c>
      <c r="N76" t="s">
        <v>1879</v>
      </c>
      <c r="O76" s="46">
        <f t="shared" si="8"/>
        <v>0</v>
      </c>
      <c r="P76" s="43" t="s">
        <v>1542</v>
      </c>
      <c r="Q76" s="43" t="s">
        <v>1542</v>
      </c>
      <c r="R76" s="43" t="s">
        <v>1542</v>
      </c>
      <c r="S76" s="43" t="s">
        <v>1542</v>
      </c>
      <c r="T76" s="43" t="s">
        <v>1542</v>
      </c>
      <c r="U76" s="43" t="s">
        <v>1542</v>
      </c>
      <c r="V76" s="43" t="s">
        <v>1542</v>
      </c>
      <c r="W76" s="43" t="s">
        <v>1542</v>
      </c>
      <c r="X76" s="43" t="s">
        <v>1542</v>
      </c>
      <c r="Y76" s="43" t="s">
        <v>1542</v>
      </c>
      <c r="Z76" s="43" t="s">
        <v>1542</v>
      </c>
      <c r="AA76" s="43" t="s">
        <v>1542</v>
      </c>
      <c r="AB76" s="46">
        <f t="shared" si="9"/>
        <v>0</v>
      </c>
      <c r="AC76" s="44" t="s">
        <v>1542</v>
      </c>
      <c r="AD76" s="44" t="s">
        <v>1542</v>
      </c>
      <c r="AE76" s="44" t="s">
        <v>1542</v>
      </c>
      <c r="AF76" s="44" t="s">
        <v>1542</v>
      </c>
      <c r="AG76" s="44" t="s">
        <v>1542</v>
      </c>
      <c r="AH76" s="44" t="s">
        <v>1542</v>
      </c>
      <c r="AI76" s="44" t="s">
        <v>1542</v>
      </c>
      <c r="AJ76" s="44" t="s">
        <v>1542</v>
      </c>
      <c r="AK76" s="44" t="s">
        <v>1542</v>
      </c>
      <c r="AL76" s="44" t="s">
        <v>1542</v>
      </c>
      <c r="AM76" s="44" t="s">
        <v>1542</v>
      </c>
      <c r="AN76" s="44" t="s">
        <v>1542</v>
      </c>
      <c r="AO76" s="46">
        <f t="shared" si="5"/>
        <v>0</v>
      </c>
      <c r="AP76" s="43" t="s">
        <v>1542</v>
      </c>
      <c r="AQ76" s="43" t="s">
        <v>1542</v>
      </c>
      <c r="AR76" s="43" t="s">
        <v>1542</v>
      </c>
      <c r="AS76" s="43" t="s">
        <v>1542</v>
      </c>
      <c r="AT76" s="43" t="s">
        <v>1542</v>
      </c>
      <c r="AU76" s="43" t="s">
        <v>1542</v>
      </c>
      <c r="AV76" s="43" t="s">
        <v>1542</v>
      </c>
      <c r="AW76" s="43" t="s">
        <v>1542</v>
      </c>
      <c r="AX76" s="43" t="s">
        <v>1542</v>
      </c>
      <c r="AY76" s="43" t="s">
        <v>1542</v>
      </c>
      <c r="AZ76" s="43" t="s">
        <v>1542</v>
      </c>
      <c r="BA76" s="43" t="s">
        <v>1542</v>
      </c>
      <c r="BB76" s="46">
        <f t="shared" si="6"/>
        <v>0</v>
      </c>
      <c r="BC76" s="44" t="s">
        <v>1542</v>
      </c>
      <c r="BD76" s="44" t="s">
        <v>1542</v>
      </c>
      <c r="BE76" s="44" t="s">
        <v>1542</v>
      </c>
      <c r="BF76" s="44" t="s">
        <v>1542</v>
      </c>
      <c r="BG76" s="44" t="s">
        <v>1542</v>
      </c>
      <c r="BH76" s="44" t="s">
        <v>1542</v>
      </c>
      <c r="BI76" s="44" t="s">
        <v>1542</v>
      </c>
      <c r="BJ76" s="44" t="s">
        <v>1542</v>
      </c>
      <c r="BK76" s="44" t="s">
        <v>1542</v>
      </c>
      <c r="BL76" s="44" t="s">
        <v>1542</v>
      </c>
      <c r="BM76" s="44" t="s">
        <v>1542</v>
      </c>
      <c r="BN76" s="44" t="s">
        <v>1542</v>
      </c>
      <c r="BO76" s="46">
        <f t="shared" si="7"/>
        <v>0</v>
      </c>
      <c r="BP76" s="43" t="s">
        <v>1542</v>
      </c>
      <c r="BQ76" s="43" t="s">
        <v>1542</v>
      </c>
      <c r="BR76" s="43" t="s">
        <v>1542</v>
      </c>
      <c r="BS76" s="43" t="s">
        <v>1542</v>
      </c>
      <c r="BT76" s="43" t="s">
        <v>1542</v>
      </c>
      <c r="BU76" s="43" t="s">
        <v>1542</v>
      </c>
      <c r="BV76" s="43" t="s">
        <v>1542</v>
      </c>
      <c r="BW76" s="43" t="s">
        <v>1542</v>
      </c>
      <c r="BX76" s="43" t="s">
        <v>1542</v>
      </c>
      <c r="BY76" s="43" t="s">
        <v>1542</v>
      </c>
      <c r="BZ76" s="43" t="s">
        <v>1542</v>
      </c>
      <c r="CA76" s="43" t="s">
        <v>1542</v>
      </c>
    </row>
    <row r="77" spans="1:79">
      <c r="A77">
        <v>76</v>
      </c>
      <c r="B77">
        <v>1</v>
      </c>
      <c r="C77" t="s">
        <v>1532</v>
      </c>
      <c r="D77" t="s">
        <v>1533</v>
      </c>
      <c r="E77" t="s">
        <v>1797</v>
      </c>
      <c r="F77" t="s">
        <v>1798</v>
      </c>
      <c r="G77" t="s">
        <v>1880</v>
      </c>
      <c r="H77" t="s">
        <v>1880</v>
      </c>
      <c r="J77" t="s">
        <v>1881</v>
      </c>
      <c r="K77" t="s">
        <v>1882</v>
      </c>
      <c r="M77" s="1" t="s">
        <v>1883</v>
      </c>
      <c r="N77" t="s">
        <v>1884</v>
      </c>
      <c r="O77" s="46">
        <f t="shared" si="8"/>
        <v>0</v>
      </c>
      <c r="P77" s="43" t="s">
        <v>1542</v>
      </c>
      <c r="Q77" s="43" t="s">
        <v>1542</v>
      </c>
      <c r="R77" s="43" t="s">
        <v>1542</v>
      </c>
      <c r="S77" s="43" t="s">
        <v>1542</v>
      </c>
      <c r="T77" s="43" t="s">
        <v>1542</v>
      </c>
      <c r="U77" s="43" t="s">
        <v>1542</v>
      </c>
      <c r="V77" s="43" t="s">
        <v>1542</v>
      </c>
      <c r="W77" s="43" t="s">
        <v>1542</v>
      </c>
      <c r="X77" s="43" t="s">
        <v>1542</v>
      </c>
      <c r="Y77" s="43" t="s">
        <v>1542</v>
      </c>
      <c r="Z77" s="43" t="s">
        <v>1542</v>
      </c>
      <c r="AA77" s="43" t="s">
        <v>1542</v>
      </c>
      <c r="AB77" s="46">
        <f t="shared" si="9"/>
        <v>0</v>
      </c>
      <c r="AC77" s="44" t="s">
        <v>1542</v>
      </c>
      <c r="AD77" s="44" t="s">
        <v>1542</v>
      </c>
      <c r="AE77" s="44" t="s">
        <v>1542</v>
      </c>
      <c r="AF77" s="44" t="s">
        <v>1542</v>
      </c>
      <c r="AG77" s="44" t="s">
        <v>1542</v>
      </c>
      <c r="AH77" s="44" t="s">
        <v>1542</v>
      </c>
      <c r="AI77" s="44" t="s">
        <v>1542</v>
      </c>
      <c r="AJ77" s="44" t="s">
        <v>1542</v>
      </c>
      <c r="AK77" s="44" t="s">
        <v>1542</v>
      </c>
      <c r="AL77" s="44" t="s">
        <v>1542</v>
      </c>
      <c r="AM77" s="44" t="s">
        <v>1542</v>
      </c>
      <c r="AN77" s="44" t="s">
        <v>1542</v>
      </c>
      <c r="AO77" s="46">
        <f t="shared" si="5"/>
        <v>0</v>
      </c>
      <c r="AP77" s="43" t="s">
        <v>1542</v>
      </c>
      <c r="AQ77" s="43" t="s">
        <v>1542</v>
      </c>
      <c r="AR77" s="43" t="s">
        <v>1542</v>
      </c>
      <c r="AS77" s="43" t="s">
        <v>1542</v>
      </c>
      <c r="AT77" s="43" t="s">
        <v>1542</v>
      </c>
      <c r="AU77" s="43" t="s">
        <v>1542</v>
      </c>
      <c r="AV77" s="43" t="s">
        <v>1542</v>
      </c>
      <c r="AW77" s="43" t="s">
        <v>1542</v>
      </c>
      <c r="AX77" s="43" t="s">
        <v>1542</v>
      </c>
      <c r="AY77" s="43" t="s">
        <v>1542</v>
      </c>
      <c r="AZ77" s="43" t="s">
        <v>1542</v>
      </c>
      <c r="BA77" s="43" t="s">
        <v>1542</v>
      </c>
      <c r="BB77" s="46">
        <f t="shared" si="6"/>
        <v>0</v>
      </c>
      <c r="BC77" s="44" t="s">
        <v>1554</v>
      </c>
      <c r="BD77" s="44" t="s">
        <v>1554</v>
      </c>
      <c r="BE77" s="44" t="s">
        <v>1554</v>
      </c>
      <c r="BF77" s="44" t="s">
        <v>1542</v>
      </c>
      <c r="BG77" s="44" t="s">
        <v>1542</v>
      </c>
      <c r="BH77" s="44" t="s">
        <v>1542</v>
      </c>
      <c r="BI77" s="44" t="s">
        <v>1542</v>
      </c>
      <c r="BJ77" s="44" t="s">
        <v>1542</v>
      </c>
      <c r="BK77" s="44" t="s">
        <v>1542</v>
      </c>
      <c r="BL77" s="44" t="s">
        <v>1542</v>
      </c>
      <c r="BM77" s="44" t="s">
        <v>1542</v>
      </c>
      <c r="BN77" s="44" t="s">
        <v>1542</v>
      </c>
      <c r="BO77" s="46">
        <f t="shared" si="7"/>
        <v>3</v>
      </c>
      <c r="BP77" s="43" t="s">
        <v>1542</v>
      </c>
      <c r="BQ77" s="43" t="s">
        <v>1542</v>
      </c>
      <c r="BR77" s="43" t="s">
        <v>1542</v>
      </c>
      <c r="BS77" s="43" t="s">
        <v>1542</v>
      </c>
      <c r="BT77" s="43" t="s">
        <v>1542</v>
      </c>
      <c r="BU77" s="43" t="s">
        <v>1542</v>
      </c>
      <c r="BV77" s="43" t="s">
        <v>1542</v>
      </c>
      <c r="BW77" s="43" t="s">
        <v>1542</v>
      </c>
      <c r="BX77" s="43" t="s">
        <v>1542</v>
      </c>
      <c r="BY77" s="43" t="s">
        <v>1542</v>
      </c>
      <c r="BZ77" s="43" t="s">
        <v>1542</v>
      </c>
      <c r="CA77" s="43" t="s">
        <v>1542</v>
      </c>
    </row>
    <row r="78" spans="1:79">
      <c r="A78">
        <v>77</v>
      </c>
      <c r="B78">
        <v>1</v>
      </c>
      <c r="C78" t="s">
        <v>1696</v>
      </c>
      <c r="D78" t="s">
        <v>1697</v>
      </c>
      <c r="E78" t="s">
        <v>1885</v>
      </c>
      <c r="F78" t="s">
        <v>1886</v>
      </c>
      <c r="G78" t="s">
        <v>1887</v>
      </c>
      <c r="H78" t="s">
        <v>1887</v>
      </c>
      <c r="J78" t="s">
        <v>1888</v>
      </c>
      <c r="K78" t="s">
        <v>1889</v>
      </c>
      <c r="M78" s="1" t="s">
        <v>1890</v>
      </c>
      <c r="O78" s="46">
        <f t="shared" si="8"/>
        <v>0</v>
      </c>
      <c r="P78" s="43" t="s">
        <v>1542</v>
      </c>
      <c r="Q78" s="43" t="s">
        <v>1542</v>
      </c>
      <c r="R78" s="43" t="s">
        <v>1542</v>
      </c>
      <c r="S78" s="43" t="s">
        <v>1542</v>
      </c>
      <c r="T78" s="43" t="s">
        <v>1542</v>
      </c>
      <c r="U78" s="43" t="s">
        <v>1542</v>
      </c>
      <c r="V78" s="43" t="s">
        <v>1542</v>
      </c>
      <c r="W78" s="43" t="s">
        <v>1542</v>
      </c>
      <c r="X78" s="43" t="s">
        <v>1542</v>
      </c>
      <c r="Y78" s="43" t="s">
        <v>1542</v>
      </c>
      <c r="Z78" s="43" t="s">
        <v>1542</v>
      </c>
      <c r="AA78" s="43" t="s">
        <v>1542</v>
      </c>
      <c r="AB78" s="46">
        <f t="shared" si="9"/>
        <v>0</v>
      </c>
      <c r="AC78" s="44" t="s">
        <v>1542</v>
      </c>
      <c r="AD78" s="44" t="s">
        <v>1542</v>
      </c>
      <c r="AE78" s="44" t="s">
        <v>1542</v>
      </c>
      <c r="AF78" s="44" t="s">
        <v>1542</v>
      </c>
      <c r="AG78" s="44" t="s">
        <v>1542</v>
      </c>
      <c r="AH78" s="44" t="s">
        <v>1542</v>
      </c>
      <c r="AI78" s="44" t="s">
        <v>1542</v>
      </c>
      <c r="AJ78" s="44" t="s">
        <v>1542</v>
      </c>
      <c r="AK78" s="44" t="s">
        <v>1542</v>
      </c>
      <c r="AL78" s="44" t="s">
        <v>1542</v>
      </c>
      <c r="AM78" s="44" t="s">
        <v>1542</v>
      </c>
      <c r="AN78" s="44" t="s">
        <v>1542</v>
      </c>
      <c r="AO78" s="46">
        <f t="shared" si="5"/>
        <v>0</v>
      </c>
      <c r="AP78" s="43" t="s">
        <v>1542</v>
      </c>
      <c r="AQ78" s="43" t="s">
        <v>1542</v>
      </c>
      <c r="AR78" s="43" t="s">
        <v>1542</v>
      </c>
      <c r="AS78" s="43" t="s">
        <v>1542</v>
      </c>
      <c r="AT78" s="43" t="s">
        <v>1542</v>
      </c>
      <c r="AU78" s="43" t="s">
        <v>1542</v>
      </c>
      <c r="AV78" s="43" t="s">
        <v>1542</v>
      </c>
      <c r="AW78" s="43" t="s">
        <v>1542</v>
      </c>
      <c r="AX78" s="43" t="s">
        <v>1542</v>
      </c>
      <c r="AY78" s="43" t="s">
        <v>1542</v>
      </c>
      <c r="AZ78" s="43" t="s">
        <v>1542</v>
      </c>
      <c r="BA78" s="43" t="s">
        <v>1542</v>
      </c>
      <c r="BB78" s="46">
        <f t="shared" si="6"/>
        <v>0</v>
      </c>
      <c r="BC78" s="44" t="s">
        <v>1542</v>
      </c>
      <c r="BD78" s="44" t="s">
        <v>1542</v>
      </c>
      <c r="BE78" s="44" t="s">
        <v>1542</v>
      </c>
      <c r="BF78" s="44" t="s">
        <v>1542</v>
      </c>
      <c r="BG78" s="44" t="s">
        <v>1542</v>
      </c>
      <c r="BH78" s="44" t="s">
        <v>1542</v>
      </c>
      <c r="BI78" s="44" t="s">
        <v>1542</v>
      </c>
      <c r="BJ78" s="44" t="s">
        <v>1542</v>
      </c>
      <c r="BK78" s="44" t="s">
        <v>1542</v>
      </c>
      <c r="BL78" s="44" t="s">
        <v>1542</v>
      </c>
      <c r="BM78" s="44" t="s">
        <v>1542</v>
      </c>
      <c r="BN78" s="44" t="s">
        <v>1542</v>
      </c>
      <c r="BO78" s="46">
        <f t="shared" si="7"/>
        <v>0</v>
      </c>
      <c r="BP78" s="43" t="s">
        <v>1542</v>
      </c>
      <c r="BQ78" s="43" t="s">
        <v>1542</v>
      </c>
      <c r="BR78" s="43" t="s">
        <v>1542</v>
      </c>
      <c r="BS78" s="43" t="s">
        <v>1542</v>
      </c>
      <c r="BT78" s="43" t="s">
        <v>1542</v>
      </c>
      <c r="BU78" s="43" t="s">
        <v>1542</v>
      </c>
      <c r="BV78" s="43" t="s">
        <v>1542</v>
      </c>
      <c r="BW78" s="43" t="s">
        <v>1542</v>
      </c>
      <c r="BX78" s="43" t="s">
        <v>1542</v>
      </c>
      <c r="BY78" s="43" t="s">
        <v>1542</v>
      </c>
      <c r="BZ78" s="43" t="s">
        <v>1542</v>
      </c>
      <c r="CA78" s="43" t="s">
        <v>1542</v>
      </c>
    </row>
    <row r="79" spans="1:79">
      <c r="A79">
        <v>78</v>
      </c>
      <c r="B79">
        <v>1</v>
      </c>
      <c r="C79" t="s">
        <v>1696</v>
      </c>
      <c r="D79" t="s">
        <v>1697</v>
      </c>
      <c r="E79" t="s">
        <v>1885</v>
      </c>
      <c r="F79" t="s">
        <v>1886</v>
      </c>
      <c r="G79" t="s">
        <v>1891</v>
      </c>
      <c r="H79" t="s">
        <v>1891</v>
      </c>
      <c r="J79" t="s">
        <v>1892</v>
      </c>
      <c r="K79" t="s">
        <v>1893</v>
      </c>
      <c r="M79" s="1" t="s">
        <v>1894</v>
      </c>
      <c r="O79" s="46">
        <f t="shared" si="8"/>
        <v>0</v>
      </c>
      <c r="P79" s="43" t="s">
        <v>1542</v>
      </c>
      <c r="Q79" s="43" t="s">
        <v>1542</v>
      </c>
      <c r="R79" s="43" t="s">
        <v>1542</v>
      </c>
      <c r="S79" s="43" t="s">
        <v>1542</v>
      </c>
      <c r="T79" s="43" t="s">
        <v>1542</v>
      </c>
      <c r="U79" s="43" t="s">
        <v>1542</v>
      </c>
      <c r="V79" s="43" t="s">
        <v>1542</v>
      </c>
      <c r="W79" s="43" t="s">
        <v>1542</v>
      </c>
      <c r="X79" s="43" t="s">
        <v>1542</v>
      </c>
      <c r="Y79" s="43" t="s">
        <v>1542</v>
      </c>
      <c r="Z79" s="43" t="s">
        <v>1542</v>
      </c>
      <c r="AA79" s="43" t="s">
        <v>1542</v>
      </c>
      <c r="AB79" s="46">
        <f t="shared" si="9"/>
        <v>0</v>
      </c>
      <c r="AC79" s="44" t="s">
        <v>1542</v>
      </c>
      <c r="AD79" s="44" t="s">
        <v>1542</v>
      </c>
      <c r="AE79" s="44" t="s">
        <v>1542</v>
      </c>
      <c r="AF79" s="44" t="s">
        <v>1542</v>
      </c>
      <c r="AG79" s="44" t="s">
        <v>1542</v>
      </c>
      <c r="AH79" s="44" t="s">
        <v>1542</v>
      </c>
      <c r="AI79" s="44" t="s">
        <v>1542</v>
      </c>
      <c r="AJ79" s="44" t="s">
        <v>1542</v>
      </c>
      <c r="AK79" s="44" t="s">
        <v>1542</v>
      </c>
      <c r="AL79" s="44" t="s">
        <v>1542</v>
      </c>
      <c r="AM79" s="44" t="s">
        <v>1542</v>
      </c>
      <c r="AN79" s="44" t="s">
        <v>1542</v>
      </c>
      <c r="AO79" s="46">
        <f t="shared" si="5"/>
        <v>0</v>
      </c>
      <c r="AP79" s="43" t="s">
        <v>1542</v>
      </c>
      <c r="AQ79" s="43" t="s">
        <v>1542</v>
      </c>
      <c r="AR79" s="43" t="s">
        <v>1542</v>
      </c>
      <c r="AS79" s="43" t="s">
        <v>1542</v>
      </c>
      <c r="AT79" s="43" t="s">
        <v>1542</v>
      </c>
      <c r="AU79" s="43" t="s">
        <v>1542</v>
      </c>
      <c r="AV79" s="43" t="s">
        <v>1542</v>
      </c>
      <c r="AW79" s="43" t="s">
        <v>1542</v>
      </c>
      <c r="AX79" s="43" t="s">
        <v>1542</v>
      </c>
      <c r="AY79" s="43" t="s">
        <v>1542</v>
      </c>
      <c r="AZ79" s="43" t="s">
        <v>1542</v>
      </c>
      <c r="BA79" s="43" t="s">
        <v>1542</v>
      </c>
      <c r="BB79" s="46">
        <f t="shared" si="6"/>
        <v>0</v>
      </c>
      <c r="BC79" s="44" t="s">
        <v>1542</v>
      </c>
      <c r="BD79" s="44" t="s">
        <v>1542</v>
      </c>
      <c r="BE79" s="44" t="s">
        <v>1542</v>
      </c>
      <c r="BF79" s="44" t="s">
        <v>1542</v>
      </c>
      <c r="BG79" s="44" t="s">
        <v>1542</v>
      </c>
      <c r="BH79" s="44" t="s">
        <v>1542</v>
      </c>
      <c r="BI79" s="44" t="s">
        <v>1542</v>
      </c>
      <c r="BJ79" s="44" t="s">
        <v>1542</v>
      </c>
      <c r="BK79" s="44" t="s">
        <v>1542</v>
      </c>
      <c r="BL79" s="44" t="s">
        <v>1542</v>
      </c>
      <c r="BM79" s="44" t="s">
        <v>1542</v>
      </c>
      <c r="BN79" s="44" t="s">
        <v>1542</v>
      </c>
      <c r="BO79" s="46">
        <f t="shared" si="7"/>
        <v>0</v>
      </c>
      <c r="BP79" s="43" t="s">
        <v>1542</v>
      </c>
      <c r="BQ79" s="43" t="s">
        <v>1542</v>
      </c>
      <c r="BR79" s="43" t="s">
        <v>1542</v>
      </c>
      <c r="BS79" s="43" t="s">
        <v>1542</v>
      </c>
      <c r="BT79" s="43" t="s">
        <v>1542</v>
      </c>
      <c r="BU79" s="43" t="s">
        <v>1542</v>
      </c>
      <c r="BV79" s="43" t="s">
        <v>1542</v>
      </c>
      <c r="BW79" s="43" t="s">
        <v>1542</v>
      </c>
      <c r="BX79" s="43" t="s">
        <v>1542</v>
      </c>
      <c r="BY79" s="43" t="s">
        <v>1542</v>
      </c>
      <c r="BZ79" s="43" t="s">
        <v>1542</v>
      </c>
      <c r="CA79" s="43" t="s">
        <v>1542</v>
      </c>
    </row>
    <row r="80" spans="1:79">
      <c r="A80">
        <v>79</v>
      </c>
      <c r="B80">
        <v>1</v>
      </c>
      <c r="C80" t="s">
        <v>1696</v>
      </c>
      <c r="D80" t="s">
        <v>1697</v>
      </c>
      <c r="E80" t="s">
        <v>1885</v>
      </c>
      <c r="F80" t="s">
        <v>1886</v>
      </c>
      <c r="G80" t="s">
        <v>1895</v>
      </c>
      <c r="H80" t="s">
        <v>1895</v>
      </c>
      <c r="J80" t="s">
        <v>1896</v>
      </c>
      <c r="K80" t="s">
        <v>1897</v>
      </c>
      <c r="M80" s="1" t="s">
        <v>1898</v>
      </c>
      <c r="O80" s="46">
        <f t="shared" si="8"/>
        <v>0</v>
      </c>
      <c r="P80" s="43" t="s">
        <v>1542</v>
      </c>
      <c r="Q80" s="43" t="s">
        <v>1542</v>
      </c>
      <c r="R80" s="43" t="s">
        <v>1542</v>
      </c>
      <c r="S80" s="43" t="s">
        <v>1542</v>
      </c>
      <c r="T80" s="43" t="s">
        <v>1542</v>
      </c>
      <c r="U80" s="43" t="s">
        <v>1542</v>
      </c>
      <c r="V80" s="43" t="s">
        <v>1542</v>
      </c>
      <c r="W80" s="43" t="s">
        <v>1542</v>
      </c>
      <c r="X80" s="43" t="s">
        <v>1542</v>
      </c>
      <c r="Y80" s="43" t="s">
        <v>1542</v>
      </c>
      <c r="Z80" s="43" t="s">
        <v>1542</v>
      </c>
      <c r="AA80" s="43" t="s">
        <v>1542</v>
      </c>
      <c r="AB80" s="46">
        <f t="shared" si="9"/>
        <v>0</v>
      </c>
      <c r="AC80" s="44" t="s">
        <v>1542</v>
      </c>
      <c r="AD80" s="44" t="s">
        <v>1542</v>
      </c>
      <c r="AE80" s="44" t="s">
        <v>1542</v>
      </c>
      <c r="AF80" s="44" t="s">
        <v>1542</v>
      </c>
      <c r="AG80" s="44" t="s">
        <v>1542</v>
      </c>
      <c r="AH80" s="44" t="s">
        <v>1542</v>
      </c>
      <c r="AI80" s="44" t="s">
        <v>1542</v>
      </c>
      <c r="AJ80" s="44" t="s">
        <v>1542</v>
      </c>
      <c r="AK80" s="44" t="s">
        <v>1542</v>
      </c>
      <c r="AL80" s="44" t="s">
        <v>1542</v>
      </c>
      <c r="AM80" s="44" t="s">
        <v>1542</v>
      </c>
      <c r="AN80" s="44" t="s">
        <v>1542</v>
      </c>
      <c r="AO80" s="46">
        <f t="shared" si="5"/>
        <v>0</v>
      </c>
      <c r="AP80" s="43" t="s">
        <v>1542</v>
      </c>
      <c r="AQ80" s="43" t="s">
        <v>1542</v>
      </c>
      <c r="AR80" s="43" t="s">
        <v>1542</v>
      </c>
      <c r="AS80" s="43" t="s">
        <v>1542</v>
      </c>
      <c r="AT80" s="43" t="s">
        <v>1542</v>
      </c>
      <c r="AU80" s="43" t="s">
        <v>1542</v>
      </c>
      <c r="AV80" s="43" t="s">
        <v>1542</v>
      </c>
      <c r="AW80" s="43" t="s">
        <v>1542</v>
      </c>
      <c r="AX80" s="43" t="s">
        <v>1542</v>
      </c>
      <c r="AY80" s="43" t="s">
        <v>1542</v>
      </c>
      <c r="AZ80" s="43" t="s">
        <v>1542</v>
      </c>
      <c r="BA80" s="43" t="s">
        <v>1542</v>
      </c>
      <c r="BB80" s="46">
        <f t="shared" si="6"/>
        <v>0</v>
      </c>
      <c r="BC80" s="44" t="s">
        <v>1542</v>
      </c>
      <c r="BD80" s="44" t="s">
        <v>1542</v>
      </c>
      <c r="BE80" s="44" t="s">
        <v>1542</v>
      </c>
      <c r="BF80" s="44" t="s">
        <v>1542</v>
      </c>
      <c r="BG80" s="44" t="s">
        <v>1542</v>
      </c>
      <c r="BH80" s="44" t="s">
        <v>1542</v>
      </c>
      <c r="BI80" s="44" t="s">
        <v>1542</v>
      </c>
      <c r="BJ80" s="44" t="s">
        <v>1542</v>
      </c>
      <c r="BK80" s="44" t="s">
        <v>1542</v>
      </c>
      <c r="BL80" s="44" t="s">
        <v>1542</v>
      </c>
      <c r="BM80" s="44" t="s">
        <v>1542</v>
      </c>
      <c r="BN80" s="44" t="s">
        <v>1542</v>
      </c>
      <c r="BO80" s="46">
        <f t="shared" si="7"/>
        <v>0</v>
      </c>
      <c r="BP80" s="43" t="s">
        <v>1542</v>
      </c>
      <c r="BQ80" s="43" t="s">
        <v>1542</v>
      </c>
      <c r="BR80" s="43" t="s">
        <v>1542</v>
      </c>
      <c r="BS80" s="43" t="s">
        <v>1542</v>
      </c>
      <c r="BT80" s="43" t="s">
        <v>1542</v>
      </c>
      <c r="BU80" s="43" t="s">
        <v>1542</v>
      </c>
      <c r="BV80" s="43" t="s">
        <v>1542</v>
      </c>
      <c r="BW80" s="43" t="s">
        <v>1542</v>
      </c>
      <c r="BX80" s="43" t="s">
        <v>1542</v>
      </c>
      <c r="BY80" s="43" t="s">
        <v>1542</v>
      </c>
      <c r="BZ80" s="43" t="s">
        <v>1542</v>
      </c>
      <c r="CA80" s="43" t="s">
        <v>1542</v>
      </c>
    </row>
    <row r="81" spans="1:79">
      <c r="A81">
        <v>80</v>
      </c>
      <c r="B81">
        <v>1</v>
      </c>
      <c r="C81" t="s">
        <v>1696</v>
      </c>
      <c r="D81" t="s">
        <v>1697</v>
      </c>
      <c r="E81" t="s">
        <v>1885</v>
      </c>
      <c r="F81" t="s">
        <v>1886</v>
      </c>
      <c r="G81" t="s">
        <v>1899</v>
      </c>
      <c r="H81" t="s">
        <v>1899</v>
      </c>
      <c r="J81" t="s">
        <v>1900</v>
      </c>
      <c r="K81" t="s">
        <v>1901</v>
      </c>
      <c r="L81" t="s">
        <v>1539</v>
      </c>
      <c r="M81" s="1" t="s">
        <v>1902</v>
      </c>
      <c r="N81" t="s">
        <v>1903</v>
      </c>
      <c r="O81" s="46">
        <f t="shared" si="8"/>
        <v>0</v>
      </c>
      <c r="P81" s="43" t="s">
        <v>1542</v>
      </c>
      <c r="Q81" s="43" t="s">
        <v>1542</v>
      </c>
      <c r="R81" s="43" t="s">
        <v>1542</v>
      </c>
      <c r="S81" s="43" t="s">
        <v>1542</v>
      </c>
      <c r="T81" s="43" t="s">
        <v>1542</v>
      </c>
      <c r="U81" s="43" t="s">
        <v>1542</v>
      </c>
      <c r="V81" s="43" t="s">
        <v>1542</v>
      </c>
      <c r="W81" s="43" t="s">
        <v>1542</v>
      </c>
      <c r="X81" s="43" t="s">
        <v>1542</v>
      </c>
      <c r="Y81" s="43" t="s">
        <v>1542</v>
      </c>
      <c r="Z81" s="43" t="s">
        <v>1542</v>
      </c>
      <c r="AA81" s="43" t="s">
        <v>1542</v>
      </c>
      <c r="AB81" s="46">
        <f t="shared" si="9"/>
        <v>0</v>
      </c>
      <c r="AC81" s="44" t="s">
        <v>1542</v>
      </c>
      <c r="AD81" s="44" t="s">
        <v>1542</v>
      </c>
      <c r="AE81" s="44" t="s">
        <v>1542</v>
      </c>
      <c r="AF81" s="44" t="s">
        <v>1542</v>
      </c>
      <c r="AG81" s="44" t="s">
        <v>1542</v>
      </c>
      <c r="AH81" s="44" t="s">
        <v>1542</v>
      </c>
      <c r="AI81" s="44" t="s">
        <v>1542</v>
      </c>
      <c r="AJ81" s="44" t="s">
        <v>1542</v>
      </c>
      <c r="AK81" s="44" t="s">
        <v>1542</v>
      </c>
      <c r="AL81" s="44" t="s">
        <v>1542</v>
      </c>
      <c r="AM81" s="44" t="s">
        <v>1542</v>
      </c>
      <c r="AN81" s="44" t="s">
        <v>1542</v>
      </c>
      <c r="AO81" s="46">
        <f t="shared" si="5"/>
        <v>0</v>
      </c>
      <c r="AP81" s="43" t="s">
        <v>1542</v>
      </c>
      <c r="AQ81" s="43" t="s">
        <v>1542</v>
      </c>
      <c r="AR81" s="43" t="s">
        <v>1542</v>
      </c>
      <c r="AS81" s="43" t="s">
        <v>1542</v>
      </c>
      <c r="AT81" s="43" t="s">
        <v>1554</v>
      </c>
      <c r="AU81" s="43" t="s">
        <v>1554</v>
      </c>
      <c r="AV81" s="43" t="s">
        <v>1542</v>
      </c>
      <c r="AW81" s="43" t="s">
        <v>1542</v>
      </c>
      <c r="AX81" s="43" t="s">
        <v>1542</v>
      </c>
      <c r="AY81" s="43" t="s">
        <v>1542</v>
      </c>
      <c r="AZ81" s="43" t="s">
        <v>1542</v>
      </c>
      <c r="BA81" s="43" t="s">
        <v>1542</v>
      </c>
      <c r="BB81" s="46">
        <f t="shared" si="6"/>
        <v>2</v>
      </c>
      <c r="BC81" s="44" t="s">
        <v>1542</v>
      </c>
      <c r="BD81" s="44" t="s">
        <v>1542</v>
      </c>
      <c r="BE81" s="44" t="s">
        <v>1542</v>
      </c>
      <c r="BF81" s="44" t="s">
        <v>1542</v>
      </c>
      <c r="BG81" s="44" t="s">
        <v>1542</v>
      </c>
      <c r="BH81" s="44" t="s">
        <v>1542</v>
      </c>
      <c r="BI81" s="44" t="s">
        <v>1542</v>
      </c>
      <c r="BJ81" s="44" t="s">
        <v>1542</v>
      </c>
      <c r="BK81" s="44" t="s">
        <v>1542</v>
      </c>
      <c r="BL81" s="44" t="s">
        <v>1542</v>
      </c>
      <c r="BM81" s="44" t="s">
        <v>1542</v>
      </c>
      <c r="BN81" s="44" t="s">
        <v>1542</v>
      </c>
      <c r="BO81" s="46">
        <f t="shared" si="7"/>
        <v>0</v>
      </c>
      <c r="BP81" s="43" t="s">
        <v>1542</v>
      </c>
      <c r="BQ81" s="43" t="s">
        <v>1542</v>
      </c>
      <c r="BR81" s="43" t="s">
        <v>1542</v>
      </c>
      <c r="BS81" s="43" t="s">
        <v>1542</v>
      </c>
      <c r="BT81" s="43" t="s">
        <v>1542</v>
      </c>
      <c r="BU81" s="43" t="s">
        <v>1542</v>
      </c>
      <c r="BV81" s="43" t="s">
        <v>1542</v>
      </c>
      <c r="BW81" s="43" t="s">
        <v>1542</v>
      </c>
      <c r="BX81" s="43" t="s">
        <v>1542</v>
      </c>
      <c r="BY81" s="43" t="s">
        <v>1542</v>
      </c>
      <c r="BZ81" s="43" t="s">
        <v>1542</v>
      </c>
      <c r="CA81" s="43" t="s">
        <v>1554</v>
      </c>
    </row>
    <row r="82" spans="1:79">
      <c r="A82">
        <v>81</v>
      </c>
      <c r="B82">
        <v>1</v>
      </c>
      <c r="C82" t="s">
        <v>1696</v>
      </c>
      <c r="D82" t="s">
        <v>1697</v>
      </c>
      <c r="E82" t="s">
        <v>1885</v>
      </c>
      <c r="F82" t="s">
        <v>1886</v>
      </c>
      <c r="G82" t="s">
        <v>1904</v>
      </c>
      <c r="H82" t="s">
        <v>1904</v>
      </c>
      <c r="J82" t="s">
        <v>1905</v>
      </c>
      <c r="K82" t="s">
        <v>1906</v>
      </c>
      <c r="L82" t="s">
        <v>1539</v>
      </c>
      <c r="M82" s="1" t="s">
        <v>1907</v>
      </c>
      <c r="N82" t="s">
        <v>1908</v>
      </c>
      <c r="O82" s="46">
        <f t="shared" si="8"/>
        <v>0</v>
      </c>
      <c r="P82" s="43" t="s">
        <v>1542</v>
      </c>
      <c r="Q82" s="43" t="s">
        <v>1542</v>
      </c>
      <c r="R82" s="43" t="s">
        <v>1542</v>
      </c>
      <c r="S82" s="43" t="s">
        <v>1542</v>
      </c>
      <c r="T82" s="43" t="s">
        <v>1542</v>
      </c>
      <c r="U82" s="43" t="s">
        <v>1542</v>
      </c>
      <c r="V82" s="43" t="s">
        <v>1542</v>
      </c>
      <c r="W82" s="43" t="s">
        <v>1542</v>
      </c>
      <c r="X82" s="43" t="s">
        <v>1542</v>
      </c>
      <c r="Y82" s="43" t="s">
        <v>1542</v>
      </c>
      <c r="Z82" s="43" t="s">
        <v>1542</v>
      </c>
      <c r="AA82" s="43" t="s">
        <v>1542</v>
      </c>
      <c r="AB82" s="46">
        <f t="shared" si="9"/>
        <v>4</v>
      </c>
      <c r="AC82" s="44" t="s">
        <v>1542</v>
      </c>
      <c r="AD82" s="44" t="s">
        <v>1542</v>
      </c>
      <c r="AE82" s="44" t="s">
        <v>1542</v>
      </c>
      <c r="AF82" s="44" t="s">
        <v>1554</v>
      </c>
      <c r="AG82" s="44" t="s">
        <v>1554</v>
      </c>
      <c r="AH82" s="44" t="s">
        <v>1554</v>
      </c>
      <c r="AI82" s="44" t="s">
        <v>1554</v>
      </c>
      <c r="AJ82" s="44" t="s">
        <v>1542</v>
      </c>
      <c r="AK82" s="44" t="s">
        <v>1542</v>
      </c>
      <c r="AL82" s="44" t="s">
        <v>1542</v>
      </c>
      <c r="AM82" s="44" t="s">
        <v>1542</v>
      </c>
      <c r="AN82" s="44" t="s">
        <v>1542</v>
      </c>
      <c r="AO82" s="46">
        <f t="shared" si="5"/>
        <v>4</v>
      </c>
      <c r="AP82" s="43" t="s">
        <v>1542</v>
      </c>
      <c r="AQ82" s="43" t="s">
        <v>1542</v>
      </c>
      <c r="AR82" s="43" t="s">
        <v>1542</v>
      </c>
      <c r="AS82" s="43" t="s">
        <v>1542</v>
      </c>
      <c r="AT82" s="43" t="s">
        <v>1542</v>
      </c>
      <c r="AU82" s="43" t="s">
        <v>1542</v>
      </c>
      <c r="AV82" s="43" t="s">
        <v>1542</v>
      </c>
      <c r="AW82" s="43" t="s">
        <v>1542</v>
      </c>
      <c r="AX82" s="43" t="s">
        <v>1542</v>
      </c>
      <c r="AY82" s="43" t="s">
        <v>1542</v>
      </c>
      <c r="AZ82" s="43" t="s">
        <v>1542</v>
      </c>
      <c r="BA82" s="43" t="s">
        <v>1542</v>
      </c>
      <c r="BB82" s="46">
        <f t="shared" si="6"/>
        <v>0</v>
      </c>
      <c r="BC82" s="44" t="s">
        <v>1542</v>
      </c>
      <c r="BD82" s="44" t="s">
        <v>1542</v>
      </c>
      <c r="BE82" s="44" t="s">
        <v>1542</v>
      </c>
      <c r="BF82" s="44" t="s">
        <v>1542</v>
      </c>
      <c r="BG82" s="44" t="s">
        <v>1542</v>
      </c>
      <c r="BH82" s="44" t="s">
        <v>1542</v>
      </c>
      <c r="BI82" s="44" t="s">
        <v>1542</v>
      </c>
      <c r="BJ82" s="44" t="s">
        <v>1542</v>
      </c>
      <c r="BK82" s="44" t="s">
        <v>1542</v>
      </c>
      <c r="BL82" s="44" t="s">
        <v>1542</v>
      </c>
      <c r="BM82" s="44" t="s">
        <v>1542</v>
      </c>
      <c r="BN82" s="44" t="s">
        <v>1542</v>
      </c>
      <c r="BO82" s="46">
        <f t="shared" si="7"/>
        <v>0</v>
      </c>
      <c r="BP82" s="43" t="s">
        <v>1542</v>
      </c>
      <c r="BQ82" s="43" t="s">
        <v>1542</v>
      </c>
      <c r="BR82" s="43" t="s">
        <v>1542</v>
      </c>
      <c r="BS82" s="43" t="s">
        <v>1542</v>
      </c>
      <c r="BT82" s="43" t="s">
        <v>1542</v>
      </c>
      <c r="BU82" s="43" t="s">
        <v>1542</v>
      </c>
      <c r="BV82" s="43" t="s">
        <v>1542</v>
      </c>
      <c r="BW82" s="43" t="s">
        <v>1542</v>
      </c>
      <c r="BX82" s="43" t="s">
        <v>1542</v>
      </c>
      <c r="BY82" s="43" t="s">
        <v>1542</v>
      </c>
      <c r="BZ82" s="43" t="s">
        <v>1542</v>
      </c>
      <c r="CA82" s="43" t="s">
        <v>1554</v>
      </c>
    </row>
    <row r="83" spans="1:79">
      <c r="A83">
        <v>82</v>
      </c>
      <c r="C83" t="s">
        <v>1696</v>
      </c>
      <c r="D83" t="s">
        <v>1697</v>
      </c>
      <c r="E83" t="s">
        <v>1885</v>
      </c>
      <c r="F83" t="s">
        <v>1886</v>
      </c>
      <c r="G83" t="s">
        <v>1904</v>
      </c>
      <c r="H83" t="s">
        <v>1909</v>
      </c>
      <c r="I83" t="s">
        <v>1909</v>
      </c>
      <c r="J83" t="s">
        <v>1905</v>
      </c>
      <c r="K83" t="s">
        <v>1906</v>
      </c>
      <c r="L83" t="s">
        <v>1539</v>
      </c>
      <c r="M83" s="1" t="s">
        <v>1910</v>
      </c>
      <c r="N83" t="s">
        <v>1911</v>
      </c>
      <c r="O83" s="46">
        <f t="shared" si="8"/>
        <v>0</v>
      </c>
      <c r="P83" s="43"/>
      <c r="Q83" s="43"/>
      <c r="R83" s="43"/>
      <c r="S83" s="43"/>
      <c r="T83" s="43"/>
      <c r="U83" s="43"/>
      <c r="V83" s="43"/>
      <c r="W83" s="43"/>
      <c r="X83" s="43"/>
      <c r="Y83" s="43"/>
      <c r="Z83" s="43"/>
      <c r="AA83" s="43"/>
      <c r="AB83" s="46">
        <f t="shared" si="9"/>
        <v>4</v>
      </c>
      <c r="AC83" s="44" t="s">
        <v>1542</v>
      </c>
      <c r="AD83" s="44" t="s">
        <v>1542</v>
      </c>
      <c r="AE83" s="44" t="s">
        <v>1542</v>
      </c>
      <c r="AF83" s="44" t="s">
        <v>1554</v>
      </c>
      <c r="AG83" s="44" t="s">
        <v>1554</v>
      </c>
      <c r="AH83" s="44" t="s">
        <v>1554</v>
      </c>
      <c r="AI83" s="44" t="s">
        <v>1542</v>
      </c>
      <c r="AJ83" s="44" t="s">
        <v>1542</v>
      </c>
      <c r="AK83" s="44" t="s">
        <v>1554</v>
      </c>
      <c r="AL83" s="44"/>
      <c r="AM83" s="44"/>
      <c r="AN83" s="44"/>
      <c r="AO83" s="46">
        <f t="shared" si="5"/>
        <v>4</v>
      </c>
      <c r="AP83" s="43" t="s">
        <v>1542</v>
      </c>
      <c r="AQ83" s="43" t="s">
        <v>1542</v>
      </c>
      <c r="AR83" s="43" t="s">
        <v>1542</v>
      </c>
      <c r="AS83" s="43" t="s">
        <v>1542</v>
      </c>
      <c r="AT83" s="43" t="s">
        <v>1542</v>
      </c>
      <c r="AU83" s="43" t="s">
        <v>1542</v>
      </c>
      <c r="AV83" s="43" t="s">
        <v>1542</v>
      </c>
      <c r="AW83" s="43" t="s">
        <v>1542</v>
      </c>
      <c r="AX83" s="43" t="s">
        <v>1542</v>
      </c>
      <c r="AY83" s="43" t="s">
        <v>1542</v>
      </c>
      <c r="AZ83" s="43" t="s">
        <v>1542</v>
      </c>
      <c r="BA83" s="43" t="s">
        <v>1542</v>
      </c>
      <c r="BB83" s="46">
        <f t="shared" si="6"/>
        <v>0</v>
      </c>
      <c r="BC83" s="44" t="s">
        <v>1554</v>
      </c>
      <c r="BD83" s="44" t="s">
        <v>1554</v>
      </c>
      <c r="BE83" s="44" t="s">
        <v>1554</v>
      </c>
      <c r="BF83" s="44" t="s">
        <v>1554</v>
      </c>
      <c r="BG83" s="44" t="s">
        <v>1554</v>
      </c>
      <c r="BH83" s="44" t="s">
        <v>1554</v>
      </c>
      <c r="BI83" s="44" t="s">
        <v>1542</v>
      </c>
      <c r="BJ83" s="44" t="s">
        <v>1542</v>
      </c>
      <c r="BK83" s="44" t="s">
        <v>1542</v>
      </c>
      <c r="BL83" s="44" t="s">
        <v>1542</v>
      </c>
      <c r="BM83" s="44" t="s">
        <v>1542</v>
      </c>
      <c r="BN83" s="44" t="s">
        <v>1542</v>
      </c>
      <c r="BO83" s="46">
        <f t="shared" si="7"/>
        <v>6</v>
      </c>
      <c r="BP83" s="43" t="s">
        <v>1542</v>
      </c>
      <c r="BQ83" s="43" t="s">
        <v>1542</v>
      </c>
      <c r="BR83" s="43" t="s">
        <v>1554</v>
      </c>
      <c r="BS83" s="43" t="s">
        <v>1554</v>
      </c>
      <c r="BT83" s="43" t="s">
        <v>1554</v>
      </c>
      <c r="BU83" s="43" t="s">
        <v>1554</v>
      </c>
      <c r="BV83" s="43" t="s">
        <v>1554</v>
      </c>
      <c r="BW83" s="43" t="s">
        <v>1554</v>
      </c>
      <c r="BX83" s="43" t="s">
        <v>1554</v>
      </c>
      <c r="BY83" s="43" t="s">
        <v>1554</v>
      </c>
      <c r="BZ83" s="43" t="s">
        <v>1554</v>
      </c>
      <c r="CA83" s="43" t="s">
        <v>1554</v>
      </c>
    </row>
    <row r="84" spans="1:79">
      <c r="A84">
        <v>83</v>
      </c>
      <c r="C84" t="s">
        <v>1696</v>
      </c>
      <c r="D84" t="s">
        <v>1697</v>
      </c>
      <c r="E84" t="s">
        <v>1885</v>
      </c>
      <c r="F84" t="s">
        <v>1886</v>
      </c>
      <c r="G84" t="s">
        <v>1904</v>
      </c>
      <c r="H84" t="s">
        <v>1912</v>
      </c>
      <c r="I84" t="s">
        <v>1912</v>
      </c>
      <c r="J84" t="s">
        <v>1913</v>
      </c>
      <c r="K84" t="s">
        <v>1906</v>
      </c>
      <c r="L84" t="s">
        <v>1539</v>
      </c>
      <c r="M84" s="1" t="s">
        <v>1914</v>
      </c>
      <c r="N84" t="s">
        <v>1915</v>
      </c>
      <c r="O84" s="46">
        <f t="shared" si="8"/>
        <v>0</v>
      </c>
      <c r="P84" s="43"/>
      <c r="Q84" s="43"/>
      <c r="R84" s="43"/>
      <c r="S84" s="43"/>
      <c r="T84" s="43"/>
      <c r="U84" s="43"/>
      <c r="V84" s="43"/>
      <c r="W84" s="43"/>
      <c r="X84" s="43"/>
      <c r="Y84" s="43"/>
      <c r="Z84" s="43"/>
      <c r="AA84" s="43"/>
      <c r="AB84" s="46">
        <f t="shared" si="9"/>
        <v>0</v>
      </c>
      <c r="AC84" s="44"/>
      <c r="AD84" s="44"/>
      <c r="AE84" s="44"/>
      <c r="AF84" s="44"/>
      <c r="AG84" s="44"/>
      <c r="AH84" s="44"/>
      <c r="AI84" s="44"/>
      <c r="AJ84" s="44"/>
      <c r="AK84" s="44"/>
      <c r="AL84" s="44"/>
      <c r="AM84" s="44"/>
      <c r="AN84" s="44"/>
      <c r="AO84" s="46">
        <f t="shared" si="5"/>
        <v>0</v>
      </c>
      <c r="AP84" s="43"/>
      <c r="AQ84" s="43"/>
      <c r="AR84" s="43"/>
      <c r="AS84" s="43"/>
      <c r="AT84" s="43"/>
      <c r="AU84" s="43"/>
      <c r="AV84" s="43"/>
      <c r="AW84" s="43"/>
      <c r="AX84" s="43"/>
      <c r="AY84" s="43"/>
      <c r="AZ84" s="43"/>
      <c r="BA84" s="43"/>
      <c r="BB84" s="46">
        <f t="shared" si="6"/>
        <v>0</v>
      </c>
      <c r="BC84" s="44"/>
      <c r="BD84" s="44"/>
      <c r="BE84" s="44"/>
      <c r="BF84" s="44"/>
      <c r="BG84" s="44"/>
      <c r="BH84" s="44"/>
      <c r="BI84" s="44"/>
      <c r="BJ84" s="44"/>
      <c r="BK84" s="44"/>
      <c r="BL84" s="44"/>
      <c r="BM84" s="44"/>
      <c r="BN84" s="44"/>
      <c r="BO84" s="46">
        <f t="shared" si="7"/>
        <v>0</v>
      </c>
      <c r="BP84" s="43" t="s">
        <v>1542</v>
      </c>
      <c r="BQ84" s="43" t="s">
        <v>1542</v>
      </c>
      <c r="BR84" s="43" t="s">
        <v>1542</v>
      </c>
      <c r="BS84" s="43" t="s">
        <v>1542</v>
      </c>
      <c r="BT84" s="43" t="s">
        <v>1542</v>
      </c>
      <c r="BU84" s="43" t="s">
        <v>1542</v>
      </c>
      <c r="BV84" s="43" t="s">
        <v>1542</v>
      </c>
      <c r="BW84" s="43" t="s">
        <v>1542</v>
      </c>
      <c r="BX84" s="43" t="s">
        <v>1542</v>
      </c>
      <c r="BY84" s="43" t="s">
        <v>1542</v>
      </c>
      <c r="BZ84" s="43" t="s">
        <v>1542</v>
      </c>
      <c r="CA84" s="43" t="s">
        <v>1554</v>
      </c>
    </row>
    <row r="85" spans="1:79">
      <c r="A85">
        <v>84</v>
      </c>
      <c r="B85">
        <v>1</v>
      </c>
      <c r="C85" t="s">
        <v>1696</v>
      </c>
      <c r="D85" t="s">
        <v>1697</v>
      </c>
      <c r="E85" t="s">
        <v>1885</v>
      </c>
      <c r="F85" t="s">
        <v>1886</v>
      </c>
      <c r="G85" t="s">
        <v>1916</v>
      </c>
      <c r="H85" t="s">
        <v>1916</v>
      </c>
      <c r="J85" t="s">
        <v>1917</v>
      </c>
      <c r="K85" t="s">
        <v>1918</v>
      </c>
      <c r="M85" s="1" t="s">
        <v>1919</v>
      </c>
      <c r="N85" t="s">
        <v>1920</v>
      </c>
      <c r="O85" s="46">
        <f t="shared" si="8"/>
        <v>0</v>
      </c>
      <c r="P85" s="43" t="s">
        <v>1542</v>
      </c>
      <c r="Q85" s="43" t="s">
        <v>1542</v>
      </c>
      <c r="R85" s="43" t="s">
        <v>1542</v>
      </c>
      <c r="S85" s="43" t="s">
        <v>1542</v>
      </c>
      <c r="T85" s="43" t="s">
        <v>1542</v>
      </c>
      <c r="U85" s="43" t="s">
        <v>1542</v>
      </c>
      <c r="V85" s="43" t="s">
        <v>1542</v>
      </c>
      <c r="W85" s="43" t="s">
        <v>1542</v>
      </c>
      <c r="X85" s="43" t="s">
        <v>1542</v>
      </c>
      <c r="Y85" s="43" t="s">
        <v>1542</v>
      </c>
      <c r="Z85" s="43" t="s">
        <v>1542</v>
      </c>
      <c r="AA85" s="43" t="s">
        <v>1542</v>
      </c>
      <c r="AB85" s="46">
        <f t="shared" si="9"/>
        <v>2</v>
      </c>
      <c r="AC85" s="44" t="s">
        <v>1554</v>
      </c>
      <c r="AD85" s="44" t="s">
        <v>1554</v>
      </c>
      <c r="AE85" s="44" t="s">
        <v>1542</v>
      </c>
      <c r="AF85" s="44" t="s">
        <v>1542</v>
      </c>
      <c r="AG85" s="44" t="s">
        <v>1542</v>
      </c>
      <c r="AH85" s="44" t="s">
        <v>1542</v>
      </c>
      <c r="AI85" s="44" t="s">
        <v>1542</v>
      </c>
      <c r="AJ85" s="44" t="s">
        <v>1542</v>
      </c>
      <c r="AK85" s="44" t="s">
        <v>1542</v>
      </c>
      <c r="AL85" s="44" t="s">
        <v>1542</v>
      </c>
      <c r="AM85" s="44" t="s">
        <v>1542</v>
      </c>
      <c r="AN85" s="44" t="s">
        <v>1542</v>
      </c>
      <c r="AO85" s="46">
        <f t="shared" si="5"/>
        <v>2</v>
      </c>
      <c r="AP85" s="43" t="s">
        <v>1542</v>
      </c>
      <c r="AQ85" s="43" t="s">
        <v>1542</v>
      </c>
      <c r="AR85" s="43" t="s">
        <v>1542</v>
      </c>
      <c r="AS85" s="43" t="s">
        <v>1542</v>
      </c>
      <c r="AT85" s="43" t="s">
        <v>1542</v>
      </c>
      <c r="AU85" s="43" t="s">
        <v>1542</v>
      </c>
      <c r="AV85" s="43" t="s">
        <v>1542</v>
      </c>
      <c r="AW85" s="43" t="s">
        <v>1554</v>
      </c>
      <c r="AX85" s="43" t="s">
        <v>1554</v>
      </c>
      <c r="AY85" s="43" t="s">
        <v>1554</v>
      </c>
      <c r="AZ85" s="43" t="s">
        <v>1554</v>
      </c>
      <c r="BA85" s="43" t="s">
        <v>1554</v>
      </c>
      <c r="BB85" s="46">
        <f t="shared" si="6"/>
        <v>4</v>
      </c>
      <c r="BC85" s="44" t="s">
        <v>1542</v>
      </c>
      <c r="BD85" s="44" t="s">
        <v>1542</v>
      </c>
      <c r="BE85" s="44" t="s">
        <v>1542</v>
      </c>
      <c r="BF85" s="44" t="s">
        <v>1542</v>
      </c>
      <c r="BG85" s="44" t="s">
        <v>1542</v>
      </c>
      <c r="BH85" s="44" t="s">
        <v>1542</v>
      </c>
      <c r="BI85" s="44" t="s">
        <v>1542</v>
      </c>
      <c r="BJ85" s="44" t="s">
        <v>1542</v>
      </c>
      <c r="BK85" s="44" t="s">
        <v>1542</v>
      </c>
      <c r="BL85" s="44" t="s">
        <v>1542</v>
      </c>
      <c r="BM85" s="44" t="s">
        <v>1542</v>
      </c>
      <c r="BN85" s="44" t="s">
        <v>1542</v>
      </c>
      <c r="BO85" s="46">
        <f t="shared" si="7"/>
        <v>0</v>
      </c>
      <c r="BP85" s="43" t="s">
        <v>1542</v>
      </c>
      <c r="BQ85" s="43" t="s">
        <v>1542</v>
      </c>
      <c r="BR85" s="43" t="s">
        <v>1542</v>
      </c>
      <c r="BS85" s="43" t="s">
        <v>1542</v>
      </c>
      <c r="BT85" s="43" t="s">
        <v>1542</v>
      </c>
      <c r="BU85" s="43" t="s">
        <v>1542</v>
      </c>
      <c r="BV85" s="43" t="s">
        <v>1542</v>
      </c>
      <c r="BW85" s="43" t="s">
        <v>1542</v>
      </c>
      <c r="BX85" s="43" t="s">
        <v>1542</v>
      </c>
      <c r="BY85" s="43" t="s">
        <v>1542</v>
      </c>
      <c r="BZ85" s="43" t="s">
        <v>1542</v>
      </c>
      <c r="CA85" s="43" t="s">
        <v>1542</v>
      </c>
    </row>
    <row r="86" spans="1:79">
      <c r="A86">
        <v>85</v>
      </c>
      <c r="B86">
        <v>1</v>
      </c>
      <c r="C86" t="s">
        <v>1696</v>
      </c>
      <c r="D86" t="s">
        <v>1697</v>
      </c>
      <c r="E86" t="s">
        <v>1885</v>
      </c>
      <c r="F86" t="s">
        <v>1886</v>
      </c>
      <c r="G86" t="s">
        <v>1921</v>
      </c>
      <c r="H86" t="s">
        <v>1921</v>
      </c>
      <c r="J86" t="s">
        <v>1922</v>
      </c>
      <c r="K86" t="s">
        <v>1923</v>
      </c>
      <c r="M86" s="1" t="s">
        <v>1924</v>
      </c>
      <c r="N86" t="s">
        <v>1925</v>
      </c>
      <c r="O86" s="46">
        <f t="shared" si="8"/>
        <v>6</v>
      </c>
      <c r="P86" s="43" t="s">
        <v>1542</v>
      </c>
      <c r="Q86" s="43" t="s">
        <v>1542</v>
      </c>
      <c r="R86" s="43" t="s">
        <v>1542</v>
      </c>
      <c r="S86" s="43" t="s">
        <v>1542</v>
      </c>
      <c r="T86" s="43" t="s">
        <v>1542</v>
      </c>
      <c r="U86" s="43" t="s">
        <v>1542</v>
      </c>
      <c r="V86" s="43" t="s">
        <v>1554</v>
      </c>
      <c r="W86" s="43" t="s">
        <v>1554</v>
      </c>
      <c r="X86" s="43" t="s">
        <v>1554</v>
      </c>
      <c r="Y86" s="43" t="s">
        <v>1554</v>
      </c>
      <c r="Z86" s="43" t="s">
        <v>1554</v>
      </c>
      <c r="AA86" s="43" t="s">
        <v>1554</v>
      </c>
      <c r="AB86" s="46">
        <f t="shared" si="9"/>
        <v>0</v>
      </c>
      <c r="AC86" s="44" t="s">
        <v>1542</v>
      </c>
      <c r="AD86" s="44" t="s">
        <v>1542</v>
      </c>
      <c r="AE86" s="44" t="s">
        <v>1542</v>
      </c>
      <c r="AF86" s="44" t="s">
        <v>1542</v>
      </c>
      <c r="AG86" s="44" t="s">
        <v>1542</v>
      </c>
      <c r="AH86" s="44" t="s">
        <v>1542</v>
      </c>
      <c r="AI86" s="44" t="s">
        <v>1542</v>
      </c>
      <c r="AJ86" s="44" t="s">
        <v>1542</v>
      </c>
      <c r="AK86" s="44" t="s">
        <v>1542</v>
      </c>
      <c r="AL86" s="44" t="s">
        <v>1542</v>
      </c>
      <c r="AM86" s="44" t="s">
        <v>1542</v>
      </c>
      <c r="AN86" s="44" t="s">
        <v>1542</v>
      </c>
      <c r="AO86" s="46">
        <f t="shared" si="5"/>
        <v>0</v>
      </c>
      <c r="AP86" s="43" t="s">
        <v>1542</v>
      </c>
      <c r="AQ86" s="43" t="s">
        <v>1542</v>
      </c>
      <c r="AR86" s="43" t="s">
        <v>1542</v>
      </c>
      <c r="AS86" s="43" t="s">
        <v>1542</v>
      </c>
      <c r="AT86" s="43" t="s">
        <v>1542</v>
      </c>
      <c r="AU86" s="43" t="s">
        <v>1542</v>
      </c>
      <c r="AV86" s="43" t="s">
        <v>1542</v>
      </c>
      <c r="AW86" s="43" t="s">
        <v>1542</v>
      </c>
      <c r="AX86" s="43" t="s">
        <v>1542</v>
      </c>
      <c r="AY86" s="43" t="s">
        <v>1542</v>
      </c>
      <c r="AZ86" s="43" t="s">
        <v>1542</v>
      </c>
      <c r="BA86" s="43" t="s">
        <v>1542</v>
      </c>
      <c r="BB86" s="46">
        <f t="shared" si="6"/>
        <v>0</v>
      </c>
      <c r="BC86" s="44" t="s">
        <v>1542</v>
      </c>
      <c r="BD86" s="44" t="s">
        <v>1542</v>
      </c>
      <c r="BE86" s="44" t="s">
        <v>1542</v>
      </c>
      <c r="BF86" s="44" t="s">
        <v>1542</v>
      </c>
      <c r="BG86" s="44" t="s">
        <v>1542</v>
      </c>
      <c r="BH86" s="44" t="s">
        <v>1542</v>
      </c>
      <c r="BI86" s="44" t="s">
        <v>1542</v>
      </c>
      <c r="BJ86" s="44" t="s">
        <v>1542</v>
      </c>
      <c r="BK86" s="44" t="s">
        <v>1542</v>
      </c>
      <c r="BL86" s="44" t="s">
        <v>1542</v>
      </c>
      <c r="BM86" s="44" t="s">
        <v>1542</v>
      </c>
      <c r="BN86" s="44" t="s">
        <v>1542</v>
      </c>
      <c r="BO86" s="46">
        <f t="shared" si="7"/>
        <v>0</v>
      </c>
      <c r="BP86" s="43" t="s">
        <v>1542</v>
      </c>
      <c r="BQ86" s="43" t="s">
        <v>1542</v>
      </c>
      <c r="BR86" s="43" t="s">
        <v>1542</v>
      </c>
      <c r="BS86" s="43" t="s">
        <v>1542</v>
      </c>
      <c r="BT86" s="43" t="s">
        <v>1542</v>
      </c>
      <c r="BU86" s="43" t="s">
        <v>1542</v>
      </c>
      <c r="BV86" s="43" t="s">
        <v>1542</v>
      </c>
      <c r="BW86" s="43" t="s">
        <v>1542</v>
      </c>
      <c r="BX86" s="43" t="s">
        <v>1542</v>
      </c>
      <c r="BY86" s="43" t="s">
        <v>1542</v>
      </c>
      <c r="BZ86" s="43" t="s">
        <v>1542</v>
      </c>
      <c r="CA86" s="43" t="s">
        <v>1542</v>
      </c>
    </row>
    <row r="87" spans="1:79">
      <c r="A87">
        <v>86</v>
      </c>
      <c r="B87">
        <v>1</v>
      </c>
      <c r="C87" t="s">
        <v>1696</v>
      </c>
      <c r="D87" t="s">
        <v>1697</v>
      </c>
      <c r="E87" t="s">
        <v>1885</v>
      </c>
      <c r="F87" t="s">
        <v>1886</v>
      </c>
      <c r="G87" t="s">
        <v>1926</v>
      </c>
      <c r="H87" t="s">
        <v>1926</v>
      </c>
      <c r="J87" t="s">
        <v>1927</v>
      </c>
      <c r="K87" t="s">
        <v>1928</v>
      </c>
      <c r="M87" s="1" t="s">
        <v>1929</v>
      </c>
      <c r="N87" t="s">
        <v>1930</v>
      </c>
      <c r="O87" s="46">
        <f t="shared" si="8"/>
        <v>0</v>
      </c>
      <c r="P87" s="43" t="s">
        <v>1542</v>
      </c>
      <c r="Q87" s="43" t="s">
        <v>1542</v>
      </c>
      <c r="R87" s="43" t="s">
        <v>1542</v>
      </c>
      <c r="S87" s="43" t="s">
        <v>1542</v>
      </c>
      <c r="T87" s="43" t="s">
        <v>1542</v>
      </c>
      <c r="U87" s="43" t="s">
        <v>1542</v>
      </c>
      <c r="V87" s="43" t="s">
        <v>1542</v>
      </c>
      <c r="W87" s="43" t="s">
        <v>1542</v>
      </c>
      <c r="X87" s="43" t="s">
        <v>1542</v>
      </c>
      <c r="Y87" s="43" t="s">
        <v>1542</v>
      </c>
      <c r="Z87" s="43" t="s">
        <v>1542</v>
      </c>
      <c r="AA87" s="43" t="s">
        <v>1542</v>
      </c>
      <c r="AB87" s="46">
        <f t="shared" si="9"/>
        <v>0</v>
      </c>
      <c r="AC87" s="44" t="s">
        <v>1542</v>
      </c>
      <c r="AD87" s="44" t="s">
        <v>1542</v>
      </c>
      <c r="AE87" s="44" t="s">
        <v>1542</v>
      </c>
      <c r="AF87" s="44" t="s">
        <v>1542</v>
      </c>
      <c r="AG87" s="44" t="s">
        <v>1542</v>
      </c>
      <c r="AH87" s="44" t="s">
        <v>1542</v>
      </c>
      <c r="AI87" s="44" t="s">
        <v>1542</v>
      </c>
      <c r="AJ87" s="44" t="s">
        <v>1542</v>
      </c>
      <c r="AK87" s="44" t="s">
        <v>1542</v>
      </c>
      <c r="AL87" s="44" t="s">
        <v>1542</v>
      </c>
      <c r="AM87" s="44" t="s">
        <v>1542</v>
      </c>
      <c r="AN87" s="44" t="s">
        <v>1542</v>
      </c>
      <c r="AO87" s="46">
        <f t="shared" si="5"/>
        <v>0</v>
      </c>
      <c r="AP87" s="43" t="s">
        <v>1542</v>
      </c>
      <c r="AQ87" s="43" t="s">
        <v>1542</v>
      </c>
      <c r="AR87" s="43" t="s">
        <v>1542</v>
      </c>
      <c r="AS87" s="43" t="s">
        <v>1542</v>
      </c>
      <c r="AT87" s="43" t="s">
        <v>1542</v>
      </c>
      <c r="AU87" s="43" t="s">
        <v>1542</v>
      </c>
      <c r="AV87" s="43" t="s">
        <v>1542</v>
      </c>
      <c r="AW87" s="43" t="s">
        <v>1542</v>
      </c>
      <c r="AX87" s="43" t="s">
        <v>1542</v>
      </c>
      <c r="AY87" s="43" t="s">
        <v>1542</v>
      </c>
      <c r="AZ87" s="43" t="s">
        <v>1542</v>
      </c>
      <c r="BA87" s="43" t="s">
        <v>1542</v>
      </c>
      <c r="BB87" s="46">
        <f t="shared" si="6"/>
        <v>0</v>
      </c>
      <c r="BC87" s="44" t="s">
        <v>1542</v>
      </c>
      <c r="BD87" s="44" t="s">
        <v>1542</v>
      </c>
      <c r="BE87" s="44" t="s">
        <v>1554</v>
      </c>
      <c r="BF87" s="44" t="s">
        <v>1554</v>
      </c>
      <c r="BG87" s="44" t="s">
        <v>1554</v>
      </c>
      <c r="BH87" s="44" t="s">
        <v>1542</v>
      </c>
      <c r="BI87" s="44" t="s">
        <v>1542</v>
      </c>
      <c r="BJ87" s="44" t="s">
        <v>1542</v>
      </c>
      <c r="BK87" s="44" t="s">
        <v>1542</v>
      </c>
      <c r="BL87" s="44" t="s">
        <v>1542</v>
      </c>
      <c r="BM87" s="44" t="s">
        <v>1542</v>
      </c>
      <c r="BN87" s="44" t="s">
        <v>1542</v>
      </c>
      <c r="BO87" s="46">
        <f t="shared" si="7"/>
        <v>3</v>
      </c>
      <c r="BP87" s="43" t="s">
        <v>1542</v>
      </c>
      <c r="BQ87" s="43" t="s">
        <v>1542</v>
      </c>
      <c r="BR87" s="43" t="s">
        <v>1542</v>
      </c>
      <c r="BS87" s="43" t="s">
        <v>1542</v>
      </c>
      <c r="BT87" s="43" t="s">
        <v>1542</v>
      </c>
      <c r="BU87" s="43" t="s">
        <v>1542</v>
      </c>
      <c r="BV87" s="43" t="s">
        <v>1542</v>
      </c>
      <c r="BW87" s="43" t="s">
        <v>1542</v>
      </c>
      <c r="BX87" s="43" t="s">
        <v>1542</v>
      </c>
      <c r="BY87" s="43" t="s">
        <v>1542</v>
      </c>
      <c r="BZ87" s="43" t="s">
        <v>1542</v>
      </c>
      <c r="CA87" s="43" t="s">
        <v>1542</v>
      </c>
    </row>
    <row r="88" spans="1:79">
      <c r="A88">
        <v>87</v>
      </c>
      <c r="B88">
        <v>1</v>
      </c>
      <c r="C88" t="s">
        <v>1696</v>
      </c>
      <c r="D88" t="s">
        <v>1697</v>
      </c>
      <c r="E88" t="s">
        <v>1885</v>
      </c>
      <c r="F88" t="s">
        <v>1886</v>
      </c>
      <c r="G88" t="s">
        <v>1931</v>
      </c>
      <c r="H88" t="s">
        <v>1931</v>
      </c>
      <c r="J88" t="s">
        <v>1932</v>
      </c>
      <c r="K88" t="s">
        <v>1933</v>
      </c>
      <c r="M88" s="1" t="s">
        <v>1934</v>
      </c>
      <c r="O88" s="46">
        <f t="shared" si="8"/>
        <v>0</v>
      </c>
      <c r="P88" s="43" t="s">
        <v>1542</v>
      </c>
      <c r="Q88" s="43" t="s">
        <v>1542</v>
      </c>
      <c r="R88" s="43" t="s">
        <v>1542</v>
      </c>
      <c r="S88" s="43" t="s">
        <v>1542</v>
      </c>
      <c r="T88" s="43" t="s">
        <v>1542</v>
      </c>
      <c r="U88" s="43" t="s">
        <v>1542</v>
      </c>
      <c r="V88" s="43" t="s">
        <v>1542</v>
      </c>
      <c r="W88" s="43" t="s">
        <v>1542</v>
      </c>
      <c r="X88" s="43" t="s">
        <v>1542</v>
      </c>
      <c r="Y88" s="43" t="s">
        <v>1542</v>
      </c>
      <c r="Z88" s="43" t="s">
        <v>1542</v>
      </c>
      <c r="AA88" s="43" t="s">
        <v>1542</v>
      </c>
      <c r="AB88" s="46">
        <f t="shared" si="9"/>
        <v>0</v>
      </c>
      <c r="AC88" s="44" t="s">
        <v>1542</v>
      </c>
      <c r="AD88" s="44" t="s">
        <v>1542</v>
      </c>
      <c r="AE88" s="44" t="s">
        <v>1542</v>
      </c>
      <c r="AF88" s="44" t="s">
        <v>1542</v>
      </c>
      <c r="AG88" s="44" t="s">
        <v>1542</v>
      </c>
      <c r="AH88" s="44" t="s">
        <v>1542</v>
      </c>
      <c r="AI88" s="44" t="s">
        <v>1542</v>
      </c>
      <c r="AJ88" s="44" t="s">
        <v>1542</v>
      </c>
      <c r="AK88" s="44" t="s">
        <v>1542</v>
      </c>
      <c r="AL88" s="44" t="s">
        <v>1542</v>
      </c>
      <c r="AM88" s="44" t="s">
        <v>1542</v>
      </c>
      <c r="AN88" s="44" t="s">
        <v>1542</v>
      </c>
      <c r="AO88" s="46">
        <f t="shared" si="5"/>
        <v>0</v>
      </c>
      <c r="AP88" s="43" t="s">
        <v>1542</v>
      </c>
      <c r="AQ88" s="43" t="s">
        <v>1542</v>
      </c>
      <c r="AR88" s="43" t="s">
        <v>1542</v>
      </c>
      <c r="AS88" s="43" t="s">
        <v>1542</v>
      </c>
      <c r="AT88" s="43" t="s">
        <v>1542</v>
      </c>
      <c r="AU88" s="43" t="s">
        <v>1542</v>
      </c>
      <c r="AV88" s="43" t="s">
        <v>1542</v>
      </c>
      <c r="AW88" s="43" t="s">
        <v>1542</v>
      </c>
      <c r="AX88" s="43" t="s">
        <v>1542</v>
      </c>
      <c r="AY88" s="43" t="s">
        <v>1542</v>
      </c>
      <c r="AZ88" s="43" t="s">
        <v>1542</v>
      </c>
      <c r="BA88" s="43" t="s">
        <v>1542</v>
      </c>
      <c r="BB88" s="46">
        <f t="shared" si="6"/>
        <v>0</v>
      </c>
      <c r="BC88" s="44" t="s">
        <v>1542</v>
      </c>
      <c r="BD88" s="44" t="s">
        <v>1542</v>
      </c>
      <c r="BE88" s="44" t="s">
        <v>1542</v>
      </c>
      <c r="BF88" s="44" t="s">
        <v>1542</v>
      </c>
      <c r="BG88" s="44" t="s">
        <v>1542</v>
      </c>
      <c r="BH88" s="44" t="s">
        <v>1542</v>
      </c>
      <c r="BI88" s="44" t="s">
        <v>1542</v>
      </c>
      <c r="BJ88" s="44" t="s">
        <v>1542</v>
      </c>
      <c r="BK88" s="44" t="s">
        <v>1542</v>
      </c>
      <c r="BL88" s="44" t="s">
        <v>1542</v>
      </c>
      <c r="BM88" s="44" t="s">
        <v>1542</v>
      </c>
      <c r="BN88" s="44" t="s">
        <v>1542</v>
      </c>
      <c r="BO88" s="46">
        <f t="shared" si="7"/>
        <v>0</v>
      </c>
      <c r="BP88" s="43" t="s">
        <v>1542</v>
      </c>
      <c r="BQ88" s="43" t="s">
        <v>1542</v>
      </c>
      <c r="BR88" s="43" t="s">
        <v>1542</v>
      </c>
      <c r="BS88" s="43" t="s">
        <v>1542</v>
      </c>
      <c r="BT88" s="43" t="s">
        <v>1542</v>
      </c>
      <c r="BU88" s="43" t="s">
        <v>1542</v>
      </c>
      <c r="BV88" s="43" t="s">
        <v>1542</v>
      </c>
      <c r="BW88" s="43" t="s">
        <v>1542</v>
      </c>
      <c r="BX88" s="43" t="s">
        <v>1542</v>
      </c>
      <c r="BY88" s="43" t="s">
        <v>1542</v>
      </c>
      <c r="BZ88" s="43" t="s">
        <v>1542</v>
      </c>
      <c r="CA88" s="43" t="s">
        <v>1542</v>
      </c>
    </row>
    <row r="89" spans="1:79">
      <c r="A89">
        <v>88</v>
      </c>
      <c r="B89">
        <v>1</v>
      </c>
      <c r="C89" t="s">
        <v>1696</v>
      </c>
      <c r="D89" t="s">
        <v>1697</v>
      </c>
      <c r="E89" t="s">
        <v>1885</v>
      </c>
      <c r="F89" t="s">
        <v>1886</v>
      </c>
      <c r="G89" t="s">
        <v>1935</v>
      </c>
      <c r="H89" t="s">
        <v>1935</v>
      </c>
      <c r="J89" t="s">
        <v>1936</v>
      </c>
      <c r="K89" t="s">
        <v>1937</v>
      </c>
      <c r="L89" t="s">
        <v>1539</v>
      </c>
      <c r="M89" s="1" t="s">
        <v>1938</v>
      </c>
      <c r="N89" t="s">
        <v>1939</v>
      </c>
      <c r="O89" s="46">
        <f t="shared" si="8"/>
        <v>0</v>
      </c>
      <c r="P89" s="43" t="s">
        <v>1542</v>
      </c>
      <c r="Q89" s="43" t="s">
        <v>1542</v>
      </c>
      <c r="R89" s="43" t="s">
        <v>1542</v>
      </c>
      <c r="S89" s="43" t="s">
        <v>1542</v>
      </c>
      <c r="T89" s="43" t="s">
        <v>1542</v>
      </c>
      <c r="U89" s="43" t="s">
        <v>1542</v>
      </c>
      <c r="V89" s="43" t="s">
        <v>1542</v>
      </c>
      <c r="W89" s="43" t="s">
        <v>1542</v>
      </c>
      <c r="X89" s="43" t="s">
        <v>1542</v>
      </c>
      <c r="Y89" s="43" t="s">
        <v>1542</v>
      </c>
      <c r="Z89" s="43" t="s">
        <v>1542</v>
      </c>
      <c r="AA89" s="43" t="s">
        <v>1542</v>
      </c>
      <c r="AB89" s="46">
        <f t="shared" si="9"/>
        <v>0</v>
      </c>
      <c r="AC89" s="44" t="s">
        <v>1542</v>
      </c>
      <c r="AD89" s="44" t="s">
        <v>1542</v>
      </c>
      <c r="AE89" s="44" t="s">
        <v>1542</v>
      </c>
      <c r="AF89" s="44" t="s">
        <v>1542</v>
      </c>
      <c r="AG89" s="44" t="s">
        <v>1542</v>
      </c>
      <c r="AH89" s="44" t="s">
        <v>1542</v>
      </c>
      <c r="AI89" s="44" t="s">
        <v>1542</v>
      </c>
      <c r="AJ89" s="44" t="s">
        <v>1542</v>
      </c>
      <c r="AK89" s="44" t="s">
        <v>1542</v>
      </c>
      <c r="AL89" s="44" t="s">
        <v>1542</v>
      </c>
      <c r="AM89" s="44" t="s">
        <v>1542</v>
      </c>
      <c r="AN89" s="44" t="s">
        <v>1542</v>
      </c>
      <c r="AO89" s="46">
        <f t="shared" si="5"/>
        <v>0</v>
      </c>
      <c r="AP89" s="43" t="s">
        <v>1542</v>
      </c>
      <c r="AQ89" s="43" t="s">
        <v>1554</v>
      </c>
      <c r="AR89" s="43" t="s">
        <v>1542</v>
      </c>
      <c r="AS89" s="43" t="s">
        <v>1542</v>
      </c>
      <c r="AT89" s="43" t="s">
        <v>1542</v>
      </c>
      <c r="AU89" s="43" t="s">
        <v>1542</v>
      </c>
      <c r="AV89" s="43" t="s">
        <v>1542</v>
      </c>
      <c r="AW89" s="43" t="s">
        <v>1542</v>
      </c>
      <c r="AX89" s="43" t="s">
        <v>1542</v>
      </c>
      <c r="AY89" s="43" t="s">
        <v>1542</v>
      </c>
      <c r="AZ89" s="43" t="s">
        <v>1542</v>
      </c>
      <c r="BA89" s="43" t="s">
        <v>1542</v>
      </c>
      <c r="BB89" s="46">
        <f t="shared" si="6"/>
        <v>1</v>
      </c>
      <c r="BC89" s="44" t="s">
        <v>1542</v>
      </c>
      <c r="BD89" s="44" t="s">
        <v>1542</v>
      </c>
      <c r="BE89" s="44" t="s">
        <v>1542</v>
      </c>
      <c r="BF89" s="44" t="s">
        <v>1542</v>
      </c>
      <c r="BG89" s="44" t="s">
        <v>1542</v>
      </c>
      <c r="BH89" s="44" t="s">
        <v>1542</v>
      </c>
      <c r="BI89" s="44" t="s">
        <v>1542</v>
      </c>
      <c r="BJ89" s="44" t="s">
        <v>1542</v>
      </c>
      <c r="BK89" s="44" t="s">
        <v>1542</v>
      </c>
      <c r="BL89" s="44" t="s">
        <v>1542</v>
      </c>
      <c r="BM89" s="44" t="s">
        <v>1542</v>
      </c>
      <c r="BN89" s="44" t="s">
        <v>1542</v>
      </c>
      <c r="BO89" s="46">
        <f t="shared" si="7"/>
        <v>0</v>
      </c>
      <c r="BP89" s="43" t="s">
        <v>1542</v>
      </c>
      <c r="BQ89" s="43" t="s">
        <v>1542</v>
      </c>
      <c r="BR89" s="43" t="s">
        <v>1542</v>
      </c>
      <c r="BS89" s="43" t="s">
        <v>1542</v>
      </c>
      <c r="BT89" s="43" t="s">
        <v>1542</v>
      </c>
      <c r="BU89" s="43" t="s">
        <v>1542</v>
      </c>
      <c r="BV89" s="43" t="s">
        <v>1542</v>
      </c>
      <c r="BW89" s="43" t="s">
        <v>1542</v>
      </c>
      <c r="BX89" s="43" t="s">
        <v>1542</v>
      </c>
      <c r="BY89" s="43" t="s">
        <v>1542</v>
      </c>
      <c r="BZ89" s="43" t="s">
        <v>1542</v>
      </c>
      <c r="CA89" s="43" t="s">
        <v>1542</v>
      </c>
    </row>
    <row r="90" spans="1:79">
      <c r="A90">
        <v>89</v>
      </c>
      <c r="C90" t="s">
        <v>1696</v>
      </c>
      <c r="D90" t="s">
        <v>1697</v>
      </c>
      <c r="E90" t="s">
        <v>1885</v>
      </c>
      <c r="F90" t="s">
        <v>1886</v>
      </c>
      <c r="G90" t="s">
        <v>1935</v>
      </c>
      <c r="H90" t="s">
        <v>1940</v>
      </c>
      <c r="I90" t="s">
        <v>1940</v>
      </c>
      <c r="J90" t="s">
        <v>1941</v>
      </c>
      <c r="K90" t="s">
        <v>1937</v>
      </c>
      <c r="M90" s="1" t="s">
        <v>1942</v>
      </c>
      <c r="N90" t="s">
        <v>1943</v>
      </c>
      <c r="O90" s="46">
        <f t="shared" si="8"/>
        <v>0</v>
      </c>
      <c r="P90" s="43"/>
      <c r="Q90" s="43"/>
      <c r="R90" s="43"/>
      <c r="S90" s="43"/>
      <c r="T90" s="43"/>
      <c r="U90" s="43"/>
      <c r="V90" s="43"/>
      <c r="W90" s="43"/>
      <c r="X90" s="43"/>
      <c r="Y90" s="43"/>
      <c r="Z90" s="43"/>
      <c r="AA90" s="43"/>
      <c r="AB90" s="46">
        <f t="shared" si="9"/>
        <v>0</v>
      </c>
      <c r="AC90" s="44"/>
      <c r="AD90" s="44"/>
      <c r="AE90" s="44"/>
      <c r="AF90" s="44"/>
      <c r="AG90" s="44"/>
      <c r="AH90" s="44"/>
      <c r="AI90" s="44"/>
      <c r="AJ90" s="44"/>
      <c r="AK90" s="44"/>
      <c r="AL90" s="44"/>
      <c r="AM90" s="44"/>
      <c r="AN90" s="44"/>
      <c r="AO90" s="46">
        <f t="shared" si="5"/>
        <v>0</v>
      </c>
      <c r="AP90" s="43"/>
      <c r="AQ90" s="43"/>
      <c r="AR90" s="43"/>
      <c r="AS90" s="43"/>
      <c r="AT90" s="43"/>
      <c r="AU90" s="43"/>
      <c r="AV90" s="43"/>
      <c r="AW90" s="43"/>
      <c r="AX90" s="43"/>
      <c r="AY90" s="43"/>
      <c r="AZ90" s="43"/>
      <c r="BA90" s="43"/>
      <c r="BB90" s="46">
        <f t="shared" si="6"/>
        <v>0</v>
      </c>
      <c r="BC90" s="44"/>
      <c r="BD90" s="44"/>
      <c r="BE90" s="44"/>
      <c r="BF90" s="44"/>
      <c r="BG90" s="44"/>
      <c r="BH90" s="44"/>
      <c r="BI90" s="44"/>
      <c r="BJ90" s="44"/>
      <c r="BK90" s="44"/>
      <c r="BL90" s="44"/>
      <c r="BM90" s="44"/>
      <c r="BN90" s="44"/>
      <c r="BO90" s="46">
        <f t="shared" si="7"/>
        <v>0</v>
      </c>
      <c r="BP90" s="43"/>
      <c r="BQ90" s="43"/>
      <c r="BR90" s="43"/>
      <c r="BS90" s="43"/>
      <c r="BT90" s="43"/>
      <c r="BU90" s="43"/>
      <c r="BV90" s="43"/>
      <c r="BW90" s="43"/>
      <c r="BX90" s="43"/>
      <c r="BY90" s="43"/>
      <c r="BZ90" s="43"/>
      <c r="CA90" s="43"/>
    </row>
    <row r="91" spans="1:79">
      <c r="A91">
        <v>90</v>
      </c>
      <c r="B91">
        <v>1</v>
      </c>
      <c r="C91" t="s">
        <v>1696</v>
      </c>
      <c r="D91" t="s">
        <v>1697</v>
      </c>
      <c r="E91" t="s">
        <v>1885</v>
      </c>
      <c r="F91" t="s">
        <v>1886</v>
      </c>
      <c r="G91" t="s">
        <v>1944</v>
      </c>
      <c r="H91" t="s">
        <v>1944</v>
      </c>
      <c r="J91" t="s">
        <v>1945</v>
      </c>
      <c r="K91" t="s">
        <v>1946</v>
      </c>
      <c r="L91" t="s">
        <v>1539</v>
      </c>
      <c r="M91" s="1" t="s">
        <v>1947</v>
      </c>
      <c r="N91" t="s">
        <v>1948</v>
      </c>
      <c r="O91" s="46">
        <f t="shared" si="8"/>
        <v>0</v>
      </c>
      <c r="P91" s="43" t="s">
        <v>1542</v>
      </c>
      <c r="Q91" s="43" t="s">
        <v>1542</v>
      </c>
      <c r="R91" s="43" t="s">
        <v>1542</v>
      </c>
      <c r="S91" s="43" t="s">
        <v>1542</v>
      </c>
      <c r="T91" s="43" t="s">
        <v>1542</v>
      </c>
      <c r="U91" s="43" t="s">
        <v>1542</v>
      </c>
      <c r="V91" s="43" t="s">
        <v>1542</v>
      </c>
      <c r="W91" s="43" t="s">
        <v>1542</v>
      </c>
      <c r="X91" s="43" t="s">
        <v>1542</v>
      </c>
      <c r="Y91" s="43" t="s">
        <v>1542</v>
      </c>
      <c r="Z91" s="43" t="s">
        <v>1542</v>
      </c>
      <c r="AA91" s="43" t="s">
        <v>1542</v>
      </c>
      <c r="AB91" s="46">
        <f t="shared" si="9"/>
        <v>0</v>
      </c>
      <c r="AC91" s="44" t="s">
        <v>1542</v>
      </c>
      <c r="AD91" s="44" t="s">
        <v>1542</v>
      </c>
      <c r="AE91" s="44" t="s">
        <v>1542</v>
      </c>
      <c r="AF91" s="44" t="s">
        <v>1542</v>
      </c>
      <c r="AG91" s="44" t="s">
        <v>1542</v>
      </c>
      <c r="AH91" s="44" t="s">
        <v>1542</v>
      </c>
      <c r="AI91" s="44" t="s">
        <v>1542</v>
      </c>
      <c r="AJ91" s="44" t="s">
        <v>1542</v>
      </c>
      <c r="AK91" s="44" t="s">
        <v>1542</v>
      </c>
      <c r="AL91" s="44" t="s">
        <v>1542</v>
      </c>
      <c r="AM91" s="44" t="s">
        <v>1542</v>
      </c>
      <c r="AN91" s="44" t="s">
        <v>1542</v>
      </c>
      <c r="AO91" s="46">
        <f t="shared" si="5"/>
        <v>0</v>
      </c>
      <c r="AP91" s="43" t="s">
        <v>1542</v>
      </c>
      <c r="AQ91" s="43" t="s">
        <v>1542</v>
      </c>
      <c r="AR91" s="43" t="s">
        <v>1542</v>
      </c>
      <c r="AS91" s="43" t="s">
        <v>1542</v>
      </c>
      <c r="AT91" s="43" t="s">
        <v>1542</v>
      </c>
      <c r="AU91" s="43" t="s">
        <v>1542</v>
      </c>
      <c r="AV91" s="43" t="s">
        <v>1542</v>
      </c>
      <c r="AW91" s="43" t="s">
        <v>1542</v>
      </c>
      <c r="AX91" s="43" t="s">
        <v>1542</v>
      </c>
      <c r="AY91" s="43" t="s">
        <v>1542</v>
      </c>
      <c r="AZ91" s="43" t="s">
        <v>1542</v>
      </c>
      <c r="BA91" s="43" t="s">
        <v>1542</v>
      </c>
      <c r="BB91" s="46">
        <f t="shared" si="6"/>
        <v>0</v>
      </c>
      <c r="BC91" s="44" t="s">
        <v>1542</v>
      </c>
      <c r="BD91" s="44" t="s">
        <v>1542</v>
      </c>
      <c r="BE91" s="44" t="s">
        <v>1542</v>
      </c>
      <c r="BF91" s="44" t="s">
        <v>1542</v>
      </c>
      <c r="BG91" s="44" t="s">
        <v>1542</v>
      </c>
      <c r="BH91" s="44" t="s">
        <v>1542</v>
      </c>
      <c r="BI91" s="44" t="s">
        <v>1542</v>
      </c>
      <c r="BJ91" s="44" t="s">
        <v>1542</v>
      </c>
      <c r="BK91" s="44" t="s">
        <v>1542</v>
      </c>
      <c r="BL91" s="44" t="s">
        <v>1542</v>
      </c>
      <c r="BM91" s="44" t="s">
        <v>1542</v>
      </c>
      <c r="BN91" s="44" t="s">
        <v>1542</v>
      </c>
      <c r="BO91" s="46">
        <f t="shared" si="7"/>
        <v>0</v>
      </c>
      <c r="BP91" s="43" t="s">
        <v>1542</v>
      </c>
      <c r="BQ91" s="43" t="s">
        <v>1542</v>
      </c>
      <c r="BR91" s="43" t="s">
        <v>1542</v>
      </c>
      <c r="BS91" s="43" t="s">
        <v>1542</v>
      </c>
      <c r="BT91" s="43" t="s">
        <v>1542</v>
      </c>
      <c r="BU91" s="43" t="s">
        <v>1542</v>
      </c>
      <c r="BV91" s="43" t="s">
        <v>1542</v>
      </c>
      <c r="BW91" s="43" t="s">
        <v>1542</v>
      </c>
      <c r="BX91" s="43" t="s">
        <v>1542</v>
      </c>
      <c r="BY91" s="43" t="s">
        <v>1542</v>
      </c>
      <c r="BZ91" s="43" t="s">
        <v>1542</v>
      </c>
      <c r="CA91" s="43" t="s">
        <v>1542</v>
      </c>
    </row>
    <row r="92" spans="1:79">
      <c r="A92">
        <v>91</v>
      </c>
      <c r="B92">
        <v>1</v>
      </c>
      <c r="C92" t="s">
        <v>1696</v>
      </c>
      <c r="D92" t="s">
        <v>1697</v>
      </c>
      <c r="E92" t="s">
        <v>1885</v>
      </c>
      <c r="F92" t="s">
        <v>1886</v>
      </c>
      <c r="G92" t="s">
        <v>1949</v>
      </c>
      <c r="H92" t="s">
        <v>1949</v>
      </c>
      <c r="J92" t="s">
        <v>1950</v>
      </c>
      <c r="K92" t="s">
        <v>1951</v>
      </c>
      <c r="M92" s="1" t="s">
        <v>1952</v>
      </c>
      <c r="O92" s="46">
        <f t="shared" si="8"/>
        <v>0</v>
      </c>
      <c r="P92" s="43" t="s">
        <v>1542</v>
      </c>
      <c r="Q92" s="43" t="s">
        <v>1542</v>
      </c>
      <c r="R92" s="43" t="s">
        <v>1542</v>
      </c>
      <c r="S92" s="43" t="s">
        <v>1542</v>
      </c>
      <c r="T92" s="43" t="s">
        <v>1542</v>
      </c>
      <c r="U92" s="43" t="s">
        <v>1542</v>
      </c>
      <c r="V92" s="43" t="s">
        <v>1542</v>
      </c>
      <c r="W92" s="43" t="s">
        <v>1542</v>
      </c>
      <c r="X92" s="43" t="s">
        <v>1542</v>
      </c>
      <c r="Y92" s="43" t="s">
        <v>1542</v>
      </c>
      <c r="Z92" s="43" t="s">
        <v>1542</v>
      </c>
      <c r="AA92" s="43" t="s">
        <v>1542</v>
      </c>
      <c r="AB92" s="46">
        <f t="shared" si="9"/>
        <v>0</v>
      </c>
      <c r="AC92" s="44" t="s">
        <v>1542</v>
      </c>
      <c r="AD92" s="44" t="s">
        <v>1542</v>
      </c>
      <c r="AE92" s="44" t="s">
        <v>1542</v>
      </c>
      <c r="AF92" s="44" t="s">
        <v>1542</v>
      </c>
      <c r="AG92" s="44" t="s">
        <v>1542</v>
      </c>
      <c r="AH92" s="44" t="s">
        <v>1542</v>
      </c>
      <c r="AI92" s="44" t="s">
        <v>1542</v>
      </c>
      <c r="AJ92" s="44" t="s">
        <v>1542</v>
      </c>
      <c r="AK92" s="44" t="s">
        <v>1542</v>
      </c>
      <c r="AL92" s="44" t="s">
        <v>1542</v>
      </c>
      <c r="AM92" s="44" t="s">
        <v>1542</v>
      </c>
      <c r="AN92" s="44" t="s">
        <v>1542</v>
      </c>
      <c r="AO92" s="46">
        <f t="shared" si="5"/>
        <v>0</v>
      </c>
      <c r="AP92" s="43" t="s">
        <v>1542</v>
      </c>
      <c r="AQ92" s="43" t="s">
        <v>1542</v>
      </c>
      <c r="AR92" s="43" t="s">
        <v>1542</v>
      </c>
      <c r="AS92" s="43" t="s">
        <v>1542</v>
      </c>
      <c r="AT92" s="43" t="s">
        <v>1542</v>
      </c>
      <c r="AU92" s="43" t="s">
        <v>1542</v>
      </c>
      <c r="AV92" s="43" t="s">
        <v>1542</v>
      </c>
      <c r="AW92" s="43" t="s">
        <v>1542</v>
      </c>
      <c r="AX92" s="43" t="s">
        <v>1542</v>
      </c>
      <c r="AY92" s="43" t="s">
        <v>1542</v>
      </c>
      <c r="AZ92" s="43" t="s">
        <v>1542</v>
      </c>
      <c r="BA92" s="43" t="s">
        <v>1542</v>
      </c>
      <c r="BB92" s="46">
        <f t="shared" si="6"/>
        <v>0</v>
      </c>
      <c r="BC92" s="44" t="s">
        <v>1542</v>
      </c>
      <c r="BD92" s="44" t="s">
        <v>1542</v>
      </c>
      <c r="BE92" s="44" t="s">
        <v>1542</v>
      </c>
      <c r="BF92" s="44" t="s">
        <v>1542</v>
      </c>
      <c r="BG92" s="44" t="s">
        <v>1542</v>
      </c>
      <c r="BH92" s="44" t="s">
        <v>1542</v>
      </c>
      <c r="BI92" s="44" t="s">
        <v>1542</v>
      </c>
      <c r="BJ92" s="44" t="s">
        <v>1542</v>
      </c>
      <c r="BK92" s="44" t="s">
        <v>1542</v>
      </c>
      <c r="BL92" s="44" t="s">
        <v>1542</v>
      </c>
      <c r="BM92" s="44" t="s">
        <v>1542</v>
      </c>
      <c r="BN92" s="44" t="s">
        <v>1542</v>
      </c>
      <c r="BO92" s="46">
        <f t="shared" si="7"/>
        <v>0</v>
      </c>
      <c r="BP92" s="43" t="s">
        <v>1542</v>
      </c>
      <c r="BQ92" s="43" t="s">
        <v>1542</v>
      </c>
      <c r="BR92" s="43" t="s">
        <v>1542</v>
      </c>
      <c r="BS92" s="43" t="s">
        <v>1542</v>
      </c>
      <c r="BT92" s="43" t="s">
        <v>1542</v>
      </c>
      <c r="BU92" s="43" t="s">
        <v>1542</v>
      </c>
      <c r="BV92" s="43" t="s">
        <v>1542</v>
      </c>
      <c r="BW92" s="43" t="s">
        <v>1542</v>
      </c>
      <c r="BX92" s="43" t="s">
        <v>1542</v>
      </c>
      <c r="BY92" s="43" t="s">
        <v>1542</v>
      </c>
      <c r="BZ92" s="43" t="s">
        <v>1542</v>
      </c>
      <c r="CA92" s="43" t="s">
        <v>1542</v>
      </c>
    </row>
    <row r="93" spans="1:79">
      <c r="A93">
        <v>92</v>
      </c>
      <c r="B93">
        <v>1</v>
      </c>
      <c r="C93" t="s">
        <v>1696</v>
      </c>
      <c r="D93" t="s">
        <v>1697</v>
      </c>
      <c r="E93" t="s">
        <v>1885</v>
      </c>
      <c r="F93" t="s">
        <v>1886</v>
      </c>
      <c r="G93" t="s">
        <v>1953</v>
      </c>
      <c r="H93" t="s">
        <v>1953</v>
      </c>
      <c r="J93" t="s">
        <v>1954</v>
      </c>
      <c r="K93" t="s">
        <v>1955</v>
      </c>
      <c r="M93" s="1" t="s">
        <v>1956</v>
      </c>
      <c r="O93" s="46">
        <f t="shared" si="8"/>
        <v>0</v>
      </c>
      <c r="P93" s="43" t="s">
        <v>1542</v>
      </c>
      <c r="Q93" s="43" t="s">
        <v>1542</v>
      </c>
      <c r="R93" s="43" t="s">
        <v>1542</v>
      </c>
      <c r="S93" s="43" t="s">
        <v>1542</v>
      </c>
      <c r="T93" s="43" t="s">
        <v>1542</v>
      </c>
      <c r="U93" s="43" t="s">
        <v>1542</v>
      </c>
      <c r="V93" s="43" t="s">
        <v>1542</v>
      </c>
      <c r="W93" s="43" t="s">
        <v>1542</v>
      </c>
      <c r="X93" s="43" t="s">
        <v>1542</v>
      </c>
      <c r="Y93" s="43" t="s">
        <v>1542</v>
      </c>
      <c r="Z93" s="43" t="s">
        <v>1542</v>
      </c>
      <c r="AA93" s="43" t="s">
        <v>1542</v>
      </c>
      <c r="AB93" s="46">
        <f t="shared" si="9"/>
        <v>0</v>
      </c>
      <c r="AC93" s="44" t="s">
        <v>1542</v>
      </c>
      <c r="AD93" s="44" t="s">
        <v>1542</v>
      </c>
      <c r="AE93" s="44" t="s">
        <v>1542</v>
      </c>
      <c r="AF93" s="44" t="s">
        <v>1542</v>
      </c>
      <c r="AG93" s="44" t="s">
        <v>1542</v>
      </c>
      <c r="AH93" s="44" t="s">
        <v>1542</v>
      </c>
      <c r="AI93" s="44" t="s">
        <v>1542</v>
      </c>
      <c r="AJ93" s="44" t="s">
        <v>1542</v>
      </c>
      <c r="AK93" s="44" t="s">
        <v>1542</v>
      </c>
      <c r="AL93" s="44" t="s">
        <v>1542</v>
      </c>
      <c r="AM93" s="44" t="s">
        <v>1542</v>
      </c>
      <c r="AN93" s="44" t="s">
        <v>1542</v>
      </c>
      <c r="AO93" s="46">
        <f t="shared" si="5"/>
        <v>0</v>
      </c>
      <c r="AP93" s="43" t="s">
        <v>1542</v>
      </c>
      <c r="AQ93" s="43" t="s">
        <v>1542</v>
      </c>
      <c r="AR93" s="43" t="s">
        <v>1542</v>
      </c>
      <c r="AS93" s="43" t="s">
        <v>1542</v>
      </c>
      <c r="AT93" s="43" t="s">
        <v>1542</v>
      </c>
      <c r="AU93" s="43" t="s">
        <v>1542</v>
      </c>
      <c r="AV93" s="43" t="s">
        <v>1542</v>
      </c>
      <c r="AW93" s="43" t="s">
        <v>1542</v>
      </c>
      <c r="AX93" s="43" t="s">
        <v>1542</v>
      </c>
      <c r="AY93" s="43" t="s">
        <v>1542</v>
      </c>
      <c r="AZ93" s="43" t="s">
        <v>1542</v>
      </c>
      <c r="BA93" s="43" t="s">
        <v>1542</v>
      </c>
      <c r="BB93" s="46">
        <f t="shared" si="6"/>
        <v>0</v>
      </c>
      <c r="BC93" s="44" t="s">
        <v>1542</v>
      </c>
      <c r="BD93" s="44" t="s">
        <v>1542</v>
      </c>
      <c r="BE93" s="44" t="s">
        <v>1542</v>
      </c>
      <c r="BF93" s="44" t="s">
        <v>1542</v>
      </c>
      <c r="BG93" s="44" t="s">
        <v>1542</v>
      </c>
      <c r="BH93" s="44" t="s">
        <v>1542</v>
      </c>
      <c r="BI93" s="44" t="s">
        <v>1542</v>
      </c>
      <c r="BJ93" s="44" t="s">
        <v>1542</v>
      </c>
      <c r="BK93" s="44" t="s">
        <v>1542</v>
      </c>
      <c r="BL93" s="44" t="s">
        <v>1542</v>
      </c>
      <c r="BM93" s="44" t="s">
        <v>1542</v>
      </c>
      <c r="BN93" s="44" t="s">
        <v>1542</v>
      </c>
      <c r="BO93" s="46">
        <f t="shared" si="7"/>
        <v>0</v>
      </c>
      <c r="BP93" s="43" t="s">
        <v>1542</v>
      </c>
      <c r="BQ93" s="43" t="s">
        <v>1542</v>
      </c>
      <c r="BR93" s="43" t="s">
        <v>1542</v>
      </c>
      <c r="BS93" s="43" t="s">
        <v>1542</v>
      </c>
      <c r="BT93" s="43" t="s">
        <v>1542</v>
      </c>
      <c r="BU93" s="43" t="s">
        <v>1542</v>
      </c>
      <c r="BV93" s="43" t="s">
        <v>1542</v>
      </c>
      <c r="BW93" s="43" t="s">
        <v>1542</v>
      </c>
      <c r="BX93" s="43" t="s">
        <v>1542</v>
      </c>
      <c r="BY93" s="43" t="s">
        <v>1542</v>
      </c>
      <c r="BZ93" s="43" t="s">
        <v>1542</v>
      </c>
      <c r="CA93" s="43" t="s">
        <v>1542</v>
      </c>
    </row>
    <row r="94" spans="1:79">
      <c r="A94">
        <v>93</v>
      </c>
      <c r="B94">
        <v>1</v>
      </c>
      <c r="C94" t="s">
        <v>1696</v>
      </c>
      <c r="D94" t="s">
        <v>1697</v>
      </c>
      <c r="E94" t="s">
        <v>1885</v>
      </c>
      <c r="F94" t="s">
        <v>1886</v>
      </c>
      <c r="G94" t="s">
        <v>1957</v>
      </c>
      <c r="H94" t="s">
        <v>1957</v>
      </c>
      <c r="J94" t="s">
        <v>1958</v>
      </c>
      <c r="K94" t="s">
        <v>1959</v>
      </c>
      <c r="M94" s="1" t="s">
        <v>1960</v>
      </c>
      <c r="N94" t="s">
        <v>1961</v>
      </c>
      <c r="O94" s="46">
        <f t="shared" si="8"/>
        <v>0</v>
      </c>
      <c r="P94" s="43" t="s">
        <v>1542</v>
      </c>
      <c r="Q94" s="43" t="s">
        <v>1542</v>
      </c>
      <c r="R94" s="43" t="s">
        <v>1542</v>
      </c>
      <c r="S94" s="43" t="s">
        <v>1542</v>
      </c>
      <c r="T94" s="43" t="s">
        <v>1542</v>
      </c>
      <c r="U94" s="43" t="s">
        <v>1542</v>
      </c>
      <c r="V94" s="43" t="s">
        <v>1542</v>
      </c>
      <c r="W94" s="43" t="s">
        <v>1542</v>
      </c>
      <c r="X94" s="43" t="s">
        <v>1542</v>
      </c>
      <c r="Y94" s="43" t="s">
        <v>1542</v>
      </c>
      <c r="Z94" s="43" t="s">
        <v>1542</v>
      </c>
      <c r="AA94" s="43" t="s">
        <v>1542</v>
      </c>
      <c r="AB94" s="46">
        <f t="shared" si="9"/>
        <v>3</v>
      </c>
      <c r="AC94" s="44" t="s">
        <v>1542</v>
      </c>
      <c r="AD94" s="44" t="s">
        <v>1542</v>
      </c>
      <c r="AE94" s="44" t="s">
        <v>1542</v>
      </c>
      <c r="AF94" s="44" t="s">
        <v>1542</v>
      </c>
      <c r="AG94" s="44" t="s">
        <v>1542</v>
      </c>
      <c r="AH94" s="44" t="s">
        <v>1542</v>
      </c>
      <c r="AI94" s="44" t="s">
        <v>1542</v>
      </c>
      <c r="AJ94" s="44" t="s">
        <v>1542</v>
      </c>
      <c r="AK94" s="44" t="s">
        <v>1554</v>
      </c>
      <c r="AL94" s="44" t="s">
        <v>1554</v>
      </c>
      <c r="AM94" s="44" t="s">
        <v>1554</v>
      </c>
      <c r="AN94" s="44" t="s">
        <v>1542</v>
      </c>
      <c r="AO94" s="46">
        <f t="shared" si="5"/>
        <v>3</v>
      </c>
      <c r="AP94" s="43" t="s">
        <v>1542</v>
      </c>
      <c r="AQ94" s="43" t="s">
        <v>1542</v>
      </c>
      <c r="AR94" s="43" t="s">
        <v>1542</v>
      </c>
      <c r="AS94" s="43" t="s">
        <v>1542</v>
      </c>
      <c r="AT94" s="43" t="s">
        <v>1542</v>
      </c>
      <c r="AU94" s="43" t="s">
        <v>1542</v>
      </c>
      <c r="AV94" s="43" t="s">
        <v>1542</v>
      </c>
      <c r="AW94" s="43" t="s">
        <v>1542</v>
      </c>
      <c r="AX94" s="43" t="s">
        <v>1542</v>
      </c>
      <c r="AY94" s="43" t="s">
        <v>1542</v>
      </c>
      <c r="AZ94" s="43" t="s">
        <v>1542</v>
      </c>
      <c r="BA94" s="43" t="s">
        <v>1542</v>
      </c>
      <c r="BB94" s="46">
        <f t="shared" si="6"/>
        <v>0</v>
      </c>
      <c r="BC94" s="44" t="s">
        <v>1542</v>
      </c>
      <c r="BD94" s="44" t="s">
        <v>1542</v>
      </c>
      <c r="BE94" s="44" t="s">
        <v>1542</v>
      </c>
      <c r="BF94" s="44" t="s">
        <v>1542</v>
      </c>
      <c r="BG94" s="44" t="s">
        <v>1542</v>
      </c>
      <c r="BH94" s="44" t="s">
        <v>1542</v>
      </c>
      <c r="BI94" s="44" t="s">
        <v>1542</v>
      </c>
      <c r="BJ94" s="44" t="s">
        <v>1542</v>
      </c>
      <c r="BK94" s="44" t="s">
        <v>1542</v>
      </c>
      <c r="BL94" s="44" t="s">
        <v>1542</v>
      </c>
      <c r="BM94" s="44" t="s">
        <v>1542</v>
      </c>
      <c r="BN94" s="44" t="s">
        <v>1542</v>
      </c>
      <c r="BO94" s="46">
        <f t="shared" si="7"/>
        <v>0</v>
      </c>
      <c r="BP94" s="43" t="s">
        <v>1542</v>
      </c>
      <c r="BQ94" s="43" t="s">
        <v>1542</v>
      </c>
      <c r="BR94" s="43" t="s">
        <v>1542</v>
      </c>
      <c r="BS94" s="43" t="s">
        <v>1542</v>
      </c>
      <c r="BT94" s="43" t="s">
        <v>1542</v>
      </c>
      <c r="BU94" s="43" t="s">
        <v>1542</v>
      </c>
      <c r="BV94" s="43" t="s">
        <v>1542</v>
      </c>
      <c r="BW94" s="43" t="s">
        <v>1542</v>
      </c>
      <c r="BX94" s="43" t="s">
        <v>1542</v>
      </c>
      <c r="BY94" s="43" t="s">
        <v>1542</v>
      </c>
      <c r="BZ94" s="43" t="s">
        <v>1542</v>
      </c>
      <c r="CA94" s="43" t="s">
        <v>1542</v>
      </c>
    </row>
    <row r="95" spans="1:79">
      <c r="A95">
        <v>94</v>
      </c>
      <c r="B95">
        <v>1</v>
      </c>
      <c r="C95" t="s">
        <v>1696</v>
      </c>
      <c r="D95" t="s">
        <v>1697</v>
      </c>
      <c r="E95" t="s">
        <v>1962</v>
      </c>
      <c r="F95" t="s">
        <v>1963</v>
      </c>
      <c r="G95" t="s">
        <v>1964</v>
      </c>
      <c r="H95" t="s">
        <v>1964</v>
      </c>
      <c r="J95" t="s">
        <v>1965</v>
      </c>
      <c r="K95" t="s">
        <v>1966</v>
      </c>
      <c r="M95" s="1" t="s">
        <v>1967</v>
      </c>
      <c r="N95" t="s">
        <v>1968</v>
      </c>
      <c r="O95" s="46">
        <f t="shared" si="8"/>
        <v>0</v>
      </c>
      <c r="P95" s="43" t="s">
        <v>1542</v>
      </c>
      <c r="Q95" s="43" t="s">
        <v>1542</v>
      </c>
      <c r="R95" s="43" t="s">
        <v>1542</v>
      </c>
      <c r="S95" s="43" t="s">
        <v>1542</v>
      </c>
      <c r="T95" s="43" t="s">
        <v>1542</v>
      </c>
      <c r="U95" s="43" t="s">
        <v>1542</v>
      </c>
      <c r="V95" s="43" t="s">
        <v>1542</v>
      </c>
      <c r="W95" s="43" t="s">
        <v>1542</v>
      </c>
      <c r="X95" s="43" t="s">
        <v>1542</v>
      </c>
      <c r="Y95" s="43" t="s">
        <v>1542</v>
      </c>
      <c r="Z95" s="43" t="s">
        <v>1542</v>
      </c>
      <c r="AA95" s="43" t="s">
        <v>1542</v>
      </c>
      <c r="AB95" s="46">
        <f t="shared" si="9"/>
        <v>0</v>
      </c>
      <c r="AC95" s="44" t="s">
        <v>1542</v>
      </c>
      <c r="AD95" s="44" t="s">
        <v>1542</v>
      </c>
      <c r="AE95" s="44" t="s">
        <v>1542</v>
      </c>
      <c r="AF95" s="44" t="s">
        <v>1542</v>
      </c>
      <c r="AG95" s="44" t="s">
        <v>1542</v>
      </c>
      <c r="AH95" s="44" t="s">
        <v>1542</v>
      </c>
      <c r="AI95" s="44" t="s">
        <v>1542</v>
      </c>
      <c r="AJ95" s="44" t="s">
        <v>1542</v>
      </c>
      <c r="AK95" s="44" t="s">
        <v>1542</v>
      </c>
      <c r="AL95" s="44" t="s">
        <v>1542</v>
      </c>
      <c r="AM95" s="44" t="s">
        <v>1542</v>
      </c>
      <c r="AN95" s="44" t="s">
        <v>1542</v>
      </c>
      <c r="AO95" s="46">
        <f t="shared" si="5"/>
        <v>0</v>
      </c>
      <c r="AP95" s="43" t="s">
        <v>1542</v>
      </c>
      <c r="AQ95" s="43" t="s">
        <v>1542</v>
      </c>
      <c r="AR95" s="43" t="s">
        <v>1542</v>
      </c>
      <c r="AS95" s="43" t="s">
        <v>1542</v>
      </c>
      <c r="AT95" s="43" t="s">
        <v>1542</v>
      </c>
      <c r="AU95" s="43" t="s">
        <v>1542</v>
      </c>
      <c r="AV95" s="43" t="s">
        <v>1542</v>
      </c>
      <c r="AW95" s="43" t="s">
        <v>1542</v>
      </c>
      <c r="AX95" s="43" t="s">
        <v>1542</v>
      </c>
      <c r="AY95" s="43" t="s">
        <v>1542</v>
      </c>
      <c r="AZ95" s="43" t="s">
        <v>1542</v>
      </c>
      <c r="BA95" s="43" t="s">
        <v>1542</v>
      </c>
      <c r="BB95" s="46">
        <f t="shared" si="6"/>
        <v>0</v>
      </c>
      <c r="BC95" s="44" t="s">
        <v>1542</v>
      </c>
      <c r="BD95" s="44" t="s">
        <v>1542</v>
      </c>
      <c r="BE95" s="44" t="s">
        <v>1542</v>
      </c>
      <c r="BF95" s="44" t="s">
        <v>1542</v>
      </c>
      <c r="BG95" s="44" t="s">
        <v>1542</v>
      </c>
      <c r="BH95" s="44" t="s">
        <v>1542</v>
      </c>
      <c r="BI95" s="44" t="s">
        <v>1542</v>
      </c>
      <c r="BJ95" s="44" t="s">
        <v>1542</v>
      </c>
      <c r="BK95" s="44" t="s">
        <v>1542</v>
      </c>
      <c r="BL95" s="44" t="s">
        <v>1542</v>
      </c>
      <c r="BM95" s="44" t="s">
        <v>1554</v>
      </c>
      <c r="BN95" s="44" t="s">
        <v>1554</v>
      </c>
      <c r="BO95" s="46">
        <f t="shared" si="7"/>
        <v>1</v>
      </c>
      <c r="BP95" s="43" t="s">
        <v>1542</v>
      </c>
      <c r="BQ95" s="43" t="s">
        <v>1542</v>
      </c>
      <c r="BR95" s="43" t="s">
        <v>1542</v>
      </c>
      <c r="BS95" s="43" t="s">
        <v>1542</v>
      </c>
      <c r="BT95" s="43" t="s">
        <v>1542</v>
      </c>
      <c r="BU95" s="43" t="s">
        <v>1542</v>
      </c>
      <c r="BV95" s="43" t="s">
        <v>1542</v>
      </c>
      <c r="BW95" s="43" t="s">
        <v>1542</v>
      </c>
      <c r="BX95" s="43" t="s">
        <v>1542</v>
      </c>
      <c r="BY95" s="43" t="s">
        <v>1542</v>
      </c>
      <c r="BZ95" s="43" t="s">
        <v>1542</v>
      </c>
      <c r="CA95" s="43" t="s">
        <v>1542</v>
      </c>
    </row>
    <row r="96" spans="1:79">
      <c r="A96">
        <v>95</v>
      </c>
      <c r="B96">
        <v>1</v>
      </c>
      <c r="C96" t="s">
        <v>1696</v>
      </c>
      <c r="D96" t="s">
        <v>1697</v>
      </c>
      <c r="E96" t="s">
        <v>1962</v>
      </c>
      <c r="F96" t="s">
        <v>1963</v>
      </c>
      <c r="G96" t="s">
        <v>1969</v>
      </c>
      <c r="H96" t="s">
        <v>1969</v>
      </c>
      <c r="J96" t="s">
        <v>1970</v>
      </c>
      <c r="K96" t="s">
        <v>1971</v>
      </c>
      <c r="M96" s="1" t="s">
        <v>1972</v>
      </c>
      <c r="O96" s="46">
        <f t="shared" si="8"/>
        <v>0</v>
      </c>
      <c r="P96" s="43" t="s">
        <v>1542</v>
      </c>
      <c r="Q96" s="43" t="s">
        <v>1542</v>
      </c>
      <c r="R96" s="43" t="s">
        <v>1542</v>
      </c>
      <c r="S96" s="43" t="s">
        <v>1542</v>
      </c>
      <c r="T96" s="43" t="s">
        <v>1542</v>
      </c>
      <c r="U96" s="43" t="s">
        <v>1542</v>
      </c>
      <c r="V96" s="43" t="s">
        <v>1542</v>
      </c>
      <c r="W96" s="43" t="s">
        <v>1542</v>
      </c>
      <c r="X96" s="43" t="s">
        <v>1542</v>
      </c>
      <c r="Y96" s="43" t="s">
        <v>1542</v>
      </c>
      <c r="Z96" s="43" t="s">
        <v>1542</v>
      </c>
      <c r="AA96" s="43" t="s">
        <v>1542</v>
      </c>
      <c r="AB96" s="46">
        <f t="shared" si="9"/>
        <v>0</v>
      </c>
      <c r="AC96" s="44" t="s">
        <v>1542</v>
      </c>
      <c r="AD96" s="44" t="s">
        <v>1542</v>
      </c>
      <c r="AE96" s="44" t="s">
        <v>1542</v>
      </c>
      <c r="AF96" s="44" t="s">
        <v>1542</v>
      </c>
      <c r="AG96" s="44" t="s">
        <v>1542</v>
      </c>
      <c r="AH96" s="44" t="s">
        <v>1542</v>
      </c>
      <c r="AI96" s="44" t="s">
        <v>1542</v>
      </c>
      <c r="AJ96" s="44" t="s">
        <v>1542</v>
      </c>
      <c r="AK96" s="44" t="s">
        <v>1542</v>
      </c>
      <c r="AL96" s="44" t="s">
        <v>1542</v>
      </c>
      <c r="AM96" s="44" t="s">
        <v>1542</v>
      </c>
      <c r="AN96" s="44" t="s">
        <v>1542</v>
      </c>
      <c r="AO96" s="46">
        <f t="shared" si="5"/>
        <v>0</v>
      </c>
      <c r="AP96" s="43" t="s">
        <v>1542</v>
      </c>
      <c r="AQ96" s="43" t="s">
        <v>1542</v>
      </c>
      <c r="AR96" s="43" t="s">
        <v>1542</v>
      </c>
      <c r="AS96" s="43" t="s">
        <v>1542</v>
      </c>
      <c r="AT96" s="43" t="s">
        <v>1542</v>
      </c>
      <c r="AU96" s="43" t="s">
        <v>1542</v>
      </c>
      <c r="AV96" s="43" t="s">
        <v>1542</v>
      </c>
      <c r="AW96" s="43" t="s">
        <v>1542</v>
      </c>
      <c r="AX96" s="43" t="s">
        <v>1542</v>
      </c>
      <c r="AY96" s="43" t="s">
        <v>1542</v>
      </c>
      <c r="AZ96" s="43" t="s">
        <v>1542</v>
      </c>
      <c r="BA96" s="43" t="s">
        <v>1542</v>
      </c>
      <c r="BB96" s="46">
        <f t="shared" si="6"/>
        <v>0</v>
      </c>
      <c r="BC96" s="44" t="s">
        <v>1542</v>
      </c>
      <c r="BD96" s="44" t="s">
        <v>1542</v>
      </c>
      <c r="BE96" s="44" t="s">
        <v>1542</v>
      </c>
      <c r="BF96" s="44" t="s">
        <v>1542</v>
      </c>
      <c r="BG96" s="44" t="s">
        <v>1542</v>
      </c>
      <c r="BH96" s="44" t="s">
        <v>1542</v>
      </c>
      <c r="BI96" s="44" t="s">
        <v>1542</v>
      </c>
      <c r="BJ96" s="44" t="s">
        <v>1542</v>
      </c>
      <c r="BK96" s="44" t="s">
        <v>1542</v>
      </c>
      <c r="BL96" s="44" t="s">
        <v>1542</v>
      </c>
      <c r="BM96" s="44" t="s">
        <v>1542</v>
      </c>
      <c r="BN96" s="44" t="s">
        <v>1542</v>
      </c>
      <c r="BO96" s="46">
        <f t="shared" si="7"/>
        <v>0</v>
      </c>
      <c r="BP96" s="43" t="s">
        <v>1542</v>
      </c>
      <c r="BQ96" s="43" t="s">
        <v>1542</v>
      </c>
      <c r="BR96" s="43" t="s">
        <v>1542</v>
      </c>
      <c r="BS96" s="43" t="s">
        <v>1542</v>
      </c>
      <c r="BT96" s="43" t="s">
        <v>1542</v>
      </c>
      <c r="BU96" s="43" t="s">
        <v>1542</v>
      </c>
      <c r="BV96" s="43" t="s">
        <v>1542</v>
      </c>
      <c r="BW96" s="43" t="s">
        <v>1542</v>
      </c>
      <c r="BX96" s="43" t="s">
        <v>1542</v>
      </c>
      <c r="BY96" s="43" t="s">
        <v>1542</v>
      </c>
      <c r="BZ96" s="43" t="s">
        <v>1542</v>
      </c>
      <c r="CA96" s="43" t="s">
        <v>1542</v>
      </c>
    </row>
    <row r="97" spans="1:79">
      <c r="A97">
        <v>96</v>
      </c>
      <c r="B97">
        <v>1</v>
      </c>
      <c r="C97" t="s">
        <v>1696</v>
      </c>
      <c r="D97" t="s">
        <v>1697</v>
      </c>
      <c r="E97" t="s">
        <v>1962</v>
      </c>
      <c r="F97" t="s">
        <v>1963</v>
      </c>
      <c r="G97" t="s">
        <v>1973</v>
      </c>
      <c r="H97" t="s">
        <v>1973</v>
      </c>
      <c r="J97" t="s">
        <v>1974</v>
      </c>
      <c r="K97" t="s">
        <v>1975</v>
      </c>
      <c r="M97" s="1" t="s">
        <v>1976</v>
      </c>
      <c r="O97" s="46">
        <f t="shared" si="8"/>
        <v>0</v>
      </c>
      <c r="P97" s="43" t="s">
        <v>1542</v>
      </c>
      <c r="Q97" s="43" t="s">
        <v>1542</v>
      </c>
      <c r="R97" s="43" t="s">
        <v>1542</v>
      </c>
      <c r="S97" s="43" t="s">
        <v>1542</v>
      </c>
      <c r="T97" s="43" t="s">
        <v>1542</v>
      </c>
      <c r="U97" s="43" t="s">
        <v>1542</v>
      </c>
      <c r="V97" s="43" t="s">
        <v>1542</v>
      </c>
      <c r="W97" s="43" t="s">
        <v>1542</v>
      </c>
      <c r="X97" s="43" t="s">
        <v>1542</v>
      </c>
      <c r="Y97" s="43" t="s">
        <v>1542</v>
      </c>
      <c r="Z97" s="43" t="s">
        <v>1542</v>
      </c>
      <c r="AA97" s="43" t="s">
        <v>1542</v>
      </c>
      <c r="AB97" s="46">
        <f t="shared" si="9"/>
        <v>0</v>
      </c>
      <c r="AC97" s="44" t="s">
        <v>1542</v>
      </c>
      <c r="AD97" s="44" t="s">
        <v>1542</v>
      </c>
      <c r="AE97" s="44" t="s">
        <v>1542</v>
      </c>
      <c r="AF97" s="44" t="s">
        <v>1542</v>
      </c>
      <c r="AG97" s="44" t="s">
        <v>1542</v>
      </c>
      <c r="AH97" s="44" t="s">
        <v>1542</v>
      </c>
      <c r="AI97" s="44" t="s">
        <v>1542</v>
      </c>
      <c r="AJ97" s="44" t="s">
        <v>1542</v>
      </c>
      <c r="AK97" s="44" t="s">
        <v>1542</v>
      </c>
      <c r="AL97" s="44" t="s">
        <v>1542</v>
      </c>
      <c r="AM97" s="44" t="s">
        <v>1542</v>
      </c>
      <c r="AN97" s="44" t="s">
        <v>1542</v>
      </c>
      <c r="AO97" s="46">
        <f t="shared" si="5"/>
        <v>0</v>
      </c>
      <c r="AP97" s="43" t="s">
        <v>1542</v>
      </c>
      <c r="AQ97" s="43" t="s">
        <v>1542</v>
      </c>
      <c r="AR97" s="43" t="s">
        <v>1542</v>
      </c>
      <c r="AS97" s="43" t="s">
        <v>1542</v>
      </c>
      <c r="AT97" s="43" t="s">
        <v>1542</v>
      </c>
      <c r="AU97" s="43" t="s">
        <v>1542</v>
      </c>
      <c r="AV97" s="43" t="s">
        <v>1542</v>
      </c>
      <c r="AW97" s="43" t="s">
        <v>1542</v>
      </c>
      <c r="AX97" s="43" t="s">
        <v>1542</v>
      </c>
      <c r="AY97" s="43" t="s">
        <v>1542</v>
      </c>
      <c r="AZ97" s="43" t="s">
        <v>1542</v>
      </c>
      <c r="BA97" s="43" t="s">
        <v>1542</v>
      </c>
      <c r="BB97" s="46">
        <f t="shared" si="6"/>
        <v>0</v>
      </c>
      <c r="BC97" s="44" t="s">
        <v>1542</v>
      </c>
      <c r="BD97" s="44" t="s">
        <v>1542</v>
      </c>
      <c r="BE97" s="44" t="s">
        <v>1542</v>
      </c>
      <c r="BF97" s="44" t="s">
        <v>1542</v>
      </c>
      <c r="BG97" s="44" t="s">
        <v>1542</v>
      </c>
      <c r="BH97" s="44" t="s">
        <v>1542</v>
      </c>
      <c r="BI97" s="44" t="s">
        <v>1542</v>
      </c>
      <c r="BJ97" s="44" t="s">
        <v>1542</v>
      </c>
      <c r="BK97" s="44" t="s">
        <v>1542</v>
      </c>
      <c r="BL97" s="44" t="s">
        <v>1542</v>
      </c>
      <c r="BM97" s="44" t="s">
        <v>1542</v>
      </c>
      <c r="BN97" s="44" t="s">
        <v>1542</v>
      </c>
      <c r="BO97" s="46">
        <f t="shared" si="7"/>
        <v>0</v>
      </c>
      <c r="BP97" s="43" t="s">
        <v>1542</v>
      </c>
      <c r="BQ97" s="43" t="s">
        <v>1542</v>
      </c>
      <c r="BR97" s="43" t="s">
        <v>1542</v>
      </c>
      <c r="BS97" s="43" t="s">
        <v>1542</v>
      </c>
      <c r="BT97" s="43" t="s">
        <v>1542</v>
      </c>
      <c r="BU97" s="43" t="s">
        <v>1542</v>
      </c>
      <c r="BV97" s="43" t="s">
        <v>1542</v>
      </c>
      <c r="BW97" s="43" t="s">
        <v>1542</v>
      </c>
      <c r="BX97" s="43" t="s">
        <v>1542</v>
      </c>
      <c r="BY97" s="43" t="s">
        <v>1542</v>
      </c>
      <c r="BZ97" s="43" t="s">
        <v>1542</v>
      </c>
      <c r="CA97" s="43" t="s">
        <v>1542</v>
      </c>
    </row>
    <row r="98" spans="1:79">
      <c r="A98">
        <v>97</v>
      </c>
      <c r="B98">
        <v>1</v>
      </c>
      <c r="C98" t="s">
        <v>1696</v>
      </c>
      <c r="D98" t="s">
        <v>1697</v>
      </c>
      <c r="E98" t="s">
        <v>1962</v>
      </c>
      <c r="F98" t="s">
        <v>1963</v>
      </c>
      <c r="G98" t="s">
        <v>1977</v>
      </c>
      <c r="H98" t="s">
        <v>1977</v>
      </c>
      <c r="J98" t="s">
        <v>1978</v>
      </c>
      <c r="K98" t="s">
        <v>1979</v>
      </c>
      <c r="M98" s="1" t="s">
        <v>1980</v>
      </c>
      <c r="O98" s="46">
        <f t="shared" si="8"/>
        <v>0</v>
      </c>
      <c r="P98" s="43" t="s">
        <v>1542</v>
      </c>
      <c r="Q98" s="43" t="s">
        <v>1542</v>
      </c>
      <c r="R98" s="43" t="s">
        <v>1542</v>
      </c>
      <c r="S98" s="43" t="s">
        <v>1542</v>
      </c>
      <c r="T98" s="43" t="s">
        <v>1542</v>
      </c>
      <c r="U98" s="43" t="s">
        <v>1542</v>
      </c>
      <c r="V98" s="43" t="s">
        <v>1542</v>
      </c>
      <c r="W98" s="43" t="s">
        <v>1542</v>
      </c>
      <c r="X98" s="43" t="s">
        <v>1542</v>
      </c>
      <c r="Y98" s="43" t="s">
        <v>1542</v>
      </c>
      <c r="Z98" s="43" t="s">
        <v>1542</v>
      </c>
      <c r="AA98" s="43" t="s">
        <v>1542</v>
      </c>
      <c r="AB98" s="46">
        <f t="shared" si="9"/>
        <v>0</v>
      </c>
      <c r="AC98" s="44" t="s">
        <v>1542</v>
      </c>
      <c r="AD98" s="44" t="s">
        <v>1542</v>
      </c>
      <c r="AE98" s="44" t="s">
        <v>1542</v>
      </c>
      <c r="AF98" s="44" t="s">
        <v>1542</v>
      </c>
      <c r="AG98" s="44" t="s">
        <v>1542</v>
      </c>
      <c r="AH98" s="44" t="s">
        <v>1542</v>
      </c>
      <c r="AI98" s="44" t="s">
        <v>1542</v>
      </c>
      <c r="AJ98" s="44" t="s">
        <v>1542</v>
      </c>
      <c r="AK98" s="44" t="s">
        <v>1542</v>
      </c>
      <c r="AL98" s="44" t="s">
        <v>1542</v>
      </c>
      <c r="AM98" s="44" t="s">
        <v>1542</v>
      </c>
      <c r="AN98" s="44" t="s">
        <v>1542</v>
      </c>
      <c r="AO98" s="46">
        <f t="shared" si="5"/>
        <v>0</v>
      </c>
      <c r="AP98" s="43" t="s">
        <v>1542</v>
      </c>
      <c r="AQ98" s="43" t="s">
        <v>1542</v>
      </c>
      <c r="AR98" s="43" t="s">
        <v>1542</v>
      </c>
      <c r="AS98" s="43" t="s">
        <v>1542</v>
      </c>
      <c r="AT98" s="43" t="s">
        <v>1542</v>
      </c>
      <c r="AU98" s="43" t="s">
        <v>1542</v>
      </c>
      <c r="AV98" s="43" t="s">
        <v>1542</v>
      </c>
      <c r="AW98" s="43" t="s">
        <v>1542</v>
      </c>
      <c r="AX98" s="43" t="s">
        <v>1542</v>
      </c>
      <c r="AY98" s="43" t="s">
        <v>1542</v>
      </c>
      <c r="AZ98" s="43" t="s">
        <v>1542</v>
      </c>
      <c r="BA98" s="43" t="s">
        <v>1542</v>
      </c>
      <c r="BB98" s="46">
        <f t="shared" si="6"/>
        <v>0</v>
      </c>
      <c r="BC98" s="44" t="s">
        <v>1542</v>
      </c>
      <c r="BD98" s="44" t="s">
        <v>1542</v>
      </c>
      <c r="BE98" s="44" t="s">
        <v>1542</v>
      </c>
      <c r="BF98" s="44" t="s">
        <v>1542</v>
      </c>
      <c r="BG98" s="44" t="s">
        <v>1542</v>
      </c>
      <c r="BH98" s="44" t="s">
        <v>1542</v>
      </c>
      <c r="BI98" s="44" t="s">
        <v>1542</v>
      </c>
      <c r="BJ98" s="44" t="s">
        <v>1542</v>
      </c>
      <c r="BK98" s="44" t="s">
        <v>1542</v>
      </c>
      <c r="BL98" s="44" t="s">
        <v>1542</v>
      </c>
      <c r="BM98" s="44" t="s">
        <v>1542</v>
      </c>
      <c r="BN98" s="44" t="s">
        <v>1542</v>
      </c>
      <c r="BO98" s="46">
        <f t="shared" si="7"/>
        <v>0</v>
      </c>
      <c r="BP98" s="43" t="s">
        <v>1542</v>
      </c>
      <c r="BQ98" s="43" t="s">
        <v>1542</v>
      </c>
      <c r="BR98" s="43" t="s">
        <v>1542</v>
      </c>
      <c r="BS98" s="43" t="s">
        <v>1542</v>
      </c>
      <c r="BT98" s="43" t="s">
        <v>1542</v>
      </c>
      <c r="BU98" s="43" t="s">
        <v>1542</v>
      </c>
      <c r="BV98" s="43" t="s">
        <v>1542</v>
      </c>
      <c r="BW98" s="43" t="s">
        <v>1542</v>
      </c>
      <c r="BX98" s="43" t="s">
        <v>1542</v>
      </c>
      <c r="BY98" s="43" t="s">
        <v>1542</v>
      </c>
      <c r="BZ98" s="43" t="s">
        <v>1542</v>
      </c>
      <c r="CA98" s="43" t="s">
        <v>1542</v>
      </c>
    </row>
    <row r="99" spans="1:79">
      <c r="A99">
        <v>98</v>
      </c>
      <c r="C99" t="s">
        <v>1696</v>
      </c>
      <c r="D99" t="s">
        <v>1697</v>
      </c>
      <c r="E99" t="s">
        <v>1962</v>
      </c>
      <c r="F99" t="s">
        <v>1963</v>
      </c>
      <c r="G99" t="s">
        <v>1977</v>
      </c>
      <c r="H99" t="s">
        <v>1981</v>
      </c>
      <c r="I99" t="s">
        <v>1981</v>
      </c>
      <c r="J99" t="s">
        <v>1978</v>
      </c>
      <c r="K99" t="s">
        <v>1979</v>
      </c>
      <c r="M99" s="1" t="s">
        <v>1982</v>
      </c>
      <c r="N99" t="s">
        <v>1983</v>
      </c>
      <c r="O99" s="46">
        <f t="shared" si="8"/>
        <v>1</v>
      </c>
      <c r="P99" s="43" t="s">
        <v>1542</v>
      </c>
      <c r="Q99" s="43" t="s">
        <v>1554</v>
      </c>
      <c r="R99" s="43"/>
      <c r="S99" s="43"/>
      <c r="T99" s="43"/>
      <c r="U99" s="43"/>
      <c r="V99" s="43"/>
      <c r="W99" s="43"/>
      <c r="X99" s="43"/>
      <c r="Y99" s="43"/>
      <c r="Z99" s="43"/>
      <c r="AA99" s="43"/>
      <c r="AB99" s="46">
        <f t="shared" si="9"/>
        <v>4</v>
      </c>
      <c r="AC99" s="44" t="s">
        <v>1542</v>
      </c>
      <c r="AD99" s="44" t="s">
        <v>1554</v>
      </c>
      <c r="AE99" s="44" t="s">
        <v>1554</v>
      </c>
      <c r="AF99" s="44" t="s">
        <v>1554</v>
      </c>
      <c r="AG99" s="44" t="s">
        <v>1554</v>
      </c>
      <c r="AH99" s="44" t="s">
        <v>1542</v>
      </c>
      <c r="AI99" s="44" t="s">
        <v>1542</v>
      </c>
      <c r="AJ99" s="44" t="s">
        <v>1542</v>
      </c>
      <c r="AK99" s="44" t="s">
        <v>1542</v>
      </c>
      <c r="AL99" s="44" t="s">
        <v>1542</v>
      </c>
      <c r="AM99" s="44" t="s">
        <v>1542</v>
      </c>
      <c r="AN99" s="44" t="s">
        <v>1542</v>
      </c>
      <c r="AO99" s="46">
        <f t="shared" si="5"/>
        <v>4</v>
      </c>
      <c r="AP99" s="43" t="s">
        <v>1542</v>
      </c>
      <c r="AQ99" s="43" t="s">
        <v>1542</v>
      </c>
      <c r="AR99" s="43" t="s">
        <v>1542</v>
      </c>
      <c r="AS99" s="43" t="s">
        <v>1542</v>
      </c>
      <c r="AT99" s="43" t="s">
        <v>1542</v>
      </c>
      <c r="AU99" s="43" t="s">
        <v>1542</v>
      </c>
      <c r="AV99" s="43" t="s">
        <v>1542</v>
      </c>
      <c r="AW99" s="43" t="s">
        <v>1542</v>
      </c>
      <c r="AX99" s="43" t="s">
        <v>1542</v>
      </c>
      <c r="AY99" s="43" t="s">
        <v>1542</v>
      </c>
      <c r="AZ99" s="43" t="s">
        <v>1542</v>
      </c>
      <c r="BA99" s="43" t="s">
        <v>1542</v>
      </c>
      <c r="BB99" s="46">
        <f t="shared" si="6"/>
        <v>0</v>
      </c>
      <c r="BC99" s="44" t="s">
        <v>1542</v>
      </c>
      <c r="BD99" s="44" t="s">
        <v>1542</v>
      </c>
      <c r="BE99" s="44" t="s">
        <v>1542</v>
      </c>
      <c r="BF99" s="44" t="s">
        <v>1542</v>
      </c>
      <c r="BG99" s="44" t="s">
        <v>1542</v>
      </c>
      <c r="BH99" s="44" t="s">
        <v>1542</v>
      </c>
      <c r="BI99" s="44" t="s">
        <v>1542</v>
      </c>
      <c r="BJ99" s="44" t="s">
        <v>1542</v>
      </c>
      <c r="BK99" s="44" t="s">
        <v>1542</v>
      </c>
      <c r="BL99" s="44" t="s">
        <v>1542</v>
      </c>
      <c r="BM99" s="44" t="s">
        <v>1542</v>
      </c>
      <c r="BN99" s="44" t="s">
        <v>1542</v>
      </c>
      <c r="BO99" s="46">
        <f t="shared" si="7"/>
        <v>0</v>
      </c>
      <c r="BP99" s="43" t="s">
        <v>1542</v>
      </c>
      <c r="BQ99" s="43" t="s">
        <v>1542</v>
      </c>
      <c r="BR99" s="43" t="s">
        <v>1542</v>
      </c>
      <c r="BS99" s="43" t="s">
        <v>1542</v>
      </c>
      <c r="BT99" s="43" t="s">
        <v>1542</v>
      </c>
      <c r="BU99" s="43" t="s">
        <v>1542</v>
      </c>
      <c r="BV99" s="43" t="s">
        <v>1542</v>
      </c>
      <c r="BW99" s="43" t="s">
        <v>1542</v>
      </c>
      <c r="BX99" s="43" t="s">
        <v>1542</v>
      </c>
      <c r="BY99" s="43" t="s">
        <v>1542</v>
      </c>
      <c r="BZ99" s="43" t="s">
        <v>1542</v>
      </c>
      <c r="CA99" s="43" t="s">
        <v>1542</v>
      </c>
    </row>
    <row r="100" spans="1:79">
      <c r="A100">
        <v>99</v>
      </c>
      <c r="B100">
        <v>1</v>
      </c>
      <c r="C100" t="s">
        <v>1696</v>
      </c>
      <c r="D100" t="s">
        <v>1697</v>
      </c>
      <c r="E100" t="s">
        <v>1962</v>
      </c>
      <c r="F100" t="s">
        <v>1963</v>
      </c>
      <c r="G100" t="s">
        <v>1984</v>
      </c>
      <c r="H100" t="s">
        <v>1984</v>
      </c>
      <c r="J100" t="s">
        <v>1985</v>
      </c>
      <c r="K100" t="s">
        <v>1986</v>
      </c>
      <c r="M100" s="1" t="s">
        <v>1987</v>
      </c>
      <c r="O100" s="46">
        <f t="shared" si="8"/>
        <v>0</v>
      </c>
      <c r="P100" s="43" t="s">
        <v>1542</v>
      </c>
      <c r="Q100" s="43" t="s">
        <v>1542</v>
      </c>
      <c r="R100" s="43" t="s">
        <v>1542</v>
      </c>
      <c r="S100" s="43" t="s">
        <v>1542</v>
      </c>
      <c r="T100" s="43" t="s">
        <v>1542</v>
      </c>
      <c r="U100" s="43" t="s">
        <v>1542</v>
      </c>
      <c r="V100" s="43" t="s">
        <v>1542</v>
      </c>
      <c r="W100" s="43" t="s">
        <v>1542</v>
      </c>
      <c r="X100" s="43" t="s">
        <v>1542</v>
      </c>
      <c r="Y100" s="43" t="s">
        <v>1542</v>
      </c>
      <c r="Z100" s="43" t="s">
        <v>1542</v>
      </c>
      <c r="AA100" s="43" t="s">
        <v>1542</v>
      </c>
      <c r="AB100" s="46">
        <f t="shared" si="9"/>
        <v>0</v>
      </c>
      <c r="AC100" s="44" t="s">
        <v>1542</v>
      </c>
      <c r="AD100" s="44" t="s">
        <v>1542</v>
      </c>
      <c r="AE100" s="44" t="s">
        <v>1542</v>
      </c>
      <c r="AF100" s="44" t="s">
        <v>1542</v>
      </c>
      <c r="AG100" s="44" t="s">
        <v>1542</v>
      </c>
      <c r="AH100" s="44" t="s">
        <v>1542</v>
      </c>
      <c r="AI100" s="44" t="s">
        <v>1542</v>
      </c>
      <c r="AJ100" s="44" t="s">
        <v>1542</v>
      </c>
      <c r="AK100" s="44" t="s">
        <v>1542</v>
      </c>
      <c r="AL100" s="44" t="s">
        <v>1542</v>
      </c>
      <c r="AM100" s="44" t="s">
        <v>1542</v>
      </c>
      <c r="AN100" s="44" t="s">
        <v>1542</v>
      </c>
      <c r="AO100" s="46">
        <f t="shared" si="5"/>
        <v>0</v>
      </c>
      <c r="AP100" s="43" t="s">
        <v>1542</v>
      </c>
      <c r="AQ100" s="43" t="s">
        <v>1542</v>
      </c>
      <c r="AR100" s="43" t="s">
        <v>1542</v>
      </c>
      <c r="AS100" s="43" t="s">
        <v>1542</v>
      </c>
      <c r="AT100" s="43" t="s">
        <v>1542</v>
      </c>
      <c r="AU100" s="43" t="s">
        <v>1542</v>
      </c>
      <c r="AV100" s="43" t="s">
        <v>1542</v>
      </c>
      <c r="AW100" s="43" t="s">
        <v>1542</v>
      </c>
      <c r="AX100" s="43" t="s">
        <v>1542</v>
      </c>
      <c r="AY100" s="43" t="s">
        <v>1542</v>
      </c>
      <c r="AZ100" s="43" t="s">
        <v>1542</v>
      </c>
      <c r="BA100" s="43" t="s">
        <v>1542</v>
      </c>
      <c r="BB100" s="46">
        <f t="shared" si="6"/>
        <v>0</v>
      </c>
      <c r="BC100" s="44" t="s">
        <v>1542</v>
      </c>
      <c r="BD100" s="44" t="s">
        <v>1542</v>
      </c>
      <c r="BE100" s="44" t="s">
        <v>1542</v>
      </c>
      <c r="BF100" s="44" t="s">
        <v>1542</v>
      </c>
      <c r="BG100" s="44" t="s">
        <v>1542</v>
      </c>
      <c r="BH100" s="44" t="s">
        <v>1542</v>
      </c>
      <c r="BI100" s="44" t="s">
        <v>1542</v>
      </c>
      <c r="BJ100" s="44" t="s">
        <v>1542</v>
      </c>
      <c r="BK100" s="44" t="s">
        <v>1542</v>
      </c>
      <c r="BL100" s="44" t="s">
        <v>1542</v>
      </c>
      <c r="BM100" s="44" t="s">
        <v>1542</v>
      </c>
      <c r="BN100" s="44" t="s">
        <v>1542</v>
      </c>
      <c r="BO100" s="46">
        <f t="shared" si="7"/>
        <v>0</v>
      </c>
      <c r="BP100" s="43" t="s">
        <v>1542</v>
      </c>
      <c r="BQ100" s="43" t="s">
        <v>1542</v>
      </c>
      <c r="BR100" s="43" t="s">
        <v>1542</v>
      </c>
      <c r="BS100" s="43" t="s">
        <v>1542</v>
      </c>
      <c r="BT100" s="43" t="s">
        <v>1542</v>
      </c>
      <c r="BU100" s="43" t="s">
        <v>1542</v>
      </c>
      <c r="BV100" s="43" t="s">
        <v>1542</v>
      </c>
      <c r="BW100" s="43" t="s">
        <v>1542</v>
      </c>
      <c r="BX100" s="43" t="s">
        <v>1542</v>
      </c>
      <c r="BY100" s="43" t="s">
        <v>1542</v>
      </c>
      <c r="BZ100" s="43" t="s">
        <v>1542</v>
      </c>
      <c r="CA100" s="43" t="s">
        <v>1542</v>
      </c>
    </row>
    <row r="101" spans="1:79">
      <c r="A101">
        <v>100</v>
      </c>
      <c r="C101" t="s">
        <v>1696</v>
      </c>
      <c r="D101" t="s">
        <v>1697</v>
      </c>
      <c r="E101" t="s">
        <v>1962</v>
      </c>
      <c r="F101" t="s">
        <v>1963</v>
      </c>
      <c r="G101" t="s">
        <v>1984</v>
      </c>
      <c r="H101" t="s">
        <v>1988</v>
      </c>
      <c r="I101" t="s">
        <v>1988</v>
      </c>
      <c r="J101" t="s">
        <v>1985</v>
      </c>
      <c r="K101" t="s">
        <v>1986</v>
      </c>
      <c r="M101" s="1" t="s">
        <v>1989</v>
      </c>
      <c r="N101" t="s">
        <v>1990</v>
      </c>
      <c r="O101" s="46">
        <f t="shared" si="8"/>
        <v>0</v>
      </c>
      <c r="P101" s="43" t="s">
        <v>1542</v>
      </c>
      <c r="Q101" s="43" t="s">
        <v>1542</v>
      </c>
      <c r="R101" s="43"/>
      <c r="S101" s="43"/>
      <c r="T101" s="43"/>
      <c r="U101" s="43"/>
      <c r="V101" s="43"/>
      <c r="W101" s="43"/>
      <c r="X101" s="43"/>
      <c r="Y101" s="43"/>
      <c r="Z101" s="43"/>
      <c r="AA101" s="43"/>
      <c r="AB101" s="46">
        <f t="shared" si="9"/>
        <v>0</v>
      </c>
      <c r="AC101" s="44" t="s">
        <v>1542</v>
      </c>
      <c r="AD101" s="44" t="s">
        <v>1542</v>
      </c>
      <c r="AE101" s="44" t="s">
        <v>1542</v>
      </c>
      <c r="AF101" s="44" t="s">
        <v>1542</v>
      </c>
      <c r="AG101" s="44" t="s">
        <v>1542</v>
      </c>
      <c r="AH101" s="44" t="s">
        <v>1542</v>
      </c>
      <c r="AI101" s="44" t="s">
        <v>1542</v>
      </c>
      <c r="AJ101" s="44" t="s">
        <v>1542</v>
      </c>
      <c r="AK101" s="44" t="s">
        <v>1542</v>
      </c>
      <c r="AL101" s="44" t="s">
        <v>1542</v>
      </c>
      <c r="AM101" s="44" t="s">
        <v>1542</v>
      </c>
      <c r="AN101" s="44" t="s">
        <v>1542</v>
      </c>
      <c r="AO101" s="46">
        <f t="shared" si="5"/>
        <v>0</v>
      </c>
      <c r="AP101" s="43" t="s">
        <v>1542</v>
      </c>
      <c r="AQ101" s="43" t="s">
        <v>1542</v>
      </c>
      <c r="AR101" s="43" t="s">
        <v>1542</v>
      </c>
      <c r="AS101" s="43" t="s">
        <v>1542</v>
      </c>
      <c r="AT101" s="43" t="s">
        <v>1542</v>
      </c>
      <c r="AU101" s="43" t="s">
        <v>1542</v>
      </c>
      <c r="AV101" s="43" t="s">
        <v>1542</v>
      </c>
      <c r="AW101" s="43" t="s">
        <v>1542</v>
      </c>
      <c r="AX101" s="43" t="s">
        <v>1542</v>
      </c>
      <c r="AY101" s="43" t="s">
        <v>1542</v>
      </c>
      <c r="AZ101" s="43" t="s">
        <v>1542</v>
      </c>
      <c r="BA101" s="43" t="s">
        <v>1542</v>
      </c>
      <c r="BB101" s="46">
        <f t="shared" si="6"/>
        <v>0</v>
      </c>
      <c r="BC101" s="44" t="s">
        <v>1542</v>
      </c>
      <c r="BD101" s="44" t="s">
        <v>1542</v>
      </c>
      <c r="BE101" s="44" t="s">
        <v>1542</v>
      </c>
      <c r="BF101" s="44" t="s">
        <v>1542</v>
      </c>
      <c r="BG101" s="44" t="s">
        <v>1542</v>
      </c>
      <c r="BH101" s="44" t="s">
        <v>1542</v>
      </c>
      <c r="BI101" s="44" t="s">
        <v>1542</v>
      </c>
      <c r="BJ101" s="44" t="s">
        <v>1542</v>
      </c>
      <c r="BK101" s="44" t="s">
        <v>1542</v>
      </c>
      <c r="BL101" s="44" t="s">
        <v>1542</v>
      </c>
      <c r="BM101" s="44" t="s">
        <v>1542</v>
      </c>
      <c r="BN101" s="44" t="s">
        <v>1542</v>
      </c>
      <c r="BO101" s="46">
        <f t="shared" si="7"/>
        <v>0</v>
      </c>
      <c r="BP101" s="43" t="s">
        <v>1542</v>
      </c>
      <c r="BQ101" s="43" t="s">
        <v>1542</v>
      </c>
      <c r="BR101" s="43" t="s">
        <v>1542</v>
      </c>
      <c r="BS101" s="43" t="s">
        <v>1542</v>
      </c>
      <c r="BT101" s="43" t="s">
        <v>1542</v>
      </c>
      <c r="BU101" s="43" t="s">
        <v>1542</v>
      </c>
      <c r="BV101" s="43" t="s">
        <v>1542</v>
      </c>
      <c r="BW101" s="43" t="s">
        <v>1542</v>
      </c>
      <c r="BX101" s="43" t="s">
        <v>1542</v>
      </c>
      <c r="BY101" s="43" t="s">
        <v>1542</v>
      </c>
      <c r="BZ101" s="43" t="s">
        <v>1542</v>
      </c>
      <c r="CA101" s="43" t="s">
        <v>1542</v>
      </c>
    </row>
    <row r="102" spans="1:79">
      <c r="A102">
        <v>101</v>
      </c>
      <c r="B102">
        <v>1</v>
      </c>
      <c r="C102" t="s">
        <v>1696</v>
      </c>
      <c r="D102" t="s">
        <v>1697</v>
      </c>
      <c r="E102" t="s">
        <v>1962</v>
      </c>
      <c r="F102" t="s">
        <v>1963</v>
      </c>
      <c r="G102" t="s">
        <v>1991</v>
      </c>
      <c r="H102" t="s">
        <v>1991</v>
      </c>
      <c r="J102" t="s">
        <v>1992</v>
      </c>
      <c r="K102" t="s">
        <v>1993</v>
      </c>
      <c r="M102" s="1" t="s">
        <v>1994</v>
      </c>
      <c r="N102" t="s">
        <v>1995</v>
      </c>
      <c r="O102" s="46">
        <f t="shared" si="8"/>
        <v>0</v>
      </c>
      <c r="P102" s="43" t="s">
        <v>1542</v>
      </c>
      <c r="Q102" s="43" t="s">
        <v>1542</v>
      </c>
      <c r="R102" s="43" t="s">
        <v>1542</v>
      </c>
      <c r="S102" s="43" t="s">
        <v>1542</v>
      </c>
      <c r="T102" s="43" t="s">
        <v>1542</v>
      </c>
      <c r="U102" s="43" t="s">
        <v>1542</v>
      </c>
      <c r="V102" s="43" t="s">
        <v>1542</v>
      </c>
      <c r="W102" s="43" t="s">
        <v>1542</v>
      </c>
      <c r="X102" s="43" t="s">
        <v>1542</v>
      </c>
      <c r="Y102" s="43" t="s">
        <v>1542</v>
      </c>
      <c r="Z102" s="43" t="s">
        <v>1542</v>
      </c>
      <c r="AA102" s="43" t="s">
        <v>1542</v>
      </c>
      <c r="AB102" s="46">
        <f t="shared" si="9"/>
        <v>0</v>
      </c>
      <c r="AC102" s="44" t="s">
        <v>1542</v>
      </c>
      <c r="AD102" s="44" t="s">
        <v>1542</v>
      </c>
      <c r="AE102" s="44" t="s">
        <v>1542</v>
      </c>
      <c r="AF102" s="44" t="s">
        <v>1542</v>
      </c>
      <c r="AG102" s="44" t="s">
        <v>1542</v>
      </c>
      <c r="AH102" s="44" t="s">
        <v>1542</v>
      </c>
      <c r="AI102" s="44" t="s">
        <v>1542</v>
      </c>
      <c r="AJ102" s="44" t="s">
        <v>1542</v>
      </c>
      <c r="AK102" s="44" t="s">
        <v>1542</v>
      </c>
      <c r="AL102" s="44" t="s">
        <v>1542</v>
      </c>
      <c r="AM102" s="44" t="s">
        <v>1542</v>
      </c>
      <c r="AN102" s="44" t="s">
        <v>1542</v>
      </c>
      <c r="AO102" s="46">
        <f t="shared" si="5"/>
        <v>0</v>
      </c>
      <c r="AP102" s="43" t="s">
        <v>1542</v>
      </c>
      <c r="AQ102" s="43" t="s">
        <v>1542</v>
      </c>
      <c r="AR102" s="43" t="s">
        <v>1542</v>
      </c>
      <c r="AS102" s="43" t="s">
        <v>1542</v>
      </c>
      <c r="AT102" s="43" t="s">
        <v>1542</v>
      </c>
      <c r="AU102" s="43" t="s">
        <v>1542</v>
      </c>
      <c r="AV102" s="43" t="s">
        <v>1542</v>
      </c>
      <c r="AW102" s="43" t="s">
        <v>1542</v>
      </c>
      <c r="AX102" s="43" t="s">
        <v>1542</v>
      </c>
      <c r="AY102" s="43" t="s">
        <v>1542</v>
      </c>
      <c r="AZ102" s="43" t="s">
        <v>1542</v>
      </c>
      <c r="BA102" s="43" t="s">
        <v>1542</v>
      </c>
      <c r="BB102" s="46">
        <f t="shared" si="6"/>
        <v>0</v>
      </c>
      <c r="BC102" s="44" t="s">
        <v>1542</v>
      </c>
      <c r="BD102" s="44" t="s">
        <v>1542</v>
      </c>
      <c r="BE102" s="44" t="s">
        <v>1542</v>
      </c>
      <c r="BF102" s="44" t="s">
        <v>1542</v>
      </c>
      <c r="BG102" s="44" t="s">
        <v>1542</v>
      </c>
      <c r="BH102" s="44" t="s">
        <v>1542</v>
      </c>
      <c r="BI102" s="44" t="s">
        <v>1542</v>
      </c>
      <c r="BJ102" s="44" t="s">
        <v>1542</v>
      </c>
      <c r="BK102" s="44" t="s">
        <v>1542</v>
      </c>
      <c r="BL102" s="44" t="s">
        <v>1542</v>
      </c>
      <c r="BM102" s="44" t="s">
        <v>1542</v>
      </c>
      <c r="BN102" s="44" t="s">
        <v>1542</v>
      </c>
      <c r="BO102" s="46">
        <f t="shared" si="7"/>
        <v>0</v>
      </c>
      <c r="BP102" s="43" t="s">
        <v>1542</v>
      </c>
      <c r="BQ102" s="43" t="s">
        <v>1542</v>
      </c>
      <c r="BR102" s="43" t="s">
        <v>1554</v>
      </c>
      <c r="BS102" s="43" t="s">
        <v>1554</v>
      </c>
      <c r="BT102" s="43" t="s">
        <v>1554</v>
      </c>
      <c r="BU102" s="43" t="s">
        <v>1542</v>
      </c>
      <c r="BV102" s="43" t="s">
        <v>1542</v>
      </c>
      <c r="BW102" s="43" t="s">
        <v>1542</v>
      </c>
      <c r="BX102" s="43" t="s">
        <v>1542</v>
      </c>
      <c r="BY102" s="43" t="s">
        <v>1542</v>
      </c>
      <c r="BZ102" s="43" t="s">
        <v>1542</v>
      </c>
      <c r="CA102" s="43" t="s">
        <v>1542</v>
      </c>
    </row>
    <row r="103" spans="1:79">
      <c r="A103">
        <v>102</v>
      </c>
      <c r="B103">
        <v>1</v>
      </c>
      <c r="C103" t="s">
        <v>1696</v>
      </c>
      <c r="D103" t="s">
        <v>1697</v>
      </c>
      <c r="E103" t="s">
        <v>1962</v>
      </c>
      <c r="F103" t="s">
        <v>1963</v>
      </c>
      <c r="G103" t="s">
        <v>1996</v>
      </c>
      <c r="H103" t="s">
        <v>1996</v>
      </c>
      <c r="J103" t="s">
        <v>1997</v>
      </c>
      <c r="K103" t="s">
        <v>1998</v>
      </c>
      <c r="M103" s="1" t="s">
        <v>1999</v>
      </c>
      <c r="N103" t="s">
        <v>2000</v>
      </c>
      <c r="O103" s="46">
        <f t="shared" si="8"/>
        <v>11</v>
      </c>
      <c r="P103" s="43" t="s">
        <v>1542</v>
      </c>
      <c r="Q103" s="43" t="s">
        <v>1554</v>
      </c>
      <c r="R103" s="43" t="s">
        <v>1554</v>
      </c>
      <c r="S103" s="43" t="s">
        <v>1554</v>
      </c>
      <c r="T103" s="43" t="s">
        <v>1554</v>
      </c>
      <c r="U103" s="43" t="s">
        <v>1554</v>
      </c>
      <c r="V103" s="43" t="s">
        <v>1554</v>
      </c>
      <c r="W103" s="43" t="s">
        <v>1554</v>
      </c>
      <c r="X103" s="43" t="s">
        <v>1554</v>
      </c>
      <c r="Y103" s="43" t="s">
        <v>1554</v>
      </c>
      <c r="Z103" s="43" t="s">
        <v>1554</v>
      </c>
      <c r="AA103" s="43" t="s">
        <v>1554</v>
      </c>
      <c r="AB103" s="46">
        <f t="shared" si="9"/>
        <v>0</v>
      </c>
      <c r="AC103" s="44" t="s">
        <v>1542</v>
      </c>
      <c r="AD103" s="44" t="s">
        <v>1542</v>
      </c>
      <c r="AE103" s="44" t="s">
        <v>1542</v>
      </c>
      <c r="AF103" s="44" t="s">
        <v>1542</v>
      </c>
      <c r="AG103" s="44" t="s">
        <v>1542</v>
      </c>
      <c r="AH103" s="44" t="s">
        <v>1542</v>
      </c>
      <c r="AI103" s="44" t="s">
        <v>1542</v>
      </c>
      <c r="AJ103" s="44" t="s">
        <v>1542</v>
      </c>
      <c r="AK103" s="44" t="s">
        <v>1542</v>
      </c>
      <c r="AL103" s="44" t="s">
        <v>1542</v>
      </c>
      <c r="AM103" s="44" t="s">
        <v>1542</v>
      </c>
      <c r="AN103" s="44" t="s">
        <v>1542</v>
      </c>
      <c r="AO103" s="46">
        <f t="shared" si="5"/>
        <v>0</v>
      </c>
      <c r="AP103" s="43" t="s">
        <v>1542</v>
      </c>
      <c r="AQ103" s="43" t="s">
        <v>1542</v>
      </c>
      <c r="AR103" s="43" t="s">
        <v>1542</v>
      </c>
      <c r="AS103" s="43" t="s">
        <v>1542</v>
      </c>
      <c r="AT103" s="43" t="s">
        <v>1542</v>
      </c>
      <c r="AU103" s="43" t="s">
        <v>1542</v>
      </c>
      <c r="AV103" s="43" t="s">
        <v>1542</v>
      </c>
      <c r="AW103" s="43" t="s">
        <v>1542</v>
      </c>
      <c r="AX103" s="43" t="s">
        <v>1542</v>
      </c>
      <c r="AY103" s="43" t="s">
        <v>1542</v>
      </c>
      <c r="AZ103" s="43" t="s">
        <v>1542</v>
      </c>
      <c r="BA103" s="43" t="s">
        <v>1542</v>
      </c>
      <c r="BB103" s="46">
        <f t="shared" si="6"/>
        <v>0</v>
      </c>
      <c r="BC103" s="44" t="s">
        <v>1542</v>
      </c>
      <c r="BD103" s="44" t="s">
        <v>1542</v>
      </c>
      <c r="BE103" s="44" t="s">
        <v>1542</v>
      </c>
      <c r="BF103" s="44" t="s">
        <v>1542</v>
      </c>
      <c r="BG103" s="44" t="s">
        <v>1542</v>
      </c>
      <c r="BH103" s="44" t="s">
        <v>1542</v>
      </c>
      <c r="BI103" s="44" t="s">
        <v>1542</v>
      </c>
      <c r="BJ103" s="44" t="s">
        <v>1542</v>
      </c>
      <c r="BK103" s="44" t="s">
        <v>1542</v>
      </c>
      <c r="BL103" s="44" t="s">
        <v>1542</v>
      </c>
      <c r="BM103" s="44" t="s">
        <v>1542</v>
      </c>
      <c r="BN103" s="44" t="s">
        <v>1542</v>
      </c>
      <c r="BO103" s="46">
        <f t="shared" si="7"/>
        <v>0</v>
      </c>
      <c r="BP103" s="43" t="s">
        <v>1542</v>
      </c>
      <c r="BQ103" s="43" t="s">
        <v>1542</v>
      </c>
      <c r="BR103" s="43" t="s">
        <v>1542</v>
      </c>
      <c r="BS103" s="43" t="s">
        <v>1542</v>
      </c>
      <c r="BT103" s="43" t="s">
        <v>1542</v>
      </c>
      <c r="BU103" s="43" t="s">
        <v>1542</v>
      </c>
      <c r="BV103" s="43" t="s">
        <v>1542</v>
      </c>
      <c r="BW103" s="43" t="s">
        <v>1542</v>
      </c>
      <c r="BX103" s="43" t="s">
        <v>1542</v>
      </c>
      <c r="BY103" s="43" t="s">
        <v>1542</v>
      </c>
      <c r="BZ103" s="43" t="s">
        <v>1542</v>
      </c>
      <c r="CA103" s="43" t="s">
        <v>1542</v>
      </c>
    </row>
    <row r="104" spans="1:79">
      <c r="A104">
        <v>103</v>
      </c>
      <c r="B104">
        <v>1</v>
      </c>
      <c r="C104" t="s">
        <v>1696</v>
      </c>
      <c r="D104" t="s">
        <v>1697</v>
      </c>
      <c r="E104" t="s">
        <v>1962</v>
      </c>
      <c r="F104" t="s">
        <v>1963</v>
      </c>
      <c r="G104" t="s">
        <v>2001</v>
      </c>
      <c r="H104" t="s">
        <v>2001</v>
      </c>
      <c r="J104" t="s">
        <v>2002</v>
      </c>
      <c r="K104" t="s">
        <v>2003</v>
      </c>
      <c r="M104" s="1" t="s">
        <v>2004</v>
      </c>
      <c r="N104" t="s">
        <v>2005</v>
      </c>
      <c r="O104" s="46">
        <f t="shared" si="8"/>
        <v>9</v>
      </c>
      <c r="P104" s="43" t="s">
        <v>1542</v>
      </c>
      <c r="Q104" s="43" t="s">
        <v>1542</v>
      </c>
      <c r="R104" s="43" t="s">
        <v>1542</v>
      </c>
      <c r="S104" s="43" t="s">
        <v>1554</v>
      </c>
      <c r="T104" s="43" t="s">
        <v>1554</v>
      </c>
      <c r="U104" s="43" t="s">
        <v>1554</v>
      </c>
      <c r="V104" s="43" t="s">
        <v>1554</v>
      </c>
      <c r="W104" s="43" t="s">
        <v>1554</v>
      </c>
      <c r="X104" s="43" t="s">
        <v>1554</v>
      </c>
      <c r="Y104" s="43" t="s">
        <v>1554</v>
      </c>
      <c r="Z104" s="43" t="s">
        <v>1554</v>
      </c>
      <c r="AA104" s="43" t="s">
        <v>1554</v>
      </c>
      <c r="AB104" s="46">
        <f t="shared" si="9"/>
        <v>0</v>
      </c>
      <c r="AC104" s="44" t="s">
        <v>1542</v>
      </c>
      <c r="AD104" s="44" t="s">
        <v>1542</v>
      </c>
      <c r="AE104" s="44" t="s">
        <v>1542</v>
      </c>
      <c r="AF104" s="44" t="s">
        <v>1542</v>
      </c>
      <c r="AG104" s="44" t="s">
        <v>1542</v>
      </c>
      <c r="AH104" s="44" t="s">
        <v>1542</v>
      </c>
      <c r="AI104" s="44" t="s">
        <v>1542</v>
      </c>
      <c r="AJ104" s="44" t="s">
        <v>1542</v>
      </c>
      <c r="AK104" s="44" t="s">
        <v>1542</v>
      </c>
      <c r="AL104" s="44" t="s">
        <v>1542</v>
      </c>
      <c r="AM104" s="44" t="s">
        <v>1542</v>
      </c>
      <c r="AN104" s="44" t="s">
        <v>1542</v>
      </c>
      <c r="AO104" s="46">
        <f t="shared" si="5"/>
        <v>0</v>
      </c>
      <c r="AP104" s="43" t="s">
        <v>1542</v>
      </c>
      <c r="AQ104" s="43" t="s">
        <v>1542</v>
      </c>
      <c r="AR104" s="43" t="s">
        <v>1542</v>
      </c>
      <c r="AS104" s="43" t="s">
        <v>1542</v>
      </c>
      <c r="AT104" s="43" t="s">
        <v>1542</v>
      </c>
      <c r="AU104" s="43" t="s">
        <v>1542</v>
      </c>
      <c r="AV104" s="43" t="s">
        <v>1542</v>
      </c>
      <c r="AW104" s="43" t="s">
        <v>1542</v>
      </c>
      <c r="AX104" s="43" t="s">
        <v>1542</v>
      </c>
      <c r="AY104" s="43" t="s">
        <v>1542</v>
      </c>
      <c r="AZ104" s="43" t="s">
        <v>1542</v>
      </c>
      <c r="BA104" s="43" t="s">
        <v>1542</v>
      </c>
      <c r="BB104" s="46">
        <f t="shared" si="6"/>
        <v>0</v>
      </c>
      <c r="BC104" s="44" t="s">
        <v>1542</v>
      </c>
      <c r="BD104" s="44" t="s">
        <v>1542</v>
      </c>
      <c r="BE104" s="44" t="s">
        <v>1542</v>
      </c>
      <c r="BF104" s="44" t="s">
        <v>1542</v>
      </c>
      <c r="BG104" s="44" t="s">
        <v>1542</v>
      </c>
      <c r="BH104" s="44" t="s">
        <v>1542</v>
      </c>
      <c r="BI104" s="44" t="s">
        <v>1542</v>
      </c>
      <c r="BJ104" s="44" t="s">
        <v>1542</v>
      </c>
      <c r="BK104" s="44" t="s">
        <v>1542</v>
      </c>
      <c r="BL104" s="44" t="s">
        <v>1542</v>
      </c>
      <c r="BM104" s="44" t="s">
        <v>1542</v>
      </c>
      <c r="BN104" s="44" t="s">
        <v>1542</v>
      </c>
      <c r="BO104" s="46">
        <f t="shared" si="7"/>
        <v>0</v>
      </c>
      <c r="BP104" s="43" t="s">
        <v>1542</v>
      </c>
      <c r="BQ104" s="43" t="s">
        <v>1542</v>
      </c>
      <c r="BR104" s="43" t="s">
        <v>1542</v>
      </c>
      <c r="BS104" s="43" t="s">
        <v>1542</v>
      </c>
      <c r="BT104" s="43" t="s">
        <v>1542</v>
      </c>
      <c r="BU104" s="43" t="s">
        <v>1542</v>
      </c>
      <c r="BV104" s="43" t="s">
        <v>1542</v>
      </c>
      <c r="BW104" s="43" t="s">
        <v>1542</v>
      </c>
      <c r="BX104" s="43" t="s">
        <v>1542</v>
      </c>
      <c r="BY104" s="43" t="s">
        <v>1542</v>
      </c>
      <c r="BZ104" s="43" t="s">
        <v>1542</v>
      </c>
      <c r="CA104" s="43" t="s">
        <v>1542</v>
      </c>
    </row>
    <row r="105" spans="1:79">
      <c r="A105">
        <v>104</v>
      </c>
      <c r="B105">
        <v>1</v>
      </c>
      <c r="C105" t="s">
        <v>1696</v>
      </c>
      <c r="D105" t="s">
        <v>1697</v>
      </c>
      <c r="E105" t="s">
        <v>1962</v>
      </c>
      <c r="F105" t="s">
        <v>1963</v>
      </c>
      <c r="G105" t="s">
        <v>2006</v>
      </c>
      <c r="H105" t="s">
        <v>2006</v>
      </c>
      <c r="J105" t="s">
        <v>2007</v>
      </c>
      <c r="K105" t="s">
        <v>2008</v>
      </c>
      <c r="L105" t="s">
        <v>1539</v>
      </c>
      <c r="M105" s="1" t="s">
        <v>2009</v>
      </c>
      <c r="N105" t="s">
        <v>2010</v>
      </c>
      <c r="O105" s="46">
        <f t="shared" si="8"/>
        <v>0</v>
      </c>
      <c r="P105" s="43" t="s">
        <v>1542</v>
      </c>
      <c r="Q105" s="43" t="s">
        <v>1542</v>
      </c>
      <c r="R105" s="43" t="s">
        <v>1542</v>
      </c>
      <c r="S105" s="43" t="s">
        <v>1542</v>
      </c>
      <c r="T105" s="43" t="s">
        <v>1542</v>
      </c>
      <c r="U105" s="43" t="s">
        <v>1542</v>
      </c>
      <c r="V105" s="43" t="s">
        <v>1542</v>
      </c>
      <c r="W105" s="43" t="s">
        <v>1542</v>
      </c>
      <c r="X105" s="43" t="s">
        <v>1542</v>
      </c>
      <c r="Y105" s="43" t="s">
        <v>1542</v>
      </c>
      <c r="Z105" s="43" t="s">
        <v>1542</v>
      </c>
      <c r="AA105" s="43" t="s">
        <v>1542</v>
      </c>
      <c r="AB105" s="46">
        <f t="shared" si="9"/>
        <v>0</v>
      </c>
      <c r="AC105" s="44" t="s">
        <v>1542</v>
      </c>
      <c r="AD105" s="44" t="s">
        <v>1542</v>
      </c>
      <c r="AE105" s="44" t="s">
        <v>1542</v>
      </c>
      <c r="AF105" s="44" t="s">
        <v>1542</v>
      </c>
      <c r="AG105" s="44" t="s">
        <v>1542</v>
      </c>
      <c r="AH105" s="44" t="s">
        <v>1542</v>
      </c>
      <c r="AI105" s="44" t="s">
        <v>1542</v>
      </c>
      <c r="AJ105" s="44" t="s">
        <v>1542</v>
      </c>
      <c r="AK105" s="44" t="s">
        <v>1542</v>
      </c>
      <c r="AL105" s="44" t="s">
        <v>1542</v>
      </c>
      <c r="AM105" s="44" t="s">
        <v>1542</v>
      </c>
      <c r="AN105" s="44" t="s">
        <v>1542</v>
      </c>
      <c r="AO105" s="46">
        <f t="shared" si="5"/>
        <v>0</v>
      </c>
      <c r="AP105" s="43" t="s">
        <v>1542</v>
      </c>
      <c r="AQ105" s="43" t="s">
        <v>1542</v>
      </c>
      <c r="AR105" s="43" t="s">
        <v>1542</v>
      </c>
      <c r="AS105" s="43" t="s">
        <v>1542</v>
      </c>
      <c r="AT105" s="43" t="s">
        <v>1542</v>
      </c>
      <c r="AU105" s="43" t="s">
        <v>1542</v>
      </c>
      <c r="AV105" s="43" t="s">
        <v>1542</v>
      </c>
      <c r="AW105" s="43" t="s">
        <v>1542</v>
      </c>
      <c r="AX105" s="43" t="s">
        <v>1542</v>
      </c>
      <c r="AY105" s="43" t="s">
        <v>1542</v>
      </c>
      <c r="AZ105" s="43" t="s">
        <v>1542</v>
      </c>
      <c r="BA105" s="43" t="s">
        <v>1542</v>
      </c>
      <c r="BB105" s="46">
        <f t="shared" si="6"/>
        <v>0</v>
      </c>
      <c r="BC105" s="44" t="s">
        <v>1542</v>
      </c>
      <c r="BD105" s="44" t="s">
        <v>1542</v>
      </c>
      <c r="BE105" s="44" t="s">
        <v>1542</v>
      </c>
      <c r="BF105" s="44" t="s">
        <v>1542</v>
      </c>
      <c r="BG105" s="44" t="s">
        <v>1542</v>
      </c>
      <c r="BH105" s="44" t="s">
        <v>1542</v>
      </c>
      <c r="BI105" s="44" t="s">
        <v>1542</v>
      </c>
      <c r="BJ105" s="44" t="s">
        <v>1542</v>
      </c>
      <c r="BK105" s="44" t="s">
        <v>1542</v>
      </c>
      <c r="BL105" s="44" t="s">
        <v>1542</v>
      </c>
      <c r="BM105" s="44" t="s">
        <v>1542</v>
      </c>
      <c r="BN105" s="44" t="s">
        <v>1542</v>
      </c>
      <c r="BO105" s="46">
        <f t="shared" si="7"/>
        <v>0</v>
      </c>
      <c r="BP105" s="43" t="s">
        <v>1542</v>
      </c>
      <c r="BQ105" s="43" t="s">
        <v>1542</v>
      </c>
      <c r="BR105" s="43" t="s">
        <v>1542</v>
      </c>
      <c r="BS105" s="43" t="s">
        <v>1542</v>
      </c>
      <c r="BT105" s="43" t="s">
        <v>1542</v>
      </c>
      <c r="BU105" s="43" t="s">
        <v>1542</v>
      </c>
      <c r="BV105" s="43" t="s">
        <v>1542</v>
      </c>
      <c r="BW105" s="43" t="s">
        <v>1542</v>
      </c>
      <c r="BX105" s="43" t="s">
        <v>1542</v>
      </c>
      <c r="BY105" s="43" t="s">
        <v>1542</v>
      </c>
      <c r="BZ105" s="43" t="s">
        <v>1554</v>
      </c>
      <c r="CA105" s="43" t="s">
        <v>1554</v>
      </c>
    </row>
    <row r="106" spans="1:79">
      <c r="A106">
        <v>105</v>
      </c>
      <c r="B106">
        <v>1</v>
      </c>
      <c r="C106" t="s">
        <v>1696</v>
      </c>
      <c r="D106" t="s">
        <v>1697</v>
      </c>
      <c r="E106" t="s">
        <v>1962</v>
      </c>
      <c r="F106" t="s">
        <v>1963</v>
      </c>
      <c r="G106" t="s">
        <v>2011</v>
      </c>
      <c r="H106" t="s">
        <v>2011</v>
      </c>
      <c r="J106" t="s">
        <v>2012</v>
      </c>
      <c r="K106" t="s">
        <v>2013</v>
      </c>
      <c r="L106" t="s">
        <v>1539</v>
      </c>
      <c r="M106" s="1" t="s">
        <v>2014</v>
      </c>
      <c r="N106" t="s">
        <v>2015</v>
      </c>
      <c r="O106" s="46">
        <f t="shared" si="8"/>
        <v>0</v>
      </c>
      <c r="P106" s="43" t="s">
        <v>1542</v>
      </c>
      <c r="Q106" s="43" t="s">
        <v>1542</v>
      </c>
      <c r="R106" s="43" t="s">
        <v>1542</v>
      </c>
      <c r="S106" s="43" t="s">
        <v>1542</v>
      </c>
      <c r="T106" s="43" t="s">
        <v>1542</v>
      </c>
      <c r="U106" s="43" t="s">
        <v>1542</v>
      </c>
      <c r="V106" s="43" t="s">
        <v>1542</v>
      </c>
      <c r="W106" s="43" t="s">
        <v>1542</v>
      </c>
      <c r="X106" s="43" t="s">
        <v>1542</v>
      </c>
      <c r="Y106" s="43" t="s">
        <v>1542</v>
      </c>
      <c r="Z106" s="43" t="s">
        <v>1542</v>
      </c>
      <c r="AA106" s="43" t="s">
        <v>1542</v>
      </c>
      <c r="AB106" s="46">
        <f t="shared" si="9"/>
        <v>0</v>
      </c>
      <c r="AC106" s="44" t="s">
        <v>1542</v>
      </c>
      <c r="AD106" s="44" t="s">
        <v>1542</v>
      </c>
      <c r="AE106" s="44" t="s">
        <v>1542</v>
      </c>
      <c r="AF106" s="44" t="s">
        <v>1542</v>
      </c>
      <c r="AG106" s="44" t="s">
        <v>1542</v>
      </c>
      <c r="AH106" s="44" t="s">
        <v>1542</v>
      </c>
      <c r="AI106" s="44" t="s">
        <v>1542</v>
      </c>
      <c r="AJ106" s="44" t="s">
        <v>1542</v>
      </c>
      <c r="AK106" s="44" t="s">
        <v>1542</v>
      </c>
      <c r="AL106" s="44" t="s">
        <v>1542</v>
      </c>
      <c r="AM106" s="44" t="s">
        <v>1542</v>
      </c>
      <c r="AN106" s="44" t="s">
        <v>1542</v>
      </c>
      <c r="AO106" s="46">
        <f t="shared" si="5"/>
        <v>0</v>
      </c>
      <c r="AP106" s="43" t="s">
        <v>1542</v>
      </c>
      <c r="AQ106" s="43" t="s">
        <v>1542</v>
      </c>
      <c r="AR106" s="43" t="s">
        <v>1542</v>
      </c>
      <c r="AS106" s="43" t="s">
        <v>1542</v>
      </c>
      <c r="AT106" s="43" t="s">
        <v>1542</v>
      </c>
      <c r="AU106" s="43" t="s">
        <v>1542</v>
      </c>
      <c r="AV106" s="43" t="s">
        <v>1542</v>
      </c>
      <c r="AW106" s="43" t="s">
        <v>1542</v>
      </c>
      <c r="AX106" s="43" t="s">
        <v>1542</v>
      </c>
      <c r="AY106" s="43" t="s">
        <v>1542</v>
      </c>
      <c r="AZ106" s="43" t="s">
        <v>1542</v>
      </c>
      <c r="BA106" s="43" t="s">
        <v>1542</v>
      </c>
      <c r="BB106" s="46">
        <f t="shared" si="6"/>
        <v>0</v>
      </c>
      <c r="BC106" s="44" t="s">
        <v>1542</v>
      </c>
      <c r="BD106" s="44" t="s">
        <v>1542</v>
      </c>
      <c r="BE106" s="44" t="s">
        <v>1542</v>
      </c>
      <c r="BF106" s="44" t="s">
        <v>1542</v>
      </c>
      <c r="BG106" s="44" t="s">
        <v>1542</v>
      </c>
      <c r="BH106" s="44" t="s">
        <v>1542</v>
      </c>
      <c r="BI106" s="44" t="s">
        <v>1542</v>
      </c>
      <c r="BJ106" s="44" t="s">
        <v>1542</v>
      </c>
      <c r="BK106" s="44" t="s">
        <v>1542</v>
      </c>
      <c r="BL106" s="44" t="s">
        <v>1542</v>
      </c>
      <c r="BM106" s="44" t="s">
        <v>1542</v>
      </c>
      <c r="BN106" s="44" t="s">
        <v>1542</v>
      </c>
      <c r="BO106" s="46">
        <f t="shared" si="7"/>
        <v>0</v>
      </c>
      <c r="BP106" s="43" t="s">
        <v>1542</v>
      </c>
      <c r="BQ106" s="43" t="s">
        <v>1542</v>
      </c>
      <c r="BR106" s="43" t="s">
        <v>1554</v>
      </c>
      <c r="BS106" s="43" t="s">
        <v>1554</v>
      </c>
      <c r="BT106" s="43" t="s">
        <v>1554</v>
      </c>
      <c r="BU106" s="43" t="s">
        <v>1554</v>
      </c>
      <c r="BV106" s="43" t="s">
        <v>1554</v>
      </c>
      <c r="BW106" s="43" t="s">
        <v>1554</v>
      </c>
      <c r="BX106" s="43" t="s">
        <v>1542</v>
      </c>
      <c r="BY106" s="43" t="s">
        <v>1542</v>
      </c>
      <c r="BZ106" s="43" t="s">
        <v>1542</v>
      </c>
      <c r="CA106" s="43" t="s">
        <v>1542</v>
      </c>
    </row>
    <row r="107" spans="1:79">
      <c r="A107">
        <v>106</v>
      </c>
      <c r="B107">
        <v>1</v>
      </c>
      <c r="C107" t="s">
        <v>1696</v>
      </c>
      <c r="D107" t="s">
        <v>1697</v>
      </c>
      <c r="E107" t="s">
        <v>1962</v>
      </c>
      <c r="F107" t="s">
        <v>1963</v>
      </c>
      <c r="G107" t="s">
        <v>2016</v>
      </c>
      <c r="H107" t="s">
        <v>2016</v>
      </c>
      <c r="J107" t="s">
        <v>2017</v>
      </c>
      <c r="K107" t="s">
        <v>2018</v>
      </c>
      <c r="L107" t="s">
        <v>1539</v>
      </c>
      <c r="M107" s="1" t="s">
        <v>2019</v>
      </c>
      <c r="N107" t="s">
        <v>2020</v>
      </c>
      <c r="O107" s="46">
        <f t="shared" si="8"/>
        <v>0</v>
      </c>
      <c r="P107" s="43" t="s">
        <v>1542</v>
      </c>
      <c r="Q107" s="43" t="s">
        <v>1542</v>
      </c>
      <c r="R107" s="43" t="s">
        <v>1542</v>
      </c>
      <c r="S107" s="43" t="s">
        <v>1542</v>
      </c>
      <c r="T107" s="43" t="s">
        <v>1542</v>
      </c>
      <c r="U107" s="43" t="s">
        <v>1542</v>
      </c>
      <c r="V107" s="43" t="s">
        <v>1542</v>
      </c>
      <c r="W107" s="43" t="s">
        <v>1542</v>
      </c>
      <c r="X107" s="43" t="s">
        <v>1542</v>
      </c>
      <c r="Y107" s="43" t="s">
        <v>1542</v>
      </c>
      <c r="Z107" s="43" t="s">
        <v>1542</v>
      </c>
      <c r="AA107" s="43" t="s">
        <v>1542</v>
      </c>
      <c r="AB107" s="46">
        <f t="shared" si="9"/>
        <v>0</v>
      </c>
      <c r="AC107" s="44" t="s">
        <v>1542</v>
      </c>
      <c r="AD107" s="44" t="s">
        <v>1542</v>
      </c>
      <c r="AE107" s="44" t="s">
        <v>1542</v>
      </c>
      <c r="AF107" s="44" t="s">
        <v>1542</v>
      </c>
      <c r="AG107" s="44" t="s">
        <v>1542</v>
      </c>
      <c r="AH107" s="44" t="s">
        <v>1542</v>
      </c>
      <c r="AI107" s="44" t="s">
        <v>1542</v>
      </c>
      <c r="AJ107" s="44" t="s">
        <v>1542</v>
      </c>
      <c r="AK107" s="44" t="s">
        <v>1542</v>
      </c>
      <c r="AL107" s="44" t="s">
        <v>1542</v>
      </c>
      <c r="AM107" s="44" t="s">
        <v>1542</v>
      </c>
      <c r="AN107" s="44" t="s">
        <v>1542</v>
      </c>
      <c r="AO107" s="46">
        <f t="shared" si="5"/>
        <v>0</v>
      </c>
      <c r="AP107" s="43" t="s">
        <v>1542</v>
      </c>
      <c r="AQ107" s="43" t="s">
        <v>1542</v>
      </c>
      <c r="AR107" s="43" t="s">
        <v>1542</v>
      </c>
      <c r="AS107" s="43" t="s">
        <v>1542</v>
      </c>
      <c r="AT107" s="43" t="s">
        <v>1542</v>
      </c>
      <c r="AU107" s="43" t="s">
        <v>1542</v>
      </c>
      <c r="AV107" s="43" t="s">
        <v>1542</v>
      </c>
      <c r="AW107" s="43" t="s">
        <v>1542</v>
      </c>
      <c r="AX107" s="43" t="s">
        <v>1542</v>
      </c>
      <c r="AY107" s="43" t="s">
        <v>1542</v>
      </c>
      <c r="AZ107" s="43" t="s">
        <v>1542</v>
      </c>
      <c r="BA107" s="43" t="s">
        <v>1542</v>
      </c>
      <c r="BB107" s="46">
        <f t="shared" si="6"/>
        <v>0</v>
      </c>
      <c r="BC107" s="44" t="s">
        <v>1542</v>
      </c>
      <c r="BD107" s="44" t="s">
        <v>1542</v>
      </c>
      <c r="BE107" s="44" t="s">
        <v>1542</v>
      </c>
      <c r="BF107" s="44" t="s">
        <v>1542</v>
      </c>
      <c r="BG107" s="44" t="s">
        <v>1542</v>
      </c>
      <c r="BH107" s="44" t="s">
        <v>1542</v>
      </c>
      <c r="BI107" s="44" t="s">
        <v>1542</v>
      </c>
      <c r="BJ107" s="44" t="s">
        <v>1542</v>
      </c>
      <c r="BK107" s="44" t="s">
        <v>1542</v>
      </c>
      <c r="BL107" s="44" t="s">
        <v>1542</v>
      </c>
      <c r="BM107" s="44" t="s">
        <v>1542</v>
      </c>
      <c r="BN107" s="44" t="s">
        <v>1542</v>
      </c>
      <c r="BO107" s="46">
        <f t="shared" si="7"/>
        <v>0</v>
      </c>
      <c r="BP107" s="43" t="s">
        <v>1542</v>
      </c>
      <c r="BQ107" s="43" t="s">
        <v>1542</v>
      </c>
      <c r="BR107" s="43" t="s">
        <v>1542</v>
      </c>
      <c r="BS107" s="43" t="s">
        <v>1542</v>
      </c>
      <c r="BT107" s="43" t="s">
        <v>1542</v>
      </c>
      <c r="BU107" s="43" t="s">
        <v>1542</v>
      </c>
      <c r="BV107" s="43" t="s">
        <v>1542</v>
      </c>
      <c r="BW107" s="43" t="s">
        <v>1542</v>
      </c>
      <c r="BX107" s="43" t="s">
        <v>1542</v>
      </c>
      <c r="BY107" s="43" t="s">
        <v>1542</v>
      </c>
      <c r="BZ107" s="43" t="s">
        <v>1542</v>
      </c>
      <c r="CA107" s="43" t="s">
        <v>1542</v>
      </c>
    </row>
    <row r="108" spans="1:79">
      <c r="A108">
        <v>107</v>
      </c>
      <c r="C108" t="s">
        <v>1696</v>
      </c>
      <c r="D108" t="s">
        <v>1697</v>
      </c>
      <c r="E108" t="s">
        <v>1962</v>
      </c>
      <c r="F108" t="s">
        <v>1963</v>
      </c>
      <c r="G108" t="s">
        <v>2016</v>
      </c>
      <c r="H108" t="s">
        <v>2021</v>
      </c>
      <c r="I108" t="s">
        <v>2021</v>
      </c>
      <c r="J108" t="s">
        <v>2017</v>
      </c>
      <c r="K108" t="s">
        <v>2018</v>
      </c>
      <c r="L108" t="s">
        <v>1539</v>
      </c>
      <c r="M108" s="1" t="s">
        <v>2022</v>
      </c>
      <c r="N108" t="s">
        <v>2023</v>
      </c>
      <c r="O108" s="46">
        <f t="shared" si="8"/>
        <v>1</v>
      </c>
      <c r="P108" s="43" t="s">
        <v>1542</v>
      </c>
      <c r="Q108" s="43" t="s">
        <v>1554</v>
      </c>
      <c r="R108" s="43"/>
      <c r="S108" s="43"/>
      <c r="T108" s="43"/>
      <c r="U108" s="43"/>
      <c r="V108" s="43"/>
      <c r="W108" s="43"/>
      <c r="X108" s="43"/>
      <c r="Y108" s="43"/>
      <c r="Z108" s="43"/>
      <c r="AA108" s="43"/>
      <c r="AB108" s="46">
        <f t="shared" si="9"/>
        <v>0</v>
      </c>
      <c r="AC108" s="44" t="s">
        <v>1542</v>
      </c>
      <c r="AD108" s="44" t="s">
        <v>1542</v>
      </c>
      <c r="AE108" s="44" t="s">
        <v>1542</v>
      </c>
      <c r="AF108" s="44" t="s">
        <v>1542</v>
      </c>
      <c r="AG108" s="44" t="s">
        <v>1542</v>
      </c>
      <c r="AH108" s="44" t="s">
        <v>1542</v>
      </c>
      <c r="AI108" s="44" t="s">
        <v>1542</v>
      </c>
      <c r="AJ108" s="44" t="s">
        <v>1542</v>
      </c>
      <c r="AK108" s="44" t="s">
        <v>1542</v>
      </c>
      <c r="AL108" s="44" t="s">
        <v>1542</v>
      </c>
      <c r="AM108" s="44" t="s">
        <v>1542</v>
      </c>
      <c r="AN108" s="44" t="s">
        <v>1542</v>
      </c>
      <c r="AO108" s="46">
        <f t="shared" si="5"/>
        <v>0</v>
      </c>
      <c r="AP108" s="43" t="s">
        <v>1542</v>
      </c>
      <c r="AQ108" s="43" t="s">
        <v>1542</v>
      </c>
      <c r="AR108" s="43" t="s">
        <v>1542</v>
      </c>
      <c r="AS108" s="43" t="s">
        <v>1542</v>
      </c>
      <c r="AT108" s="43" t="s">
        <v>1542</v>
      </c>
      <c r="AU108" s="43" t="s">
        <v>1542</v>
      </c>
      <c r="AV108" s="43" t="s">
        <v>1542</v>
      </c>
      <c r="AW108" s="43" t="s">
        <v>1542</v>
      </c>
      <c r="AX108" s="43" t="s">
        <v>1542</v>
      </c>
      <c r="AY108" s="43" t="s">
        <v>1542</v>
      </c>
      <c r="AZ108" s="43" t="s">
        <v>1542</v>
      </c>
      <c r="BA108" s="43" t="s">
        <v>1542</v>
      </c>
      <c r="BB108" s="46">
        <f t="shared" si="6"/>
        <v>0</v>
      </c>
      <c r="BC108" s="44" t="s">
        <v>1542</v>
      </c>
      <c r="BD108" s="44" t="s">
        <v>1542</v>
      </c>
      <c r="BE108" s="44" t="s">
        <v>1542</v>
      </c>
      <c r="BF108" s="44" t="s">
        <v>1542</v>
      </c>
      <c r="BG108" s="44" t="s">
        <v>1542</v>
      </c>
      <c r="BH108" s="44" t="s">
        <v>1542</v>
      </c>
      <c r="BI108" s="44" t="s">
        <v>1542</v>
      </c>
      <c r="BJ108" s="44" t="s">
        <v>1542</v>
      </c>
      <c r="BK108" s="44" t="s">
        <v>1542</v>
      </c>
      <c r="BL108" s="44" t="s">
        <v>1542</v>
      </c>
      <c r="BM108" s="44" t="s">
        <v>1542</v>
      </c>
      <c r="BN108" s="44" t="s">
        <v>1542</v>
      </c>
      <c r="BO108" s="46">
        <f t="shared" si="7"/>
        <v>0</v>
      </c>
      <c r="BP108" s="43" t="s">
        <v>1542</v>
      </c>
      <c r="BQ108" s="43" t="s">
        <v>1542</v>
      </c>
      <c r="BR108" s="43" t="s">
        <v>1542</v>
      </c>
      <c r="BS108" s="43" t="s">
        <v>1542</v>
      </c>
      <c r="BT108" s="43" t="s">
        <v>1542</v>
      </c>
      <c r="BU108" s="43" t="s">
        <v>1542</v>
      </c>
      <c r="BV108" s="43" t="s">
        <v>1542</v>
      </c>
      <c r="BW108" s="43" t="s">
        <v>1542</v>
      </c>
      <c r="BX108" s="43" t="s">
        <v>1542</v>
      </c>
      <c r="BY108" s="43" t="s">
        <v>1542</v>
      </c>
      <c r="BZ108" s="43" t="s">
        <v>1542</v>
      </c>
      <c r="CA108" s="43" t="s">
        <v>1542</v>
      </c>
    </row>
    <row r="109" spans="1:79">
      <c r="A109">
        <v>108</v>
      </c>
      <c r="B109">
        <v>1</v>
      </c>
      <c r="C109" t="s">
        <v>1696</v>
      </c>
      <c r="D109" t="s">
        <v>1697</v>
      </c>
      <c r="E109" t="s">
        <v>1962</v>
      </c>
      <c r="F109" t="s">
        <v>1963</v>
      </c>
      <c r="G109" t="s">
        <v>2024</v>
      </c>
      <c r="H109" t="s">
        <v>2024</v>
      </c>
      <c r="J109" t="s">
        <v>2025</v>
      </c>
      <c r="K109" t="s">
        <v>2026</v>
      </c>
      <c r="L109" t="s">
        <v>1539</v>
      </c>
      <c r="M109" s="1" t="s">
        <v>2027</v>
      </c>
      <c r="N109" t="s">
        <v>2028</v>
      </c>
      <c r="O109" s="46">
        <f t="shared" si="8"/>
        <v>0</v>
      </c>
      <c r="P109" s="43" t="s">
        <v>1542</v>
      </c>
      <c r="Q109" s="43" t="s">
        <v>1542</v>
      </c>
      <c r="R109" s="43" t="s">
        <v>1542</v>
      </c>
      <c r="S109" s="43" t="s">
        <v>1542</v>
      </c>
      <c r="T109" s="43" t="s">
        <v>1542</v>
      </c>
      <c r="U109" s="43" t="s">
        <v>1542</v>
      </c>
      <c r="V109" s="43" t="s">
        <v>1542</v>
      </c>
      <c r="W109" s="43" t="s">
        <v>1542</v>
      </c>
      <c r="X109" s="43" t="s">
        <v>1542</v>
      </c>
      <c r="Y109" s="43" t="s">
        <v>1542</v>
      </c>
      <c r="Z109" s="43" t="s">
        <v>1542</v>
      </c>
      <c r="AA109" s="43" t="s">
        <v>1542</v>
      </c>
      <c r="AB109" s="46">
        <f t="shared" si="9"/>
        <v>0</v>
      </c>
      <c r="AC109" s="44" t="s">
        <v>1542</v>
      </c>
      <c r="AD109" s="44" t="s">
        <v>1542</v>
      </c>
      <c r="AE109" s="44" t="s">
        <v>1542</v>
      </c>
      <c r="AF109" s="44" t="s">
        <v>1542</v>
      </c>
      <c r="AG109" s="44" t="s">
        <v>1542</v>
      </c>
      <c r="AH109" s="44" t="s">
        <v>1542</v>
      </c>
      <c r="AI109" s="44" t="s">
        <v>1542</v>
      </c>
      <c r="AJ109" s="44" t="s">
        <v>1542</v>
      </c>
      <c r="AK109" s="44" t="s">
        <v>1542</v>
      </c>
      <c r="AL109" s="44" t="s">
        <v>1542</v>
      </c>
      <c r="AM109" s="44" t="s">
        <v>1542</v>
      </c>
      <c r="AN109" s="44" t="s">
        <v>1542</v>
      </c>
      <c r="AO109" s="46">
        <f t="shared" si="5"/>
        <v>0</v>
      </c>
      <c r="AP109" s="43" t="s">
        <v>1542</v>
      </c>
      <c r="AQ109" s="43" t="s">
        <v>1542</v>
      </c>
      <c r="AR109" s="43" t="s">
        <v>1542</v>
      </c>
      <c r="AS109" s="43" t="s">
        <v>1542</v>
      </c>
      <c r="AT109" s="43" t="s">
        <v>1542</v>
      </c>
      <c r="AU109" s="43" t="s">
        <v>1542</v>
      </c>
      <c r="AV109" s="43" t="s">
        <v>1542</v>
      </c>
      <c r="AW109" s="43" t="s">
        <v>1542</v>
      </c>
      <c r="AX109" s="43" t="s">
        <v>1542</v>
      </c>
      <c r="AY109" s="43" t="s">
        <v>1542</v>
      </c>
      <c r="AZ109" s="43" t="s">
        <v>1542</v>
      </c>
      <c r="BA109" s="43" t="s">
        <v>1542</v>
      </c>
      <c r="BB109" s="46">
        <f t="shared" si="6"/>
        <v>0</v>
      </c>
      <c r="BC109" s="44" t="s">
        <v>1554</v>
      </c>
      <c r="BD109" s="44" t="s">
        <v>1542</v>
      </c>
      <c r="BE109" s="44" t="s">
        <v>1542</v>
      </c>
      <c r="BF109" s="44" t="s">
        <v>1542</v>
      </c>
      <c r="BG109" s="44" t="s">
        <v>1542</v>
      </c>
      <c r="BH109" s="44" t="s">
        <v>1542</v>
      </c>
      <c r="BI109" s="44" t="s">
        <v>1542</v>
      </c>
      <c r="BJ109" s="44" t="s">
        <v>1542</v>
      </c>
      <c r="BK109" s="44" t="s">
        <v>1542</v>
      </c>
      <c r="BL109" s="44" t="s">
        <v>1542</v>
      </c>
      <c r="BM109" s="44" t="s">
        <v>1542</v>
      </c>
      <c r="BN109" s="44" t="s">
        <v>1542</v>
      </c>
      <c r="BO109" s="46">
        <f t="shared" si="7"/>
        <v>1</v>
      </c>
      <c r="BP109" s="43" t="s">
        <v>1542</v>
      </c>
      <c r="BQ109" s="43" t="s">
        <v>1542</v>
      </c>
      <c r="BR109" s="43" t="s">
        <v>1542</v>
      </c>
      <c r="BS109" s="43" t="s">
        <v>1542</v>
      </c>
      <c r="BT109" s="43" t="s">
        <v>1542</v>
      </c>
      <c r="BU109" s="43" t="s">
        <v>1542</v>
      </c>
      <c r="BV109" s="43" t="s">
        <v>1542</v>
      </c>
      <c r="BW109" s="43" t="s">
        <v>1542</v>
      </c>
      <c r="BX109" s="43" t="s">
        <v>1542</v>
      </c>
      <c r="BY109" s="43" t="s">
        <v>1542</v>
      </c>
      <c r="BZ109" s="43" t="s">
        <v>1542</v>
      </c>
      <c r="CA109" s="43" t="s">
        <v>1542</v>
      </c>
    </row>
    <row r="110" spans="1:79">
      <c r="A110">
        <v>109</v>
      </c>
      <c r="B110">
        <v>1</v>
      </c>
      <c r="C110" t="s">
        <v>1696</v>
      </c>
      <c r="D110" t="s">
        <v>1697</v>
      </c>
      <c r="E110" t="s">
        <v>1962</v>
      </c>
      <c r="F110" t="s">
        <v>1963</v>
      </c>
      <c r="G110" t="s">
        <v>2029</v>
      </c>
      <c r="H110" t="s">
        <v>2029</v>
      </c>
      <c r="J110" t="s">
        <v>2030</v>
      </c>
      <c r="K110" t="s">
        <v>2031</v>
      </c>
      <c r="L110" t="s">
        <v>1539</v>
      </c>
      <c r="M110" s="1" t="s">
        <v>2032</v>
      </c>
      <c r="N110" t="s">
        <v>2033</v>
      </c>
      <c r="O110" s="46">
        <f t="shared" si="8"/>
        <v>0</v>
      </c>
      <c r="P110" s="43" t="s">
        <v>1542</v>
      </c>
      <c r="Q110" s="43" t="s">
        <v>1542</v>
      </c>
      <c r="R110" s="43" t="s">
        <v>1542</v>
      </c>
      <c r="S110" s="43" t="s">
        <v>1542</v>
      </c>
      <c r="T110" s="43" t="s">
        <v>1542</v>
      </c>
      <c r="U110" s="43" t="s">
        <v>1542</v>
      </c>
      <c r="V110" s="43" t="s">
        <v>1542</v>
      </c>
      <c r="W110" s="43" t="s">
        <v>1542</v>
      </c>
      <c r="X110" s="43" t="s">
        <v>1542</v>
      </c>
      <c r="Y110" s="43" t="s">
        <v>1542</v>
      </c>
      <c r="Z110" s="43" t="s">
        <v>1542</v>
      </c>
      <c r="AA110" s="43" t="s">
        <v>1542</v>
      </c>
      <c r="AB110" s="46">
        <f t="shared" si="9"/>
        <v>0</v>
      </c>
      <c r="AC110" s="44" t="s">
        <v>1542</v>
      </c>
      <c r="AD110" s="44" t="s">
        <v>1542</v>
      </c>
      <c r="AE110" s="44" t="s">
        <v>1542</v>
      </c>
      <c r="AF110" s="44" t="s">
        <v>1542</v>
      </c>
      <c r="AG110" s="44" t="s">
        <v>1542</v>
      </c>
      <c r="AH110" s="44" t="s">
        <v>1542</v>
      </c>
      <c r="AI110" s="44" t="s">
        <v>1542</v>
      </c>
      <c r="AJ110" s="44" t="s">
        <v>1542</v>
      </c>
      <c r="AK110" s="44" t="s">
        <v>1542</v>
      </c>
      <c r="AL110" s="44" t="s">
        <v>1542</v>
      </c>
      <c r="AM110" s="44" t="s">
        <v>1542</v>
      </c>
      <c r="AN110" s="44" t="s">
        <v>1542</v>
      </c>
      <c r="AO110" s="46">
        <f t="shared" si="5"/>
        <v>0</v>
      </c>
      <c r="AP110" s="43" t="s">
        <v>1542</v>
      </c>
      <c r="AQ110" s="43" t="s">
        <v>1542</v>
      </c>
      <c r="AR110" s="43" t="s">
        <v>1542</v>
      </c>
      <c r="AS110" s="43" t="s">
        <v>1542</v>
      </c>
      <c r="AT110" s="43" t="s">
        <v>1542</v>
      </c>
      <c r="AU110" s="43" t="s">
        <v>1542</v>
      </c>
      <c r="AV110" s="43" t="s">
        <v>1542</v>
      </c>
      <c r="AW110" s="43" t="s">
        <v>1542</v>
      </c>
      <c r="AX110" s="43" t="s">
        <v>1542</v>
      </c>
      <c r="AY110" s="43" t="s">
        <v>1542</v>
      </c>
      <c r="AZ110" s="43" t="s">
        <v>1542</v>
      </c>
      <c r="BA110" s="43" t="s">
        <v>1542</v>
      </c>
      <c r="BB110" s="46">
        <f t="shared" si="6"/>
        <v>0</v>
      </c>
      <c r="BC110" s="44" t="s">
        <v>1542</v>
      </c>
      <c r="BD110" s="44" t="s">
        <v>1542</v>
      </c>
      <c r="BE110" s="44" t="s">
        <v>1542</v>
      </c>
      <c r="BF110" s="44" t="s">
        <v>1542</v>
      </c>
      <c r="BG110" s="44" t="s">
        <v>1542</v>
      </c>
      <c r="BH110" s="44" t="s">
        <v>1542</v>
      </c>
      <c r="BI110" s="44" t="s">
        <v>1542</v>
      </c>
      <c r="BJ110" s="44" t="s">
        <v>1542</v>
      </c>
      <c r="BK110" s="44" t="s">
        <v>1542</v>
      </c>
      <c r="BL110" s="44" t="s">
        <v>1542</v>
      </c>
      <c r="BM110" s="44" t="s">
        <v>1542</v>
      </c>
      <c r="BN110" s="44" t="s">
        <v>1542</v>
      </c>
      <c r="BO110" s="46">
        <f t="shared" si="7"/>
        <v>0</v>
      </c>
      <c r="BP110" s="43" t="s">
        <v>1542</v>
      </c>
      <c r="BQ110" s="43" t="s">
        <v>1542</v>
      </c>
      <c r="BR110" s="43" t="s">
        <v>1542</v>
      </c>
      <c r="BS110" s="43" t="s">
        <v>1542</v>
      </c>
      <c r="BT110" s="43" t="s">
        <v>1542</v>
      </c>
      <c r="BU110" s="43" t="s">
        <v>1542</v>
      </c>
      <c r="BV110" s="43" t="s">
        <v>1542</v>
      </c>
      <c r="BW110" s="43" t="s">
        <v>1542</v>
      </c>
      <c r="BX110" s="43" t="s">
        <v>1542</v>
      </c>
      <c r="BY110" s="43" t="s">
        <v>1542</v>
      </c>
      <c r="BZ110" s="43" t="s">
        <v>1542</v>
      </c>
      <c r="CA110" s="43" t="s">
        <v>1542</v>
      </c>
    </row>
    <row r="111" spans="1:79">
      <c r="A111">
        <v>110</v>
      </c>
      <c r="B111" t="s">
        <v>1543</v>
      </c>
      <c r="C111" t="s">
        <v>1696</v>
      </c>
      <c r="D111" t="s">
        <v>1697</v>
      </c>
      <c r="E111" t="s">
        <v>1962</v>
      </c>
      <c r="F111" t="s">
        <v>1963</v>
      </c>
      <c r="G111" t="s">
        <v>2034</v>
      </c>
      <c r="H111" t="s">
        <v>2034</v>
      </c>
      <c r="J111" t="s">
        <v>2035</v>
      </c>
      <c r="K111" t="s">
        <v>2036</v>
      </c>
      <c r="M111" s="1" t="s">
        <v>2037</v>
      </c>
      <c r="N111" t="s">
        <v>2038</v>
      </c>
      <c r="O111" s="46">
        <f t="shared" si="8"/>
        <v>0</v>
      </c>
      <c r="P111" s="43"/>
      <c r="Q111" s="43"/>
      <c r="R111" s="43"/>
      <c r="S111" s="43"/>
      <c r="T111" s="43"/>
      <c r="U111" s="43"/>
      <c r="V111" s="43"/>
      <c r="W111" s="43"/>
      <c r="X111" s="43"/>
      <c r="Y111" s="43"/>
      <c r="Z111" s="43"/>
      <c r="AA111" s="43"/>
      <c r="AB111" s="46">
        <f t="shared" si="9"/>
        <v>0</v>
      </c>
      <c r="AC111" s="44"/>
      <c r="AD111" s="44"/>
      <c r="AE111" s="44"/>
      <c r="AF111" s="44"/>
      <c r="AG111" s="44"/>
      <c r="AH111" s="44"/>
      <c r="AI111" s="44"/>
      <c r="AJ111" s="44"/>
      <c r="AK111" s="44"/>
      <c r="AL111" s="44"/>
      <c r="AM111" s="44"/>
      <c r="AN111" s="44"/>
      <c r="AO111" s="46">
        <f t="shared" si="5"/>
        <v>0</v>
      </c>
      <c r="AP111" s="43"/>
      <c r="AQ111" s="43"/>
      <c r="AR111" s="43"/>
      <c r="AS111" s="43"/>
      <c r="AT111" s="43"/>
      <c r="AU111" s="43"/>
      <c r="AV111" s="43"/>
      <c r="AW111" s="43"/>
      <c r="AX111" s="43"/>
      <c r="AY111" s="43"/>
      <c r="AZ111" s="43"/>
      <c r="BA111" s="43"/>
      <c r="BB111" s="46">
        <f t="shared" si="6"/>
        <v>0</v>
      </c>
      <c r="BC111" s="44" t="s">
        <v>1542</v>
      </c>
      <c r="BD111" s="44" t="s">
        <v>1542</v>
      </c>
      <c r="BE111" s="44" t="s">
        <v>1554</v>
      </c>
      <c r="BF111" s="44"/>
      <c r="BG111" s="44"/>
      <c r="BH111" s="44"/>
      <c r="BI111" s="44"/>
      <c r="BJ111" s="44"/>
      <c r="BK111" s="44"/>
      <c r="BL111" s="44"/>
      <c r="BM111" s="44"/>
      <c r="BN111" s="44"/>
      <c r="BO111" s="46">
        <f t="shared" si="7"/>
        <v>1</v>
      </c>
      <c r="BP111" s="43" t="s">
        <v>1542</v>
      </c>
      <c r="BQ111" s="43" t="s">
        <v>1542</v>
      </c>
      <c r="BR111" s="43" t="s">
        <v>1542</v>
      </c>
      <c r="BS111" s="43" t="s">
        <v>1542</v>
      </c>
      <c r="BT111" s="43" t="s">
        <v>1542</v>
      </c>
      <c r="BU111" s="43" t="s">
        <v>1542</v>
      </c>
      <c r="BV111" s="43" t="s">
        <v>1542</v>
      </c>
      <c r="BW111" s="43" t="s">
        <v>1542</v>
      </c>
      <c r="BX111" s="43" t="s">
        <v>1542</v>
      </c>
      <c r="BY111" s="43" t="s">
        <v>1542</v>
      </c>
      <c r="BZ111" s="43" t="s">
        <v>1542</v>
      </c>
      <c r="CA111" s="43" t="s">
        <v>1542</v>
      </c>
    </row>
    <row r="112" spans="1:79">
      <c r="A112">
        <v>111</v>
      </c>
      <c r="B112">
        <v>1</v>
      </c>
      <c r="C112" t="s">
        <v>1696</v>
      </c>
      <c r="D112" t="s">
        <v>1697</v>
      </c>
      <c r="E112" t="s">
        <v>1962</v>
      </c>
      <c r="F112" t="s">
        <v>1963</v>
      </c>
      <c r="G112" t="s">
        <v>2039</v>
      </c>
      <c r="H112" t="s">
        <v>2039</v>
      </c>
      <c r="J112" t="s">
        <v>2040</v>
      </c>
      <c r="K112" t="s">
        <v>2041</v>
      </c>
      <c r="L112" t="s">
        <v>1539</v>
      </c>
      <c r="M112" s="1" t="s">
        <v>2042</v>
      </c>
      <c r="N112" t="s">
        <v>2043</v>
      </c>
      <c r="O112" s="46">
        <f t="shared" si="8"/>
        <v>0</v>
      </c>
      <c r="P112" s="43" t="s">
        <v>1542</v>
      </c>
      <c r="Q112" s="43" t="s">
        <v>1542</v>
      </c>
      <c r="R112" s="43" t="s">
        <v>1542</v>
      </c>
      <c r="S112" s="43" t="s">
        <v>1542</v>
      </c>
      <c r="T112" s="43" t="s">
        <v>1542</v>
      </c>
      <c r="U112" s="43" t="s">
        <v>1542</v>
      </c>
      <c r="V112" s="43" t="s">
        <v>1542</v>
      </c>
      <c r="W112" s="43" t="s">
        <v>1542</v>
      </c>
      <c r="X112" s="43" t="s">
        <v>1542</v>
      </c>
      <c r="Y112" s="43" t="s">
        <v>1542</v>
      </c>
      <c r="Z112" s="43" t="s">
        <v>1542</v>
      </c>
      <c r="AA112" s="43" t="s">
        <v>1542</v>
      </c>
      <c r="AB112" s="46">
        <f t="shared" si="9"/>
        <v>0</v>
      </c>
      <c r="AC112" s="44" t="s">
        <v>1542</v>
      </c>
      <c r="AD112" s="44" t="s">
        <v>1542</v>
      </c>
      <c r="AE112" s="44" t="s">
        <v>1542</v>
      </c>
      <c r="AF112" s="44" t="s">
        <v>1542</v>
      </c>
      <c r="AG112" s="44" t="s">
        <v>1542</v>
      </c>
      <c r="AH112" s="44" t="s">
        <v>1542</v>
      </c>
      <c r="AI112" s="44" t="s">
        <v>1542</v>
      </c>
      <c r="AJ112" s="44" t="s">
        <v>1542</v>
      </c>
      <c r="AK112" s="44" t="s">
        <v>1542</v>
      </c>
      <c r="AL112" s="44" t="s">
        <v>1542</v>
      </c>
      <c r="AM112" s="44" t="s">
        <v>1542</v>
      </c>
      <c r="AN112" s="44" t="s">
        <v>1542</v>
      </c>
      <c r="AO112" s="46">
        <f t="shared" si="5"/>
        <v>0</v>
      </c>
      <c r="AP112" s="43" t="s">
        <v>1542</v>
      </c>
      <c r="AQ112" s="43" t="s">
        <v>1542</v>
      </c>
      <c r="AR112" s="43" t="s">
        <v>1542</v>
      </c>
      <c r="AS112" s="43" t="s">
        <v>1542</v>
      </c>
      <c r="AT112" s="43" t="s">
        <v>1542</v>
      </c>
      <c r="AU112" s="43" t="s">
        <v>1542</v>
      </c>
      <c r="AV112" s="43" t="s">
        <v>1542</v>
      </c>
      <c r="AW112" s="43" t="s">
        <v>1542</v>
      </c>
      <c r="AX112" s="43" t="s">
        <v>1542</v>
      </c>
      <c r="AY112" s="43" t="s">
        <v>1542</v>
      </c>
      <c r="AZ112" s="43" t="s">
        <v>1542</v>
      </c>
      <c r="BA112" s="43" t="s">
        <v>1542</v>
      </c>
      <c r="BB112" s="46">
        <f t="shared" si="6"/>
        <v>0</v>
      </c>
      <c r="BC112" s="44" t="s">
        <v>1542</v>
      </c>
      <c r="BD112" s="44" t="s">
        <v>1542</v>
      </c>
      <c r="BE112" s="44" t="s">
        <v>1542</v>
      </c>
      <c r="BF112" s="44" t="s">
        <v>1542</v>
      </c>
      <c r="BG112" s="44" t="s">
        <v>1542</v>
      </c>
      <c r="BH112" s="44" t="s">
        <v>1542</v>
      </c>
      <c r="BI112" s="44" t="s">
        <v>1542</v>
      </c>
      <c r="BJ112" s="44" t="s">
        <v>1542</v>
      </c>
      <c r="BK112" s="44" t="s">
        <v>1542</v>
      </c>
      <c r="BL112" s="44" t="s">
        <v>1542</v>
      </c>
      <c r="BM112" s="44" t="s">
        <v>1542</v>
      </c>
      <c r="BN112" s="44" t="s">
        <v>1542</v>
      </c>
      <c r="BO112" s="46">
        <f t="shared" si="7"/>
        <v>0</v>
      </c>
      <c r="BP112" s="43" t="s">
        <v>1542</v>
      </c>
      <c r="BQ112" s="43" t="s">
        <v>1542</v>
      </c>
      <c r="BR112" s="43" t="s">
        <v>1542</v>
      </c>
      <c r="BS112" s="43" t="s">
        <v>1542</v>
      </c>
      <c r="BT112" s="43" t="s">
        <v>1542</v>
      </c>
      <c r="BU112" s="43" t="s">
        <v>1542</v>
      </c>
      <c r="BV112" s="43" t="s">
        <v>1542</v>
      </c>
      <c r="BW112" s="43" t="s">
        <v>1542</v>
      </c>
      <c r="BX112" s="43" t="s">
        <v>1542</v>
      </c>
      <c r="BY112" s="43" t="s">
        <v>1542</v>
      </c>
      <c r="BZ112" s="43" t="s">
        <v>1542</v>
      </c>
      <c r="CA112" s="43" t="s">
        <v>1542</v>
      </c>
    </row>
    <row r="113" spans="1:79">
      <c r="A113">
        <v>112</v>
      </c>
      <c r="B113">
        <v>1</v>
      </c>
      <c r="C113" t="s">
        <v>1696</v>
      </c>
      <c r="D113" t="s">
        <v>1697</v>
      </c>
      <c r="E113" t="s">
        <v>2044</v>
      </c>
      <c r="F113" t="s">
        <v>2045</v>
      </c>
      <c r="G113" t="s">
        <v>2046</v>
      </c>
      <c r="H113" t="s">
        <v>2046</v>
      </c>
      <c r="J113" t="s">
        <v>2047</v>
      </c>
      <c r="K113" t="s">
        <v>2048</v>
      </c>
      <c r="M113" s="1" t="s">
        <v>2049</v>
      </c>
      <c r="N113" t="s">
        <v>2050</v>
      </c>
      <c r="O113" s="46">
        <f t="shared" si="8"/>
        <v>0</v>
      </c>
      <c r="P113" s="43" t="s">
        <v>1542</v>
      </c>
      <c r="Q113" s="43" t="s">
        <v>1542</v>
      </c>
      <c r="R113" s="43" t="s">
        <v>1542</v>
      </c>
      <c r="S113" s="43" t="s">
        <v>1542</v>
      </c>
      <c r="T113" s="43" t="s">
        <v>1542</v>
      </c>
      <c r="U113" s="43" t="s">
        <v>1542</v>
      </c>
      <c r="V113" s="43" t="s">
        <v>1542</v>
      </c>
      <c r="W113" s="43" t="s">
        <v>1542</v>
      </c>
      <c r="X113" s="43" t="s">
        <v>1542</v>
      </c>
      <c r="Y113" s="43" t="s">
        <v>1542</v>
      </c>
      <c r="Z113" s="43" t="s">
        <v>1542</v>
      </c>
      <c r="AA113" s="43" t="s">
        <v>1542</v>
      </c>
      <c r="AB113" s="46">
        <f t="shared" si="9"/>
        <v>0</v>
      </c>
      <c r="AC113" s="44" t="s">
        <v>1542</v>
      </c>
      <c r="AD113" s="44" t="s">
        <v>1542</v>
      </c>
      <c r="AE113" s="44" t="s">
        <v>1542</v>
      </c>
      <c r="AF113" s="44" t="s">
        <v>1542</v>
      </c>
      <c r="AG113" s="44" t="s">
        <v>1542</v>
      </c>
      <c r="AH113" s="44" t="s">
        <v>1542</v>
      </c>
      <c r="AI113" s="44" t="s">
        <v>1542</v>
      </c>
      <c r="AJ113" s="44" t="s">
        <v>1542</v>
      </c>
      <c r="AK113" s="44" t="s">
        <v>1542</v>
      </c>
      <c r="AL113" s="44" t="s">
        <v>1542</v>
      </c>
      <c r="AM113" s="44" t="s">
        <v>1542</v>
      </c>
      <c r="AN113" s="44" t="s">
        <v>1542</v>
      </c>
      <c r="AO113" s="46">
        <f t="shared" si="5"/>
        <v>0</v>
      </c>
      <c r="AP113" s="43" t="s">
        <v>1542</v>
      </c>
      <c r="AQ113" s="43" t="s">
        <v>1542</v>
      </c>
      <c r="AR113" s="43" t="s">
        <v>1542</v>
      </c>
      <c r="AS113" s="43" t="s">
        <v>1542</v>
      </c>
      <c r="AT113" s="43" t="s">
        <v>1542</v>
      </c>
      <c r="AU113" s="43" t="s">
        <v>1542</v>
      </c>
      <c r="AV113" s="43" t="s">
        <v>1542</v>
      </c>
      <c r="AW113" s="43" t="s">
        <v>1542</v>
      </c>
      <c r="AX113" s="43" t="s">
        <v>1554</v>
      </c>
      <c r="AY113" s="43" t="s">
        <v>1542</v>
      </c>
      <c r="AZ113" s="43" t="s">
        <v>1542</v>
      </c>
      <c r="BA113" s="43" t="s">
        <v>1542</v>
      </c>
      <c r="BB113" s="46">
        <f t="shared" si="6"/>
        <v>1</v>
      </c>
      <c r="BC113" s="44" t="s">
        <v>1542</v>
      </c>
      <c r="BD113" s="44" t="s">
        <v>1542</v>
      </c>
      <c r="BE113" s="44" t="s">
        <v>1542</v>
      </c>
      <c r="BF113" s="44" t="s">
        <v>1542</v>
      </c>
      <c r="BG113" s="44" t="s">
        <v>1542</v>
      </c>
      <c r="BH113" s="44" t="s">
        <v>1542</v>
      </c>
      <c r="BI113" s="44" t="s">
        <v>1542</v>
      </c>
      <c r="BJ113" s="44" t="s">
        <v>1542</v>
      </c>
      <c r="BK113" s="44" t="s">
        <v>1542</v>
      </c>
      <c r="BL113" s="44" t="s">
        <v>1542</v>
      </c>
      <c r="BM113" s="44" t="s">
        <v>1542</v>
      </c>
      <c r="BN113" s="44" t="s">
        <v>1542</v>
      </c>
      <c r="BO113" s="46">
        <f t="shared" si="7"/>
        <v>0</v>
      </c>
      <c r="BP113" s="43" t="s">
        <v>1542</v>
      </c>
      <c r="BQ113" s="43" t="s">
        <v>1542</v>
      </c>
      <c r="BR113" s="43" t="s">
        <v>1542</v>
      </c>
      <c r="BS113" s="43" t="s">
        <v>1542</v>
      </c>
      <c r="BT113" s="43" t="s">
        <v>1542</v>
      </c>
      <c r="BU113" s="43" t="s">
        <v>1542</v>
      </c>
      <c r="BV113" s="43" t="s">
        <v>1542</v>
      </c>
      <c r="BW113" s="43" t="s">
        <v>1542</v>
      </c>
      <c r="BX113" s="43" t="s">
        <v>1542</v>
      </c>
      <c r="BY113" s="43" t="s">
        <v>1542</v>
      </c>
      <c r="BZ113" s="43" t="s">
        <v>1542</v>
      </c>
      <c r="CA113" s="43" t="s">
        <v>1542</v>
      </c>
    </row>
    <row r="114" spans="1:79">
      <c r="A114">
        <v>113</v>
      </c>
      <c r="B114">
        <v>1</v>
      </c>
      <c r="C114" t="s">
        <v>1696</v>
      </c>
      <c r="D114" t="s">
        <v>1697</v>
      </c>
      <c r="E114" t="s">
        <v>2044</v>
      </c>
      <c r="F114" t="s">
        <v>2045</v>
      </c>
      <c r="G114" t="s">
        <v>2051</v>
      </c>
      <c r="H114" t="s">
        <v>2051</v>
      </c>
      <c r="I114" t="s">
        <v>2052</v>
      </c>
      <c r="J114" t="s">
        <v>2053</v>
      </c>
      <c r="K114" t="s">
        <v>2054</v>
      </c>
      <c r="M114" s="1" t="s">
        <v>2055</v>
      </c>
      <c r="O114" s="46">
        <f t="shared" si="8"/>
        <v>0</v>
      </c>
      <c r="P114" s="43" t="s">
        <v>1542</v>
      </c>
      <c r="Q114" s="43" t="s">
        <v>1542</v>
      </c>
      <c r="R114" s="43" t="s">
        <v>1542</v>
      </c>
      <c r="S114" s="43" t="s">
        <v>1542</v>
      </c>
      <c r="T114" s="43" t="s">
        <v>1542</v>
      </c>
      <c r="U114" s="43" t="s">
        <v>1542</v>
      </c>
      <c r="V114" s="43" t="s">
        <v>1542</v>
      </c>
      <c r="W114" s="43" t="s">
        <v>1542</v>
      </c>
      <c r="X114" s="43" t="s">
        <v>1542</v>
      </c>
      <c r="Y114" s="43" t="s">
        <v>1542</v>
      </c>
      <c r="Z114" s="43" t="s">
        <v>1542</v>
      </c>
      <c r="AA114" s="43" t="s">
        <v>1542</v>
      </c>
      <c r="AB114" s="46">
        <f t="shared" si="9"/>
        <v>0</v>
      </c>
      <c r="AC114" s="44" t="s">
        <v>1542</v>
      </c>
      <c r="AD114" s="44" t="s">
        <v>1542</v>
      </c>
      <c r="AE114" s="44" t="s">
        <v>1542</v>
      </c>
      <c r="AF114" s="44" t="s">
        <v>1542</v>
      </c>
      <c r="AG114" s="44" t="s">
        <v>1542</v>
      </c>
      <c r="AH114" s="44" t="s">
        <v>1542</v>
      </c>
      <c r="AI114" s="44" t="s">
        <v>1542</v>
      </c>
      <c r="AJ114" s="44" t="s">
        <v>1542</v>
      </c>
      <c r="AK114" s="44" t="s">
        <v>1542</v>
      </c>
      <c r="AL114" s="44" t="s">
        <v>1542</v>
      </c>
      <c r="AM114" s="44" t="s">
        <v>1542</v>
      </c>
      <c r="AN114" s="44" t="s">
        <v>1542</v>
      </c>
      <c r="AO114" s="46">
        <f t="shared" si="5"/>
        <v>0</v>
      </c>
      <c r="AP114" s="43" t="s">
        <v>1542</v>
      </c>
      <c r="AQ114" s="43" t="s">
        <v>1542</v>
      </c>
      <c r="AR114" s="43" t="s">
        <v>1542</v>
      </c>
      <c r="AS114" s="43" t="s">
        <v>1542</v>
      </c>
      <c r="AT114" s="43" t="s">
        <v>1542</v>
      </c>
      <c r="AU114" s="43" t="s">
        <v>1542</v>
      </c>
      <c r="AV114" s="43" t="s">
        <v>1542</v>
      </c>
      <c r="AW114" s="43" t="s">
        <v>1542</v>
      </c>
      <c r="AX114" s="43" t="s">
        <v>1542</v>
      </c>
      <c r="AY114" s="43" t="s">
        <v>1542</v>
      </c>
      <c r="AZ114" s="43" t="s">
        <v>1542</v>
      </c>
      <c r="BA114" s="43" t="s">
        <v>1542</v>
      </c>
      <c r="BB114" s="46">
        <f t="shared" si="6"/>
        <v>0</v>
      </c>
      <c r="BC114" s="44" t="s">
        <v>1542</v>
      </c>
      <c r="BD114" s="44" t="s">
        <v>1542</v>
      </c>
      <c r="BE114" s="44" t="s">
        <v>1542</v>
      </c>
      <c r="BF114" s="44" t="s">
        <v>1542</v>
      </c>
      <c r="BG114" s="44" t="s">
        <v>1542</v>
      </c>
      <c r="BH114" s="44" t="s">
        <v>1542</v>
      </c>
      <c r="BI114" s="44" t="s">
        <v>1542</v>
      </c>
      <c r="BJ114" s="44" t="s">
        <v>1542</v>
      </c>
      <c r="BK114" s="44" t="s">
        <v>1542</v>
      </c>
      <c r="BL114" s="44" t="s">
        <v>1542</v>
      </c>
      <c r="BM114" s="44" t="s">
        <v>1542</v>
      </c>
      <c r="BN114" s="44" t="s">
        <v>1542</v>
      </c>
      <c r="BO114" s="46">
        <f t="shared" si="7"/>
        <v>0</v>
      </c>
      <c r="BP114" s="43" t="s">
        <v>1542</v>
      </c>
      <c r="BQ114" s="43" t="s">
        <v>1542</v>
      </c>
      <c r="BR114" s="43" t="s">
        <v>1542</v>
      </c>
      <c r="BS114" s="43" t="s">
        <v>1542</v>
      </c>
      <c r="BT114" s="43" t="s">
        <v>1542</v>
      </c>
      <c r="BU114" s="43" t="s">
        <v>1542</v>
      </c>
      <c r="BV114" s="43" t="s">
        <v>1542</v>
      </c>
      <c r="BW114" s="43" t="s">
        <v>1542</v>
      </c>
      <c r="BX114" s="43" t="s">
        <v>1542</v>
      </c>
      <c r="BY114" s="43" t="s">
        <v>1542</v>
      </c>
      <c r="BZ114" s="43" t="s">
        <v>1542</v>
      </c>
      <c r="CA114" s="43" t="s">
        <v>1542</v>
      </c>
    </row>
    <row r="115" spans="1:79">
      <c r="A115">
        <v>114</v>
      </c>
      <c r="B115">
        <v>1</v>
      </c>
      <c r="C115" t="s">
        <v>1696</v>
      </c>
      <c r="D115" t="s">
        <v>1697</v>
      </c>
      <c r="E115" t="s">
        <v>2044</v>
      </c>
      <c r="F115" t="s">
        <v>2045</v>
      </c>
      <c r="G115" t="s">
        <v>2056</v>
      </c>
      <c r="H115" t="s">
        <v>2056</v>
      </c>
      <c r="I115" t="s">
        <v>2057</v>
      </c>
      <c r="J115" t="s">
        <v>2058</v>
      </c>
      <c r="K115" t="s">
        <v>2059</v>
      </c>
      <c r="M115" s="1" t="s">
        <v>2060</v>
      </c>
      <c r="N115" t="s">
        <v>2061</v>
      </c>
      <c r="O115" s="46">
        <f t="shared" si="8"/>
        <v>4</v>
      </c>
      <c r="P115" s="43" t="s">
        <v>1542</v>
      </c>
      <c r="Q115" s="43" t="s">
        <v>1542</v>
      </c>
      <c r="R115" s="43" t="s">
        <v>1554</v>
      </c>
      <c r="S115" s="43" t="s">
        <v>1554</v>
      </c>
      <c r="T115" s="43" t="s">
        <v>1554</v>
      </c>
      <c r="U115" s="43" t="s">
        <v>1554</v>
      </c>
      <c r="V115" s="43" t="s">
        <v>1542</v>
      </c>
      <c r="W115" s="43" t="s">
        <v>1542</v>
      </c>
      <c r="X115" s="43" t="s">
        <v>1542</v>
      </c>
      <c r="Y115" s="43" t="s">
        <v>1542</v>
      </c>
      <c r="Z115" s="43" t="s">
        <v>1542</v>
      </c>
      <c r="AA115" s="43" t="s">
        <v>1542</v>
      </c>
      <c r="AB115" s="46">
        <f t="shared" si="9"/>
        <v>0</v>
      </c>
      <c r="AC115" s="44" t="s">
        <v>1542</v>
      </c>
      <c r="AD115" s="44" t="s">
        <v>1542</v>
      </c>
      <c r="AE115" s="44" t="s">
        <v>1542</v>
      </c>
      <c r="AF115" s="44" t="s">
        <v>1542</v>
      </c>
      <c r="AG115" s="44" t="s">
        <v>1542</v>
      </c>
      <c r="AH115" s="44" t="s">
        <v>1542</v>
      </c>
      <c r="AI115" s="44" t="s">
        <v>1542</v>
      </c>
      <c r="AJ115" s="44" t="s">
        <v>1542</v>
      </c>
      <c r="AK115" s="44" t="s">
        <v>1542</v>
      </c>
      <c r="AL115" s="44" t="s">
        <v>1542</v>
      </c>
      <c r="AM115" s="44" t="s">
        <v>1542</v>
      </c>
      <c r="AN115" s="44" t="s">
        <v>1542</v>
      </c>
      <c r="AO115" s="46">
        <f t="shared" si="5"/>
        <v>0</v>
      </c>
      <c r="AP115" s="43" t="s">
        <v>1542</v>
      </c>
      <c r="AQ115" s="43" t="s">
        <v>1542</v>
      </c>
      <c r="AR115" s="43" t="s">
        <v>1542</v>
      </c>
      <c r="AS115" s="43" t="s">
        <v>1542</v>
      </c>
      <c r="AT115" s="43" t="s">
        <v>1542</v>
      </c>
      <c r="AU115" s="43" t="s">
        <v>1542</v>
      </c>
      <c r="AV115" s="43" t="s">
        <v>1542</v>
      </c>
      <c r="AW115" s="43" t="s">
        <v>1542</v>
      </c>
      <c r="AX115" s="43" t="s">
        <v>1542</v>
      </c>
      <c r="AY115" s="43" t="s">
        <v>1542</v>
      </c>
      <c r="AZ115" s="43" t="s">
        <v>1542</v>
      </c>
      <c r="BA115" s="43" t="s">
        <v>1542</v>
      </c>
      <c r="BB115" s="46">
        <f t="shared" si="6"/>
        <v>0</v>
      </c>
      <c r="BC115" s="44" t="s">
        <v>1542</v>
      </c>
      <c r="BD115" s="44" t="s">
        <v>1542</v>
      </c>
      <c r="BE115" s="44" t="s">
        <v>1542</v>
      </c>
      <c r="BF115" s="44" t="s">
        <v>1542</v>
      </c>
      <c r="BG115" s="44" t="s">
        <v>1542</v>
      </c>
      <c r="BH115" s="44" t="s">
        <v>1542</v>
      </c>
      <c r="BI115" s="44" t="s">
        <v>1542</v>
      </c>
      <c r="BJ115" s="44" t="s">
        <v>1542</v>
      </c>
      <c r="BK115" s="44" t="s">
        <v>1542</v>
      </c>
      <c r="BL115" s="44" t="s">
        <v>1542</v>
      </c>
      <c r="BM115" s="44" t="s">
        <v>1542</v>
      </c>
      <c r="BN115" s="44" t="s">
        <v>1542</v>
      </c>
      <c r="BO115" s="46">
        <f t="shared" si="7"/>
        <v>0</v>
      </c>
      <c r="BP115" s="43" t="s">
        <v>1542</v>
      </c>
      <c r="BQ115" s="43" t="s">
        <v>1542</v>
      </c>
      <c r="BR115" s="43" t="s">
        <v>1542</v>
      </c>
      <c r="BS115" s="43" t="s">
        <v>1542</v>
      </c>
      <c r="BT115" s="43" t="s">
        <v>1542</v>
      </c>
      <c r="BU115" s="43" t="s">
        <v>1542</v>
      </c>
      <c r="BV115" s="43" t="s">
        <v>1542</v>
      </c>
      <c r="BW115" s="43" t="s">
        <v>1542</v>
      </c>
      <c r="BX115" s="43" t="s">
        <v>1542</v>
      </c>
      <c r="BY115" s="43" t="s">
        <v>1542</v>
      </c>
      <c r="BZ115" s="43" t="s">
        <v>1542</v>
      </c>
      <c r="CA115" s="43" t="s">
        <v>1542</v>
      </c>
    </row>
    <row r="116" spans="1:79">
      <c r="A116">
        <v>115</v>
      </c>
      <c r="B116">
        <v>1</v>
      </c>
      <c r="C116" t="s">
        <v>1696</v>
      </c>
      <c r="D116" t="s">
        <v>1697</v>
      </c>
      <c r="E116" t="s">
        <v>2044</v>
      </c>
      <c r="F116" t="s">
        <v>2045</v>
      </c>
      <c r="G116" t="s">
        <v>2062</v>
      </c>
      <c r="H116" t="s">
        <v>2062</v>
      </c>
      <c r="J116" t="s">
        <v>2063</v>
      </c>
      <c r="K116" t="s">
        <v>2064</v>
      </c>
      <c r="M116" s="1" t="s">
        <v>2065</v>
      </c>
      <c r="O116" s="46">
        <f t="shared" si="8"/>
        <v>0</v>
      </c>
      <c r="P116" s="43" t="s">
        <v>1542</v>
      </c>
      <c r="Q116" s="43" t="s">
        <v>1542</v>
      </c>
      <c r="R116" s="43" t="s">
        <v>1542</v>
      </c>
      <c r="S116" s="43" t="s">
        <v>1542</v>
      </c>
      <c r="T116" s="43" t="s">
        <v>1542</v>
      </c>
      <c r="U116" s="43" t="s">
        <v>1542</v>
      </c>
      <c r="V116" s="43" t="s">
        <v>1542</v>
      </c>
      <c r="W116" s="43" t="s">
        <v>1542</v>
      </c>
      <c r="X116" s="43" t="s">
        <v>1542</v>
      </c>
      <c r="Y116" s="43" t="s">
        <v>1542</v>
      </c>
      <c r="Z116" s="43" t="s">
        <v>1542</v>
      </c>
      <c r="AA116" s="43" t="s">
        <v>1542</v>
      </c>
      <c r="AB116" s="46">
        <f t="shared" si="9"/>
        <v>0</v>
      </c>
      <c r="AC116" s="44" t="s">
        <v>1542</v>
      </c>
      <c r="AD116" s="44" t="s">
        <v>1542</v>
      </c>
      <c r="AE116" s="44" t="s">
        <v>1542</v>
      </c>
      <c r="AF116" s="44" t="s">
        <v>1542</v>
      </c>
      <c r="AG116" s="44" t="s">
        <v>1542</v>
      </c>
      <c r="AH116" s="44" t="s">
        <v>1542</v>
      </c>
      <c r="AI116" s="44" t="s">
        <v>1542</v>
      </c>
      <c r="AJ116" s="44" t="s">
        <v>1542</v>
      </c>
      <c r="AK116" s="44" t="s">
        <v>1542</v>
      </c>
      <c r="AL116" s="44" t="s">
        <v>1542</v>
      </c>
      <c r="AM116" s="44" t="s">
        <v>1542</v>
      </c>
      <c r="AN116" s="44" t="s">
        <v>1542</v>
      </c>
      <c r="AO116" s="46">
        <f t="shared" si="5"/>
        <v>0</v>
      </c>
      <c r="AP116" s="43" t="s">
        <v>1542</v>
      </c>
      <c r="AQ116" s="43" t="s">
        <v>1542</v>
      </c>
      <c r="AR116" s="43" t="s">
        <v>1542</v>
      </c>
      <c r="AS116" s="43" t="s">
        <v>1542</v>
      </c>
      <c r="AT116" s="43" t="s">
        <v>1542</v>
      </c>
      <c r="AU116" s="43" t="s">
        <v>1542</v>
      </c>
      <c r="AV116" s="43" t="s">
        <v>1542</v>
      </c>
      <c r="AW116" s="43" t="s">
        <v>1542</v>
      </c>
      <c r="AX116" s="43" t="s">
        <v>1542</v>
      </c>
      <c r="AY116" s="43" t="s">
        <v>1542</v>
      </c>
      <c r="AZ116" s="43" t="s">
        <v>1542</v>
      </c>
      <c r="BA116" s="43" t="s">
        <v>1542</v>
      </c>
      <c r="BB116" s="46">
        <f t="shared" si="6"/>
        <v>0</v>
      </c>
      <c r="BC116" s="44" t="s">
        <v>1542</v>
      </c>
      <c r="BD116" s="44" t="s">
        <v>1542</v>
      </c>
      <c r="BE116" s="44" t="s">
        <v>1542</v>
      </c>
      <c r="BF116" s="44" t="s">
        <v>1542</v>
      </c>
      <c r="BG116" s="44" t="s">
        <v>1542</v>
      </c>
      <c r="BH116" s="44" t="s">
        <v>1542</v>
      </c>
      <c r="BI116" s="44" t="s">
        <v>1542</v>
      </c>
      <c r="BJ116" s="44" t="s">
        <v>1542</v>
      </c>
      <c r="BK116" s="44" t="s">
        <v>1542</v>
      </c>
      <c r="BL116" s="44" t="s">
        <v>1542</v>
      </c>
      <c r="BM116" s="44" t="s">
        <v>1542</v>
      </c>
      <c r="BN116" s="44" t="s">
        <v>1542</v>
      </c>
      <c r="BO116" s="46">
        <f t="shared" si="7"/>
        <v>0</v>
      </c>
      <c r="BP116" s="43" t="s">
        <v>1542</v>
      </c>
      <c r="BQ116" s="43" t="s">
        <v>1542</v>
      </c>
      <c r="BR116" s="43" t="s">
        <v>1542</v>
      </c>
      <c r="BS116" s="43" t="s">
        <v>1542</v>
      </c>
      <c r="BT116" s="43" t="s">
        <v>1542</v>
      </c>
      <c r="BU116" s="43" t="s">
        <v>1542</v>
      </c>
      <c r="BV116" s="43" t="s">
        <v>1542</v>
      </c>
      <c r="BW116" s="43" t="s">
        <v>1542</v>
      </c>
      <c r="BX116" s="43" t="s">
        <v>1542</v>
      </c>
      <c r="BY116" s="43" t="s">
        <v>1542</v>
      </c>
      <c r="BZ116" s="43" t="s">
        <v>1542</v>
      </c>
      <c r="CA116" s="43" t="s">
        <v>1542</v>
      </c>
    </row>
    <row r="117" spans="1:79">
      <c r="A117">
        <v>116</v>
      </c>
      <c r="B117">
        <v>1</v>
      </c>
      <c r="C117" t="s">
        <v>1696</v>
      </c>
      <c r="D117" t="s">
        <v>1697</v>
      </c>
      <c r="E117" t="s">
        <v>2044</v>
      </c>
      <c r="F117" t="s">
        <v>2045</v>
      </c>
      <c r="G117" t="s">
        <v>2066</v>
      </c>
      <c r="H117" t="s">
        <v>2066</v>
      </c>
      <c r="J117" t="s">
        <v>2067</v>
      </c>
      <c r="K117" t="s">
        <v>2068</v>
      </c>
      <c r="M117" s="1" t="s">
        <v>2069</v>
      </c>
      <c r="N117" t="s">
        <v>2070</v>
      </c>
      <c r="O117" s="46">
        <f t="shared" si="8"/>
        <v>0</v>
      </c>
      <c r="P117" s="43" t="s">
        <v>1542</v>
      </c>
      <c r="Q117" s="43" t="s">
        <v>1542</v>
      </c>
      <c r="R117" s="43" t="s">
        <v>1542</v>
      </c>
      <c r="S117" s="43" t="s">
        <v>1542</v>
      </c>
      <c r="T117" s="43" t="s">
        <v>1542</v>
      </c>
      <c r="U117" s="43" t="s">
        <v>1542</v>
      </c>
      <c r="V117" s="43" t="s">
        <v>1542</v>
      </c>
      <c r="W117" s="43" t="s">
        <v>1542</v>
      </c>
      <c r="X117" s="43" t="s">
        <v>1542</v>
      </c>
      <c r="Y117" s="43" t="s">
        <v>1542</v>
      </c>
      <c r="Z117" s="43" t="s">
        <v>1542</v>
      </c>
      <c r="AA117" s="43" t="s">
        <v>1542</v>
      </c>
      <c r="AB117" s="46">
        <f t="shared" si="9"/>
        <v>0</v>
      </c>
      <c r="AC117" s="44" t="s">
        <v>1542</v>
      </c>
      <c r="AD117" s="44" t="s">
        <v>1542</v>
      </c>
      <c r="AE117" s="44" t="s">
        <v>1542</v>
      </c>
      <c r="AF117" s="44" t="s">
        <v>1542</v>
      </c>
      <c r="AG117" s="44" t="s">
        <v>1542</v>
      </c>
      <c r="AH117" s="44" t="s">
        <v>1542</v>
      </c>
      <c r="AI117" s="44" t="s">
        <v>1542</v>
      </c>
      <c r="AJ117" s="44" t="s">
        <v>1542</v>
      </c>
      <c r="AK117" s="44" t="s">
        <v>1542</v>
      </c>
      <c r="AL117" s="44" t="s">
        <v>1542</v>
      </c>
      <c r="AM117" s="44" t="s">
        <v>1542</v>
      </c>
      <c r="AN117" s="44" t="s">
        <v>1542</v>
      </c>
      <c r="AO117" s="46">
        <f t="shared" si="5"/>
        <v>0</v>
      </c>
      <c r="AP117" s="43" t="s">
        <v>1542</v>
      </c>
      <c r="AQ117" s="43" t="s">
        <v>1542</v>
      </c>
      <c r="AR117" s="43" t="s">
        <v>1542</v>
      </c>
      <c r="AS117" s="43" t="s">
        <v>1542</v>
      </c>
      <c r="AT117" s="43" t="s">
        <v>1542</v>
      </c>
      <c r="AU117" s="43" t="s">
        <v>1542</v>
      </c>
      <c r="AV117" s="43" t="s">
        <v>1542</v>
      </c>
      <c r="AW117" s="43" t="s">
        <v>1542</v>
      </c>
      <c r="AX117" s="43" t="s">
        <v>1542</v>
      </c>
      <c r="AY117" s="43" t="s">
        <v>1542</v>
      </c>
      <c r="AZ117" s="43" t="s">
        <v>1542</v>
      </c>
      <c r="BA117" s="43" t="s">
        <v>1542</v>
      </c>
      <c r="BB117" s="46">
        <f t="shared" si="6"/>
        <v>0</v>
      </c>
      <c r="BC117" s="44" t="s">
        <v>1542</v>
      </c>
      <c r="BD117" s="44" t="s">
        <v>1542</v>
      </c>
      <c r="BE117" s="44" t="s">
        <v>1542</v>
      </c>
      <c r="BF117" s="44" t="s">
        <v>1542</v>
      </c>
      <c r="BG117" s="44" t="s">
        <v>1542</v>
      </c>
      <c r="BH117" s="44" t="s">
        <v>1542</v>
      </c>
      <c r="BI117" s="44" t="s">
        <v>1542</v>
      </c>
      <c r="BJ117" s="44" t="s">
        <v>1542</v>
      </c>
      <c r="BK117" s="44" t="s">
        <v>1542</v>
      </c>
      <c r="BL117" s="44" t="s">
        <v>1542</v>
      </c>
      <c r="BM117" s="44" t="s">
        <v>1542</v>
      </c>
      <c r="BN117" s="44" t="s">
        <v>1542</v>
      </c>
      <c r="BO117" s="46">
        <f t="shared" si="7"/>
        <v>0</v>
      </c>
      <c r="BP117" s="43" t="s">
        <v>1554</v>
      </c>
      <c r="BQ117" s="43" t="s">
        <v>1554</v>
      </c>
      <c r="BR117" s="43" t="s">
        <v>1554</v>
      </c>
      <c r="BS117" s="43" t="s">
        <v>1554</v>
      </c>
      <c r="BT117" s="43" t="s">
        <v>1554</v>
      </c>
      <c r="BU117" s="43" t="s">
        <v>1554</v>
      </c>
      <c r="BV117" s="43" t="s">
        <v>1542</v>
      </c>
      <c r="BW117" s="43" t="s">
        <v>1542</v>
      </c>
      <c r="BX117" s="43" t="s">
        <v>1542</v>
      </c>
      <c r="BY117" s="43" t="s">
        <v>1542</v>
      </c>
      <c r="BZ117" s="43" t="s">
        <v>1542</v>
      </c>
      <c r="CA117" s="43" t="s">
        <v>1542</v>
      </c>
    </row>
    <row r="118" spans="1:79">
      <c r="A118">
        <v>117</v>
      </c>
      <c r="B118" t="s">
        <v>1543</v>
      </c>
      <c r="C118" t="s">
        <v>1696</v>
      </c>
      <c r="D118" t="s">
        <v>1697</v>
      </c>
      <c r="E118" t="s">
        <v>2044</v>
      </c>
      <c r="F118" t="s">
        <v>2045</v>
      </c>
      <c r="G118" t="s">
        <v>2071</v>
      </c>
      <c r="H118" t="s">
        <v>2071</v>
      </c>
      <c r="J118" t="s">
        <v>2072</v>
      </c>
      <c r="K118" t="s">
        <v>2073</v>
      </c>
      <c r="M118" s="1" t="s">
        <v>2074</v>
      </c>
      <c r="N118" t="s">
        <v>2075</v>
      </c>
      <c r="O118" s="46">
        <f t="shared" si="8"/>
        <v>0</v>
      </c>
      <c r="P118" s="43"/>
      <c r="Q118" s="43"/>
      <c r="R118" s="43"/>
      <c r="S118" s="43"/>
      <c r="T118" s="43"/>
      <c r="U118" s="43"/>
      <c r="V118" s="43"/>
      <c r="W118" s="43"/>
      <c r="X118" s="43"/>
      <c r="Y118" s="43"/>
      <c r="Z118" s="43"/>
      <c r="AA118" s="43"/>
      <c r="AB118" s="46">
        <f t="shared" si="9"/>
        <v>0</v>
      </c>
      <c r="AC118" s="44"/>
      <c r="AD118" s="44"/>
      <c r="AE118" s="44"/>
      <c r="AF118" s="44"/>
      <c r="AG118" s="44"/>
      <c r="AH118" s="44"/>
      <c r="AI118" s="44"/>
      <c r="AJ118" s="44"/>
      <c r="AK118" s="44"/>
      <c r="AL118" s="44"/>
      <c r="AM118" s="44"/>
      <c r="AN118" s="44"/>
      <c r="AO118" s="46">
        <f t="shared" si="5"/>
        <v>0</v>
      </c>
      <c r="AP118" s="43"/>
      <c r="AQ118" s="43"/>
      <c r="AR118" s="43"/>
      <c r="AS118" s="43"/>
      <c r="AT118" s="43"/>
      <c r="AU118" s="43"/>
      <c r="AV118" s="43"/>
      <c r="AW118" s="43"/>
      <c r="AX118" s="43"/>
      <c r="AY118" s="43"/>
      <c r="AZ118" s="43"/>
      <c r="BA118" s="43"/>
      <c r="BB118" s="46">
        <f t="shared" si="6"/>
        <v>0</v>
      </c>
      <c r="BC118" s="44"/>
      <c r="BD118" s="44"/>
      <c r="BE118" s="44"/>
      <c r="BF118" s="44"/>
      <c r="BG118" s="44"/>
      <c r="BH118" s="44"/>
      <c r="BI118" s="44"/>
      <c r="BJ118" s="44"/>
      <c r="BK118" s="44"/>
      <c r="BL118" s="44"/>
      <c r="BM118" s="44"/>
      <c r="BN118" s="44"/>
      <c r="BO118" s="46">
        <f t="shared" si="7"/>
        <v>0</v>
      </c>
      <c r="BP118" s="43"/>
      <c r="BQ118" s="43"/>
      <c r="BR118" s="43"/>
      <c r="BS118" s="43"/>
      <c r="BT118" s="43"/>
      <c r="BU118" s="43"/>
      <c r="BV118" s="43"/>
      <c r="BW118" s="43"/>
      <c r="BX118" s="43"/>
      <c r="BY118" s="43"/>
      <c r="BZ118" s="43"/>
      <c r="CA118" s="43"/>
    </row>
    <row r="119" spans="1:79">
      <c r="A119">
        <v>118</v>
      </c>
      <c r="B119">
        <v>1</v>
      </c>
      <c r="C119" t="s">
        <v>1696</v>
      </c>
      <c r="D119" t="s">
        <v>1697</v>
      </c>
      <c r="E119" t="s">
        <v>2044</v>
      </c>
      <c r="F119" t="s">
        <v>2045</v>
      </c>
      <c r="G119" t="s">
        <v>2076</v>
      </c>
      <c r="H119" t="s">
        <v>2076</v>
      </c>
      <c r="J119" t="s">
        <v>2077</v>
      </c>
      <c r="K119" t="s">
        <v>2078</v>
      </c>
      <c r="M119" s="1" t="s">
        <v>2079</v>
      </c>
      <c r="O119" s="46">
        <f t="shared" si="8"/>
        <v>0</v>
      </c>
      <c r="P119" s="43" t="s">
        <v>1542</v>
      </c>
      <c r="Q119" s="43" t="s">
        <v>1542</v>
      </c>
      <c r="R119" s="43" t="s">
        <v>1542</v>
      </c>
      <c r="S119" s="43" t="s">
        <v>1542</v>
      </c>
      <c r="T119" s="43" t="s">
        <v>1542</v>
      </c>
      <c r="U119" s="43" t="s">
        <v>1542</v>
      </c>
      <c r="V119" s="43" t="s">
        <v>1542</v>
      </c>
      <c r="W119" s="43" t="s">
        <v>1542</v>
      </c>
      <c r="X119" s="43" t="s">
        <v>1542</v>
      </c>
      <c r="Y119" s="43" t="s">
        <v>1542</v>
      </c>
      <c r="Z119" s="43" t="s">
        <v>1542</v>
      </c>
      <c r="AA119" s="43" t="s">
        <v>1542</v>
      </c>
      <c r="AB119" s="46">
        <f t="shared" si="9"/>
        <v>0</v>
      </c>
      <c r="AC119" s="44" t="s">
        <v>1542</v>
      </c>
      <c r="AD119" s="44" t="s">
        <v>1542</v>
      </c>
      <c r="AE119" s="44" t="s">
        <v>1542</v>
      </c>
      <c r="AF119" s="44" t="s">
        <v>1542</v>
      </c>
      <c r="AG119" s="44" t="s">
        <v>1542</v>
      </c>
      <c r="AH119" s="44" t="s">
        <v>1542</v>
      </c>
      <c r="AI119" s="44" t="s">
        <v>1542</v>
      </c>
      <c r="AJ119" s="44" t="s">
        <v>1542</v>
      </c>
      <c r="AK119" s="44" t="s">
        <v>1542</v>
      </c>
      <c r="AL119" s="44" t="s">
        <v>1542</v>
      </c>
      <c r="AM119" s="44" t="s">
        <v>1542</v>
      </c>
      <c r="AN119" s="44" t="s">
        <v>1542</v>
      </c>
      <c r="AO119" s="46">
        <f t="shared" si="5"/>
        <v>0</v>
      </c>
      <c r="AP119" s="43" t="s">
        <v>1542</v>
      </c>
      <c r="AQ119" s="43" t="s">
        <v>1542</v>
      </c>
      <c r="AR119" s="43" t="s">
        <v>1542</v>
      </c>
      <c r="AS119" s="43" t="s">
        <v>1542</v>
      </c>
      <c r="AT119" s="43" t="s">
        <v>1542</v>
      </c>
      <c r="AU119" s="43" t="s">
        <v>1542</v>
      </c>
      <c r="AV119" s="43" t="s">
        <v>1542</v>
      </c>
      <c r="AW119" s="43" t="s">
        <v>1542</v>
      </c>
      <c r="AX119" s="43" t="s">
        <v>1542</v>
      </c>
      <c r="AY119" s="43" t="s">
        <v>1542</v>
      </c>
      <c r="AZ119" s="43" t="s">
        <v>1542</v>
      </c>
      <c r="BA119" s="43" t="s">
        <v>1542</v>
      </c>
      <c r="BB119" s="46">
        <f t="shared" si="6"/>
        <v>0</v>
      </c>
      <c r="BC119" s="44" t="s">
        <v>1542</v>
      </c>
      <c r="BD119" s="44" t="s">
        <v>1542</v>
      </c>
      <c r="BE119" s="44" t="s">
        <v>1542</v>
      </c>
      <c r="BF119" s="44" t="s">
        <v>1542</v>
      </c>
      <c r="BG119" s="44" t="s">
        <v>1542</v>
      </c>
      <c r="BH119" s="44" t="s">
        <v>1542</v>
      </c>
      <c r="BI119" s="44" t="s">
        <v>1542</v>
      </c>
      <c r="BJ119" s="44" t="s">
        <v>1542</v>
      </c>
      <c r="BK119" s="44" t="s">
        <v>1542</v>
      </c>
      <c r="BL119" s="44" t="s">
        <v>1542</v>
      </c>
      <c r="BM119" s="44" t="s">
        <v>1542</v>
      </c>
      <c r="BN119" s="44" t="s">
        <v>1542</v>
      </c>
      <c r="BO119" s="46">
        <f t="shared" si="7"/>
        <v>0</v>
      </c>
      <c r="BP119" s="43" t="s">
        <v>1542</v>
      </c>
      <c r="BQ119" s="43" t="s">
        <v>1542</v>
      </c>
      <c r="BR119" s="43" t="s">
        <v>1542</v>
      </c>
      <c r="BS119" s="43" t="s">
        <v>1542</v>
      </c>
      <c r="BT119" s="43" t="s">
        <v>1542</v>
      </c>
      <c r="BU119" s="43" t="s">
        <v>1542</v>
      </c>
      <c r="BV119" s="43" t="s">
        <v>1542</v>
      </c>
      <c r="BW119" s="43" t="s">
        <v>1542</v>
      </c>
      <c r="BX119" s="43" t="s">
        <v>1542</v>
      </c>
      <c r="BY119" s="43" t="s">
        <v>1542</v>
      </c>
      <c r="BZ119" s="43" t="s">
        <v>1542</v>
      </c>
      <c r="CA119" s="43" t="s">
        <v>1542</v>
      </c>
    </row>
    <row r="120" spans="1:79">
      <c r="A120">
        <v>119</v>
      </c>
      <c r="B120">
        <v>1</v>
      </c>
      <c r="C120" t="s">
        <v>1696</v>
      </c>
      <c r="D120" t="s">
        <v>1697</v>
      </c>
      <c r="E120" t="s">
        <v>2044</v>
      </c>
      <c r="F120" t="s">
        <v>2045</v>
      </c>
      <c r="G120" t="s">
        <v>2080</v>
      </c>
      <c r="H120" t="s">
        <v>2080</v>
      </c>
      <c r="J120" t="s">
        <v>2081</v>
      </c>
      <c r="K120" t="s">
        <v>2082</v>
      </c>
      <c r="M120" s="1" t="s">
        <v>2083</v>
      </c>
      <c r="N120" t="s">
        <v>2084</v>
      </c>
      <c r="O120" s="46">
        <f t="shared" si="8"/>
        <v>0</v>
      </c>
      <c r="P120" s="43" t="s">
        <v>1542</v>
      </c>
      <c r="Q120" s="43" t="s">
        <v>1542</v>
      </c>
      <c r="R120" s="43" t="s">
        <v>1542</v>
      </c>
      <c r="S120" s="43" t="s">
        <v>1542</v>
      </c>
      <c r="T120" s="43" t="s">
        <v>1542</v>
      </c>
      <c r="U120" s="43" t="s">
        <v>1542</v>
      </c>
      <c r="V120" s="43" t="s">
        <v>1542</v>
      </c>
      <c r="W120" s="43" t="s">
        <v>1542</v>
      </c>
      <c r="X120" s="43" t="s">
        <v>1542</v>
      </c>
      <c r="Y120" s="43" t="s">
        <v>1542</v>
      </c>
      <c r="Z120" s="43" t="s">
        <v>1542</v>
      </c>
      <c r="AA120" s="43" t="s">
        <v>1542</v>
      </c>
      <c r="AB120" s="46">
        <f t="shared" si="9"/>
        <v>0</v>
      </c>
      <c r="AC120" s="44" t="s">
        <v>1542</v>
      </c>
      <c r="AD120" s="44" t="s">
        <v>1542</v>
      </c>
      <c r="AE120" s="44" t="s">
        <v>1542</v>
      </c>
      <c r="AF120" s="44" t="s">
        <v>1542</v>
      </c>
      <c r="AG120" s="44" t="s">
        <v>1542</v>
      </c>
      <c r="AH120" s="44" t="s">
        <v>1542</v>
      </c>
      <c r="AI120" s="44" t="s">
        <v>1542</v>
      </c>
      <c r="AJ120" s="44" t="s">
        <v>1542</v>
      </c>
      <c r="AK120" s="44" t="s">
        <v>1542</v>
      </c>
      <c r="AL120" s="44" t="s">
        <v>1542</v>
      </c>
      <c r="AM120" s="44" t="s">
        <v>1542</v>
      </c>
      <c r="AN120" s="44" t="s">
        <v>1542</v>
      </c>
      <c r="AO120" s="46">
        <f t="shared" si="5"/>
        <v>0</v>
      </c>
      <c r="AP120" s="43" t="s">
        <v>1542</v>
      </c>
      <c r="AQ120" s="43" t="s">
        <v>1542</v>
      </c>
      <c r="AR120" s="43" t="s">
        <v>1542</v>
      </c>
      <c r="AS120" s="43" t="s">
        <v>1542</v>
      </c>
      <c r="AT120" s="43" t="s">
        <v>1542</v>
      </c>
      <c r="AU120" s="43" t="s">
        <v>1542</v>
      </c>
      <c r="AV120" s="43" t="s">
        <v>1554</v>
      </c>
      <c r="AW120" s="43" t="s">
        <v>1554</v>
      </c>
      <c r="AX120" s="43" t="s">
        <v>1554</v>
      </c>
      <c r="AY120" s="43" t="s">
        <v>1542</v>
      </c>
      <c r="AZ120" s="43" t="s">
        <v>1542</v>
      </c>
      <c r="BA120" s="43" t="s">
        <v>1542</v>
      </c>
      <c r="BB120" s="46">
        <f t="shared" si="6"/>
        <v>3</v>
      </c>
      <c r="BC120" s="44" t="s">
        <v>1542</v>
      </c>
      <c r="BD120" s="44" t="s">
        <v>1542</v>
      </c>
      <c r="BE120" s="44" t="s">
        <v>1542</v>
      </c>
      <c r="BF120" s="44" t="s">
        <v>1542</v>
      </c>
      <c r="BG120" s="44" t="s">
        <v>1542</v>
      </c>
      <c r="BH120" s="44" t="s">
        <v>1542</v>
      </c>
      <c r="BI120" s="44" t="s">
        <v>1542</v>
      </c>
      <c r="BJ120" s="44" t="s">
        <v>1542</v>
      </c>
      <c r="BK120" s="44" t="s">
        <v>1542</v>
      </c>
      <c r="BL120" s="44" t="s">
        <v>1542</v>
      </c>
      <c r="BM120" s="44" t="s">
        <v>1542</v>
      </c>
      <c r="BN120" s="44" t="s">
        <v>1542</v>
      </c>
      <c r="BO120" s="46">
        <f t="shared" si="7"/>
        <v>0</v>
      </c>
      <c r="BP120" s="43" t="s">
        <v>1542</v>
      </c>
      <c r="BQ120" s="43" t="s">
        <v>1542</v>
      </c>
      <c r="BR120" s="43" t="s">
        <v>1542</v>
      </c>
      <c r="BS120" s="43" t="s">
        <v>1542</v>
      </c>
      <c r="BT120" s="43" t="s">
        <v>1542</v>
      </c>
      <c r="BU120" s="43" t="s">
        <v>1542</v>
      </c>
      <c r="BV120" s="43" t="s">
        <v>1542</v>
      </c>
      <c r="BW120" s="43" t="s">
        <v>1542</v>
      </c>
      <c r="BX120" s="43" t="s">
        <v>1542</v>
      </c>
      <c r="BY120" s="43" t="s">
        <v>1542</v>
      </c>
      <c r="BZ120" s="43" t="s">
        <v>1542</v>
      </c>
      <c r="CA120" s="43" t="s">
        <v>1542</v>
      </c>
    </row>
    <row r="121" spans="1:79">
      <c r="A121">
        <v>120</v>
      </c>
      <c r="B121">
        <v>1</v>
      </c>
      <c r="C121" t="s">
        <v>1696</v>
      </c>
      <c r="D121" t="s">
        <v>1697</v>
      </c>
      <c r="E121" t="s">
        <v>2044</v>
      </c>
      <c r="F121" t="s">
        <v>2045</v>
      </c>
      <c r="G121" t="s">
        <v>2085</v>
      </c>
      <c r="H121" t="s">
        <v>2085</v>
      </c>
      <c r="I121" t="s">
        <v>2086</v>
      </c>
      <c r="J121" t="s">
        <v>2087</v>
      </c>
      <c r="K121" t="s">
        <v>2088</v>
      </c>
      <c r="M121" s="1" t="s">
        <v>2089</v>
      </c>
      <c r="N121" t="s">
        <v>2090</v>
      </c>
      <c r="O121" s="46">
        <f t="shared" si="8"/>
        <v>0</v>
      </c>
      <c r="P121" s="43" t="s">
        <v>1542</v>
      </c>
      <c r="Q121" s="43" t="s">
        <v>1542</v>
      </c>
      <c r="R121" s="43" t="s">
        <v>1542</v>
      </c>
      <c r="S121" s="43" t="s">
        <v>1542</v>
      </c>
      <c r="T121" s="43" t="s">
        <v>1542</v>
      </c>
      <c r="U121" s="43" t="s">
        <v>1542</v>
      </c>
      <c r="V121" s="43" t="s">
        <v>1542</v>
      </c>
      <c r="W121" s="43" t="s">
        <v>1542</v>
      </c>
      <c r="X121" s="43" t="s">
        <v>1542</v>
      </c>
      <c r="Y121" s="43" t="s">
        <v>1542</v>
      </c>
      <c r="Z121" s="43" t="s">
        <v>1542</v>
      </c>
      <c r="AA121" s="43" t="s">
        <v>1542</v>
      </c>
      <c r="AB121" s="46">
        <f t="shared" si="9"/>
        <v>0</v>
      </c>
      <c r="AC121" s="44" t="s">
        <v>1542</v>
      </c>
      <c r="AD121" s="44" t="s">
        <v>1542</v>
      </c>
      <c r="AE121" s="44" t="s">
        <v>1542</v>
      </c>
      <c r="AF121" s="44" t="s">
        <v>1542</v>
      </c>
      <c r="AG121" s="44" t="s">
        <v>1542</v>
      </c>
      <c r="AH121" s="44" t="s">
        <v>1542</v>
      </c>
      <c r="AI121" s="44" t="s">
        <v>1542</v>
      </c>
      <c r="AJ121" s="44" t="s">
        <v>1542</v>
      </c>
      <c r="AK121" s="44" t="s">
        <v>1542</v>
      </c>
      <c r="AL121" s="44" t="s">
        <v>1542</v>
      </c>
      <c r="AM121" s="44" t="s">
        <v>1542</v>
      </c>
      <c r="AN121" s="44" t="s">
        <v>1542</v>
      </c>
      <c r="AO121" s="46">
        <f t="shared" si="5"/>
        <v>0</v>
      </c>
      <c r="AP121" s="43" t="s">
        <v>1542</v>
      </c>
      <c r="AQ121" s="43" t="s">
        <v>1542</v>
      </c>
      <c r="AR121" s="43" t="s">
        <v>1542</v>
      </c>
      <c r="AS121" s="43" t="s">
        <v>1542</v>
      </c>
      <c r="AT121" s="43" t="s">
        <v>1542</v>
      </c>
      <c r="AU121" s="43" t="s">
        <v>1542</v>
      </c>
      <c r="AV121" s="43" t="s">
        <v>1542</v>
      </c>
      <c r="AW121" s="43" t="s">
        <v>1542</v>
      </c>
      <c r="AX121" s="43" t="s">
        <v>1542</v>
      </c>
      <c r="AY121" s="43" t="s">
        <v>1542</v>
      </c>
      <c r="AZ121" s="43" t="s">
        <v>1542</v>
      </c>
      <c r="BA121" s="43" t="s">
        <v>1542</v>
      </c>
      <c r="BB121" s="46">
        <f t="shared" si="6"/>
        <v>0</v>
      </c>
      <c r="BC121" s="44" t="s">
        <v>1542</v>
      </c>
      <c r="BD121" s="44" t="s">
        <v>1542</v>
      </c>
      <c r="BE121" s="44" t="s">
        <v>1542</v>
      </c>
      <c r="BF121" s="44" t="s">
        <v>1542</v>
      </c>
      <c r="BG121" s="44" t="s">
        <v>1542</v>
      </c>
      <c r="BH121" s="44" t="s">
        <v>1542</v>
      </c>
      <c r="BI121" s="44" t="s">
        <v>1542</v>
      </c>
      <c r="BJ121" s="44" t="s">
        <v>1542</v>
      </c>
      <c r="BK121" s="44" t="s">
        <v>1542</v>
      </c>
      <c r="BL121" s="44" t="s">
        <v>1542</v>
      </c>
      <c r="BM121" s="44" t="s">
        <v>1542</v>
      </c>
      <c r="BN121" s="44" t="s">
        <v>1542</v>
      </c>
      <c r="BO121" s="46">
        <f t="shared" si="7"/>
        <v>0</v>
      </c>
      <c r="BP121" s="43" t="s">
        <v>1542</v>
      </c>
      <c r="BQ121" s="43" t="s">
        <v>1542</v>
      </c>
      <c r="BR121" s="43" t="s">
        <v>1542</v>
      </c>
      <c r="BS121" s="43" t="s">
        <v>1542</v>
      </c>
      <c r="BT121" s="43" t="s">
        <v>1542</v>
      </c>
      <c r="BU121" s="43" t="s">
        <v>1542</v>
      </c>
      <c r="BV121" s="43" t="s">
        <v>1542</v>
      </c>
      <c r="BW121" s="43" t="s">
        <v>1542</v>
      </c>
      <c r="BX121" s="43" t="s">
        <v>1542</v>
      </c>
      <c r="BY121" s="43" t="s">
        <v>1542</v>
      </c>
      <c r="BZ121" s="43" t="s">
        <v>1542</v>
      </c>
      <c r="CA121" s="43" t="s">
        <v>1542</v>
      </c>
    </row>
    <row r="122" spans="1:79">
      <c r="A122">
        <v>121</v>
      </c>
      <c r="C122" t="s">
        <v>1696</v>
      </c>
      <c r="D122" t="s">
        <v>1697</v>
      </c>
      <c r="E122" t="s">
        <v>2044</v>
      </c>
      <c r="F122" t="s">
        <v>2045</v>
      </c>
      <c r="G122" t="s">
        <v>2085</v>
      </c>
      <c r="H122" t="s">
        <v>2091</v>
      </c>
      <c r="I122" t="s">
        <v>2091</v>
      </c>
      <c r="J122" t="s">
        <v>2087</v>
      </c>
      <c r="K122" t="s">
        <v>2088</v>
      </c>
      <c r="M122" s="1" t="s">
        <v>2092</v>
      </c>
      <c r="N122" t="s">
        <v>2093</v>
      </c>
      <c r="O122" s="46">
        <f t="shared" si="8"/>
        <v>0</v>
      </c>
      <c r="P122" s="43"/>
      <c r="Q122" s="43"/>
      <c r="R122" s="43"/>
      <c r="S122" s="43"/>
      <c r="T122" s="43"/>
      <c r="U122" s="43"/>
      <c r="V122" s="43"/>
      <c r="W122" s="43"/>
      <c r="X122" s="43"/>
      <c r="Y122" s="43"/>
      <c r="Z122" s="43"/>
      <c r="AA122" s="43"/>
      <c r="AB122" s="46">
        <f t="shared" si="9"/>
        <v>1</v>
      </c>
      <c r="AC122" s="44" t="s">
        <v>1542</v>
      </c>
      <c r="AD122" s="44" t="s">
        <v>1542</v>
      </c>
      <c r="AE122" s="44" t="s">
        <v>1542</v>
      </c>
      <c r="AF122" s="44" t="s">
        <v>1542</v>
      </c>
      <c r="AG122" s="44" t="s">
        <v>1542</v>
      </c>
      <c r="AH122" s="44" t="s">
        <v>1542</v>
      </c>
      <c r="AI122" s="44" t="s">
        <v>1542</v>
      </c>
      <c r="AJ122" s="44" t="s">
        <v>1542</v>
      </c>
      <c r="AK122" s="44" t="s">
        <v>1554</v>
      </c>
      <c r="AL122" s="44"/>
      <c r="AM122" s="44"/>
      <c r="AN122" s="44"/>
      <c r="AO122" s="46">
        <f t="shared" si="5"/>
        <v>1</v>
      </c>
      <c r="AP122" s="43" t="s">
        <v>1542</v>
      </c>
      <c r="AQ122" s="43" t="s">
        <v>1542</v>
      </c>
      <c r="AR122" s="43" t="s">
        <v>1542</v>
      </c>
      <c r="AS122" s="43" t="s">
        <v>1542</v>
      </c>
      <c r="AT122" s="43" t="s">
        <v>1542</v>
      </c>
      <c r="AU122" s="43" t="s">
        <v>1542</v>
      </c>
      <c r="AV122" s="43" t="s">
        <v>1542</v>
      </c>
      <c r="AW122" s="43" t="s">
        <v>1542</v>
      </c>
      <c r="AX122" s="43" t="s">
        <v>1554</v>
      </c>
      <c r="AY122" s="43" t="s">
        <v>1554</v>
      </c>
      <c r="AZ122" s="43" t="s">
        <v>1554</v>
      </c>
      <c r="BA122" s="43" t="s">
        <v>1542</v>
      </c>
      <c r="BB122" s="46">
        <f t="shared" si="6"/>
        <v>3</v>
      </c>
      <c r="BC122" s="44" t="s">
        <v>1542</v>
      </c>
      <c r="BD122" s="44" t="s">
        <v>1542</v>
      </c>
      <c r="BE122" s="44" t="s">
        <v>1542</v>
      </c>
      <c r="BF122" s="44" t="s">
        <v>1542</v>
      </c>
      <c r="BG122" s="44" t="s">
        <v>1542</v>
      </c>
      <c r="BH122" s="44" t="s">
        <v>1542</v>
      </c>
      <c r="BI122" s="44" t="s">
        <v>1542</v>
      </c>
      <c r="BJ122" s="44" t="s">
        <v>1542</v>
      </c>
      <c r="BK122" s="44" t="s">
        <v>1542</v>
      </c>
      <c r="BL122" s="44" t="s">
        <v>1542</v>
      </c>
      <c r="BM122" s="44" t="s">
        <v>1542</v>
      </c>
      <c r="BN122" s="44" t="s">
        <v>1542</v>
      </c>
      <c r="BO122" s="46">
        <f t="shared" si="7"/>
        <v>0</v>
      </c>
      <c r="BP122" s="43" t="s">
        <v>1542</v>
      </c>
      <c r="BQ122" s="43" t="s">
        <v>1542</v>
      </c>
      <c r="BR122" s="43" t="s">
        <v>1542</v>
      </c>
      <c r="BS122" s="43" t="s">
        <v>1542</v>
      </c>
      <c r="BT122" s="43" t="s">
        <v>1542</v>
      </c>
      <c r="BU122" s="43" t="s">
        <v>1542</v>
      </c>
      <c r="BV122" s="43" t="s">
        <v>1542</v>
      </c>
      <c r="BW122" s="43" t="s">
        <v>1542</v>
      </c>
      <c r="BX122" s="43" t="s">
        <v>1542</v>
      </c>
      <c r="BY122" s="43" t="s">
        <v>1542</v>
      </c>
      <c r="BZ122" s="43" t="s">
        <v>1542</v>
      </c>
      <c r="CA122" s="43" t="s">
        <v>1542</v>
      </c>
    </row>
    <row r="123" spans="1:79">
      <c r="A123">
        <v>122</v>
      </c>
      <c r="C123" t="s">
        <v>1696</v>
      </c>
      <c r="D123" t="s">
        <v>1697</v>
      </c>
      <c r="E123" t="s">
        <v>2044</v>
      </c>
      <c r="F123" t="s">
        <v>2045</v>
      </c>
      <c r="G123" t="s">
        <v>2085</v>
      </c>
      <c r="H123" t="s">
        <v>2094</v>
      </c>
      <c r="I123" t="s">
        <v>2094</v>
      </c>
      <c r="J123" t="s">
        <v>2095</v>
      </c>
      <c r="K123" t="s">
        <v>2088</v>
      </c>
      <c r="M123" s="1" t="s">
        <v>2096</v>
      </c>
      <c r="N123" t="s">
        <v>2097</v>
      </c>
      <c r="O123" s="46">
        <f t="shared" si="8"/>
        <v>0</v>
      </c>
      <c r="P123" s="43"/>
      <c r="Q123" s="43"/>
      <c r="R123" s="43"/>
      <c r="S123" s="43"/>
      <c r="T123" s="43"/>
      <c r="U123" s="43"/>
      <c r="V123" s="43"/>
      <c r="W123" s="43"/>
      <c r="X123" s="43"/>
      <c r="Y123" s="43"/>
      <c r="Z123" s="43"/>
      <c r="AA123" s="43"/>
      <c r="AB123" s="46">
        <f t="shared" si="9"/>
        <v>0</v>
      </c>
      <c r="AC123" s="44"/>
      <c r="AD123" s="44"/>
      <c r="AE123" s="44"/>
      <c r="AF123" s="44"/>
      <c r="AG123" s="44"/>
      <c r="AH123" s="44"/>
      <c r="AI123" s="44"/>
      <c r="AJ123" s="44"/>
      <c r="AK123" s="44"/>
      <c r="AL123" s="44"/>
      <c r="AM123" s="44"/>
      <c r="AN123" s="44"/>
      <c r="AO123" s="46">
        <f t="shared" si="5"/>
        <v>0</v>
      </c>
      <c r="AP123" s="43"/>
      <c r="AQ123" s="43"/>
      <c r="AR123" s="43"/>
      <c r="AS123" s="43"/>
      <c r="AT123" s="43"/>
      <c r="AU123" s="43"/>
      <c r="AV123" s="43"/>
      <c r="AW123" s="43"/>
      <c r="AX123" s="43"/>
      <c r="AY123" s="43"/>
      <c r="AZ123" s="43"/>
      <c r="BA123" s="43"/>
      <c r="BB123" s="46">
        <f t="shared" si="6"/>
        <v>0</v>
      </c>
      <c r="BC123" s="44"/>
      <c r="BD123" s="44"/>
      <c r="BE123" s="44"/>
      <c r="BF123" s="44"/>
      <c r="BG123" s="44"/>
      <c r="BH123" s="44"/>
      <c r="BI123" s="44"/>
      <c r="BJ123" s="44"/>
      <c r="BK123" s="44"/>
      <c r="BL123" s="44"/>
      <c r="BM123" s="44"/>
      <c r="BN123" s="44"/>
      <c r="BO123" s="46">
        <f t="shared" si="7"/>
        <v>0</v>
      </c>
      <c r="BP123" s="43" t="s">
        <v>1542</v>
      </c>
      <c r="BQ123" s="43" t="s">
        <v>1542</v>
      </c>
      <c r="BR123" s="43" t="s">
        <v>1542</v>
      </c>
      <c r="BS123" s="43" t="s">
        <v>1542</v>
      </c>
      <c r="BT123" s="43" t="s">
        <v>1542</v>
      </c>
      <c r="BU123" s="43" t="s">
        <v>1542</v>
      </c>
      <c r="BV123" s="43" t="s">
        <v>1542</v>
      </c>
      <c r="BW123" s="43" t="s">
        <v>1542</v>
      </c>
      <c r="BX123" s="43" t="s">
        <v>1542</v>
      </c>
      <c r="BY123" s="43" t="s">
        <v>1542</v>
      </c>
      <c r="BZ123" s="43" t="s">
        <v>1542</v>
      </c>
      <c r="CA123" s="43" t="s">
        <v>1542</v>
      </c>
    </row>
    <row r="124" spans="1:79">
      <c r="A124">
        <v>123</v>
      </c>
      <c r="B124">
        <v>1</v>
      </c>
      <c r="C124" t="s">
        <v>1696</v>
      </c>
      <c r="D124" t="s">
        <v>1697</v>
      </c>
      <c r="E124" t="s">
        <v>2044</v>
      </c>
      <c r="F124" t="s">
        <v>2045</v>
      </c>
      <c r="G124" t="s">
        <v>2098</v>
      </c>
      <c r="H124" t="s">
        <v>2098</v>
      </c>
      <c r="J124" t="s">
        <v>2099</v>
      </c>
      <c r="K124" t="s">
        <v>2100</v>
      </c>
      <c r="M124" s="1" t="s">
        <v>2101</v>
      </c>
      <c r="N124" t="s">
        <v>2102</v>
      </c>
      <c r="O124" s="46">
        <f t="shared" si="8"/>
        <v>0</v>
      </c>
      <c r="P124" s="43" t="s">
        <v>1542</v>
      </c>
      <c r="Q124" s="43" t="s">
        <v>1542</v>
      </c>
      <c r="R124" s="43" t="s">
        <v>1542</v>
      </c>
      <c r="S124" s="43" t="s">
        <v>1542</v>
      </c>
      <c r="T124" s="43" t="s">
        <v>1542</v>
      </c>
      <c r="U124" s="43" t="s">
        <v>1542</v>
      </c>
      <c r="V124" s="43" t="s">
        <v>1542</v>
      </c>
      <c r="W124" s="43" t="s">
        <v>1542</v>
      </c>
      <c r="X124" s="43" t="s">
        <v>1542</v>
      </c>
      <c r="Y124" s="43" t="s">
        <v>1542</v>
      </c>
      <c r="Z124" s="43" t="s">
        <v>1542</v>
      </c>
      <c r="AA124" s="43" t="s">
        <v>1542</v>
      </c>
      <c r="AB124" s="46">
        <f t="shared" si="9"/>
        <v>0</v>
      </c>
      <c r="AC124" s="44" t="s">
        <v>1542</v>
      </c>
      <c r="AD124" s="44" t="s">
        <v>1542</v>
      </c>
      <c r="AE124" s="44" t="s">
        <v>1542</v>
      </c>
      <c r="AF124" s="44" t="s">
        <v>1542</v>
      </c>
      <c r="AG124" s="44" t="s">
        <v>1542</v>
      </c>
      <c r="AH124" s="44" t="s">
        <v>1542</v>
      </c>
      <c r="AI124" s="44" t="s">
        <v>1542</v>
      </c>
      <c r="AJ124" s="44" t="s">
        <v>1542</v>
      </c>
      <c r="AK124" s="44" t="s">
        <v>1542</v>
      </c>
      <c r="AL124" s="44" t="s">
        <v>1542</v>
      </c>
      <c r="AM124" s="44" t="s">
        <v>1542</v>
      </c>
      <c r="AN124" s="44" t="s">
        <v>1542</v>
      </c>
      <c r="AO124" s="46">
        <f t="shared" si="5"/>
        <v>0</v>
      </c>
      <c r="AP124" s="43" t="s">
        <v>1542</v>
      </c>
      <c r="AQ124" s="43" t="s">
        <v>1542</v>
      </c>
      <c r="AR124" s="43" t="s">
        <v>1542</v>
      </c>
      <c r="AS124" s="43" t="s">
        <v>1554</v>
      </c>
      <c r="AT124" s="43" t="s">
        <v>1554</v>
      </c>
      <c r="AU124" s="43" t="s">
        <v>1542</v>
      </c>
      <c r="AV124" s="43" t="s">
        <v>1542</v>
      </c>
      <c r="AW124" s="43" t="s">
        <v>1542</v>
      </c>
      <c r="AX124" s="43" t="s">
        <v>1542</v>
      </c>
      <c r="AY124" s="43" t="s">
        <v>1542</v>
      </c>
      <c r="AZ124" s="43" t="s">
        <v>1542</v>
      </c>
      <c r="BA124" s="43" t="s">
        <v>1542</v>
      </c>
      <c r="BB124" s="46">
        <f t="shared" si="6"/>
        <v>2</v>
      </c>
      <c r="BC124" s="44" t="s">
        <v>1542</v>
      </c>
      <c r="BD124" s="44" t="s">
        <v>1542</v>
      </c>
      <c r="BE124" s="44" t="s">
        <v>1542</v>
      </c>
      <c r="BF124" s="44" t="s">
        <v>1542</v>
      </c>
      <c r="BG124" s="44" t="s">
        <v>1542</v>
      </c>
      <c r="BH124" s="44" t="s">
        <v>1542</v>
      </c>
      <c r="BI124" s="44" t="s">
        <v>1542</v>
      </c>
      <c r="BJ124" s="44" t="s">
        <v>1542</v>
      </c>
      <c r="BK124" s="44" t="s">
        <v>1542</v>
      </c>
      <c r="BL124" s="44" t="s">
        <v>1542</v>
      </c>
      <c r="BM124" s="44" t="s">
        <v>1542</v>
      </c>
      <c r="BN124" s="44" t="s">
        <v>1542</v>
      </c>
      <c r="BO124" s="46">
        <f t="shared" si="7"/>
        <v>0</v>
      </c>
      <c r="BP124" s="43" t="s">
        <v>1542</v>
      </c>
      <c r="BQ124" s="43" t="s">
        <v>1542</v>
      </c>
      <c r="BR124" s="43" t="s">
        <v>1542</v>
      </c>
      <c r="BS124" s="43" t="s">
        <v>1542</v>
      </c>
      <c r="BT124" s="43" t="s">
        <v>1542</v>
      </c>
      <c r="BU124" s="43" t="s">
        <v>1542</v>
      </c>
      <c r="BV124" s="43" t="s">
        <v>1542</v>
      </c>
      <c r="BW124" s="43" t="s">
        <v>1542</v>
      </c>
      <c r="BX124" s="43" t="s">
        <v>1542</v>
      </c>
      <c r="BY124" s="43" t="s">
        <v>1542</v>
      </c>
      <c r="BZ124" s="43" t="s">
        <v>1542</v>
      </c>
      <c r="CA124" s="43" t="s">
        <v>1542</v>
      </c>
    </row>
    <row r="125" spans="1:79">
      <c r="A125">
        <v>124</v>
      </c>
      <c r="B125">
        <v>1</v>
      </c>
      <c r="C125" t="s">
        <v>1696</v>
      </c>
      <c r="D125" t="s">
        <v>1697</v>
      </c>
      <c r="E125" t="s">
        <v>2044</v>
      </c>
      <c r="F125" t="s">
        <v>2045</v>
      </c>
      <c r="G125" t="s">
        <v>2103</v>
      </c>
      <c r="H125" t="s">
        <v>2103</v>
      </c>
      <c r="J125" t="s">
        <v>2104</v>
      </c>
      <c r="K125" t="s">
        <v>2105</v>
      </c>
      <c r="M125" s="1" t="s">
        <v>2106</v>
      </c>
      <c r="O125" s="46">
        <f t="shared" si="8"/>
        <v>0</v>
      </c>
      <c r="P125" s="43" t="s">
        <v>1542</v>
      </c>
      <c r="Q125" s="43" t="s">
        <v>1542</v>
      </c>
      <c r="R125" s="43" t="s">
        <v>1542</v>
      </c>
      <c r="S125" s="43" t="s">
        <v>1542</v>
      </c>
      <c r="T125" s="43" t="s">
        <v>1542</v>
      </c>
      <c r="U125" s="43" t="s">
        <v>1542</v>
      </c>
      <c r="V125" s="43" t="s">
        <v>1542</v>
      </c>
      <c r="W125" s="43" t="s">
        <v>1542</v>
      </c>
      <c r="X125" s="43" t="s">
        <v>1542</v>
      </c>
      <c r="Y125" s="43" t="s">
        <v>1542</v>
      </c>
      <c r="Z125" s="43" t="s">
        <v>1542</v>
      </c>
      <c r="AA125" s="43" t="s">
        <v>1542</v>
      </c>
      <c r="AB125" s="46">
        <f t="shared" si="9"/>
        <v>0</v>
      </c>
      <c r="AC125" s="44" t="s">
        <v>1542</v>
      </c>
      <c r="AD125" s="44" t="s">
        <v>1542</v>
      </c>
      <c r="AE125" s="44" t="s">
        <v>1542</v>
      </c>
      <c r="AF125" s="44" t="s">
        <v>1542</v>
      </c>
      <c r="AG125" s="44" t="s">
        <v>1542</v>
      </c>
      <c r="AH125" s="44" t="s">
        <v>1542</v>
      </c>
      <c r="AI125" s="44" t="s">
        <v>1542</v>
      </c>
      <c r="AJ125" s="44" t="s">
        <v>1542</v>
      </c>
      <c r="AK125" s="44" t="s">
        <v>1542</v>
      </c>
      <c r="AL125" s="44" t="s">
        <v>1542</v>
      </c>
      <c r="AM125" s="44" t="s">
        <v>1542</v>
      </c>
      <c r="AN125" s="44" t="s">
        <v>1542</v>
      </c>
      <c r="AO125" s="46">
        <f t="shared" si="5"/>
        <v>0</v>
      </c>
      <c r="AP125" s="43" t="s">
        <v>1542</v>
      </c>
      <c r="AQ125" s="43" t="s">
        <v>1542</v>
      </c>
      <c r="AR125" s="43" t="s">
        <v>1542</v>
      </c>
      <c r="AS125" s="43" t="s">
        <v>1542</v>
      </c>
      <c r="AT125" s="43" t="s">
        <v>1542</v>
      </c>
      <c r="AU125" s="43" t="s">
        <v>1542</v>
      </c>
      <c r="AV125" s="43" t="s">
        <v>1542</v>
      </c>
      <c r="AW125" s="43" t="s">
        <v>1542</v>
      </c>
      <c r="AX125" s="43" t="s">
        <v>1542</v>
      </c>
      <c r="AY125" s="43" t="s">
        <v>1542</v>
      </c>
      <c r="AZ125" s="43" t="s">
        <v>1542</v>
      </c>
      <c r="BA125" s="43" t="s">
        <v>1542</v>
      </c>
      <c r="BB125" s="46">
        <f t="shared" si="6"/>
        <v>0</v>
      </c>
      <c r="BC125" s="44" t="s">
        <v>1542</v>
      </c>
      <c r="BD125" s="44" t="s">
        <v>1542</v>
      </c>
      <c r="BE125" s="44" t="s">
        <v>1542</v>
      </c>
      <c r="BF125" s="44" t="s">
        <v>1542</v>
      </c>
      <c r="BG125" s="44" t="s">
        <v>1542</v>
      </c>
      <c r="BH125" s="44" t="s">
        <v>1542</v>
      </c>
      <c r="BI125" s="44" t="s">
        <v>1542</v>
      </c>
      <c r="BJ125" s="44" t="s">
        <v>1542</v>
      </c>
      <c r="BK125" s="44" t="s">
        <v>1542</v>
      </c>
      <c r="BL125" s="44" t="s">
        <v>1542</v>
      </c>
      <c r="BM125" s="44" t="s">
        <v>1542</v>
      </c>
      <c r="BN125" s="44" t="s">
        <v>1542</v>
      </c>
      <c r="BO125" s="46">
        <f t="shared" si="7"/>
        <v>0</v>
      </c>
      <c r="BP125" s="43" t="s">
        <v>1542</v>
      </c>
      <c r="BQ125" s="43" t="s">
        <v>1542</v>
      </c>
      <c r="BR125" s="43" t="s">
        <v>1542</v>
      </c>
      <c r="BS125" s="43" t="s">
        <v>1542</v>
      </c>
      <c r="BT125" s="43" t="s">
        <v>1542</v>
      </c>
      <c r="BU125" s="43" t="s">
        <v>1542</v>
      </c>
      <c r="BV125" s="43" t="s">
        <v>1542</v>
      </c>
      <c r="BW125" s="43" t="s">
        <v>1542</v>
      </c>
      <c r="BX125" s="43" t="s">
        <v>1542</v>
      </c>
      <c r="BY125" s="43" t="s">
        <v>1542</v>
      </c>
      <c r="BZ125" s="43" t="s">
        <v>1542</v>
      </c>
      <c r="CA125" s="43" t="s">
        <v>1542</v>
      </c>
    </row>
    <row r="126" spans="1:79">
      <c r="A126">
        <v>125</v>
      </c>
      <c r="B126">
        <v>1</v>
      </c>
      <c r="C126" t="s">
        <v>1696</v>
      </c>
      <c r="D126" t="s">
        <v>1697</v>
      </c>
      <c r="E126" t="s">
        <v>2044</v>
      </c>
      <c r="F126" t="s">
        <v>2045</v>
      </c>
      <c r="G126" t="s">
        <v>2107</v>
      </c>
      <c r="H126" t="s">
        <v>2107</v>
      </c>
      <c r="J126" t="s">
        <v>2108</v>
      </c>
      <c r="K126" t="s">
        <v>2109</v>
      </c>
      <c r="M126" s="1" t="s">
        <v>2110</v>
      </c>
      <c r="N126" t="s">
        <v>2111</v>
      </c>
      <c r="O126" s="46">
        <f t="shared" si="8"/>
        <v>0</v>
      </c>
      <c r="P126" s="43" t="s">
        <v>1542</v>
      </c>
      <c r="Q126" s="43" t="s">
        <v>1542</v>
      </c>
      <c r="R126" s="43" t="s">
        <v>1542</v>
      </c>
      <c r="S126" s="43" t="s">
        <v>1542</v>
      </c>
      <c r="T126" s="43" t="s">
        <v>1542</v>
      </c>
      <c r="U126" s="43" t="s">
        <v>1542</v>
      </c>
      <c r="V126" s="43" t="s">
        <v>1542</v>
      </c>
      <c r="W126" s="43" t="s">
        <v>1542</v>
      </c>
      <c r="X126" s="43" t="s">
        <v>1542</v>
      </c>
      <c r="Y126" s="43" t="s">
        <v>1542</v>
      </c>
      <c r="Z126" s="43" t="s">
        <v>1542</v>
      </c>
      <c r="AA126" s="43" t="s">
        <v>1542</v>
      </c>
      <c r="AB126" s="46">
        <f t="shared" si="9"/>
        <v>0</v>
      </c>
      <c r="AC126" s="44" t="s">
        <v>1542</v>
      </c>
      <c r="AD126" s="44" t="s">
        <v>1542</v>
      </c>
      <c r="AE126" s="44" t="s">
        <v>1542</v>
      </c>
      <c r="AF126" s="44" t="s">
        <v>1542</v>
      </c>
      <c r="AG126" s="44" t="s">
        <v>1542</v>
      </c>
      <c r="AH126" s="44" t="s">
        <v>1542</v>
      </c>
      <c r="AI126" s="44" t="s">
        <v>1542</v>
      </c>
      <c r="AJ126" s="44" t="s">
        <v>1542</v>
      </c>
      <c r="AK126" s="44" t="s">
        <v>1542</v>
      </c>
      <c r="AL126" s="44" t="s">
        <v>1542</v>
      </c>
      <c r="AM126" s="44" t="s">
        <v>1542</v>
      </c>
      <c r="AN126" s="44" t="s">
        <v>1542</v>
      </c>
      <c r="AO126" s="46">
        <f t="shared" si="5"/>
        <v>0</v>
      </c>
      <c r="AP126" s="43" t="s">
        <v>1542</v>
      </c>
      <c r="AQ126" s="43" t="s">
        <v>1542</v>
      </c>
      <c r="AR126" s="43" t="s">
        <v>1542</v>
      </c>
      <c r="AS126" s="43" t="s">
        <v>1542</v>
      </c>
      <c r="AT126" s="43" t="s">
        <v>1542</v>
      </c>
      <c r="AU126" s="43" t="s">
        <v>1542</v>
      </c>
      <c r="AV126" s="43" t="s">
        <v>1542</v>
      </c>
      <c r="AW126" s="43" t="s">
        <v>1542</v>
      </c>
      <c r="AX126" s="43" t="s">
        <v>1542</v>
      </c>
      <c r="AY126" s="43" t="s">
        <v>1542</v>
      </c>
      <c r="AZ126" s="43" t="s">
        <v>1542</v>
      </c>
      <c r="BA126" s="43" t="s">
        <v>1542</v>
      </c>
      <c r="BB126" s="46">
        <f t="shared" si="6"/>
        <v>0</v>
      </c>
      <c r="BC126" s="44" t="s">
        <v>1542</v>
      </c>
      <c r="BD126" s="44" t="s">
        <v>1542</v>
      </c>
      <c r="BE126" s="44" t="s">
        <v>1542</v>
      </c>
      <c r="BF126" s="44" t="s">
        <v>1542</v>
      </c>
      <c r="BG126" s="44" t="s">
        <v>1542</v>
      </c>
      <c r="BH126" s="44" t="s">
        <v>1542</v>
      </c>
      <c r="BI126" s="44" t="s">
        <v>1542</v>
      </c>
      <c r="BJ126" s="44" t="s">
        <v>1542</v>
      </c>
      <c r="BK126" s="44" t="s">
        <v>1542</v>
      </c>
      <c r="BL126" s="44" t="s">
        <v>1542</v>
      </c>
      <c r="BM126" s="44" t="s">
        <v>1542</v>
      </c>
      <c r="BN126" s="44" t="s">
        <v>1542</v>
      </c>
      <c r="BO126" s="46">
        <f t="shared" si="7"/>
        <v>0</v>
      </c>
      <c r="BP126" s="43" t="s">
        <v>1542</v>
      </c>
      <c r="BQ126" s="43" t="s">
        <v>1542</v>
      </c>
      <c r="BR126" s="43" t="s">
        <v>1542</v>
      </c>
      <c r="BS126" s="43" t="s">
        <v>1542</v>
      </c>
      <c r="BT126" s="43" t="s">
        <v>1542</v>
      </c>
      <c r="BU126" s="43" t="s">
        <v>1542</v>
      </c>
      <c r="BV126" s="43" t="s">
        <v>1542</v>
      </c>
      <c r="BW126" s="43" t="s">
        <v>1542</v>
      </c>
      <c r="BX126" s="43" t="s">
        <v>1542</v>
      </c>
      <c r="BY126" s="43" t="s">
        <v>1542</v>
      </c>
      <c r="BZ126" s="43" t="s">
        <v>1542</v>
      </c>
      <c r="CA126" s="43" t="s">
        <v>1542</v>
      </c>
    </row>
    <row r="127" spans="1:79">
      <c r="A127">
        <v>126</v>
      </c>
      <c r="C127" t="s">
        <v>1696</v>
      </c>
      <c r="D127" t="s">
        <v>1697</v>
      </c>
      <c r="E127" t="s">
        <v>2044</v>
      </c>
      <c r="F127" t="s">
        <v>2045</v>
      </c>
      <c r="G127" t="s">
        <v>2107</v>
      </c>
      <c r="H127" t="s">
        <v>2112</v>
      </c>
      <c r="I127" t="s">
        <v>2112</v>
      </c>
      <c r="J127" t="s">
        <v>2108</v>
      </c>
      <c r="K127" t="s">
        <v>2109</v>
      </c>
      <c r="M127" s="1" t="s">
        <v>2113</v>
      </c>
      <c r="N127" t="s">
        <v>2114</v>
      </c>
      <c r="O127" s="46">
        <f t="shared" si="8"/>
        <v>0</v>
      </c>
      <c r="P127" s="43"/>
      <c r="Q127" s="43"/>
      <c r="R127" s="43"/>
      <c r="S127" s="43"/>
      <c r="T127" s="43"/>
      <c r="U127" s="43"/>
      <c r="V127" s="43"/>
      <c r="W127" s="43"/>
      <c r="X127" s="43"/>
      <c r="Y127" s="43"/>
      <c r="Z127" s="43"/>
      <c r="AA127" s="43"/>
      <c r="AB127" s="46">
        <f t="shared" si="9"/>
        <v>4</v>
      </c>
      <c r="AC127" s="44"/>
      <c r="AD127" s="44"/>
      <c r="AE127" s="44"/>
      <c r="AF127" s="44" t="s">
        <v>1554</v>
      </c>
      <c r="AG127" s="44" t="s">
        <v>1554</v>
      </c>
      <c r="AH127" s="44" t="s">
        <v>1554</v>
      </c>
      <c r="AI127" s="44" t="s">
        <v>1554</v>
      </c>
      <c r="AJ127" s="44"/>
      <c r="AK127" s="44"/>
      <c r="AL127" s="44"/>
      <c r="AM127" s="44"/>
      <c r="AN127" s="44"/>
      <c r="AO127" s="46">
        <f t="shared" si="5"/>
        <v>4</v>
      </c>
      <c r="AP127" s="43"/>
      <c r="AQ127" s="43"/>
      <c r="AR127" s="43"/>
      <c r="AS127" s="43"/>
      <c r="AT127" s="43"/>
      <c r="AU127" s="43"/>
      <c r="AV127" s="43"/>
      <c r="AW127" s="43"/>
      <c r="AX127" s="43"/>
      <c r="AY127" s="43"/>
      <c r="AZ127" s="43"/>
      <c r="BA127" s="43"/>
      <c r="BB127" s="46">
        <f t="shared" si="6"/>
        <v>0</v>
      </c>
      <c r="BC127" s="44"/>
      <c r="BD127" s="44"/>
      <c r="BE127" s="44"/>
      <c r="BF127" s="44"/>
      <c r="BG127" s="44"/>
      <c r="BH127" s="44"/>
      <c r="BI127" s="44"/>
      <c r="BJ127" s="44"/>
      <c r="BK127" s="44"/>
      <c r="BL127" s="44"/>
      <c r="BM127" s="44"/>
      <c r="BN127" s="44"/>
      <c r="BO127" s="46">
        <f t="shared" si="7"/>
        <v>0</v>
      </c>
      <c r="BP127" s="43"/>
      <c r="BQ127" s="43"/>
      <c r="BR127" s="43"/>
      <c r="BS127" s="43"/>
      <c r="BT127" s="43"/>
      <c r="BU127" s="43"/>
      <c r="BV127" s="43"/>
      <c r="BW127" s="43"/>
      <c r="BX127" s="43"/>
      <c r="BY127" s="43"/>
      <c r="BZ127" s="43"/>
      <c r="CA127" s="43"/>
    </row>
    <row r="128" spans="1:79">
      <c r="A128">
        <v>127</v>
      </c>
      <c r="B128">
        <v>1</v>
      </c>
      <c r="C128" t="s">
        <v>1696</v>
      </c>
      <c r="D128" t="s">
        <v>1697</v>
      </c>
      <c r="E128" t="s">
        <v>2044</v>
      </c>
      <c r="F128" t="s">
        <v>2045</v>
      </c>
      <c r="G128" t="s">
        <v>2115</v>
      </c>
      <c r="H128" t="s">
        <v>2115</v>
      </c>
      <c r="J128" t="s">
        <v>2116</v>
      </c>
      <c r="K128" t="s">
        <v>2117</v>
      </c>
      <c r="L128" t="s">
        <v>1539</v>
      </c>
      <c r="M128" s="1" t="s">
        <v>2118</v>
      </c>
      <c r="N128" t="s">
        <v>2119</v>
      </c>
      <c r="O128" s="46">
        <f t="shared" si="8"/>
        <v>0</v>
      </c>
      <c r="P128" s="43" t="s">
        <v>1542</v>
      </c>
      <c r="Q128" s="43" t="s">
        <v>1542</v>
      </c>
      <c r="R128" s="43" t="s">
        <v>1542</v>
      </c>
      <c r="S128" s="43" t="s">
        <v>1542</v>
      </c>
      <c r="T128" s="43" t="s">
        <v>1542</v>
      </c>
      <c r="U128" s="43" t="s">
        <v>1542</v>
      </c>
      <c r="V128" s="43" t="s">
        <v>1542</v>
      </c>
      <c r="W128" s="43" t="s">
        <v>1542</v>
      </c>
      <c r="X128" s="43" t="s">
        <v>1542</v>
      </c>
      <c r="Y128" s="43" t="s">
        <v>1542</v>
      </c>
      <c r="Z128" s="43" t="s">
        <v>1542</v>
      </c>
      <c r="AA128" s="43" t="s">
        <v>1542</v>
      </c>
      <c r="AB128" s="46">
        <f t="shared" si="9"/>
        <v>0</v>
      </c>
      <c r="AC128" s="44" t="s">
        <v>1542</v>
      </c>
      <c r="AD128" s="44" t="s">
        <v>1542</v>
      </c>
      <c r="AE128" s="44" t="s">
        <v>1542</v>
      </c>
      <c r="AF128" s="44" t="s">
        <v>1542</v>
      </c>
      <c r="AG128" s="44" t="s">
        <v>1542</v>
      </c>
      <c r="AH128" s="44" t="s">
        <v>1542</v>
      </c>
      <c r="AI128" s="44" t="s">
        <v>1542</v>
      </c>
      <c r="AJ128" s="44" t="s">
        <v>1542</v>
      </c>
      <c r="AK128" s="44" t="s">
        <v>1542</v>
      </c>
      <c r="AL128" s="44" t="s">
        <v>1542</v>
      </c>
      <c r="AM128" s="44" t="s">
        <v>1542</v>
      </c>
      <c r="AN128" s="44" t="s">
        <v>1542</v>
      </c>
      <c r="AO128" s="46">
        <f t="shared" si="5"/>
        <v>0</v>
      </c>
      <c r="AP128" s="43" t="s">
        <v>1542</v>
      </c>
      <c r="AQ128" s="43" t="s">
        <v>1542</v>
      </c>
      <c r="AR128" s="43" t="s">
        <v>1542</v>
      </c>
      <c r="AS128" s="43" t="s">
        <v>1542</v>
      </c>
      <c r="AT128" s="43" t="s">
        <v>1542</v>
      </c>
      <c r="AU128" s="43" t="s">
        <v>1542</v>
      </c>
      <c r="AV128" s="43" t="s">
        <v>1542</v>
      </c>
      <c r="AW128" s="43" t="s">
        <v>1542</v>
      </c>
      <c r="AX128" s="43" t="s">
        <v>1542</v>
      </c>
      <c r="AY128" s="43" t="s">
        <v>1542</v>
      </c>
      <c r="AZ128" s="43" t="s">
        <v>1542</v>
      </c>
      <c r="BA128" s="43" t="s">
        <v>1542</v>
      </c>
      <c r="BB128" s="46">
        <f t="shared" si="6"/>
        <v>0</v>
      </c>
      <c r="BC128" s="44" t="s">
        <v>1554</v>
      </c>
      <c r="BD128" s="44" t="s">
        <v>1542</v>
      </c>
      <c r="BE128" s="44" t="s">
        <v>1542</v>
      </c>
      <c r="BF128" s="44" t="s">
        <v>1542</v>
      </c>
      <c r="BG128" s="44" t="s">
        <v>1542</v>
      </c>
      <c r="BH128" s="44" t="s">
        <v>1542</v>
      </c>
      <c r="BI128" s="44" t="s">
        <v>1542</v>
      </c>
      <c r="BJ128" s="44" t="s">
        <v>1542</v>
      </c>
      <c r="BK128" s="44" t="s">
        <v>1542</v>
      </c>
      <c r="BL128" s="44" t="s">
        <v>1542</v>
      </c>
      <c r="BM128" s="44" t="s">
        <v>1542</v>
      </c>
      <c r="BN128" s="44" t="s">
        <v>1542</v>
      </c>
      <c r="BO128" s="46">
        <f t="shared" si="7"/>
        <v>1</v>
      </c>
      <c r="BP128" s="43" t="s">
        <v>1542</v>
      </c>
      <c r="BQ128" s="43" t="s">
        <v>1542</v>
      </c>
      <c r="BR128" s="43" t="s">
        <v>1542</v>
      </c>
      <c r="BS128" s="43" t="s">
        <v>1542</v>
      </c>
      <c r="BT128" s="43" t="s">
        <v>1542</v>
      </c>
      <c r="BU128" s="43" t="s">
        <v>1542</v>
      </c>
      <c r="BV128" s="43" t="s">
        <v>1542</v>
      </c>
      <c r="BW128" s="43" t="s">
        <v>1542</v>
      </c>
      <c r="BX128" s="43" t="s">
        <v>1554</v>
      </c>
      <c r="BY128" s="43" t="s">
        <v>1554</v>
      </c>
      <c r="BZ128" s="43" t="s">
        <v>1554</v>
      </c>
      <c r="CA128" s="43" t="s">
        <v>1542</v>
      </c>
    </row>
    <row r="129" spans="1:79">
      <c r="A129">
        <v>128</v>
      </c>
      <c r="B129">
        <v>1</v>
      </c>
      <c r="C129" t="s">
        <v>1696</v>
      </c>
      <c r="D129" t="s">
        <v>1697</v>
      </c>
      <c r="E129" t="s">
        <v>2044</v>
      </c>
      <c r="F129" t="s">
        <v>2045</v>
      </c>
      <c r="G129" t="s">
        <v>2120</v>
      </c>
      <c r="H129" t="s">
        <v>2120</v>
      </c>
      <c r="J129" t="s">
        <v>2121</v>
      </c>
      <c r="K129" t="s">
        <v>2122</v>
      </c>
      <c r="L129" t="s">
        <v>1539</v>
      </c>
      <c r="M129" s="1" t="s">
        <v>2123</v>
      </c>
      <c r="N129" t="s">
        <v>2124</v>
      </c>
      <c r="O129" s="46">
        <f t="shared" si="8"/>
        <v>0</v>
      </c>
      <c r="P129" s="43" t="s">
        <v>1542</v>
      </c>
      <c r="Q129" s="43" t="s">
        <v>1542</v>
      </c>
      <c r="R129" s="43" t="s">
        <v>1542</v>
      </c>
      <c r="S129" s="43" t="s">
        <v>1542</v>
      </c>
      <c r="T129" s="43" t="s">
        <v>1542</v>
      </c>
      <c r="U129" s="43" t="s">
        <v>1542</v>
      </c>
      <c r="V129" s="43" t="s">
        <v>1542</v>
      </c>
      <c r="W129" s="43" t="s">
        <v>1542</v>
      </c>
      <c r="X129" s="43" t="s">
        <v>1542</v>
      </c>
      <c r="Y129" s="43" t="s">
        <v>1542</v>
      </c>
      <c r="Z129" s="43" t="s">
        <v>1542</v>
      </c>
      <c r="AA129" s="43" t="s">
        <v>1542</v>
      </c>
      <c r="AB129" s="46">
        <f t="shared" si="9"/>
        <v>0</v>
      </c>
      <c r="AC129" s="44" t="s">
        <v>1542</v>
      </c>
      <c r="AD129" s="44" t="s">
        <v>1542</v>
      </c>
      <c r="AE129" s="44" t="s">
        <v>1542</v>
      </c>
      <c r="AF129" s="44" t="s">
        <v>1542</v>
      </c>
      <c r="AG129" s="44" t="s">
        <v>1542</v>
      </c>
      <c r="AH129" s="44" t="s">
        <v>1542</v>
      </c>
      <c r="AI129" s="44" t="s">
        <v>1542</v>
      </c>
      <c r="AJ129" s="44" t="s">
        <v>1542</v>
      </c>
      <c r="AK129" s="44" t="s">
        <v>1542</v>
      </c>
      <c r="AL129" s="44" t="s">
        <v>1542</v>
      </c>
      <c r="AM129" s="44" t="s">
        <v>1542</v>
      </c>
      <c r="AN129" s="44" t="s">
        <v>1542</v>
      </c>
      <c r="AO129" s="46">
        <f t="shared" si="5"/>
        <v>0</v>
      </c>
      <c r="AP129" s="43" t="s">
        <v>1542</v>
      </c>
      <c r="AQ129" s="43" t="s">
        <v>1542</v>
      </c>
      <c r="AR129" s="43" t="s">
        <v>1542</v>
      </c>
      <c r="AS129" s="43" t="s">
        <v>1542</v>
      </c>
      <c r="AT129" s="43" t="s">
        <v>1542</v>
      </c>
      <c r="AU129" s="43" t="s">
        <v>1542</v>
      </c>
      <c r="AV129" s="43" t="s">
        <v>1542</v>
      </c>
      <c r="AW129" s="43" t="s">
        <v>1542</v>
      </c>
      <c r="AX129" s="43" t="s">
        <v>1542</v>
      </c>
      <c r="AY129" s="43" t="s">
        <v>1542</v>
      </c>
      <c r="AZ129" s="43" t="s">
        <v>1542</v>
      </c>
      <c r="BA129" s="43" t="s">
        <v>1542</v>
      </c>
      <c r="BB129" s="46">
        <f t="shared" si="6"/>
        <v>0</v>
      </c>
      <c r="BC129" s="44" t="s">
        <v>1542</v>
      </c>
      <c r="BD129" s="44" t="s">
        <v>1542</v>
      </c>
      <c r="BE129" s="44" t="s">
        <v>1542</v>
      </c>
      <c r="BF129" s="44" t="s">
        <v>1542</v>
      </c>
      <c r="BG129" s="44" t="s">
        <v>1542</v>
      </c>
      <c r="BH129" s="44" t="s">
        <v>1542</v>
      </c>
      <c r="BI129" s="44" t="s">
        <v>1554</v>
      </c>
      <c r="BJ129" s="44" t="s">
        <v>1542</v>
      </c>
      <c r="BK129" s="44" t="s">
        <v>1542</v>
      </c>
      <c r="BL129" s="44" t="s">
        <v>1542</v>
      </c>
      <c r="BM129" s="44" t="s">
        <v>1542</v>
      </c>
      <c r="BN129" s="44" t="s">
        <v>1542</v>
      </c>
      <c r="BO129" s="46">
        <f t="shared" si="7"/>
        <v>1</v>
      </c>
      <c r="BP129" s="43" t="s">
        <v>1542</v>
      </c>
      <c r="BQ129" s="43" t="s">
        <v>1542</v>
      </c>
      <c r="BR129" s="43" t="s">
        <v>1542</v>
      </c>
      <c r="BS129" s="43" t="s">
        <v>1542</v>
      </c>
      <c r="BT129" s="43" t="s">
        <v>1542</v>
      </c>
      <c r="BU129" s="43" t="s">
        <v>1542</v>
      </c>
      <c r="BV129" s="43" t="s">
        <v>1554</v>
      </c>
      <c r="BW129" s="43" t="s">
        <v>1554</v>
      </c>
      <c r="BX129" s="43" t="s">
        <v>1554</v>
      </c>
      <c r="BY129" s="43" t="s">
        <v>1542</v>
      </c>
      <c r="BZ129" s="43" t="s">
        <v>1542</v>
      </c>
      <c r="CA129" s="43" t="s">
        <v>1542</v>
      </c>
    </row>
    <row r="130" spans="1:79">
      <c r="A130">
        <v>129</v>
      </c>
      <c r="B130">
        <v>1</v>
      </c>
      <c r="C130" t="s">
        <v>1532</v>
      </c>
      <c r="D130" t="s">
        <v>1533</v>
      </c>
      <c r="E130" t="s">
        <v>2125</v>
      </c>
      <c r="F130" t="s">
        <v>2126</v>
      </c>
      <c r="G130" t="s">
        <v>2127</v>
      </c>
      <c r="H130" t="s">
        <v>2127</v>
      </c>
      <c r="J130" t="s">
        <v>2128</v>
      </c>
      <c r="K130" t="s">
        <v>2129</v>
      </c>
      <c r="M130" s="1" t="s">
        <v>2130</v>
      </c>
      <c r="O130" s="46">
        <f t="shared" si="8"/>
        <v>0</v>
      </c>
      <c r="P130" s="43" t="s">
        <v>1542</v>
      </c>
      <c r="Q130" s="43" t="s">
        <v>1542</v>
      </c>
      <c r="R130" s="43" t="s">
        <v>1542</v>
      </c>
      <c r="S130" s="43" t="s">
        <v>1542</v>
      </c>
      <c r="T130" s="43" t="s">
        <v>1542</v>
      </c>
      <c r="U130" s="43" t="s">
        <v>1542</v>
      </c>
      <c r="V130" s="43" t="s">
        <v>1542</v>
      </c>
      <c r="W130" s="43" t="s">
        <v>1542</v>
      </c>
      <c r="X130" s="43" t="s">
        <v>1542</v>
      </c>
      <c r="Y130" s="43" t="s">
        <v>1542</v>
      </c>
      <c r="Z130" s="43" t="s">
        <v>1542</v>
      </c>
      <c r="AA130" s="43" t="s">
        <v>1542</v>
      </c>
      <c r="AB130" s="46">
        <f t="shared" si="9"/>
        <v>0</v>
      </c>
      <c r="AC130" s="44" t="s">
        <v>1542</v>
      </c>
      <c r="AD130" s="44" t="s">
        <v>1542</v>
      </c>
      <c r="AE130" s="44" t="s">
        <v>1542</v>
      </c>
      <c r="AF130" s="44" t="s">
        <v>1542</v>
      </c>
      <c r="AG130" s="44" t="s">
        <v>1542</v>
      </c>
      <c r="AH130" s="44" t="s">
        <v>1542</v>
      </c>
      <c r="AI130" s="44" t="s">
        <v>1542</v>
      </c>
      <c r="AJ130" s="44" t="s">
        <v>1542</v>
      </c>
      <c r="AK130" s="44" t="s">
        <v>1542</v>
      </c>
      <c r="AL130" s="44" t="s">
        <v>1542</v>
      </c>
      <c r="AM130" s="44" t="s">
        <v>1542</v>
      </c>
      <c r="AN130" s="44" t="s">
        <v>1542</v>
      </c>
      <c r="AO130" s="46">
        <f t="shared" ref="AO130:AO193" si="10">COUNTIF(AC130:AM130,"NE")</f>
        <v>0</v>
      </c>
      <c r="AP130" s="43" t="s">
        <v>1542</v>
      </c>
      <c r="AQ130" s="43" t="s">
        <v>1542</v>
      </c>
      <c r="AR130" s="43" t="s">
        <v>1542</v>
      </c>
      <c r="AS130" s="43" t="s">
        <v>1542</v>
      </c>
      <c r="AT130" s="43" t="s">
        <v>1542</v>
      </c>
      <c r="AU130" s="43" t="s">
        <v>1542</v>
      </c>
      <c r="AV130" s="43" t="s">
        <v>1542</v>
      </c>
      <c r="AW130" s="43" t="s">
        <v>1542</v>
      </c>
      <c r="AX130" s="43" t="s">
        <v>1542</v>
      </c>
      <c r="AY130" s="43" t="s">
        <v>1542</v>
      </c>
      <c r="AZ130" s="43" t="s">
        <v>1542</v>
      </c>
      <c r="BA130" s="43" t="s">
        <v>1542</v>
      </c>
      <c r="BB130" s="46">
        <f t="shared" ref="BB130:BB193" si="11">COUNTIF(AP130:AZ130,"NE")</f>
        <v>0</v>
      </c>
      <c r="BC130" s="44" t="s">
        <v>1542</v>
      </c>
      <c r="BD130" s="44" t="s">
        <v>1542</v>
      </c>
      <c r="BE130" s="44" t="s">
        <v>1542</v>
      </c>
      <c r="BF130" s="44" t="s">
        <v>1542</v>
      </c>
      <c r="BG130" s="44" t="s">
        <v>1542</v>
      </c>
      <c r="BH130" s="44" t="s">
        <v>1542</v>
      </c>
      <c r="BI130" s="44" t="s">
        <v>1542</v>
      </c>
      <c r="BJ130" s="44" t="s">
        <v>1542</v>
      </c>
      <c r="BK130" s="44" t="s">
        <v>1542</v>
      </c>
      <c r="BL130" s="44" t="s">
        <v>1542</v>
      </c>
      <c r="BM130" s="44" t="s">
        <v>1542</v>
      </c>
      <c r="BN130" s="44" t="s">
        <v>1542</v>
      </c>
      <c r="BO130" s="46">
        <f t="shared" ref="BO130:BO193" si="12">COUNTIF(BC130:BM130,"NE")</f>
        <v>0</v>
      </c>
      <c r="BP130" s="43" t="s">
        <v>1542</v>
      </c>
      <c r="BQ130" s="43" t="s">
        <v>1542</v>
      </c>
      <c r="BR130" s="43" t="s">
        <v>1542</v>
      </c>
      <c r="BS130" s="43" t="s">
        <v>1542</v>
      </c>
      <c r="BT130" s="43" t="s">
        <v>1542</v>
      </c>
      <c r="BU130" s="43" t="s">
        <v>1542</v>
      </c>
      <c r="BV130" s="43" t="s">
        <v>1542</v>
      </c>
      <c r="BW130" s="43" t="s">
        <v>1542</v>
      </c>
      <c r="BX130" s="43" t="s">
        <v>1542</v>
      </c>
      <c r="BY130" s="43" t="s">
        <v>1542</v>
      </c>
      <c r="BZ130" s="43" t="s">
        <v>1542</v>
      </c>
      <c r="CA130" s="43" t="s">
        <v>1542</v>
      </c>
    </row>
    <row r="131" spans="1:79">
      <c r="A131">
        <v>130</v>
      </c>
      <c r="C131" t="s">
        <v>1532</v>
      </c>
      <c r="D131" t="s">
        <v>1533</v>
      </c>
      <c r="E131" t="s">
        <v>2125</v>
      </c>
      <c r="F131" t="s">
        <v>2126</v>
      </c>
      <c r="G131" t="s">
        <v>2127</v>
      </c>
      <c r="H131" t="s">
        <v>2131</v>
      </c>
      <c r="I131" t="s">
        <v>2131</v>
      </c>
      <c r="J131" t="s">
        <v>2128</v>
      </c>
      <c r="K131" t="s">
        <v>2129</v>
      </c>
      <c r="M131" s="1" t="s">
        <v>2132</v>
      </c>
      <c r="N131" t="s">
        <v>2133</v>
      </c>
      <c r="O131" s="46">
        <f t="shared" ref="O131:O194" si="13">COUNTIF(P131:AA131,"NE")</f>
        <v>0</v>
      </c>
      <c r="P131" s="43"/>
      <c r="Q131" s="43"/>
      <c r="R131" s="43"/>
      <c r="S131" s="43"/>
      <c r="T131" s="43"/>
      <c r="U131" s="43"/>
      <c r="V131" s="43"/>
      <c r="W131" s="43"/>
      <c r="X131" s="43"/>
      <c r="Y131" s="43"/>
      <c r="Z131" s="43"/>
      <c r="AA131" s="43"/>
      <c r="AB131" s="46">
        <f t="shared" ref="AB131:AB194" si="14">COUNTIF(AC131:AN131,"NE")</f>
        <v>0</v>
      </c>
      <c r="AC131" s="44" t="s">
        <v>1542</v>
      </c>
      <c r="AD131" s="44" t="s">
        <v>1542</v>
      </c>
      <c r="AE131" s="44" t="s">
        <v>1542</v>
      </c>
      <c r="AF131" s="44" t="s">
        <v>1542</v>
      </c>
      <c r="AG131" s="44" t="s">
        <v>1542</v>
      </c>
      <c r="AH131" s="44" t="s">
        <v>1542</v>
      </c>
      <c r="AI131" s="44" t="s">
        <v>1542</v>
      </c>
      <c r="AJ131" s="44"/>
      <c r="AK131" s="44"/>
      <c r="AL131" s="44"/>
      <c r="AM131" s="44"/>
      <c r="AN131" s="44"/>
      <c r="AO131" s="46">
        <f t="shared" si="10"/>
        <v>0</v>
      </c>
      <c r="AP131" s="43" t="s">
        <v>1542</v>
      </c>
      <c r="AQ131" s="43" t="s">
        <v>1542</v>
      </c>
      <c r="AR131" s="43" t="s">
        <v>1542</v>
      </c>
      <c r="AS131" s="43" t="s">
        <v>1542</v>
      </c>
      <c r="AT131" s="43" t="s">
        <v>1542</v>
      </c>
      <c r="AU131" s="43" t="s">
        <v>1542</v>
      </c>
      <c r="AV131" s="43" t="s">
        <v>1542</v>
      </c>
      <c r="AW131" s="43" t="s">
        <v>1542</v>
      </c>
      <c r="AX131" s="43" t="s">
        <v>1542</v>
      </c>
      <c r="AY131" s="43" t="s">
        <v>1542</v>
      </c>
      <c r="AZ131" s="43" t="s">
        <v>1542</v>
      </c>
      <c r="BA131" s="43" t="s">
        <v>1542</v>
      </c>
      <c r="BB131" s="46">
        <f t="shared" si="11"/>
        <v>0</v>
      </c>
      <c r="BC131" s="44" t="s">
        <v>1542</v>
      </c>
      <c r="BD131" s="44" t="s">
        <v>1542</v>
      </c>
      <c r="BE131" s="44" t="s">
        <v>1542</v>
      </c>
      <c r="BF131" s="44" t="s">
        <v>1554</v>
      </c>
      <c r="BG131" s="44" t="s">
        <v>1554</v>
      </c>
      <c r="BH131" s="44" t="s">
        <v>1554</v>
      </c>
      <c r="BI131" s="44" t="s">
        <v>1542</v>
      </c>
      <c r="BJ131" s="44" t="s">
        <v>1542</v>
      </c>
      <c r="BK131" s="44" t="s">
        <v>1542</v>
      </c>
      <c r="BL131" s="44" t="s">
        <v>1542</v>
      </c>
      <c r="BM131" s="44" t="s">
        <v>1542</v>
      </c>
      <c r="BN131" s="44" t="s">
        <v>1542</v>
      </c>
      <c r="BO131" s="46">
        <f t="shared" si="12"/>
        <v>3</v>
      </c>
      <c r="BP131" s="43" t="s">
        <v>1542</v>
      </c>
      <c r="BQ131" s="43" t="s">
        <v>1542</v>
      </c>
      <c r="BR131" s="43" t="s">
        <v>1542</v>
      </c>
      <c r="BS131" s="43" t="s">
        <v>1542</v>
      </c>
      <c r="BT131" s="43" t="s">
        <v>1542</v>
      </c>
      <c r="BU131" s="43" t="s">
        <v>1542</v>
      </c>
      <c r="BV131" s="43" t="s">
        <v>1542</v>
      </c>
      <c r="BW131" s="43" t="s">
        <v>1542</v>
      </c>
      <c r="BX131" s="43" t="s">
        <v>1542</v>
      </c>
      <c r="BY131" s="43" t="s">
        <v>1542</v>
      </c>
      <c r="BZ131" s="43" t="s">
        <v>1542</v>
      </c>
      <c r="CA131" s="43" t="s">
        <v>1542</v>
      </c>
    </row>
    <row r="132" spans="1:79">
      <c r="A132">
        <v>131</v>
      </c>
      <c r="B132">
        <v>1</v>
      </c>
      <c r="C132" t="s">
        <v>1532</v>
      </c>
      <c r="D132" t="s">
        <v>1533</v>
      </c>
      <c r="E132" t="s">
        <v>2125</v>
      </c>
      <c r="F132" t="s">
        <v>2126</v>
      </c>
      <c r="G132" t="s">
        <v>2134</v>
      </c>
      <c r="H132" t="s">
        <v>2134</v>
      </c>
      <c r="J132" t="s">
        <v>2135</v>
      </c>
      <c r="K132" t="s">
        <v>2136</v>
      </c>
      <c r="L132" t="s">
        <v>1539</v>
      </c>
      <c r="M132" s="1" t="s">
        <v>2137</v>
      </c>
      <c r="N132" t="s">
        <v>2138</v>
      </c>
      <c r="O132" s="46">
        <f t="shared" si="13"/>
        <v>0</v>
      </c>
      <c r="P132" s="43" t="s">
        <v>1542</v>
      </c>
      <c r="Q132" s="43" t="s">
        <v>1542</v>
      </c>
      <c r="R132" s="43" t="s">
        <v>1542</v>
      </c>
      <c r="S132" s="43" t="s">
        <v>1542</v>
      </c>
      <c r="T132" s="43" t="s">
        <v>1542</v>
      </c>
      <c r="U132" s="43" t="s">
        <v>1542</v>
      </c>
      <c r="V132" s="43" t="s">
        <v>1542</v>
      </c>
      <c r="W132" s="43" t="s">
        <v>1542</v>
      </c>
      <c r="X132" s="43" t="s">
        <v>1542</v>
      </c>
      <c r="Y132" s="43" t="s">
        <v>1542</v>
      </c>
      <c r="Z132" s="43" t="s">
        <v>1542</v>
      </c>
      <c r="AA132" s="43" t="s">
        <v>1542</v>
      </c>
      <c r="AB132" s="46">
        <f t="shared" si="14"/>
        <v>0</v>
      </c>
      <c r="AC132" s="44" t="s">
        <v>1542</v>
      </c>
      <c r="AD132" s="44" t="s">
        <v>1542</v>
      </c>
      <c r="AE132" s="44" t="s">
        <v>1542</v>
      </c>
      <c r="AF132" s="44" t="s">
        <v>1542</v>
      </c>
      <c r="AG132" s="44" t="s">
        <v>1542</v>
      </c>
      <c r="AH132" s="44" t="s">
        <v>1542</v>
      </c>
      <c r="AI132" s="44" t="s">
        <v>1542</v>
      </c>
      <c r="AJ132" s="44" t="s">
        <v>1542</v>
      </c>
      <c r="AK132" s="44" t="s">
        <v>1542</v>
      </c>
      <c r="AL132" s="44" t="s">
        <v>1542</v>
      </c>
      <c r="AM132" s="44" t="s">
        <v>1542</v>
      </c>
      <c r="AN132" s="44" t="s">
        <v>1542</v>
      </c>
      <c r="AO132" s="46">
        <f t="shared" si="10"/>
        <v>0</v>
      </c>
      <c r="AP132" s="43" t="s">
        <v>1542</v>
      </c>
      <c r="AQ132" s="43" t="s">
        <v>1542</v>
      </c>
      <c r="AR132" s="43" t="s">
        <v>1542</v>
      </c>
      <c r="AS132" s="43" t="s">
        <v>1542</v>
      </c>
      <c r="AT132" s="43" t="s">
        <v>1542</v>
      </c>
      <c r="AU132" s="43" t="s">
        <v>1542</v>
      </c>
      <c r="AV132" s="43" t="s">
        <v>1542</v>
      </c>
      <c r="AW132" s="43" t="s">
        <v>1542</v>
      </c>
      <c r="AX132" s="43" t="s">
        <v>1542</v>
      </c>
      <c r="AY132" s="43" t="s">
        <v>1542</v>
      </c>
      <c r="AZ132" s="43" t="s">
        <v>1542</v>
      </c>
      <c r="BA132" s="43" t="s">
        <v>1542</v>
      </c>
      <c r="BB132" s="46">
        <f t="shared" si="11"/>
        <v>0</v>
      </c>
      <c r="BC132" s="44" t="s">
        <v>1554</v>
      </c>
      <c r="BD132" s="44" t="s">
        <v>1542</v>
      </c>
      <c r="BE132" s="44" t="s">
        <v>1542</v>
      </c>
      <c r="BF132" s="44" t="s">
        <v>1542</v>
      </c>
      <c r="BG132" s="44" t="s">
        <v>1542</v>
      </c>
      <c r="BH132" s="44" t="s">
        <v>1542</v>
      </c>
      <c r="BI132" s="44" t="s">
        <v>1542</v>
      </c>
      <c r="BJ132" s="44" t="s">
        <v>1542</v>
      </c>
      <c r="BK132" s="44" t="s">
        <v>1542</v>
      </c>
      <c r="BL132" s="44" t="s">
        <v>1542</v>
      </c>
      <c r="BM132" s="44" t="s">
        <v>1542</v>
      </c>
      <c r="BN132" s="44" t="s">
        <v>1542</v>
      </c>
      <c r="BO132" s="46">
        <f t="shared" si="12"/>
        <v>1</v>
      </c>
      <c r="BP132" s="43" t="s">
        <v>1542</v>
      </c>
      <c r="BQ132" s="43" t="s">
        <v>1542</v>
      </c>
      <c r="BR132" s="43" t="s">
        <v>1542</v>
      </c>
      <c r="BS132" s="43" t="s">
        <v>1542</v>
      </c>
      <c r="BT132" s="43" t="s">
        <v>1542</v>
      </c>
      <c r="BU132" s="43" t="s">
        <v>1542</v>
      </c>
      <c r="BV132" s="43" t="s">
        <v>1542</v>
      </c>
      <c r="BW132" s="43" t="s">
        <v>1542</v>
      </c>
      <c r="BX132" s="43" t="s">
        <v>1542</v>
      </c>
      <c r="BY132" s="43" t="s">
        <v>1542</v>
      </c>
      <c r="BZ132" s="43" t="s">
        <v>1542</v>
      </c>
      <c r="CA132" s="43" t="s">
        <v>1542</v>
      </c>
    </row>
    <row r="133" spans="1:79">
      <c r="A133">
        <v>132</v>
      </c>
      <c r="C133" t="s">
        <v>1532</v>
      </c>
      <c r="D133" t="s">
        <v>1533</v>
      </c>
      <c r="E133" t="s">
        <v>2125</v>
      </c>
      <c r="F133" t="s">
        <v>2126</v>
      </c>
      <c r="G133" t="s">
        <v>2134</v>
      </c>
      <c r="H133" t="s">
        <v>2139</v>
      </c>
      <c r="I133" t="s">
        <v>2139</v>
      </c>
      <c r="J133" t="s">
        <v>2135</v>
      </c>
      <c r="K133" t="s">
        <v>2136</v>
      </c>
      <c r="L133" t="s">
        <v>1539</v>
      </c>
      <c r="M133" s="1" t="s">
        <v>2140</v>
      </c>
      <c r="N133" t="s">
        <v>2141</v>
      </c>
      <c r="O133" s="46">
        <f t="shared" si="13"/>
        <v>0</v>
      </c>
      <c r="P133" s="43"/>
      <c r="Q133" s="43"/>
      <c r="R133" s="43"/>
      <c r="S133" s="43"/>
      <c r="T133" s="43"/>
      <c r="U133" s="43"/>
      <c r="V133" s="43"/>
      <c r="W133" s="43"/>
      <c r="X133" s="43"/>
      <c r="Y133" s="43"/>
      <c r="Z133" s="43"/>
      <c r="AA133" s="43"/>
      <c r="AB133" s="46">
        <f t="shared" si="14"/>
        <v>0</v>
      </c>
      <c r="AC133" s="44" t="s">
        <v>1542</v>
      </c>
      <c r="AD133" s="44" t="s">
        <v>1542</v>
      </c>
      <c r="AE133" s="44" t="s">
        <v>1542</v>
      </c>
      <c r="AF133" s="44" t="s">
        <v>1542</v>
      </c>
      <c r="AG133" s="44" t="s">
        <v>1542</v>
      </c>
      <c r="AH133" s="44" t="s">
        <v>1542</v>
      </c>
      <c r="AI133" s="44" t="s">
        <v>1542</v>
      </c>
      <c r="AJ133" s="44"/>
      <c r="AK133" s="44"/>
      <c r="AL133" s="44"/>
      <c r="AM133" s="44"/>
      <c r="AN133" s="44"/>
      <c r="AO133" s="46">
        <f t="shared" si="10"/>
        <v>0</v>
      </c>
      <c r="AP133" s="43" t="s">
        <v>1542</v>
      </c>
      <c r="AQ133" s="43" t="s">
        <v>1542</v>
      </c>
      <c r="AR133" s="43" t="s">
        <v>1542</v>
      </c>
      <c r="AS133" s="43" t="s">
        <v>1542</v>
      </c>
      <c r="AT133" s="43" t="s">
        <v>1542</v>
      </c>
      <c r="AU133" s="43" t="s">
        <v>1542</v>
      </c>
      <c r="AV133" s="43" t="s">
        <v>1542</v>
      </c>
      <c r="AW133" s="43" t="s">
        <v>1542</v>
      </c>
      <c r="AX133" s="43" t="s">
        <v>1542</v>
      </c>
      <c r="AY133" s="43" t="s">
        <v>1542</v>
      </c>
      <c r="AZ133" s="43" t="s">
        <v>1542</v>
      </c>
      <c r="BA133" s="43" t="s">
        <v>1542</v>
      </c>
      <c r="BB133" s="46">
        <f t="shared" si="11"/>
        <v>0</v>
      </c>
      <c r="BC133" s="44" t="s">
        <v>1554</v>
      </c>
      <c r="BD133" s="44" t="s">
        <v>1554</v>
      </c>
      <c r="BE133" s="44" t="s">
        <v>1554</v>
      </c>
      <c r="BF133" s="44" t="s">
        <v>1554</v>
      </c>
      <c r="BG133" s="44" t="s">
        <v>1542</v>
      </c>
      <c r="BH133" s="44" t="s">
        <v>1542</v>
      </c>
      <c r="BI133" s="44" t="s">
        <v>1542</v>
      </c>
      <c r="BJ133" s="44" t="s">
        <v>1542</v>
      </c>
      <c r="BK133" s="44" t="s">
        <v>1542</v>
      </c>
      <c r="BL133" s="44" t="s">
        <v>1542</v>
      </c>
      <c r="BM133" s="44" t="s">
        <v>1542</v>
      </c>
      <c r="BN133" s="44" t="s">
        <v>1542</v>
      </c>
      <c r="BO133" s="46">
        <f t="shared" si="12"/>
        <v>4</v>
      </c>
      <c r="BP133" s="43" t="s">
        <v>1542</v>
      </c>
      <c r="BQ133" s="43" t="s">
        <v>1542</v>
      </c>
      <c r="BR133" s="43" t="s">
        <v>1542</v>
      </c>
      <c r="BS133" s="43" t="s">
        <v>1542</v>
      </c>
      <c r="BT133" s="43" t="s">
        <v>1542</v>
      </c>
      <c r="BU133" s="43" t="s">
        <v>1542</v>
      </c>
      <c r="BV133" s="43" t="s">
        <v>1542</v>
      </c>
      <c r="BW133" s="43" t="s">
        <v>1542</v>
      </c>
      <c r="BX133" s="43" t="s">
        <v>1542</v>
      </c>
      <c r="BY133" s="43" t="s">
        <v>1542</v>
      </c>
      <c r="BZ133" s="43" t="s">
        <v>1542</v>
      </c>
      <c r="CA133" s="43" t="s">
        <v>1542</v>
      </c>
    </row>
    <row r="134" spans="1:79">
      <c r="A134">
        <v>133</v>
      </c>
      <c r="B134">
        <v>1</v>
      </c>
      <c r="C134" t="s">
        <v>1532</v>
      </c>
      <c r="D134" t="s">
        <v>1533</v>
      </c>
      <c r="E134" t="s">
        <v>2125</v>
      </c>
      <c r="F134" t="s">
        <v>2126</v>
      </c>
      <c r="G134" t="s">
        <v>2142</v>
      </c>
      <c r="H134" t="s">
        <v>2142</v>
      </c>
      <c r="J134" t="s">
        <v>2143</v>
      </c>
      <c r="K134" t="s">
        <v>2144</v>
      </c>
      <c r="M134" s="1" t="s">
        <v>2145</v>
      </c>
      <c r="O134" s="46">
        <f t="shared" si="13"/>
        <v>0</v>
      </c>
      <c r="P134" s="43" t="s">
        <v>1542</v>
      </c>
      <c r="Q134" s="43" t="s">
        <v>1542</v>
      </c>
      <c r="R134" s="43" t="s">
        <v>1542</v>
      </c>
      <c r="S134" s="43" t="s">
        <v>1542</v>
      </c>
      <c r="T134" s="43" t="s">
        <v>1542</v>
      </c>
      <c r="U134" s="43" t="s">
        <v>1542</v>
      </c>
      <c r="V134" s="43" t="s">
        <v>1542</v>
      </c>
      <c r="W134" s="43" t="s">
        <v>1542</v>
      </c>
      <c r="X134" s="43" t="s">
        <v>1542</v>
      </c>
      <c r="Y134" s="43" t="s">
        <v>1542</v>
      </c>
      <c r="Z134" s="43" t="s">
        <v>1542</v>
      </c>
      <c r="AA134" s="43" t="s">
        <v>1542</v>
      </c>
      <c r="AB134" s="46">
        <f t="shared" si="14"/>
        <v>0</v>
      </c>
      <c r="AC134" s="44" t="s">
        <v>1542</v>
      </c>
      <c r="AD134" s="44" t="s">
        <v>1542</v>
      </c>
      <c r="AE134" s="44" t="s">
        <v>1542</v>
      </c>
      <c r="AF134" s="44" t="s">
        <v>1542</v>
      </c>
      <c r="AG134" s="44" t="s">
        <v>1542</v>
      </c>
      <c r="AH134" s="44" t="s">
        <v>1542</v>
      </c>
      <c r="AI134" s="44" t="s">
        <v>1542</v>
      </c>
      <c r="AJ134" s="44" t="s">
        <v>1542</v>
      </c>
      <c r="AK134" s="44" t="s">
        <v>1542</v>
      </c>
      <c r="AL134" s="44" t="s">
        <v>1542</v>
      </c>
      <c r="AM134" s="44" t="s">
        <v>1542</v>
      </c>
      <c r="AN134" s="44" t="s">
        <v>1542</v>
      </c>
      <c r="AO134" s="46">
        <f t="shared" si="10"/>
        <v>0</v>
      </c>
      <c r="AP134" s="43" t="s">
        <v>1542</v>
      </c>
      <c r="AQ134" s="43" t="s">
        <v>1542</v>
      </c>
      <c r="AR134" s="43" t="s">
        <v>1542</v>
      </c>
      <c r="AS134" s="43" t="s">
        <v>1542</v>
      </c>
      <c r="AT134" s="43" t="s">
        <v>1542</v>
      </c>
      <c r="AU134" s="43" t="s">
        <v>1542</v>
      </c>
      <c r="AV134" s="43" t="s">
        <v>1542</v>
      </c>
      <c r="AW134" s="43" t="s">
        <v>1542</v>
      </c>
      <c r="AX134" s="43" t="s">
        <v>1542</v>
      </c>
      <c r="AY134" s="43" t="s">
        <v>1542</v>
      </c>
      <c r="AZ134" s="43" t="s">
        <v>1542</v>
      </c>
      <c r="BA134" s="43" t="s">
        <v>1542</v>
      </c>
      <c r="BB134" s="46">
        <f t="shared" si="11"/>
        <v>0</v>
      </c>
      <c r="BC134" s="44" t="s">
        <v>1542</v>
      </c>
      <c r="BD134" s="44" t="s">
        <v>1542</v>
      </c>
      <c r="BE134" s="44" t="s">
        <v>1542</v>
      </c>
      <c r="BF134" s="44" t="s">
        <v>1542</v>
      </c>
      <c r="BG134" s="44" t="s">
        <v>1542</v>
      </c>
      <c r="BH134" s="44" t="s">
        <v>1542</v>
      </c>
      <c r="BI134" s="44" t="s">
        <v>1542</v>
      </c>
      <c r="BJ134" s="44" t="s">
        <v>1542</v>
      </c>
      <c r="BK134" s="44" t="s">
        <v>1542</v>
      </c>
      <c r="BL134" s="44" t="s">
        <v>1542</v>
      </c>
      <c r="BM134" s="44" t="s">
        <v>1542</v>
      </c>
      <c r="BN134" s="44" t="s">
        <v>1542</v>
      </c>
      <c r="BO134" s="46">
        <f t="shared" si="12"/>
        <v>0</v>
      </c>
      <c r="BP134" s="43" t="s">
        <v>1542</v>
      </c>
      <c r="BQ134" s="43" t="s">
        <v>1542</v>
      </c>
      <c r="BR134" s="43" t="s">
        <v>1542</v>
      </c>
      <c r="BS134" s="43" t="s">
        <v>1542</v>
      </c>
      <c r="BT134" s="43" t="s">
        <v>1542</v>
      </c>
      <c r="BU134" s="43" t="s">
        <v>1542</v>
      </c>
      <c r="BV134" s="43" t="s">
        <v>1542</v>
      </c>
      <c r="BW134" s="43" t="s">
        <v>1542</v>
      </c>
      <c r="BX134" s="43" t="s">
        <v>1542</v>
      </c>
      <c r="BY134" s="43" t="s">
        <v>1542</v>
      </c>
      <c r="BZ134" s="43" t="s">
        <v>1542</v>
      </c>
      <c r="CA134" s="43" t="s">
        <v>1542</v>
      </c>
    </row>
    <row r="135" spans="1:79">
      <c r="A135">
        <v>134</v>
      </c>
      <c r="B135">
        <v>1</v>
      </c>
      <c r="C135" t="s">
        <v>1532</v>
      </c>
      <c r="D135" t="s">
        <v>1533</v>
      </c>
      <c r="E135" t="s">
        <v>2125</v>
      </c>
      <c r="F135" t="s">
        <v>2126</v>
      </c>
      <c r="G135" t="s">
        <v>2146</v>
      </c>
      <c r="H135" t="s">
        <v>2146</v>
      </c>
      <c r="J135" t="s">
        <v>2147</v>
      </c>
      <c r="K135" t="s">
        <v>2148</v>
      </c>
      <c r="M135" s="1" t="s">
        <v>2149</v>
      </c>
      <c r="O135" s="46">
        <f t="shared" si="13"/>
        <v>0</v>
      </c>
      <c r="P135" s="43" t="s">
        <v>1542</v>
      </c>
      <c r="Q135" s="43" t="s">
        <v>1542</v>
      </c>
      <c r="R135" s="43" t="s">
        <v>1542</v>
      </c>
      <c r="S135" s="43" t="s">
        <v>1542</v>
      </c>
      <c r="T135" s="43" t="s">
        <v>1542</v>
      </c>
      <c r="U135" s="43" t="s">
        <v>1542</v>
      </c>
      <c r="V135" s="43" t="s">
        <v>1542</v>
      </c>
      <c r="W135" s="43" t="s">
        <v>1542</v>
      </c>
      <c r="X135" s="43" t="s">
        <v>1542</v>
      </c>
      <c r="Y135" s="43" t="s">
        <v>1542</v>
      </c>
      <c r="Z135" s="43" t="s">
        <v>1542</v>
      </c>
      <c r="AA135" s="43" t="s">
        <v>1542</v>
      </c>
      <c r="AB135" s="46">
        <f t="shared" si="14"/>
        <v>0</v>
      </c>
      <c r="AC135" s="44" t="s">
        <v>1542</v>
      </c>
      <c r="AD135" s="44" t="s">
        <v>1542</v>
      </c>
      <c r="AE135" s="44" t="s">
        <v>1542</v>
      </c>
      <c r="AF135" s="44" t="s">
        <v>1542</v>
      </c>
      <c r="AG135" s="44" t="s">
        <v>1542</v>
      </c>
      <c r="AH135" s="44" t="s">
        <v>1542</v>
      </c>
      <c r="AI135" s="44" t="s">
        <v>1542</v>
      </c>
      <c r="AJ135" s="44" t="s">
        <v>1542</v>
      </c>
      <c r="AK135" s="44" t="s">
        <v>1542</v>
      </c>
      <c r="AL135" s="44" t="s">
        <v>1542</v>
      </c>
      <c r="AM135" s="44" t="s">
        <v>1542</v>
      </c>
      <c r="AN135" s="44" t="s">
        <v>1542</v>
      </c>
      <c r="AO135" s="46">
        <f t="shared" si="10"/>
        <v>0</v>
      </c>
      <c r="AP135" s="43" t="s">
        <v>1542</v>
      </c>
      <c r="AQ135" s="43" t="s">
        <v>1542</v>
      </c>
      <c r="AR135" s="43" t="s">
        <v>1542</v>
      </c>
      <c r="AS135" s="43" t="s">
        <v>1542</v>
      </c>
      <c r="AT135" s="43" t="s">
        <v>1542</v>
      </c>
      <c r="AU135" s="43" t="s">
        <v>1542</v>
      </c>
      <c r="AV135" s="43" t="s">
        <v>1542</v>
      </c>
      <c r="AW135" s="43" t="s">
        <v>1542</v>
      </c>
      <c r="AX135" s="43" t="s">
        <v>1542</v>
      </c>
      <c r="AY135" s="43" t="s">
        <v>1542</v>
      </c>
      <c r="AZ135" s="43" t="s">
        <v>1542</v>
      </c>
      <c r="BA135" s="43" t="s">
        <v>1542</v>
      </c>
      <c r="BB135" s="46">
        <f t="shared" si="11"/>
        <v>0</v>
      </c>
      <c r="BC135" s="44" t="s">
        <v>1542</v>
      </c>
      <c r="BD135" s="44" t="s">
        <v>1542</v>
      </c>
      <c r="BE135" s="44" t="s">
        <v>1542</v>
      </c>
      <c r="BF135" s="44" t="s">
        <v>1542</v>
      </c>
      <c r="BG135" s="44" t="s">
        <v>1542</v>
      </c>
      <c r="BH135" s="44" t="s">
        <v>1542</v>
      </c>
      <c r="BI135" s="44" t="s">
        <v>1542</v>
      </c>
      <c r="BJ135" s="44" t="s">
        <v>1542</v>
      </c>
      <c r="BK135" s="44" t="s">
        <v>1542</v>
      </c>
      <c r="BL135" s="44" t="s">
        <v>1542</v>
      </c>
      <c r="BM135" s="44" t="s">
        <v>1542</v>
      </c>
      <c r="BN135" s="44" t="s">
        <v>1542</v>
      </c>
      <c r="BO135" s="46">
        <f t="shared" si="12"/>
        <v>0</v>
      </c>
      <c r="BP135" s="43" t="s">
        <v>1542</v>
      </c>
      <c r="BQ135" s="43" t="s">
        <v>1542</v>
      </c>
      <c r="BR135" s="43" t="s">
        <v>1542</v>
      </c>
      <c r="BS135" s="43" t="s">
        <v>1542</v>
      </c>
      <c r="BT135" s="43" t="s">
        <v>1542</v>
      </c>
      <c r="BU135" s="43" t="s">
        <v>1542</v>
      </c>
      <c r="BV135" s="43" t="s">
        <v>1542</v>
      </c>
      <c r="BW135" s="43" t="s">
        <v>1542</v>
      </c>
      <c r="BX135" s="43" t="s">
        <v>1542</v>
      </c>
      <c r="BY135" s="43" t="s">
        <v>1542</v>
      </c>
      <c r="BZ135" s="43" t="s">
        <v>1542</v>
      </c>
      <c r="CA135" s="43" t="s">
        <v>1542</v>
      </c>
    </row>
    <row r="136" spans="1:79">
      <c r="A136">
        <v>135</v>
      </c>
      <c r="B136">
        <v>1</v>
      </c>
      <c r="C136" t="s">
        <v>1532</v>
      </c>
      <c r="D136" t="s">
        <v>1533</v>
      </c>
      <c r="E136" t="s">
        <v>2125</v>
      </c>
      <c r="F136" t="s">
        <v>2126</v>
      </c>
      <c r="G136" t="s">
        <v>2150</v>
      </c>
      <c r="H136" t="s">
        <v>2150</v>
      </c>
      <c r="I136" t="s">
        <v>2151</v>
      </c>
      <c r="J136" t="s">
        <v>2152</v>
      </c>
      <c r="K136" t="s">
        <v>2153</v>
      </c>
      <c r="M136" s="1" t="s">
        <v>2154</v>
      </c>
      <c r="N136" t="s">
        <v>2155</v>
      </c>
      <c r="O136" s="46">
        <f t="shared" si="13"/>
        <v>0</v>
      </c>
      <c r="P136" s="43" t="s">
        <v>1542</v>
      </c>
      <c r="Q136" s="43" t="s">
        <v>1542</v>
      </c>
      <c r="R136" s="43" t="s">
        <v>1542</v>
      </c>
      <c r="S136" s="43" t="s">
        <v>1542</v>
      </c>
      <c r="T136" s="43" t="s">
        <v>1542</v>
      </c>
      <c r="U136" s="43" t="s">
        <v>1542</v>
      </c>
      <c r="V136" s="43" t="s">
        <v>1542</v>
      </c>
      <c r="W136" s="43" t="s">
        <v>1542</v>
      </c>
      <c r="X136" s="43" t="s">
        <v>1542</v>
      </c>
      <c r="Y136" s="43" t="s">
        <v>1542</v>
      </c>
      <c r="Z136" s="43" t="s">
        <v>1542</v>
      </c>
      <c r="AA136" s="43" t="s">
        <v>1542</v>
      </c>
      <c r="AB136" s="46">
        <f t="shared" si="14"/>
        <v>0</v>
      </c>
      <c r="AC136" s="44" t="s">
        <v>1542</v>
      </c>
      <c r="AD136" s="44" t="s">
        <v>1542</v>
      </c>
      <c r="AE136" s="44" t="s">
        <v>1542</v>
      </c>
      <c r="AF136" s="44" t="s">
        <v>1542</v>
      </c>
      <c r="AG136" s="44" t="s">
        <v>1542</v>
      </c>
      <c r="AH136" s="44" t="s">
        <v>1542</v>
      </c>
      <c r="AI136" s="44" t="s">
        <v>1542</v>
      </c>
      <c r="AJ136" s="44" t="s">
        <v>1542</v>
      </c>
      <c r="AK136" s="44" t="s">
        <v>1542</v>
      </c>
      <c r="AL136" s="44" t="s">
        <v>1542</v>
      </c>
      <c r="AM136" s="44" t="s">
        <v>1542</v>
      </c>
      <c r="AN136" s="44" t="s">
        <v>1542</v>
      </c>
      <c r="AO136" s="46">
        <f t="shared" si="10"/>
        <v>0</v>
      </c>
      <c r="AP136" s="43" t="s">
        <v>1542</v>
      </c>
      <c r="AQ136" s="43" t="s">
        <v>1542</v>
      </c>
      <c r="AR136" s="43" t="s">
        <v>1542</v>
      </c>
      <c r="AS136" s="43" t="s">
        <v>1542</v>
      </c>
      <c r="AT136" s="43" t="s">
        <v>1542</v>
      </c>
      <c r="AU136" s="43" t="s">
        <v>1542</v>
      </c>
      <c r="AV136" s="43" t="s">
        <v>1542</v>
      </c>
      <c r="AW136" s="43" t="s">
        <v>1542</v>
      </c>
      <c r="AX136" s="43" t="s">
        <v>1542</v>
      </c>
      <c r="AY136" s="43" t="s">
        <v>1542</v>
      </c>
      <c r="AZ136" s="43" t="s">
        <v>1542</v>
      </c>
      <c r="BA136" s="43" t="s">
        <v>1542</v>
      </c>
      <c r="BB136" s="46">
        <f t="shared" si="11"/>
        <v>0</v>
      </c>
      <c r="BC136" s="44" t="s">
        <v>1542</v>
      </c>
      <c r="BD136" s="44" t="s">
        <v>1542</v>
      </c>
      <c r="BE136" s="44" t="s">
        <v>1542</v>
      </c>
      <c r="BF136" s="44" t="s">
        <v>1542</v>
      </c>
      <c r="BG136" s="44" t="s">
        <v>1542</v>
      </c>
      <c r="BH136" s="44" t="s">
        <v>1542</v>
      </c>
      <c r="BI136" s="44" t="s">
        <v>1542</v>
      </c>
      <c r="BJ136" s="44" t="s">
        <v>1542</v>
      </c>
      <c r="BK136" s="44" t="s">
        <v>1542</v>
      </c>
      <c r="BL136" s="44" t="s">
        <v>1542</v>
      </c>
      <c r="BM136" s="44" t="s">
        <v>1542</v>
      </c>
      <c r="BN136" s="44" t="s">
        <v>1542</v>
      </c>
      <c r="BO136" s="46">
        <f t="shared" si="12"/>
        <v>0</v>
      </c>
      <c r="BP136" s="43" t="s">
        <v>1554</v>
      </c>
      <c r="BQ136" s="43" t="s">
        <v>1554</v>
      </c>
      <c r="BR136" s="43" t="s">
        <v>1542</v>
      </c>
      <c r="BS136" s="43" t="s">
        <v>1542</v>
      </c>
      <c r="BT136" s="43" t="s">
        <v>1542</v>
      </c>
      <c r="BU136" s="43" t="s">
        <v>1542</v>
      </c>
      <c r="BV136" s="43" t="s">
        <v>1542</v>
      </c>
      <c r="BW136" s="43" t="s">
        <v>1542</v>
      </c>
      <c r="BX136" s="43" t="s">
        <v>1542</v>
      </c>
      <c r="BY136" s="43" t="s">
        <v>1542</v>
      </c>
      <c r="BZ136" s="43" t="s">
        <v>1542</v>
      </c>
      <c r="CA136" s="43" t="s">
        <v>1542</v>
      </c>
    </row>
    <row r="137" spans="1:79">
      <c r="A137">
        <v>136</v>
      </c>
      <c r="B137">
        <v>1</v>
      </c>
      <c r="C137" t="s">
        <v>1532</v>
      </c>
      <c r="D137" t="s">
        <v>1533</v>
      </c>
      <c r="E137" t="s">
        <v>2125</v>
      </c>
      <c r="F137" t="s">
        <v>2126</v>
      </c>
      <c r="G137" t="s">
        <v>2156</v>
      </c>
      <c r="H137" t="s">
        <v>2156</v>
      </c>
      <c r="J137" t="s">
        <v>2157</v>
      </c>
      <c r="K137" t="s">
        <v>2158</v>
      </c>
      <c r="M137" s="1" t="s">
        <v>2159</v>
      </c>
      <c r="N137" t="s">
        <v>2160</v>
      </c>
      <c r="O137" s="46">
        <f t="shared" si="13"/>
        <v>0</v>
      </c>
      <c r="P137" s="43" t="s">
        <v>1542</v>
      </c>
      <c r="Q137" s="43" t="s">
        <v>1542</v>
      </c>
      <c r="R137" s="43" t="s">
        <v>1542</v>
      </c>
      <c r="S137" s="43" t="s">
        <v>1542</v>
      </c>
      <c r="T137" s="43" t="s">
        <v>1542</v>
      </c>
      <c r="U137" s="43" t="s">
        <v>1542</v>
      </c>
      <c r="V137" s="43" t="s">
        <v>1542</v>
      </c>
      <c r="W137" s="43" t="s">
        <v>1542</v>
      </c>
      <c r="X137" s="43" t="s">
        <v>1542</v>
      </c>
      <c r="Y137" s="43" t="s">
        <v>1542</v>
      </c>
      <c r="Z137" s="43" t="s">
        <v>1542</v>
      </c>
      <c r="AA137" s="43" t="s">
        <v>1542</v>
      </c>
      <c r="AB137" s="46">
        <f t="shared" si="14"/>
        <v>2</v>
      </c>
      <c r="AC137" s="44" t="s">
        <v>1554</v>
      </c>
      <c r="AD137" s="44" t="s">
        <v>1554</v>
      </c>
      <c r="AE137" s="44" t="s">
        <v>1542</v>
      </c>
      <c r="AF137" s="44" t="s">
        <v>1542</v>
      </c>
      <c r="AG137" s="44" t="s">
        <v>1542</v>
      </c>
      <c r="AH137" s="44" t="s">
        <v>1542</v>
      </c>
      <c r="AI137" s="44" t="s">
        <v>1542</v>
      </c>
      <c r="AJ137" s="44" t="s">
        <v>1542</v>
      </c>
      <c r="AK137" s="44" t="s">
        <v>1542</v>
      </c>
      <c r="AL137" s="44" t="s">
        <v>1542</v>
      </c>
      <c r="AM137" s="44" t="s">
        <v>1542</v>
      </c>
      <c r="AN137" s="44" t="s">
        <v>1542</v>
      </c>
      <c r="AO137" s="46">
        <f t="shared" si="10"/>
        <v>2</v>
      </c>
      <c r="AP137" s="43" t="s">
        <v>1542</v>
      </c>
      <c r="AQ137" s="43" t="s">
        <v>1542</v>
      </c>
      <c r="AR137" s="43" t="s">
        <v>1542</v>
      </c>
      <c r="AS137" s="43" t="s">
        <v>1542</v>
      </c>
      <c r="AT137" s="43" t="s">
        <v>1542</v>
      </c>
      <c r="AU137" s="43" t="s">
        <v>1542</v>
      </c>
      <c r="AV137" s="43" t="s">
        <v>1542</v>
      </c>
      <c r="AW137" s="43" t="s">
        <v>1554</v>
      </c>
      <c r="AX137" s="43" t="s">
        <v>1554</v>
      </c>
      <c r="AY137" s="43" t="s">
        <v>1554</v>
      </c>
      <c r="AZ137" s="43" t="s">
        <v>1554</v>
      </c>
      <c r="BA137" s="43" t="s">
        <v>1554</v>
      </c>
      <c r="BB137" s="46">
        <f t="shared" si="11"/>
        <v>4</v>
      </c>
      <c r="BC137" s="44" t="s">
        <v>1542</v>
      </c>
      <c r="BD137" s="44" t="s">
        <v>1542</v>
      </c>
      <c r="BE137" s="44" t="s">
        <v>1542</v>
      </c>
      <c r="BF137" s="44" t="s">
        <v>1542</v>
      </c>
      <c r="BG137" s="44" t="s">
        <v>1542</v>
      </c>
      <c r="BH137" s="44" t="s">
        <v>1542</v>
      </c>
      <c r="BI137" s="44" t="s">
        <v>1542</v>
      </c>
      <c r="BJ137" s="44" t="s">
        <v>1542</v>
      </c>
      <c r="BK137" s="44" t="s">
        <v>1542</v>
      </c>
      <c r="BL137" s="44" t="s">
        <v>1542</v>
      </c>
      <c r="BM137" s="44" t="s">
        <v>1542</v>
      </c>
      <c r="BN137" s="44" t="s">
        <v>1542</v>
      </c>
      <c r="BO137" s="46">
        <f t="shared" si="12"/>
        <v>0</v>
      </c>
      <c r="BP137" s="43" t="s">
        <v>1542</v>
      </c>
      <c r="BQ137" s="43" t="s">
        <v>1542</v>
      </c>
      <c r="BR137" s="43" t="s">
        <v>1542</v>
      </c>
      <c r="BS137" s="43" t="s">
        <v>1542</v>
      </c>
      <c r="BT137" s="43" t="s">
        <v>1542</v>
      </c>
      <c r="BU137" s="43" t="s">
        <v>1542</v>
      </c>
      <c r="BV137" s="43" t="s">
        <v>1542</v>
      </c>
      <c r="BW137" s="43" t="s">
        <v>1542</v>
      </c>
      <c r="BX137" s="43" t="s">
        <v>1542</v>
      </c>
      <c r="BY137" s="43" t="s">
        <v>1542</v>
      </c>
      <c r="BZ137" s="43" t="s">
        <v>1542</v>
      </c>
      <c r="CA137" s="43" t="s">
        <v>1542</v>
      </c>
    </row>
    <row r="138" spans="1:79">
      <c r="A138">
        <v>137</v>
      </c>
      <c r="C138" t="s">
        <v>1532</v>
      </c>
      <c r="D138" t="s">
        <v>1533</v>
      </c>
      <c r="E138" t="s">
        <v>2125</v>
      </c>
      <c r="F138" t="s">
        <v>2126</v>
      </c>
      <c r="G138" t="s">
        <v>2156</v>
      </c>
      <c r="H138" t="s">
        <v>2161</v>
      </c>
      <c r="I138" t="s">
        <v>2161</v>
      </c>
      <c r="J138" t="s">
        <v>2157</v>
      </c>
      <c r="K138" t="s">
        <v>2158</v>
      </c>
      <c r="M138" s="1" t="s">
        <v>2162</v>
      </c>
      <c r="N138" t="s">
        <v>2163</v>
      </c>
      <c r="O138" s="46">
        <f t="shared" si="13"/>
        <v>0</v>
      </c>
      <c r="P138" s="43"/>
      <c r="Q138" s="43"/>
      <c r="R138" s="43"/>
      <c r="S138" s="43"/>
      <c r="T138" s="43"/>
      <c r="U138" s="43"/>
      <c r="V138" s="43"/>
      <c r="W138" s="43"/>
      <c r="X138" s="43"/>
      <c r="Y138" s="43"/>
      <c r="Z138" s="43"/>
      <c r="AA138" s="43"/>
      <c r="AB138" s="46">
        <f t="shared" si="14"/>
        <v>3</v>
      </c>
      <c r="AC138" s="44" t="s">
        <v>1554</v>
      </c>
      <c r="AD138" s="44" t="s">
        <v>1554</v>
      </c>
      <c r="AE138" s="44" t="s">
        <v>1554</v>
      </c>
      <c r="AF138" s="44" t="s">
        <v>1542</v>
      </c>
      <c r="AG138" s="44" t="s">
        <v>1542</v>
      </c>
      <c r="AH138" s="44" t="s">
        <v>1542</v>
      </c>
      <c r="AI138" s="44" t="s">
        <v>1542</v>
      </c>
      <c r="AJ138" s="44"/>
      <c r="AK138" s="44"/>
      <c r="AL138" s="44"/>
      <c r="AM138" s="44"/>
      <c r="AN138" s="44"/>
      <c r="AO138" s="46">
        <f t="shared" si="10"/>
        <v>3</v>
      </c>
      <c r="AP138" s="43"/>
      <c r="AQ138" s="43"/>
      <c r="AR138" s="43"/>
      <c r="AS138" s="43"/>
      <c r="AT138" s="43"/>
      <c r="AU138" s="43"/>
      <c r="AV138" s="43"/>
      <c r="AW138" s="43"/>
      <c r="AX138" s="43"/>
      <c r="AY138" s="43" t="s">
        <v>1554</v>
      </c>
      <c r="AZ138" s="43" t="s">
        <v>1554</v>
      </c>
      <c r="BA138" s="43" t="s">
        <v>1554</v>
      </c>
      <c r="BB138" s="46">
        <f t="shared" si="11"/>
        <v>2</v>
      </c>
      <c r="BC138" s="44"/>
      <c r="BD138" s="44"/>
      <c r="BE138" s="44"/>
      <c r="BF138" s="44"/>
      <c r="BG138" s="44"/>
      <c r="BH138" s="44"/>
      <c r="BI138" s="44"/>
      <c r="BJ138" s="44"/>
      <c r="BK138" s="44"/>
      <c r="BL138" s="44"/>
      <c r="BM138" s="44"/>
      <c r="BN138" s="44"/>
      <c r="BO138" s="46">
        <f t="shared" si="12"/>
        <v>0</v>
      </c>
      <c r="BP138" s="43"/>
      <c r="BQ138" s="43"/>
      <c r="BR138" s="43"/>
      <c r="BS138" s="43"/>
      <c r="BT138" s="43"/>
      <c r="BU138" s="43"/>
      <c r="BV138" s="43"/>
      <c r="BW138" s="43"/>
      <c r="BX138" s="43"/>
      <c r="BY138" s="43"/>
      <c r="BZ138" s="43"/>
      <c r="CA138" s="43"/>
    </row>
    <row r="139" spans="1:79">
      <c r="A139">
        <v>138</v>
      </c>
      <c r="B139">
        <v>1</v>
      </c>
      <c r="C139" t="s">
        <v>1532</v>
      </c>
      <c r="D139" t="s">
        <v>1533</v>
      </c>
      <c r="E139" t="s">
        <v>2125</v>
      </c>
      <c r="F139" t="s">
        <v>2126</v>
      </c>
      <c r="G139" t="s">
        <v>2164</v>
      </c>
      <c r="H139" t="s">
        <v>2164</v>
      </c>
      <c r="J139" t="s">
        <v>2165</v>
      </c>
      <c r="K139" t="s">
        <v>2166</v>
      </c>
      <c r="L139" t="s">
        <v>1539</v>
      </c>
      <c r="M139" s="1" t="s">
        <v>2167</v>
      </c>
      <c r="N139" t="s">
        <v>2168</v>
      </c>
      <c r="O139" s="46">
        <f t="shared" si="13"/>
        <v>0</v>
      </c>
      <c r="P139" s="43" t="s">
        <v>1542</v>
      </c>
      <c r="Q139" s="43" t="s">
        <v>1542</v>
      </c>
      <c r="R139" s="43" t="s">
        <v>1542</v>
      </c>
      <c r="S139" s="43" t="s">
        <v>1542</v>
      </c>
      <c r="T139" s="43" t="s">
        <v>1542</v>
      </c>
      <c r="U139" s="43" t="s">
        <v>1542</v>
      </c>
      <c r="V139" s="43" t="s">
        <v>1542</v>
      </c>
      <c r="W139" s="43" t="s">
        <v>1542</v>
      </c>
      <c r="X139" s="43" t="s">
        <v>1542</v>
      </c>
      <c r="Y139" s="43" t="s">
        <v>1542</v>
      </c>
      <c r="Z139" s="43" t="s">
        <v>1542</v>
      </c>
      <c r="AA139" s="43" t="s">
        <v>1542</v>
      </c>
      <c r="AB139" s="46">
        <f t="shared" si="14"/>
        <v>0</v>
      </c>
      <c r="AC139" s="44" t="s">
        <v>1542</v>
      </c>
      <c r="AD139" s="44" t="s">
        <v>1542</v>
      </c>
      <c r="AE139" s="44" t="s">
        <v>1542</v>
      </c>
      <c r="AF139" s="44" t="s">
        <v>1542</v>
      </c>
      <c r="AG139" s="44" t="s">
        <v>1542</v>
      </c>
      <c r="AH139" s="44" t="s">
        <v>1542</v>
      </c>
      <c r="AI139" s="44" t="s">
        <v>1542</v>
      </c>
      <c r="AJ139" s="44" t="s">
        <v>1542</v>
      </c>
      <c r="AK139" s="44" t="s">
        <v>1542</v>
      </c>
      <c r="AL139" s="44" t="s">
        <v>1542</v>
      </c>
      <c r="AM139" s="44" t="s">
        <v>1542</v>
      </c>
      <c r="AN139" s="44" t="s">
        <v>1542</v>
      </c>
      <c r="AO139" s="46">
        <f t="shared" si="10"/>
        <v>0</v>
      </c>
      <c r="AP139" s="43" t="s">
        <v>1542</v>
      </c>
      <c r="AQ139" s="43" t="s">
        <v>1542</v>
      </c>
      <c r="AR139" s="43" t="s">
        <v>1542</v>
      </c>
      <c r="AS139" s="43" t="s">
        <v>1542</v>
      </c>
      <c r="AT139" s="43" t="s">
        <v>1542</v>
      </c>
      <c r="AU139" s="43" t="s">
        <v>1542</v>
      </c>
      <c r="AV139" s="43" t="s">
        <v>1542</v>
      </c>
      <c r="AW139" s="43" t="s">
        <v>1542</v>
      </c>
      <c r="AX139" s="43" t="s">
        <v>1542</v>
      </c>
      <c r="AY139" s="43" t="s">
        <v>1542</v>
      </c>
      <c r="AZ139" s="43" t="s">
        <v>1542</v>
      </c>
      <c r="BA139" s="43" t="s">
        <v>1542</v>
      </c>
      <c r="BB139" s="46">
        <f t="shared" si="11"/>
        <v>0</v>
      </c>
      <c r="BC139" s="44" t="s">
        <v>1542</v>
      </c>
      <c r="BD139" s="44" t="s">
        <v>1542</v>
      </c>
      <c r="BE139" s="44" t="s">
        <v>1542</v>
      </c>
      <c r="BF139" s="44" t="s">
        <v>1542</v>
      </c>
      <c r="BG139" s="44" t="s">
        <v>1542</v>
      </c>
      <c r="BH139" s="44" t="s">
        <v>1542</v>
      </c>
      <c r="BI139" s="44" t="s">
        <v>1542</v>
      </c>
      <c r="BJ139" s="44" t="s">
        <v>1542</v>
      </c>
      <c r="BK139" s="44" t="s">
        <v>1542</v>
      </c>
      <c r="BL139" s="44" t="s">
        <v>1542</v>
      </c>
      <c r="BM139" s="44" t="s">
        <v>1542</v>
      </c>
      <c r="BN139" s="44" t="s">
        <v>1542</v>
      </c>
      <c r="BO139" s="46">
        <f t="shared" si="12"/>
        <v>0</v>
      </c>
      <c r="BP139" s="43" t="s">
        <v>1542</v>
      </c>
      <c r="BQ139" s="43" t="s">
        <v>1542</v>
      </c>
      <c r="BR139" s="43" t="s">
        <v>1542</v>
      </c>
      <c r="BS139" s="43" t="s">
        <v>1542</v>
      </c>
      <c r="BT139" s="43" t="s">
        <v>1542</v>
      </c>
      <c r="BU139" s="43" t="s">
        <v>1542</v>
      </c>
      <c r="BV139" s="43" t="s">
        <v>1542</v>
      </c>
      <c r="BW139" s="43" t="s">
        <v>1542</v>
      </c>
      <c r="BX139" s="43" t="s">
        <v>1542</v>
      </c>
      <c r="BY139" s="43" t="s">
        <v>1542</v>
      </c>
      <c r="BZ139" s="43" t="s">
        <v>1542</v>
      </c>
      <c r="CA139" s="43" t="s">
        <v>1542</v>
      </c>
    </row>
    <row r="140" spans="1:79">
      <c r="A140">
        <v>139</v>
      </c>
      <c r="B140">
        <v>1</v>
      </c>
      <c r="C140" t="s">
        <v>1532</v>
      </c>
      <c r="D140" t="s">
        <v>1533</v>
      </c>
      <c r="E140" t="s">
        <v>2125</v>
      </c>
      <c r="F140" t="s">
        <v>2126</v>
      </c>
      <c r="G140" t="s">
        <v>2169</v>
      </c>
      <c r="H140" t="s">
        <v>2169</v>
      </c>
      <c r="J140" t="s">
        <v>2170</v>
      </c>
      <c r="K140" t="s">
        <v>2171</v>
      </c>
      <c r="M140" s="1" t="s">
        <v>2172</v>
      </c>
      <c r="N140" t="s">
        <v>2173</v>
      </c>
      <c r="O140" s="46">
        <f t="shared" si="13"/>
        <v>0</v>
      </c>
      <c r="P140" s="43" t="s">
        <v>1542</v>
      </c>
      <c r="Q140" s="43" t="s">
        <v>1542</v>
      </c>
      <c r="R140" s="43" t="s">
        <v>1542</v>
      </c>
      <c r="S140" s="43" t="s">
        <v>1542</v>
      </c>
      <c r="T140" s="43" t="s">
        <v>1542</v>
      </c>
      <c r="U140" s="43" t="s">
        <v>1542</v>
      </c>
      <c r="V140" s="43" t="s">
        <v>1542</v>
      </c>
      <c r="W140" s="43" t="s">
        <v>1542</v>
      </c>
      <c r="X140" s="43" t="s">
        <v>1542</v>
      </c>
      <c r="Y140" s="43" t="s">
        <v>1542</v>
      </c>
      <c r="Z140" s="43" t="s">
        <v>1542</v>
      </c>
      <c r="AA140" s="43" t="s">
        <v>1542</v>
      </c>
      <c r="AB140" s="46">
        <f t="shared" si="14"/>
        <v>0</v>
      </c>
      <c r="AC140" s="44" t="s">
        <v>1542</v>
      </c>
      <c r="AD140" s="44" t="s">
        <v>1542</v>
      </c>
      <c r="AE140" s="44" t="s">
        <v>1542</v>
      </c>
      <c r="AF140" s="44" t="s">
        <v>1542</v>
      </c>
      <c r="AG140" s="44" t="s">
        <v>1542</v>
      </c>
      <c r="AH140" s="44" t="s">
        <v>1542</v>
      </c>
      <c r="AI140" s="44" t="s">
        <v>1542</v>
      </c>
      <c r="AJ140" s="44" t="s">
        <v>1542</v>
      </c>
      <c r="AK140" s="44" t="s">
        <v>1542</v>
      </c>
      <c r="AL140" s="44" t="s">
        <v>1542</v>
      </c>
      <c r="AM140" s="44" t="s">
        <v>1542</v>
      </c>
      <c r="AN140" s="44" t="s">
        <v>1542</v>
      </c>
      <c r="AO140" s="46">
        <f t="shared" si="10"/>
        <v>0</v>
      </c>
      <c r="AP140" s="43" t="s">
        <v>1542</v>
      </c>
      <c r="AQ140" s="43" t="s">
        <v>1542</v>
      </c>
      <c r="AR140" s="43" t="s">
        <v>1542</v>
      </c>
      <c r="AS140" s="43" t="s">
        <v>1542</v>
      </c>
      <c r="AT140" s="43" t="s">
        <v>1542</v>
      </c>
      <c r="AU140" s="43" t="s">
        <v>1542</v>
      </c>
      <c r="AV140" s="43" t="s">
        <v>1542</v>
      </c>
      <c r="AW140" s="43" t="s">
        <v>1542</v>
      </c>
      <c r="AX140" s="43" t="s">
        <v>1542</v>
      </c>
      <c r="AY140" s="43" t="s">
        <v>1542</v>
      </c>
      <c r="AZ140" s="43" t="s">
        <v>1542</v>
      </c>
      <c r="BA140" s="43" t="s">
        <v>1542</v>
      </c>
      <c r="BB140" s="46">
        <f t="shared" si="11"/>
        <v>0</v>
      </c>
      <c r="BC140" s="44" t="s">
        <v>1554</v>
      </c>
      <c r="BD140" s="44" t="s">
        <v>1554</v>
      </c>
      <c r="BE140" s="44" t="s">
        <v>1554</v>
      </c>
      <c r="BF140" s="44" t="s">
        <v>1554</v>
      </c>
      <c r="BG140" s="44" t="s">
        <v>1554</v>
      </c>
      <c r="BH140" s="44" t="s">
        <v>1554</v>
      </c>
      <c r="BI140" s="44" t="s">
        <v>1554</v>
      </c>
      <c r="BJ140" s="44" t="s">
        <v>1542</v>
      </c>
      <c r="BK140" s="44" t="s">
        <v>1542</v>
      </c>
      <c r="BL140" s="44" t="s">
        <v>1542</v>
      </c>
      <c r="BM140" s="44" t="s">
        <v>1542</v>
      </c>
      <c r="BN140" s="44" t="s">
        <v>1542</v>
      </c>
      <c r="BO140" s="46">
        <f t="shared" si="12"/>
        <v>7</v>
      </c>
      <c r="BP140" s="43" t="s">
        <v>1542</v>
      </c>
      <c r="BQ140" s="43" t="s">
        <v>1542</v>
      </c>
      <c r="BR140" s="43" t="s">
        <v>1542</v>
      </c>
      <c r="BS140" s="43" t="s">
        <v>1542</v>
      </c>
      <c r="BT140" s="43" t="s">
        <v>1542</v>
      </c>
      <c r="BU140" s="43" t="s">
        <v>1542</v>
      </c>
      <c r="BV140" s="43" t="s">
        <v>1554</v>
      </c>
      <c r="BW140" s="43" t="s">
        <v>1554</v>
      </c>
      <c r="BX140" s="43" t="s">
        <v>1554</v>
      </c>
      <c r="BY140" s="43" t="s">
        <v>1554</v>
      </c>
      <c r="BZ140" s="43" t="s">
        <v>1554</v>
      </c>
      <c r="CA140" s="43" t="s">
        <v>1554</v>
      </c>
    </row>
    <row r="141" spans="1:79">
      <c r="A141">
        <v>140</v>
      </c>
      <c r="C141" t="s">
        <v>1532</v>
      </c>
      <c r="D141" t="s">
        <v>1533</v>
      </c>
      <c r="E141" t="s">
        <v>2125</v>
      </c>
      <c r="F141" t="s">
        <v>2126</v>
      </c>
      <c r="G141" t="s">
        <v>2169</v>
      </c>
      <c r="H141" t="s">
        <v>2174</v>
      </c>
      <c r="I141" t="s">
        <v>2174</v>
      </c>
      <c r="J141" t="s">
        <v>2170</v>
      </c>
      <c r="K141" t="s">
        <v>2171</v>
      </c>
      <c r="M141" s="1" t="s">
        <v>2172</v>
      </c>
      <c r="N141" t="s">
        <v>2175</v>
      </c>
      <c r="O141" s="46">
        <f t="shared" si="13"/>
        <v>0</v>
      </c>
      <c r="P141" s="43"/>
      <c r="Q141" s="43"/>
      <c r="R141" s="43"/>
      <c r="S141" s="43"/>
      <c r="T141" s="43"/>
      <c r="U141" s="43"/>
      <c r="V141" s="43"/>
      <c r="W141" s="43"/>
      <c r="X141" s="43"/>
      <c r="Y141" s="43"/>
      <c r="Z141" s="43"/>
      <c r="AA141" s="43"/>
      <c r="AB141" s="46">
        <f t="shared" si="14"/>
        <v>1</v>
      </c>
      <c r="AC141" s="44" t="s">
        <v>1542</v>
      </c>
      <c r="AD141" s="44" t="s">
        <v>1542</v>
      </c>
      <c r="AE141" s="44" t="s">
        <v>1542</v>
      </c>
      <c r="AF141" s="44" t="s">
        <v>1542</v>
      </c>
      <c r="AG141" s="44" t="s">
        <v>1542</v>
      </c>
      <c r="AH141" s="44" t="s">
        <v>1542</v>
      </c>
      <c r="AI141" s="44" t="s">
        <v>1554</v>
      </c>
      <c r="AJ141" s="44"/>
      <c r="AK141" s="44"/>
      <c r="AL141" s="44"/>
      <c r="AM141" s="44"/>
      <c r="AN141" s="44"/>
      <c r="AO141" s="46">
        <f t="shared" si="10"/>
        <v>1</v>
      </c>
      <c r="AP141" s="43" t="s">
        <v>1542</v>
      </c>
      <c r="AQ141" s="43" t="s">
        <v>1542</v>
      </c>
      <c r="AR141" s="43" t="s">
        <v>1542</v>
      </c>
      <c r="AS141" s="43" t="s">
        <v>1542</v>
      </c>
      <c r="AT141" s="43" t="s">
        <v>1542</v>
      </c>
      <c r="AU141" s="43" t="s">
        <v>1542</v>
      </c>
      <c r="AV141" s="43" t="s">
        <v>1542</v>
      </c>
      <c r="AW141" s="43" t="s">
        <v>1542</v>
      </c>
      <c r="AX141" s="43" t="s">
        <v>1542</v>
      </c>
      <c r="AY141" s="43" t="s">
        <v>1542</v>
      </c>
      <c r="AZ141" s="43" t="s">
        <v>1542</v>
      </c>
      <c r="BA141" s="43" t="s">
        <v>1542</v>
      </c>
      <c r="BB141" s="46">
        <f t="shared" si="11"/>
        <v>0</v>
      </c>
      <c r="BC141" s="44"/>
      <c r="BD141" s="44"/>
      <c r="BE141" s="44" t="s">
        <v>1554</v>
      </c>
      <c r="BF141" s="44" t="s">
        <v>1554</v>
      </c>
      <c r="BG141" s="44" t="s">
        <v>1554</v>
      </c>
      <c r="BH141" s="44" t="s">
        <v>1554</v>
      </c>
      <c r="BI141" s="44" t="s">
        <v>1554</v>
      </c>
      <c r="BJ141" s="44" t="s">
        <v>1542</v>
      </c>
      <c r="BK141" s="44" t="s">
        <v>1542</v>
      </c>
      <c r="BL141" s="44" t="s">
        <v>1542</v>
      </c>
      <c r="BM141" s="44" t="s">
        <v>1542</v>
      </c>
      <c r="BN141" s="44" t="s">
        <v>1542</v>
      </c>
      <c r="BO141" s="46">
        <f t="shared" si="12"/>
        <v>5</v>
      </c>
      <c r="BP141" s="43"/>
      <c r="BQ141" s="43"/>
      <c r="BR141" s="43"/>
      <c r="BS141" s="43"/>
      <c r="BT141" s="43"/>
      <c r="BU141" s="43"/>
      <c r="BV141" s="43"/>
      <c r="BW141" s="43"/>
      <c r="BX141" s="43"/>
      <c r="BY141" s="43"/>
      <c r="BZ141" s="43"/>
      <c r="CA141" s="43"/>
    </row>
    <row r="142" spans="1:79">
      <c r="A142">
        <v>141</v>
      </c>
      <c r="B142">
        <v>1</v>
      </c>
      <c r="C142" t="s">
        <v>1532</v>
      </c>
      <c r="D142" t="s">
        <v>1533</v>
      </c>
      <c r="E142" t="s">
        <v>2125</v>
      </c>
      <c r="F142" t="s">
        <v>2126</v>
      </c>
      <c r="G142" t="s">
        <v>2176</v>
      </c>
      <c r="H142" t="s">
        <v>2176</v>
      </c>
      <c r="J142" t="s">
        <v>2177</v>
      </c>
      <c r="K142" t="s">
        <v>2178</v>
      </c>
      <c r="M142" s="1" t="s">
        <v>2179</v>
      </c>
      <c r="N142" t="s">
        <v>2180</v>
      </c>
      <c r="O142" s="46">
        <f t="shared" si="13"/>
        <v>0</v>
      </c>
      <c r="P142" s="43" t="s">
        <v>1542</v>
      </c>
      <c r="Q142" s="43" t="s">
        <v>1542</v>
      </c>
      <c r="R142" s="43" t="s">
        <v>1542</v>
      </c>
      <c r="S142" s="43" t="s">
        <v>1542</v>
      </c>
      <c r="T142" s="43" t="s">
        <v>1542</v>
      </c>
      <c r="U142" s="43" t="s">
        <v>1542</v>
      </c>
      <c r="V142" s="43" t="s">
        <v>1542</v>
      </c>
      <c r="W142" s="43" t="s">
        <v>1542</v>
      </c>
      <c r="X142" s="43" t="s">
        <v>1542</v>
      </c>
      <c r="Y142" s="43" t="s">
        <v>1542</v>
      </c>
      <c r="Z142" s="43" t="s">
        <v>1542</v>
      </c>
      <c r="AA142" s="43" t="s">
        <v>1542</v>
      </c>
      <c r="AB142" s="46">
        <f t="shared" si="14"/>
        <v>1</v>
      </c>
      <c r="AC142" s="44" t="s">
        <v>1542</v>
      </c>
      <c r="AD142" s="44" t="s">
        <v>1542</v>
      </c>
      <c r="AE142" s="44" t="s">
        <v>1542</v>
      </c>
      <c r="AF142" s="44" t="s">
        <v>1542</v>
      </c>
      <c r="AG142" s="44" t="s">
        <v>1542</v>
      </c>
      <c r="AH142" s="44" t="s">
        <v>1542</v>
      </c>
      <c r="AI142" s="44" t="s">
        <v>1554</v>
      </c>
      <c r="AJ142" s="44" t="s">
        <v>1542</v>
      </c>
      <c r="AK142" s="44" t="s">
        <v>1542</v>
      </c>
      <c r="AL142" s="44" t="s">
        <v>1542</v>
      </c>
      <c r="AM142" s="44" t="s">
        <v>1542</v>
      </c>
      <c r="AN142" s="44" t="s">
        <v>1542</v>
      </c>
      <c r="AO142" s="46">
        <f t="shared" si="10"/>
        <v>1</v>
      </c>
      <c r="AP142" s="43" t="s">
        <v>1542</v>
      </c>
      <c r="AQ142" s="43" t="s">
        <v>1542</v>
      </c>
      <c r="AR142" s="43" t="s">
        <v>1542</v>
      </c>
      <c r="AS142" s="43" t="s">
        <v>1542</v>
      </c>
      <c r="AT142" s="43" t="s">
        <v>1542</v>
      </c>
      <c r="AU142" s="43" t="s">
        <v>1542</v>
      </c>
      <c r="AV142" s="43" t="s">
        <v>1542</v>
      </c>
      <c r="AW142" s="43" t="s">
        <v>1542</v>
      </c>
      <c r="AX142" s="43" t="s">
        <v>1542</v>
      </c>
      <c r="AY142" s="43" t="s">
        <v>1542</v>
      </c>
      <c r="AZ142" s="43" t="s">
        <v>1542</v>
      </c>
      <c r="BA142" s="43" t="s">
        <v>1542</v>
      </c>
      <c r="BB142" s="46">
        <f t="shared" si="11"/>
        <v>0</v>
      </c>
      <c r="BC142" s="44" t="s">
        <v>1542</v>
      </c>
      <c r="BD142" s="44" t="s">
        <v>1542</v>
      </c>
      <c r="BE142" s="44" t="s">
        <v>1542</v>
      </c>
      <c r="BF142" s="44" t="s">
        <v>1542</v>
      </c>
      <c r="BG142" s="44" t="s">
        <v>1542</v>
      </c>
      <c r="BH142" s="44" t="s">
        <v>1542</v>
      </c>
      <c r="BI142" s="44" t="s">
        <v>1542</v>
      </c>
      <c r="BJ142" s="44" t="s">
        <v>1542</v>
      </c>
      <c r="BK142" s="44" t="s">
        <v>1542</v>
      </c>
      <c r="BL142" s="44" t="s">
        <v>1542</v>
      </c>
      <c r="BM142" s="44" t="s">
        <v>1542</v>
      </c>
      <c r="BN142" s="44" t="s">
        <v>1542</v>
      </c>
      <c r="BO142" s="46">
        <f t="shared" si="12"/>
        <v>0</v>
      </c>
      <c r="BP142" s="43" t="s">
        <v>1542</v>
      </c>
      <c r="BQ142" s="43" t="s">
        <v>1542</v>
      </c>
      <c r="BR142" s="43" t="s">
        <v>1542</v>
      </c>
      <c r="BS142" s="43" t="s">
        <v>1542</v>
      </c>
      <c r="BT142" s="43" t="s">
        <v>1542</v>
      </c>
      <c r="BU142" s="43" t="s">
        <v>1542</v>
      </c>
      <c r="BV142" s="43" t="s">
        <v>1542</v>
      </c>
      <c r="BW142" s="43" t="s">
        <v>1542</v>
      </c>
      <c r="BX142" s="43" t="s">
        <v>1542</v>
      </c>
      <c r="BY142" s="43" t="s">
        <v>1542</v>
      </c>
      <c r="BZ142" s="43" t="s">
        <v>1542</v>
      </c>
      <c r="CA142" s="43" t="s">
        <v>1542</v>
      </c>
    </row>
    <row r="143" spans="1:79">
      <c r="A143">
        <v>142</v>
      </c>
      <c r="B143">
        <v>1</v>
      </c>
      <c r="C143" t="s">
        <v>1532</v>
      </c>
      <c r="D143" t="s">
        <v>1533</v>
      </c>
      <c r="E143" t="s">
        <v>2125</v>
      </c>
      <c r="F143" t="s">
        <v>2126</v>
      </c>
      <c r="G143" t="s">
        <v>2181</v>
      </c>
      <c r="H143" t="s">
        <v>2181</v>
      </c>
      <c r="J143" t="s">
        <v>2182</v>
      </c>
      <c r="K143" t="s">
        <v>2183</v>
      </c>
      <c r="M143" s="1" t="s">
        <v>2184</v>
      </c>
      <c r="O143" s="46">
        <f t="shared" si="13"/>
        <v>0</v>
      </c>
      <c r="P143" s="43" t="s">
        <v>1542</v>
      </c>
      <c r="Q143" s="43" t="s">
        <v>1542</v>
      </c>
      <c r="R143" s="43" t="s">
        <v>1542</v>
      </c>
      <c r="S143" s="43" t="s">
        <v>1542</v>
      </c>
      <c r="T143" s="43" t="s">
        <v>1542</v>
      </c>
      <c r="U143" s="43" t="s">
        <v>1542</v>
      </c>
      <c r="V143" s="43" t="s">
        <v>1542</v>
      </c>
      <c r="W143" s="43" t="s">
        <v>1542</v>
      </c>
      <c r="X143" s="43" t="s">
        <v>1542</v>
      </c>
      <c r="Y143" s="43" t="s">
        <v>1542</v>
      </c>
      <c r="Z143" s="43" t="s">
        <v>1542</v>
      </c>
      <c r="AA143" s="43" t="s">
        <v>1542</v>
      </c>
      <c r="AB143" s="46">
        <f t="shared" si="14"/>
        <v>0</v>
      </c>
      <c r="AC143" s="44" t="s">
        <v>1542</v>
      </c>
      <c r="AD143" s="44" t="s">
        <v>1542</v>
      </c>
      <c r="AE143" s="44" t="s">
        <v>1542</v>
      </c>
      <c r="AF143" s="44" t="s">
        <v>1542</v>
      </c>
      <c r="AG143" s="44" t="s">
        <v>1542</v>
      </c>
      <c r="AH143" s="44" t="s">
        <v>1542</v>
      </c>
      <c r="AI143" s="44" t="s">
        <v>1542</v>
      </c>
      <c r="AJ143" s="44" t="s">
        <v>1542</v>
      </c>
      <c r="AK143" s="44" t="s">
        <v>1542</v>
      </c>
      <c r="AL143" s="44" t="s">
        <v>1542</v>
      </c>
      <c r="AM143" s="44" t="s">
        <v>1542</v>
      </c>
      <c r="AN143" s="44" t="s">
        <v>1542</v>
      </c>
      <c r="AO143" s="46">
        <f t="shared" si="10"/>
        <v>0</v>
      </c>
      <c r="AP143" s="43" t="s">
        <v>1542</v>
      </c>
      <c r="AQ143" s="43" t="s">
        <v>1542</v>
      </c>
      <c r="AR143" s="43" t="s">
        <v>1542</v>
      </c>
      <c r="AS143" s="43" t="s">
        <v>1542</v>
      </c>
      <c r="AT143" s="43" t="s">
        <v>1542</v>
      </c>
      <c r="AU143" s="43" t="s">
        <v>1542</v>
      </c>
      <c r="AV143" s="43" t="s">
        <v>1542</v>
      </c>
      <c r="AW143" s="43" t="s">
        <v>1542</v>
      </c>
      <c r="AX143" s="43" t="s">
        <v>1542</v>
      </c>
      <c r="AY143" s="43" t="s">
        <v>1542</v>
      </c>
      <c r="AZ143" s="43" t="s">
        <v>1542</v>
      </c>
      <c r="BA143" s="43" t="s">
        <v>1542</v>
      </c>
      <c r="BB143" s="46">
        <f t="shared" si="11"/>
        <v>0</v>
      </c>
      <c r="BC143" s="44" t="s">
        <v>1542</v>
      </c>
      <c r="BD143" s="44" t="s">
        <v>1542</v>
      </c>
      <c r="BE143" s="44" t="s">
        <v>1542</v>
      </c>
      <c r="BF143" s="44" t="s">
        <v>1542</v>
      </c>
      <c r="BG143" s="44" t="s">
        <v>1542</v>
      </c>
      <c r="BH143" s="44" t="s">
        <v>1542</v>
      </c>
      <c r="BI143" s="44" t="s">
        <v>1542</v>
      </c>
      <c r="BJ143" s="44" t="s">
        <v>1542</v>
      </c>
      <c r="BK143" s="44" t="s">
        <v>1542</v>
      </c>
      <c r="BL143" s="44" t="s">
        <v>1542</v>
      </c>
      <c r="BM143" s="44" t="s">
        <v>1542</v>
      </c>
      <c r="BN143" s="44" t="s">
        <v>1542</v>
      </c>
      <c r="BO143" s="46">
        <f t="shared" si="12"/>
        <v>0</v>
      </c>
      <c r="BP143" s="43" t="s">
        <v>1542</v>
      </c>
      <c r="BQ143" s="43" t="s">
        <v>1542</v>
      </c>
      <c r="BR143" s="43" t="s">
        <v>1542</v>
      </c>
      <c r="BS143" s="43" t="s">
        <v>1542</v>
      </c>
      <c r="BT143" s="43" t="s">
        <v>1542</v>
      </c>
      <c r="BU143" s="43" t="s">
        <v>1542</v>
      </c>
      <c r="BV143" s="43" t="s">
        <v>1542</v>
      </c>
      <c r="BW143" s="43" t="s">
        <v>1542</v>
      </c>
      <c r="BX143" s="43" t="s">
        <v>1542</v>
      </c>
      <c r="BY143" s="43" t="s">
        <v>1542</v>
      </c>
      <c r="BZ143" s="43" t="s">
        <v>1542</v>
      </c>
      <c r="CA143" s="43" t="s">
        <v>1542</v>
      </c>
    </row>
    <row r="144" spans="1:79">
      <c r="A144">
        <v>143</v>
      </c>
      <c r="B144">
        <v>1</v>
      </c>
      <c r="C144" t="s">
        <v>1532</v>
      </c>
      <c r="D144" t="s">
        <v>1533</v>
      </c>
      <c r="E144" t="s">
        <v>2125</v>
      </c>
      <c r="F144" t="s">
        <v>2126</v>
      </c>
      <c r="G144" t="s">
        <v>2185</v>
      </c>
      <c r="H144" t="s">
        <v>2185</v>
      </c>
      <c r="J144" t="s">
        <v>2186</v>
      </c>
      <c r="K144" t="s">
        <v>2187</v>
      </c>
      <c r="L144" t="s">
        <v>1539</v>
      </c>
      <c r="M144" s="1" t="s">
        <v>2188</v>
      </c>
      <c r="N144" t="s">
        <v>2189</v>
      </c>
      <c r="O144" s="46">
        <f t="shared" si="13"/>
        <v>0</v>
      </c>
      <c r="P144" s="43" t="s">
        <v>1542</v>
      </c>
      <c r="Q144" s="43" t="s">
        <v>1542</v>
      </c>
      <c r="R144" s="43" t="s">
        <v>1542</v>
      </c>
      <c r="S144" s="43" t="s">
        <v>1542</v>
      </c>
      <c r="T144" s="43" t="s">
        <v>1542</v>
      </c>
      <c r="U144" s="43" t="s">
        <v>1542</v>
      </c>
      <c r="V144" s="43" t="s">
        <v>1542</v>
      </c>
      <c r="W144" s="43" t="s">
        <v>1542</v>
      </c>
      <c r="X144" s="43" t="s">
        <v>1542</v>
      </c>
      <c r="Y144" s="43" t="s">
        <v>1542</v>
      </c>
      <c r="Z144" s="43" t="s">
        <v>1542</v>
      </c>
      <c r="AA144" s="43" t="s">
        <v>1542</v>
      </c>
      <c r="AB144" s="46">
        <f t="shared" si="14"/>
        <v>0</v>
      </c>
      <c r="AC144" s="44" t="s">
        <v>1542</v>
      </c>
      <c r="AD144" s="44" t="s">
        <v>1542</v>
      </c>
      <c r="AE144" s="44" t="s">
        <v>1542</v>
      </c>
      <c r="AF144" s="44" t="s">
        <v>1542</v>
      </c>
      <c r="AG144" s="44" t="s">
        <v>1542</v>
      </c>
      <c r="AH144" s="44" t="s">
        <v>1542</v>
      </c>
      <c r="AI144" s="44" t="s">
        <v>1542</v>
      </c>
      <c r="AJ144" s="44" t="s">
        <v>1542</v>
      </c>
      <c r="AK144" s="44" t="s">
        <v>1542</v>
      </c>
      <c r="AL144" s="44" t="s">
        <v>1542</v>
      </c>
      <c r="AM144" s="44" t="s">
        <v>1542</v>
      </c>
      <c r="AN144" s="44" t="s">
        <v>1542</v>
      </c>
      <c r="AO144" s="46">
        <f t="shared" si="10"/>
        <v>0</v>
      </c>
      <c r="AP144" s="43" t="s">
        <v>1542</v>
      </c>
      <c r="AQ144" s="43" t="s">
        <v>1542</v>
      </c>
      <c r="AR144" s="43" t="s">
        <v>1542</v>
      </c>
      <c r="AS144" s="43" t="s">
        <v>1542</v>
      </c>
      <c r="AT144" s="43" t="s">
        <v>1542</v>
      </c>
      <c r="AU144" s="43" t="s">
        <v>1542</v>
      </c>
      <c r="AV144" s="43" t="s">
        <v>1542</v>
      </c>
      <c r="AW144" s="43" t="s">
        <v>1542</v>
      </c>
      <c r="AX144" s="43" t="s">
        <v>1542</v>
      </c>
      <c r="AY144" s="43" t="s">
        <v>1542</v>
      </c>
      <c r="AZ144" s="43" t="s">
        <v>1542</v>
      </c>
      <c r="BA144" s="43" t="s">
        <v>1542</v>
      </c>
      <c r="BB144" s="46">
        <f t="shared" si="11"/>
        <v>0</v>
      </c>
      <c r="BC144" s="44" t="s">
        <v>1542</v>
      </c>
      <c r="BD144" s="44" t="s">
        <v>1542</v>
      </c>
      <c r="BE144" s="44" t="s">
        <v>1542</v>
      </c>
      <c r="BF144" s="44" t="s">
        <v>1542</v>
      </c>
      <c r="BG144" s="44" t="s">
        <v>1542</v>
      </c>
      <c r="BH144" s="44" t="s">
        <v>1542</v>
      </c>
      <c r="BI144" s="44" t="s">
        <v>1542</v>
      </c>
      <c r="BJ144" s="44" t="s">
        <v>1542</v>
      </c>
      <c r="BK144" s="44" t="s">
        <v>1542</v>
      </c>
      <c r="BL144" s="44" t="s">
        <v>1542</v>
      </c>
      <c r="BM144" s="44" t="s">
        <v>1542</v>
      </c>
      <c r="BN144" s="44" t="s">
        <v>1542</v>
      </c>
      <c r="BO144" s="46">
        <f t="shared" si="12"/>
        <v>0</v>
      </c>
      <c r="BP144" s="43" t="s">
        <v>1542</v>
      </c>
      <c r="BQ144" s="43" t="s">
        <v>1542</v>
      </c>
      <c r="BR144" s="43" t="s">
        <v>1542</v>
      </c>
      <c r="BS144" s="43" t="s">
        <v>1542</v>
      </c>
      <c r="BT144" s="43" t="s">
        <v>1542</v>
      </c>
      <c r="BU144" s="43" t="s">
        <v>1542</v>
      </c>
      <c r="BV144" s="43" t="s">
        <v>1542</v>
      </c>
      <c r="BW144" s="43" t="s">
        <v>1542</v>
      </c>
      <c r="BX144" s="43" t="s">
        <v>1542</v>
      </c>
      <c r="BY144" s="43" t="s">
        <v>1542</v>
      </c>
      <c r="BZ144" s="43" t="s">
        <v>1542</v>
      </c>
      <c r="CA144" s="43" t="s">
        <v>1542</v>
      </c>
    </row>
    <row r="145" spans="1:79">
      <c r="A145">
        <v>144</v>
      </c>
      <c r="B145">
        <v>1</v>
      </c>
      <c r="C145" t="s">
        <v>1532</v>
      </c>
      <c r="D145" t="s">
        <v>1533</v>
      </c>
      <c r="E145" t="s">
        <v>2125</v>
      </c>
      <c r="F145" t="s">
        <v>2126</v>
      </c>
      <c r="G145" t="s">
        <v>2190</v>
      </c>
      <c r="H145" t="s">
        <v>2190</v>
      </c>
      <c r="J145" t="s">
        <v>2191</v>
      </c>
      <c r="K145" t="s">
        <v>2192</v>
      </c>
      <c r="L145" t="s">
        <v>1539</v>
      </c>
      <c r="M145" s="1" t="s">
        <v>2193</v>
      </c>
      <c r="N145" t="s">
        <v>2194</v>
      </c>
      <c r="O145" s="46">
        <f t="shared" si="13"/>
        <v>0</v>
      </c>
      <c r="P145" s="43" t="s">
        <v>1542</v>
      </c>
      <c r="Q145" s="43" t="s">
        <v>1542</v>
      </c>
      <c r="R145" s="43" t="s">
        <v>1542</v>
      </c>
      <c r="S145" s="43" t="s">
        <v>1542</v>
      </c>
      <c r="T145" s="43" t="s">
        <v>1542</v>
      </c>
      <c r="U145" s="43" t="s">
        <v>1542</v>
      </c>
      <c r="V145" s="43" t="s">
        <v>1542</v>
      </c>
      <c r="W145" s="43" t="s">
        <v>1542</v>
      </c>
      <c r="X145" s="43" t="s">
        <v>1542</v>
      </c>
      <c r="Y145" s="43" t="s">
        <v>1542</v>
      </c>
      <c r="Z145" s="43" t="s">
        <v>1542</v>
      </c>
      <c r="AA145" s="43" t="s">
        <v>1542</v>
      </c>
      <c r="AB145" s="46">
        <f t="shared" si="14"/>
        <v>0</v>
      </c>
      <c r="AC145" s="44" t="s">
        <v>1542</v>
      </c>
      <c r="AD145" s="44" t="s">
        <v>1542</v>
      </c>
      <c r="AE145" s="44" t="s">
        <v>1542</v>
      </c>
      <c r="AF145" s="44" t="s">
        <v>1542</v>
      </c>
      <c r="AG145" s="44" t="s">
        <v>1542</v>
      </c>
      <c r="AH145" s="44" t="s">
        <v>1542</v>
      </c>
      <c r="AI145" s="44" t="s">
        <v>1542</v>
      </c>
      <c r="AJ145" s="44" t="s">
        <v>1542</v>
      </c>
      <c r="AK145" s="44" t="s">
        <v>1542</v>
      </c>
      <c r="AL145" s="44" t="s">
        <v>1542</v>
      </c>
      <c r="AM145" s="44" t="s">
        <v>1542</v>
      </c>
      <c r="AN145" s="44" t="s">
        <v>1542</v>
      </c>
      <c r="AO145" s="46">
        <f t="shared" si="10"/>
        <v>0</v>
      </c>
      <c r="AP145" s="43" t="s">
        <v>1542</v>
      </c>
      <c r="AQ145" s="43" t="s">
        <v>1542</v>
      </c>
      <c r="AR145" s="43" t="s">
        <v>1542</v>
      </c>
      <c r="AS145" s="43" t="s">
        <v>1542</v>
      </c>
      <c r="AT145" s="43" t="s">
        <v>1542</v>
      </c>
      <c r="AU145" s="43" t="s">
        <v>1542</v>
      </c>
      <c r="AV145" s="43" t="s">
        <v>1542</v>
      </c>
      <c r="AW145" s="43" t="s">
        <v>1542</v>
      </c>
      <c r="AX145" s="43" t="s">
        <v>1542</v>
      </c>
      <c r="AY145" s="43" t="s">
        <v>1542</v>
      </c>
      <c r="AZ145" s="43" t="s">
        <v>1542</v>
      </c>
      <c r="BA145" s="43" t="s">
        <v>1542</v>
      </c>
      <c r="BB145" s="46">
        <f t="shared" si="11"/>
        <v>0</v>
      </c>
      <c r="BC145" s="44" t="s">
        <v>1542</v>
      </c>
      <c r="BD145" s="44" t="s">
        <v>1542</v>
      </c>
      <c r="BE145" s="44" t="s">
        <v>1542</v>
      </c>
      <c r="BF145" s="44" t="s">
        <v>1542</v>
      </c>
      <c r="BG145" s="44" t="s">
        <v>1542</v>
      </c>
      <c r="BH145" s="44" t="s">
        <v>1542</v>
      </c>
      <c r="BI145" s="44" t="s">
        <v>1542</v>
      </c>
      <c r="BJ145" s="44" t="s">
        <v>1542</v>
      </c>
      <c r="BK145" s="44" t="s">
        <v>1542</v>
      </c>
      <c r="BL145" s="44" t="s">
        <v>1542</v>
      </c>
      <c r="BM145" s="44" t="s">
        <v>1542</v>
      </c>
      <c r="BN145" s="44" t="s">
        <v>1542</v>
      </c>
      <c r="BO145" s="46">
        <f t="shared" si="12"/>
        <v>0</v>
      </c>
      <c r="BP145" s="43" t="s">
        <v>1542</v>
      </c>
      <c r="BQ145" s="43" t="s">
        <v>1542</v>
      </c>
      <c r="BR145" s="43" t="s">
        <v>1542</v>
      </c>
      <c r="BS145" s="43" t="s">
        <v>1542</v>
      </c>
      <c r="BT145" s="43" t="s">
        <v>1542</v>
      </c>
      <c r="BU145" s="43" t="s">
        <v>1542</v>
      </c>
      <c r="BV145" s="43" t="s">
        <v>1542</v>
      </c>
      <c r="BW145" s="43" t="s">
        <v>1542</v>
      </c>
      <c r="BX145" s="43" t="s">
        <v>1542</v>
      </c>
      <c r="BY145" s="43" t="s">
        <v>1542</v>
      </c>
      <c r="BZ145" s="43" t="s">
        <v>1542</v>
      </c>
      <c r="CA145" s="43" t="s">
        <v>1542</v>
      </c>
    </row>
    <row r="146" spans="1:79">
      <c r="A146">
        <v>145</v>
      </c>
      <c r="B146">
        <v>1</v>
      </c>
      <c r="C146" t="s">
        <v>1532</v>
      </c>
      <c r="D146" t="s">
        <v>1533</v>
      </c>
      <c r="E146" t="s">
        <v>2125</v>
      </c>
      <c r="F146" t="s">
        <v>2126</v>
      </c>
      <c r="G146" t="s">
        <v>2195</v>
      </c>
      <c r="H146" t="s">
        <v>2195</v>
      </c>
      <c r="J146" t="s">
        <v>2196</v>
      </c>
      <c r="K146" t="s">
        <v>2197</v>
      </c>
      <c r="L146" t="s">
        <v>1539</v>
      </c>
      <c r="M146" s="1" t="s">
        <v>2198</v>
      </c>
      <c r="N146" t="s">
        <v>2199</v>
      </c>
      <c r="O146" s="46">
        <f t="shared" si="13"/>
        <v>0</v>
      </c>
      <c r="P146" s="43" t="s">
        <v>1542</v>
      </c>
      <c r="Q146" s="43" t="s">
        <v>1542</v>
      </c>
      <c r="R146" s="43" t="s">
        <v>1542</v>
      </c>
      <c r="S146" s="43" t="s">
        <v>1542</v>
      </c>
      <c r="T146" s="43" t="s">
        <v>1542</v>
      </c>
      <c r="U146" s="43" t="s">
        <v>1542</v>
      </c>
      <c r="V146" s="43" t="s">
        <v>1542</v>
      </c>
      <c r="W146" s="43" t="s">
        <v>1542</v>
      </c>
      <c r="X146" s="43" t="s">
        <v>1542</v>
      </c>
      <c r="Y146" s="43" t="s">
        <v>1542</v>
      </c>
      <c r="Z146" s="43" t="s">
        <v>1542</v>
      </c>
      <c r="AA146" s="43" t="s">
        <v>1542</v>
      </c>
      <c r="AB146" s="46">
        <f t="shared" si="14"/>
        <v>0</v>
      </c>
      <c r="AC146" s="44" t="s">
        <v>1542</v>
      </c>
      <c r="AD146" s="44" t="s">
        <v>1542</v>
      </c>
      <c r="AE146" s="44" t="s">
        <v>1542</v>
      </c>
      <c r="AF146" s="44" t="s">
        <v>1542</v>
      </c>
      <c r="AG146" s="44" t="s">
        <v>1542</v>
      </c>
      <c r="AH146" s="44" t="s">
        <v>1542</v>
      </c>
      <c r="AI146" s="44" t="s">
        <v>1542</v>
      </c>
      <c r="AJ146" s="44" t="s">
        <v>1542</v>
      </c>
      <c r="AK146" s="44" t="s">
        <v>1542</v>
      </c>
      <c r="AL146" s="44" t="s">
        <v>1542</v>
      </c>
      <c r="AM146" s="44" t="s">
        <v>1542</v>
      </c>
      <c r="AN146" s="44" t="s">
        <v>1542</v>
      </c>
      <c r="AO146" s="46">
        <f t="shared" si="10"/>
        <v>0</v>
      </c>
      <c r="AP146" s="43" t="s">
        <v>1542</v>
      </c>
      <c r="AQ146" s="43" t="s">
        <v>1542</v>
      </c>
      <c r="AR146" s="43" t="s">
        <v>1542</v>
      </c>
      <c r="AS146" s="43" t="s">
        <v>1542</v>
      </c>
      <c r="AT146" s="43" t="s">
        <v>1542</v>
      </c>
      <c r="AU146" s="43" t="s">
        <v>1542</v>
      </c>
      <c r="AV146" s="43" t="s">
        <v>1542</v>
      </c>
      <c r="AW146" s="43" t="s">
        <v>1542</v>
      </c>
      <c r="AX146" s="43" t="s">
        <v>1542</v>
      </c>
      <c r="AY146" s="43" t="s">
        <v>1542</v>
      </c>
      <c r="AZ146" s="43" t="s">
        <v>1542</v>
      </c>
      <c r="BA146" s="43" t="s">
        <v>1542</v>
      </c>
      <c r="BB146" s="46">
        <f t="shared" si="11"/>
        <v>0</v>
      </c>
      <c r="BC146" s="44" t="s">
        <v>1542</v>
      </c>
      <c r="BD146" s="44" t="s">
        <v>1542</v>
      </c>
      <c r="BE146" s="44" t="s">
        <v>1542</v>
      </c>
      <c r="BF146" s="44" t="s">
        <v>1542</v>
      </c>
      <c r="BG146" s="44" t="s">
        <v>1542</v>
      </c>
      <c r="BH146" s="44" t="s">
        <v>1542</v>
      </c>
      <c r="BI146" s="44" t="s">
        <v>1542</v>
      </c>
      <c r="BJ146" s="44" t="s">
        <v>1542</v>
      </c>
      <c r="BK146" s="44" t="s">
        <v>1542</v>
      </c>
      <c r="BL146" s="44" t="s">
        <v>1542</v>
      </c>
      <c r="BM146" s="44" t="s">
        <v>1542</v>
      </c>
      <c r="BN146" s="44" t="s">
        <v>1542</v>
      </c>
      <c r="BO146" s="46">
        <f t="shared" si="12"/>
        <v>0</v>
      </c>
      <c r="BP146" s="43" t="s">
        <v>1542</v>
      </c>
      <c r="BQ146" s="43" t="s">
        <v>1542</v>
      </c>
      <c r="BR146" s="43" t="s">
        <v>1542</v>
      </c>
      <c r="BS146" s="43" t="s">
        <v>1542</v>
      </c>
      <c r="BT146" s="43" t="s">
        <v>1542</v>
      </c>
      <c r="BU146" s="43" t="s">
        <v>1542</v>
      </c>
      <c r="BV146" s="43" t="s">
        <v>1542</v>
      </c>
      <c r="BW146" s="43" t="s">
        <v>1542</v>
      </c>
      <c r="BX146" s="43" t="s">
        <v>1542</v>
      </c>
      <c r="BY146" s="43" t="s">
        <v>1554</v>
      </c>
      <c r="BZ146" s="43" t="s">
        <v>1542</v>
      </c>
      <c r="CA146" s="43" t="s">
        <v>1542</v>
      </c>
    </row>
    <row r="147" spans="1:79">
      <c r="A147">
        <v>146</v>
      </c>
      <c r="B147">
        <v>1</v>
      </c>
      <c r="C147" t="s">
        <v>1532</v>
      </c>
      <c r="D147" t="s">
        <v>1533</v>
      </c>
      <c r="E147" t="s">
        <v>2125</v>
      </c>
      <c r="F147" t="s">
        <v>2126</v>
      </c>
      <c r="G147" t="s">
        <v>2200</v>
      </c>
      <c r="H147" t="s">
        <v>2200</v>
      </c>
      <c r="J147" t="s">
        <v>2201</v>
      </c>
      <c r="K147" t="s">
        <v>2202</v>
      </c>
      <c r="L147" t="s">
        <v>1539</v>
      </c>
      <c r="M147" s="1" t="s">
        <v>2203</v>
      </c>
      <c r="N147" t="s">
        <v>2204</v>
      </c>
      <c r="O147" s="46">
        <f t="shared" si="13"/>
        <v>0</v>
      </c>
      <c r="P147" s="43" t="s">
        <v>1542</v>
      </c>
      <c r="Q147" s="43" t="s">
        <v>1542</v>
      </c>
      <c r="R147" s="43" t="s">
        <v>1542</v>
      </c>
      <c r="S147" s="43" t="s">
        <v>1542</v>
      </c>
      <c r="T147" s="43" t="s">
        <v>1542</v>
      </c>
      <c r="U147" s="43" t="s">
        <v>1542</v>
      </c>
      <c r="V147" s="43" t="s">
        <v>1542</v>
      </c>
      <c r="W147" s="43" t="s">
        <v>1542</v>
      </c>
      <c r="X147" s="43" t="s">
        <v>1542</v>
      </c>
      <c r="Y147" s="43" t="s">
        <v>1542</v>
      </c>
      <c r="Z147" s="43" t="s">
        <v>1542</v>
      </c>
      <c r="AA147" s="43" t="s">
        <v>1542</v>
      </c>
      <c r="AB147" s="46">
        <f t="shared" si="14"/>
        <v>0</v>
      </c>
      <c r="AC147" s="44" t="s">
        <v>1542</v>
      </c>
      <c r="AD147" s="44" t="s">
        <v>1542</v>
      </c>
      <c r="AE147" s="44" t="s">
        <v>1542</v>
      </c>
      <c r="AF147" s="44" t="s">
        <v>1542</v>
      </c>
      <c r="AG147" s="44" t="s">
        <v>1542</v>
      </c>
      <c r="AH147" s="44" t="s">
        <v>1542</v>
      </c>
      <c r="AI147" s="44" t="s">
        <v>1542</v>
      </c>
      <c r="AJ147" s="44" t="s">
        <v>1542</v>
      </c>
      <c r="AK147" s="44" t="s">
        <v>1542</v>
      </c>
      <c r="AL147" s="44" t="s">
        <v>1542</v>
      </c>
      <c r="AM147" s="44" t="s">
        <v>1542</v>
      </c>
      <c r="AN147" s="44" t="s">
        <v>1542</v>
      </c>
      <c r="AO147" s="46">
        <f t="shared" si="10"/>
        <v>0</v>
      </c>
      <c r="AP147" s="43" t="s">
        <v>1542</v>
      </c>
      <c r="AQ147" s="43" t="s">
        <v>1542</v>
      </c>
      <c r="AR147" s="43" t="s">
        <v>1542</v>
      </c>
      <c r="AS147" s="43" t="s">
        <v>1542</v>
      </c>
      <c r="AT147" s="43" t="s">
        <v>1542</v>
      </c>
      <c r="AU147" s="43" t="s">
        <v>1542</v>
      </c>
      <c r="AV147" s="43" t="s">
        <v>1542</v>
      </c>
      <c r="AW147" s="43" t="s">
        <v>1542</v>
      </c>
      <c r="AX147" s="43" t="s">
        <v>1542</v>
      </c>
      <c r="AY147" s="43" t="s">
        <v>1542</v>
      </c>
      <c r="AZ147" s="43" t="s">
        <v>1542</v>
      </c>
      <c r="BA147" s="43" t="s">
        <v>1542</v>
      </c>
      <c r="BB147" s="46">
        <f t="shared" si="11"/>
        <v>0</v>
      </c>
      <c r="BC147" s="44" t="s">
        <v>1542</v>
      </c>
      <c r="BD147" s="44" t="s">
        <v>1542</v>
      </c>
      <c r="BE147" s="44" t="s">
        <v>1542</v>
      </c>
      <c r="BF147" s="44" t="s">
        <v>1542</v>
      </c>
      <c r="BG147" s="44" t="s">
        <v>1542</v>
      </c>
      <c r="BH147" s="44" t="s">
        <v>1542</v>
      </c>
      <c r="BI147" s="44" t="s">
        <v>1542</v>
      </c>
      <c r="BJ147" s="44" t="s">
        <v>1542</v>
      </c>
      <c r="BK147" s="44" t="s">
        <v>1542</v>
      </c>
      <c r="BL147" s="44" t="s">
        <v>1542</v>
      </c>
      <c r="BM147" s="44" t="s">
        <v>1542</v>
      </c>
      <c r="BN147" s="44" t="s">
        <v>1542</v>
      </c>
      <c r="BO147" s="46">
        <f t="shared" si="12"/>
        <v>0</v>
      </c>
      <c r="BP147" s="43" t="s">
        <v>1542</v>
      </c>
      <c r="BQ147" s="43" t="s">
        <v>1542</v>
      </c>
      <c r="BR147" s="43" t="s">
        <v>1542</v>
      </c>
      <c r="BS147" s="43" t="s">
        <v>1542</v>
      </c>
      <c r="BT147" s="43" t="s">
        <v>1542</v>
      </c>
      <c r="BU147" s="43" t="s">
        <v>1542</v>
      </c>
      <c r="BV147" s="43" t="s">
        <v>1542</v>
      </c>
      <c r="BW147" s="43" t="s">
        <v>1542</v>
      </c>
      <c r="BX147" s="43" t="s">
        <v>1542</v>
      </c>
      <c r="BY147" s="43" t="s">
        <v>1542</v>
      </c>
      <c r="BZ147" s="43" t="s">
        <v>1542</v>
      </c>
      <c r="CA147" s="43" t="s">
        <v>1542</v>
      </c>
    </row>
    <row r="148" spans="1:79">
      <c r="A148">
        <v>147</v>
      </c>
      <c r="B148">
        <v>1</v>
      </c>
      <c r="C148" t="s">
        <v>1532</v>
      </c>
      <c r="D148" t="s">
        <v>1533</v>
      </c>
      <c r="E148" t="s">
        <v>2205</v>
      </c>
      <c r="F148" t="s">
        <v>2206</v>
      </c>
      <c r="G148" t="s">
        <v>2207</v>
      </c>
      <c r="H148" t="s">
        <v>2207</v>
      </c>
      <c r="J148" t="s">
        <v>2208</v>
      </c>
      <c r="K148" t="s">
        <v>2209</v>
      </c>
      <c r="M148" s="1" t="s">
        <v>2210</v>
      </c>
      <c r="O148" s="46">
        <f t="shared" si="13"/>
        <v>0</v>
      </c>
      <c r="P148" s="43" t="s">
        <v>1542</v>
      </c>
      <c r="Q148" s="43" t="s">
        <v>1542</v>
      </c>
      <c r="R148" s="43" t="s">
        <v>1542</v>
      </c>
      <c r="S148" s="43" t="s">
        <v>1542</v>
      </c>
      <c r="T148" s="43" t="s">
        <v>1542</v>
      </c>
      <c r="U148" s="43" t="s">
        <v>1542</v>
      </c>
      <c r="V148" s="43" t="s">
        <v>1542</v>
      </c>
      <c r="W148" s="43" t="s">
        <v>1542</v>
      </c>
      <c r="X148" s="43" t="s">
        <v>1542</v>
      </c>
      <c r="Y148" s="43" t="s">
        <v>1542</v>
      </c>
      <c r="Z148" s="43" t="s">
        <v>1542</v>
      </c>
      <c r="AA148" s="43" t="s">
        <v>1542</v>
      </c>
      <c r="AB148" s="46">
        <f t="shared" si="14"/>
        <v>0</v>
      </c>
      <c r="AC148" s="44" t="s">
        <v>1542</v>
      </c>
      <c r="AD148" s="44" t="s">
        <v>1542</v>
      </c>
      <c r="AE148" s="44" t="s">
        <v>1542</v>
      </c>
      <c r="AF148" s="44" t="s">
        <v>1542</v>
      </c>
      <c r="AG148" s="44" t="s">
        <v>1542</v>
      </c>
      <c r="AH148" s="44" t="s">
        <v>1542</v>
      </c>
      <c r="AI148" s="44" t="s">
        <v>1542</v>
      </c>
      <c r="AJ148" s="44" t="s">
        <v>1542</v>
      </c>
      <c r="AK148" s="44" t="s">
        <v>1542</v>
      </c>
      <c r="AL148" s="44" t="s">
        <v>1542</v>
      </c>
      <c r="AM148" s="44" t="s">
        <v>1542</v>
      </c>
      <c r="AN148" s="44" t="s">
        <v>1542</v>
      </c>
      <c r="AO148" s="46">
        <f t="shared" si="10"/>
        <v>0</v>
      </c>
      <c r="AP148" s="43" t="s">
        <v>1542</v>
      </c>
      <c r="AQ148" s="43" t="s">
        <v>1542</v>
      </c>
      <c r="AR148" s="43" t="s">
        <v>1542</v>
      </c>
      <c r="AS148" s="43" t="s">
        <v>1542</v>
      </c>
      <c r="AT148" s="43" t="s">
        <v>1542</v>
      </c>
      <c r="AU148" s="43" t="s">
        <v>1542</v>
      </c>
      <c r="AV148" s="43" t="s">
        <v>1542</v>
      </c>
      <c r="AW148" s="43" t="s">
        <v>1542</v>
      </c>
      <c r="AX148" s="43" t="s">
        <v>1542</v>
      </c>
      <c r="AY148" s="43" t="s">
        <v>1542</v>
      </c>
      <c r="AZ148" s="43" t="s">
        <v>1542</v>
      </c>
      <c r="BA148" s="43" t="s">
        <v>1542</v>
      </c>
      <c r="BB148" s="46">
        <f t="shared" si="11"/>
        <v>0</v>
      </c>
      <c r="BC148" s="44" t="s">
        <v>1542</v>
      </c>
      <c r="BD148" s="44" t="s">
        <v>1542</v>
      </c>
      <c r="BE148" s="44" t="s">
        <v>1542</v>
      </c>
      <c r="BF148" s="44" t="s">
        <v>1542</v>
      </c>
      <c r="BG148" s="44" t="s">
        <v>1542</v>
      </c>
      <c r="BH148" s="44" t="s">
        <v>1542</v>
      </c>
      <c r="BI148" s="44" t="s">
        <v>1542</v>
      </c>
      <c r="BJ148" s="44" t="s">
        <v>1542</v>
      </c>
      <c r="BK148" s="44" t="s">
        <v>1542</v>
      </c>
      <c r="BL148" s="44" t="s">
        <v>1542</v>
      </c>
      <c r="BM148" s="44" t="s">
        <v>1542</v>
      </c>
      <c r="BN148" s="44" t="s">
        <v>1542</v>
      </c>
      <c r="BO148" s="46">
        <f t="shared" si="12"/>
        <v>0</v>
      </c>
      <c r="BP148" s="43" t="s">
        <v>1542</v>
      </c>
      <c r="BQ148" s="43" t="s">
        <v>1542</v>
      </c>
      <c r="BR148" s="43" t="s">
        <v>1542</v>
      </c>
      <c r="BS148" s="43" t="s">
        <v>1542</v>
      </c>
      <c r="BT148" s="43" t="s">
        <v>1542</v>
      </c>
      <c r="BU148" s="43" t="s">
        <v>1542</v>
      </c>
      <c r="BV148" s="43" t="s">
        <v>1542</v>
      </c>
      <c r="BW148" s="43" t="s">
        <v>1542</v>
      </c>
      <c r="BX148" s="43" t="s">
        <v>1542</v>
      </c>
      <c r="BY148" s="43" t="s">
        <v>1542</v>
      </c>
      <c r="BZ148" s="43" t="s">
        <v>1542</v>
      </c>
      <c r="CA148" s="43" t="s">
        <v>1542</v>
      </c>
    </row>
    <row r="149" spans="1:79">
      <c r="A149">
        <v>148</v>
      </c>
      <c r="B149">
        <v>1</v>
      </c>
      <c r="C149" t="s">
        <v>1532</v>
      </c>
      <c r="D149" t="s">
        <v>1533</v>
      </c>
      <c r="E149" t="s">
        <v>2205</v>
      </c>
      <c r="F149" t="s">
        <v>2206</v>
      </c>
      <c r="G149" t="s">
        <v>2211</v>
      </c>
      <c r="H149" t="s">
        <v>2211</v>
      </c>
      <c r="J149" t="s">
        <v>2212</v>
      </c>
      <c r="K149" t="s">
        <v>2213</v>
      </c>
      <c r="M149" s="1" t="s">
        <v>2214</v>
      </c>
      <c r="N149" t="s">
        <v>2215</v>
      </c>
      <c r="O149" s="46">
        <f t="shared" si="13"/>
        <v>0</v>
      </c>
      <c r="P149" s="43" t="s">
        <v>1542</v>
      </c>
      <c r="Q149" s="43" t="s">
        <v>1542</v>
      </c>
      <c r="R149" s="43" t="s">
        <v>1542</v>
      </c>
      <c r="S149" s="43" t="s">
        <v>1542</v>
      </c>
      <c r="T149" s="43" t="s">
        <v>1542</v>
      </c>
      <c r="U149" s="43" t="s">
        <v>1542</v>
      </c>
      <c r="V149" s="43" t="s">
        <v>1542</v>
      </c>
      <c r="W149" s="43" t="s">
        <v>1542</v>
      </c>
      <c r="X149" s="43" t="s">
        <v>1542</v>
      </c>
      <c r="Y149" s="43" t="s">
        <v>1542</v>
      </c>
      <c r="Z149" s="43" t="s">
        <v>1542</v>
      </c>
      <c r="AA149" s="43" t="s">
        <v>1542</v>
      </c>
      <c r="AB149" s="46">
        <f t="shared" si="14"/>
        <v>0</v>
      </c>
      <c r="AC149" s="44" t="s">
        <v>1542</v>
      </c>
      <c r="AD149" s="44" t="s">
        <v>1542</v>
      </c>
      <c r="AE149" s="44" t="s">
        <v>1542</v>
      </c>
      <c r="AF149" s="44" t="s">
        <v>1542</v>
      </c>
      <c r="AG149" s="44" t="s">
        <v>1542</v>
      </c>
      <c r="AH149" s="44" t="s">
        <v>1542</v>
      </c>
      <c r="AI149" s="44" t="s">
        <v>1542</v>
      </c>
      <c r="AJ149" s="44" t="s">
        <v>1542</v>
      </c>
      <c r="AK149" s="44" t="s">
        <v>1542</v>
      </c>
      <c r="AL149" s="44" t="s">
        <v>1542</v>
      </c>
      <c r="AM149" s="44" t="s">
        <v>1542</v>
      </c>
      <c r="AN149" s="44" t="s">
        <v>1542</v>
      </c>
      <c r="AO149" s="46">
        <f t="shared" si="10"/>
        <v>0</v>
      </c>
      <c r="AP149" s="43" t="s">
        <v>1542</v>
      </c>
      <c r="AQ149" s="43" t="s">
        <v>1542</v>
      </c>
      <c r="AR149" s="43" t="s">
        <v>1542</v>
      </c>
      <c r="AS149" s="43" t="s">
        <v>1542</v>
      </c>
      <c r="AT149" s="43" t="s">
        <v>1542</v>
      </c>
      <c r="AU149" s="43" t="s">
        <v>1542</v>
      </c>
      <c r="AV149" s="43" t="s">
        <v>1542</v>
      </c>
      <c r="AW149" s="43" t="s">
        <v>1542</v>
      </c>
      <c r="AX149" s="43" t="s">
        <v>1542</v>
      </c>
      <c r="AY149" s="43" t="s">
        <v>1542</v>
      </c>
      <c r="AZ149" s="43" t="s">
        <v>1542</v>
      </c>
      <c r="BA149" s="43" t="s">
        <v>1542</v>
      </c>
      <c r="BB149" s="46">
        <f t="shared" si="11"/>
        <v>0</v>
      </c>
      <c r="BC149" s="44" t="s">
        <v>1542</v>
      </c>
      <c r="BD149" s="44" t="s">
        <v>1542</v>
      </c>
      <c r="BE149" s="44" t="s">
        <v>1542</v>
      </c>
      <c r="BF149" s="44" t="s">
        <v>1542</v>
      </c>
      <c r="BG149" s="44" t="s">
        <v>1542</v>
      </c>
      <c r="BH149" s="44" t="s">
        <v>1542</v>
      </c>
      <c r="BI149" s="44" t="s">
        <v>1542</v>
      </c>
      <c r="BJ149" s="44" t="s">
        <v>1542</v>
      </c>
      <c r="BK149" s="44" t="s">
        <v>1542</v>
      </c>
      <c r="BL149" s="44" t="s">
        <v>1542</v>
      </c>
      <c r="BM149" s="44" t="s">
        <v>1542</v>
      </c>
      <c r="BN149" s="44" t="s">
        <v>1542</v>
      </c>
      <c r="BO149" s="46">
        <f t="shared" si="12"/>
        <v>0</v>
      </c>
      <c r="BP149" s="43" t="s">
        <v>1542</v>
      </c>
      <c r="BQ149" s="43" t="s">
        <v>1542</v>
      </c>
      <c r="BR149" s="43" t="s">
        <v>1542</v>
      </c>
      <c r="BS149" s="43" t="s">
        <v>1542</v>
      </c>
      <c r="BT149" s="43" t="s">
        <v>1542</v>
      </c>
      <c r="BU149" s="43" t="s">
        <v>1542</v>
      </c>
      <c r="BV149" s="43" t="s">
        <v>1542</v>
      </c>
      <c r="BW149" s="43" t="s">
        <v>1542</v>
      </c>
      <c r="BX149" s="43" t="s">
        <v>1542</v>
      </c>
      <c r="BY149" s="43" t="s">
        <v>1542</v>
      </c>
      <c r="BZ149" s="43" t="s">
        <v>1542</v>
      </c>
      <c r="CA149" s="43" t="s">
        <v>1542</v>
      </c>
    </row>
    <row r="150" spans="1:79">
      <c r="A150">
        <v>149</v>
      </c>
      <c r="B150">
        <v>1</v>
      </c>
      <c r="C150" t="s">
        <v>1532</v>
      </c>
      <c r="D150" t="s">
        <v>1533</v>
      </c>
      <c r="E150" t="s">
        <v>2205</v>
      </c>
      <c r="F150" t="s">
        <v>2206</v>
      </c>
      <c r="G150" t="s">
        <v>2216</v>
      </c>
      <c r="H150" t="s">
        <v>2216</v>
      </c>
      <c r="J150" t="s">
        <v>2217</v>
      </c>
      <c r="K150" t="s">
        <v>2218</v>
      </c>
      <c r="M150" s="1" t="s">
        <v>2219</v>
      </c>
      <c r="N150" t="s">
        <v>2220</v>
      </c>
      <c r="O150" s="46">
        <f t="shared" si="13"/>
        <v>0</v>
      </c>
      <c r="P150" s="43" t="s">
        <v>1542</v>
      </c>
      <c r="Q150" s="43" t="s">
        <v>1542</v>
      </c>
      <c r="R150" s="43" t="s">
        <v>1542</v>
      </c>
      <c r="S150" s="43" t="s">
        <v>1542</v>
      </c>
      <c r="T150" s="43" t="s">
        <v>1542</v>
      </c>
      <c r="U150" s="43" t="s">
        <v>1542</v>
      </c>
      <c r="V150" s="43" t="s">
        <v>1542</v>
      </c>
      <c r="W150" s="43" t="s">
        <v>1542</v>
      </c>
      <c r="X150" s="43" t="s">
        <v>1542</v>
      </c>
      <c r="Y150" s="43" t="s">
        <v>1542</v>
      </c>
      <c r="Z150" s="43" t="s">
        <v>1542</v>
      </c>
      <c r="AA150" s="43" t="s">
        <v>1542</v>
      </c>
      <c r="AB150" s="46">
        <f t="shared" si="14"/>
        <v>0</v>
      </c>
      <c r="AC150" s="44" t="s">
        <v>1542</v>
      </c>
      <c r="AD150" s="44" t="s">
        <v>1542</v>
      </c>
      <c r="AE150" s="44" t="s">
        <v>1542</v>
      </c>
      <c r="AF150" s="44" t="s">
        <v>1542</v>
      </c>
      <c r="AG150" s="44" t="s">
        <v>1542</v>
      </c>
      <c r="AH150" s="44" t="s">
        <v>1542</v>
      </c>
      <c r="AI150" s="44" t="s">
        <v>1542</v>
      </c>
      <c r="AJ150" s="44" t="s">
        <v>1542</v>
      </c>
      <c r="AK150" s="44" t="s">
        <v>1542</v>
      </c>
      <c r="AL150" s="44" t="s">
        <v>1542</v>
      </c>
      <c r="AM150" s="44" t="s">
        <v>1542</v>
      </c>
      <c r="AN150" s="44" t="s">
        <v>1542</v>
      </c>
      <c r="AO150" s="46">
        <f t="shared" si="10"/>
        <v>0</v>
      </c>
      <c r="AP150" s="43" t="s">
        <v>1542</v>
      </c>
      <c r="AQ150" s="43" t="s">
        <v>1542</v>
      </c>
      <c r="AR150" s="43" t="s">
        <v>1542</v>
      </c>
      <c r="AS150" s="43" t="s">
        <v>1542</v>
      </c>
      <c r="AT150" s="43" t="s">
        <v>1542</v>
      </c>
      <c r="AU150" s="43" t="s">
        <v>1542</v>
      </c>
      <c r="AV150" s="43" t="s">
        <v>1542</v>
      </c>
      <c r="AW150" s="43" t="s">
        <v>1542</v>
      </c>
      <c r="AX150" s="43" t="s">
        <v>1542</v>
      </c>
      <c r="AY150" s="43" t="s">
        <v>1542</v>
      </c>
      <c r="AZ150" s="43" t="s">
        <v>1542</v>
      </c>
      <c r="BA150" s="43" t="s">
        <v>1542</v>
      </c>
      <c r="BB150" s="46">
        <f t="shared" si="11"/>
        <v>0</v>
      </c>
      <c r="BC150" s="44" t="s">
        <v>1542</v>
      </c>
      <c r="BD150" s="44" t="s">
        <v>1542</v>
      </c>
      <c r="BE150" s="44" t="s">
        <v>1542</v>
      </c>
      <c r="BF150" s="44" t="s">
        <v>1542</v>
      </c>
      <c r="BG150" s="44" t="s">
        <v>1542</v>
      </c>
      <c r="BH150" s="44" t="s">
        <v>1542</v>
      </c>
      <c r="BI150" s="44" t="s">
        <v>1542</v>
      </c>
      <c r="BJ150" s="44" t="s">
        <v>1542</v>
      </c>
      <c r="BK150" s="44" t="s">
        <v>1542</v>
      </c>
      <c r="BL150" s="44" t="s">
        <v>1542</v>
      </c>
      <c r="BM150" s="44" t="s">
        <v>1542</v>
      </c>
      <c r="BN150" s="44" t="s">
        <v>1542</v>
      </c>
      <c r="BO150" s="46">
        <f t="shared" si="12"/>
        <v>0</v>
      </c>
      <c r="BP150" s="43" t="s">
        <v>1542</v>
      </c>
      <c r="BQ150" s="43" t="s">
        <v>1542</v>
      </c>
      <c r="BR150" s="43" t="s">
        <v>1542</v>
      </c>
      <c r="BS150" s="43" t="s">
        <v>1542</v>
      </c>
      <c r="BT150" s="43" t="s">
        <v>1542</v>
      </c>
      <c r="BU150" s="43" t="s">
        <v>1542</v>
      </c>
      <c r="BV150" s="43" t="s">
        <v>1542</v>
      </c>
      <c r="BW150" s="43" t="s">
        <v>1542</v>
      </c>
      <c r="BX150" s="43" t="s">
        <v>1542</v>
      </c>
      <c r="BY150" s="43" t="s">
        <v>1542</v>
      </c>
      <c r="BZ150" s="43" t="s">
        <v>1542</v>
      </c>
      <c r="CA150" s="43" t="s">
        <v>1542</v>
      </c>
    </row>
    <row r="151" spans="1:79">
      <c r="A151">
        <v>150</v>
      </c>
      <c r="B151">
        <v>1</v>
      </c>
      <c r="C151" t="s">
        <v>1532</v>
      </c>
      <c r="D151" t="s">
        <v>1533</v>
      </c>
      <c r="E151" t="s">
        <v>2205</v>
      </c>
      <c r="F151" t="s">
        <v>2206</v>
      </c>
      <c r="G151" t="s">
        <v>2221</v>
      </c>
      <c r="H151" t="s">
        <v>2221</v>
      </c>
      <c r="J151" t="s">
        <v>2222</v>
      </c>
      <c r="K151" t="s">
        <v>2223</v>
      </c>
      <c r="L151" t="s">
        <v>1539</v>
      </c>
      <c r="M151" s="1" t="s">
        <v>2224</v>
      </c>
      <c r="N151" t="s">
        <v>2225</v>
      </c>
      <c r="O151" s="46">
        <f t="shared" si="13"/>
        <v>0</v>
      </c>
      <c r="P151" s="43" t="s">
        <v>1542</v>
      </c>
      <c r="Q151" s="43" t="s">
        <v>1542</v>
      </c>
      <c r="R151" s="43" t="s">
        <v>1542</v>
      </c>
      <c r="S151" s="43" t="s">
        <v>1542</v>
      </c>
      <c r="T151" s="43" t="s">
        <v>1542</v>
      </c>
      <c r="U151" s="43" t="s">
        <v>1542</v>
      </c>
      <c r="V151" s="43" t="s">
        <v>1542</v>
      </c>
      <c r="W151" s="43" t="s">
        <v>1542</v>
      </c>
      <c r="X151" s="43" t="s">
        <v>1542</v>
      </c>
      <c r="Y151" s="43" t="s">
        <v>1542</v>
      </c>
      <c r="Z151" s="43" t="s">
        <v>1542</v>
      </c>
      <c r="AA151" s="43" t="s">
        <v>1542</v>
      </c>
      <c r="AB151" s="46">
        <f t="shared" si="14"/>
        <v>2</v>
      </c>
      <c r="AC151" s="44" t="s">
        <v>1542</v>
      </c>
      <c r="AD151" s="44" t="s">
        <v>1542</v>
      </c>
      <c r="AE151" s="44" t="s">
        <v>1542</v>
      </c>
      <c r="AF151" s="44" t="s">
        <v>1542</v>
      </c>
      <c r="AG151" s="44" t="s">
        <v>1542</v>
      </c>
      <c r="AH151" s="44" t="s">
        <v>1554</v>
      </c>
      <c r="AI151" s="44" t="s">
        <v>1554</v>
      </c>
      <c r="AJ151" s="44" t="s">
        <v>1542</v>
      </c>
      <c r="AK151" s="44" t="s">
        <v>1542</v>
      </c>
      <c r="AL151" s="44" t="s">
        <v>1542</v>
      </c>
      <c r="AM151" s="44" t="s">
        <v>1542</v>
      </c>
      <c r="AN151" s="44" t="s">
        <v>1542</v>
      </c>
      <c r="AO151" s="46">
        <f t="shared" si="10"/>
        <v>2</v>
      </c>
      <c r="AP151" s="43" t="s">
        <v>1542</v>
      </c>
      <c r="AQ151" s="43" t="s">
        <v>1542</v>
      </c>
      <c r="AR151" s="43" t="s">
        <v>1542</v>
      </c>
      <c r="AS151" s="43" t="s">
        <v>1542</v>
      </c>
      <c r="AT151" s="43" t="s">
        <v>1542</v>
      </c>
      <c r="AU151" s="43" t="s">
        <v>1542</v>
      </c>
      <c r="AV151" s="43" t="s">
        <v>1542</v>
      </c>
      <c r="AW151" s="43" t="s">
        <v>1542</v>
      </c>
      <c r="AX151" s="43" t="s">
        <v>1542</v>
      </c>
      <c r="AY151" s="43" t="s">
        <v>1542</v>
      </c>
      <c r="AZ151" s="43" t="s">
        <v>1542</v>
      </c>
      <c r="BA151" s="43" t="s">
        <v>1542</v>
      </c>
      <c r="BB151" s="46">
        <f t="shared" si="11"/>
        <v>0</v>
      </c>
      <c r="BC151" s="44" t="s">
        <v>1542</v>
      </c>
      <c r="BD151" s="44" t="s">
        <v>1542</v>
      </c>
      <c r="BE151" s="44" t="s">
        <v>1542</v>
      </c>
      <c r="BF151" s="44" t="s">
        <v>1542</v>
      </c>
      <c r="BG151" s="44" t="s">
        <v>1542</v>
      </c>
      <c r="BH151" s="44" t="s">
        <v>1542</v>
      </c>
      <c r="BI151" s="44" t="s">
        <v>1542</v>
      </c>
      <c r="BJ151" s="44" t="s">
        <v>1542</v>
      </c>
      <c r="BK151" s="44" t="s">
        <v>1542</v>
      </c>
      <c r="BL151" s="44" t="s">
        <v>1542</v>
      </c>
      <c r="BM151" s="44" t="s">
        <v>1542</v>
      </c>
      <c r="BN151" s="44" t="s">
        <v>1542</v>
      </c>
      <c r="BO151" s="46">
        <f t="shared" si="12"/>
        <v>0</v>
      </c>
      <c r="BP151" s="43" t="s">
        <v>1542</v>
      </c>
      <c r="BQ151" s="43" t="s">
        <v>1542</v>
      </c>
      <c r="BR151" s="43" t="s">
        <v>1542</v>
      </c>
      <c r="BS151" s="43" t="s">
        <v>1542</v>
      </c>
      <c r="BT151" s="43" t="s">
        <v>1542</v>
      </c>
      <c r="BU151" s="43" t="s">
        <v>1542</v>
      </c>
      <c r="BV151" s="43" t="s">
        <v>1542</v>
      </c>
      <c r="BW151" s="43" t="s">
        <v>1542</v>
      </c>
      <c r="BX151" s="43" t="s">
        <v>1542</v>
      </c>
      <c r="BY151" s="43" t="s">
        <v>1542</v>
      </c>
      <c r="BZ151" s="43" t="s">
        <v>1542</v>
      </c>
      <c r="CA151" s="43" t="s">
        <v>1542</v>
      </c>
    </row>
    <row r="152" spans="1:79">
      <c r="A152">
        <v>151</v>
      </c>
      <c r="B152">
        <v>1</v>
      </c>
      <c r="C152" t="s">
        <v>1532</v>
      </c>
      <c r="D152" t="s">
        <v>1533</v>
      </c>
      <c r="E152" t="s">
        <v>2205</v>
      </c>
      <c r="F152" t="s">
        <v>2206</v>
      </c>
      <c r="G152" t="s">
        <v>2226</v>
      </c>
      <c r="H152" t="s">
        <v>2226</v>
      </c>
      <c r="J152" t="s">
        <v>2227</v>
      </c>
      <c r="K152" t="s">
        <v>2228</v>
      </c>
      <c r="L152" t="s">
        <v>1539</v>
      </c>
      <c r="M152" s="1" t="s">
        <v>2229</v>
      </c>
      <c r="N152" t="s">
        <v>2230</v>
      </c>
      <c r="O152" s="46">
        <f t="shared" si="13"/>
        <v>0</v>
      </c>
      <c r="P152" s="43" t="s">
        <v>1542</v>
      </c>
      <c r="Q152" s="43" t="s">
        <v>1542</v>
      </c>
      <c r="R152" s="43" t="s">
        <v>1542</v>
      </c>
      <c r="S152" s="43" t="s">
        <v>1542</v>
      </c>
      <c r="T152" s="43" t="s">
        <v>1542</v>
      </c>
      <c r="U152" s="43" t="s">
        <v>1542</v>
      </c>
      <c r="V152" s="43" t="s">
        <v>1542</v>
      </c>
      <c r="W152" s="43" t="s">
        <v>1542</v>
      </c>
      <c r="X152" s="43" t="s">
        <v>1542</v>
      </c>
      <c r="Y152" s="43" t="s">
        <v>1542</v>
      </c>
      <c r="Z152" s="43" t="s">
        <v>1542</v>
      </c>
      <c r="AA152" s="43" t="s">
        <v>1542</v>
      </c>
      <c r="AB152" s="46">
        <f t="shared" si="14"/>
        <v>0</v>
      </c>
      <c r="AC152" s="44" t="s">
        <v>1542</v>
      </c>
      <c r="AD152" s="44" t="s">
        <v>1542</v>
      </c>
      <c r="AE152" s="44" t="s">
        <v>1542</v>
      </c>
      <c r="AF152" s="44" t="s">
        <v>1542</v>
      </c>
      <c r="AG152" s="44" t="s">
        <v>1542</v>
      </c>
      <c r="AH152" s="44" t="s">
        <v>1542</v>
      </c>
      <c r="AI152" s="44" t="s">
        <v>1542</v>
      </c>
      <c r="AJ152" s="44" t="s">
        <v>1542</v>
      </c>
      <c r="AK152" s="44" t="s">
        <v>1542</v>
      </c>
      <c r="AL152" s="44" t="s">
        <v>1542</v>
      </c>
      <c r="AM152" s="44" t="s">
        <v>1542</v>
      </c>
      <c r="AN152" s="44" t="s">
        <v>1542</v>
      </c>
      <c r="AO152" s="46">
        <f t="shared" si="10"/>
        <v>0</v>
      </c>
      <c r="AP152" s="43" t="s">
        <v>1542</v>
      </c>
      <c r="AQ152" s="43" t="s">
        <v>1542</v>
      </c>
      <c r="AR152" s="43" t="s">
        <v>1542</v>
      </c>
      <c r="AS152" s="43" t="s">
        <v>1542</v>
      </c>
      <c r="AT152" s="43" t="s">
        <v>1542</v>
      </c>
      <c r="AU152" s="43" t="s">
        <v>1542</v>
      </c>
      <c r="AV152" s="43" t="s">
        <v>1542</v>
      </c>
      <c r="AW152" s="43" t="s">
        <v>1542</v>
      </c>
      <c r="AX152" s="43" t="s">
        <v>1542</v>
      </c>
      <c r="AY152" s="43" t="s">
        <v>1542</v>
      </c>
      <c r="AZ152" s="43" t="s">
        <v>1542</v>
      </c>
      <c r="BA152" s="43" t="s">
        <v>1542</v>
      </c>
      <c r="BB152" s="46">
        <f t="shared" si="11"/>
        <v>0</v>
      </c>
      <c r="BC152" s="44" t="s">
        <v>1542</v>
      </c>
      <c r="BD152" s="44" t="s">
        <v>1542</v>
      </c>
      <c r="BE152" s="44" t="s">
        <v>1542</v>
      </c>
      <c r="BF152" s="44" t="s">
        <v>1542</v>
      </c>
      <c r="BG152" s="44" t="s">
        <v>1542</v>
      </c>
      <c r="BH152" s="44" t="s">
        <v>1542</v>
      </c>
      <c r="BI152" s="44" t="s">
        <v>1542</v>
      </c>
      <c r="BJ152" s="44" t="s">
        <v>1542</v>
      </c>
      <c r="BK152" s="44" t="s">
        <v>1542</v>
      </c>
      <c r="BL152" s="44" t="s">
        <v>1542</v>
      </c>
      <c r="BM152" s="44" t="s">
        <v>1542</v>
      </c>
      <c r="BN152" s="44" t="s">
        <v>1542</v>
      </c>
      <c r="BO152" s="46">
        <f t="shared" si="12"/>
        <v>0</v>
      </c>
      <c r="BP152" s="43" t="s">
        <v>1542</v>
      </c>
      <c r="BQ152" s="43" t="s">
        <v>1542</v>
      </c>
      <c r="BR152" s="43" t="s">
        <v>1542</v>
      </c>
      <c r="BS152" s="43" t="s">
        <v>1542</v>
      </c>
      <c r="BT152" s="43" t="s">
        <v>1542</v>
      </c>
      <c r="BU152" s="43" t="s">
        <v>1542</v>
      </c>
      <c r="BV152" s="43" t="s">
        <v>1542</v>
      </c>
      <c r="BW152" s="43" t="s">
        <v>1542</v>
      </c>
      <c r="BX152" s="43" t="s">
        <v>1542</v>
      </c>
      <c r="BY152" s="43" t="s">
        <v>1542</v>
      </c>
      <c r="BZ152" s="43" t="s">
        <v>1542</v>
      </c>
      <c r="CA152" s="43" t="s">
        <v>1542</v>
      </c>
    </row>
    <row r="153" spans="1:79">
      <c r="A153">
        <v>152</v>
      </c>
      <c r="B153">
        <v>1</v>
      </c>
      <c r="C153" t="s">
        <v>1532</v>
      </c>
      <c r="D153" t="s">
        <v>1533</v>
      </c>
      <c r="E153" t="s">
        <v>2205</v>
      </c>
      <c r="F153" t="s">
        <v>2206</v>
      </c>
      <c r="G153" t="s">
        <v>2231</v>
      </c>
      <c r="H153" t="s">
        <v>2231</v>
      </c>
      <c r="J153" t="s">
        <v>2232</v>
      </c>
      <c r="K153" t="s">
        <v>2233</v>
      </c>
      <c r="L153" t="s">
        <v>1539</v>
      </c>
      <c r="M153" s="1" t="s">
        <v>2234</v>
      </c>
      <c r="N153" t="s">
        <v>2235</v>
      </c>
      <c r="O153" s="46">
        <f t="shared" si="13"/>
        <v>0</v>
      </c>
      <c r="P153" s="43" t="s">
        <v>1542</v>
      </c>
      <c r="Q153" s="43" t="s">
        <v>1542</v>
      </c>
      <c r="R153" s="43" t="s">
        <v>1542</v>
      </c>
      <c r="S153" s="43" t="s">
        <v>1542</v>
      </c>
      <c r="T153" s="43" t="s">
        <v>1542</v>
      </c>
      <c r="U153" s="43" t="s">
        <v>1542</v>
      </c>
      <c r="V153" s="43" t="s">
        <v>1542</v>
      </c>
      <c r="W153" s="43" t="s">
        <v>1542</v>
      </c>
      <c r="X153" s="43" t="s">
        <v>1542</v>
      </c>
      <c r="Y153" s="43" t="s">
        <v>1542</v>
      </c>
      <c r="Z153" s="43" t="s">
        <v>1542</v>
      </c>
      <c r="AA153" s="43" t="s">
        <v>1542</v>
      </c>
      <c r="AB153" s="46">
        <f t="shared" si="14"/>
        <v>0</v>
      </c>
      <c r="AC153" s="44" t="s">
        <v>1542</v>
      </c>
      <c r="AD153" s="44" t="s">
        <v>1542</v>
      </c>
      <c r="AE153" s="44" t="s">
        <v>1542</v>
      </c>
      <c r="AF153" s="44" t="s">
        <v>1542</v>
      </c>
      <c r="AG153" s="44" t="s">
        <v>1542</v>
      </c>
      <c r="AH153" s="44" t="s">
        <v>1542</v>
      </c>
      <c r="AI153" s="44" t="s">
        <v>1542</v>
      </c>
      <c r="AJ153" s="44" t="s">
        <v>1542</v>
      </c>
      <c r="AK153" s="44" t="s">
        <v>1542</v>
      </c>
      <c r="AL153" s="44" t="s">
        <v>1542</v>
      </c>
      <c r="AM153" s="44" t="s">
        <v>1542</v>
      </c>
      <c r="AN153" s="44" t="s">
        <v>1542</v>
      </c>
      <c r="AO153" s="46">
        <f t="shared" si="10"/>
        <v>0</v>
      </c>
      <c r="AP153" s="43" t="s">
        <v>1542</v>
      </c>
      <c r="AQ153" s="43" t="s">
        <v>1542</v>
      </c>
      <c r="AR153" s="43" t="s">
        <v>1542</v>
      </c>
      <c r="AS153" s="43" t="s">
        <v>1542</v>
      </c>
      <c r="AT153" s="43" t="s">
        <v>1542</v>
      </c>
      <c r="AU153" s="43" t="s">
        <v>1542</v>
      </c>
      <c r="AV153" s="43" t="s">
        <v>1542</v>
      </c>
      <c r="AW153" s="43" t="s">
        <v>1542</v>
      </c>
      <c r="AX153" s="43" t="s">
        <v>1542</v>
      </c>
      <c r="AY153" s="43" t="s">
        <v>1542</v>
      </c>
      <c r="AZ153" s="43" t="s">
        <v>1542</v>
      </c>
      <c r="BA153" s="43" t="s">
        <v>1542</v>
      </c>
      <c r="BB153" s="46">
        <f t="shared" si="11"/>
        <v>0</v>
      </c>
      <c r="BC153" s="44" t="s">
        <v>1542</v>
      </c>
      <c r="BD153" s="44" t="s">
        <v>1542</v>
      </c>
      <c r="BE153" s="44" t="s">
        <v>1542</v>
      </c>
      <c r="BF153" s="44" t="s">
        <v>1542</v>
      </c>
      <c r="BG153" s="44" t="s">
        <v>1542</v>
      </c>
      <c r="BH153" s="44" t="s">
        <v>1542</v>
      </c>
      <c r="BI153" s="44" t="s">
        <v>1542</v>
      </c>
      <c r="BJ153" s="44" t="s">
        <v>1542</v>
      </c>
      <c r="BK153" s="44" t="s">
        <v>1542</v>
      </c>
      <c r="BL153" s="44" t="s">
        <v>1542</v>
      </c>
      <c r="BM153" s="44" t="s">
        <v>1542</v>
      </c>
      <c r="BN153" s="44" t="s">
        <v>1542</v>
      </c>
      <c r="BO153" s="46">
        <f t="shared" si="12"/>
        <v>0</v>
      </c>
      <c r="BP153" s="43" t="s">
        <v>1542</v>
      </c>
      <c r="BQ153" s="43" t="s">
        <v>1542</v>
      </c>
      <c r="BR153" s="43" t="s">
        <v>1542</v>
      </c>
      <c r="BS153" s="43" t="s">
        <v>1542</v>
      </c>
      <c r="BT153" s="43" t="s">
        <v>1542</v>
      </c>
      <c r="BU153" s="43" t="s">
        <v>1542</v>
      </c>
      <c r="BV153" s="43" t="s">
        <v>1542</v>
      </c>
      <c r="BW153" s="43" t="s">
        <v>1542</v>
      </c>
      <c r="BX153" s="43" t="s">
        <v>1542</v>
      </c>
      <c r="BY153" s="43" t="s">
        <v>1542</v>
      </c>
      <c r="BZ153" s="43" t="s">
        <v>1542</v>
      </c>
      <c r="CA153" s="43" t="s">
        <v>1542</v>
      </c>
    </row>
    <row r="154" spans="1:79">
      <c r="A154">
        <v>153</v>
      </c>
      <c r="B154">
        <v>1</v>
      </c>
      <c r="C154" t="s">
        <v>1532</v>
      </c>
      <c r="D154" t="s">
        <v>1533</v>
      </c>
      <c r="E154" t="s">
        <v>2205</v>
      </c>
      <c r="F154" t="s">
        <v>2206</v>
      </c>
      <c r="G154" t="s">
        <v>2236</v>
      </c>
      <c r="H154" t="s">
        <v>2236</v>
      </c>
      <c r="J154" t="s">
        <v>2237</v>
      </c>
      <c r="K154" t="s">
        <v>2238</v>
      </c>
      <c r="L154" t="s">
        <v>1539</v>
      </c>
      <c r="M154" s="1" t="s">
        <v>2239</v>
      </c>
      <c r="N154" t="s">
        <v>2240</v>
      </c>
      <c r="O154" s="46">
        <f t="shared" si="13"/>
        <v>0</v>
      </c>
      <c r="P154" s="43" t="s">
        <v>1542</v>
      </c>
      <c r="Q154" s="43" t="s">
        <v>1542</v>
      </c>
      <c r="R154" s="43" t="s">
        <v>1542</v>
      </c>
      <c r="S154" s="43" t="s">
        <v>1542</v>
      </c>
      <c r="T154" s="43" t="s">
        <v>1542</v>
      </c>
      <c r="U154" s="43" t="s">
        <v>1542</v>
      </c>
      <c r="V154" s="43" t="s">
        <v>1542</v>
      </c>
      <c r="W154" s="43" t="s">
        <v>1542</v>
      </c>
      <c r="X154" s="43" t="s">
        <v>1542</v>
      </c>
      <c r="Y154" s="43" t="s">
        <v>1542</v>
      </c>
      <c r="Z154" s="43" t="s">
        <v>1542</v>
      </c>
      <c r="AA154" s="43" t="s">
        <v>1542</v>
      </c>
      <c r="AB154" s="46">
        <f t="shared" si="14"/>
        <v>0</v>
      </c>
      <c r="AC154" s="44" t="s">
        <v>1542</v>
      </c>
      <c r="AD154" s="44" t="s">
        <v>1542</v>
      </c>
      <c r="AE154" s="44" t="s">
        <v>1542</v>
      </c>
      <c r="AF154" s="44" t="s">
        <v>1542</v>
      </c>
      <c r="AG154" s="44" t="s">
        <v>1542</v>
      </c>
      <c r="AH154" s="44" t="s">
        <v>1542</v>
      </c>
      <c r="AI154" s="44" t="s">
        <v>1542</v>
      </c>
      <c r="AJ154" s="44" t="s">
        <v>1542</v>
      </c>
      <c r="AK154" s="44" t="s">
        <v>1542</v>
      </c>
      <c r="AL154" s="44" t="s">
        <v>1542</v>
      </c>
      <c r="AM154" s="44" t="s">
        <v>1542</v>
      </c>
      <c r="AN154" s="44" t="s">
        <v>1542</v>
      </c>
      <c r="AO154" s="46">
        <f t="shared" si="10"/>
        <v>0</v>
      </c>
      <c r="AP154" s="43" t="s">
        <v>1542</v>
      </c>
      <c r="AQ154" s="43" t="s">
        <v>1542</v>
      </c>
      <c r="AR154" s="43" t="s">
        <v>1542</v>
      </c>
      <c r="AS154" s="43" t="s">
        <v>1542</v>
      </c>
      <c r="AT154" s="43" t="s">
        <v>1542</v>
      </c>
      <c r="AU154" s="43" t="s">
        <v>1542</v>
      </c>
      <c r="AV154" s="43" t="s">
        <v>1542</v>
      </c>
      <c r="AW154" s="43" t="s">
        <v>1542</v>
      </c>
      <c r="AX154" s="43" t="s">
        <v>1542</v>
      </c>
      <c r="AY154" s="43" t="s">
        <v>1542</v>
      </c>
      <c r="AZ154" s="43" t="s">
        <v>1542</v>
      </c>
      <c r="BA154" s="43" t="s">
        <v>1542</v>
      </c>
      <c r="BB154" s="46">
        <f t="shared" si="11"/>
        <v>0</v>
      </c>
      <c r="BC154" s="44" t="s">
        <v>1542</v>
      </c>
      <c r="BD154" s="44" t="s">
        <v>1542</v>
      </c>
      <c r="BE154" s="44" t="s">
        <v>1542</v>
      </c>
      <c r="BF154" s="44" t="s">
        <v>1542</v>
      </c>
      <c r="BG154" s="44" t="s">
        <v>1542</v>
      </c>
      <c r="BH154" s="44" t="s">
        <v>1542</v>
      </c>
      <c r="BI154" s="44" t="s">
        <v>1542</v>
      </c>
      <c r="BJ154" s="44" t="s">
        <v>1542</v>
      </c>
      <c r="BK154" s="44" t="s">
        <v>1542</v>
      </c>
      <c r="BL154" s="44" t="s">
        <v>1542</v>
      </c>
      <c r="BM154" s="44" t="s">
        <v>1542</v>
      </c>
      <c r="BN154" s="44" t="s">
        <v>1542</v>
      </c>
      <c r="BO154" s="46">
        <f t="shared" si="12"/>
        <v>0</v>
      </c>
      <c r="BP154" s="43" t="s">
        <v>1542</v>
      </c>
      <c r="BQ154" s="43" t="s">
        <v>1542</v>
      </c>
      <c r="BR154" s="43" t="s">
        <v>1542</v>
      </c>
      <c r="BS154" s="43" t="s">
        <v>1542</v>
      </c>
      <c r="BT154" s="43" t="s">
        <v>1542</v>
      </c>
      <c r="BU154" s="43" t="s">
        <v>1542</v>
      </c>
      <c r="BV154" s="43" t="s">
        <v>1542</v>
      </c>
      <c r="BW154" s="43" t="s">
        <v>1542</v>
      </c>
      <c r="BX154" s="43" t="s">
        <v>1542</v>
      </c>
      <c r="BY154" s="43" t="s">
        <v>1542</v>
      </c>
      <c r="BZ154" s="43" t="s">
        <v>1542</v>
      </c>
      <c r="CA154" s="43" t="s">
        <v>1542</v>
      </c>
    </row>
    <row r="155" spans="1:79">
      <c r="A155">
        <v>154</v>
      </c>
      <c r="B155">
        <v>1</v>
      </c>
      <c r="C155" t="s">
        <v>1532</v>
      </c>
      <c r="D155" t="s">
        <v>1533</v>
      </c>
      <c r="E155" t="s">
        <v>2205</v>
      </c>
      <c r="F155" t="s">
        <v>2206</v>
      </c>
      <c r="G155" t="s">
        <v>2241</v>
      </c>
      <c r="H155" t="s">
        <v>2241</v>
      </c>
      <c r="J155" t="s">
        <v>2242</v>
      </c>
      <c r="K155" t="s">
        <v>2243</v>
      </c>
      <c r="M155" s="1" t="s">
        <v>2244</v>
      </c>
      <c r="O155" s="46">
        <f t="shared" si="13"/>
        <v>0</v>
      </c>
      <c r="P155" s="43" t="s">
        <v>1542</v>
      </c>
      <c r="Q155" s="43" t="s">
        <v>1542</v>
      </c>
      <c r="R155" s="43" t="s">
        <v>1542</v>
      </c>
      <c r="S155" s="43" t="s">
        <v>1542</v>
      </c>
      <c r="T155" s="43" t="s">
        <v>1542</v>
      </c>
      <c r="U155" s="43" t="s">
        <v>1542</v>
      </c>
      <c r="V155" s="43" t="s">
        <v>1542</v>
      </c>
      <c r="W155" s="43" t="s">
        <v>1542</v>
      </c>
      <c r="X155" s="43" t="s">
        <v>1542</v>
      </c>
      <c r="Y155" s="43" t="s">
        <v>1542</v>
      </c>
      <c r="Z155" s="43" t="s">
        <v>1542</v>
      </c>
      <c r="AA155" s="43" t="s">
        <v>1542</v>
      </c>
      <c r="AB155" s="46">
        <f t="shared" si="14"/>
        <v>0</v>
      </c>
      <c r="AC155" s="44" t="s">
        <v>1542</v>
      </c>
      <c r="AD155" s="44" t="s">
        <v>1542</v>
      </c>
      <c r="AE155" s="44" t="s">
        <v>1542</v>
      </c>
      <c r="AF155" s="44" t="s">
        <v>1542</v>
      </c>
      <c r="AG155" s="44" t="s">
        <v>1542</v>
      </c>
      <c r="AH155" s="44" t="s">
        <v>1542</v>
      </c>
      <c r="AI155" s="44" t="s">
        <v>1542</v>
      </c>
      <c r="AJ155" s="44" t="s">
        <v>1542</v>
      </c>
      <c r="AK155" s="44" t="s">
        <v>1542</v>
      </c>
      <c r="AL155" s="44" t="s">
        <v>1542</v>
      </c>
      <c r="AM155" s="44" t="s">
        <v>1542</v>
      </c>
      <c r="AN155" s="44" t="s">
        <v>1542</v>
      </c>
      <c r="AO155" s="46">
        <f t="shared" si="10"/>
        <v>0</v>
      </c>
      <c r="AP155" s="43" t="s">
        <v>1542</v>
      </c>
      <c r="AQ155" s="43" t="s">
        <v>1542</v>
      </c>
      <c r="AR155" s="43" t="s">
        <v>1542</v>
      </c>
      <c r="AS155" s="43" t="s">
        <v>1542</v>
      </c>
      <c r="AT155" s="43" t="s">
        <v>1542</v>
      </c>
      <c r="AU155" s="43" t="s">
        <v>1542</v>
      </c>
      <c r="AV155" s="43" t="s">
        <v>1542</v>
      </c>
      <c r="AW155" s="43" t="s">
        <v>1542</v>
      </c>
      <c r="AX155" s="43" t="s">
        <v>1542</v>
      </c>
      <c r="AY155" s="43" t="s">
        <v>1542</v>
      </c>
      <c r="AZ155" s="43" t="s">
        <v>1542</v>
      </c>
      <c r="BA155" s="43" t="s">
        <v>1542</v>
      </c>
      <c r="BB155" s="46">
        <f t="shared" si="11"/>
        <v>0</v>
      </c>
      <c r="BC155" s="44" t="s">
        <v>1542</v>
      </c>
      <c r="BD155" s="44" t="s">
        <v>1542</v>
      </c>
      <c r="BE155" s="44" t="s">
        <v>1542</v>
      </c>
      <c r="BF155" s="44" t="s">
        <v>1542</v>
      </c>
      <c r="BG155" s="44" t="s">
        <v>1542</v>
      </c>
      <c r="BH155" s="44" t="s">
        <v>1542</v>
      </c>
      <c r="BI155" s="44" t="s">
        <v>1542</v>
      </c>
      <c r="BJ155" s="44" t="s">
        <v>1542</v>
      </c>
      <c r="BK155" s="44" t="s">
        <v>1542</v>
      </c>
      <c r="BL155" s="44" t="s">
        <v>1542</v>
      </c>
      <c r="BM155" s="44" t="s">
        <v>1542</v>
      </c>
      <c r="BN155" s="44" t="s">
        <v>1542</v>
      </c>
      <c r="BO155" s="46">
        <f t="shared" si="12"/>
        <v>0</v>
      </c>
      <c r="BP155" s="43" t="s">
        <v>1542</v>
      </c>
      <c r="BQ155" s="43" t="s">
        <v>1542</v>
      </c>
      <c r="BR155" s="43" t="s">
        <v>1542</v>
      </c>
      <c r="BS155" s="43" t="s">
        <v>1542</v>
      </c>
      <c r="BT155" s="43" t="s">
        <v>1542</v>
      </c>
      <c r="BU155" s="43" t="s">
        <v>1542</v>
      </c>
      <c r="BV155" s="43" t="s">
        <v>1542</v>
      </c>
      <c r="BW155" s="43" t="s">
        <v>1542</v>
      </c>
      <c r="BX155" s="43" t="s">
        <v>1542</v>
      </c>
      <c r="BY155" s="43" t="s">
        <v>1542</v>
      </c>
      <c r="BZ155" s="43" t="s">
        <v>1542</v>
      </c>
      <c r="CA155" s="43" t="s">
        <v>1542</v>
      </c>
    </row>
    <row r="156" spans="1:79">
      <c r="A156">
        <v>155</v>
      </c>
      <c r="B156">
        <v>1</v>
      </c>
      <c r="C156" t="s">
        <v>1532</v>
      </c>
      <c r="D156" t="s">
        <v>1533</v>
      </c>
      <c r="E156" t="s">
        <v>2205</v>
      </c>
      <c r="F156" t="s">
        <v>2206</v>
      </c>
      <c r="G156" t="s">
        <v>2245</v>
      </c>
      <c r="H156" t="s">
        <v>2245</v>
      </c>
      <c r="J156" t="s">
        <v>2246</v>
      </c>
      <c r="K156" t="s">
        <v>2247</v>
      </c>
      <c r="M156" s="1" t="s">
        <v>2248</v>
      </c>
      <c r="N156" t="s">
        <v>2249</v>
      </c>
      <c r="O156" s="46">
        <f t="shared" si="13"/>
        <v>0</v>
      </c>
      <c r="P156" s="43" t="s">
        <v>1542</v>
      </c>
      <c r="Q156" s="43" t="s">
        <v>1542</v>
      </c>
      <c r="R156" s="43" t="s">
        <v>1542</v>
      </c>
      <c r="S156" s="43" t="s">
        <v>1542</v>
      </c>
      <c r="T156" s="43" t="s">
        <v>1542</v>
      </c>
      <c r="U156" s="43" t="s">
        <v>1542</v>
      </c>
      <c r="V156" s="43" t="s">
        <v>1542</v>
      </c>
      <c r="W156" s="43" t="s">
        <v>1542</v>
      </c>
      <c r="X156" s="43" t="s">
        <v>1542</v>
      </c>
      <c r="Y156" s="43" t="s">
        <v>1542</v>
      </c>
      <c r="Z156" s="43" t="s">
        <v>1542</v>
      </c>
      <c r="AA156" s="43" t="s">
        <v>1542</v>
      </c>
      <c r="AB156" s="46">
        <f t="shared" si="14"/>
        <v>0</v>
      </c>
      <c r="AC156" s="44" t="s">
        <v>1542</v>
      </c>
      <c r="AD156" s="44" t="s">
        <v>1542</v>
      </c>
      <c r="AE156" s="44" t="s">
        <v>1542</v>
      </c>
      <c r="AF156" s="44" t="s">
        <v>1542</v>
      </c>
      <c r="AG156" s="44" t="s">
        <v>1542</v>
      </c>
      <c r="AH156" s="44" t="s">
        <v>1542</v>
      </c>
      <c r="AI156" s="44" t="s">
        <v>1542</v>
      </c>
      <c r="AJ156" s="44" t="s">
        <v>1542</v>
      </c>
      <c r="AK156" s="44" t="s">
        <v>1542</v>
      </c>
      <c r="AL156" s="44" t="s">
        <v>1542</v>
      </c>
      <c r="AM156" s="44" t="s">
        <v>1542</v>
      </c>
      <c r="AN156" s="44" t="s">
        <v>1542</v>
      </c>
      <c r="AO156" s="46">
        <f t="shared" si="10"/>
        <v>0</v>
      </c>
      <c r="AP156" s="43" t="s">
        <v>1542</v>
      </c>
      <c r="AQ156" s="43" t="s">
        <v>1542</v>
      </c>
      <c r="AR156" s="43" t="s">
        <v>1542</v>
      </c>
      <c r="AS156" s="43" t="s">
        <v>1542</v>
      </c>
      <c r="AT156" s="43" t="s">
        <v>1542</v>
      </c>
      <c r="AU156" s="43" t="s">
        <v>1542</v>
      </c>
      <c r="AV156" s="43" t="s">
        <v>1542</v>
      </c>
      <c r="AW156" s="43" t="s">
        <v>1542</v>
      </c>
      <c r="AX156" s="43" t="s">
        <v>1542</v>
      </c>
      <c r="AY156" s="43" t="s">
        <v>1542</v>
      </c>
      <c r="AZ156" s="43" t="s">
        <v>1542</v>
      </c>
      <c r="BA156" s="43" t="s">
        <v>1542</v>
      </c>
      <c r="BB156" s="46">
        <f t="shared" si="11"/>
        <v>0</v>
      </c>
      <c r="BC156" s="44" t="s">
        <v>1542</v>
      </c>
      <c r="BD156" s="44" t="s">
        <v>1542</v>
      </c>
      <c r="BE156" s="44" t="s">
        <v>1542</v>
      </c>
      <c r="BF156" s="44" t="s">
        <v>1542</v>
      </c>
      <c r="BG156" s="44" t="s">
        <v>1542</v>
      </c>
      <c r="BH156" s="44" t="s">
        <v>1542</v>
      </c>
      <c r="BI156" s="44" t="s">
        <v>1542</v>
      </c>
      <c r="BJ156" s="44" t="s">
        <v>1542</v>
      </c>
      <c r="BK156" s="44" t="s">
        <v>1542</v>
      </c>
      <c r="BL156" s="44" t="s">
        <v>1542</v>
      </c>
      <c r="BM156" s="44" t="s">
        <v>1542</v>
      </c>
      <c r="BN156" s="44" t="s">
        <v>1542</v>
      </c>
      <c r="BO156" s="46">
        <f t="shared" si="12"/>
        <v>0</v>
      </c>
      <c r="BP156" s="43" t="s">
        <v>1542</v>
      </c>
      <c r="BQ156" s="43" t="s">
        <v>1542</v>
      </c>
      <c r="BR156" s="43" t="s">
        <v>1542</v>
      </c>
      <c r="BS156" s="43" t="s">
        <v>1542</v>
      </c>
      <c r="BT156" s="43" t="s">
        <v>1542</v>
      </c>
      <c r="BU156" s="43" t="s">
        <v>1542</v>
      </c>
      <c r="BV156" s="43" t="s">
        <v>1542</v>
      </c>
      <c r="BW156" s="43" t="s">
        <v>1542</v>
      </c>
      <c r="BX156" s="43" t="s">
        <v>1542</v>
      </c>
      <c r="BY156" s="43" t="s">
        <v>1542</v>
      </c>
      <c r="BZ156" s="43" t="s">
        <v>1542</v>
      </c>
      <c r="CA156" s="43" t="s">
        <v>1542</v>
      </c>
    </row>
    <row r="157" spans="1:79">
      <c r="A157">
        <v>156</v>
      </c>
      <c r="B157">
        <v>1</v>
      </c>
      <c r="C157" t="s">
        <v>1532</v>
      </c>
      <c r="D157" t="s">
        <v>1533</v>
      </c>
      <c r="E157" t="s">
        <v>2205</v>
      </c>
      <c r="F157" t="s">
        <v>2206</v>
      </c>
      <c r="G157" t="s">
        <v>2250</v>
      </c>
      <c r="H157" t="s">
        <v>2250</v>
      </c>
      <c r="J157" t="s">
        <v>2251</v>
      </c>
      <c r="K157" t="s">
        <v>2252</v>
      </c>
      <c r="M157" s="1" t="s">
        <v>2253</v>
      </c>
      <c r="O157" s="46">
        <f t="shared" si="13"/>
        <v>0</v>
      </c>
      <c r="P157" s="43" t="s">
        <v>1542</v>
      </c>
      <c r="Q157" s="43" t="s">
        <v>1542</v>
      </c>
      <c r="R157" s="43" t="s">
        <v>1542</v>
      </c>
      <c r="S157" s="43" t="s">
        <v>1542</v>
      </c>
      <c r="T157" s="43" t="s">
        <v>1542</v>
      </c>
      <c r="U157" s="43" t="s">
        <v>1542</v>
      </c>
      <c r="V157" s="43" t="s">
        <v>1542</v>
      </c>
      <c r="W157" s="43" t="s">
        <v>1542</v>
      </c>
      <c r="X157" s="43" t="s">
        <v>1542</v>
      </c>
      <c r="Y157" s="43" t="s">
        <v>1542</v>
      </c>
      <c r="Z157" s="43" t="s">
        <v>1542</v>
      </c>
      <c r="AA157" s="43" t="s">
        <v>1542</v>
      </c>
      <c r="AB157" s="46">
        <f t="shared" si="14"/>
        <v>0</v>
      </c>
      <c r="AC157" s="44" t="s">
        <v>1542</v>
      </c>
      <c r="AD157" s="44" t="s">
        <v>1542</v>
      </c>
      <c r="AE157" s="44" t="s">
        <v>1542</v>
      </c>
      <c r="AF157" s="44" t="s">
        <v>1542</v>
      </c>
      <c r="AG157" s="44" t="s">
        <v>1542</v>
      </c>
      <c r="AH157" s="44" t="s">
        <v>1542</v>
      </c>
      <c r="AI157" s="44" t="s">
        <v>1542</v>
      </c>
      <c r="AJ157" s="44" t="s">
        <v>1542</v>
      </c>
      <c r="AK157" s="44" t="s">
        <v>1542</v>
      </c>
      <c r="AL157" s="44" t="s">
        <v>1542</v>
      </c>
      <c r="AM157" s="44" t="s">
        <v>1542</v>
      </c>
      <c r="AN157" s="44" t="s">
        <v>1542</v>
      </c>
      <c r="AO157" s="46">
        <f t="shared" si="10"/>
        <v>0</v>
      </c>
      <c r="AP157" s="43" t="s">
        <v>1542</v>
      </c>
      <c r="AQ157" s="43" t="s">
        <v>1542</v>
      </c>
      <c r="AR157" s="43" t="s">
        <v>1542</v>
      </c>
      <c r="AS157" s="43" t="s">
        <v>1542</v>
      </c>
      <c r="AT157" s="43" t="s">
        <v>1542</v>
      </c>
      <c r="AU157" s="43" t="s">
        <v>1542</v>
      </c>
      <c r="AV157" s="43" t="s">
        <v>1542</v>
      </c>
      <c r="AW157" s="43" t="s">
        <v>1542</v>
      </c>
      <c r="AX157" s="43" t="s">
        <v>1542</v>
      </c>
      <c r="AY157" s="43" t="s">
        <v>1542</v>
      </c>
      <c r="AZ157" s="43" t="s">
        <v>1542</v>
      </c>
      <c r="BA157" s="43" t="s">
        <v>1542</v>
      </c>
      <c r="BB157" s="46">
        <f t="shared" si="11"/>
        <v>0</v>
      </c>
      <c r="BC157" s="44" t="s">
        <v>1542</v>
      </c>
      <c r="BD157" s="44" t="s">
        <v>1542</v>
      </c>
      <c r="BE157" s="44" t="s">
        <v>1542</v>
      </c>
      <c r="BF157" s="44" t="s">
        <v>1542</v>
      </c>
      <c r="BG157" s="44" t="s">
        <v>1542</v>
      </c>
      <c r="BH157" s="44" t="s">
        <v>1542</v>
      </c>
      <c r="BI157" s="44" t="s">
        <v>1542</v>
      </c>
      <c r="BJ157" s="44" t="s">
        <v>1542</v>
      </c>
      <c r="BK157" s="44" t="s">
        <v>1542</v>
      </c>
      <c r="BL157" s="44" t="s">
        <v>1542</v>
      </c>
      <c r="BM157" s="44" t="s">
        <v>1542</v>
      </c>
      <c r="BN157" s="44" t="s">
        <v>1542</v>
      </c>
      <c r="BO157" s="46">
        <f t="shared" si="12"/>
        <v>0</v>
      </c>
      <c r="BP157" s="43" t="s">
        <v>1542</v>
      </c>
      <c r="BQ157" s="43" t="s">
        <v>1542</v>
      </c>
      <c r="BR157" s="43" t="s">
        <v>1542</v>
      </c>
      <c r="BS157" s="43" t="s">
        <v>1542</v>
      </c>
      <c r="BT157" s="43" t="s">
        <v>1542</v>
      </c>
      <c r="BU157" s="43" t="s">
        <v>1542</v>
      </c>
      <c r="BV157" s="43" t="s">
        <v>1542</v>
      </c>
      <c r="BW157" s="43" t="s">
        <v>1542</v>
      </c>
      <c r="BX157" s="43" t="s">
        <v>1542</v>
      </c>
      <c r="BY157" s="43" t="s">
        <v>1542</v>
      </c>
      <c r="BZ157" s="43" t="s">
        <v>1542</v>
      </c>
      <c r="CA157" s="43" t="s">
        <v>1542</v>
      </c>
    </row>
    <row r="158" spans="1:79">
      <c r="A158">
        <v>157</v>
      </c>
      <c r="B158" t="s">
        <v>1543</v>
      </c>
      <c r="C158" t="s">
        <v>1532</v>
      </c>
      <c r="D158" t="s">
        <v>1533</v>
      </c>
      <c r="E158" t="s">
        <v>2205</v>
      </c>
      <c r="F158" t="s">
        <v>2206</v>
      </c>
      <c r="G158" t="s">
        <v>2254</v>
      </c>
      <c r="H158" t="s">
        <v>2254</v>
      </c>
      <c r="J158" t="s">
        <v>2255</v>
      </c>
      <c r="K158" t="s">
        <v>2256</v>
      </c>
      <c r="M158" s="1" t="s">
        <v>2257</v>
      </c>
      <c r="N158" t="s">
        <v>2258</v>
      </c>
      <c r="O158" s="46">
        <f t="shared" si="13"/>
        <v>0</v>
      </c>
      <c r="P158" s="43"/>
      <c r="Q158" s="43"/>
      <c r="R158" s="43"/>
      <c r="S158" s="43"/>
      <c r="T158" s="43"/>
      <c r="U158" s="43"/>
      <c r="V158" s="43"/>
      <c r="W158" s="43"/>
      <c r="X158" s="43"/>
      <c r="Y158" s="43"/>
      <c r="Z158" s="43"/>
      <c r="AA158" s="43"/>
      <c r="AB158" s="46">
        <f t="shared" si="14"/>
        <v>0</v>
      </c>
      <c r="AC158" s="44"/>
      <c r="AD158" s="44"/>
      <c r="AE158" s="44"/>
      <c r="AF158" s="44"/>
      <c r="AG158" s="44"/>
      <c r="AH158" s="44"/>
      <c r="AI158" s="44"/>
      <c r="AJ158" s="44"/>
      <c r="AK158" s="44"/>
      <c r="AL158" s="44"/>
      <c r="AM158" s="44"/>
      <c r="AN158" s="44"/>
      <c r="AO158" s="46">
        <f t="shared" si="10"/>
        <v>0</v>
      </c>
      <c r="AP158" s="43"/>
      <c r="AQ158" s="43"/>
      <c r="AR158" s="43"/>
      <c r="AS158" s="43"/>
      <c r="AT158" s="43"/>
      <c r="AU158" s="43"/>
      <c r="AV158" s="43"/>
      <c r="AW158" s="43"/>
      <c r="AX158" s="43"/>
      <c r="AY158" s="43"/>
      <c r="AZ158" s="43"/>
      <c r="BA158" s="43"/>
      <c r="BB158" s="46">
        <f t="shared" si="11"/>
        <v>0</v>
      </c>
      <c r="BC158" s="44"/>
      <c r="BD158" s="44"/>
      <c r="BE158" s="44"/>
      <c r="BF158" s="44"/>
      <c r="BG158" s="44"/>
      <c r="BH158" s="44"/>
      <c r="BI158" s="44"/>
      <c r="BJ158" s="44"/>
      <c r="BK158" s="44"/>
      <c r="BL158" s="44"/>
      <c r="BM158" s="44"/>
      <c r="BN158" s="44"/>
      <c r="BO158" s="46">
        <f t="shared" si="12"/>
        <v>0</v>
      </c>
      <c r="BP158" s="43" t="s">
        <v>1542</v>
      </c>
      <c r="BQ158" s="43" t="s">
        <v>1542</v>
      </c>
      <c r="BR158" s="43" t="s">
        <v>1542</v>
      </c>
      <c r="BS158" s="43" t="s">
        <v>1542</v>
      </c>
      <c r="BT158" s="43" t="s">
        <v>1542</v>
      </c>
      <c r="BU158" s="43" t="s">
        <v>1542</v>
      </c>
      <c r="BV158" s="43" t="s">
        <v>1542</v>
      </c>
      <c r="BW158" s="43" t="s">
        <v>1542</v>
      </c>
      <c r="BX158" s="43" t="s">
        <v>1542</v>
      </c>
      <c r="BY158" s="43"/>
      <c r="BZ158" s="43"/>
      <c r="CA158" s="43"/>
    </row>
    <row r="159" spans="1:79">
      <c r="A159">
        <v>158</v>
      </c>
      <c r="B159">
        <v>1</v>
      </c>
      <c r="C159" t="s">
        <v>1532</v>
      </c>
      <c r="D159" t="s">
        <v>1533</v>
      </c>
      <c r="E159" t="s">
        <v>2205</v>
      </c>
      <c r="F159" t="s">
        <v>2206</v>
      </c>
      <c r="G159" t="s">
        <v>2259</v>
      </c>
      <c r="H159" t="s">
        <v>2259</v>
      </c>
      <c r="J159" t="s">
        <v>2260</v>
      </c>
      <c r="K159" t="s">
        <v>2261</v>
      </c>
      <c r="L159" t="s">
        <v>1539</v>
      </c>
      <c r="M159" s="1" t="s">
        <v>2262</v>
      </c>
      <c r="N159" t="s">
        <v>2263</v>
      </c>
      <c r="O159" s="46">
        <f t="shared" si="13"/>
        <v>0</v>
      </c>
      <c r="P159" s="43" t="s">
        <v>1542</v>
      </c>
      <c r="Q159" s="43" t="s">
        <v>1542</v>
      </c>
      <c r="R159" s="43" t="s">
        <v>1542</v>
      </c>
      <c r="S159" s="43" t="s">
        <v>1542</v>
      </c>
      <c r="T159" s="43" t="s">
        <v>1542</v>
      </c>
      <c r="U159" s="43" t="s">
        <v>1542</v>
      </c>
      <c r="V159" s="43" t="s">
        <v>1542</v>
      </c>
      <c r="W159" s="43" t="s">
        <v>1542</v>
      </c>
      <c r="X159" s="43" t="s">
        <v>1542</v>
      </c>
      <c r="Y159" s="43" t="s">
        <v>1542</v>
      </c>
      <c r="Z159" s="43" t="s">
        <v>1542</v>
      </c>
      <c r="AA159" s="43" t="s">
        <v>1542</v>
      </c>
      <c r="AB159" s="46">
        <f t="shared" si="14"/>
        <v>0</v>
      </c>
      <c r="AC159" s="44" t="s">
        <v>1542</v>
      </c>
      <c r="AD159" s="44" t="s">
        <v>1542</v>
      </c>
      <c r="AE159" s="44" t="s">
        <v>1542</v>
      </c>
      <c r="AF159" s="44" t="s">
        <v>1542</v>
      </c>
      <c r="AG159" s="44" t="s">
        <v>1542</v>
      </c>
      <c r="AH159" s="44" t="s">
        <v>1542</v>
      </c>
      <c r="AI159" s="44" t="s">
        <v>1542</v>
      </c>
      <c r="AJ159" s="44" t="s">
        <v>1542</v>
      </c>
      <c r="AK159" s="44" t="s">
        <v>1542</v>
      </c>
      <c r="AL159" s="44" t="s">
        <v>1542</v>
      </c>
      <c r="AM159" s="44" t="s">
        <v>1542</v>
      </c>
      <c r="AN159" s="44" t="s">
        <v>1542</v>
      </c>
      <c r="AO159" s="46">
        <f t="shared" si="10"/>
        <v>0</v>
      </c>
      <c r="AP159" s="43" t="s">
        <v>1542</v>
      </c>
      <c r="AQ159" s="43" t="s">
        <v>1542</v>
      </c>
      <c r="AR159" s="43" t="s">
        <v>1542</v>
      </c>
      <c r="AS159" s="43" t="s">
        <v>1542</v>
      </c>
      <c r="AT159" s="43" t="s">
        <v>1542</v>
      </c>
      <c r="AU159" s="43" t="s">
        <v>1542</v>
      </c>
      <c r="AV159" s="43" t="s">
        <v>1542</v>
      </c>
      <c r="AW159" s="43" t="s">
        <v>1542</v>
      </c>
      <c r="AX159" s="43" t="s">
        <v>1542</v>
      </c>
      <c r="AY159" s="43" t="s">
        <v>1554</v>
      </c>
      <c r="AZ159" s="43" t="s">
        <v>1554</v>
      </c>
      <c r="BA159" s="43" t="s">
        <v>1554</v>
      </c>
      <c r="BB159" s="46">
        <f t="shared" si="11"/>
        <v>2</v>
      </c>
      <c r="BC159" s="44" t="s">
        <v>1542</v>
      </c>
      <c r="BD159" s="44" t="s">
        <v>1542</v>
      </c>
      <c r="BE159" s="44" t="s">
        <v>1542</v>
      </c>
      <c r="BF159" s="44" t="s">
        <v>1542</v>
      </c>
      <c r="BG159" s="44" t="s">
        <v>1542</v>
      </c>
      <c r="BH159" s="44" t="s">
        <v>1542</v>
      </c>
      <c r="BI159" s="44" t="s">
        <v>1542</v>
      </c>
      <c r="BJ159" s="44" t="s">
        <v>1542</v>
      </c>
      <c r="BK159" s="44" t="s">
        <v>1542</v>
      </c>
      <c r="BL159" s="44" t="s">
        <v>1542</v>
      </c>
      <c r="BM159" s="44" t="s">
        <v>1542</v>
      </c>
      <c r="BN159" s="44" t="s">
        <v>1542</v>
      </c>
      <c r="BO159" s="46">
        <f t="shared" si="12"/>
        <v>0</v>
      </c>
      <c r="BP159" s="43" t="s">
        <v>1542</v>
      </c>
      <c r="BQ159" s="43" t="s">
        <v>1542</v>
      </c>
      <c r="BR159" s="43" t="s">
        <v>1542</v>
      </c>
      <c r="BS159" s="43" t="s">
        <v>1542</v>
      </c>
      <c r="BT159" s="43" t="s">
        <v>1542</v>
      </c>
      <c r="BU159" s="43" t="s">
        <v>1542</v>
      </c>
      <c r="BV159" s="43" t="s">
        <v>1542</v>
      </c>
      <c r="BW159" s="43" t="s">
        <v>1542</v>
      </c>
      <c r="BX159" s="43" t="s">
        <v>1542</v>
      </c>
      <c r="BY159" s="43" t="s">
        <v>1542</v>
      </c>
      <c r="BZ159" s="43" t="s">
        <v>1542</v>
      </c>
      <c r="CA159" s="43" t="s">
        <v>1542</v>
      </c>
    </row>
    <row r="160" spans="1:79">
      <c r="A160">
        <v>159</v>
      </c>
      <c r="C160" t="s">
        <v>1532</v>
      </c>
      <c r="D160" t="s">
        <v>1533</v>
      </c>
      <c r="E160" t="s">
        <v>2205</v>
      </c>
      <c r="F160" t="s">
        <v>2206</v>
      </c>
      <c r="G160" t="s">
        <v>2259</v>
      </c>
      <c r="H160" t="s">
        <v>2264</v>
      </c>
      <c r="I160" t="s">
        <v>2264</v>
      </c>
      <c r="J160" t="s">
        <v>2260</v>
      </c>
      <c r="K160" t="s">
        <v>2261</v>
      </c>
      <c r="L160" t="s">
        <v>1539</v>
      </c>
      <c r="M160" s="1" t="s">
        <v>2265</v>
      </c>
      <c r="N160" t="s">
        <v>2266</v>
      </c>
      <c r="O160" s="46">
        <f t="shared" si="13"/>
        <v>0</v>
      </c>
      <c r="P160" s="43"/>
      <c r="Q160" s="43"/>
      <c r="R160" s="43"/>
      <c r="S160" s="43"/>
      <c r="T160" s="43"/>
      <c r="U160" s="43"/>
      <c r="V160" s="43"/>
      <c r="W160" s="43"/>
      <c r="X160" s="43"/>
      <c r="Y160" s="43"/>
      <c r="Z160" s="43"/>
      <c r="AA160" s="43"/>
      <c r="AB160" s="46">
        <f t="shared" si="14"/>
        <v>1</v>
      </c>
      <c r="AC160" s="44" t="s">
        <v>1554</v>
      </c>
      <c r="AD160" s="44" t="s">
        <v>1542</v>
      </c>
      <c r="AE160" s="44" t="s">
        <v>1542</v>
      </c>
      <c r="AF160" s="44" t="s">
        <v>1542</v>
      </c>
      <c r="AG160" s="44" t="s">
        <v>1542</v>
      </c>
      <c r="AH160" s="44" t="s">
        <v>1542</v>
      </c>
      <c r="AI160" s="44" t="s">
        <v>1542</v>
      </c>
      <c r="AJ160" s="44"/>
      <c r="AK160" s="44"/>
      <c r="AL160" s="44"/>
      <c r="AM160" s="44"/>
      <c r="AN160" s="44"/>
      <c r="AO160" s="46">
        <f t="shared" si="10"/>
        <v>1</v>
      </c>
      <c r="AP160" s="43"/>
      <c r="AQ160" s="43"/>
      <c r="AR160" s="43"/>
      <c r="AS160" s="43"/>
      <c r="AT160" s="43"/>
      <c r="AU160" s="43"/>
      <c r="AV160" s="43"/>
      <c r="AW160" s="43"/>
      <c r="AX160" s="43"/>
      <c r="AY160" s="43" t="s">
        <v>1554</v>
      </c>
      <c r="AZ160" s="43" t="s">
        <v>1554</v>
      </c>
      <c r="BA160" s="43" t="s">
        <v>1554</v>
      </c>
      <c r="BB160" s="46">
        <f t="shared" si="11"/>
        <v>2</v>
      </c>
      <c r="BC160" s="44"/>
      <c r="BD160" s="44"/>
      <c r="BE160" s="44"/>
      <c r="BF160" s="44"/>
      <c r="BG160" s="44"/>
      <c r="BH160" s="44"/>
      <c r="BI160" s="44"/>
      <c r="BJ160" s="44"/>
      <c r="BK160" s="44"/>
      <c r="BL160" s="44"/>
      <c r="BM160" s="44"/>
      <c r="BN160" s="44"/>
      <c r="BO160" s="46">
        <f t="shared" si="12"/>
        <v>0</v>
      </c>
      <c r="BP160" s="43"/>
      <c r="BQ160" s="43"/>
      <c r="BR160" s="43"/>
      <c r="BS160" s="43"/>
      <c r="BT160" s="43"/>
      <c r="BU160" s="43"/>
      <c r="BV160" s="43"/>
      <c r="BW160" s="43"/>
      <c r="BX160" s="43"/>
      <c r="BY160" s="43"/>
      <c r="BZ160" s="43"/>
      <c r="CA160" s="43"/>
    </row>
    <row r="161" spans="1:79">
      <c r="A161">
        <v>160</v>
      </c>
      <c r="B161">
        <v>1</v>
      </c>
      <c r="C161" t="s">
        <v>1532</v>
      </c>
      <c r="D161" t="s">
        <v>1533</v>
      </c>
      <c r="E161" t="s">
        <v>2205</v>
      </c>
      <c r="F161" t="s">
        <v>2206</v>
      </c>
      <c r="G161" t="s">
        <v>2267</v>
      </c>
      <c r="H161" t="s">
        <v>2267</v>
      </c>
      <c r="J161" t="s">
        <v>2268</v>
      </c>
      <c r="K161" t="s">
        <v>2269</v>
      </c>
      <c r="M161" s="1" t="s">
        <v>2270</v>
      </c>
      <c r="O161" s="46">
        <f t="shared" si="13"/>
        <v>0</v>
      </c>
      <c r="P161" s="43" t="s">
        <v>1542</v>
      </c>
      <c r="Q161" s="43" t="s">
        <v>1542</v>
      </c>
      <c r="R161" s="43" t="s">
        <v>1542</v>
      </c>
      <c r="S161" s="43" t="s">
        <v>1542</v>
      </c>
      <c r="T161" s="43" t="s">
        <v>1542</v>
      </c>
      <c r="U161" s="43" t="s">
        <v>1542</v>
      </c>
      <c r="V161" s="43" t="s">
        <v>1542</v>
      </c>
      <c r="W161" s="43" t="s">
        <v>1542</v>
      </c>
      <c r="X161" s="43" t="s">
        <v>1542</v>
      </c>
      <c r="Y161" s="43" t="s">
        <v>1542</v>
      </c>
      <c r="Z161" s="43" t="s">
        <v>1542</v>
      </c>
      <c r="AA161" s="43" t="s">
        <v>1542</v>
      </c>
      <c r="AB161" s="46">
        <f t="shared" si="14"/>
        <v>0</v>
      </c>
      <c r="AC161" s="44" t="s">
        <v>1542</v>
      </c>
      <c r="AD161" s="44" t="s">
        <v>1542</v>
      </c>
      <c r="AE161" s="44" t="s">
        <v>1542</v>
      </c>
      <c r="AF161" s="44" t="s">
        <v>1542</v>
      </c>
      <c r="AG161" s="44" t="s">
        <v>1542</v>
      </c>
      <c r="AH161" s="44" t="s">
        <v>1542</v>
      </c>
      <c r="AI161" s="44" t="s">
        <v>1542</v>
      </c>
      <c r="AJ161" s="44" t="s">
        <v>1542</v>
      </c>
      <c r="AK161" s="44" t="s">
        <v>1542</v>
      </c>
      <c r="AL161" s="44" t="s">
        <v>1542</v>
      </c>
      <c r="AM161" s="44" t="s">
        <v>1542</v>
      </c>
      <c r="AN161" s="44" t="s">
        <v>1542</v>
      </c>
      <c r="AO161" s="46">
        <f t="shared" si="10"/>
        <v>0</v>
      </c>
      <c r="AP161" s="43" t="s">
        <v>1542</v>
      </c>
      <c r="AQ161" s="43" t="s">
        <v>1542</v>
      </c>
      <c r="AR161" s="43" t="s">
        <v>1542</v>
      </c>
      <c r="AS161" s="43" t="s">
        <v>1542</v>
      </c>
      <c r="AT161" s="43" t="s">
        <v>1542</v>
      </c>
      <c r="AU161" s="43" t="s">
        <v>1542</v>
      </c>
      <c r="AV161" s="43" t="s">
        <v>1542</v>
      </c>
      <c r="AW161" s="43" t="s">
        <v>1542</v>
      </c>
      <c r="AX161" s="43" t="s">
        <v>1542</v>
      </c>
      <c r="AY161" s="43" t="s">
        <v>1542</v>
      </c>
      <c r="AZ161" s="43" t="s">
        <v>1542</v>
      </c>
      <c r="BA161" s="43" t="s">
        <v>1542</v>
      </c>
      <c r="BB161" s="46">
        <f t="shared" si="11"/>
        <v>0</v>
      </c>
      <c r="BC161" s="44" t="s">
        <v>1542</v>
      </c>
      <c r="BD161" s="44" t="s">
        <v>1542</v>
      </c>
      <c r="BE161" s="44" t="s">
        <v>1542</v>
      </c>
      <c r="BF161" s="44" t="s">
        <v>1542</v>
      </c>
      <c r="BG161" s="44" t="s">
        <v>1542</v>
      </c>
      <c r="BH161" s="44" t="s">
        <v>1542</v>
      </c>
      <c r="BI161" s="44" t="s">
        <v>1542</v>
      </c>
      <c r="BJ161" s="44" t="s">
        <v>1542</v>
      </c>
      <c r="BK161" s="44" t="s">
        <v>1542</v>
      </c>
      <c r="BL161" s="44" t="s">
        <v>1542</v>
      </c>
      <c r="BM161" s="44" t="s">
        <v>1542</v>
      </c>
      <c r="BN161" s="44" t="s">
        <v>1542</v>
      </c>
      <c r="BO161" s="46">
        <f t="shared" si="12"/>
        <v>0</v>
      </c>
      <c r="BP161" s="43" t="s">
        <v>1542</v>
      </c>
      <c r="BQ161" s="43" t="s">
        <v>1542</v>
      </c>
      <c r="BR161" s="43" t="s">
        <v>1542</v>
      </c>
      <c r="BS161" s="43" t="s">
        <v>1542</v>
      </c>
      <c r="BT161" s="43" t="s">
        <v>1542</v>
      </c>
      <c r="BU161" s="43" t="s">
        <v>1542</v>
      </c>
      <c r="BV161" s="43" t="s">
        <v>1542</v>
      </c>
      <c r="BW161" s="43" t="s">
        <v>1542</v>
      </c>
      <c r="BX161" s="43" t="s">
        <v>1542</v>
      </c>
      <c r="BY161" s="43" t="s">
        <v>1542</v>
      </c>
      <c r="BZ161" s="43" t="s">
        <v>1542</v>
      </c>
      <c r="CA161" s="43" t="s">
        <v>1542</v>
      </c>
    </row>
    <row r="162" spans="1:79">
      <c r="A162">
        <v>161</v>
      </c>
      <c r="B162">
        <v>1</v>
      </c>
      <c r="C162" t="s">
        <v>1532</v>
      </c>
      <c r="D162" t="s">
        <v>1533</v>
      </c>
      <c r="E162" t="s">
        <v>2205</v>
      </c>
      <c r="F162" t="s">
        <v>2206</v>
      </c>
      <c r="G162" t="s">
        <v>2271</v>
      </c>
      <c r="H162" t="s">
        <v>2271</v>
      </c>
      <c r="J162" t="s">
        <v>2272</v>
      </c>
      <c r="K162" t="s">
        <v>2273</v>
      </c>
      <c r="L162" t="s">
        <v>1539</v>
      </c>
      <c r="M162" s="1" t="s">
        <v>2274</v>
      </c>
      <c r="N162" t="s">
        <v>2275</v>
      </c>
      <c r="O162" s="46">
        <f t="shared" si="13"/>
        <v>0</v>
      </c>
      <c r="P162" s="43" t="s">
        <v>1542</v>
      </c>
      <c r="Q162" s="43" t="s">
        <v>1542</v>
      </c>
      <c r="R162" s="43" t="s">
        <v>1542</v>
      </c>
      <c r="S162" s="43" t="s">
        <v>1542</v>
      </c>
      <c r="T162" s="43" t="s">
        <v>1542</v>
      </c>
      <c r="U162" s="43" t="s">
        <v>1542</v>
      </c>
      <c r="V162" s="43" t="s">
        <v>1542</v>
      </c>
      <c r="W162" s="43" t="s">
        <v>1542</v>
      </c>
      <c r="X162" s="43" t="s">
        <v>1542</v>
      </c>
      <c r="Y162" s="43" t="s">
        <v>1542</v>
      </c>
      <c r="Z162" s="43" t="s">
        <v>1542</v>
      </c>
      <c r="AA162" s="43" t="s">
        <v>1542</v>
      </c>
      <c r="AB162" s="46">
        <f t="shared" si="14"/>
        <v>0</v>
      </c>
      <c r="AC162" s="44" t="s">
        <v>1542</v>
      </c>
      <c r="AD162" s="44" t="s">
        <v>1542</v>
      </c>
      <c r="AE162" s="44" t="s">
        <v>1542</v>
      </c>
      <c r="AF162" s="44" t="s">
        <v>1542</v>
      </c>
      <c r="AG162" s="44" t="s">
        <v>1542</v>
      </c>
      <c r="AH162" s="44" t="s">
        <v>1542</v>
      </c>
      <c r="AI162" s="44" t="s">
        <v>1542</v>
      </c>
      <c r="AJ162" s="44" t="s">
        <v>1542</v>
      </c>
      <c r="AK162" s="44" t="s">
        <v>1542</v>
      </c>
      <c r="AL162" s="44" t="s">
        <v>1542</v>
      </c>
      <c r="AM162" s="44" t="s">
        <v>1542</v>
      </c>
      <c r="AN162" s="44" t="s">
        <v>1542</v>
      </c>
      <c r="AO162" s="46">
        <f t="shared" si="10"/>
        <v>0</v>
      </c>
      <c r="AP162" s="43" t="s">
        <v>1542</v>
      </c>
      <c r="AQ162" s="43" t="s">
        <v>1542</v>
      </c>
      <c r="AR162" s="43" t="s">
        <v>1542</v>
      </c>
      <c r="AS162" s="43" t="s">
        <v>1542</v>
      </c>
      <c r="AT162" s="43" t="s">
        <v>1542</v>
      </c>
      <c r="AU162" s="43" t="s">
        <v>1542</v>
      </c>
      <c r="AV162" s="43" t="s">
        <v>1542</v>
      </c>
      <c r="AW162" s="43" t="s">
        <v>1542</v>
      </c>
      <c r="AX162" s="43" t="s">
        <v>1542</v>
      </c>
      <c r="AY162" s="43" t="s">
        <v>1542</v>
      </c>
      <c r="AZ162" s="43" t="s">
        <v>1542</v>
      </c>
      <c r="BA162" s="43" t="s">
        <v>1542</v>
      </c>
      <c r="BB162" s="46">
        <f t="shared" si="11"/>
        <v>0</v>
      </c>
      <c r="BC162" s="44" t="s">
        <v>1542</v>
      </c>
      <c r="BD162" s="44" t="s">
        <v>1542</v>
      </c>
      <c r="BE162" s="44" t="s">
        <v>1542</v>
      </c>
      <c r="BF162" s="44" t="s">
        <v>1542</v>
      </c>
      <c r="BG162" s="44" t="s">
        <v>1542</v>
      </c>
      <c r="BH162" s="44" t="s">
        <v>1542</v>
      </c>
      <c r="BI162" s="44" t="s">
        <v>1542</v>
      </c>
      <c r="BJ162" s="44" t="s">
        <v>1542</v>
      </c>
      <c r="BK162" s="44" t="s">
        <v>1542</v>
      </c>
      <c r="BL162" s="44" t="s">
        <v>1542</v>
      </c>
      <c r="BM162" s="44" t="s">
        <v>1542</v>
      </c>
      <c r="BN162" s="44" t="s">
        <v>1542</v>
      </c>
      <c r="BO162" s="46">
        <f t="shared" si="12"/>
        <v>0</v>
      </c>
      <c r="BP162" s="43" t="s">
        <v>1542</v>
      </c>
      <c r="BQ162" s="43" t="s">
        <v>1542</v>
      </c>
      <c r="BR162" s="43" t="s">
        <v>1542</v>
      </c>
      <c r="BS162" s="43" t="s">
        <v>1542</v>
      </c>
      <c r="BT162" s="43" t="s">
        <v>1542</v>
      </c>
      <c r="BU162" s="43" t="s">
        <v>1542</v>
      </c>
      <c r="BV162" s="43" t="s">
        <v>1542</v>
      </c>
      <c r="BW162" s="43" t="s">
        <v>1542</v>
      </c>
      <c r="BX162" s="43" t="s">
        <v>1542</v>
      </c>
      <c r="BY162" s="43" t="s">
        <v>1542</v>
      </c>
      <c r="BZ162" s="43" t="s">
        <v>1542</v>
      </c>
      <c r="CA162" s="43" t="s">
        <v>1554</v>
      </c>
    </row>
    <row r="163" spans="1:79">
      <c r="A163">
        <v>162</v>
      </c>
      <c r="B163">
        <v>1</v>
      </c>
      <c r="C163" t="s">
        <v>1532</v>
      </c>
      <c r="D163" t="s">
        <v>1533</v>
      </c>
      <c r="E163" t="s">
        <v>2205</v>
      </c>
      <c r="F163" t="s">
        <v>2206</v>
      </c>
      <c r="G163" t="s">
        <v>2276</v>
      </c>
      <c r="H163" t="s">
        <v>2276</v>
      </c>
      <c r="J163" t="s">
        <v>2277</v>
      </c>
      <c r="K163" t="s">
        <v>2278</v>
      </c>
      <c r="L163" t="s">
        <v>1539</v>
      </c>
      <c r="M163" s="1" t="s">
        <v>2279</v>
      </c>
      <c r="N163" t="s">
        <v>1625</v>
      </c>
      <c r="O163" s="46">
        <f t="shared" si="13"/>
        <v>0</v>
      </c>
      <c r="P163" s="43" t="s">
        <v>1542</v>
      </c>
      <c r="Q163" s="43" t="s">
        <v>1542</v>
      </c>
      <c r="R163" s="43" t="s">
        <v>1542</v>
      </c>
      <c r="S163" s="43" t="s">
        <v>1542</v>
      </c>
      <c r="T163" s="43" t="s">
        <v>1542</v>
      </c>
      <c r="U163" s="43" t="s">
        <v>1542</v>
      </c>
      <c r="V163" s="43" t="s">
        <v>1542</v>
      </c>
      <c r="W163" s="43" t="s">
        <v>1542</v>
      </c>
      <c r="X163" s="43" t="s">
        <v>1542</v>
      </c>
      <c r="Y163" s="43" t="s">
        <v>1542</v>
      </c>
      <c r="Z163" s="43" t="s">
        <v>1542</v>
      </c>
      <c r="AA163" s="43" t="s">
        <v>1542</v>
      </c>
      <c r="AB163" s="46">
        <f t="shared" si="14"/>
        <v>0</v>
      </c>
      <c r="AC163" s="44" t="s">
        <v>1542</v>
      </c>
      <c r="AD163" s="44" t="s">
        <v>1542</v>
      </c>
      <c r="AE163" s="44" t="s">
        <v>1542</v>
      </c>
      <c r="AF163" s="44" t="s">
        <v>1542</v>
      </c>
      <c r="AG163" s="44" t="s">
        <v>1542</v>
      </c>
      <c r="AH163" s="44" t="s">
        <v>1542</v>
      </c>
      <c r="AI163" s="44" t="s">
        <v>1542</v>
      </c>
      <c r="AJ163" s="44" t="s">
        <v>1542</v>
      </c>
      <c r="AK163" s="44" t="s">
        <v>1542</v>
      </c>
      <c r="AL163" s="44" t="s">
        <v>1542</v>
      </c>
      <c r="AM163" s="44" t="s">
        <v>1542</v>
      </c>
      <c r="AN163" s="44" t="s">
        <v>1542</v>
      </c>
      <c r="AO163" s="46">
        <f t="shared" si="10"/>
        <v>0</v>
      </c>
      <c r="AP163" s="43" t="s">
        <v>1542</v>
      </c>
      <c r="AQ163" s="43" t="s">
        <v>1542</v>
      </c>
      <c r="AR163" s="43" t="s">
        <v>1542</v>
      </c>
      <c r="AS163" s="43" t="s">
        <v>1542</v>
      </c>
      <c r="AT163" s="43" t="s">
        <v>1542</v>
      </c>
      <c r="AU163" s="43" t="s">
        <v>1542</v>
      </c>
      <c r="AV163" s="43" t="s">
        <v>1542</v>
      </c>
      <c r="AW163" s="43" t="s">
        <v>1542</v>
      </c>
      <c r="AX163" s="43" t="s">
        <v>1542</v>
      </c>
      <c r="AY163" s="43" t="s">
        <v>1542</v>
      </c>
      <c r="AZ163" s="43" t="s">
        <v>1542</v>
      </c>
      <c r="BA163" s="43" t="s">
        <v>1542</v>
      </c>
      <c r="BB163" s="46">
        <f t="shared" si="11"/>
        <v>0</v>
      </c>
      <c r="BC163" s="44" t="s">
        <v>1542</v>
      </c>
      <c r="BD163" s="44" t="s">
        <v>1542</v>
      </c>
      <c r="BE163" s="44" t="s">
        <v>1542</v>
      </c>
      <c r="BF163" s="44" t="s">
        <v>1542</v>
      </c>
      <c r="BG163" s="44" t="s">
        <v>1542</v>
      </c>
      <c r="BH163" s="44" t="s">
        <v>1542</v>
      </c>
      <c r="BI163" s="44" t="s">
        <v>1542</v>
      </c>
      <c r="BJ163" s="44" t="s">
        <v>1542</v>
      </c>
      <c r="BK163" s="44" t="s">
        <v>1542</v>
      </c>
      <c r="BL163" s="44" t="s">
        <v>1542</v>
      </c>
      <c r="BM163" s="44" t="s">
        <v>1542</v>
      </c>
      <c r="BN163" s="44" t="s">
        <v>1542</v>
      </c>
      <c r="BO163" s="46">
        <f t="shared" si="12"/>
        <v>0</v>
      </c>
      <c r="BP163" s="43" t="s">
        <v>1542</v>
      </c>
      <c r="BQ163" s="43" t="s">
        <v>1542</v>
      </c>
      <c r="BR163" s="43" t="s">
        <v>1542</v>
      </c>
      <c r="BS163" s="43" t="s">
        <v>1542</v>
      </c>
      <c r="BT163" s="43" t="s">
        <v>1542</v>
      </c>
      <c r="BU163" s="43" t="s">
        <v>1542</v>
      </c>
      <c r="BV163" s="43" t="s">
        <v>1542</v>
      </c>
      <c r="BW163" s="43" t="s">
        <v>1542</v>
      </c>
      <c r="BX163" s="43" t="s">
        <v>1542</v>
      </c>
      <c r="BY163" s="43" t="s">
        <v>1542</v>
      </c>
      <c r="BZ163" s="43" t="s">
        <v>1542</v>
      </c>
      <c r="CA163" s="43" t="s">
        <v>1542</v>
      </c>
    </row>
    <row r="164" spans="1:79">
      <c r="A164">
        <v>163</v>
      </c>
      <c r="B164">
        <v>1</v>
      </c>
      <c r="C164" t="s">
        <v>1696</v>
      </c>
      <c r="D164" t="s">
        <v>1697</v>
      </c>
      <c r="E164" t="s">
        <v>2280</v>
      </c>
      <c r="F164" t="s">
        <v>2281</v>
      </c>
      <c r="G164" t="s">
        <v>2282</v>
      </c>
      <c r="H164" t="s">
        <v>2282</v>
      </c>
      <c r="I164" t="s">
        <v>2283</v>
      </c>
      <c r="J164" t="s">
        <v>2284</v>
      </c>
      <c r="K164" t="s">
        <v>2285</v>
      </c>
      <c r="M164" s="1" t="s">
        <v>2286</v>
      </c>
      <c r="O164" s="46">
        <f t="shared" si="13"/>
        <v>0</v>
      </c>
      <c r="P164" s="43" t="s">
        <v>1542</v>
      </c>
      <c r="Q164" s="43" t="s">
        <v>1542</v>
      </c>
      <c r="R164" s="43" t="s">
        <v>1542</v>
      </c>
      <c r="S164" s="43" t="s">
        <v>1542</v>
      </c>
      <c r="T164" s="43" t="s">
        <v>1542</v>
      </c>
      <c r="U164" s="43" t="s">
        <v>1542</v>
      </c>
      <c r="V164" s="43" t="s">
        <v>1542</v>
      </c>
      <c r="W164" s="43" t="s">
        <v>1542</v>
      </c>
      <c r="X164" s="43" t="s">
        <v>1542</v>
      </c>
      <c r="Y164" s="43" t="s">
        <v>1542</v>
      </c>
      <c r="Z164" s="43" t="s">
        <v>1542</v>
      </c>
      <c r="AA164" s="43" t="s">
        <v>1542</v>
      </c>
      <c r="AB164" s="46">
        <f t="shared" si="14"/>
        <v>0</v>
      </c>
      <c r="AC164" s="44" t="s">
        <v>1542</v>
      </c>
      <c r="AD164" s="44" t="s">
        <v>1542</v>
      </c>
      <c r="AE164" s="44" t="s">
        <v>1542</v>
      </c>
      <c r="AF164" s="44" t="s">
        <v>1542</v>
      </c>
      <c r="AG164" s="44" t="s">
        <v>1542</v>
      </c>
      <c r="AH164" s="44" t="s">
        <v>1542</v>
      </c>
      <c r="AI164" s="44" t="s">
        <v>1542</v>
      </c>
      <c r="AJ164" s="44" t="s">
        <v>1542</v>
      </c>
      <c r="AK164" s="44" t="s">
        <v>1542</v>
      </c>
      <c r="AL164" s="44" t="s">
        <v>1542</v>
      </c>
      <c r="AM164" s="44" t="s">
        <v>1542</v>
      </c>
      <c r="AN164" s="44" t="s">
        <v>1542</v>
      </c>
      <c r="AO164" s="46">
        <f t="shared" si="10"/>
        <v>0</v>
      </c>
      <c r="AP164" s="43" t="s">
        <v>1542</v>
      </c>
      <c r="AQ164" s="43" t="s">
        <v>1542</v>
      </c>
      <c r="AR164" s="43" t="s">
        <v>1542</v>
      </c>
      <c r="AS164" s="43" t="s">
        <v>1542</v>
      </c>
      <c r="AT164" s="43" t="s">
        <v>1542</v>
      </c>
      <c r="AU164" s="43" t="s">
        <v>1542</v>
      </c>
      <c r="AV164" s="43" t="s">
        <v>1542</v>
      </c>
      <c r="AW164" s="43" t="s">
        <v>1542</v>
      </c>
      <c r="AX164" s="43" t="s">
        <v>1542</v>
      </c>
      <c r="AY164" s="43" t="s">
        <v>1542</v>
      </c>
      <c r="AZ164" s="43" t="s">
        <v>1542</v>
      </c>
      <c r="BA164" s="43" t="s">
        <v>1542</v>
      </c>
      <c r="BB164" s="46">
        <f t="shared" si="11"/>
        <v>0</v>
      </c>
      <c r="BC164" s="44" t="s">
        <v>1542</v>
      </c>
      <c r="BD164" s="44" t="s">
        <v>1542</v>
      </c>
      <c r="BE164" s="44" t="s">
        <v>1542</v>
      </c>
      <c r="BF164" s="44" t="s">
        <v>1542</v>
      </c>
      <c r="BG164" s="44" t="s">
        <v>1542</v>
      </c>
      <c r="BH164" s="44" t="s">
        <v>1542</v>
      </c>
      <c r="BI164" s="44" t="s">
        <v>1542</v>
      </c>
      <c r="BJ164" s="44" t="s">
        <v>1542</v>
      </c>
      <c r="BK164" s="44" t="s">
        <v>1542</v>
      </c>
      <c r="BL164" s="44" t="s">
        <v>1542</v>
      </c>
      <c r="BM164" s="44" t="s">
        <v>1542</v>
      </c>
      <c r="BN164" s="44" t="s">
        <v>1542</v>
      </c>
      <c r="BO164" s="46">
        <f t="shared" si="12"/>
        <v>0</v>
      </c>
      <c r="BP164" s="43" t="s">
        <v>1542</v>
      </c>
      <c r="BQ164" s="43" t="s">
        <v>1542</v>
      </c>
      <c r="BR164" s="43" t="s">
        <v>1542</v>
      </c>
      <c r="BS164" s="43" t="s">
        <v>1542</v>
      </c>
      <c r="BT164" s="43" t="s">
        <v>1542</v>
      </c>
      <c r="BU164" s="43" t="s">
        <v>1542</v>
      </c>
      <c r="BV164" s="43" t="s">
        <v>1542</v>
      </c>
      <c r="BW164" s="43" t="s">
        <v>1542</v>
      </c>
      <c r="BX164" s="43" t="s">
        <v>1542</v>
      </c>
      <c r="BY164" s="43" t="s">
        <v>1542</v>
      </c>
      <c r="BZ164" s="43" t="s">
        <v>1542</v>
      </c>
      <c r="CA164" s="43" t="s">
        <v>1542</v>
      </c>
    </row>
    <row r="165" spans="1:79">
      <c r="A165">
        <v>164</v>
      </c>
      <c r="B165">
        <v>1</v>
      </c>
      <c r="C165" t="s">
        <v>1696</v>
      </c>
      <c r="D165" t="s">
        <v>1697</v>
      </c>
      <c r="E165" t="s">
        <v>2280</v>
      </c>
      <c r="F165" t="s">
        <v>2281</v>
      </c>
      <c r="G165" t="s">
        <v>2287</v>
      </c>
      <c r="H165" t="s">
        <v>2287</v>
      </c>
      <c r="J165" t="s">
        <v>2288</v>
      </c>
      <c r="K165" t="s">
        <v>2289</v>
      </c>
      <c r="M165" s="1" t="s">
        <v>2290</v>
      </c>
      <c r="N165" t="s">
        <v>2291</v>
      </c>
      <c r="O165" s="46">
        <f t="shared" si="13"/>
        <v>0</v>
      </c>
      <c r="P165" s="43" t="s">
        <v>1542</v>
      </c>
      <c r="Q165" s="43" t="s">
        <v>1542</v>
      </c>
      <c r="R165" s="43" t="s">
        <v>1542</v>
      </c>
      <c r="S165" s="43" t="s">
        <v>1542</v>
      </c>
      <c r="T165" s="43" t="s">
        <v>1542</v>
      </c>
      <c r="U165" s="43" t="s">
        <v>1542</v>
      </c>
      <c r="V165" s="43" t="s">
        <v>1542</v>
      </c>
      <c r="W165" s="43" t="s">
        <v>1542</v>
      </c>
      <c r="X165" s="43" t="s">
        <v>1542</v>
      </c>
      <c r="Y165" s="43" t="s">
        <v>1542</v>
      </c>
      <c r="Z165" s="43" t="s">
        <v>1542</v>
      </c>
      <c r="AA165" s="43" t="s">
        <v>1542</v>
      </c>
      <c r="AB165" s="46">
        <f t="shared" si="14"/>
        <v>0</v>
      </c>
      <c r="AC165" s="44" t="s">
        <v>1542</v>
      </c>
      <c r="AD165" s="44" t="s">
        <v>1542</v>
      </c>
      <c r="AE165" s="44" t="s">
        <v>1542</v>
      </c>
      <c r="AF165" s="44" t="s">
        <v>1542</v>
      </c>
      <c r="AG165" s="44" t="s">
        <v>1542</v>
      </c>
      <c r="AH165" s="44" t="s">
        <v>1542</v>
      </c>
      <c r="AI165" s="44" t="s">
        <v>1542</v>
      </c>
      <c r="AJ165" s="44" t="s">
        <v>1542</v>
      </c>
      <c r="AK165" s="44" t="s">
        <v>1542</v>
      </c>
      <c r="AL165" s="44" t="s">
        <v>1542</v>
      </c>
      <c r="AM165" s="44" t="s">
        <v>1542</v>
      </c>
      <c r="AN165" s="44" t="s">
        <v>1542</v>
      </c>
      <c r="AO165" s="46">
        <f t="shared" si="10"/>
        <v>0</v>
      </c>
      <c r="AP165" s="43" t="s">
        <v>1542</v>
      </c>
      <c r="AQ165" s="43" t="s">
        <v>1542</v>
      </c>
      <c r="AR165" s="43" t="s">
        <v>1542</v>
      </c>
      <c r="AS165" s="43" t="s">
        <v>1542</v>
      </c>
      <c r="AT165" s="43" t="s">
        <v>1542</v>
      </c>
      <c r="AU165" s="43" t="s">
        <v>1542</v>
      </c>
      <c r="AV165" s="43" t="s">
        <v>1542</v>
      </c>
      <c r="AW165" s="43" t="s">
        <v>1542</v>
      </c>
      <c r="AX165" s="43" t="s">
        <v>1542</v>
      </c>
      <c r="AY165" s="43" t="s">
        <v>1542</v>
      </c>
      <c r="AZ165" s="43" t="s">
        <v>1542</v>
      </c>
      <c r="BA165" s="43" t="s">
        <v>1542</v>
      </c>
      <c r="BB165" s="46">
        <f t="shared" si="11"/>
        <v>0</v>
      </c>
      <c r="BC165" s="44" t="s">
        <v>1542</v>
      </c>
      <c r="BD165" s="44" t="s">
        <v>1542</v>
      </c>
      <c r="BE165" s="44" t="s">
        <v>1542</v>
      </c>
      <c r="BF165" s="44" t="s">
        <v>1542</v>
      </c>
      <c r="BG165" s="44" t="s">
        <v>1542</v>
      </c>
      <c r="BH165" s="44" t="s">
        <v>1542</v>
      </c>
      <c r="BI165" s="44" t="s">
        <v>1542</v>
      </c>
      <c r="BJ165" s="44" t="s">
        <v>1542</v>
      </c>
      <c r="BK165" s="44" t="s">
        <v>1542</v>
      </c>
      <c r="BL165" s="44" t="s">
        <v>1542</v>
      </c>
      <c r="BM165" s="44" t="s">
        <v>1542</v>
      </c>
      <c r="BN165" s="44" t="s">
        <v>1542</v>
      </c>
      <c r="BO165" s="46">
        <f t="shared" si="12"/>
        <v>0</v>
      </c>
      <c r="BP165" s="43" t="s">
        <v>1542</v>
      </c>
      <c r="BQ165" s="43" t="s">
        <v>1542</v>
      </c>
      <c r="BR165" s="43" t="s">
        <v>1542</v>
      </c>
      <c r="BS165" s="43" t="s">
        <v>1542</v>
      </c>
      <c r="BT165" s="43" t="s">
        <v>1542</v>
      </c>
      <c r="BU165" s="43" t="s">
        <v>1542</v>
      </c>
      <c r="BV165" s="43" t="s">
        <v>1542</v>
      </c>
      <c r="BW165" s="43" t="s">
        <v>1542</v>
      </c>
      <c r="BX165" s="43" t="s">
        <v>1542</v>
      </c>
      <c r="BY165" s="43" t="s">
        <v>1542</v>
      </c>
      <c r="BZ165" s="43" t="s">
        <v>1542</v>
      </c>
      <c r="CA165" s="43" t="s">
        <v>1542</v>
      </c>
    </row>
    <row r="166" spans="1:79">
      <c r="A166">
        <v>165</v>
      </c>
      <c r="B166">
        <v>1</v>
      </c>
      <c r="C166" t="s">
        <v>1696</v>
      </c>
      <c r="D166" t="s">
        <v>1697</v>
      </c>
      <c r="E166" t="s">
        <v>2280</v>
      </c>
      <c r="F166" t="s">
        <v>2281</v>
      </c>
      <c r="G166" t="s">
        <v>2292</v>
      </c>
      <c r="H166" t="s">
        <v>2292</v>
      </c>
      <c r="J166" t="s">
        <v>2293</v>
      </c>
      <c r="K166" t="s">
        <v>2294</v>
      </c>
      <c r="M166" s="1" t="s">
        <v>2295</v>
      </c>
      <c r="O166" s="46">
        <f t="shared" si="13"/>
        <v>0</v>
      </c>
      <c r="P166" s="43" t="s">
        <v>1542</v>
      </c>
      <c r="Q166" s="43" t="s">
        <v>1542</v>
      </c>
      <c r="R166" s="43" t="s">
        <v>1542</v>
      </c>
      <c r="S166" s="43" t="s">
        <v>1542</v>
      </c>
      <c r="T166" s="43" t="s">
        <v>1542</v>
      </c>
      <c r="U166" s="43" t="s">
        <v>1542</v>
      </c>
      <c r="V166" s="43" t="s">
        <v>1542</v>
      </c>
      <c r="W166" s="43" t="s">
        <v>1542</v>
      </c>
      <c r="X166" s="43" t="s">
        <v>1542</v>
      </c>
      <c r="Y166" s="43" t="s">
        <v>1542</v>
      </c>
      <c r="Z166" s="43" t="s">
        <v>1542</v>
      </c>
      <c r="AA166" s="43" t="s">
        <v>1542</v>
      </c>
      <c r="AB166" s="46">
        <f t="shared" si="14"/>
        <v>0</v>
      </c>
      <c r="AC166" s="44" t="s">
        <v>1542</v>
      </c>
      <c r="AD166" s="44" t="s">
        <v>1542</v>
      </c>
      <c r="AE166" s="44" t="s">
        <v>1542</v>
      </c>
      <c r="AF166" s="44" t="s">
        <v>1542</v>
      </c>
      <c r="AG166" s="44" t="s">
        <v>1542</v>
      </c>
      <c r="AH166" s="44" t="s">
        <v>1542</v>
      </c>
      <c r="AI166" s="44" t="s">
        <v>1542</v>
      </c>
      <c r="AJ166" s="44" t="s">
        <v>1542</v>
      </c>
      <c r="AK166" s="44" t="s">
        <v>1542</v>
      </c>
      <c r="AL166" s="44" t="s">
        <v>1542</v>
      </c>
      <c r="AM166" s="44" t="s">
        <v>1542</v>
      </c>
      <c r="AN166" s="44" t="s">
        <v>1542</v>
      </c>
      <c r="AO166" s="46">
        <f t="shared" si="10"/>
        <v>0</v>
      </c>
      <c r="AP166" s="43" t="s">
        <v>1542</v>
      </c>
      <c r="AQ166" s="43" t="s">
        <v>1542</v>
      </c>
      <c r="AR166" s="43" t="s">
        <v>1542</v>
      </c>
      <c r="AS166" s="43" t="s">
        <v>1542</v>
      </c>
      <c r="AT166" s="43" t="s">
        <v>1542</v>
      </c>
      <c r="AU166" s="43" t="s">
        <v>1542</v>
      </c>
      <c r="AV166" s="43" t="s">
        <v>1542</v>
      </c>
      <c r="AW166" s="43" t="s">
        <v>1542</v>
      </c>
      <c r="AX166" s="43" t="s">
        <v>1542</v>
      </c>
      <c r="AY166" s="43" t="s">
        <v>1542</v>
      </c>
      <c r="AZ166" s="43" t="s">
        <v>1542</v>
      </c>
      <c r="BA166" s="43" t="s">
        <v>1542</v>
      </c>
      <c r="BB166" s="46">
        <f t="shared" si="11"/>
        <v>0</v>
      </c>
      <c r="BC166" s="44" t="s">
        <v>1542</v>
      </c>
      <c r="BD166" s="44" t="s">
        <v>1542</v>
      </c>
      <c r="BE166" s="44" t="s">
        <v>1542</v>
      </c>
      <c r="BF166" s="44" t="s">
        <v>1542</v>
      </c>
      <c r="BG166" s="44" t="s">
        <v>1542</v>
      </c>
      <c r="BH166" s="44" t="s">
        <v>1542</v>
      </c>
      <c r="BI166" s="44" t="s">
        <v>1542</v>
      </c>
      <c r="BJ166" s="44" t="s">
        <v>1542</v>
      </c>
      <c r="BK166" s="44" t="s">
        <v>1542</v>
      </c>
      <c r="BL166" s="44" t="s">
        <v>1542</v>
      </c>
      <c r="BM166" s="44" t="s">
        <v>1542</v>
      </c>
      <c r="BN166" s="44" t="s">
        <v>1542</v>
      </c>
      <c r="BO166" s="46">
        <f t="shared" si="12"/>
        <v>0</v>
      </c>
      <c r="BP166" s="43" t="s">
        <v>1542</v>
      </c>
      <c r="BQ166" s="43" t="s">
        <v>1542</v>
      </c>
      <c r="BR166" s="43" t="s">
        <v>1542</v>
      </c>
      <c r="BS166" s="43" t="s">
        <v>1542</v>
      </c>
      <c r="BT166" s="43" t="s">
        <v>1542</v>
      </c>
      <c r="BU166" s="43" t="s">
        <v>1542</v>
      </c>
      <c r="BV166" s="43" t="s">
        <v>1542</v>
      </c>
      <c r="BW166" s="43" t="s">
        <v>1542</v>
      </c>
      <c r="BX166" s="43" t="s">
        <v>1542</v>
      </c>
      <c r="BY166" s="43" t="s">
        <v>1542</v>
      </c>
      <c r="BZ166" s="43" t="s">
        <v>1542</v>
      </c>
      <c r="CA166" s="43" t="s">
        <v>1542</v>
      </c>
    </row>
    <row r="167" spans="1:79">
      <c r="A167">
        <v>166</v>
      </c>
      <c r="B167">
        <v>1</v>
      </c>
      <c r="C167" t="s">
        <v>1696</v>
      </c>
      <c r="D167" t="s">
        <v>1697</v>
      </c>
      <c r="E167" t="s">
        <v>2280</v>
      </c>
      <c r="F167" t="s">
        <v>2281</v>
      </c>
      <c r="G167" t="s">
        <v>2296</v>
      </c>
      <c r="H167" t="s">
        <v>2296</v>
      </c>
      <c r="J167" t="s">
        <v>2297</v>
      </c>
      <c r="K167" t="s">
        <v>2298</v>
      </c>
      <c r="M167" s="1" t="s">
        <v>2299</v>
      </c>
      <c r="O167" s="46">
        <f t="shared" si="13"/>
        <v>0</v>
      </c>
      <c r="P167" s="43" t="s">
        <v>1542</v>
      </c>
      <c r="Q167" s="43" t="s">
        <v>1542</v>
      </c>
      <c r="R167" s="43" t="s">
        <v>1542</v>
      </c>
      <c r="S167" s="43" t="s">
        <v>1542</v>
      </c>
      <c r="T167" s="43" t="s">
        <v>1542</v>
      </c>
      <c r="U167" s="43" t="s">
        <v>1542</v>
      </c>
      <c r="V167" s="43" t="s">
        <v>1542</v>
      </c>
      <c r="W167" s="43" t="s">
        <v>1542</v>
      </c>
      <c r="X167" s="43" t="s">
        <v>1542</v>
      </c>
      <c r="Y167" s="43" t="s">
        <v>1542</v>
      </c>
      <c r="Z167" s="43" t="s">
        <v>1542</v>
      </c>
      <c r="AA167" s="43" t="s">
        <v>1542</v>
      </c>
      <c r="AB167" s="46">
        <f t="shared" si="14"/>
        <v>0</v>
      </c>
      <c r="AC167" s="44" t="s">
        <v>1542</v>
      </c>
      <c r="AD167" s="44" t="s">
        <v>1542</v>
      </c>
      <c r="AE167" s="44" t="s">
        <v>1542</v>
      </c>
      <c r="AF167" s="44" t="s">
        <v>1542</v>
      </c>
      <c r="AG167" s="44" t="s">
        <v>1542</v>
      </c>
      <c r="AH167" s="44" t="s">
        <v>1542</v>
      </c>
      <c r="AI167" s="44" t="s">
        <v>1542</v>
      </c>
      <c r="AJ167" s="44" t="s">
        <v>1542</v>
      </c>
      <c r="AK167" s="44" t="s">
        <v>1542</v>
      </c>
      <c r="AL167" s="44" t="s">
        <v>1542</v>
      </c>
      <c r="AM167" s="44" t="s">
        <v>1542</v>
      </c>
      <c r="AN167" s="44" t="s">
        <v>1542</v>
      </c>
      <c r="AO167" s="46">
        <f t="shared" si="10"/>
        <v>0</v>
      </c>
      <c r="AP167" s="43" t="s">
        <v>1542</v>
      </c>
      <c r="AQ167" s="43" t="s">
        <v>1542</v>
      </c>
      <c r="AR167" s="43" t="s">
        <v>1542</v>
      </c>
      <c r="AS167" s="43" t="s">
        <v>1542</v>
      </c>
      <c r="AT167" s="43" t="s">
        <v>1542</v>
      </c>
      <c r="AU167" s="43" t="s">
        <v>1542</v>
      </c>
      <c r="AV167" s="43" t="s">
        <v>1542</v>
      </c>
      <c r="AW167" s="43" t="s">
        <v>1542</v>
      </c>
      <c r="AX167" s="43" t="s">
        <v>1542</v>
      </c>
      <c r="AY167" s="43" t="s">
        <v>1542</v>
      </c>
      <c r="AZ167" s="43" t="s">
        <v>1542</v>
      </c>
      <c r="BA167" s="43" t="s">
        <v>1542</v>
      </c>
      <c r="BB167" s="46">
        <f t="shared" si="11"/>
        <v>0</v>
      </c>
      <c r="BC167" s="44" t="s">
        <v>1542</v>
      </c>
      <c r="BD167" s="44" t="s">
        <v>1542</v>
      </c>
      <c r="BE167" s="44" t="s">
        <v>1542</v>
      </c>
      <c r="BF167" s="44" t="s">
        <v>1542</v>
      </c>
      <c r="BG167" s="44" t="s">
        <v>1542</v>
      </c>
      <c r="BH167" s="44" t="s">
        <v>1542</v>
      </c>
      <c r="BI167" s="44" t="s">
        <v>1542</v>
      </c>
      <c r="BJ167" s="44" t="s">
        <v>1542</v>
      </c>
      <c r="BK167" s="44" t="s">
        <v>1542</v>
      </c>
      <c r="BL167" s="44" t="s">
        <v>1542</v>
      </c>
      <c r="BM167" s="44" t="s">
        <v>1542</v>
      </c>
      <c r="BN167" s="44" t="s">
        <v>1542</v>
      </c>
      <c r="BO167" s="46">
        <f t="shared" si="12"/>
        <v>0</v>
      </c>
      <c r="BP167" s="43" t="s">
        <v>1542</v>
      </c>
      <c r="BQ167" s="43" t="s">
        <v>1542</v>
      </c>
      <c r="BR167" s="43" t="s">
        <v>1542</v>
      </c>
      <c r="BS167" s="43" t="s">
        <v>1542</v>
      </c>
      <c r="BT167" s="43" t="s">
        <v>1542</v>
      </c>
      <c r="BU167" s="43" t="s">
        <v>1542</v>
      </c>
      <c r="BV167" s="43" t="s">
        <v>1542</v>
      </c>
      <c r="BW167" s="43" t="s">
        <v>1542</v>
      </c>
      <c r="BX167" s="43" t="s">
        <v>1542</v>
      </c>
      <c r="BY167" s="43" t="s">
        <v>1542</v>
      </c>
      <c r="BZ167" s="43" t="s">
        <v>1542</v>
      </c>
      <c r="CA167" s="43" t="s">
        <v>1542</v>
      </c>
    </row>
    <row r="168" spans="1:79">
      <c r="A168">
        <v>167</v>
      </c>
      <c r="B168">
        <v>1</v>
      </c>
      <c r="C168" t="s">
        <v>1696</v>
      </c>
      <c r="D168" t="s">
        <v>1697</v>
      </c>
      <c r="E168" t="s">
        <v>2280</v>
      </c>
      <c r="F168" t="s">
        <v>2281</v>
      </c>
      <c r="G168" t="s">
        <v>2300</v>
      </c>
      <c r="H168" t="s">
        <v>2300</v>
      </c>
      <c r="I168" t="s">
        <v>2301</v>
      </c>
      <c r="J168" t="s">
        <v>2302</v>
      </c>
      <c r="K168" t="s">
        <v>2303</v>
      </c>
      <c r="M168" s="1" t="s">
        <v>2304</v>
      </c>
      <c r="O168" s="46">
        <f t="shared" si="13"/>
        <v>0</v>
      </c>
      <c r="P168" s="43" t="s">
        <v>1542</v>
      </c>
      <c r="Q168" s="43" t="s">
        <v>1542</v>
      </c>
      <c r="R168" s="43" t="s">
        <v>1542</v>
      </c>
      <c r="S168" s="43" t="s">
        <v>1542</v>
      </c>
      <c r="T168" s="43" t="s">
        <v>1542</v>
      </c>
      <c r="U168" s="43" t="s">
        <v>1542</v>
      </c>
      <c r="V168" s="43" t="s">
        <v>1542</v>
      </c>
      <c r="W168" s="43" t="s">
        <v>1542</v>
      </c>
      <c r="X168" s="43" t="s">
        <v>1542</v>
      </c>
      <c r="Y168" s="43" t="s">
        <v>1542</v>
      </c>
      <c r="Z168" s="43" t="s">
        <v>1542</v>
      </c>
      <c r="AA168" s="43" t="s">
        <v>1542</v>
      </c>
      <c r="AB168" s="46">
        <f t="shared" si="14"/>
        <v>0</v>
      </c>
      <c r="AC168" s="44" t="s">
        <v>1542</v>
      </c>
      <c r="AD168" s="44" t="s">
        <v>1542</v>
      </c>
      <c r="AE168" s="44" t="s">
        <v>1542</v>
      </c>
      <c r="AF168" s="44" t="s">
        <v>1542</v>
      </c>
      <c r="AG168" s="44" t="s">
        <v>1542</v>
      </c>
      <c r="AH168" s="44" t="s">
        <v>1542</v>
      </c>
      <c r="AI168" s="44" t="s">
        <v>1542</v>
      </c>
      <c r="AJ168" s="44" t="s">
        <v>1542</v>
      </c>
      <c r="AK168" s="44" t="s">
        <v>1542</v>
      </c>
      <c r="AL168" s="44" t="s">
        <v>1542</v>
      </c>
      <c r="AM168" s="44" t="s">
        <v>1542</v>
      </c>
      <c r="AN168" s="44" t="s">
        <v>1542</v>
      </c>
      <c r="AO168" s="46">
        <f t="shared" si="10"/>
        <v>0</v>
      </c>
      <c r="AP168" s="43" t="s">
        <v>1542</v>
      </c>
      <c r="AQ168" s="43" t="s">
        <v>1542</v>
      </c>
      <c r="AR168" s="43" t="s">
        <v>1542</v>
      </c>
      <c r="AS168" s="43" t="s">
        <v>1542</v>
      </c>
      <c r="AT168" s="43" t="s">
        <v>1542</v>
      </c>
      <c r="AU168" s="43" t="s">
        <v>1542</v>
      </c>
      <c r="AV168" s="43" t="s">
        <v>1542</v>
      </c>
      <c r="AW168" s="43" t="s">
        <v>1542</v>
      </c>
      <c r="AX168" s="43" t="s">
        <v>1542</v>
      </c>
      <c r="AY168" s="43" t="s">
        <v>1542</v>
      </c>
      <c r="AZ168" s="43" t="s">
        <v>1542</v>
      </c>
      <c r="BA168" s="43" t="s">
        <v>1542</v>
      </c>
      <c r="BB168" s="46">
        <f t="shared" si="11"/>
        <v>0</v>
      </c>
      <c r="BC168" s="44" t="s">
        <v>1542</v>
      </c>
      <c r="BD168" s="44" t="s">
        <v>1542</v>
      </c>
      <c r="BE168" s="44" t="s">
        <v>1542</v>
      </c>
      <c r="BF168" s="44" t="s">
        <v>1542</v>
      </c>
      <c r="BG168" s="44" t="s">
        <v>1542</v>
      </c>
      <c r="BH168" s="44" t="s">
        <v>1542</v>
      </c>
      <c r="BI168" s="44" t="s">
        <v>1542</v>
      </c>
      <c r="BJ168" s="44" t="s">
        <v>1542</v>
      </c>
      <c r="BK168" s="44" t="s">
        <v>1542</v>
      </c>
      <c r="BL168" s="44" t="s">
        <v>1542</v>
      </c>
      <c r="BM168" s="44" t="s">
        <v>1542</v>
      </c>
      <c r="BN168" s="44" t="s">
        <v>1542</v>
      </c>
      <c r="BO168" s="46">
        <f t="shared" si="12"/>
        <v>0</v>
      </c>
      <c r="BP168" s="43" t="s">
        <v>1542</v>
      </c>
      <c r="BQ168" s="43" t="s">
        <v>1542</v>
      </c>
      <c r="BR168" s="43" t="s">
        <v>1542</v>
      </c>
      <c r="BS168" s="43" t="s">
        <v>1542</v>
      </c>
      <c r="BT168" s="43" t="s">
        <v>1542</v>
      </c>
      <c r="BU168" s="43" t="s">
        <v>1542</v>
      </c>
      <c r="BV168" s="43" t="s">
        <v>1542</v>
      </c>
      <c r="BW168" s="43" t="s">
        <v>1542</v>
      </c>
      <c r="BX168" s="43" t="s">
        <v>1542</v>
      </c>
      <c r="BY168" s="43" t="s">
        <v>1542</v>
      </c>
      <c r="BZ168" s="43" t="s">
        <v>1542</v>
      </c>
      <c r="CA168" s="43" t="s">
        <v>1542</v>
      </c>
    </row>
    <row r="169" spans="1:79">
      <c r="A169">
        <v>168</v>
      </c>
      <c r="B169">
        <v>1</v>
      </c>
      <c r="C169" t="s">
        <v>1696</v>
      </c>
      <c r="D169" t="s">
        <v>1697</v>
      </c>
      <c r="E169" t="s">
        <v>2280</v>
      </c>
      <c r="F169" t="s">
        <v>2281</v>
      </c>
      <c r="G169" t="s">
        <v>2305</v>
      </c>
      <c r="H169" t="s">
        <v>2305</v>
      </c>
      <c r="J169" t="s">
        <v>2306</v>
      </c>
      <c r="K169" t="s">
        <v>2307</v>
      </c>
      <c r="M169" s="1" t="s">
        <v>2308</v>
      </c>
      <c r="N169" t="s">
        <v>2309</v>
      </c>
      <c r="O169" s="46">
        <f t="shared" si="13"/>
        <v>0</v>
      </c>
      <c r="P169" s="43" t="s">
        <v>1542</v>
      </c>
      <c r="Q169" s="43" t="s">
        <v>1542</v>
      </c>
      <c r="R169" s="43" t="s">
        <v>1542</v>
      </c>
      <c r="S169" s="43" t="s">
        <v>1542</v>
      </c>
      <c r="T169" s="43" t="s">
        <v>1542</v>
      </c>
      <c r="U169" s="43" t="s">
        <v>1542</v>
      </c>
      <c r="V169" s="43" t="s">
        <v>1542</v>
      </c>
      <c r="W169" s="43" t="s">
        <v>1542</v>
      </c>
      <c r="X169" s="43" t="s">
        <v>1542</v>
      </c>
      <c r="Y169" s="43" t="s">
        <v>1542</v>
      </c>
      <c r="Z169" s="43" t="s">
        <v>1542</v>
      </c>
      <c r="AA169" s="43" t="s">
        <v>1542</v>
      </c>
      <c r="AB169" s="46">
        <f t="shared" si="14"/>
        <v>0</v>
      </c>
      <c r="AC169" s="44" t="s">
        <v>1542</v>
      </c>
      <c r="AD169" s="44" t="s">
        <v>1542</v>
      </c>
      <c r="AE169" s="44" t="s">
        <v>1542</v>
      </c>
      <c r="AF169" s="44" t="s">
        <v>1542</v>
      </c>
      <c r="AG169" s="44" t="s">
        <v>1542</v>
      </c>
      <c r="AH169" s="44" t="s">
        <v>1542</v>
      </c>
      <c r="AI169" s="44" t="s">
        <v>1542</v>
      </c>
      <c r="AJ169" s="44" t="s">
        <v>1542</v>
      </c>
      <c r="AK169" s="44" t="s">
        <v>1542</v>
      </c>
      <c r="AL169" s="44" t="s">
        <v>1542</v>
      </c>
      <c r="AM169" s="44" t="s">
        <v>1542</v>
      </c>
      <c r="AN169" s="44" t="s">
        <v>1542</v>
      </c>
      <c r="AO169" s="46">
        <f t="shared" si="10"/>
        <v>0</v>
      </c>
      <c r="AP169" s="43" t="s">
        <v>1542</v>
      </c>
      <c r="AQ169" s="43" t="s">
        <v>1542</v>
      </c>
      <c r="AR169" s="43" t="s">
        <v>1542</v>
      </c>
      <c r="AS169" s="43" t="s">
        <v>1542</v>
      </c>
      <c r="AT169" s="43" t="s">
        <v>1542</v>
      </c>
      <c r="AU169" s="43" t="s">
        <v>1542</v>
      </c>
      <c r="AV169" s="43" t="s">
        <v>1542</v>
      </c>
      <c r="AW169" s="43" t="s">
        <v>1542</v>
      </c>
      <c r="AX169" s="43" t="s">
        <v>1542</v>
      </c>
      <c r="AY169" s="43" t="s">
        <v>1542</v>
      </c>
      <c r="AZ169" s="43" t="s">
        <v>1542</v>
      </c>
      <c r="BA169" s="43" t="s">
        <v>1542</v>
      </c>
      <c r="BB169" s="46">
        <f t="shared" si="11"/>
        <v>0</v>
      </c>
      <c r="BC169" s="44" t="s">
        <v>1542</v>
      </c>
      <c r="BD169" s="44" t="s">
        <v>1542</v>
      </c>
      <c r="BE169" s="44" t="s">
        <v>1542</v>
      </c>
      <c r="BF169" s="44" t="s">
        <v>1542</v>
      </c>
      <c r="BG169" s="44" t="s">
        <v>1542</v>
      </c>
      <c r="BH169" s="44" t="s">
        <v>1542</v>
      </c>
      <c r="BI169" s="44" t="s">
        <v>1542</v>
      </c>
      <c r="BJ169" s="44" t="s">
        <v>1542</v>
      </c>
      <c r="BK169" s="44" t="s">
        <v>1542</v>
      </c>
      <c r="BL169" s="44" t="s">
        <v>1542</v>
      </c>
      <c r="BM169" s="44" t="s">
        <v>1542</v>
      </c>
      <c r="BN169" s="44" t="s">
        <v>1542</v>
      </c>
      <c r="BO169" s="46">
        <f t="shared" si="12"/>
        <v>0</v>
      </c>
      <c r="BP169" s="43" t="s">
        <v>1542</v>
      </c>
      <c r="BQ169" s="43" t="s">
        <v>1542</v>
      </c>
      <c r="BR169" s="43" t="s">
        <v>1542</v>
      </c>
      <c r="BS169" s="43" t="s">
        <v>1542</v>
      </c>
      <c r="BT169" s="43" t="s">
        <v>1554</v>
      </c>
      <c r="BU169" s="43" t="s">
        <v>1542</v>
      </c>
      <c r="BV169" s="43" t="s">
        <v>1542</v>
      </c>
      <c r="BW169" s="43" t="s">
        <v>1542</v>
      </c>
      <c r="BX169" s="43" t="s">
        <v>1542</v>
      </c>
      <c r="BY169" s="43" t="s">
        <v>1542</v>
      </c>
      <c r="BZ169" s="43" t="s">
        <v>1542</v>
      </c>
      <c r="CA169" s="43" t="s">
        <v>1542</v>
      </c>
    </row>
    <row r="170" spans="1:79">
      <c r="A170">
        <v>169</v>
      </c>
      <c r="B170">
        <v>1</v>
      </c>
      <c r="C170" t="s">
        <v>1696</v>
      </c>
      <c r="D170" t="s">
        <v>1697</v>
      </c>
      <c r="E170" t="s">
        <v>2280</v>
      </c>
      <c r="F170" t="s">
        <v>2281</v>
      </c>
      <c r="G170" t="s">
        <v>2310</v>
      </c>
      <c r="H170" t="s">
        <v>2310</v>
      </c>
      <c r="J170" t="s">
        <v>2311</v>
      </c>
      <c r="K170" t="s">
        <v>2312</v>
      </c>
      <c r="M170" s="1" t="s">
        <v>2313</v>
      </c>
      <c r="O170" s="46">
        <f t="shared" si="13"/>
        <v>0</v>
      </c>
      <c r="P170" s="43" t="s">
        <v>1542</v>
      </c>
      <c r="Q170" s="43" t="s">
        <v>1542</v>
      </c>
      <c r="R170" s="43" t="s">
        <v>1542</v>
      </c>
      <c r="S170" s="43" t="s">
        <v>1542</v>
      </c>
      <c r="T170" s="43" t="s">
        <v>1542</v>
      </c>
      <c r="U170" s="43" t="s">
        <v>1542</v>
      </c>
      <c r="V170" s="43" t="s">
        <v>1542</v>
      </c>
      <c r="W170" s="43" t="s">
        <v>1542</v>
      </c>
      <c r="X170" s="43" t="s">
        <v>1542</v>
      </c>
      <c r="Y170" s="43" t="s">
        <v>1542</v>
      </c>
      <c r="Z170" s="43" t="s">
        <v>1542</v>
      </c>
      <c r="AA170" s="43" t="s">
        <v>1542</v>
      </c>
      <c r="AB170" s="46">
        <f t="shared" si="14"/>
        <v>0</v>
      </c>
      <c r="AC170" s="44" t="s">
        <v>1542</v>
      </c>
      <c r="AD170" s="44" t="s">
        <v>1542</v>
      </c>
      <c r="AE170" s="44" t="s">
        <v>1542</v>
      </c>
      <c r="AF170" s="44" t="s">
        <v>1542</v>
      </c>
      <c r="AG170" s="44" t="s">
        <v>1542</v>
      </c>
      <c r="AH170" s="44" t="s">
        <v>1542</v>
      </c>
      <c r="AI170" s="44" t="s">
        <v>1542</v>
      </c>
      <c r="AJ170" s="44" t="s">
        <v>1542</v>
      </c>
      <c r="AK170" s="44" t="s">
        <v>1542</v>
      </c>
      <c r="AL170" s="44" t="s">
        <v>1542</v>
      </c>
      <c r="AM170" s="44" t="s">
        <v>1542</v>
      </c>
      <c r="AN170" s="44" t="s">
        <v>1542</v>
      </c>
      <c r="AO170" s="46">
        <f t="shared" si="10"/>
        <v>0</v>
      </c>
      <c r="AP170" s="43" t="s">
        <v>1542</v>
      </c>
      <c r="AQ170" s="43" t="s">
        <v>1542</v>
      </c>
      <c r="AR170" s="43" t="s">
        <v>1542</v>
      </c>
      <c r="AS170" s="43" t="s">
        <v>1542</v>
      </c>
      <c r="AT170" s="43" t="s">
        <v>1542</v>
      </c>
      <c r="AU170" s="43" t="s">
        <v>1542</v>
      </c>
      <c r="AV170" s="43" t="s">
        <v>1542</v>
      </c>
      <c r="AW170" s="43" t="s">
        <v>1542</v>
      </c>
      <c r="AX170" s="43" t="s">
        <v>1542</v>
      </c>
      <c r="AY170" s="43" t="s">
        <v>1542</v>
      </c>
      <c r="AZ170" s="43" t="s">
        <v>1542</v>
      </c>
      <c r="BA170" s="43" t="s">
        <v>1542</v>
      </c>
      <c r="BB170" s="46">
        <f t="shared" si="11"/>
        <v>0</v>
      </c>
      <c r="BC170" s="44" t="s">
        <v>1542</v>
      </c>
      <c r="BD170" s="44" t="s">
        <v>1542</v>
      </c>
      <c r="BE170" s="44" t="s">
        <v>1542</v>
      </c>
      <c r="BF170" s="44" t="s">
        <v>1542</v>
      </c>
      <c r="BG170" s="44" t="s">
        <v>1542</v>
      </c>
      <c r="BH170" s="44" t="s">
        <v>1542</v>
      </c>
      <c r="BI170" s="44" t="s">
        <v>1542</v>
      </c>
      <c r="BJ170" s="44" t="s">
        <v>1542</v>
      </c>
      <c r="BK170" s="44" t="s">
        <v>1542</v>
      </c>
      <c r="BL170" s="44" t="s">
        <v>1542</v>
      </c>
      <c r="BM170" s="44" t="s">
        <v>1542</v>
      </c>
      <c r="BN170" s="44" t="s">
        <v>1542</v>
      </c>
      <c r="BO170" s="46">
        <f t="shared" si="12"/>
        <v>0</v>
      </c>
      <c r="BP170" s="43" t="s">
        <v>1542</v>
      </c>
      <c r="BQ170" s="43" t="s">
        <v>1542</v>
      </c>
      <c r="BR170" s="43" t="s">
        <v>1542</v>
      </c>
      <c r="BS170" s="43" t="s">
        <v>1542</v>
      </c>
      <c r="BT170" s="43" t="s">
        <v>1542</v>
      </c>
      <c r="BU170" s="43" t="s">
        <v>1542</v>
      </c>
      <c r="BV170" s="43" t="s">
        <v>1542</v>
      </c>
      <c r="BW170" s="43" t="s">
        <v>1542</v>
      </c>
      <c r="BX170" s="43" t="s">
        <v>1542</v>
      </c>
      <c r="BY170" s="43" t="s">
        <v>1542</v>
      </c>
      <c r="BZ170" s="43" t="s">
        <v>1542</v>
      </c>
      <c r="CA170" s="43" t="s">
        <v>1542</v>
      </c>
    </row>
    <row r="171" spans="1:79">
      <c r="A171">
        <v>170</v>
      </c>
      <c r="B171">
        <v>1</v>
      </c>
      <c r="C171" t="s">
        <v>1696</v>
      </c>
      <c r="D171" t="s">
        <v>1697</v>
      </c>
      <c r="E171" t="s">
        <v>2280</v>
      </c>
      <c r="F171" t="s">
        <v>2281</v>
      </c>
      <c r="G171" t="s">
        <v>2314</v>
      </c>
      <c r="H171" t="s">
        <v>2314</v>
      </c>
      <c r="I171" t="s">
        <v>2315</v>
      </c>
      <c r="J171" t="s">
        <v>2316</v>
      </c>
      <c r="K171" t="s">
        <v>2317</v>
      </c>
      <c r="M171" s="1" t="s">
        <v>2318</v>
      </c>
      <c r="O171" s="46">
        <f t="shared" si="13"/>
        <v>0</v>
      </c>
      <c r="P171" s="43" t="s">
        <v>1542</v>
      </c>
      <c r="Q171" s="43" t="s">
        <v>1542</v>
      </c>
      <c r="R171" s="43" t="s">
        <v>1542</v>
      </c>
      <c r="S171" s="43" t="s">
        <v>1542</v>
      </c>
      <c r="T171" s="43" t="s">
        <v>1542</v>
      </c>
      <c r="U171" s="43" t="s">
        <v>1542</v>
      </c>
      <c r="V171" s="43" t="s">
        <v>1542</v>
      </c>
      <c r="W171" s="43" t="s">
        <v>1542</v>
      </c>
      <c r="X171" s="43" t="s">
        <v>1542</v>
      </c>
      <c r="Y171" s="43" t="s">
        <v>1542</v>
      </c>
      <c r="Z171" s="43" t="s">
        <v>1542</v>
      </c>
      <c r="AA171" s="43" t="s">
        <v>1542</v>
      </c>
      <c r="AB171" s="46">
        <f t="shared" si="14"/>
        <v>0</v>
      </c>
      <c r="AC171" s="44" t="s">
        <v>1542</v>
      </c>
      <c r="AD171" s="44" t="s">
        <v>1542</v>
      </c>
      <c r="AE171" s="44" t="s">
        <v>1542</v>
      </c>
      <c r="AF171" s="44" t="s">
        <v>1542</v>
      </c>
      <c r="AG171" s="44" t="s">
        <v>1542</v>
      </c>
      <c r="AH171" s="44" t="s">
        <v>1542</v>
      </c>
      <c r="AI171" s="44" t="s">
        <v>1542</v>
      </c>
      <c r="AJ171" s="44" t="s">
        <v>1542</v>
      </c>
      <c r="AK171" s="44" t="s">
        <v>1542</v>
      </c>
      <c r="AL171" s="44" t="s">
        <v>1542</v>
      </c>
      <c r="AM171" s="44" t="s">
        <v>1542</v>
      </c>
      <c r="AN171" s="44" t="s">
        <v>1542</v>
      </c>
      <c r="AO171" s="46">
        <f t="shared" si="10"/>
        <v>0</v>
      </c>
      <c r="AP171" s="43" t="s">
        <v>1542</v>
      </c>
      <c r="AQ171" s="43" t="s">
        <v>1542</v>
      </c>
      <c r="AR171" s="43" t="s">
        <v>1542</v>
      </c>
      <c r="AS171" s="43" t="s">
        <v>1542</v>
      </c>
      <c r="AT171" s="43" t="s">
        <v>1542</v>
      </c>
      <c r="AU171" s="43" t="s">
        <v>1542</v>
      </c>
      <c r="AV171" s="43" t="s">
        <v>1542</v>
      </c>
      <c r="AW171" s="43" t="s">
        <v>1542</v>
      </c>
      <c r="AX171" s="43" t="s">
        <v>1542</v>
      </c>
      <c r="AY171" s="43" t="s">
        <v>1542</v>
      </c>
      <c r="AZ171" s="43" t="s">
        <v>1542</v>
      </c>
      <c r="BA171" s="43" t="s">
        <v>1542</v>
      </c>
      <c r="BB171" s="46">
        <f t="shared" si="11"/>
        <v>0</v>
      </c>
      <c r="BC171" s="44" t="s">
        <v>1542</v>
      </c>
      <c r="BD171" s="44" t="s">
        <v>1542</v>
      </c>
      <c r="BE171" s="44" t="s">
        <v>1542</v>
      </c>
      <c r="BF171" s="44" t="s">
        <v>1542</v>
      </c>
      <c r="BG171" s="44" t="s">
        <v>1542</v>
      </c>
      <c r="BH171" s="44" t="s">
        <v>1542</v>
      </c>
      <c r="BI171" s="44" t="s">
        <v>1542</v>
      </c>
      <c r="BJ171" s="44" t="s">
        <v>1542</v>
      </c>
      <c r="BK171" s="44" t="s">
        <v>1542</v>
      </c>
      <c r="BL171" s="44" t="s">
        <v>1542</v>
      </c>
      <c r="BM171" s="44" t="s">
        <v>1542</v>
      </c>
      <c r="BN171" s="44" t="s">
        <v>1542</v>
      </c>
      <c r="BO171" s="46">
        <f t="shared" si="12"/>
        <v>0</v>
      </c>
      <c r="BP171" s="43" t="s">
        <v>1542</v>
      </c>
      <c r="BQ171" s="43" t="s">
        <v>1542</v>
      </c>
      <c r="BR171" s="43" t="s">
        <v>1542</v>
      </c>
      <c r="BS171" s="43" t="s">
        <v>1542</v>
      </c>
      <c r="BT171" s="43" t="s">
        <v>1542</v>
      </c>
      <c r="BU171" s="43" t="s">
        <v>1542</v>
      </c>
      <c r="BV171" s="43" t="s">
        <v>1542</v>
      </c>
      <c r="BW171" s="43" t="s">
        <v>1542</v>
      </c>
      <c r="BX171" s="43" t="s">
        <v>1542</v>
      </c>
      <c r="BY171" s="43" t="s">
        <v>1542</v>
      </c>
      <c r="BZ171" s="43" t="s">
        <v>1542</v>
      </c>
      <c r="CA171" s="43" t="s">
        <v>1542</v>
      </c>
    </row>
    <row r="172" spans="1:79">
      <c r="A172">
        <v>171</v>
      </c>
      <c r="B172">
        <v>1</v>
      </c>
      <c r="C172" t="s">
        <v>1696</v>
      </c>
      <c r="D172" t="s">
        <v>1697</v>
      </c>
      <c r="E172" t="s">
        <v>2280</v>
      </c>
      <c r="F172" t="s">
        <v>2281</v>
      </c>
      <c r="G172" t="s">
        <v>2319</v>
      </c>
      <c r="H172" t="s">
        <v>2319</v>
      </c>
      <c r="J172" t="s">
        <v>2320</v>
      </c>
      <c r="K172" t="s">
        <v>2321</v>
      </c>
      <c r="L172" t="s">
        <v>1539</v>
      </c>
      <c r="M172" s="1" t="s">
        <v>2322</v>
      </c>
      <c r="N172" t="s">
        <v>2323</v>
      </c>
      <c r="O172" s="46">
        <f t="shared" si="13"/>
        <v>0</v>
      </c>
      <c r="P172" s="43" t="s">
        <v>1542</v>
      </c>
      <c r="Q172" s="43" t="s">
        <v>1542</v>
      </c>
      <c r="R172" s="43" t="s">
        <v>1542</v>
      </c>
      <c r="S172" s="43" t="s">
        <v>1542</v>
      </c>
      <c r="T172" s="43" t="s">
        <v>1542</v>
      </c>
      <c r="U172" s="43" t="s">
        <v>1542</v>
      </c>
      <c r="V172" s="43" t="s">
        <v>1542</v>
      </c>
      <c r="W172" s="43" t="s">
        <v>1542</v>
      </c>
      <c r="X172" s="43" t="s">
        <v>1542</v>
      </c>
      <c r="Y172" s="43" t="s">
        <v>1542</v>
      </c>
      <c r="Z172" s="43" t="s">
        <v>1542</v>
      </c>
      <c r="AA172" s="43" t="s">
        <v>1542</v>
      </c>
      <c r="AB172" s="46">
        <f t="shared" si="14"/>
        <v>0</v>
      </c>
      <c r="AC172" s="44" t="s">
        <v>1542</v>
      </c>
      <c r="AD172" s="44" t="s">
        <v>1542</v>
      </c>
      <c r="AE172" s="44" t="s">
        <v>1542</v>
      </c>
      <c r="AF172" s="44" t="s">
        <v>1542</v>
      </c>
      <c r="AG172" s="44" t="s">
        <v>1542</v>
      </c>
      <c r="AH172" s="44" t="s">
        <v>1542</v>
      </c>
      <c r="AI172" s="44" t="s">
        <v>1542</v>
      </c>
      <c r="AJ172" s="44" t="s">
        <v>1542</v>
      </c>
      <c r="AK172" s="44" t="s">
        <v>1542</v>
      </c>
      <c r="AL172" s="44" t="s">
        <v>1542</v>
      </c>
      <c r="AM172" s="44" t="s">
        <v>1542</v>
      </c>
      <c r="AN172" s="44" t="s">
        <v>1542</v>
      </c>
      <c r="AO172" s="46">
        <f t="shared" si="10"/>
        <v>0</v>
      </c>
      <c r="AP172" s="43" t="s">
        <v>1542</v>
      </c>
      <c r="AQ172" s="43" t="s">
        <v>1542</v>
      </c>
      <c r="AR172" s="43" t="s">
        <v>1542</v>
      </c>
      <c r="AS172" s="43" t="s">
        <v>1542</v>
      </c>
      <c r="AT172" s="43" t="s">
        <v>1542</v>
      </c>
      <c r="AU172" s="43" t="s">
        <v>1542</v>
      </c>
      <c r="AV172" s="43" t="s">
        <v>1542</v>
      </c>
      <c r="AW172" s="43" t="s">
        <v>1542</v>
      </c>
      <c r="AX172" s="43" t="s">
        <v>1542</v>
      </c>
      <c r="AY172" s="43" t="s">
        <v>1542</v>
      </c>
      <c r="AZ172" s="43" t="s">
        <v>1542</v>
      </c>
      <c r="BA172" s="43" t="s">
        <v>1542</v>
      </c>
      <c r="BB172" s="46">
        <f t="shared" si="11"/>
        <v>0</v>
      </c>
      <c r="BC172" s="44" t="s">
        <v>1554</v>
      </c>
      <c r="BD172" s="44" t="s">
        <v>1542</v>
      </c>
      <c r="BE172" s="44" t="s">
        <v>1542</v>
      </c>
      <c r="BF172" s="44" t="s">
        <v>1542</v>
      </c>
      <c r="BG172" s="44" t="s">
        <v>1542</v>
      </c>
      <c r="BH172" s="44" t="s">
        <v>1542</v>
      </c>
      <c r="BI172" s="44" t="s">
        <v>1542</v>
      </c>
      <c r="BJ172" s="44" t="s">
        <v>1542</v>
      </c>
      <c r="BK172" s="44" t="s">
        <v>1542</v>
      </c>
      <c r="BL172" s="44" t="s">
        <v>1542</v>
      </c>
      <c r="BM172" s="44" t="s">
        <v>1542</v>
      </c>
      <c r="BN172" s="44" t="s">
        <v>1542</v>
      </c>
      <c r="BO172" s="46">
        <f t="shared" si="12"/>
        <v>1</v>
      </c>
      <c r="BP172" s="43" t="s">
        <v>1542</v>
      </c>
      <c r="BQ172" s="43" t="s">
        <v>1542</v>
      </c>
      <c r="BR172" s="43" t="s">
        <v>1542</v>
      </c>
      <c r="BS172" s="43" t="s">
        <v>1542</v>
      </c>
      <c r="BT172" s="43" t="s">
        <v>1542</v>
      </c>
      <c r="BU172" s="43" t="s">
        <v>1542</v>
      </c>
      <c r="BV172" s="43" t="s">
        <v>1542</v>
      </c>
      <c r="BW172" s="43" t="s">
        <v>1542</v>
      </c>
      <c r="BX172" s="43" t="s">
        <v>1542</v>
      </c>
      <c r="BY172" s="43" t="s">
        <v>1542</v>
      </c>
      <c r="BZ172" s="43" t="s">
        <v>1542</v>
      </c>
      <c r="CA172" s="43" t="s">
        <v>1542</v>
      </c>
    </row>
    <row r="173" spans="1:79">
      <c r="A173">
        <v>172</v>
      </c>
      <c r="C173" t="s">
        <v>1696</v>
      </c>
      <c r="D173" t="s">
        <v>1697</v>
      </c>
      <c r="E173" t="s">
        <v>2280</v>
      </c>
      <c r="F173" t="s">
        <v>2281</v>
      </c>
      <c r="G173" t="s">
        <v>2319</v>
      </c>
      <c r="H173" t="s">
        <v>2324</v>
      </c>
      <c r="I173" t="s">
        <v>2324</v>
      </c>
      <c r="J173" t="s">
        <v>2320</v>
      </c>
      <c r="K173" t="s">
        <v>2321</v>
      </c>
      <c r="L173" t="s">
        <v>1539</v>
      </c>
      <c r="M173" s="1" t="s">
        <v>2325</v>
      </c>
      <c r="N173" t="s">
        <v>2326</v>
      </c>
      <c r="O173" s="46">
        <f t="shared" si="13"/>
        <v>0</v>
      </c>
      <c r="P173" s="43"/>
      <c r="Q173" s="43"/>
      <c r="R173" s="43"/>
      <c r="S173" s="43"/>
      <c r="T173" s="43"/>
      <c r="U173" s="43"/>
      <c r="V173" s="43"/>
      <c r="W173" s="43"/>
      <c r="X173" s="43"/>
      <c r="Y173" s="43"/>
      <c r="Z173" s="43"/>
      <c r="AA173" s="43"/>
      <c r="AB173" s="46">
        <f t="shared" si="14"/>
        <v>4</v>
      </c>
      <c r="AC173" s="44" t="s">
        <v>1542</v>
      </c>
      <c r="AD173" s="44" t="s">
        <v>1542</v>
      </c>
      <c r="AE173" s="44" t="s">
        <v>1554</v>
      </c>
      <c r="AF173" s="44" t="s">
        <v>1554</v>
      </c>
      <c r="AG173" s="44" t="s">
        <v>1554</v>
      </c>
      <c r="AH173" s="44" t="s">
        <v>1542</v>
      </c>
      <c r="AI173" s="44" t="s">
        <v>1542</v>
      </c>
      <c r="AJ173" s="44" t="s">
        <v>1542</v>
      </c>
      <c r="AK173" s="44" t="s">
        <v>1554</v>
      </c>
      <c r="AL173" s="44"/>
      <c r="AM173" s="44"/>
      <c r="AN173" s="44"/>
      <c r="AO173" s="46">
        <f t="shared" si="10"/>
        <v>4</v>
      </c>
      <c r="AP173" s="43" t="s">
        <v>1542</v>
      </c>
      <c r="AQ173" s="43" t="s">
        <v>1542</v>
      </c>
      <c r="AR173" s="43" t="s">
        <v>1542</v>
      </c>
      <c r="AS173" s="43" t="s">
        <v>1542</v>
      </c>
      <c r="AT173" s="43" t="s">
        <v>1542</v>
      </c>
      <c r="AU173" s="43" t="s">
        <v>1542</v>
      </c>
      <c r="AV173" s="43" t="s">
        <v>1542</v>
      </c>
      <c r="AW173" s="43" t="s">
        <v>1542</v>
      </c>
      <c r="AX173" s="43" t="s">
        <v>1542</v>
      </c>
      <c r="AY173" s="43" t="s">
        <v>1542</v>
      </c>
      <c r="AZ173" s="43" t="s">
        <v>1542</v>
      </c>
      <c r="BA173" s="43" t="s">
        <v>1542</v>
      </c>
      <c r="BB173" s="46">
        <f t="shared" si="11"/>
        <v>0</v>
      </c>
      <c r="BC173" s="44" t="s">
        <v>1554</v>
      </c>
      <c r="BD173" s="44" t="s">
        <v>1542</v>
      </c>
      <c r="BE173" s="44" t="s">
        <v>1542</v>
      </c>
      <c r="BF173" s="44" t="s">
        <v>1542</v>
      </c>
      <c r="BG173" s="44" t="s">
        <v>1542</v>
      </c>
      <c r="BH173" s="44" t="s">
        <v>1542</v>
      </c>
      <c r="BI173" s="44" t="s">
        <v>1542</v>
      </c>
      <c r="BJ173" s="44" t="s">
        <v>1542</v>
      </c>
      <c r="BK173" s="44" t="s">
        <v>1542</v>
      </c>
      <c r="BL173" s="44" t="s">
        <v>1542</v>
      </c>
      <c r="BM173" s="44" t="s">
        <v>1542</v>
      </c>
      <c r="BN173" s="44" t="s">
        <v>1542</v>
      </c>
      <c r="BO173" s="46">
        <f t="shared" si="12"/>
        <v>1</v>
      </c>
      <c r="BP173" s="43" t="s">
        <v>1542</v>
      </c>
      <c r="BQ173" s="43" t="s">
        <v>1542</v>
      </c>
      <c r="BR173" s="43" t="s">
        <v>1542</v>
      </c>
      <c r="BS173" s="43" t="s">
        <v>1542</v>
      </c>
      <c r="BT173" s="43" t="s">
        <v>1542</v>
      </c>
      <c r="BU173" s="43" t="s">
        <v>1542</v>
      </c>
      <c r="BV173" s="43" t="s">
        <v>1542</v>
      </c>
      <c r="BW173" s="43" t="s">
        <v>1542</v>
      </c>
      <c r="BX173" s="43" t="s">
        <v>1542</v>
      </c>
      <c r="BY173" s="43" t="s">
        <v>1542</v>
      </c>
      <c r="BZ173" s="43" t="s">
        <v>1542</v>
      </c>
      <c r="CA173" s="43" t="s">
        <v>1542</v>
      </c>
    </row>
    <row r="174" spans="1:79">
      <c r="A174">
        <v>173</v>
      </c>
      <c r="B174">
        <v>1</v>
      </c>
      <c r="C174" t="s">
        <v>1696</v>
      </c>
      <c r="D174" t="s">
        <v>1697</v>
      </c>
      <c r="E174" t="s">
        <v>2280</v>
      </c>
      <c r="F174" t="s">
        <v>2281</v>
      </c>
      <c r="G174" t="s">
        <v>2327</v>
      </c>
      <c r="H174" t="s">
        <v>2327</v>
      </c>
      <c r="J174" t="s">
        <v>2328</v>
      </c>
      <c r="K174" t="s">
        <v>2329</v>
      </c>
      <c r="M174" s="1" t="s">
        <v>2330</v>
      </c>
      <c r="O174" s="46">
        <f t="shared" si="13"/>
        <v>0</v>
      </c>
      <c r="P174" s="43" t="s">
        <v>1542</v>
      </c>
      <c r="Q174" s="43" t="s">
        <v>1542</v>
      </c>
      <c r="R174" s="43" t="s">
        <v>1542</v>
      </c>
      <c r="S174" s="43" t="s">
        <v>1542</v>
      </c>
      <c r="T174" s="43" t="s">
        <v>1542</v>
      </c>
      <c r="U174" s="43" t="s">
        <v>1542</v>
      </c>
      <c r="V174" s="43" t="s">
        <v>1542</v>
      </c>
      <c r="W174" s="43" t="s">
        <v>1542</v>
      </c>
      <c r="X174" s="43" t="s">
        <v>1542</v>
      </c>
      <c r="Y174" s="43" t="s">
        <v>1542</v>
      </c>
      <c r="Z174" s="43" t="s">
        <v>1542</v>
      </c>
      <c r="AA174" s="43" t="s">
        <v>1542</v>
      </c>
      <c r="AB174" s="46">
        <f t="shared" si="14"/>
        <v>0</v>
      </c>
      <c r="AC174" s="44" t="s">
        <v>1542</v>
      </c>
      <c r="AD174" s="44" t="s">
        <v>1542</v>
      </c>
      <c r="AE174" s="44" t="s">
        <v>1542</v>
      </c>
      <c r="AF174" s="44" t="s">
        <v>1542</v>
      </c>
      <c r="AG174" s="44" t="s">
        <v>1542</v>
      </c>
      <c r="AH174" s="44" t="s">
        <v>1542</v>
      </c>
      <c r="AI174" s="44" t="s">
        <v>1542</v>
      </c>
      <c r="AJ174" s="44" t="s">
        <v>1542</v>
      </c>
      <c r="AK174" s="44" t="s">
        <v>1542</v>
      </c>
      <c r="AL174" s="44" t="s">
        <v>1542</v>
      </c>
      <c r="AM174" s="44" t="s">
        <v>1542</v>
      </c>
      <c r="AN174" s="44" t="s">
        <v>1542</v>
      </c>
      <c r="AO174" s="46">
        <f t="shared" si="10"/>
        <v>0</v>
      </c>
      <c r="AP174" s="43" t="s">
        <v>1542</v>
      </c>
      <c r="AQ174" s="43" t="s">
        <v>1542</v>
      </c>
      <c r="AR174" s="43" t="s">
        <v>1542</v>
      </c>
      <c r="AS174" s="43" t="s">
        <v>1542</v>
      </c>
      <c r="AT174" s="43" t="s">
        <v>1542</v>
      </c>
      <c r="AU174" s="43" t="s">
        <v>1542</v>
      </c>
      <c r="AV174" s="43" t="s">
        <v>1542</v>
      </c>
      <c r="AW174" s="43" t="s">
        <v>1542</v>
      </c>
      <c r="AX174" s="43" t="s">
        <v>1542</v>
      </c>
      <c r="AY174" s="43" t="s">
        <v>1542</v>
      </c>
      <c r="AZ174" s="43" t="s">
        <v>1542</v>
      </c>
      <c r="BA174" s="43" t="s">
        <v>1542</v>
      </c>
      <c r="BB174" s="46">
        <f t="shared" si="11"/>
        <v>0</v>
      </c>
      <c r="BC174" s="44" t="s">
        <v>1542</v>
      </c>
      <c r="BD174" s="44" t="s">
        <v>1542</v>
      </c>
      <c r="BE174" s="44" t="s">
        <v>1542</v>
      </c>
      <c r="BF174" s="44" t="s">
        <v>1542</v>
      </c>
      <c r="BG174" s="44" t="s">
        <v>1542</v>
      </c>
      <c r="BH174" s="44" t="s">
        <v>1542</v>
      </c>
      <c r="BI174" s="44" t="s">
        <v>1542</v>
      </c>
      <c r="BJ174" s="44" t="s">
        <v>1542</v>
      </c>
      <c r="BK174" s="44" t="s">
        <v>1542</v>
      </c>
      <c r="BL174" s="44" t="s">
        <v>1542</v>
      </c>
      <c r="BM174" s="44" t="s">
        <v>1542</v>
      </c>
      <c r="BN174" s="44" t="s">
        <v>1542</v>
      </c>
      <c r="BO174" s="46">
        <f t="shared" si="12"/>
        <v>0</v>
      </c>
      <c r="BP174" s="43" t="s">
        <v>1542</v>
      </c>
      <c r="BQ174" s="43" t="s">
        <v>1542</v>
      </c>
      <c r="BR174" s="43" t="s">
        <v>1542</v>
      </c>
      <c r="BS174" s="43" t="s">
        <v>1542</v>
      </c>
      <c r="BT174" s="43" t="s">
        <v>1542</v>
      </c>
      <c r="BU174" s="43" t="s">
        <v>1542</v>
      </c>
      <c r="BV174" s="43" t="s">
        <v>1542</v>
      </c>
      <c r="BW174" s="43" t="s">
        <v>1542</v>
      </c>
      <c r="BX174" s="43" t="s">
        <v>1542</v>
      </c>
      <c r="BY174" s="43" t="s">
        <v>1542</v>
      </c>
      <c r="BZ174" s="43" t="s">
        <v>1542</v>
      </c>
      <c r="CA174" s="43" t="s">
        <v>1542</v>
      </c>
    </row>
    <row r="175" spans="1:79">
      <c r="A175">
        <v>174</v>
      </c>
      <c r="B175">
        <v>1</v>
      </c>
      <c r="C175" t="s">
        <v>1696</v>
      </c>
      <c r="D175" t="s">
        <v>1697</v>
      </c>
      <c r="E175" t="s">
        <v>2280</v>
      </c>
      <c r="F175" t="s">
        <v>2281</v>
      </c>
      <c r="G175" t="s">
        <v>2331</v>
      </c>
      <c r="H175" t="s">
        <v>2331</v>
      </c>
      <c r="J175" t="s">
        <v>2332</v>
      </c>
      <c r="K175" t="s">
        <v>2333</v>
      </c>
      <c r="L175" t="s">
        <v>1539</v>
      </c>
      <c r="M175" s="1" t="s">
        <v>2334</v>
      </c>
      <c r="N175" t="s">
        <v>2335</v>
      </c>
      <c r="O175" s="46">
        <f t="shared" si="13"/>
        <v>0</v>
      </c>
      <c r="P175" s="43" t="s">
        <v>1542</v>
      </c>
      <c r="Q175" s="43" t="s">
        <v>1542</v>
      </c>
      <c r="R175" s="43" t="s">
        <v>1542</v>
      </c>
      <c r="S175" s="43" t="s">
        <v>1542</v>
      </c>
      <c r="T175" s="43" t="s">
        <v>1542</v>
      </c>
      <c r="U175" s="43" t="s">
        <v>1542</v>
      </c>
      <c r="V175" s="43" t="s">
        <v>1542</v>
      </c>
      <c r="W175" s="43" t="s">
        <v>1542</v>
      </c>
      <c r="X175" s="43" t="s">
        <v>1542</v>
      </c>
      <c r="Y175" s="43" t="s">
        <v>1542</v>
      </c>
      <c r="Z175" s="43" t="s">
        <v>1542</v>
      </c>
      <c r="AA175" s="43" t="s">
        <v>1542</v>
      </c>
      <c r="AB175" s="46">
        <f t="shared" si="14"/>
        <v>0</v>
      </c>
      <c r="AC175" s="44" t="s">
        <v>1542</v>
      </c>
      <c r="AD175" s="44" t="s">
        <v>1542</v>
      </c>
      <c r="AE175" s="44" t="s">
        <v>1542</v>
      </c>
      <c r="AF175" s="44" t="s">
        <v>1542</v>
      </c>
      <c r="AG175" s="44" t="s">
        <v>1542</v>
      </c>
      <c r="AH175" s="44" t="s">
        <v>1542</v>
      </c>
      <c r="AI175" s="44" t="s">
        <v>1542</v>
      </c>
      <c r="AJ175" s="44" t="s">
        <v>1542</v>
      </c>
      <c r="AK175" s="44" t="s">
        <v>1542</v>
      </c>
      <c r="AL175" s="44" t="s">
        <v>1542</v>
      </c>
      <c r="AM175" s="44" t="s">
        <v>1542</v>
      </c>
      <c r="AN175" s="44" t="s">
        <v>1542</v>
      </c>
      <c r="AO175" s="46">
        <f t="shared" si="10"/>
        <v>0</v>
      </c>
      <c r="AP175" s="43" t="s">
        <v>1542</v>
      </c>
      <c r="AQ175" s="43" t="s">
        <v>1542</v>
      </c>
      <c r="AR175" s="43" t="s">
        <v>1542</v>
      </c>
      <c r="AS175" s="43" t="s">
        <v>1542</v>
      </c>
      <c r="AT175" s="43" t="s">
        <v>1542</v>
      </c>
      <c r="AU175" s="43" t="s">
        <v>1542</v>
      </c>
      <c r="AV175" s="43" t="s">
        <v>1542</v>
      </c>
      <c r="AW175" s="43" t="s">
        <v>1542</v>
      </c>
      <c r="AX175" s="43" t="s">
        <v>1542</v>
      </c>
      <c r="AY175" s="43" t="s">
        <v>1542</v>
      </c>
      <c r="AZ175" s="43" t="s">
        <v>1542</v>
      </c>
      <c r="BA175" s="43" t="s">
        <v>1542</v>
      </c>
      <c r="BB175" s="46">
        <f t="shared" si="11"/>
        <v>0</v>
      </c>
      <c r="BC175" s="44" t="s">
        <v>1554</v>
      </c>
      <c r="BD175" s="44" t="s">
        <v>1542</v>
      </c>
      <c r="BE175" s="44" t="s">
        <v>1542</v>
      </c>
      <c r="BF175" s="44" t="s">
        <v>1542</v>
      </c>
      <c r="BG175" s="44" t="s">
        <v>1542</v>
      </c>
      <c r="BH175" s="44" t="s">
        <v>1542</v>
      </c>
      <c r="BI175" s="44" t="s">
        <v>1542</v>
      </c>
      <c r="BJ175" s="44" t="s">
        <v>1542</v>
      </c>
      <c r="BK175" s="44" t="s">
        <v>1542</v>
      </c>
      <c r="BL175" s="44" t="s">
        <v>1542</v>
      </c>
      <c r="BM175" s="44" t="s">
        <v>1542</v>
      </c>
      <c r="BN175" s="44" t="s">
        <v>1542</v>
      </c>
      <c r="BO175" s="46">
        <f t="shared" si="12"/>
        <v>1</v>
      </c>
      <c r="BP175" s="43" t="s">
        <v>1542</v>
      </c>
      <c r="BQ175" s="43" t="s">
        <v>1542</v>
      </c>
      <c r="BR175" s="43" t="s">
        <v>1542</v>
      </c>
      <c r="BS175" s="43" t="s">
        <v>1542</v>
      </c>
      <c r="BT175" s="43" t="s">
        <v>1542</v>
      </c>
      <c r="BU175" s="43" t="s">
        <v>1542</v>
      </c>
      <c r="BV175" s="43" t="s">
        <v>1542</v>
      </c>
      <c r="BW175" s="43" t="s">
        <v>1542</v>
      </c>
      <c r="BX175" s="43" t="s">
        <v>1542</v>
      </c>
      <c r="BY175" s="43" t="s">
        <v>1542</v>
      </c>
      <c r="BZ175" s="43" t="s">
        <v>1542</v>
      </c>
      <c r="CA175" s="43" t="s">
        <v>1542</v>
      </c>
    </row>
    <row r="176" spans="1:79">
      <c r="A176">
        <v>175</v>
      </c>
      <c r="B176">
        <v>1</v>
      </c>
      <c r="C176" t="s">
        <v>1696</v>
      </c>
      <c r="D176" t="s">
        <v>1697</v>
      </c>
      <c r="E176" t="s">
        <v>2280</v>
      </c>
      <c r="F176" t="s">
        <v>2281</v>
      </c>
      <c r="G176" t="s">
        <v>2336</v>
      </c>
      <c r="H176" t="s">
        <v>2336</v>
      </c>
      <c r="J176" t="s">
        <v>2337</v>
      </c>
      <c r="K176" t="s">
        <v>2338</v>
      </c>
      <c r="M176" s="1" t="s">
        <v>2339</v>
      </c>
      <c r="O176" s="46">
        <f t="shared" si="13"/>
        <v>0</v>
      </c>
      <c r="P176" s="43" t="s">
        <v>1542</v>
      </c>
      <c r="Q176" s="43" t="s">
        <v>1542</v>
      </c>
      <c r="R176" s="43" t="s">
        <v>1542</v>
      </c>
      <c r="S176" s="43" t="s">
        <v>1542</v>
      </c>
      <c r="T176" s="43" t="s">
        <v>1542</v>
      </c>
      <c r="U176" s="43" t="s">
        <v>1542</v>
      </c>
      <c r="V176" s="43" t="s">
        <v>1542</v>
      </c>
      <c r="W176" s="43" t="s">
        <v>1542</v>
      </c>
      <c r="X176" s="43" t="s">
        <v>1542</v>
      </c>
      <c r="Y176" s="43" t="s">
        <v>1542</v>
      </c>
      <c r="Z176" s="43" t="s">
        <v>1542</v>
      </c>
      <c r="AA176" s="43" t="s">
        <v>1542</v>
      </c>
      <c r="AB176" s="46">
        <f t="shared" si="14"/>
        <v>0</v>
      </c>
      <c r="AC176" s="44" t="s">
        <v>1542</v>
      </c>
      <c r="AD176" s="44" t="s">
        <v>1542</v>
      </c>
      <c r="AE176" s="44" t="s">
        <v>1542</v>
      </c>
      <c r="AF176" s="44" t="s">
        <v>1542</v>
      </c>
      <c r="AG176" s="44" t="s">
        <v>1542</v>
      </c>
      <c r="AH176" s="44" t="s">
        <v>1542</v>
      </c>
      <c r="AI176" s="44" t="s">
        <v>1542</v>
      </c>
      <c r="AJ176" s="44" t="s">
        <v>1542</v>
      </c>
      <c r="AK176" s="44" t="s">
        <v>1542</v>
      </c>
      <c r="AL176" s="44" t="s">
        <v>1542</v>
      </c>
      <c r="AM176" s="44" t="s">
        <v>1542</v>
      </c>
      <c r="AN176" s="44" t="s">
        <v>1542</v>
      </c>
      <c r="AO176" s="46">
        <f t="shared" si="10"/>
        <v>0</v>
      </c>
      <c r="AP176" s="43" t="s">
        <v>1542</v>
      </c>
      <c r="AQ176" s="43" t="s">
        <v>1542</v>
      </c>
      <c r="AR176" s="43" t="s">
        <v>1542</v>
      </c>
      <c r="AS176" s="43" t="s">
        <v>1542</v>
      </c>
      <c r="AT176" s="43" t="s">
        <v>1542</v>
      </c>
      <c r="AU176" s="43" t="s">
        <v>1542</v>
      </c>
      <c r="AV176" s="43" t="s">
        <v>1542</v>
      </c>
      <c r="AW176" s="43" t="s">
        <v>1542</v>
      </c>
      <c r="AX176" s="43" t="s">
        <v>1542</v>
      </c>
      <c r="AY176" s="43" t="s">
        <v>1542</v>
      </c>
      <c r="AZ176" s="43" t="s">
        <v>1542</v>
      </c>
      <c r="BA176" s="43" t="s">
        <v>1542</v>
      </c>
      <c r="BB176" s="46">
        <f t="shared" si="11"/>
        <v>0</v>
      </c>
      <c r="BC176" s="44" t="s">
        <v>1542</v>
      </c>
      <c r="BD176" s="44" t="s">
        <v>1542</v>
      </c>
      <c r="BE176" s="44" t="s">
        <v>1542</v>
      </c>
      <c r="BF176" s="44" t="s">
        <v>1542</v>
      </c>
      <c r="BG176" s="44" t="s">
        <v>1542</v>
      </c>
      <c r="BH176" s="44" t="s">
        <v>1542</v>
      </c>
      <c r="BI176" s="44" t="s">
        <v>1542</v>
      </c>
      <c r="BJ176" s="44" t="s">
        <v>1542</v>
      </c>
      <c r="BK176" s="44" t="s">
        <v>1542</v>
      </c>
      <c r="BL176" s="44" t="s">
        <v>1542</v>
      </c>
      <c r="BM176" s="44" t="s">
        <v>1542</v>
      </c>
      <c r="BN176" s="44" t="s">
        <v>1542</v>
      </c>
      <c r="BO176" s="46">
        <f t="shared" si="12"/>
        <v>0</v>
      </c>
      <c r="BP176" s="43" t="s">
        <v>1542</v>
      </c>
      <c r="BQ176" s="43" t="s">
        <v>1542</v>
      </c>
      <c r="BR176" s="43" t="s">
        <v>1542</v>
      </c>
      <c r="BS176" s="43" t="s">
        <v>1542</v>
      </c>
      <c r="BT176" s="43" t="s">
        <v>1542</v>
      </c>
      <c r="BU176" s="43" t="s">
        <v>1542</v>
      </c>
      <c r="BV176" s="43" t="s">
        <v>1542</v>
      </c>
      <c r="BW176" s="43" t="s">
        <v>1542</v>
      </c>
      <c r="BX176" s="43" t="s">
        <v>1542</v>
      </c>
      <c r="BY176" s="43" t="s">
        <v>1542</v>
      </c>
      <c r="BZ176" s="43" t="s">
        <v>1542</v>
      </c>
      <c r="CA176" s="43" t="s">
        <v>1542</v>
      </c>
    </row>
    <row r="177" spans="1:79">
      <c r="A177">
        <v>176</v>
      </c>
      <c r="B177">
        <v>1</v>
      </c>
      <c r="C177" t="s">
        <v>1696</v>
      </c>
      <c r="D177" t="s">
        <v>1697</v>
      </c>
      <c r="E177" t="s">
        <v>2280</v>
      </c>
      <c r="F177" t="s">
        <v>2281</v>
      </c>
      <c r="G177" t="s">
        <v>2340</v>
      </c>
      <c r="H177" t="s">
        <v>2340</v>
      </c>
      <c r="J177" t="s">
        <v>2341</v>
      </c>
      <c r="K177" t="s">
        <v>2342</v>
      </c>
      <c r="M177" s="1" t="s">
        <v>2343</v>
      </c>
      <c r="N177" t="s">
        <v>2344</v>
      </c>
      <c r="O177" s="46">
        <f t="shared" si="13"/>
        <v>0</v>
      </c>
      <c r="P177" s="43" t="s">
        <v>1542</v>
      </c>
      <c r="Q177" s="43" t="s">
        <v>1542</v>
      </c>
      <c r="R177" s="43" t="s">
        <v>1542</v>
      </c>
      <c r="S177" s="43" t="s">
        <v>1542</v>
      </c>
      <c r="T177" s="43" t="s">
        <v>1542</v>
      </c>
      <c r="U177" s="43" t="s">
        <v>1542</v>
      </c>
      <c r="V177" s="43" t="s">
        <v>1542</v>
      </c>
      <c r="W177" s="43" t="s">
        <v>1542</v>
      </c>
      <c r="X177" s="43" t="s">
        <v>1542</v>
      </c>
      <c r="Y177" s="43" t="s">
        <v>1542</v>
      </c>
      <c r="Z177" s="43" t="s">
        <v>1542</v>
      </c>
      <c r="AA177" s="43" t="s">
        <v>1542</v>
      </c>
      <c r="AB177" s="46">
        <f t="shared" si="14"/>
        <v>0</v>
      </c>
      <c r="AC177" s="44" t="s">
        <v>1542</v>
      </c>
      <c r="AD177" s="44" t="s">
        <v>1542</v>
      </c>
      <c r="AE177" s="44" t="s">
        <v>1542</v>
      </c>
      <c r="AF177" s="44" t="s">
        <v>1542</v>
      </c>
      <c r="AG177" s="44" t="s">
        <v>1542</v>
      </c>
      <c r="AH177" s="44" t="s">
        <v>1542</v>
      </c>
      <c r="AI177" s="44" t="s">
        <v>1542</v>
      </c>
      <c r="AJ177" s="44" t="s">
        <v>1542</v>
      </c>
      <c r="AK177" s="44" t="s">
        <v>1542</v>
      </c>
      <c r="AL177" s="44" t="s">
        <v>1542</v>
      </c>
      <c r="AM177" s="44" t="s">
        <v>1542</v>
      </c>
      <c r="AN177" s="44" t="s">
        <v>1542</v>
      </c>
      <c r="AO177" s="46">
        <f t="shared" si="10"/>
        <v>0</v>
      </c>
      <c r="AP177" s="43" t="s">
        <v>1542</v>
      </c>
      <c r="AQ177" s="43" t="s">
        <v>1542</v>
      </c>
      <c r="AR177" s="43" t="s">
        <v>1542</v>
      </c>
      <c r="AS177" s="43" t="s">
        <v>1542</v>
      </c>
      <c r="AT177" s="43" t="s">
        <v>1542</v>
      </c>
      <c r="AU177" s="43" t="s">
        <v>1542</v>
      </c>
      <c r="AV177" s="43" t="s">
        <v>1542</v>
      </c>
      <c r="AW177" s="43" t="s">
        <v>1542</v>
      </c>
      <c r="AX177" s="43" t="s">
        <v>1542</v>
      </c>
      <c r="AY177" s="43" t="s">
        <v>1542</v>
      </c>
      <c r="AZ177" s="43" t="s">
        <v>1542</v>
      </c>
      <c r="BA177" s="43" t="s">
        <v>1542</v>
      </c>
      <c r="BB177" s="46">
        <f t="shared" si="11"/>
        <v>0</v>
      </c>
      <c r="BC177" s="44" t="s">
        <v>1542</v>
      </c>
      <c r="BD177" s="44" t="s">
        <v>1542</v>
      </c>
      <c r="BE177" s="44" t="s">
        <v>1554</v>
      </c>
      <c r="BF177" s="44" t="s">
        <v>1542</v>
      </c>
      <c r="BG177" s="44" t="s">
        <v>1542</v>
      </c>
      <c r="BH177" s="44" t="s">
        <v>1542</v>
      </c>
      <c r="BI177" s="44" t="s">
        <v>1542</v>
      </c>
      <c r="BJ177" s="44" t="s">
        <v>1542</v>
      </c>
      <c r="BK177" s="44" t="s">
        <v>1542</v>
      </c>
      <c r="BL177" s="44" t="s">
        <v>1542</v>
      </c>
      <c r="BM177" s="44" t="s">
        <v>1542</v>
      </c>
      <c r="BN177" s="44" t="s">
        <v>1542</v>
      </c>
      <c r="BO177" s="46">
        <f t="shared" si="12"/>
        <v>1</v>
      </c>
      <c r="BP177" s="43" t="s">
        <v>1542</v>
      </c>
      <c r="BQ177" s="43" t="s">
        <v>1542</v>
      </c>
      <c r="BR177" s="43" t="s">
        <v>1542</v>
      </c>
      <c r="BS177" s="43" t="s">
        <v>1542</v>
      </c>
      <c r="BT177" s="43" t="s">
        <v>1542</v>
      </c>
      <c r="BU177" s="43" t="s">
        <v>1542</v>
      </c>
      <c r="BV177" s="43" t="s">
        <v>1542</v>
      </c>
      <c r="BW177" s="43" t="s">
        <v>1542</v>
      </c>
      <c r="BX177" s="43" t="s">
        <v>1542</v>
      </c>
      <c r="BY177" s="43" t="s">
        <v>1542</v>
      </c>
      <c r="BZ177" s="43" t="s">
        <v>1542</v>
      </c>
      <c r="CA177" s="43" t="s">
        <v>1542</v>
      </c>
    </row>
    <row r="178" spans="1:79">
      <c r="A178">
        <v>177</v>
      </c>
      <c r="B178">
        <v>1</v>
      </c>
      <c r="C178" t="s">
        <v>1696</v>
      </c>
      <c r="D178" t="s">
        <v>1697</v>
      </c>
      <c r="E178" t="s">
        <v>2280</v>
      </c>
      <c r="F178" t="s">
        <v>2281</v>
      </c>
      <c r="G178" t="s">
        <v>2345</v>
      </c>
      <c r="H178" t="s">
        <v>2345</v>
      </c>
      <c r="J178" t="s">
        <v>2346</v>
      </c>
      <c r="K178" t="s">
        <v>2347</v>
      </c>
      <c r="M178" s="1" t="s">
        <v>2348</v>
      </c>
      <c r="N178" t="s">
        <v>2349</v>
      </c>
      <c r="O178" s="46">
        <f t="shared" si="13"/>
        <v>0</v>
      </c>
      <c r="P178" s="43" t="s">
        <v>1542</v>
      </c>
      <c r="Q178" s="43" t="s">
        <v>1542</v>
      </c>
      <c r="R178" s="43" t="s">
        <v>1542</v>
      </c>
      <c r="S178" s="43" t="s">
        <v>1542</v>
      </c>
      <c r="T178" s="43" t="s">
        <v>1542</v>
      </c>
      <c r="U178" s="43" t="s">
        <v>1542</v>
      </c>
      <c r="V178" s="43" t="s">
        <v>1542</v>
      </c>
      <c r="W178" s="43" t="s">
        <v>1542</v>
      </c>
      <c r="X178" s="43" t="s">
        <v>1542</v>
      </c>
      <c r="Y178" s="43" t="s">
        <v>1542</v>
      </c>
      <c r="Z178" s="43" t="s">
        <v>1542</v>
      </c>
      <c r="AA178" s="43" t="s">
        <v>1542</v>
      </c>
      <c r="AB178" s="46">
        <f t="shared" si="14"/>
        <v>0</v>
      </c>
      <c r="AC178" s="44" t="s">
        <v>1542</v>
      </c>
      <c r="AD178" s="44" t="s">
        <v>1542</v>
      </c>
      <c r="AE178" s="44" t="s">
        <v>1542</v>
      </c>
      <c r="AF178" s="44" t="s">
        <v>1542</v>
      </c>
      <c r="AG178" s="44" t="s">
        <v>1542</v>
      </c>
      <c r="AH178" s="44" t="s">
        <v>1542</v>
      </c>
      <c r="AI178" s="44" t="s">
        <v>1542</v>
      </c>
      <c r="AJ178" s="44" t="s">
        <v>1542</v>
      </c>
      <c r="AK178" s="44" t="s">
        <v>1542</v>
      </c>
      <c r="AL178" s="44" t="s">
        <v>1542</v>
      </c>
      <c r="AM178" s="44" t="s">
        <v>1542</v>
      </c>
      <c r="AN178" s="44" t="s">
        <v>1542</v>
      </c>
      <c r="AO178" s="46">
        <f t="shared" si="10"/>
        <v>0</v>
      </c>
      <c r="AP178" s="43" t="s">
        <v>1542</v>
      </c>
      <c r="AQ178" s="43" t="s">
        <v>1542</v>
      </c>
      <c r="AR178" s="43" t="s">
        <v>1542</v>
      </c>
      <c r="AS178" s="43" t="s">
        <v>1542</v>
      </c>
      <c r="AT178" s="43" t="s">
        <v>1542</v>
      </c>
      <c r="AU178" s="43" t="s">
        <v>1542</v>
      </c>
      <c r="AV178" s="43" t="s">
        <v>1542</v>
      </c>
      <c r="AW178" s="43" t="s">
        <v>1542</v>
      </c>
      <c r="AX178" s="43" t="s">
        <v>1542</v>
      </c>
      <c r="AY178" s="43" t="s">
        <v>1542</v>
      </c>
      <c r="AZ178" s="43" t="s">
        <v>1542</v>
      </c>
      <c r="BA178" s="43" t="s">
        <v>1542</v>
      </c>
      <c r="BB178" s="46">
        <f t="shared" si="11"/>
        <v>0</v>
      </c>
      <c r="BC178" s="44" t="s">
        <v>1542</v>
      </c>
      <c r="BD178" s="44" t="s">
        <v>1542</v>
      </c>
      <c r="BE178" s="44" t="s">
        <v>1542</v>
      </c>
      <c r="BF178" s="44" t="s">
        <v>1542</v>
      </c>
      <c r="BG178" s="44" t="s">
        <v>1542</v>
      </c>
      <c r="BH178" s="44" t="s">
        <v>1542</v>
      </c>
      <c r="BI178" s="44" t="s">
        <v>1542</v>
      </c>
      <c r="BJ178" s="44" t="s">
        <v>1542</v>
      </c>
      <c r="BK178" s="44" t="s">
        <v>1542</v>
      </c>
      <c r="BL178" s="44" t="s">
        <v>1542</v>
      </c>
      <c r="BM178" s="44" t="s">
        <v>1542</v>
      </c>
      <c r="BN178" s="44" t="s">
        <v>1542</v>
      </c>
      <c r="BO178" s="46">
        <f t="shared" si="12"/>
        <v>0</v>
      </c>
      <c r="BP178" s="43" t="s">
        <v>1542</v>
      </c>
      <c r="BQ178" s="43" t="s">
        <v>1542</v>
      </c>
      <c r="BR178" s="43" t="s">
        <v>1542</v>
      </c>
      <c r="BS178" s="43" t="s">
        <v>1542</v>
      </c>
      <c r="BT178" s="43" t="s">
        <v>1542</v>
      </c>
      <c r="BU178" s="43" t="s">
        <v>1542</v>
      </c>
      <c r="BV178" s="43" t="s">
        <v>1542</v>
      </c>
      <c r="BW178" s="43" t="s">
        <v>1542</v>
      </c>
      <c r="BX178" s="43" t="s">
        <v>1542</v>
      </c>
      <c r="BY178" s="43" t="s">
        <v>1554</v>
      </c>
      <c r="BZ178" s="43" t="s">
        <v>1554</v>
      </c>
      <c r="CA178" s="43" t="s">
        <v>1554</v>
      </c>
    </row>
    <row r="179" spans="1:79">
      <c r="A179">
        <v>178</v>
      </c>
      <c r="B179">
        <v>1</v>
      </c>
      <c r="C179" t="s">
        <v>1696</v>
      </c>
      <c r="D179" t="s">
        <v>1697</v>
      </c>
      <c r="E179" t="s">
        <v>2280</v>
      </c>
      <c r="F179" t="s">
        <v>2281</v>
      </c>
      <c r="G179" t="s">
        <v>2350</v>
      </c>
      <c r="H179" t="s">
        <v>2350</v>
      </c>
      <c r="J179" t="s">
        <v>2351</v>
      </c>
      <c r="K179" t="s">
        <v>2352</v>
      </c>
      <c r="M179" s="1" t="s">
        <v>2353</v>
      </c>
      <c r="O179" s="46">
        <f t="shared" si="13"/>
        <v>0</v>
      </c>
      <c r="P179" s="43" t="s">
        <v>1542</v>
      </c>
      <c r="Q179" s="43" t="s">
        <v>1542</v>
      </c>
      <c r="R179" s="43" t="s">
        <v>1542</v>
      </c>
      <c r="S179" s="43" t="s">
        <v>1542</v>
      </c>
      <c r="T179" s="43" t="s">
        <v>1542</v>
      </c>
      <c r="U179" s="43" t="s">
        <v>1542</v>
      </c>
      <c r="V179" s="43" t="s">
        <v>1542</v>
      </c>
      <c r="W179" s="43" t="s">
        <v>1542</v>
      </c>
      <c r="X179" s="43" t="s">
        <v>1542</v>
      </c>
      <c r="Y179" s="43" t="s">
        <v>1542</v>
      </c>
      <c r="Z179" s="43" t="s">
        <v>1542</v>
      </c>
      <c r="AA179" s="43" t="s">
        <v>1542</v>
      </c>
      <c r="AB179" s="46">
        <f t="shared" si="14"/>
        <v>0</v>
      </c>
      <c r="AC179" s="44" t="s">
        <v>1542</v>
      </c>
      <c r="AD179" s="44" t="s">
        <v>1542</v>
      </c>
      <c r="AE179" s="44" t="s">
        <v>1542</v>
      </c>
      <c r="AF179" s="44" t="s">
        <v>1542</v>
      </c>
      <c r="AG179" s="44" t="s">
        <v>1542</v>
      </c>
      <c r="AH179" s="44" t="s">
        <v>1542</v>
      </c>
      <c r="AI179" s="44" t="s">
        <v>1542</v>
      </c>
      <c r="AJ179" s="44" t="s">
        <v>1542</v>
      </c>
      <c r="AK179" s="44" t="s">
        <v>1542</v>
      </c>
      <c r="AL179" s="44" t="s">
        <v>1542</v>
      </c>
      <c r="AM179" s="44" t="s">
        <v>1542</v>
      </c>
      <c r="AN179" s="44" t="s">
        <v>1542</v>
      </c>
      <c r="AO179" s="46">
        <f t="shared" si="10"/>
        <v>0</v>
      </c>
      <c r="AP179" s="43" t="s">
        <v>1542</v>
      </c>
      <c r="AQ179" s="43" t="s">
        <v>1542</v>
      </c>
      <c r="AR179" s="43" t="s">
        <v>1542</v>
      </c>
      <c r="AS179" s="43" t="s">
        <v>1542</v>
      </c>
      <c r="AT179" s="43" t="s">
        <v>1542</v>
      </c>
      <c r="AU179" s="43" t="s">
        <v>1542</v>
      </c>
      <c r="AV179" s="43" t="s">
        <v>1542</v>
      </c>
      <c r="AW179" s="43" t="s">
        <v>1542</v>
      </c>
      <c r="AX179" s="43" t="s">
        <v>1542</v>
      </c>
      <c r="AY179" s="43" t="s">
        <v>1542</v>
      </c>
      <c r="AZ179" s="43" t="s">
        <v>1542</v>
      </c>
      <c r="BA179" s="43" t="s">
        <v>1542</v>
      </c>
      <c r="BB179" s="46">
        <f t="shared" si="11"/>
        <v>0</v>
      </c>
      <c r="BC179" s="44" t="s">
        <v>1542</v>
      </c>
      <c r="BD179" s="44" t="s">
        <v>1542</v>
      </c>
      <c r="BE179" s="44" t="s">
        <v>1542</v>
      </c>
      <c r="BF179" s="44" t="s">
        <v>1542</v>
      </c>
      <c r="BG179" s="44" t="s">
        <v>1542</v>
      </c>
      <c r="BH179" s="44" t="s">
        <v>1542</v>
      </c>
      <c r="BI179" s="44" t="s">
        <v>1542</v>
      </c>
      <c r="BJ179" s="44" t="s">
        <v>1542</v>
      </c>
      <c r="BK179" s="44" t="s">
        <v>1542</v>
      </c>
      <c r="BL179" s="44" t="s">
        <v>1542</v>
      </c>
      <c r="BM179" s="44" t="s">
        <v>1542</v>
      </c>
      <c r="BN179" s="44" t="s">
        <v>1542</v>
      </c>
      <c r="BO179" s="46">
        <f t="shared" si="12"/>
        <v>0</v>
      </c>
      <c r="BP179" s="43" t="s">
        <v>1542</v>
      </c>
      <c r="BQ179" s="43" t="s">
        <v>1542</v>
      </c>
      <c r="BR179" s="43" t="s">
        <v>1542</v>
      </c>
      <c r="BS179" s="43" t="s">
        <v>1542</v>
      </c>
      <c r="BT179" s="43" t="s">
        <v>1542</v>
      </c>
      <c r="BU179" s="43" t="s">
        <v>1542</v>
      </c>
      <c r="BV179" s="43" t="s">
        <v>1542</v>
      </c>
      <c r="BW179" s="43" t="s">
        <v>1542</v>
      </c>
      <c r="BX179" s="43" t="s">
        <v>1542</v>
      </c>
      <c r="BY179" s="43" t="s">
        <v>1542</v>
      </c>
      <c r="BZ179" s="43" t="s">
        <v>1542</v>
      </c>
      <c r="CA179" s="43" t="s">
        <v>1542</v>
      </c>
    </row>
    <row r="180" spans="1:79">
      <c r="A180">
        <v>179</v>
      </c>
      <c r="B180">
        <v>1</v>
      </c>
      <c r="C180" t="s">
        <v>1696</v>
      </c>
      <c r="D180" t="s">
        <v>1697</v>
      </c>
      <c r="E180" t="s">
        <v>2280</v>
      </c>
      <c r="F180" t="s">
        <v>2281</v>
      </c>
      <c r="G180" t="s">
        <v>2354</v>
      </c>
      <c r="H180" t="s">
        <v>2354</v>
      </c>
      <c r="J180" t="s">
        <v>2355</v>
      </c>
      <c r="K180" t="s">
        <v>2356</v>
      </c>
      <c r="M180" s="1" t="s">
        <v>2357</v>
      </c>
      <c r="O180" s="46">
        <f t="shared" si="13"/>
        <v>0</v>
      </c>
      <c r="P180" s="43" t="s">
        <v>1542</v>
      </c>
      <c r="Q180" s="43" t="s">
        <v>1542</v>
      </c>
      <c r="R180" s="43" t="s">
        <v>1542</v>
      </c>
      <c r="S180" s="43" t="s">
        <v>1542</v>
      </c>
      <c r="T180" s="43" t="s">
        <v>1542</v>
      </c>
      <c r="U180" s="43" t="s">
        <v>1542</v>
      </c>
      <c r="V180" s="43" t="s">
        <v>1542</v>
      </c>
      <c r="W180" s="43" t="s">
        <v>1542</v>
      </c>
      <c r="X180" s="43" t="s">
        <v>1542</v>
      </c>
      <c r="Y180" s="43" t="s">
        <v>1542</v>
      </c>
      <c r="Z180" s="43" t="s">
        <v>1542</v>
      </c>
      <c r="AA180" s="43" t="s">
        <v>1542</v>
      </c>
      <c r="AB180" s="46">
        <f t="shared" si="14"/>
        <v>0</v>
      </c>
      <c r="AC180" s="44" t="s">
        <v>1542</v>
      </c>
      <c r="AD180" s="44" t="s">
        <v>1542</v>
      </c>
      <c r="AE180" s="44" t="s">
        <v>1542</v>
      </c>
      <c r="AF180" s="44" t="s">
        <v>1542</v>
      </c>
      <c r="AG180" s="44" t="s">
        <v>1542</v>
      </c>
      <c r="AH180" s="44" t="s">
        <v>1542</v>
      </c>
      <c r="AI180" s="44" t="s">
        <v>1542</v>
      </c>
      <c r="AJ180" s="44" t="s">
        <v>1542</v>
      </c>
      <c r="AK180" s="44" t="s">
        <v>1542</v>
      </c>
      <c r="AL180" s="44" t="s">
        <v>1542</v>
      </c>
      <c r="AM180" s="44" t="s">
        <v>1542</v>
      </c>
      <c r="AN180" s="44" t="s">
        <v>1542</v>
      </c>
      <c r="AO180" s="46">
        <f t="shared" si="10"/>
        <v>0</v>
      </c>
      <c r="AP180" s="43" t="s">
        <v>1542</v>
      </c>
      <c r="AQ180" s="43" t="s">
        <v>1542</v>
      </c>
      <c r="AR180" s="43" t="s">
        <v>1542</v>
      </c>
      <c r="AS180" s="43" t="s">
        <v>1542</v>
      </c>
      <c r="AT180" s="43" t="s">
        <v>1542</v>
      </c>
      <c r="AU180" s="43" t="s">
        <v>1542</v>
      </c>
      <c r="AV180" s="43" t="s">
        <v>1542</v>
      </c>
      <c r="AW180" s="43" t="s">
        <v>1542</v>
      </c>
      <c r="AX180" s="43" t="s">
        <v>1542</v>
      </c>
      <c r="AY180" s="43" t="s">
        <v>1542</v>
      </c>
      <c r="AZ180" s="43" t="s">
        <v>1542</v>
      </c>
      <c r="BA180" s="43" t="s">
        <v>1542</v>
      </c>
      <c r="BB180" s="46">
        <f t="shared" si="11"/>
        <v>0</v>
      </c>
      <c r="BC180" s="44" t="s">
        <v>1542</v>
      </c>
      <c r="BD180" s="44" t="s">
        <v>1542</v>
      </c>
      <c r="BE180" s="44" t="s">
        <v>1542</v>
      </c>
      <c r="BF180" s="44" t="s">
        <v>1542</v>
      </c>
      <c r="BG180" s="44" t="s">
        <v>1542</v>
      </c>
      <c r="BH180" s="44" t="s">
        <v>1542</v>
      </c>
      <c r="BI180" s="44" t="s">
        <v>1542</v>
      </c>
      <c r="BJ180" s="44" t="s">
        <v>1542</v>
      </c>
      <c r="BK180" s="44" t="s">
        <v>1542</v>
      </c>
      <c r="BL180" s="44" t="s">
        <v>1542</v>
      </c>
      <c r="BM180" s="44" t="s">
        <v>1542</v>
      </c>
      <c r="BN180" s="44" t="s">
        <v>1542</v>
      </c>
      <c r="BO180" s="46">
        <f t="shared" si="12"/>
        <v>0</v>
      </c>
      <c r="BP180" s="43" t="s">
        <v>1542</v>
      </c>
      <c r="BQ180" s="43" t="s">
        <v>1542</v>
      </c>
      <c r="BR180" s="43" t="s">
        <v>1542</v>
      </c>
      <c r="BS180" s="43" t="s">
        <v>1542</v>
      </c>
      <c r="BT180" s="43" t="s">
        <v>1542</v>
      </c>
      <c r="BU180" s="43" t="s">
        <v>1542</v>
      </c>
      <c r="BV180" s="43" t="s">
        <v>1542</v>
      </c>
      <c r="BW180" s="43" t="s">
        <v>1542</v>
      </c>
      <c r="BX180" s="43" t="s">
        <v>1542</v>
      </c>
      <c r="BY180" s="43" t="s">
        <v>1542</v>
      </c>
      <c r="BZ180" s="43" t="s">
        <v>1542</v>
      </c>
      <c r="CA180" s="43" t="s">
        <v>1542</v>
      </c>
    </row>
    <row r="181" spans="1:79">
      <c r="A181">
        <v>180</v>
      </c>
      <c r="B181">
        <v>1</v>
      </c>
      <c r="C181" t="s">
        <v>1696</v>
      </c>
      <c r="D181" t="s">
        <v>1697</v>
      </c>
      <c r="E181" t="s">
        <v>2280</v>
      </c>
      <c r="F181" t="s">
        <v>2281</v>
      </c>
      <c r="G181" t="s">
        <v>2358</v>
      </c>
      <c r="H181" t="s">
        <v>2358</v>
      </c>
      <c r="I181" t="s">
        <v>2359</v>
      </c>
      <c r="J181" t="s">
        <v>2360</v>
      </c>
      <c r="K181" t="s">
        <v>2361</v>
      </c>
      <c r="M181" s="1" t="s">
        <v>2362</v>
      </c>
      <c r="O181" s="46">
        <f t="shared" si="13"/>
        <v>0</v>
      </c>
      <c r="P181" s="43" t="s">
        <v>1542</v>
      </c>
      <c r="Q181" s="43" t="s">
        <v>1542</v>
      </c>
      <c r="R181" s="43" t="s">
        <v>1542</v>
      </c>
      <c r="S181" s="43" t="s">
        <v>1542</v>
      </c>
      <c r="T181" s="43" t="s">
        <v>1542</v>
      </c>
      <c r="U181" s="43" t="s">
        <v>1542</v>
      </c>
      <c r="V181" s="43" t="s">
        <v>1542</v>
      </c>
      <c r="W181" s="43" t="s">
        <v>1542</v>
      </c>
      <c r="X181" s="43" t="s">
        <v>1542</v>
      </c>
      <c r="Y181" s="43" t="s">
        <v>1542</v>
      </c>
      <c r="Z181" s="43" t="s">
        <v>1542</v>
      </c>
      <c r="AA181" s="43" t="s">
        <v>1542</v>
      </c>
      <c r="AB181" s="46">
        <f t="shared" si="14"/>
        <v>0</v>
      </c>
      <c r="AC181" s="44" t="s">
        <v>1542</v>
      </c>
      <c r="AD181" s="44" t="s">
        <v>1542</v>
      </c>
      <c r="AE181" s="44" t="s">
        <v>1542</v>
      </c>
      <c r="AF181" s="44" t="s">
        <v>1542</v>
      </c>
      <c r="AG181" s="44" t="s">
        <v>1542</v>
      </c>
      <c r="AH181" s="44" t="s">
        <v>1542</v>
      </c>
      <c r="AI181" s="44" t="s">
        <v>1542</v>
      </c>
      <c r="AJ181" s="44" t="s">
        <v>1542</v>
      </c>
      <c r="AK181" s="44" t="s">
        <v>1542</v>
      </c>
      <c r="AL181" s="44" t="s">
        <v>1542</v>
      </c>
      <c r="AM181" s="44" t="s">
        <v>1542</v>
      </c>
      <c r="AN181" s="44" t="s">
        <v>1542</v>
      </c>
      <c r="AO181" s="46">
        <f t="shared" si="10"/>
        <v>0</v>
      </c>
      <c r="AP181" s="43" t="s">
        <v>1542</v>
      </c>
      <c r="AQ181" s="43" t="s">
        <v>1542</v>
      </c>
      <c r="AR181" s="43" t="s">
        <v>1542</v>
      </c>
      <c r="AS181" s="43" t="s">
        <v>1542</v>
      </c>
      <c r="AT181" s="43" t="s">
        <v>1542</v>
      </c>
      <c r="AU181" s="43" t="s">
        <v>1542</v>
      </c>
      <c r="AV181" s="43" t="s">
        <v>1542</v>
      </c>
      <c r="AW181" s="43" t="s">
        <v>1542</v>
      </c>
      <c r="AX181" s="43" t="s">
        <v>1542</v>
      </c>
      <c r="AY181" s="43" t="s">
        <v>1542</v>
      </c>
      <c r="AZ181" s="43" t="s">
        <v>1542</v>
      </c>
      <c r="BA181" s="43" t="s">
        <v>1542</v>
      </c>
      <c r="BB181" s="46">
        <f t="shared" si="11"/>
        <v>0</v>
      </c>
      <c r="BC181" s="44" t="s">
        <v>1542</v>
      </c>
      <c r="BD181" s="44" t="s">
        <v>1542</v>
      </c>
      <c r="BE181" s="44" t="s">
        <v>1542</v>
      </c>
      <c r="BF181" s="44" t="s">
        <v>1542</v>
      </c>
      <c r="BG181" s="44" t="s">
        <v>1542</v>
      </c>
      <c r="BH181" s="44" t="s">
        <v>1542</v>
      </c>
      <c r="BI181" s="44" t="s">
        <v>1542</v>
      </c>
      <c r="BJ181" s="44" t="s">
        <v>1542</v>
      </c>
      <c r="BK181" s="44" t="s">
        <v>1542</v>
      </c>
      <c r="BL181" s="44" t="s">
        <v>1542</v>
      </c>
      <c r="BM181" s="44" t="s">
        <v>1542</v>
      </c>
      <c r="BN181" s="44" t="s">
        <v>1542</v>
      </c>
      <c r="BO181" s="46">
        <f t="shared" si="12"/>
        <v>0</v>
      </c>
      <c r="BP181" s="43" t="s">
        <v>1542</v>
      </c>
      <c r="BQ181" s="43" t="s">
        <v>1542</v>
      </c>
      <c r="BR181" s="43" t="s">
        <v>1542</v>
      </c>
      <c r="BS181" s="43" t="s">
        <v>1542</v>
      </c>
      <c r="BT181" s="43" t="s">
        <v>1542</v>
      </c>
      <c r="BU181" s="43" t="s">
        <v>1542</v>
      </c>
      <c r="BV181" s="43" t="s">
        <v>1542</v>
      </c>
      <c r="BW181" s="43" t="s">
        <v>1542</v>
      </c>
      <c r="BX181" s="43" t="s">
        <v>1542</v>
      </c>
      <c r="BY181" s="43" t="s">
        <v>1542</v>
      </c>
      <c r="BZ181" s="43" t="s">
        <v>1542</v>
      </c>
      <c r="CA181" s="43" t="s">
        <v>1542</v>
      </c>
    </row>
    <row r="182" spans="1:79">
      <c r="A182">
        <v>181</v>
      </c>
      <c r="B182">
        <v>1</v>
      </c>
      <c r="C182" t="s">
        <v>1696</v>
      </c>
      <c r="D182" t="s">
        <v>1697</v>
      </c>
      <c r="E182" t="s">
        <v>2280</v>
      </c>
      <c r="F182" t="s">
        <v>2281</v>
      </c>
      <c r="G182" t="s">
        <v>2363</v>
      </c>
      <c r="H182" t="s">
        <v>2363</v>
      </c>
      <c r="I182" t="s">
        <v>2364</v>
      </c>
      <c r="J182" t="s">
        <v>2365</v>
      </c>
      <c r="K182" t="s">
        <v>2366</v>
      </c>
      <c r="M182" s="1" t="s">
        <v>2367</v>
      </c>
      <c r="O182" s="46">
        <f t="shared" si="13"/>
        <v>0</v>
      </c>
      <c r="P182" s="43" t="s">
        <v>1542</v>
      </c>
      <c r="Q182" s="43" t="s">
        <v>1542</v>
      </c>
      <c r="R182" s="43" t="s">
        <v>1542</v>
      </c>
      <c r="S182" s="43" t="s">
        <v>1542</v>
      </c>
      <c r="T182" s="43" t="s">
        <v>1542</v>
      </c>
      <c r="U182" s="43" t="s">
        <v>1542</v>
      </c>
      <c r="V182" s="43" t="s">
        <v>1542</v>
      </c>
      <c r="W182" s="43" t="s">
        <v>1542</v>
      </c>
      <c r="X182" s="43" t="s">
        <v>1542</v>
      </c>
      <c r="Y182" s="43" t="s">
        <v>1542</v>
      </c>
      <c r="Z182" s="43" t="s">
        <v>1542</v>
      </c>
      <c r="AA182" s="43" t="s">
        <v>1542</v>
      </c>
      <c r="AB182" s="46">
        <f t="shared" si="14"/>
        <v>0</v>
      </c>
      <c r="AC182" s="44" t="s">
        <v>1542</v>
      </c>
      <c r="AD182" s="44" t="s">
        <v>1542</v>
      </c>
      <c r="AE182" s="44" t="s">
        <v>1542</v>
      </c>
      <c r="AF182" s="44" t="s">
        <v>1542</v>
      </c>
      <c r="AG182" s="44" t="s">
        <v>1542</v>
      </c>
      <c r="AH182" s="44" t="s">
        <v>1542</v>
      </c>
      <c r="AI182" s="44" t="s">
        <v>1542</v>
      </c>
      <c r="AJ182" s="44" t="s">
        <v>1542</v>
      </c>
      <c r="AK182" s="44" t="s">
        <v>1542</v>
      </c>
      <c r="AL182" s="44" t="s">
        <v>1542</v>
      </c>
      <c r="AM182" s="44" t="s">
        <v>1542</v>
      </c>
      <c r="AN182" s="44" t="s">
        <v>1542</v>
      </c>
      <c r="AO182" s="46">
        <f t="shared" si="10"/>
        <v>0</v>
      </c>
      <c r="AP182" s="43" t="s">
        <v>1542</v>
      </c>
      <c r="AQ182" s="43" t="s">
        <v>1542</v>
      </c>
      <c r="AR182" s="43" t="s">
        <v>1542</v>
      </c>
      <c r="AS182" s="43" t="s">
        <v>1542</v>
      </c>
      <c r="AT182" s="43" t="s">
        <v>1542</v>
      </c>
      <c r="AU182" s="43" t="s">
        <v>1542</v>
      </c>
      <c r="AV182" s="43" t="s">
        <v>1542</v>
      </c>
      <c r="AW182" s="43" t="s">
        <v>1542</v>
      </c>
      <c r="AX182" s="43" t="s">
        <v>1542</v>
      </c>
      <c r="AY182" s="43" t="s">
        <v>1542</v>
      </c>
      <c r="AZ182" s="43" t="s">
        <v>1542</v>
      </c>
      <c r="BA182" s="43" t="s">
        <v>1542</v>
      </c>
      <c r="BB182" s="46">
        <f t="shared" si="11"/>
        <v>0</v>
      </c>
      <c r="BC182" s="44" t="s">
        <v>1542</v>
      </c>
      <c r="BD182" s="44" t="s">
        <v>1542</v>
      </c>
      <c r="BE182" s="44" t="s">
        <v>1542</v>
      </c>
      <c r="BF182" s="44" t="s">
        <v>1542</v>
      </c>
      <c r="BG182" s="44" t="s">
        <v>1542</v>
      </c>
      <c r="BH182" s="44" t="s">
        <v>1542</v>
      </c>
      <c r="BI182" s="44" t="s">
        <v>1542</v>
      </c>
      <c r="BJ182" s="44" t="s">
        <v>1542</v>
      </c>
      <c r="BK182" s="44" t="s">
        <v>1542</v>
      </c>
      <c r="BL182" s="44" t="s">
        <v>1542</v>
      </c>
      <c r="BM182" s="44" t="s">
        <v>1542</v>
      </c>
      <c r="BN182" s="44" t="s">
        <v>1542</v>
      </c>
      <c r="BO182" s="46">
        <f t="shared" si="12"/>
        <v>0</v>
      </c>
      <c r="BP182" s="43" t="s">
        <v>1542</v>
      </c>
      <c r="BQ182" s="43" t="s">
        <v>1542</v>
      </c>
      <c r="BR182" s="43" t="s">
        <v>1542</v>
      </c>
      <c r="BS182" s="43" t="s">
        <v>1542</v>
      </c>
      <c r="BT182" s="43" t="s">
        <v>1542</v>
      </c>
      <c r="BU182" s="43" t="s">
        <v>1542</v>
      </c>
      <c r="BV182" s="43" t="s">
        <v>1542</v>
      </c>
      <c r="BW182" s="43" t="s">
        <v>1542</v>
      </c>
      <c r="BX182" s="43" t="s">
        <v>1542</v>
      </c>
      <c r="BY182" s="43" t="s">
        <v>1542</v>
      </c>
      <c r="BZ182" s="43" t="s">
        <v>1542</v>
      </c>
      <c r="CA182" s="43" t="s">
        <v>1542</v>
      </c>
    </row>
    <row r="183" spans="1:79">
      <c r="A183">
        <v>182</v>
      </c>
      <c r="B183">
        <v>1</v>
      </c>
      <c r="C183" t="s">
        <v>1696</v>
      </c>
      <c r="D183" t="s">
        <v>1697</v>
      </c>
      <c r="E183" t="s">
        <v>2280</v>
      </c>
      <c r="F183" t="s">
        <v>2281</v>
      </c>
      <c r="G183" t="s">
        <v>2368</v>
      </c>
      <c r="H183" t="s">
        <v>2368</v>
      </c>
      <c r="J183" t="s">
        <v>2369</v>
      </c>
      <c r="K183" t="s">
        <v>2370</v>
      </c>
      <c r="M183" s="1" t="s">
        <v>2371</v>
      </c>
      <c r="O183" s="46">
        <f t="shared" si="13"/>
        <v>0</v>
      </c>
      <c r="P183" s="43" t="s">
        <v>1542</v>
      </c>
      <c r="Q183" s="43" t="s">
        <v>1542</v>
      </c>
      <c r="R183" s="43" t="s">
        <v>1542</v>
      </c>
      <c r="S183" s="43" t="s">
        <v>1542</v>
      </c>
      <c r="T183" s="43" t="s">
        <v>1542</v>
      </c>
      <c r="U183" s="43" t="s">
        <v>1542</v>
      </c>
      <c r="V183" s="43" t="s">
        <v>1542</v>
      </c>
      <c r="W183" s="43" t="s">
        <v>1542</v>
      </c>
      <c r="X183" s="43" t="s">
        <v>1542</v>
      </c>
      <c r="Y183" s="43" t="s">
        <v>1542</v>
      </c>
      <c r="Z183" s="43" t="s">
        <v>1542</v>
      </c>
      <c r="AA183" s="43" t="s">
        <v>1542</v>
      </c>
      <c r="AB183" s="46">
        <f t="shared" si="14"/>
        <v>0</v>
      </c>
      <c r="AC183" s="44" t="s">
        <v>1542</v>
      </c>
      <c r="AD183" s="44" t="s">
        <v>1542</v>
      </c>
      <c r="AE183" s="44" t="s">
        <v>1542</v>
      </c>
      <c r="AF183" s="44" t="s">
        <v>1542</v>
      </c>
      <c r="AG183" s="44" t="s">
        <v>1542</v>
      </c>
      <c r="AH183" s="44" t="s">
        <v>1542</v>
      </c>
      <c r="AI183" s="44" t="s">
        <v>1542</v>
      </c>
      <c r="AJ183" s="44" t="s">
        <v>1542</v>
      </c>
      <c r="AK183" s="44" t="s">
        <v>1542</v>
      </c>
      <c r="AL183" s="44" t="s">
        <v>1542</v>
      </c>
      <c r="AM183" s="44" t="s">
        <v>1542</v>
      </c>
      <c r="AN183" s="44" t="s">
        <v>1542</v>
      </c>
      <c r="AO183" s="46">
        <f t="shared" si="10"/>
        <v>0</v>
      </c>
      <c r="AP183" s="43" t="s">
        <v>1542</v>
      </c>
      <c r="AQ183" s="43" t="s">
        <v>1542</v>
      </c>
      <c r="AR183" s="43" t="s">
        <v>1542</v>
      </c>
      <c r="AS183" s="43" t="s">
        <v>1542</v>
      </c>
      <c r="AT183" s="43" t="s">
        <v>1542</v>
      </c>
      <c r="AU183" s="43" t="s">
        <v>1542</v>
      </c>
      <c r="AV183" s="43" t="s">
        <v>1542</v>
      </c>
      <c r="AW183" s="43" t="s">
        <v>1542</v>
      </c>
      <c r="AX183" s="43" t="s">
        <v>1542</v>
      </c>
      <c r="AY183" s="43" t="s">
        <v>1542</v>
      </c>
      <c r="AZ183" s="43" t="s">
        <v>1542</v>
      </c>
      <c r="BA183" s="43" t="s">
        <v>1542</v>
      </c>
      <c r="BB183" s="46">
        <f t="shared" si="11"/>
        <v>0</v>
      </c>
      <c r="BC183" s="44" t="s">
        <v>1542</v>
      </c>
      <c r="BD183" s="44" t="s">
        <v>1542</v>
      </c>
      <c r="BE183" s="44" t="s">
        <v>1542</v>
      </c>
      <c r="BF183" s="44" t="s">
        <v>1542</v>
      </c>
      <c r="BG183" s="44" t="s">
        <v>1542</v>
      </c>
      <c r="BH183" s="44" t="s">
        <v>1542</v>
      </c>
      <c r="BI183" s="44" t="s">
        <v>1542</v>
      </c>
      <c r="BJ183" s="44" t="s">
        <v>1542</v>
      </c>
      <c r="BK183" s="44" t="s">
        <v>1542</v>
      </c>
      <c r="BL183" s="44" t="s">
        <v>1542</v>
      </c>
      <c r="BM183" s="44" t="s">
        <v>1542</v>
      </c>
      <c r="BN183" s="44" t="s">
        <v>1542</v>
      </c>
      <c r="BO183" s="46">
        <f t="shared" si="12"/>
        <v>0</v>
      </c>
      <c r="BP183" s="43" t="s">
        <v>1542</v>
      </c>
      <c r="BQ183" s="43" t="s">
        <v>1542</v>
      </c>
      <c r="BR183" s="43" t="s">
        <v>1542</v>
      </c>
      <c r="BS183" s="43" t="s">
        <v>1542</v>
      </c>
      <c r="BT183" s="43" t="s">
        <v>1542</v>
      </c>
      <c r="BU183" s="43" t="s">
        <v>1542</v>
      </c>
      <c r="BV183" s="43" t="s">
        <v>1542</v>
      </c>
      <c r="BW183" s="43" t="s">
        <v>1542</v>
      </c>
      <c r="BX183" s="43" t="s">
        <v>1542</v>
      </c>
      <c r="BY183" s="43" t="s">
        <v>1542</v>
      </c>
      <c r="BZ183" s="43" t="s">
        <v>1542</v>
      </c>
      <c r="CA183" s="43" t="s">
        <v>1542</v>
      </c>
    </row>
    <row r="184" spans="1:79">
      <c r="A184">
        <v>183</v>
      </c>
      <c r="B184">
        <v>1</v>
      </c>
      <c r="C184" t="s">
        <v>1696</v>
      </c>
      <c r="D184" t="s">
        <v>1697</v>
      </c>
      <c r="E184" t="s">
        <v>2372</v>
      </c>
      <c r="F184" t="s">
        <v>2373</v>
      </c>
      <c r="G184" t="s">
        <v>2374</v>
      </c>
      <c r="H184" t="s">
        <v>2374</v>
      </c>
      <c r="J184" t="s">
        <v>2375</v>
      </c>
      <c r="K184" t="s">
        <v>2376</v>
      </c>
      <c r="M184" s="1" t="s">
        <v>2377</v>
      </c>
      <c r="N184" t="s">
        <v>2378</v>
      </c>
      <c r="O184" s="46">
        <f t="shared" si="13"/>
        <v>0</v>
      </c>
      <c r="P184" s="43" t="s">
        <v>1542</v>
      </c>
      <c r="Q184" s="43" t="s">
        <v>1542</v>
      </c>
      <c r="R184" s="43" t="s">
        <v>1542</v>
      </c>
      <c r="S184" s="43" t="s">
        <v>1542</v>
      </c>
      <c r="T184" s="43" t="s">
        <v>1542</v>
      </c>
      <c r="U184" s="43" t="s">
        <v>1542</v>
      </c>
      <c r="V184" s="43" t="s">
        <v>1542</v>
      </c>
      <c r="W184" s="43" t="s">
        <v>1542</v>
      </c>
      <c r="X184" s="43" t="s">
        <v>1542</v>
      </c>
      <c r="Y184" s="43" t="s">
        <v>1542</v>
      </c>
      <c r="Z184" s="43" t="s">
        <v>1542</v>
      </c>
      <c r="AA184" s="43" t="s">
        <v>1542</v>
      </c>
      <c r="AB184" s="46">
        <f t="shared" si="14"/>
        <v>1</v>
      </c>
      <c r="AC184" s="44" t="s">
        <v>1554</v>
      </c>
      <c r="AD184" s="44" t="s">
        <v>1542</v>
      </c>
      <c r="AE184" s="44" t="s">
        <v>1542</v>
      </c>
      <c r="AF184" s="44" t="s">
        <v>1542</v>
      </c>
      <c r="AG184" s="44" t="s">
        <v>1542</v>
      </c>
      <c r="AH184" s="44" t="s">
        <v>1542</v>
      </c>
      <c r="AI184" s="44" t="s">
        <v>1542</v>
      </c>
      <c r="AJ184" s="44" t="s">
        <v>1542</v>
      </c>
      <c r="AK184" s="44" t="s">
        <v>1542</v>
      </c>
      <c r="AL184" s="44" t="s">
        <v>1542</v>
      </c>
      <c r="AM184" s="44" t="s">
        <v>1542</v>
      </c>
      <c r="AN184" s="44" t="s">
        <v>1542</v>
      </c>
      <c r="AO184" s="46">
        <f t="shared" si="10"/>
        <v>1</v>
      </c>
      <c r="AP184" s="43" t="s">
        <v>1542</v>
      </c>
      <c r="AQ184" s="43" t="s">
        <v>1542</v>
      </c>
      <c r="AR184" s="43" t="s">
        <v>1542</v>
      </c>
      <c r="AS184" s="43" t="s">
        <v>1542</v>
      </c>
      <c r="AT184" s="43" t="s">
        <v>1542</v>
      </c>
      <c r="AU184" s="43" t="s">
        <v>1542</v>
      </c>
      <c r="AV184" s="43" t="s">
        <v>1542</v>
      </c>
      <c r="AW184" s="43" t="s">
        <v>1542</v>
      </c>
      <c r="AX184" s="43" t="s">
        <v>1542</v>
      </c>
      <c r="AY184" s="43" t="s">
        <v>1554</v>
      </c>
      <c r="AZ184" s="43" t="s">
        <v>1554</v>
      </c>
      <c r="BA184" s="43" t="s">
        <v>1554</v>
      </c>
      <c r="BB184" s="46">
        <f t="shared" si="11"/>
        <v>2</v>
      </c>
      <c r="BC184" s="44" t="s">
        <v>1542</v>
      </c>
      <c r="BD184" s="44" t="s">
        <v>1542</v>
      </c>
      <c r="BE184" s="44" t="s">
        <v>1542</v>
      </c>
      <c r="BF184" s="44" t="s">
        <v>1542</v>
      </c>
      <c r="BG184" s="44" t="s">
        <v>1542</v>
      </c>
      <c r="BH184" s="44" t="s">
        <v>1542</v>
      </c>
      <c r="BI184" s="44" t="s">
        <v>1542</v>
      </c>
      <c r="BJ184" s="44" t="s">
        <v>1542</v>
      </c>
      <c r="BK184" s="44" t="s">
        <v>1542</v>
      </c>
      <c r="BL184" s="44" t="s">
        <v>1542</v>
      </c>
      <c r="BM184" s="44" t="s">
        <v>1542</v>
      </c>
      <c r="BN184" s="44" t="s">
        <v>1542</v>
      </c>
      <c r="BO184" s="46">
        <f t="shared" si="12"/>
        <v>0</v>
      </c>
      <c r="BP184" s="43" t="s">
        <v>1542</v>
      </c>
      <c r="BQ184" s="43" t="s">
        <v>1542</v>
      </c>
      <c r="BR184" s="43" t="s">
        <v>1542</v>
      </c>
      <c r="BS184" s="43" t="s">
        <v>1542</v>
      </c>
      <c r="BT184" s="43" t="s">
        <v>1542</v>
      </c>
      <c r="BU184" s="43" t="s">
        <v>1542</v>
      </c>
      <c r="BV184" s="43" t="s">
        <v>1542</v>
      </c>
      <c r="BW184" s="43" t="s">
        <v>1542</v>
      </c>
      <c r="BX184" s="43" t="s">
        <v>1542</v>
      </c>
      <c r="BY184" s="43" t="s">
        <v>1542</v>
      </c>
      <c r="BZ184" s="43" t="s">
        <v>1542</v>
      </c>
      <c r="CA184" s="43" t="s">
        <v>1542</v>
      </c>
    </row>
    <row r="185" spans="1:79">
      <c r="A185">
        <v>184</v>
      </c>
      <c r="B185">
        <v>1</v>
      </c>
      <c r="C185" t="s">
        <v>1696</v>
      </c>
      <c r="D185" t="s">
        <v>1697</v>
      </c>
      <c r="E185" t="s">
        <v>2372</v>
      </c>
      <c r="F185" t="s">
        <v>2373</v>
      </c>
      <c r="G185" t="s">
        <v>2379</v>
      </c>
      <c r="H185" t="s">
        <v>2379</v>
      </c>
      <c r="J185" t="s">
        <v>2380</v>
      </c>
      <c r="K185" t="s">
        <v>2381</v>
      </c>
      <c r="M185" s="1" t="s">
        <v>2382</v>
      </c>
      <c r="N185" t="s">
        <v>2383</v>
      </c>
      <c r="O185" s="46">
        <f t="shared" si="13"/>
        <v>0</v>
      </c>
      <c r="P185" s="43" t="s">
        <v>1542</v>
      </c>
      <c r="Q185" s="43" t="s">
        <v>1542</v>
      </c>
      <c r="R185" s="43" t="s">
        <v>1542</v>
      </c>
      <c r="S185" s="43" t="s">
        <v>1542</v>
      </c>
      <c r="T185" s="43" t="s">
        <v>1542</v>
      </c>
      <c r="U185" s="43" t="s">
        <v>1542</v>
      </c>
      <c r="V185" s="43" t="s">
        <v>1542</v>
      </c>
      <c r="W185" s="43" t="s">
        <v>1542</v>
      </c>
      <c r="X185" s="43" t="s">
        <v>1542</v>
      </c>
      <c r="Y185" s="43" t="s">
        <v>1542</v>
      </c>
      <c r="Z185" s="43" t="s">
        <v>1542</v>
      </c>
      <c r="AA185" s="43" t="s">
        <v>1542</v>
      </c>
      <c r="AB185" s="46">
        <f t="shared" si="14"/>
        <v>0</v>
      </c>
      <c r="AC185" s="44" t="s">
        <v>1542</v>
      </c>
      <c r="AD185" s="44" t="s">
        <v>1542</v>
      </c>
      <c r="AE185" s="44" t="s">
        <v>1542</v>
      </c>
      <c r="AF185" s="44" t="s">
        <v>1542</v>
      </c>
      <c r="AG185" s="44" t="s">
        <v>1542</v>
      </c>
      <c r="AH185" s="44" t="s">
        <v>1542</v>
      </c>
      <c r="AI185" s="44" t="s">
        <v>1542</v>
      </c>
      <c r="AJ185" s="44" t="s">
        <v>1542</v>
      </c>
      <c r="AK185" s="44" t="s">
        <v>1542</v>
      </c>
      <c r="AL185" s="44" t="s">
        <v>1542</v>
      </c>
      <c r="AM185" s="44" t="s">
        <v>1542</v>
      </c>
      <c r="AN185" s="44" t="s">
        <v>1542</v>
      </c>
      <c r="AO185" s="46">
        <f t="shared" si="10"/>
        <v>0</v>
      </c>
      <c r="AP185" s="43" t="s">
        <v>1542</v>
      </c>
      <c r="AQ185" s="43" t="s">
        <v>1542</v>
      </c>
      <c r="AR185" s="43" t="s">
        <v>1542</v>
      </c>
      <c r="AS185" s="43" t="s">
        <v>1542</v>
      </c>
      <c r="AT185" s="43" t="s">
        <v>1542</v>
      </c>
      <c r="AU185" s="43" t="s">
        <v>1542</v>
      </c>
      <c r="AV185" s="43" t="s">
        <v>1542</v>
      </c>
      <c r="AW185" s="43" t="s">
        <v>1542</v>
      </c>
      <c r="AX185" s="43" t="s">
        <v>1542</v>
      </c>
      <c r="AY185" s="43" t="s">
        <v>1542</v>
      </c>
      <c r="AZ185" s="43" t="s">
        <v>1542</v>
      </c>
      <c r="BA185" s="43" t="s">
        <v>1542</v>
      </c>
      <c r="BB185" s="46">
        <f t="shared" si="11"/>
        <v>0</v>
      </c>
      <c r="BC185" s="44" t="s">
        <v>1542</v>
      </c>
      <c r="BD185" s="44" t="s">
        <v>1542</v>
      </c>
      <c r="BE185" s="44" t="s">
        <v>1542</v>
      </c>
      <c r="BF185" s="44" t="s">
        <v>1542</v>
      </c>
      <c r="BG185" s="44" t="s">
        <v>1542</v>
      </c>
      <c r="BH185" s="44" t="s">
        <v>1542</v>
      </c>
      <c r="BI185" s="44" t="s">
        <v>1542</v>
      </c>
      <c r="BJ185" s="44" t="s">
        <v>1542</v>
      </c>
      <c r="BK185" s="44" t="s">
        <v>1542</v>
      </c>
      <c r="BL185" s="44" t="s">
        <v>1542</v>
      </c>
      <c r="BM185" s="44" t="s">
        <v>1542</v>
      </c>
      <c r="BN185" s="44" t="s">
        <v>1542</v>
      </c>
      <c r="BO185" s="46">
        <f t="shared" si="12"/>
        <v>0</v>
      </c>
      <c r="BP185" s="43" t="s">
        <v>1542</v>
      </c>
      <c r="BQ185" s="43" t="s">
        <v>1542</v>
      </c>
      <c r="BR185" s="43" t="s">
        <v>1542</v>
      </c>
      <c r="BS185" s="43" t="s">
        <v>1542</v>
      </c>
      <c r="BT185" s="43" t="s">
        <v>1542</v>
      </c>
      <c r="BU185" s="43" t="s">
        <v>1542</v>
      </c>
      <c r="BV185" s="43" t="s">
        <v>1542</v>
      </c>
      <c r="BW185" s="43" t="s">
        <v>1542</v>
      </c>
      <c r="BX185" s="43" t="s">
        <v>1542</v>
      </c>
      <c r="BY185" s="43" t="s">
        <v>1542</v>
      </c>
      <c r="BZ185" s="43" t="s">
        <v>1542</v>
      </c>
      <c r="CA185" s="43" t="s">
        <v>1542</v>
      </c>
    </row>
    <row r="186" spans="1:79">
      <c r="A186">
        <v>185</v>
      </c>
      <c r="B186">
        <v>1</v>
      </c>
      <c r="C186" t="s">
        <v>1696</v>
      </c>
      <c r="D186" t="s">
        <v>1697</v>
      </c>
      <c r="E186" t="s">
        <v>2372</v>
      </c>
      <c r="F186" t="s">
        <v>2373</v>
      </c>
      <c r="G186" t="s">
        <v>2384</v>
      </c>
      <c r="H186" t="s">
        <v>2384</v>
      </c>
      <c r="J186" t="s">
        <v>2385</v>
      </c>
      <c r="K186" t="s">
        <v>2386</v>
      </c>
      <c r="M186" s="1" t="s">
        <v>2387</v>
      </c>
      <c r="O186" s="46">
        <f t="shared" si="13"/>
        <v>0</v>
      </c>
      <c r="P186" s="43" t="s">
        <v>1542</v>
      </c>
      <c r="Q186" s="43" t="s">
        <v>1542</v>
      </c>
      <c r="R186" s="43" t="s">
        <v>1542</v>
      </c>
      <c r="S186" s="43" t="s">
        <v>1542</v>
      </c>
      <c r="T186" s="43" t="s">
        <v>1542</v>
      </c>
      <c r="U186" s="43" t="s">
        <v>1542</v>
      </c>
      <c r="V186" s="43" t="s">
        <v>1542</v>
      </c>
      <c r="W186" s="43" t="s">
        <v>1542</v>
      </c>
      <c r="X186" s="43" t="s">
        <v>1542</v>
      </c>
      <c r="Y186" s="43" t="s">
        <v>1542</v>
      </c>
      <c r="Z186" s="43" t="s">
        <v>1542</v>
      </c>
      <c r="AA186" s="43" t="s">
        <v>1542</v>
      </c>
      <c r="AB186" s="46">
        <f t="shared" si="14"/>
        <v>0</v>
      </c>
      <c r="AC186" s="44" t="s">
        <v>1542</v>
      </c>
      <c r="AD186" s="44" t="s">
        <v>1542</v>
      </c>
      <c r="AE186" s="44" t="s">
        <v>1542</v>
      </c>
      <c r="AF186" s="44" t="s">
        <v>1542</v>
      </c>
      <c r="AG186" s="44" t="s">
        <v>1542</v>
      </c>
      <c r="AH186" s="44" t="s">
        <v>1542</v>
      </c>
      <c r="AI186" s="44" t="s">
        <v>1542</v>
      </c>
      <c r="AJ186" s="44" t="s">
        <v>1542</v>
      </c>
      <c r="AK186" s="44" t="s">
        <v>1542</v>
      </c>
      <c r="AL186" s="44" t="s">
        <v>1542</v>
      </c>
      <c r="AM186" s="44" t="s">
        <v>1542</v>
      </c>
      <c r="AN186" s="44" t="s">
        <v>1542</v>
      </c>
      <c r="AO186" s="46">
        <f t="shared" si="10"/>
        <v>0</v>
      </c>
      <c r="AP186" s="43" t="s">
        <v>1542</v>
      </c>
      <c r="AQ186" s="43" t="s">
        <v>1542</v>
      </c>
      <c r="AR186" s="43" t="s">
        <v>1542</v>
      </c>
      <c r="AS186" s="43" t="s">
        <v>1542</v>
      </c>
      <c r="AT186" s="43" t="s">
        <v>1542</v>
      </c>
      <c r="AU186" s="43" t="s">
        <v>1542</v>
      </c>
      <c r="AV186" s="43" t="s">
        <v>1542</v>
      </c>
      <c r="AW186" s="43" t="s">
        <v>1542</v>
      </c>
      <c r="AX186" s="43" t="s">
        <v>1542</v>
      </c>
      <c r="AY186" s="43" t="s">
        <v>1542</v>
      </c>
      <c r="AZ186" s="43" t="s">
        <v>1542</v>
      </c>
      <c r="BA186" s="43" t="s">
        <v>1542</v>
      </c>
      <c r="BB186" s="46">
        <f t="shared" si="11"/>
        <v>0</v>
      </c>
      <c r="BC186" s="44" t="s">
        <v>1542</v>
      </c>
      <c r="BD186" s="44" t="s">
        <v>1542</v>
      </c>
      <c r="BE186" s="44" t="s">
        <v>1542</v>
      </c>
      <c r="BF186" s="44" t="s">
        <v>1542</v>
      </c>
      <c r="BG186" s="44" t="s">
        <v>1542</v>
      </c>
      <c r="BH186" s="44" t="s">
        <v>1542</v>
      </c>
      <c r="BI186" s="44" t="s">
        <v>1542</v>
      </c>
      <c r="BJ186" s="44" t="s">
        <v>1542</v>
      </c>
      <c r="BK186" s="44" t="s">
        <v>1542</v>
      </c>
      <c r="BL186" s="44" t="s">
        <v>1542</v>
      </c>
      <c r="BM186" s="44" t="s">
        <v>1542</v>
      </c>
      <c r="BN186" s="44" t="s">
        <v>1542</v>
      </c>
      <c r="BO186" s="46">
        <f t="shared" si="12"/>
        <v>0</v>
      </c>
      <c r="BP186" s="43" t="s">
        <v>1542</v>
      </c>
      <c r="BQ186" s="43" t="s">
        <v>1542</v>
      </c>
      <c r="BR186" s="43" t="s">
        <v>1542</v>
      </c>
      <c r="BS186" s="43" t="s">
        <v>1542</v>
      </c>
      <c r="BT186" s="43" t="s">
        <v>1542</v>
      </c>
      <c r="BU186" s="43" t="s">
        <v>1542</v>
      </c>
      <c r="BV186" s="43" t="s">
        <v>1542</v>
      </c>
      <c r="BW186" s="43" t="s">
        <v>1542</v>
      </c>
      <c r="BX186" s="43" t="s">
        <v>1542</v>
      </c>
      <c r="BY186" s="43" t="s">
        <v>1542</v>
      </c>
      <c r="BZ186" s="43" t="s">
        <v>1542</v>
      </c>
      <c r="CA186" s="43" t="s">
        <v>1542</v>
      </c>
    </row>
    <row r="187" spans="1:79">
      <c r="A187">
        <v>186</v>
      </c>
      <c r="B187">
        <v>1</v>
      </c>
      <c r="C187" t="s">
        <v>1696</v>
      </c>
      <c r="D187" t="s">
        <v>1697</v>
      </c>
      <c r="E187" t="s">
        <v>2372</v>
      </c>
      <c r="F187" t="s">
        <v>2373</v>
      </c>
      <c r="G187" t="s">
        <v>2388</v>
      </c>
      <c r="H187" t="s">
        <v>2388</v>
      </c>
      <c r="J187" t="s">
        <v>2389</v>
      </c>
      <c r="K187" t="s">
        <v>2390</v>
      </c>
      <c r="M187" s="1" t="s">
        <v>2391</v>
      </c>
      <c r="O187" s="46">
        <f t="shared" si="13"/>
        <v>0</v>
      </c>
      <c r="P187" s="43" t="s">
        <v>1542</v>
      </c>
      <c r="Q187" s="43" t="s">
        <v>1542</v>
      </c>
      <c r="R187" s="43" t="s">
        <v>1542</v>
      </c>
      <c r="S187" s="43" t="s">
        <v>1542</v>
      </c>
      <c r="T187" s="43" t="s">
        <v>1542</v>
      </c>
      <c r="U187" s="43" t="s">
        <v>1542</v>
      </c>
      <c r="V187" s="43" t="s">
        <v>1542</v>
      </c>
      <c r="W187" s="43" t="s">
        <v>1542</v>
      </c>
      <c r="X187" s="43" t="s">
        <v>1542</v>
      </c>
      <c r="Y187" s="43" t="s">
        <v>1542</v>
      </c>
      <c r="Z187" s="43" t="s">
        <v>1542</v>
      </c>
      <c r="AA187" s="43" t="s">
        <v>1542</v>
      </c>
      <c r="AB187" s="46">
        <f t="shared" si="14"/>
        <v>0</v>
      </c>
      <c r="AC187" s="44" t="s">
        <v>1542</v>
      </c>
      <c r="AD187" s="44" t="s">
        <v>1542</v>
      </c>
      <c r="AE187" s="44" t="s">
        <v>1542</v>
      </c>
      <c r="AF187" s="44" t="s">
        <v>1542</v>
      </c>
      <c r="AG187" s="44" t="s">
        <v>1542</v>
      </c>
      <c r="AH187" s="44" t="s">
        <v>1542</v>
      </c>
      <c r="AI187" s="44" t="s">
        <v>1542</v>
      </c>
      <c r="AJ187" s="44" t="s">
        <v>1542</v>
      </c>
      <c r="AK187" s="44" t="s">
        <v>1542</v>
      </c>
      <c r="AL187" s="44" t="s">
        <v>1542</v>
      </c>
      <c r="AM187" s="44" t="s">
        <v>1542</v>
      </c>
      <c r="AN187" s="44" t="s">
        <v>1542</v>
      </c>
      <c r="AO187" s="46">
        <f t="shared" si="10"/>
        <v>0</v>
      </c>
      <c r="AP187" s="43" t="s">
        <v>1542</v>
      </c>
      <c r="AQ187" s="43" t="s">
        <v>1542</v>
      </c>
      <c r="AR187" s="43" t="s">
        <v>1542</v>
      </c>
      <c r="AS187" s="43" t="s">
        <v>1542</v>
      </c>
      <c r="AT187" s="43" t="s">
        <v>1542</v>
      </c>
      <c r="AU187" s="43" t="s">
        <v>1542</v>
      </c>
      <c r="AV187" s="43" t="s">
        <v>1542</v>
      </c>
      <c r="AW187" s="43" t="s">
        <v>1542</v>
      </c>
      <c r="AX187" s="43" t="s">
        <v>1542</v>
      </c>
      <c r="AY187" s="43" t="s">
        <v>1542</v>
      </c>
      <c r="AZ187" s="43" t="s">
        <v>1542</v>
      </c>
      <c r="BA187" s="43" t="s">
        <v>1542</v>
      </c>
      <c r="BB187" s="46">
        <f t="shared" si="11"/>
        <v>0</v>
      </c>
      <c r="BC187" s="44" t="s">
        <v>1542</v>
      </c>
      <c r="BD187" s="44" t="s">
        <v>1542</v>
      </c>
      <c r="BE187" s="44" t="s">
        <v>1542</v>
      </c>
      <c r="BF187" s="44" t="s">
        <v>1542</v>
      </c>
      <c r="BG187" s="44" t="s">
        <v>1542</v>
      </c>
      <c r="BH187" s="44" t="s">
        <v>1542</v>
      </c>
      <c r="BI187" s="44" t="s">
        <v>1542</v>
      </c>
      <c r="BJ187" s="44" t="s">
        <v>1542</v>
      </c>
      <c r="BK187" s="44" t="s">
        <v>1542</v>
      </c>
      <c r="BL187" s="44" t="s">
        <v>1542</v>
      </c>
      <c r="BM187" s="44" t="s">
        <v>1542</v>
      </c>
      <c r="BN187" s="44" t="s">
        <v>1542</v>
      </c>
      <c r="BO187" s="46">
        <f t="shared" si="12"/>
        <v>0</v>
      </c>
      <c r="BP187" s="43" t="s">
        <v>1542</v>
      </c>
      <c r="BQ187" s="43" t="s">
        <v>1542</v>
      </c>
      <c r="BR187" s="43" t="s">
        <v>1542</v>
      </c>
      <c r="BS187" s="43" t="s">
        <v>1542</v>
      </c>
      <c r="BT187" s="43" t="s">
        <v>1542</v>
      </c>
      <c r="BU187" s="43" t="s">
        <v>1542</v>
      </c>
      <c r="BV187" s="43" t="s">
        <v>1542</v>
      </c>
      <c r="BW187" s="43" t="s">
        <v>1542</v>
      </c>
      <c r="BX187" s="43" t="s">
        <v>1542</v>
      </c>
      <c r="BY187" s="43" t="s">
        <v>1542</v>
      </c>
      <c r="BZ187" s="43" t="s">
        <v>1542</v>
      </c>
      <c r="CA187" s="43" t="s">
        <v>1542</v>
      </c>
    </row>
    <row r="188" spans="1:79">
      <c r="A188">
        <v>187</v>
      </c>
      <c r="B188">
        <v>1</v>
      </c>
      <c r="C188" t="s">
        <v>1696</v>
      </c>
      <c r="D188" t="s">
        <v>1697</v>
      </c>
      <c r="E188" t="s">
        <v>2372</v>
      </c>
      <c r="F188" t="s">
        <v>2373</v>
      </c>
      <c r="G188" t="s">
        <v>2392</v>
      </c>
      <c r="H188" t="s">
        <v>2392</v>
      </c>
      <c r="J188" t="s">
        <v>2393</v>
      </c>
      <c r="K188" t="s">
        <v>2394</v>
      </c>
      <c r="M188" s="1" t="s">
        <v>2395</v>
      </c>
      <c r="O188" s="46">
        <f t="shared" si="13"/>
        <v>0</v>
      </c>
      <c r="P188" s="43" t="s">
        <v>1542</v>
      </c>
      <c r="Q188" s="43" t="s">
        <v>1542</v>
      </c>
      <c r="R188" s="43" t="s">
        <v>1542</v>
      </c>
      <c r="S188" s="43" t="s">
        <v>1542</v>
      </c>
      <c r="T188" s="43" t="s">
        <v>1542</v>
      </c>
      <c r="U188" s="43" t="s">
        <v>1542</v>
      </c>
      <c r="V188" s="43" t="s">
        <v>1542</v>
      </c>
      <c r="W188" s="43" t="s">
        <v>1542</v>
      </c>
      <c r="X188" s="43" t="s">
        <v>1542</v>
      </c>
      <c r="Y188" s="43" t="s">
        <v>1542</v>
      </c>
      <c r="Z188" s="43" t="s">
        <v>1542</v>
      </c>
      <c r="AA188" s="43" t="s">
        <v>1542</v>
      </c>
      <c r="AB188" s="46">
        <f t="shared" si="14"/>
        <v>0</v>
      </c>
      <c r="AC188" s="44" t="s">
        <v>1542</v>
      </c>
      <c r="AD188" s="44" t="s">
        <v>1542</v>
      </c>
      <c r="AE188" s="44" t="s">
        <v>1542</v>
      </c>
      <c r="AF188" s="44" t="s">
        <v>1542</v>
      </c>
      <c r="AG188" s="44" t="s">
        <v>1542</v>
      </c>
      <c r="AH188" s="44" t="s">
        <v>1542</v>
      </c>
      <c r="AI188" s="44" t="s">
        <v>1542</v>
      </c>
      <c r="AJ188" s="44" t="s">
        <v>1542</v>
      </c>
      <c r="AK188" s="44" t="s">
        <v>1542</v>
      </c>
      <c r="AL188" s="44" t="s">
        <v>1542</v>
      </c>
      <c r="AM188" s="44" t="s">
        <v>1542</v>
      </c>
      <c r="AN188" s="44" t="s">
        <v>1542</v>
      </c>
      <c r="AO188" s="46">
        <f t="shared" si="10"/>
        <v>0</v>
      </c>
      <c r="AP188" s="43" t="s">
        <v>1542</v>
      </c>
      <c r="AQ188" s="43" t="s">
        <v>1542</v>
      </c>
      <c r="AR188" s="43" t="s">
        <v>1542</v>
      </c>
      <c r="AS188" s="43" t="s">
        <v>1542</v>
      </c>
      <c r="AT188" s="43" t="s">
        <v>1542</v>
      </c>
      <c r="AU188" s="43" t="s">
        <v>1542</v>
      </c>
      <c r="AV188" s="43" t="s">
        <v>1542</v>
      </c>
      <c r="AW188" s="43" t="s">
        <v>1542</v>
      </c>
      <c r="AX188" s="43" t="s">
        <v>1542</v>
      </c>
      <c r="AY188" s="43" t="s">
        <v>1542</v>
      </c>
      <c r="AZ188" s="43" t="s">
        <v>1542</v>
      </c>
      <c r="BA188" s="43" t="s">
        <v>1542</v>
      </c>
      <c r="BB188" s="46">
        <f t="shared" si="11"/>
        <v>0</v>
      </c>
      <c r="BC188" s="44" t="s">
        <v>1542</v>
      </c>
      <c r="BD188" s="44" t="s">
        <v>1542</v>
      </c>
      <c r="BE188" s="44" t="s">
        <v>1542</v>
      </c>
      <c r="BF188" s="44" t="s">
        <v>1542</v>
      </c>
      <c r="BG188" s="44" t="s">
        <v>1542</v>
      </c>
      <c r="BH188" s="44" t="s">
        <v>1542</v>
      </c>
      <c r="BI188" s="44" t="s">
        <v>1542</v>
      </c>
      <c r="BJ188" s="44" t="s">
        <v>1542</v>
      </c>
      <c r="BK188" s="44" t="s">
        <v>1542</v>
      </c>
      <c r="BL188" s="44" t="s">
        <v>1542</v>
      </c>
      <c r="BM188" s="44" t="s">
        <v>1542</v>
      </c>
      <c r="BN188" s="44" t="s">
        <v>1542</v>
      </c>
      <c r="BO188" s="46">
        <f t="shared" si="12"/>
        <v>0</v>
      </c>
      <c r="BP188" s="43" t="s">
        <v>1542</v>
      </c>
      <c r="BQ188" s="43" t="s">
        <v>1542</v>
      </c>
      <c r="BR188" s="43" t="s">
        <v>1542</v>
      </c>
      <c r="BS188" s="43" t="s">
        <v>1542</v>
      </c>
      <c r="BT188" s="43" t="s">
        <v>1542</v>
      </c>
      <c r="BU188" s="43" t="s">
        <v>1542</v>
      </c>
      <c r="BV188" s="43" t="s">
        <v>1542</v>
      </c>
      <c r="BW188" s="43" t="s">
        <v>1542</v>
      </c>
      <c r="BX188" s="43" t="s">
        <v>1542</v>
      </c>
      <c r="BY188" s="43" t="s">
        <v>1542</v>
      </c>
      <c r="BZ188" s="43" t="s">
        <v>1542</v>
      </c>
      <c r="CA188" s="43" t="s">
        <v>1542</v>
      </c>
    </row>
    <row r="189" spans="1:79">
      <c r="A189">
        <v>188</v>
      </c>
      <c r="B189">
        <v>1</v>
      </c>
      <c r="C189" t="s">
        <v>1696</v>
      </c>
      <c r="D189" t="s">
        <v>1697</v>
      </c>
      <c r="E189" t="s">
        <v>2372</v>
      </c>
      <c r="F189" t="s">
        <v>2373</v>
      </c>
      <c r="G189" t="s">
        <v>2396</v>
      </c>
      <c r="H189" t="s">
        <v>2396</v>
      </c>
      <c r="J189" t="s">
        <v>2397</v>
      </c>
      <c r="K189" t="s">
        <v>2398</v>
      </c>
      <c r="M189" s="1" t="s">
        <v>2399</v>
      </c>
      <c r="O189" s="46">
        <f t="shared" si="13"/>
        <v>0</v>
      </c>
      <c r="P189" s="43" t="s">
        <v>1542</v>
      </c>
      <c r="Q189" s="43" t="s">
        <v>1542</v>
      </c>
      <c r="R189" s="43" t="s">
        <v>1542</v>
      </c>
      <c r="S189" s="43" t="s">
        <v>1542</v>
      </c>
      <c r="T189" s="43" t="s">
        <v>1542</v>
      </c>
      <c r="U189" s="43" t="s">
        <v>1542</v>
      </c>
      <c r="V189" s="43" t="s">
        <v>1542</v>
      </c>
      <c r="W189" s="43" t="s">
        <v>1542</v>
      </c>
      <c r="X189" s="43" t="s">
        <v>1542</v>
      </c>
      <c r="Y189" s="43" t="s">
        <v>1542</v>
      </c>
      <c r="Z189" s="43" t="s">
        <v>1542</v>
      </c>
      <c r="AA189" s="43" t="s">
        <v>1542</v>
      </c>
      <c r="AB189" s="46">
        <f t="shared" si="14"/>
        <v>0</v>
      </c>
      <c r="AC189" s="44" t="s">
        <v>1542</v>
      </c>
      <c r="AD189" s="44" t="s">
        <v>1542</v>
      </c>
      <c r="AE189" s="44" t="s">
        <v>1542</v>
      </c>
      <c r="AF189" s="44" t="s">
        <v>1542</v>
      </c>
      <c r="AG189" s="44" t="s">
        <v>1542</v>
      </c>
      <c r="AH189" s="44" t="s">
        <v>1542</v>
      </c>
      <c r="AI189" s="44" t="s">
        <v>1542</v>
      </c>
      <c r="AJ189" s="44" t="s">
        <v>1542</v>
      </c>
      <c r="AK189" s="44" t="s">
        <v>1542</v>
      </c>
      <c r="AL189" s="44" t="s">
        <v>1542</v>
      </c>
      <c r="AM189" s="44" t="s">
        <v>1542</v>
      </c>
      <c r="AN189" s="44" t="s">
        <v>1542</v>
      </c>
      <c r="AO189" s="46">
        <f t="shared" si="10"/>
        <v>0</v>
      </c>
      <c r="AP189" s="43" t="s">
        <v>1542</v>
      </c>
      <c r="AQ189" s="43" t="s">
        <v>1542</v>
      </c>
      <c r="AR189" s="43" t="s">
        <v>1542</v>
      </c>
      <c r="AS189" s="43" t="s">
        <v>1542</v>
      </c>
      <c r="AT189" s="43" t="s">
        <v>1542</v>
      </c>
      <c r="AU189" s="43" t="s">
        <v>1542</v>
      </c>
      <c r="AV189" s="43" t="s">
        <v>1542</v>
      </c>
      <c r="AW189" s="43" t="s">
        <v>1542</v>
      </c>
      <c r="AX189" s="43" t="s">
        <v>1542</v>
      </c>
      <c r="AY189" s="43" t="s">
        <v>1542</v>
      </c>
      <c r="AZ189" s="43" t="s">
        <v>1542</v>
      </c>
      <c r="BA189" s="43" t="s">
        <v>1542</v>
      </c>
      <c r="BB189" s="46">
        <f t="shared" si="11"/>
        <v>0</v>
      </c>
      <c r="BC189" s="44" t="s">
        <v>1542</v>
      </c>
      <c r="BD189" s="44" t="s">
        <v>1542</v>
      </c>
      <c r="BE189" s="44" t="s">
        <v>1542</v>
      </c>
      <c r="BF189" s="44" t="s">
        <v>1542</v>
      </c>
      <c r="BG189" s="44" t="s">
        <v>1542</v>
      </c>
      <c r="BH189" s="44" t="s">
        <v>1542</v>
      </c>
      <c r="BI189" s="44" t="s">
        <v>1542</v>
      </c>
      <c r="BJ189" s="44" t="s">
        <v>1542</v>
      </c>
      <c r="BK189" s="44" t="s">
        <v>1542</v>
      </c>
      <c r="BL189" s="44" t="s">
        <v>1542</v>
      </c>
      <c r="BM189" s="44" t="s">
        <v>1542</v>
      </c>
      <c r="BN189" s="44" t="s">
        <v>1542</v>
      </c>
      <c r="BO189" s="46">
        <f t="shared" si="12"/>
        <v>0</v>
      </c>
      <c r="BP189" s="43" t="s">
        <v>1542</v>
      </c>
      <c r="BQ189" s="43" t="s">
        <v>1542</v>
      </c>
      <c r="BR189" s="43" t="s">
        <v>1542</v>
      </c>
      <c r="BS189" s="43" t="s">
        <v>1542</v>
      </c>
      <c r="BT189" s="43" t="s">
        <v>1542</v>
      </c>
      <c r="BU189" s="43" t="s">
        <v>1542</v>
      </c>
      <c r="BV189" s="43" t="s">
        <v>1542</v>
      </c>
      <c r="BW189" s="43" t="s">
        <v>1542</v>
      </c>
      <c r="BX189" s="43" t="s">
        <v>1542</v>
      </c>
      <c r="BY189" s="43" t="s">
        <v>1542</v>
      </c>
      <c r="BZ189" s="43" t="s">
        <v>1542</v>
      </c>
      <c r="CA189" s="43" t="s">
        <v>1542</v>
      </c>
    </row>
    <row r="190" spans="1:79">
      <c r="A190">
        <v>189</v>
      </c>
      <c r="B190">
        <v>1</v>
      </c>
      <c r="C190" t="s">
        <v>1696</v>
      </c>
      <c r="D190" t="s">
        <v>1697</v>
      </c>
      <c r="E190" t="s">
        <v>2372</v>
      </c>
      <c r="F190" t="s">
        <v>2373</v>
      </c>
      <c r="G190" t="s">
        <v>2400</v>
      </c>
      <c r="H190" t="s">
        <v>2400</v>
      </c>
      <c r="J190" t="s">
        <v>2401</v>
      </c>
      <c r="K190" t="s">
        <v>2402</v>
      </c>
      <c r="M190" s="1" t="s">
        <v>2403</v>
      </c>
      <c r="O190" s="46">
        <f t="shared" si="13"/>
        <v>0</v>
      </c>
      <c r="P190" s="43" t="s">
        <v>1542</v>
      </c>
      <c r="Q190" s="43" t="s">
        <v>1542</v>
      </c>
      <c r="R190" s="43" t="s">
        <v>1542</v>
      </c>
      <c r="S190" s="43" t="s">
        <v>1542</v>
      </c>
      <c r="T190" s="43" t="s">
        <v>1542</v>
      </c>
      <c r="U190" s="43" t="s">
        <v>1542</v>
      </c>
      <c r="V190" s="43" t="s">
        <v>1542</v>
      </c>
      <c r="W190" s="43" t="s">
        <v>1542</v>
      </c>
      <c r="X190" s="43" t="s">
        <v>1542</v>
      </c>
      <c r="Y190" s="43" t="s">
        <v>1542</v>
      </c>
      <c r="Z190" s="43" t="s">
        <v>1542</v>
      </c>
      <c r="AA190" s="43" t="s">
        <v>1542</v>
      </c>
      <c r="AB190" s="46">
        <f t="shared" si="14"/>
        <v>0</v>
      </c>
      <c r="AC190" s="44" t="s">
        <v>1542</v>
      </c>
      <c r="AD190" s="44" t="s">
        <v>1542</v>
      </c>
      <c r="AE190" s="44" t="s">
        <v>1542</v>
      </c>
      <c r="AF190" s="44" t="s">
        <v>1542</v>
      </c>
      <c r="AG190" s="44" t="s">
        <v>1542</v>
      </c>
      <c r="AH190" s="44" t="s">
        <v>1542</v>
      </c>
      <c r="AI190" s="44" t="s">
        <v>1542</v>
      </c>
      <c r="AJ190" s="44" t="s">
        <v>1542</v>
      </c>
      <c r="AK190" s="44" t="s">
        <v>1542</v>
      </c>
      <c r="AL190" s="44" t="s">
        <v>1542</v>
      </c>
      <c r="AM190" s="44" t="s">
        <v>1542</v>
      </c>
      <c r="AN190" s="44" t="s">
        <v>1542</v>
      </c>
      <c r="AO190" s="46">
        <f t="shared" si="10"/>
        <v>0</v>
      </c>
      <c r="AP190" s="43" t="s">
        <v>1542</v>
      </c>
      <c r="AQ190" s="43" t="s">
        <v>1542</v>
      </c>
      <c r="AR190" s="43" t="s">
        <v>1542</v>
      </c>
      <c r="AS190" s="43" t="s">
        <v>1542</v>
      </c>
      <c r="AT190" s="43" t="s">
        <v>1542</v>
      </c>
      <c r="AU190" s="43" t="s">
        <v>1542</v>
      </c>
      <c r="AV190" s="43" t="s">
        <v>1542</v>
      </c>
      <c r="AW190" s="43" t="s">
        <v>1542</v>
      </c>
      <c r="AX190" s="43" t="s">
        <v>1542</v>
      </c>
      <c r="AY190" s="43" t="s">
        <v>1542</v>
      </c>
      <c r="AZ190" s="43" t="s">
        <v>1542</v>
      </c>
      <c r="BA190" s="43" t="s">
        <v>1542</v>
      </c>
      <c r="BB190" s="46">
        <f t="shared" si="11"/>
        <v>0</v>
      </c>
      <c r="BC190" s="44" t="s">
        <v>1542</v>
      </c>
      <c r="BD190" s="44" t="s">
        <v>1542</v>
      </c>
      <c r="BE190" s="44" t="s">
        <v>1542</v>
      </c>
      <c r="BF190" s="44" t="s">
        <v>1542</v>
      </c>
      <c r="BG190" s="44" t="s">
        <v>1542</v>
      </c>
      <c r="BH190" s="44" t="s">
        <v>1542</v>
      </c>
      <c r="BI190" s="44" t="s">
        <v>1542</v>
      </c>
      <c r="BJ190" s="44" t="s">
        <v>1542</v>
      </c>
      <c r="BK190" s="44" t="s">
        <v>1542</v>
      </c>
      <c r="BL190" s="44" t="s">
        <v>1542</v>
      </c>
      <c r="BM190" s="44" t="s">
        <v>1542</v>
      </c>
      <c r="BN190" s="44" t="s">
        <v>1542</v>
      </c>
      <c r="BO190" s="46">
        <f t="shared" si="12"/>
        <v>0</v>
      </c>
      <c r="BP190" s="43" t="s">
        <v>1542</v>
      </c>
      <c r="BQ190" s="43" t="s">
        <v>1542</v>
      </c>
      <c r="BR190" s="43" t="s">
        <v>1542</v>
      </c>
      <c r="BS190" s="43" t="s">
        <v>1542</v>
      </c>
      <c r="BT190" s="43" t="s">
        <v>1542</v>
      </c>
      <c r="BU190" s="43" t="s">
        <v>1542</v>
      </c>
      <c r="BV190" s="43" t="s">
        <v>1542</v>
      </c>
      <c r="BW190" s="43" t="s">
        <v>1542</v>
      </c>
      <c r="BX190" s="43" t="s">
        <v>1542</v>
      </c>
      <c r="BY190" s="43" t="s">
        <v>1542</v>
      </c>
      <c r="BZ190" s="43" t="s">
        <v>1542</v>
      </c>
      <c r="CA190" s="43" t="s">
        <v>1542</v>
      </c>
    </row>
    <row r="191" spans="1:79">
      <c r="A191">
        <v>190</v>
      </c>
      <c r="B191">
        <v>1</v>
      </c>
      <c r="C191" t="s">
        <v>1696</v>
      </c>
      <c r="D191" t="s">
        <v>1697</v>
      </c>
      <c r="E191" t="s">
        <v>2372</v>
      </c>
      <c r="F191" t="s">
        <v>2373</v>
      </c>
      <c r="G191" t="s">
        <v>2404</v>
      </c>
      <c r="H191" t="s">
        <v>2404</v>
      </c>
      <c r="J191" t="s">
        <v>2405</v>
      </c>
      <c r="K191" t="s">
        <v>2406</v>
      </c>
      <c r="M191" s="1" t="s">
        <v>2407</v>
      </c>
      <c r="O191" s="46">
        <f t="shared" si="13"/>
        <v>0</v>
      </c>
      <c r="P191" s="43" t="s">
        <v>1542</v>
      </c>
      <c r="Q191" s="43" t="s">
        <v>1542</v>
      </c>
      <c r="R191" s="43" t="s">
        <v>1542</v>
      </c>
      <c r="S191" s="43" t="s">
        <v>1542</v>
      </c>
      <c r="T191" s="43" t="s">
        <v>1542</v>
      </c>
      <c r="U191" s="43" t="s">
        <v>1542</v>
      </c>
      <c r="V191" s="43" t="s">
        <v>1542</v>
      </c>
      <c r="W191" s="43" t="s">
        <v>1542</v>
      </c>
      <c r="X191" s="43" t="s">
        <v>1542</v>
      </c>
      <c r="Y191" s="43" t="s">
        <v>1542</v>
      </c>
      <c r="Z191" s="43" t="s">
        <v>1542</v>
      </c>
      <c r="AA191" s="43" t="s">
        <v>1542</v>
      </c>
      <c r="AB191" s="46">
        <f t="shared" si="14"/>
        <v>0</v>
      </c>
      <c r="AC191" s="44" t="s">
        <v>1542</v>
      </c>
      <c r="AD191" s="44" t="s">
        <v>1542</v>
      </c>
      <c r="AE191" s="44" t="s">
        <v>1542</v>
      </c>
      <c r="AF191" s="44" t="s">
        <v>1542</v>
      </c>
      <c r="AG191" s="44" t="s">
        <v>1542</v>
      </c>
      <c r="AH191" s="44" t="s">
        <v>1542</v>
      </c>
      <c r="AI191" s="44" t="s">
        <v>1542</v>
      </c>
      <c r="AJ191" s="44" t="s">
        <v>1542</v>
      </c>
      <c r="AK191" s="44" t="s">
        <v>1542</v>
      </c>
      <c r="AL191" s="44" t="s">
        <v>1542</v>
      </c>
      <c r="AM191" s="44" t="s">
        <v>1542</v>
      </c>
      <c r="AN191" s="44" t="s">
        <v>1542</v>
      </c>
      <c r="AO191" s="46">
        <f t="shared" si="10"/>
        <v>0</v>
      </c>
      <c r="AP191" s="43" t="s">
        <v>1542</v>
      </c>
      <c r="AQ191" s="43" t="s">
        <v>1542</v>
      </c>
      <c r="AR191" s="43" t="s">
        <v>1542</v>
      </c>
      <c r="AS191" s="43" t="s">
        <v>1542</v>
      </c>
      <c r="AT191" s="43" t="s">
        <v>1542</v>
      </c>
      <c r="AU191" s="43" t="s">
        <v>1542</v>
      </c>
      <c r="AV191" s="43" t="s">
        <v>1542</v>
      </c>
      <c r="AW191" s="43" t="s">
        <v>1542</v>
      </c>
      <c r="AX191" s="43" t="s">
        <v>1542</v>
      </c>
      <c r="AY191" s="43" t="s">
        <v>1542</v>
      </c>
      <c r="AZ191" s="43" t="s">
        <v>1542</v>
      </c>
      <c r="BA191" s="43" t="s">
        <v>1542</v>
      </c>
      <c r="BB191" s="46">
        <f t="shared" si="11"/>
        <v>0</v>
      </c>
      <c r="BC191" s="44" t="s">
        <v>1542</v>
      </c>
      <c r="BD191" s="44" t="s">
        <v>1542</v>
      </c>
      <c r="BE191" s="44" t="s">
        <v>1542</v>
      </c>
      <c r="BF191" s="44" t="s">
        <v>1542</v>
      </c>
      <c r="BG191" s="44" t="s">
        <v>1542</v>
      </c>
      <c r="BH191" s="44" t="s">
        <v>1542</v>
      </c>
      <c r="BI191" s="44" t="s">
        <v>1542</v>
      </c>
      <c r="BJ191" s="44" t="s">
        <v>1542</v>
      </c>
      <c r="BK191" s="44" t="s">
        <v>1542</v>
      </c>
      <c r="BL191" s="44" t="s">
        <v>1542</v>
      </c>
      <c r="BM191" s="44" t="s">
        <v>1542</v>
      </c>
      <c r="BN191" s="44" t="s">
        <v>1542</v>
      </c>
      <c r="BO191" s="46">
        <f t="shared" si="12"/>
        <v>0</v>
      </c>
      <c r="BP191" s="43" t="s">
        <v>1542</v>
      </c>
      <c r="BQ191" s="43" t="s">
        <v>1542</v>
      </c>
      <c r="BR191" s="43" t="s">
        <v>1542</v>
      </c>
      <c r="BS191" s="43" t="s">
        <v>1542</v>
      </c>
      <c r="BT191" s="43" t="s">
        <v>1542</v>
      </c>
      <c r="BU191" s="43" t="s">
        <v>1542</v>
      </c>
      <c r="BV191" s="43" t="s">
        <v>1542</v>
      </c>
      <c r="BW191" s="43" t="s">
        <v>1542</v>
      </c>
      <c r="BX191" s="43" t="s">
        <v>1542</v>
      </c>
      <c r="BY191" s="43" t="s">
        <v>1542</v>
      </c>
      <c r="BZ191" s="43" t="s">
        <v>1542</v>
      </c>
      <c r="CA191" s="43" t="s">
        <v>1542</v>
      </c>
    </row>
    <row r="192" spans="1:79">
      <c r="A192">
        <v>191</v>
      </c>
      <c r="B192">
        <v>1</v>
      </c>
      <c r="C192" t="s">
        <v>1696</v>
      </c>
      <c r="D192" t="s">
        <v>1697</v>
      </c>
      <c r="E192" t="s">
        <v>2372</v>
      </c>
      <c r="F192" t="s">
        <v>2373</v>
      </c>
      <c r="G192" t="s">
        <v>2408</v>
      </c>
      <c r="H192" t="s">
        <v>2408</v>
      </c>
      <c r="J192" t="s">
        <v>2409</v>
      </c>
      <c r="K192" t="s">
        <v>2410</v>
      </c>
      <c r="M192" s="1" t="s">
        <v>2411</v>
      </c>
      <c r="O192" s="46">
        <f t="shared" si="13"/>
        <v>0</v>
      </c>
      <c r="P192" s="43" t="s">
        <v>1542</v>
      </c>
      <c r="Q192" s="43" t="s">
        <v>1542</v>
      </c>
      <c r="R192" s="43" t="s">
        <v>1542</v>
      </c>
      <c r="S192" s="43" t="s">
        <v>1542</v>
      </c>
      <c r="T192" s="43" t="s">
        <v>1542</v>
      </c>
      <c r="U192" s="43" t="s">
        <v>1542</v>
      </c>
      <c r="V192" s="43" t="s">
        <v>1542</v>
      </c>
      <c r="W192" s="43" t="s">
        <v>1542</v>
      </c>
      <c r="X192" s="43" t="s">
        <v>1542</v>
      </c>
      <c r="Y192" s="43" t="s">
        <v>1542</v>
      </c>
      <c r="Z192" s="43" t="s">
        <v>1542</v>
      </c>
      <c r="AA192" s="43" t="s">
        <v>1542</v>
      </c>
      <c r="AB192" s="46">
        <f t="shared" si="14"/>
        <v>0</v>
      </c>
      <c r="AC192" s="44" t="s">
        <v>1542</v>
      </c>
      <c r="AD192" s="44" t="s">
        <v>1542</v>
      </c>
      <c r="AE192" s="44" t="s">
        <v>1542</v>
      </c>
      <c r="AF192" s="44" t="s">
        <v>1542</v>
      </c>
      <c r="AG192" s="44" t="s">
        <v>1542</v>
      </c>
      <c r="AH192" s="44" t="s">
        <v>1542</v>
      </c>
      <c r="AI192" s="44" t="s">
        <v>1542</v>
      </c>
      <c r="AJ192" s="44" t="s">
        <v>1542</v>
      </c>
      <c r="AK192" s="44" t="s">
        <v>1542</v>
      </c>
      <c r="AL192" s="44" t="s">
        <v>1542</v>
      </c>
      <c r="AM192" s="44" t="s">
        <v>1542</v>
      </c>
      <c r="AN192" s="44" t="s">
        <v>1542</v>
      </c>
      <c r="AO192" s="46">
        <f t="shared" si="10"/>
        <v>0</v>
      </c>
      <c r="AP192" s="43" t="s">
        <v>1542</v>
      </c>
      <c r="AQ192" s="43" t="s">
        <v>1542</v>
      </c>
      <c r="AR192" s="43" t="s">
        <v>1542</v>
      </c>
      <c r="AS192" s="43" t="s">
        <v>1542</v>
      </c>
      <c r="AT192" s="43" t="s">
        <v>1542</v>
      </c>
      <c r="AU192" s="43" t="s">
        <v>1542</v>
      </c>
      <c r="AV192" s="43" t="s">
        <v>1542</v>
      </c>
      <c r="AW192" s="43" t="s">
        <v>1542</v>
      </c>
      <c r="AX192" s="43" t="s">
        <v>1542</v>
      </c>
      <c r="AY192" s="43" t="s">
        <v>1542</v>
      </c>
      <c r="AZ192" s="43" t="s">
        <v>1542</v>
      </c>
      <c r="BA192" s="43" t="s">
        <v>1542</v>
      </c>
      <c r="BB192" s="46">
        <f t="shared" si="11"/>
        <v>0</v>
      </c>
      <c r="BC192" s="44" t="s">
        <v>1542</v>
      </c>
      <c r="BD192" s="44" t="s">
        <v>1542</v>
      </c>
      <c r="BE192" s="44" t="s">
        <v>1542</v>
      </c>
      <c r="BF192" s="44" t="s">
        <v>1542</v>
      </c>
      <c r="BG192" s="44" t="s">
        <v>1542</v>
      </c>
      <c r="BH192" s="44" t="s">
        <v>1542</v>
      </c>
      <c r="BI192" s="44" t="s">
        <v>1542</v>
      </c>
      <c r="BJ192" s="44" t="s">
        <v>1542</v>
      </c>
      <c r="BK192" s="44" t="s">
        <v>1542</v>
      </c>
      <c r="BL192" s="44" t="s">
        <v>1542</v>
      </c>
      <c r="BM192" s="44" t="s">
        <v>1542</v>
      </c>
      <c r="BN192" s="44" t="s">
        <v>1542</v>
      </c>
      <c r="BO192" s="46">
        <f t="shared" si="12"/>
        <v>0</v>
      </c>
      <c r="BP192" s="43" t="s">
        <v>1542</v>
      </c>
      <c r="BQ192" s="43" t="s">
        <v>1542</v>
      </c>
      <c r="BR192" s="43" t="s">
        <v>1542</v>
      </c>
      <c r="BS192" s="43" t="s">
        <v>1542</v>
      </c>
      <c r="BT192" s="43" t="s">
        <v>1542</v>
      </c>
      <c r="BU192" s="43" t="s">
        <v>1542</v>
      </c>
      <c r="BV192" s="43" t="s">
        <v>1542</v>
      </c>
      <c r="BW192" s="43" t="s">
        <v>1542</v>
      </c>
      <c r="BX192" s="43" t="s">
        <v>1542</v>
      </c>
      <c r="BY192" s="43" t="s">
        <v>1542</v>
      </c>
      <c r="BZ192" s="43" t="s">
        <v>1542</v>
      </c>
      <c r="CA192" s="43" t="s">
        <v>1542</v>
      </c>
    </row>
    <row r="193" spans="1:79">
      <c r="A193">
        <v>192</v>
      </c>
      <c r="B193">
        <v>1</v>
      </c>
      <c r="C193" t="s">
        <v>1696</v>
      </c>
      <c r="D193" t="s">
        <v>1697</v>
      </c>
      <c r="E193" t="s">
        <v>2372</v>
      </c>
      <c r="F193" t="s">
        <v>2373</v>
      </c>
      <c r="G193" t="s">
        <v>2412</v>
      </c>
      <c r="H193" t="s">
        <v>2412</v>
      </c>
      <c r="J193" t="s">
        <v>2413</v>
      </c>
      <c r="K193" t="s">
        <v>2414</v>
      </c>
      <c r="M193" s="1" t="s">
        <v>2415</v>
      </c>
      <c r="O193" s="46">
        <f t="shared" si="13"/>
        <v>0</v>
      </c>
      <c r="P193" s="43" t="s">
        <v>1542</v>
      </c>
      <c r="Q193" s="43" t="s">
        <v>1542</v>
      </c>
      <c r="R193" s="43" t="s">
        <v>1542</v>
      </c>
      <c r="S193" s="43" t="s">
        <v>1542</v>
      </c>
      <c r="T193" s="43" t="s">
        <v>1542</v>
      </c>
      <c r="U193" s="43" t="s">
        <v>1542</v>
      </c>
      <c r="V193" s="43" t="s">
        <v>1542</v>
      </c>
      <c r="W193" s="43" t="s">
        <v>1542</v>
      </c>
      <c r="X193" s="43" t="s">
        <v>1542</v>
      </c>
      <c r="Y193" s="43" t="s">
        <v>1542</v>
      </c>
      <c r="Z193" s="43" t="s">
        <v>1542</v>
      </c>
      <c r="AA193" s="43" t="s">
        <v>1542</v>
      </c>
      <c r="AB193" s="46">
        <f t="shared" si="14"/>
        <v>0</v>
      </c>
      <c r="AC193" s="44" t="s">
        <v>1542</v>
      </c>
      <c r="AD193" s="44" t="s">
        <v>1542</v>
      </c>
      <c r="AE193" s="44" t="s">
        <v>1542</v>
      </c>
      <c r="AF193" s="44" t="s">
        <v>1542</v>
      </c>
      <c r="AG193" s="44" t="s">
        <v>1542</v>
      </c>
      <c r="AH193" s="44" t="s">
        <v>1542</v>
      </c>
      <c r="AI193" s="44" t="s">
        <v>1542</v>
      </c>
      <c r="AJ193" s="44" t="s">
        <v>1542</v>
      </c>
      <c r="AK193" s="44" t="s">
        <v>1542</v>
      </c>
      <c r="AL193" s="44" t="s">
        <v>1542</v>
      </c>
      <c r="AM193" s="44" t="s">
        <v>1542</v>
      </c>
      <c r="AN193" s="44" t="s">
        <v>1542</v>
      </c>
      <c r="AO193" s="46">
        <f t="shared" si="10"/>
        <v>0</v>
      </c>
      <c r="AP193" s="43" t="s">
        <v>1542</v>
      </c>
      <c r="AQ193" s="43" t="s">
        <v>1542</v>
      </c>
      <c r="AR193" s="43" t="s">
        <v>1542</v>
      </c>
      <c r="AS193" s="43" t="s">
        <v>1542</v>
      </c>
      <c r="AT193" s="43" t="s">
        <v>1542</v>
      </c>
      <c r="AU193" s="43" t="s">
        <v>1542</v>
      </c>
      <c r="AV193" s="43" t="s">
        <v>1542</v>
      </c>
      <c r="AW193" s="43" t="s">
        <v>1542</v>
      </c>
      <c r="AX193" s="43" t="s">
        <v>1542</v>
      </c>
      <c r="AY193" s="43" t="s">
        <v>1542</v>
      </c>
      <c r="AZ193" s="43" t="s">
        <v>1542</v>
      </c>
      <c r="BA193" s="43" t="s">
        <v>1542</v>
      </c>
      <c r="BB193" s="46">
        <f t="shared" si="11"/>
        <v>0</v>
      </c>
      <c r="BC193" s="44" t="s">
        <v>1542</v>
      </c>
      <c r="BD193" s="44" t="s">
        <v>1542</v>
      </c>
      <c r="BE193" s="44" t="s">
        <v>1542</v>
      </c>
      <c r="BF193" s="44" t="s">
        <v>1542</v>
      </c>
      <c r="BG193" s="44" t="s">
        <v>1542</v>
      </c>
      <c r="BH193" s="44" t="s">
        <v>1542</v>
      </c>
      <c r="BI193" s="44" t="s">
        <v>1542</v>
      </c>
      <c r="BJ193" s="44" t="s">
        <v>1542</v>
      </c>
      <c r="BK193" s="44" t="s">
        <v>1542</v>
      </c>
      <c r="BL193" s="44" t="s">
        <v>1542</v>
      </c>
      <c r="BM193" s="44" t="s">
        <v>1542</v>
      </c>
      <c r="BN193" s="44" t="s">
        <v>1542</v>
      </c>
      <c r="BO193" s="46">
        <f t="shared" si="12"/>
        <v>0</v>
      </c>
      <c r="BP193" s="43" t="s">
        <v>1542</v>
      </c>
      <c r="BQ193" s="43" t="s">
        <v>1542</v>
      </c>
      <c r="BR193" s="43" t="s">
        <v>1542</v>
      </c>
      <c r="BS193" s="43" t="s">
        <v>1542</v>
      </c>
      <c r="BT193" s="43" t="s">
        <v>1542</v>
      </c>
      <c r="BU193" s="43" t="s">
        <v>1542</v>
      </c>
      <c r="BV193" s="43" t="s">
        <v>1542</v>
      </c>
      <c r="BW193" s="43" t="s">
        <v>1542</v>
      </c>
      <c r="BX193" s="43" t="s">
        <v>1542</v>
      </c>
      <c r="BY193" s="43" t="s">
        <v>1542</v>
      </c>
      <c r="BZ193" s="43" t="s">
        <v>1542</v>
      </c>
      <c r="CA193" s="43" t="s">
        <v>1542</v>
      </c>
    </row>
    <row r="194" spans="1:79">
      <c r="A194">
        <v>193</v>
      </c>
      <c r="B194">
        <v>1</v>
      </c>
      <c r="C194" t="s">
        <v>1696</v>
      </c>
      <c r="D194" t="s">
        <v>1697</v>
      </c>
      <c r="E194" t="s">
        <v>2372</v>
      </c>
      <c r="F194" t="s">
        <v>2373</v>
      </c>
      <c r="G194" t="s">
        <v>2416</v>
      </c>
      <c r="H194" t="s">
        <v>2416</v>
      </c>
      <c r="J194" t="s">
        <v>2417</v>
      </c>
      <c r="K194" t="s">
        <v>2418</v>
      </c>
      <c r="M194" s="1" t="s">
        <v>2419</v>
      </c>
      <c r="N194" t="s">
        <v>2420</v>
      </c>
      <c r="O194" s="46">
        <f t="shared" si="13"/>
        <v>0</v>
      </c>
      <c r="P194" s="43" t="s">
        <v>1542</v>
      </c>
      <c r="Q194" s="43" t="s">
        <v>1542</v>
      </c>
      <c r="R194" s="43" t="s">
        <v>1542</v>
      </c>
      <c r="S194" s="43" t="s">
        <v>1542</v>
      </c>
      <c r="T194" s="43" t="s">
        <v>1542</v>
      </c>
      <c r="U194" s="43" t="s">
        <v>1542</v>
      </c>
      <c r="V194" s="43" t="s">
        <v>1542</v>
      </c>
      <c r="W194" s="43" t="s">
        <v>1542</v>
      </c>
      <c r="X194" s="43" t="s">
        <v>1542</v>
      </c>
      <c r="Y194" s="43" t="s">
        <v>1542</v>
      </c>
      <c r="Z194" s="43" t="s">
        <v>1542</v>
      </c>
      <c r="AA194" s="43" t="s">
        <v>1542</v>
      </c>
      <c r="AB194" s="46">
        <f t="shared" si="14"/>
        <v>0</v>
      </c>
      <c r="AC194" s="44" t="s">
        <v>1542</v>
      </c>
      <c r="AD194" s="44" t="s">
        <v>1542</v>
      </c>
      <c r="AE194" s="44" t="s">
        <v>1542</v>
      </c>
      <c r="AF194" s="44" t="s">
        <v>1542</v>
      </c>
      <c r="AG194" s="44" t="s">
        <v>1542</v>
      </c>
      <c r="AH194" s="44" t="s">
        <v>1542</v>
      </c>
      <c r="AI194" s="44" t="s">
        <v>1542</v>
      </c>
      <c r="AJ194" s="44" t="s">
        <v>1542</v>
      </c>
      <c r="AK194" s="44" t="s">
        <v>1542</v>
      </c>
      <c r="AL194" s="44" t="s">
        <v>1542</v>
      </c>
      <c r="AM194" s="44" t="s">
        <v>1542</v>
      </c>
      <c r="AN194" s="44" t="s">
        <v>1542</v>
      </c>
      <c r="AO194" s="46">
        <f t="shared" ref="AO194:AO257" si="15">COUNTIF(AC194:AM194,"NE")</f>
        <v>0</v>
      </c>
      <c r="AP194" s="43" t="s">
        <v>1542</v>
      </c>
      <c r="AQ194" s="43" t="s">
        <v>1542</v>
      </c>
      <c r="AR194" s="43" t="s">
        <v>1542</v>
      </c>
      <c r="AS194" s="43" t="s">
        <v>1542</v>
      </c>
      <c r="AT194" s="43" t="s">
        <v>1542</v>
      </c>
      <c r="AU194" s="43" t="s">
        <v>1542</v>
      </c>
      <c r="AV194" s="43" t="s">
        <v>1542</v>
      </c>
      <c r="AW194" s="43" t="s">
        <v>1542</v>
      </c>
      <c r="AX194" s="43" t="s">
        <v>1542</v>
      </c>
      <c r="AY194" s="43" t="s">
        <v>1542</v>
      </c>
      <c r="AZ194" s="43" t="s">
        <v>1542</v>
      </c>
      <c r="BA194" s="43" t="s">
        <v>1542</v>
      </c>
      <c r="BB194" s="46">
        <f t="shared" ref="BB194:BB257" si="16">COUNTIF(AP194:AZ194,"NE")</f>
        <v>0</v>
      </c>
      <c r="BC194" s="44" t="s">
        <v>1542</v>
      </c>
      <c r="BD194" s="44" t="s">
        <v>1542</v>
      </c>
      <c r="BE194" s="44" t="s">
        <v>1542</v>
      </c>
      <c r="BF194" s="44" t="s">
        <v>1542</v>
      </c>
      <c r="BG194" s="44" t="s">
        <v>1542</v>
      </c>
      <c r="BH194" s="44" t="s">
        <v>1542</v>
      </c>
      <c r="BI194" s="44" t="s">
        <v>1542</v>
      </c>
      <c r="BJ194" s="44" t="s">
        <v>1542</v>
      </c>
      <c r="BK194" s="44" t="s">
        <v>1542</v>
      </c>
      <c r="BL194" s="44" t="s">
        <v>1542</v>
      </c>
      <c r="BM194" s="44" t="s">
        <v>1542</v>
      </c>
      <c r="BN194" s="44" t="s">
        <v>1542</v>
      </c>
      <c r="BO194" s="46">
        <f t="shared" ref="BO194:BO257" si="17">COUNTIF(BC194:BM194,"NE")</f>
        <v>0</v>
      </c>
      <c r="BP194" s="43" t="s">
        <v>1542</v>
      </c>
      <c r="BQ194" s="43" t="s">
        <v>1542</v>
      </c>
      <c r="BR194" s="43" t="s">
        <v>1542</v>
      </c>
      <c r="BS194" s="43" t="s">
        <v>1542</v>
      </c>
      <c r="BT194" s="43" t="s">
        <v>1542</v>
      </c>
      <c r="BU194" s="43" t="s">
        <v>1542</v>
      </c>
      <c r="BV194" s="43" t="s">
        <v>1542</v>
      </c>
      <c r="BW194" s="43" t="s">
        <v>1542</v>
      </c>
      <c r="BX194" s="43" t="s">
        <v>1554</v>
      </c>
      <c r="BY194" s="43" t="s">
        <v>1554</v>
      </c>
      <c r="BZ194" s="43" t="s">
        <v>1554</v>
      </c>
      <c r="CA194" s="43" t="s">
        <v>1554</v>
      </c>
    </row>
    <row r="195" spans="1:79">
      <c r="A195">
        <v>194</v>
      </c>
      <c r="B195" t="s">
        <v>1543</v>
      </c>
      <c r="C195" t="s">
        <v>1696</v>
      </c>
      <c r="D195" t="s">
        <v>1697</v>
      </c>
      <c r="E195" t="s">
        <v>2372</v>
      </c>
      <c r="F195" t="s">
        <v>2373</v>
      </c>
      <c r="G195" t="s">
        <v>2421</v>
      </c>
      <c r="H195" t="s">
        <v>2421</v>
      </c>
      <c r="J195" t="s">
        <v>2422</v>
      </c>
      <c r="K195" t="s">
        <v>2423</v>
      </c>
      <c r="M195" s="1" t="s">
        <v>2424</v>
      </c>
      <c r="N195" t="s">
        <v>2425</v>
      </c>
      <c r="O195" s="46">
        <f t="shared" ref="O195:O258" si="18">COUNTIF(P195:AA195,"NE")</f>
        <v>0</v>
      </c>
      <c r="P195" s="43"/>
      <c r="Q195" s="43"/>
      <c r="R195" s="43"/>
      <c r="S195" s="43"/>
      <c r="T195" s="43"/>
      <c r="U195" s="43"/>
      <c r="V195" s="43"/>
      <c r="W195" s="43"/>
      <c r="X195" s="43"/>
      <c r="Y195" s="43"/>
      <c r="Z195" s="43"/>
      <c r="AA195" s="43"/>
      <c r="AB195" s="46">
        <f t="shared" ref="AB195:AB258" si="19">COUNTIF(AC195:AN195,"NE")</f>
        <v>0</v>
      </c>
      <c r="AC195" s="44"/>
      <c r="AD195" s="44"/>
      <c r="AE195" s="44"/>
      <c r="AF195" s="44"/>
      <c r="AG195" s="44"/>
      <c r="AH195" s="44"/>
      <c r="AI195" s="44"/>
      <c r="AJ195" s="44"/>
      <c r="AK195" s="44"/>
      <c r="AL195" s="44"/>
      <c r="AM195" s="44"/>
      <c r="AN195" s="44"/>
      <c r="AO195" s="46">
        <f t="shared" si="15"/>
        <v>0</v>
      </c>
      <c r="AP195" s="43" t="s">
        <v>1542</v>
      </c>
      <c r="AQ195" s="43" t="s">
        <v>1542</v>
      </c>
      <c r="AR195" s="43" t="s">
        <v>1542</v>
      </c>
      <c r="AS195" s="43" t="s">
        <v>1542</v>
      </c>
      <c r="AT195" s="43" t="s">
        <v>1554</v>
      </c>
      <c r="AU195" s="43"/>
      <c r="AV195" s="43"/>
      <c r="AW195" s="43"/>
      <c r="AX195" s="43"/>
      <c r="AY195" s="43"/>
      <c r="AZ195" s="43"/>
      <c r="BA195" s="43"/>
      <c r="BB195" s="46">
        <f t="shared" si="16"/>
        <v>1</v>
      </c>
      <c r="BC195" s="44" t="s">
        <v>1542</v>
      </c>
      <c r="BD195" s="44" t="s">
        <v>1542</v>
      </c>
      <c r="BE195" s="44" t="s">
        <v>1542</v>
      </c>
      <c r="BF195" s="44" t="s">
        <v>1542</v>
      </c>
      <c r="BG195" s="44" t="s">
        <v>1542</v>
      </c>
      <c r="BH195" s="44" t="s">
        <v>1542</v>
      </c>
      <c r="BI195" s="44" t="s">
        <v>1542</v>
      </c>
      <c r="BJ195" s="44" t="s">
        <v>1542</v>
      </c>
      <c r="BK195" s="44" t="s">
        <v>1542</v>
      </c>
      <c r="BL195" s="44" t="s">
        <v>1542</v>
      </c>
      <c r="BM195" s="44" t="s">
        <v>1542</v>
      </c>
      <c r="BN195" s="44" t="s">
        <v>1542</v>
      </c>
      <c r="BO195" s="46">
        <f t="shared" si="17"/>
        <v>0</v>
      </c>
      <c r="BP195" s="43" t="s">
        <v>1542</v>
      </c>
      <c r="BQ195" s="43" t="s">
        <v>1542</v>
      </c>
      <c r="BR195" s="43" t="s">
        <v>1542</v>
      </c>
      <c r="BS195" s="43" t="s">
        <v>1542</v>
      </c>
      <c r="BT195" s="43" t="s">
        <v>1542</v>
      </c>
      <c r="BU195" s="43" t="s">
        <v>1542</v>
      </c>
      <c r="BV195" s="43" t="s">
        <v>1542</v>
      </c>
      <c r="BW195" s="43" t="s">
        <v>1542</v>
      </c>
      <c r="BX195" s="43" t="s">
        <v>1542</v>
      </c>
      <c r="BY195" s="43" t="s">
        <v>1542</v>
      </c>
      <c r="BZ195" s="43" t="s">
        <v>1542</v>
      </c>
      <c r="CA195" s="43" t="s">
        <v>1542</v>
      </c>
    </row>
    <row r="196" spans="1:79">
      <c r="A196">
        <v>195</v>
      </c>
      <c r="B196">
        <v>1</v>
      </c>
      <c r="C196" t="s">
        <v>1696</v>
      </c>
      <c r="D196" t="s">
        <v>1697</v>
      </c>
      <c r="E196" t="s">
        <v>2372</v>
      </c>
      <c r="F196" t="s">
        <v>2373</v>
      </c>
      <c r="G196" t="s">
        <v>2426</v>
      </c>
      <c r="H196" t="s">
        <v>2426</v>
      </c>
      <c r="J196" t="s">
        <v>2427</v>
      </c>
      <c r="K196" t="s">
        <v>2428</v>
      </c>
      <c r="L196" t="s">
        <v>1539</v>
      </c>
      <c r="M196" s="1" t="s">
        <v>2429</v>
      </c>
      <c r="N196" t="s">
        <v>2430</v>
      </c>
      <c r="O196" s="46">
        <f t="shared" si="18"/>
        <v>1</v>
      </c>
      <c r="P196" s="43" t="s">
        <v>1542</v>
      </c>
      <c r="Q196" s="43" t="s">
        <v>1542</v>
      </c>
      <c r="R196" s="43" t="s">
        <v>1554</v>
      </c>
      <c r="S196" s="43" t="s">
        <v>1542</v>
      </c>
      <c r="T196" s="43" t="s">
        <v>1542</v>
      </c>
      <c r="U196" s="43" t="s">
        <v>1542</v>
      </c>
      <c r="V196" s="43" t="s">
        <v>1542</v>
      </c>
      <c r="W196" s="43" t="s">
        <v>1542</v>
      </c>
      <c r="X196" s="43" t="s">
        <v>1542</v>
      </c>
      <c r="Y196" s="43" t="s">
        <v>1542</v>
      </c>
      <c r="Z196" s="43" t="s">
        <v>1542</v>
      </c>
      <c r="AA196" s="43" t="s">
        <v>1542</v>
      </c>
      <c r="AB196" s="46">
        <f t="shared" si="19"/>
        <v>0</v>
      </c>
      <c r="AC196" s="44" t="s">
        <v>1542</v>
      </c>
      <c r="AD196" s="44" t="s">
        <v>1542</v>
      </c>
      <c r="AE196" s="44" t="s">
        <v>1542</v>
      </c>
      <c r="AF196" s="44" t="s">
        <v>1542</v>
      </c>
      <c r="AG196" s="44" t="s">
        <v>1542</v>
      </c>
      <c r="AH196" s="44" t="s">
        <v>1542</v>
      </c>
      <c r="AI196" s="44" t="s">
        <v>1542</v>
      </c>
      <c r="AJ196" s="44" t="s">
        <v>1542</v>
      </c>
      <c r="AK196" s="44" t="s">
        <v>1542</v>
      </c>
      <c r="AL196" s="44" t="s">
        <v>1542</v>
      </c>
      <c r="AM196" s="44" t="s">
        <v>1542</v>
      </c>
      <c r="AN196" s="44" t="s">
        <v>1542</v>
      </c>
      <c r="AO196" s="46">
        <f t="shared" si="15"/>
        <v>0</v>
      </c>
      <c r="AP196" s="43" t="s">
        <v>1542</v>
      </c>
      <c r="AQ196" s="43" t="s">
        <v>1542</v>
      </c>
      <c r="AR196" s="43" t="s">
        <v>1542</v>
      </c>
      <c r="AS196" s="43" t="s">
        <v>1542</v>
      </c>
      <c r="AT196" s="43" t="s">
        <v>1542</v>
      </c>
      <c r="AU196" s="43" t="s">
        <v>2431</v>
      </c>
      <c r="AV196" s="43" t="s">
        <v>1542</v>
      </c>
      <c r="AW196" s="43" t="s">
        <v>1542</v>
      </c>
      <c r="AX196" s="43" t="s">
        <v>1542</v>
      </c>
      <c r="AY196" s="43" t="s">
        <v>1542</v>
      </c>
      <c r="AZ196" s="43" t="s">
        <v>1542</v>
      </c>
      <c r="BA196" s="43" t="s">
        <v>1554</v>
      </c>
      <c r="BB196" s="46">
        <f t="shared" si="16"/>
        <v>0</v>
      </c>
      <c r="BC196" s="44" t="s">
        <v>1554</v>
      </c>
      <c r="BD196" s="44" t="s">
        <v>1542</v>
      </c>
      <c r="BE196" s="44" t="s">
        <v>1542</v>
      </c>
      <c r="BF196" s="44" t="s">
        <v>1542</v>
      </c>
      <c r="BG196" s="44" t="s">
        <v>1542</v>
      </c>
      <c r="BH196" s="44" t="s">
        <v>1542</v>
      </c>
      <c r="BI196" s="44" t="s">
        <v>1542</v>
      </c>
      <c r="BJ196" s="44" t="s">
        <v>1542</v>
      </c>
      <c r="BK196" s="44" t="s">
        <v>1542</v>
      </c>
      <c r="BL196" s="44" t="s">
        <v>1542</v>
      </c>
      <c r="BM196" s="44" t="s">
        <v>1542</v>
      </c>
      <c r="BN196" s="44" t="s">
        <v>1542</v>
      </c>
      <c r="BO196" s="46">
        <f t="shared" si="17"/>
        <v>1</v>
      </c>
      <c r="BP196" s="43" t="s">
        <v>1542</v>
      </c>
      <c r="BQ196" s="43" t="s">
        <v>1542</v>
      </c>
      <c r="BR196" s="43" t="s">
        <v>1542</v>
      </c>
      <c r="BS196" s="43" t="s">
        <v>1542</v>
      </c>
      <c r="BT196" s="43" t="s">
        <v>1542</v>
      </c>
      <c r="BU196" s="43" t="s">
        <v>1542</v>
      </c>
      <c r="BV196" s="43" t="s">
        <v>1542</v>
      </c>
      <c r="BW196" s="43" t="s">
        <v>1542</v>
      </c>
      <c r="BX196" s="43" t="s">
        <v>1542</v>
      </c>
      <c r="BY196" s="43" t="s">
        <v>1542</v>
      </c>
      <c r="BZ196" s="43" t="s">
        <v>1542</v>
      </c>
      <c r="CA196" s="43" t="s">
        <v>1542</v>
      </c>
    </row>
    <row r="197" spans="1:79">
      <c r="A197">
        <v>196</v>
      </c>
      <c r="B197" t="s">
        <v>1543</v>
      </c>
      <c r="C197" t="s">
        <v>1696</v>
      </c>
      <c r="D197" t="s">
        <v>1697</v>
      </c>
      <c r="E197" t="s">
        <v>2372</v>
      </c>
      <c r="F197" t="s">
        <v>2373</v>
      </c>
      <c r="G197" t="s">
        <v>2432</v>
      </c>
      <c r="H197" t="s">
        <v>2432</v>
      </c>
      <c r="J197" t="s">
        <v>2433</v>
      </c>
      <c r="K197" t="s">
        <v>2434</v>
      </c>
      <c r="M197" s="1" t="s">
        <v>2435</v>
      </c>
      <c r="N197" t="s">
        <v>2436</v>
      </c>
      <c r="O197" s="46">
        <f t="shared" si="18"/>
        <v>0</v>
      </c>
      <c r="P197" s="43"/>
      <c r="Q197" s="43"/>
      <c r="R197" s="43"/>
      <c r="S197" s="43"/>
      <c r="T197" s="43"/>
      <c r="U197" s="43"/>
      <c r="V197" s="43"/>
      <c r="W197" s="43"/>
      <c r="X197" s="43"/>
      <c r="Y197" s="43"/>
      <c r="Z197" s="43"/>
      <c r="AA197" s="43"/>
      <c r="AB197" s="46">
        <f t="shared" si="19"/>
        <v>0</v>
      </c>
      <c r="AC197" s="44"/>
      <c r="AD197" s="44"/>
      <c r="AE197" s="44"/>
      <c r="AF197" s="44"/>
      <c r="AG197" s="44"/>
      <c r="AH197" s="44"/>
      <c r="AI197" s="44"/>
      <c r="AJ197" s="44"/>
      <c r="AK197" s="44"/>
      <c r="AL197" s="44"/>
      <c r="AM197" s="44"/>
      <c r="AN197" s="44"/>
      <c r="AO197" s="46">
        <f t="shared" si="15"/>
        <v>0</v>
      </c>
      <c r="AP197" s="43" t="s">
        <v>1542</v>
      </c>
      <c r="AQ197" s="43" t="s">
        <v>1542</v>
      </c>
      <c r="AR197" s="43" t="s">
        <v>1542</v>
      </c>
      <c r="AS197" s="43" t="s">
        <v>1542</v>
      </c>
      <c r="AT197" s="43" t="s">
        <v>1554</v>
      </c>
      <c r="AU197" s="43"/>
      <c r="AV197" s="43"/>
      <c r="AW197" s="43"/>
      <c r="AX197" s="43"/>
      <c r="AY197" s="43"/>
      <c r="AZ197" s="43"/>
      <c r="BA197" s="43"/>
      <c r="BB197" s="46">
        <f t="shared" si="16"/>
        <v>1</v>
      </c>
      <c r="BC197" s="44" t="s">
        <v>1542</v>
      </c>
      <c r="BD197" s="44" t="s">
        <v>1542</v>
      </c>
      <c r="BE197" s="44" t="s">
        <v>1542</v>
      </c>
      <c r="BF197" s="44" t="s">
        <v>1542</v>
      </c>
      <c r="BG197" s="44" t="s">
        <v>1542</v>
      </c>
      <c r="BH197" s="44" t="s">
        <v>1542</v>
      </c>
      <c r="BI197" s="44" t="s">
        <v>1542</v>
      </c>
      <c r="BJ197" s="44" t="s">
        <v>1542</v>
      </c>
      <c r="BK197" s="44" t="s">
        <v>1542</v>
      </c>
      <c r="BL197" s="44" t="s">
        <v>1542</v>
      </c>
      <c r="BM197" s="44" t="s">
        <v>1542</v>
      </c>
      <c r="BN197" s="44" t="s">
        <v>1542</v>
      </c>
      <c r="BO197" s="46">
        <f t="shared" si="17"/>
        <v>0</v>
      </c>
      <c r="BP197" s="43" t="s">
        <v>1542</v>
      </c>
      <c r="BQ197" s="43" t="s">
        <v>1542</v>
      </c>
      <c r="BR197" s="43" t="s">
        <v>1542</v>
      </c>
      <c r="BS197" s="43" t="s">
        <v>1542</v>
      </c>
      <c r="BT197" s="43" t="s">
        <v>1542</v>
      </c>
      <c r="BU197" s="43" t="s">
        <v>1542</v>
      </c>
      <c r="BV197" s="43" t="s">
        <v>1542</v>
      </c>
      <c r="BW197" s="43" t="s">
        <v>1542</v>
      </c>
      <c r="BX197" s="43" t="s">
        <v>1542</v>
      </c>
      <c r="BY197" s="43" t="s">
        <v>1542</v>
      </c>
      <c r="BZ197" s="43" t="s">
        <v>1542</v>
      </c>
      <c r="CA197" s="43" t="s">
        <v>1542</v>
      </c>
    </row>
    <row r="198" spans="1:79">
      <c r="A198">
        <v>197</v>
      </c>
      <c r="B198" t="s">
        <v>1543</v>
      </c>
      <c r="C198" t="s">
        <v>1696</v>
      </c>
      <c r="D198" t="s">
        <v>1697</v>
      </c>
      <c r="E198" t="s">
        <v>2372</v>
      </c>
      <c r="F198" t="s">
        <v>2373</v>
      </c>
      <c r="G198" t="s">
        <v>2437</v>
      </c>
      <c r="H198" t="s">
        <v>2437</v>
      </c>
      <c r="J198" t="s">
        <v>2438</v>
      </c>
      <c r="K198" t="s">
        <v>2439</v>
      </c>
      <c r="M198" s="1" t="s">
        <v>2440</v>
      </c>
      <c r="N198" t="s">
        <v>2441</v>
      </c>
      <c r="O198" s="46">
        <f t="shared" si="18"/>
        <v>0</v>
      </c>
      <c r="P198" s="43"/>
      <c r="Q198" s="43"/>
      <c r="R198" s="43"/>
      <c r="S198" s="43"/>
      <c r="T198" s="43"/>
      <c r="U198" s="43"/>
      <c r="V198" s="43"/>
      <c r="W198" s="43"/>
      <c r="X198" s="43"/>
      <c r="Y198" s="43"/>
      <c r="Z198" s="43"/>
      <c r="AA198" s="43"/>
      <c r="AB198" s="46">
        <f t="shared" si="19"/>
        <v>0</v>
      </c>
      <c r="AC198" s="44"/>
      <c r="AD198" s="44"/>
      <c r="AE198" s="44"/>
      <c r="AF198" s="44"/>
      <c r="AG198" s="44"/>
      <c r="AH198" s="44"/>
      <c r="AI198" s="44"/>
      <c r="AJ198" s="44"/>
      <c r="AK198" s="44"/>
      <c r="AL198" s="44"/>
      <c r="AM198" s="44"/>
      <c r="AN198" s="44"/>
      <c r="AO198" s="46">
        <f t="shared" si="15"/>
        <v>0</v>
      </c>
      <c r="AP198" s="43"/>
      <c r="AQ198" s="43"/>
      <c r="AR198" s="43"/>
      <c r="AS198" s="43"/>
      <c r="AT198" s="43"/>
      <c r="AU198" s="43"/>
      <c r="AV198" s="43"/>
      <c r="AW198" s="43"/>
      <c r="AX198" s="43"/>
      <c r="AY198" s="43"/>
      <c r="AZ198" s="43"/>
      <c r="BA198" s="43"/>
      <c r="BB198" s="46">
        <f t="shared" si="16"/>
        <v>0</v>
      </c>
      <c r="BC198" s="44"/>
      <c r="BD198" s="44"/>
      <c r="BE198" s="44"/>
      <c r="BF198" s="44"/>
      <c r="BG198" s="44"/>
      <c r="BH198" s="44"/>
      <c r="BI198" s="44"/>
      <c r="BJ198" s="44"/>
      <c r="BK198" s="44"/>
      <c r="BL198" s="44"/>
      <c r="BM198" s="44"/>
      <c r="BN198" s="44"/>
      <c r="BO198" s="46">
        <f t="shared" si="17"/>
        <v>0</v>
      </c>
      <c r="BP198" s="43"/>
      <c r="BQ198" s="43"/>
      <c r="BR198" s="43"/>
      <c r="BS198" s="43"/>
      <c r="BT198" s="43"/>
      <c r="BU198" s="43"/>
      <c r="BV198" s="43"/>
      <c r="BW198" s="43"/>
      <c r="BX198" s="43"/>
      <c r="BY198" s="43"/>
      <c r="BZ198" s="43"/>
      <c r="CA198" s="43"/>
    </row>
    <row r="199" spans="1:79">
      <c r="A199">
        <v>198</v>
      </c>
      <c r="B199" t="s">
        <v>1543</v>
      </c>
      <c r="C199" t="s">
        <v>1696</v>
      </c>
      <c r="D199" t="s">
        <v>1697</v>
      </c>
      <c r="E199" t="s">
        <v>2372</v>
      </c>
      <c r="F199" t="s">
        <v>2373</v>
      </c>
      <c r="G199" t="s">
        <v>2442</v>
      </c>
      <c r="H199" t="s">
        <v>2442</v>
      </c>
      <c r="J199" t="s">
        <v>2443</v>
      </c>
      <c r="K199" t="s">
        <v>2444</v>
      </c>
      <c r="M199" s="1" t="s">
        <v>2445</v>
      </c>
      <c r="N199" t="s">
        <v>2446</v>
      </c>
      <c r="O199" s="46">
        <f t="shared" si="18"/>
        <v>0</v>
      </c>
      <c r="P199" s="43"/>
      <c r="Q199" s="43"/>
      <c r="R199" s="43"/>
      <c r="S199" s="43"/>
      <c r="T199" s="43"/>
      <c r="U199" s="43"/>
      <c r="V199" s="43"/>
      <c r="W199" s="43"/>
      <c r="X199" s="43"/>
      <c r="Y199" s="43"/>
      <c r="Z199" s="43"/>
      <c r="AA199" s="43"/>
      <c r="AB199" s="46">
        <f t="shared" si="19"/>
        <v>0</v>
      </c>
      <c r="AC199" s="44"/>
      <c r="AD199" s="44"/>
      <c r="AE199" s="44"/>
      <c r="AF199" s="44"/>
      <c r="AG199" s="44"/>
      <c r="AH199" s="44"/>
      <c r="AI199" s="44"/>
      <c r="AJ199" s="44"/>
      <c r="AK199" s="44"/>
      <c r="AL199" s="44"/>
      <c r="AM199" s="44"/>
      <c r="AN199" s="44"/>
      <c r="AO199" s="46">
        <f t="shared" si="15"/>
        <v>0</v>
      </c>
      <c r="AP199" s="43"/>
      <c r="AQ199" s="43"/>
      <c r="AR199" s="43"/>
      <c r="AS199" s="43"/>
      <c r="AT199" s="43"/>
      <c r="AU199" s="43"/>
      <c r="AV199" s="43"/>
      <c r="AW199" s="43"/>
      <c r="AX199" s="43"/>
      <c r="AY199" s="43"/>
      <c r="AZ199" s="43"/>
      <c r="BA199" s="43"/>
      <c r="BB199" s="46">
        <f t="shared" si="16"/>
        <v>0</v>
      </c>
      <c r="BC199" s="44"/>
      <c r="BD199" s="44"/>
      <c r="BE199" s="44"/>
      <c r="BF199" s="44"/>
      <c r="BG199" s="44"/>
      <c r="BH199" s="44"/>
      <c r="BI199" s="44"/>
      <c r="BJ199" s="44"/>
      <c r="BK199" s="44"/>
      <c r="BL199" s="44"/>
      <c r="BM199" s="44"/>
      <c r="BN199" s="44"/>
      <c r="BO199" s="46">
        <f t="shared" si="17"/>
        <v>0</v>
      </c>
      <c r="BP199" s="43"/>
      <c r="BQ199" s="43"/>
      <c r="BR199" s="43"/>
      <c r="BS199" s="43"/>
      <c r="BT199" s="43"/>
      <c r="BU199" s="43"/>
      <c r="BV199" s="43"/>
      <c r="BW199" s="43"/>
      <c r="BX199" s="43"/>
      <c r="BY199" s="43"/>
      <c r="BZ199" s="43"/>
      <c r="CA199" s="43"/>
    </row>
    <row r="200" spans="1:79">
      <c r="A200">
        <v>199</v>
      </c>
      <c r="B200">
        <v>1</v>
      </c>
      <c r="C200" t="s">
        <v>1696</v>
      </c>
      <c r="D200" t="s">
        <v>1697</v>
      </c>
      <c r="E200" t="s">
        <v>2372</v>
      </c>
      <c r="F200" t="s">
        <v>2373</v>
      </c>
      <c r="G200" t="s">
        <v>2447</v>
      </c>
      <c r="H200" t="s">
        <v>2447</v>
      </c>
      <c r="J200" t="s">
        <v>2448</v>
      </c>
      <c r="K200" t="s">
        <v>2449</v>
      </c>
      <c r="M200" s="1" t="s">
        <v>2450</v>
      </c>
      <c r="O200" s="46">
        <f t="shared" si="18"/>
        <v>0</v>
      </c>
      <c r="P200" s="43" t="s">
        <v>1542</v>
      </c>
      <c r="Q200" s="43" t="s">
        <v>1542</v>
      </c>
      <c r="R200" s="43" t="s">
        <v>1542</v>
      </c>
      <c r="S200" s="43" t="s">
        <v>1542</v>
      </c>
      <c r="T200" s="43" t="s">
        <v>1542</v>
      </c>
      <c r="U200" s="43" t="s">
        <v>1542</v>
      </c>
      <c r="V200" s="43" t="s">
        <v>1542</v>
      </c>
      <c r="W200" s="43" t="s">
        <v>1542</v>
      </c>
      <c r="X200" s="43" t="s">
        <v>1542</v>
      </c>
      <c r="Y200" s="43" t="s">
        <v>1542</v>
      </c>
      <c r="Z200" s="43" t="s">
        <v>1542</v>
      </c>
      <c r="AA200" s="43" t="s">
        <v>1542</v>
      </c>
      <c r="AB200" s="46">
        <f t="shared" si="19"/>
        <v>0</v>
      </c>
      <c r="AC200" s="44" t="s">
        <v>1542</v>
      </c>
      <c r="AD200" s="44" t="s">
        <v>1542</v>
      </c>
      <c r="AE200" s="44" t="s">
        <v>1542</v>
      </c>
      <c r="AF200" s="44" t="s">
        <v>1542</v>
      </c>
      <c r="AG200" s="44" t="s">
        <v>1542</v>
      </c>
      <c r="AH200" s="44" t="s">
        <v>1542</v>
      </c>
      <c r="AI200" s="44" t="s">
        <v>1542</v>
      </c>
      <c r="AJ200" s="44" t="s">
        <v>1542</v>
      </c>
      <c r="AK200" s="44" t="s">
        <v>1542</v>
      </c>
      <c r="AL200" s="44" t="s">
        <v>1542</v>
      </c>
      <c r="AM200" s="44" t="s">
        <v>1542</v>
      </c>
      <c r="AN200" s="44" t="s">
        <v>1542</v>
      </c>
      <c r="AO200" s="46">
        <f t="shared" si="15"/>
        <v>0</v>
      </c>
      <c r="AP200" s="43" t="s">
        <v>1542</v>
      </c>
      <c r="AQ200" s="43" t="s">
        <v>1542</v>
      </c>
      <c r="AR200" s="43" t="s">
        <v>1542</v>
      </c>
      <c r="AS200" s="43" t="s">
        <v>1542</v>
      </c>
      <c r="AT200" s="43" t="s">
        <v>1542</v>
      </c>
      <c r="AU200" s="43" t="s">
        <v>1542</v>
      </c>
      <c r="AV200" s="43" t="s">
        <v>1542</v>
      </c>
      <c r="AW200" s="43" t="s">
        <v>1542</v>
      </c>
      <c r="AX200" s="43" t="s">
        <v>1542</v>
      </c>
      <c r="AY200" s="43" t="s">
        <v>1542</v>
      </c>
      <c r="AZ200" s="43" t="s">
        <v>1542</v>
      </c>
      <c r="BA200" s="43" t="s">
        <v>1542</v>
      </c>
      <c r="BB200" s="46">
        <f t="shared" si="16"/>
        <v>0</v>
      </c>
      <c r="BC200" s="44" t="s">
        <v>1542</v>
      </c>
      <c r="BD200" s="44" t="s">
        <v>1542</v>
      </c>
      <c r="BE200" s="44" t="s">
        <v>1542</v>
      </c>
      <c r="BF200" s="44" t="s">
        <v>1542</v>
      </c>
      <c r="BG200" s="44" t="s">
        <v>1542</v>
      </c>
      <c r="BH200" s="44" t="s">
        <v>1542</v>
      </c>
      <c r="BI200" s="44" t="s">
        <v>1542</v>
      </c>
      <c r="BJ200" s="44" t="s">
        <v>1542</v>
      </c>
      <c r="BK200" s="44" t="s">
        <v>1542</v>
      </c>
      <c r="BL200" s="44" t="s">
        <v>1542</v>
      </c>
      <c r="BM200" s="44" t="s">
        <v>1542</v>
      </c>
      <c r="BN200" s="44" t="s">
        <v>1542</v>
      </c>
      <c r="BO200" s="46">
        <f t="shared" si="17"/>
        <v>0</v>
      </c>
      <c r="BP200" s="43" t="s">
        <v>1542</v>
      </c>
      <c r="BQ200" s="43" t="s">
        <v>1542</v>
      </c>
      <c r="BR200" s="43" t="s">
        <v>1542</v>
      </c>
      <c r="BS200" s="43" t="s">
        <v>1542</v>
      </c>
      <c r="BT200" s="43" t="s">
        <v>1542</v>
      </c>
      <c r="BU200" s="43" t="s">
        <v>1542</v>
      </c>
      <c r="BV200" s="43" t="s">
        <v>1542</v>
      </c>
      <c r="BW200" s="43" t="s">
        <v>1542</v>
      </c>
      <c r="BX200" s="43" t="s">
        <v>1542</v>
      </c>
      <c r="BY200" s="43" t="s">
        <v>1542</v>
      </c>
      <c r="BZ200" s="43" t="s">
        <v>1542</v>
      </c>
      <c r="CA200" s="43" t="s">
        <v>1542</v>
      </c>
    </row>
    <row r="201" spans="1:79">
      <c r="A201">
        <v>200</v>
      </c>
      <c r="B201">
        <v>1</v>
      </c>
      <c r="C201" t="s">
        <v>1696</v>
      </c>
      <c r="D201" t="s">
        <v>1697</v>
      </c>
      <c r="E201" t="s">
        <v>2372</v>
      </c>
      <c r="F201" t="s">
        <v>2373</v>
      </c>
      <c r="G201" t="s">
        <v>2451</v>
      </c>
      <c r="H201" t="s">
        <v>2451</v>
      </c>
      <c r="J201" t="s">
        <v>2452</v>
      </c>
      <c r="K201" t="s">
        <v>2453</v>
      </c>
      <c r="M201" s="1" t="s">
        <v>2454</v>
      </c>
      <c r="O201" s="46">
        <f t="shared" si="18"/>
        <v>0</v>
      </c>
      <c r="P201" s="43" t="s">
        <v>1542</v>
      </c>
      <c r="Q201" s="43" t="s">
        <v>1542</v>
      </c>
      <c r="R201" s="43" t="s">
        <v>1542</v>
      </c>
      <c r="S201" s="43" t="s">
        <v>1542</v>
      </c>
      <c r="T201" s="43" t="s">
        <v>1542</v>
      </c>
      <c r="U201" s="43" t="s">
        <v>1542</v>
      </c>
      <c r="V201" s="43" t="s">
        <v>1542</v>
      </c>
      <c r="W201" s="43" t="s">
        <v>1542</v>
      </c>
      <c r="X201" s="43" t="s">
        <v>1542</v>
      </c>
      <c r="Y201" s="43" t="s">
        <v>1542</v>
      </c>
      <c r="Z201" s="43" t="s">
        <v>1542</v>
      </c>
      <c r="AA201" s="43" t="s">
        <v>1542</v>
      </c>
      <c r="AB201" s="46">
        <f t="shared" si="19"/>
        <v>0</v>
      </c>
      <c r="AC201" s="44" t="s">
        <v>1542</v>
      </c>
      <c r="AD201" s="44" t="s">
        <v>1542</v>
      </c>
      <c r="AE201" s="44" t="s">
        <v>1542</v>
      </c>
      <c r="AF201" s="44" t="s">
        <v>1542</v>
      </c>
      <c r="AG201" s="44" t="s">
        <v>1542</v>
      </c>
      <c r="AH201" s="44" t="s">
        <v>1542</v>
      </c>
      <c r="AI201" s="44" t="s">
        <v>1542</v>
      </c>
      <c r="AJ201" s="44" t="s">
        <v>1542</v>
      </c>
      <c r="AK201" s="44" t="s">
        <v>1542</v>
      </c>
      <c r="AL201" s="44" t="s">
        <v>1542</v>
      </c>
      <c r="AM201" s="44" t="s">
        <v>1542</v>
      </c>
      <c r="AN201" s="44" t="s">
        <v>1542</v>
      </c>
      <c r="AO201" s="46">
        <f t="shared" si="15"/>
        <v>0</v>
      </c>
      <c r="AP201" s="43" t="s">
        <v>1542</v>
      </c>
      <c r="AQ201" s="43" t="s">
        <v>1542</v>
      </c>
      <c r="AR201" s="43" t="s">
        <v>1542</v>
      </c>
      <c r="AS201" s="43" t="s">
        <v>1542</v>
      </c>
      <c r="AT201" s="43" t="s">
        <v>1542</v>
      </c>
      <c r="AU201" s="43" t="s">
        <v>1542</v>
      </c>
      <c r="AV201" s="43" t="s">
        <v>1542</v>
      </c>
      <c r="AW201" s="43" t="s">
        <v>1542</v>
      </c>
      <c r="AX201" s="43" t="s">
        <v>1542</v>
      </c>
      <c r="AY201" s="43" t="s">
        <v>1542</v>
      </c>
      <c r="AZ201" s="43" t="s">
        <v>1542</v>
      </c>
      <c r="BA201" s="43" t="s">
        <v>1542</v>
      </c>
      <c r="BB201" s="46">
        <f t="shared" si="16"/>
        <v>0</v>
      </c>
      <c r="BC201" s="44" t="s">
        <v>1542</v>
      </c>
      <c r="BD201" s="44" t="s">
        <v>1542</v>
      </c>
      <c r="BE201" s="44" t="s">
        <v>1542</v>
      </c>
      <c r="BF201" s="44" t="s">
        <v>1542</v>
      </c>
      <c r="BG201" s="44" t="s">
        <v>1542</v>
      </c>
      <c r="BH201" s="44" t="s">
        <v>1542</v>
      </c>
      <c r="BI201" s="44" t="s">
        <v>1542</v>
      </c>
      <c r="BJ201" s="44" t="s">
        <v>1542</v>
      </c>
      <c r="BK201" s="44" t="s">
        <v>1542</v>
      </c>
      <c r="BL201" s="44" t="s">
        <v>1542</v>
      </c>
      <c r="BM201" s="44" t="s">
        <v>1542</v>
      </c>
      <c r="BN201" s="44" t="s">
        <v>1542</v>
      </c>
      <c r="BO201" s="46">
        <f t="shared" si="17"/>
        <v>0</v>
      </c>
      <c r="BP201" s="43" t="s">
        <v>1542</v>
      </c>
      <c r="BQ201" s="43" t="s">
        <v>1542</v>
      </c>
      <c r="BR201" s="43" t="s">
        <v>1542</v>
      </c>
      <c r="BS201" s="43" t="s">
        <v>1542</v>
      </c>
      <c r="BT201" s="43" t="s">
        <v>1542</v>
      </c>
      <c r="BU201" s="43" t="s">
        <v>1542</v>
      </c>
      <c r="BV201" s="43" t="s">
        <v>1542</v>
      </c>
      <c r="BW201" s="43" t="s">
        <v>1542</v>
      </c>
      <c r="BX201" s="43" t="s">
        <v>1542</v>
      </c>
      <c r="BY201" s="43" t="s">
        <v>1542</v>
      </c>
      <c r="BZ201" s="43" t="s">
        <v>1542</v>
      </c>
      <c r="CA201" s="43" t="s">
        <v>1542</v>
      </c>
    </row>
    <row r="202" spans="1:79">
      <c r="A202">
        <v>201</v>
      </c>
      <c r="B202">
        <v>1</v>
      </c>
      <c r="C202" t="s">
        <v>1696</v>
      </c>
      <c r="D202" t="s">
        <v>1697</v>
      </c>
      <c r="E202" t="s">
        <v>2372</v>
      </c>
      <c r="F202" t="s">
        <v>2373</v>
      </c>
      <c r="G202" t="s">
        <v>2455</v>
      </c>
      <c r="H202" t="s">
        <v>2455</v>
      </c>
      <c r="J202" t="s">
        <v>2456</v>
      </c>
      <c r="K202" t="s">
        <v>2457</v>
      </c>
      <c r="M202" s="1" t="s">
        <v>2458</v>
      </c>
      <c r="O202" s="46">
        <f t="shared" si="18"/>
        <v>0</v>
      </c>
      <c r="P202" s="43" t="s">
        <v>1542</v>
      </c>
      <c r="Q202" s="43" t="s">
        <v>1542</v>
      </c>
      <c r="R202" s="43" t="s">
        <v>1542</v>
      </c>
      <c r="S202" s="43" t="s">
        <v>1542</v>
      </c>
      <c r="T202" s="43" t="s">
        <v>1542</v>
      </c>
      <c r="U202" s="43" t="s">
        <v>1542</v>
      </c>
      <c r="V202" s="43" t="s">
        <v>1542</v>
      </c>
      <c r="W202" s="43" t="s">
        <v>1542</v>
      </c>
      <c r="X202" s="43" t="s">
        <v>1542</v>
      </c>
      <c r="Y202" s="43" t="s">
        <v>1542</v>
      </c>
      <c r="Z202" s="43" t="s">
        <v>1542</v>
      </c>
      <c r="AA202" s="43" t="s">
        <v>1542</v>
      </c>
      <c r="AB202" s="46">
        <f t="shared" si="19"/>
        <v>0</v>
      </c>
      <c r="AC202" s="44" t="s">
        <v>1542</v>
      </c>
      <c r="AD202" s="44" t="s">
        <v>1542</v>
      </c>
      <c r="AE202" s="44" t="s">
        <v>1542</v>
      </c>
      <c r="AF202" s="44" t="s">
        <v>1542</v>
      </c>
      <c r="AG202" s="44" t="s">
        <v>1542</v>
      </c>
      <c r="AH202" s="44" t="s">
        <v>1542</v>
      </c>
      <c r="AI202" s="44" t="s">
        <v>1542</v>
      </c>
      <c r="AJ202" s="44" t="s">
        <v>1542</v>
      </c>
      <c r="AK202" s="44" t="s">
        <v>1542</v>
      </c>
      <c r="AL202" s="44" t="s">
        <v>1542</v>
      </c>
      <c r="AM202" s="44" t="s">
        <v>1542</v>
      </c>
      <c r="AN202" s="44" t="s">
        <v>1542</v>
      </c>
      <c r="AO202" s="46">
        <f t="shared" si="15"/>
        <v>0</v>
      </c>
      <c r="AP202" s="43" t="s">
        <v>1542</v>
      </c>
      <c r="AQ202" s="43" t="s">
        <v>1542</v>
      </c>
      <c r="AR202" s="43" t="s">
        <v>1542</v>
      </c>
      <c r="AS202" s="43" t="s">
        <v>1542</v>
      </c>
      <c r="AT202" s="43" t="s">
        <v>1542</v>
      </c>
      <c r="AU202" s="43" t="s">
        <v>1542</v>
      </c>
      <c r="AV202" s="43" t="s">
        <v>1542</v>
      </c>
      <c r="AW202" s="43" t="s">
        <v>1542</v>
      </c>
      <c r="AX202" s="43" t="s">
        <v>1542</v>
      </c>
      <c r="AY202" s="43" t="s">
        <v>1542</v>
      </c>
      <c r="AZ202" s="43" t="s">
        <v>1542</v>
      </c>
      <c r="BA202" s="43" t="s">
        <v>1542</v>
      </c>
      <c r="BB202" s="46">
        <f t="shared" si="16"/>
        <v>0</v>
      </c>
      <c r="BC202" s="44" t="s">
        <v>1542</v>
      </c>
      <c r="BD202" s="44" t="s">
        <v>1542</v>
      </c>
      <c r="BE202" s="44" t="s">
        <v>1542</v>
      </c>
      <c r="BF202" s="44" t="s">
        <v>1542</v>
      </c>
      <c r="BG202" s="44" t="s">
        <v>1542</v>
      </c>
      <c r="BH202" s="44" t="s">
        <v>1542</v>
      </c>
      <c r="BI202" s="44" t="s">
        <v>1542</v>
      </c>
      <c r="BJ202" s="44" t="s">
        <v>1542</v>
      </c>
      <c r="BK202" s="44" t="s">
        <v>1542</v>
      </c>
      <c r="BL202" s="44" t="s">
        <v>1542</v>
      </c>
      <c r="BM202" s="44" t="s">
        <v>1542</v>
      </c>
      <c r="BN202" s="44" t="s">
        <v>1542</v>
      </c>
      <c r="BO202" s="46">
        <f t="shared" si="17"/>
        <v>0</v>
      </c>
      <c r="BP202" s="43" t="s">
        <v>1542</v>
      </c>
      <c r="BQ202" s="43" t="s">
        <v>1542</v>
      </c>
      <c r="BR202" s="43" t="s">
        <v>1542</v>
      </c>
      <c r="BS202" s="43" t="s">
        <v>1542</v>
      </c>
      <c r="BT202" s="43" t="s">
        <v>1542</v>
      </c>
      <c r="BU202" s="43" t="s">
        <v>1542</v>
      </c>
      <c r="BV202" s="43" t="s">
        <v>1542</v>
      </c>
      <c r="BW202" s="43" t="s">
        <v>1542</v>
      </c>
      <c r="BX202" s="43" t="s">
        <v>1542</v>
      </c>
      <c r="BY202" s="43" t="s">
        <v>1542</v>
      </c>
      <c r="BZ202" s="43" t="s">
        <v>1542</v>
      </c>
      <c r="CA202" s="43" t="s">
        <v>1542</v>
      </c>
    </row>
    <row r="203" spans="1:79">
      <c r="A203">
        <v>202</v>
      </c>
      <c r="B203">
        <v>1</v>
      </c>
      <c r="C203" t="s">
        <v>1696</v>
      </c>
      <c r="D203" t="s">
        <v>1697</v>
      </c>
      <c r="E203" t="s">
        <v>2372</v>
      </c>
      <c r="F203" t="s">
        <v>2373</v>
      </c>
      <c r="G203" t="s">
        <v>2459</v>
      </c>
      <c r="H203" t="s">
        <v>2459</v>
      </c>
      <c r="J203" t="s">
        <v>2460</v>
      </c>
      <c r="K203" t="s">
        <v>2461</v>
      </c>
      <c r="M203" s="1" t="s">
        <v>2462</v>
      </c>
      <c r="O203" s="46">
        <f t="shared" si="18"/>
        <v>0</v>
      </c>
      <c r="P203" s="43" t="s">
        <v>1542</v>
      </c>
      <c r="Q203" s="43" t="s">
        <v>1542</v>
      </c>
      <c r="R203" s="43" t="s">
        <v>1542</v>
      </c>
      <c r="S203" s="43" t="s">
        <v>1542</v>
      </c>
      <c r="T203" s="43" t="s">
        <v>1542</v>
      </c>
      <c r="U203" s="43" t="s">
        <v>1542</v>
      </c>
      <c r="V203" s="43" t="s">
        <v>1542</v>
      </c>
      <c r="W203" s="43" t="s">
        <v>1542</v>
      </c>
      <c r="X203" s="43" t="s">
        <v>1542</v>
      </c>
      <c r="Y203" s="43" t="s">
        <v>1542</v>
      </c>
      <c r="Z203" s="43" t="s">
        <v>1542</v>
      </c>
      <c r="AA203" s="43" t="s">
        <v>1542</v>
      </c>
      <c r="AB203" s="46">
        <f t="shared" si="19"/>
        <v>0</v>
      </c>
      <c r="AC203" s="44" t="s">
        <v>1542</v>
      </c>
      <c r="AD203" s="44" t="s">
        <v>1542</v>
      </c>
      <c r="AE203" s="44" t="s">
        <v>1542</v>
      </c>
      <c r="AF203" s="44" t="s">
        <v>1542</v>
      </c>
      <c r="AG203" s="44" t="s">
        <v>1542</v>
      </c>
      <c r="AH203" s="44" t="s">
        <v>1542</v>
      </c>
      <c r="AI203" s="44" t="s">
        <v>1542</v>
      </c>
      <c r="AJ203" s="44" t="s">
        <v>1542</v>
      </c>
      <c r="AK203" s="44" t="s">
        <v>1542</v>
      </c>
      <c r="AL203" s="44" t="s">
        <v>1542</v>
      </c>
      <c r="AM203" s="44" t="s">
        <v>1542</v>
      </c>
      <c r="AN203" s="44" t="s">
        <v>1542</v>
      </c>
      <c r="AO203" s="46">
        <f t="shared" si="15"/>
        <v>0</v>
      </c>
      <c r="AP203" s="43" t="s">
        <v>1542</v>
      </c>
      <c r="AQ203" s="43" t="s">
        <v>1542</v>
      </c>
      <c r="AR203" s="43" t="s">
        <v>1542</v>
      </c>
      <c r="AS203" s="43" t="s">
        <v>1542</v>
      </c>
      <c r="AT203" s="43" t="s">
        <v>1542</v>
      </c>
      <c r="AU203" s="43" t="s">
        <v>1542</v>
      </c>
      <c r="AV203" s="43" t="s">
        <v>1542</v>
      </c>
      <c r="AW203" s="43" t="s">
        <v>1542</v>
      </c>
      <c r="AX203" s="43" t="s">
        <v>1542</v>
      </c>
      <c r="AY203" s="43" t="s">
        <v>1542</v>
      </c>
      <c r="AZ203" s="43" t="s">
        <v>1542</v>
      </c>
      <c r="BA203" s="43" t="s">
        <v>1542</v>
      </c>
      <c r="BB203" s="46">
        <f t="shared" si="16"/>
        <v>0</v>
      </c>
      <c r="BC203" s="44" t="s">
        <v>1542</v>
      </c>
      <c r="BD203" s="44" t="s">
        <v>1542</v>
      </c>
      <c r="BE203" s="44" t="s">
        <v>1542</v>
      </c>
      <c r="BF203" s="44" t="s">
        <v>1542</v>
      </c>
      <c r="BG203" s="44" t="s">
        <v>1542</v>
      </c>
      <c r="BH203" s="44" t="s">
        <v>1542</v>
      </c>
      <c r="BI203" s="44" t="s">
        <v>1542</v>
      </c>
      <c r="BJ203" s="44" t="s">
        <v>1542</v>
      </c>
      <c r="BK203" s="44" t="s">
        <v>1542</v>
      </c>
      <c r="BL203" s="44" t="s">
        <v>1542</v>
      </c>
      <c r="BM203" s="44" t="s">
        <v>1542</v>
      </c>
      <c r="BN203" s="44" t="s">
        <v>1542</v>
      </c>
      <c r="BO203" s="46">
        <f t="shared" si="17"/>
        <v>0</v>
      </c>
      <c r="BP203" s="43" t="s">
        <v>1542</v>
      </c>
      <c r="BQ203" s="43" t="s">
        <v>1542</v>
      </c>
      <c r="BR203" s="43" t="s">
        <v>1542</v>
      </c>
      <c r="BS203" s="43" t="s">
        <v>1542</v>
      </c>
      <c r="BT203" s="43" t="s">
        <v>1542</v>
      </c>
      <c r="BU203" s="43" t="s">
        <v>1542</v>
      </c>
      <c r="BV203" s="43" t="s">
        <v>1542</v>
      </c>
      <c r="BW203" s="43" t="s">
        <v>1542</v>
      </c>
      <c r="BX203" s="43" t="s">
        <v>1542</v>
      </c>
      <c r="BY203" s="43" t="s">
        <v>1542</v>
      </c>
      <c r="BZ203" s="43" t="s">
        <v>1542</v>
      </c>
      <c r="CA203" s="43" t="s">
        <v>1542</v>
      </c>
    </row>
    <row r="204" spans="1:79">
      <c r="A204">
        <v>203</v>
      </c>
      <c r="B204">
        <v>1</v>
      </c>
      <c r="C204" t="s">
        <v>1696</v>
      </c>
      <c r="D204" t="s">
        <v>1697</v>
      </c>
      <c r="E204" t="s">
        <v>2372</v>
      </c>
      <c r="F204" t="s">
        <v>2373</v>
      </c>
      <c r="G204" t="s">
        <v>2463</v>
      </c>
      <c r="H204" t="s">
        <v>2463</v>
      </c>
      <c r="J204" t="s">
        <v>2464</v>
      </c>
      <c r="K204" t="s">
        <v>2465</v>
      </c>
      <c r="M204" s="1" t="s">
        <v>2466</v>
      </c>
      <c r="O204" s="46">
        <f t="shared" si="18"/>
        <v>0</v>
      </c>
      <c r="P204" s="43" t="s">
        <v>1542</v>
      </c>
      <c r="Q204" s="43" t="s">
        <v>1542</v>
      </c>
      <c r="R204" s="43" t="s">
        <v>1542</v>
      </c>
      <c r="S204" s="43" t="s">
        <v>1542</v>
      </c>
      <c r="T204" s="43" t="s">
        <v>1542</v>
      </c>
      <c r="U204" s="43" t="s">
        <v>1542</v>
      </c>
      <c r="V204" s="43" t="s">
        <v>1542</v>
      </c>
      <c r="W204" s="43" t="s">
        <v>1542</v>
      </c>
      <c r="X204" s="43" t="s">
        <v>1542</v>
      </c>
      <c r="Y204" s="43" t="s">
        <v>1542</v>
      </c>
      <c r="Z204" s="43" t="s">
        <v>1542</v>
      </c>
      <c r="AA204" s="43" t="s">
        <v>1542</v>
      </c>
      <c r="AB204" s="46">
        <f t="shared" si="19"/>
        <v>0</v>
      </c>
      <c r="AC204" s="44" t="s">
        <v>1542</v>
      </c>
      <c r="AD204" s="44" t="s">
        <v>1542</v>
      </c>
      <c r="AE204" s="44" t="s">
        <v>1542</v>
      </c>
      <c r="AF204" s="44" t="s">
        <v>1542</v>
      </c>
      <c r="AG204" s="44" t="s">
        <v>1542</v>
      </c>
      <c r="AH204" s="44" t="s">
        <v>1542</v>
      </c>
      <c r="AI204" s="44" t="s">
        <v>1542</v>
      </c>
      <c r="AJ204" s="44" t="s">
        <v>1542</v>
      </c>
      <c r="AK204" s="44" t="s">
        <v>1542</v>
      </c>
      <c r="AL204" s="44" t="s">
        <v>1542</v>
      </c>
      <c r="AM204" s="44" t="s">
        <v>1542</v>
      </c>
      <c r="AN204" s="44" t="s">
        <v>1542</v>
      </c>
      <c r="AO204" s="46">
        <f t="shared" si="15"/>
        <v>0</v>
      </c>
      <c r="AP204" s="43" t="s">
        <v>1542</v>
      </c>
      <c r="AQ204" s="43" t="s">
        <v>1542</v>
      </c>
      <c r="AR204" s="43" t="s">
        <v>1542</v>
      </c>
      <c r="AS204" s="43" t="s">
        <v>1542</v>
      </c>
      <c r="AT204" s="43" t="s">
        <v>1542</v>
      </c>
      <c r="AU204" s="43" t="s">
        <v>1542</v>
      </c>
      <c r="AV204" s="43" t="s">
        <v>1542</v>
      </c>
      <c r="AW204" s="43" t="s">
        <v>1542</v>
      </c>
      <c r="AX204" s="43" t="s">
        <v>1542</v>
      </c>
      <c r="AY204" s="43" t="s">
        <v>1542</v>
      </c>
      <c r="AZ204" s="43" t="s">
        <v>1542</v>
      </c>
      <c r="BA204" s="43" t="s">
        <v>1542</v>
      </c>
      <c r="BB204" s="46">
        <f t="shared" si="16"/>
        <v>0</v>
      </c>
      <c r="BC204" s="44" t="s">
        <v>1542</v>
      </c>
      <c r="BD204" s="44" t="s">
        <v>1542</v>
      </c>
      <c r="BE204" s="44" t="s">
        <v>1542</v>
      </c>
      <c r="BF204" s="44" t="s">
        <v>1542</v>
      </c>
      <c r="BG204" s="44" t="s">
        <v>1542</v>
      </c>
      <c r="BH204" s="44" t="s">
        <v>1542</v>
      </c>
      <c r="BI204" s="44" t="s">
        <v>1542</v>
      </c>
      <c r="BJ204" s="44" t="s">
        <v>1542</v>
      </c>
      <c r="BK204" s="44" t="s">
        <v>1542</v>
      </c>
      <c r="BL204" s="44" t="s">
        <v>1542</v>
      </c>
      <c r="BM204" s="44" t="s">
        <v>1542</v>
      </c>
      <c r="BN204" s="44" t="s">
        <v>1542</v>
      </c>
      <c r="BO204" s="46">
        <f t="shared" si="17"/>
        <v>0</v>
      </c>
      <c r="BP204" s="43" t="s">
        <v>1542</v>
      </c>
      <c r="BQ204" s="43" t="s">
        <v>1542</v>
      </c>
      <c r="BR204" s="43" t="s">
        <v>1542</v>
      </c>
      <c r="BS204" s="43" t="s">
        <v>1542</v>
      </c>
      <c r="BT204" s="43" t="s">
        <v>1542</v>
      </c>
      <c r="BU204" s="43" t="s">
        <v>1542</v>
      </c>
      <c r="BV204" s="43" t="s">
        <v>1542</v>
      </c>
      <c r="BW204" s="43" t="s">
        <v>1542</v>
      </c>
      <c r="BX204" s="43" t="s">
        <v>1542</v>
      </c>
      <c r="BY204" s="43" t="s">
        <v>1542</v>
      </c>
      <c r="BZ204" s="43" t="s">
        <v>1542</v>
      </c>
      <c r="CA204" s="43" t="s">
        <v>1542</v>
      </c>
    </row>
    <row r="205" spans="1:79">
      <c r="A205">
        <v>204</v>
      </c>
      <c r="B205">
        <v>1</v>
      </c>
      <c r="C205" t="s">
        <v>1696</v>
      </c>
      <c r="D205" t="s">
        <v>1697</v>
      </c>
      <c r="E205" t="s">
        <v>2372</v>
      </c>
      <c r="F205" t="s">
        <v>2373</v>
      </c>
      <c r="G205" t="s">
        <v>2467</v>
      </c>
      <c r="H205" t="s">
        <v>2467</v>
      </c>
      <c r="J205" t="s">
        <v>2468</v>
      </c>
      <c r="K205" t="s">
        <v>2469</v>
      </c>
      <c r="M205" s="1" t="s">
        <v>2470</v>
      </c>
      <c r="O205" s="46">
        <f t="shared" si="18"/>
        <v>0</v>
      </c>
      <c r="P205" s="43" t="s">
        <v>1542</v>
      </c>
      <c r="Q205" s="43" t="s">
        <v>1542</v>
      </c>
      <c r="R205" s="43" t="s">
        <v>1542</v>
      </c>
      <c r="S205" s="43" t="s">
        <v>1542</v>
      </c>
      <c r="T205" s="43" t="s">
        <v>1542</v>
      </c>
      <c r="U205" s="43" t="s">
        <v>1542</v>
      </c>
      <c r="V205" s="43" t="s">
        <v>1542</v>
      </c>
      <c r="W205" s="43" t="s">
        <v>1542</v>
      </c>
      <c r="X205" s="43" t="s">
        <v>1542</v>
      </c>
      <c r="Y205" s="43" t="s">
        <v>1542</v>
      </c>
      <c r="Z205" s="43" t="s">
        <v>1542</v>
      </c>
      <c r="AA205" s="43" t="s">
        <v>1542</v>
      </c>
      <c r="AB205" s="46">
        <f t="shared" si="19"/>
        <v>0</v>
      </c>
      <c r="AC205" s="44" t="s">
        <v>1542</v>
      </c>
      <c r="AD205" s="44" t="s">
        <v>1542</v>
      </c>
      <c r="AE205" s="44" t="s">
        <v>1542</v>
      </c>
      <c r="AF205" s="44" t="s">
        <v>1542</v>
      </c>
      <c r="AG205" s="44" t="s">
        <v>1542</v>
      </c>
      <c r="AH205" s="44" t="s">
        <v>1542</v>
      </c>
      <c r="AI205" s="44" t="s">
        <v>1542</v>
      </c>
      <c r="AJ205" s="44" t="s">
        <v>1542</v>
      </c>
      <c r="AK205" s="44" t="s">
        <v>1542</v>
      </c>
      <c r="AL205" s="44" t="s">
        <v>1542</v>
      </c>
      <c r="AM205" s="44" t="s">
        <v>1542</v>
      </c>
      <c r="AN205" s="44" t="s">
        <v>1542</v>
      </c>
      <c r="AO205" s="46">
        <f t="shared" si="15"/>
        <v>0</v>
      </c>
      <c r="AP205" s="43" t="s">
        <v>1542</v>
      </c>
      <c r="AQ205" s="43" t="s">
        <v>1542</v>
      </c>
      <c r="AR205" s="43" t="s">
        <v>1542</v>
      </c>
      <c r="AS205" s="43" t="s">
        <v>1542</v>
      </c>
      <c r="AT205" s="43" t="s">
        <v>1542</v>
      </c>
      <c r="AU205" s="43" t="s">
        <v>1542</v>
      </c>
      <c r="AV205" s="43" t="s">
        <v>1542</v>
      </c>
      <c r="AW205" s="43" t="s">
        <v>1542</v>
      </c>
      <c r="AX205" s="43" t="s">
        <v>1542</v>
      </c>
      <c r="AY205" s="43" t="s">
        <v>1542</v>
      </c>
      <c r="AZ205" s="43" t="s">
        <v>1542</v>
      </c>
      <c r="BA205" s="43" t="s">
        <v>1542</v>
      </c>
      <c r="BB205" s="46">
        <f t="shared" si="16"/>
        <v>0</v>
      </c>
      <c r="BC205" s="44" t="s">
        <v>1542</v>
      </c>
      <c r="BD205" s="44" t="s">
        <v>1542</v>
      </c>
      <c r="BE205" s="44" t="s">
        <v>1542</v>
      </c>
      <c r="BF205" s="44" t="s">
        <v>1542</v>
      </c>
      <c r="BG205" s="44" t="s">
        <v>1542</v>
      </c>
      <c r="BH205" s="44" t="s">
        <v>1542</v>
      </c>
      <c r="BI205" s="44" t="s">
        <v>1542</v>
      </c>
      <c r="BJ205" s="44" t="s">
        <v>1542</v>
      </c>
      <c r="BK205" s="44" t="s">
        <v>1542</v>
      </c>
      <c r="BL205" s="44" t="s">
        <v>1542</v>
      </c>
      <c r="BM205" s="44" t="s">
        <v>1542</v>
      </c>
      <c r="BN205" s="44" t="s">
        <v>1542</v>
      </c>
      <c r="BO205" s="46">
        <f t="shared" si="17"/>
        <v>0</v>
      </c>
      <c r="BP205" s="43" t="s">
        <v>1542</v>
      </c>
      <c r="BQ205" s="43" t="s">
        <v>1542</v>
      </c>
      <c r="BR205" s="43" t="s">
        <v>1542</v>
      </c>
      <c r="BS205" s="43" t="s">
        <v>1542</v>
      </c>
      <c r="BT205" s="43" t="s">
        <v>1542</v>
      </c>
      <c r="BU205" s="43" t="s">
        <v>1542</v>
      </c>
      <c r="BV205" s="43" t="s">
        <v>1542</v>
      </c>
      <c r="BW205" s="43" t="s">
        <v>1542</v>
      </c>
      <c r="BX205" s="43" t="s">
        <v>1542</v>
      </c>
      <c r="BY205" s="43" t="s">
        <v>1542</v>
      </c>
      <c r="BZ205" s="43" t="s">
        <v>1542</v>
      </c>
      <c r="CA205" s="43" t="s">
        <v>1542</v>
      </c>
    </row>
    <row r="206" spans="1:79">
      <c r="A206">
        <v>205</v>
      </c>
      <c r="B206">
        <v>1</v>
      </c>
      <c r="C206" t="s">
        <v>1696</v>
      </c>
      <c r="D206" t="s">
        <v>1697</v>
      </c>
      <c r="E206" t="s">
        <v>2471</v>
      </c>
      <c r="F206" t="s">
        <v>2472</v>
      </c>
      <c r="G206" t="s">
        <v>2473</v>
      </c>
      <c r="H206" t="s">
        <v>2473</v>
      </c>
      <c r="J206" t="s">
        <v>2474</v>
      </c>
      <c r="K206" t="s">
        <v>2475</v>
      </c>
      <c r="M206" s="1" t="s">
        <v>2476</v>
      </c>
      <c r="O206" s="46">
        <f t="shared" si="18"/>
        <v>0</v>
      </c>
      <c r="P206" s="43" t="s">
        <v>1542</v>
      </c>
      <c r="Q206" s="43" t="s">
        <v>1542</v>
      </c>
      <c r="R206" s="43" t="s">
        <v>1542</v>
      </c>
      <c r="S206" s="43" t="s">
        <v>1542</v>
      </c>
      <c r="T206" s="43" t="s">
        <v>1542</v>
      </c>
      <c r="U206" s="43" t="s">
        <v>1542</v>
      </c>
      <c r="V206" s="43" t="s">
        <v>1542</v>
      </c>
      <c r="W206" s="43" t="s">
        <v>1542</v>
      </c>
      <c r="X206" s="43" t="s">
        <v>1542</v>
      </c>
      <c r="Y206" s="43" t="s">
        <v>1542</v>
      </c>
      <c r="Z206" s="43" t="s">
        <v>1542</v>
      </c>
      <c r="AA206" s="43" t="s">
        <v>1542</v>
      </c>
      <c r="AB206" s="46">
        <f t="shared" si="19"/>
        <v>0</v>
      </c>
      <c r="AC206" s="44" t="s">
        <v>1542</v>
      </c>
      <c r="AD206" s="44" t="s">
        <v>1542</v>
      </c>
      <c r="AE206" s="44" t="s">
        <v>1542</v>
      </c>
      <c r="AF206" s="44" t="s">
        <v>1542</v>
      </c>
      <c r="AG206" s="44" t="s">
        <v>1542</v>
      </c>
      <c r="AH206" s="44" t="s">
        <v>1542</v>
      </c>
      <c r="AI206" s="44" t="s">
        <v>1542</v>
      </c>
      <c r="AJ206" s="44" t="s">
        <v>1542</v>
      </c>
      <c r="AK206" s="44" t="s">
        <v>1542</v>
      </c>
      <c r="AL206" s="44" t="s">
        <v>1542</v>
      </c>
      <c r="AM206" s="44" t="s">
        <v>1542</v>
      </c>
      <c r="AN206" s="44" t="s">
        <v>1542</v>
      </c>
      <c r="AO206" s="46">
        <f t="shared" si="15"/>
        <v>0</v>
      </c>
      <c r="AP206" s="43" t="s">
        <v>1542</v>
      </c>
      <c r="AQ206" s="43" t="s">
        <v>1542</v>
      </c>
      <c r="AR206" s="43" t="s">
        <v>1542</v>
      </c>
      <c r="AS206" s="43" t="s">
        <v>1542</v>
      </c>
      <c r="AT206" s="43" t="s">
        <v>1542</v>
      </c>
      <c r="AU206" s="43" t="s">
        <v>1542</v>
      </c>
      <c r="AV206" s="43" t="s">
        <v>1542</v>
      </c>
      <c r="AW206" s="43" t="s">
        <v>1542</v>
      </c>
      <c r="AX206" s="43" t="s">
        <v>1542</v>
      </c>
      <c r="AY206" s="43" t="s">
        <v>1542</v>
      </c>
      <c r="AZ206" s="43" t="s">
        <v>1542</v>
      </c>
      <c r="BA206" s="43" t="s">
        <v>1542</v>
      </c>
      <c r="BB206" s="46">
        <f t="shared" si="16"/>
        <v>0</v>
      </c>
      <c r="BC206" s="44" t="s">
        <v>1542</v>
      </c>
      <c r="BD206" s="44" t="s">
        <v>1542</v>
      </c>
      <c r="BE206" s="44" t="s">
        <v>1542</v>
      </c>
      <c r="BF206" s="44" t="s">
        <v>1542</v>
      </c>
      <c r="BG206" s="44" t="s">
        <v>1542</v>
      </c>
      <c r="BH206" s="44" t="s">
        <v>1542</v>
      </c>
      <c r="BI206" s="44" t="s">
        <v>1542</v>
      </c>
      <c r="BJ206" s="44" t="s">
        <v>1542</v>
      </c>
      <c r="BK206" s="44" t="s">
        <v>1542</v>
      </c>
      <c r="BL206" s="44" t="s">
        <v>1542</v>
      </c>
      <c r="BM206" s="44" t="s">
        <v>1542</v>
      </c>
      <c r="BN206" s="44" t="s">
        <v>1542</v>
      </c>
      <c r="BO206" s="46">
        <f t="shared" si="17"/>
        <v>0</v>
      </c>
      <c r="BP206" s="43" t="s">
        <v>1542</v>
      </c>
      <c r="BQ206" s="43" t="s">
        <v>1542</v>
      </c>
      <c r="BR206" s="43" t="s">
        <v>1542</v>
      </c>
      <c r="BS206" s="43" t="s">
        <v>1542</v>
      </c>
      <c r="BT206" s="43" t="s">
        <v>1542</v>
      </c>
      <c r="BU206" s="43" t="s">
        <v>1542</v>
      </c>
      <c r="BV206" s="43" t="s">
        <v>1542</v>
      </c>
      <c r="BW206" s="43" t="s">
        <v>1542</v>
      </c>
      <c r="BX206" s="43" t="s">
        <v>1542</v>
      </c>
      <c r="BY206" s="43" t="s">
        <v>1542</v>
      </c>
      <c r="BZ206" s="43" t="s">
        <v>1542</v>
      </c>
      <c r="CA206" s="43" t="s">
        <v>1542</v>
      </c>
    </row>
    <row r="207" spans="1:79">
      <c r="A207">
        <v>206</v>
      </c>
      <c r="B207">
        <v>1</v>
      </c>
      <c r="C207" t="s">
        <v>1696</v>
      </c>
      <c r="D207" t="s">
        <v>1697</v>
      </c>
      <c r="E207" t="s">
        <v>2471</v>
      </c>
      <c r="F207" t="s">
        <v>2472</v>
      </c>
      <c r="G207" t="s">
        <v>2477</v>
      </c>
      <c r="H207" t="s">
        <v>2477</v>
      </c>
      <c r="J207" t="s">
        <v>2478</v>
      </c>
      <c r="K207" t="s">
        <v>2479</v>
      </c>
      <c r="M207" s="1" t="s">
        <v>2480</v>
      </c>
      <c r="O207" s="46">
        <f t="shared" si="18"/>
        <v>0</v>
      </c>
      <c r="P207" s="43" t="s">
        <v>1542</v>
      </c>
      <c r="Q207" s="43" t="s">
        <v>1542</v>
      </c>
      <c r="R207" s="43" t="s">
        <v>1542</v>
      </c>
      <c r="S207" s="43" t="s">
        <v>1542</v>
      </c>
      <c r="T207" s="43" t="s">
        <v>1542</v>
      </c>
      <c r="U207" s="43" t="s">
        <v>1542</v>
      </c>
      <c r="V207" s="43" t="s">
        <v>1542</v>
      </c>
      <c r="W207" s="43" t="s">
        <v>1542</v>
      </c>
      <c r="X207" s="43" t="s">
        <v>1542</v>
      </c>
      <c r="Y207" s="43" t="s">
        <v>1542</v>
      </c>
      <c r="Z207" s="43" t="s">
        <v>1542</v>
      </c>
      <c r="AA207" s="43" t="s">
        <v>1542</v>
      </c>
      <c r="AB207" s="46">
        <f t="shared" si="19"/>
        <v>0</v>
      </c>
      <c r="AC207" s="44" t="s">
        <v>1542</v>
      </c>
      <c r="AD207" s="44" t="s">
        <v>1542</v>
      </c>
      <c r="AE207" s="44" t="s">
        <v>1542</v>
      </c>
      <c r="AF207" s="44" t="s">
        <v>1542</v>
      </c>
      <c r="AG207" s="44" t="s">
        <v>1542</v>
      </c>
      <c r="AH207" s="44" t="s">
        <v>1542</v>
      </c>
      <c r="AI207" s="44" t="s">
        <v>1542</v>
      </c>
      <c r="AJ207" s="44" t="s">
        <v>1542</v>
      </c>
      <c r="AK207" s="44" t="s">
        <v>1542</v>
      </c>
      <c r="AL207" s="44" t="s">
        <v>1542</v>
      </c>
      <c r="AM207" s="44" t="s">
        <v>1542</v>
      </c>
      <c r="AN207" s="44" t="s">
        <v>1542</v>
      </c>
      <c r="AO207" s="46">
        <f t="shared" si="15"/>
        <v>0</v>
      </c>
      <c r="AP207" s="43" t="s">
        <v>1542</v>
      </c>
      <c r="AQ207" s="43" t="s">
        <v>1542</v>
      </c>
      <c r="AR207" s="43" t="s">
        <v>1542</v>
      </c>
      <c r="AS207" s="43" t="s">
        <v>1542</v>
      </c>
      <c r="AT207" s="43" t="s">
        <v>1542</v>
      </c>
      <c r="AU207" s="43" t="s">
        <v>1542</v>
      </c>
      <c r="AV207" s="43" t="s">
        <v>1542</v>
      </c>
      <c r="AW207" s="43" t="s">
        <v>1542</v>
      </c>
      <c r="AX207" s="43" t="s">
        <v>1542</v>
      </c>
      <c r="AY207" s="43" t="s">
        <v>1542</v>
      </c>
      <c r="AZ207" s="43" t="s">
        <v>1542</v>
      </c>
      <c r="BA207" s="43" t="s">
        <v>1542</v>
      </c>
      <c r="BB207" s="46">
        <f t="shared" si="16"/>
        <v>0</v>
      </c>
      <c r="BC207" s="44" t="s">
        <v>1542</v>
      </c>
      <c r="BD207" s="44" t="s">
        <v>1542</v>
      </c>
      <c r="BE207" s="44" t="s">
        <v>1542</v>
      </c>
      <c r="BF207" s="44" t="s">
        <v>1542</v>
      </c>
      <c r="BG207" s="44" t="s">
        <v>1542</v>
      </c>
      <c r="BH207" s="44" t="s">
        <v>1542</v>
      </c>
      <c r="BI207" s="44" t="s">
        <v>1542</v>
      </c>
      <c r="BJ207" s="44" t="s">
        <v>1542</v>
      </c>
      <c r="BK207" s="44" t="s">
        <v>1542</v>
      </c>
      <c r="BL207" s="44" t="s">
        <v>1542</v>
      </c>
      <c r="BM207" s="44" t="s">
        <v>1542</v>
      </c>
      <c r="BN207" s="44" t="s">
        <v>1542</v>
      </c>
      <c r="BO207" s="46">
        <f t="shared" si="17"/>
        <v>0</v>
      </c>
      <c r="BP207" s="43" t="s">
        <v>1542</v>
      </c>
      <c r="BQ207" s="43" t="s">
        <v>1542</v>
      </c>
      <c r="BR207" s="43" t="s">
        <v>1542</v>
      </c>
      <c r="BS207" s="43" t="s">
        <v>1542</v>
      </c>
      <c r="BT207" s="43" t="s">
        <v>1542</v>
      </c>
      <c r="BU207" s="43" t="s">
        <v>1542</v>
      </c>
      <c r="BV207" s="43" t="s">
        <v>1542</v>
      </c>
      <c r="BW207" s="43" t="s">
        <v>1542</v>
      </c>
      <c r="BX207" s="43" t="s">
        <v>1542</v>
      </c>
      <c r="BY207" s="43" t="s">
        <v>1542</v>
      </c>
      <c r="BZ207" s="43" t="s">
        <v>1542</v>
      </c>
      <c r="CA207" s="43" t="s">
        <v>1542</v>
      </c>
    </row>
    <row r="208" spans="1:79">
      <c r="A208">
        <v>207</v>
      </c>
      <c r="B208">
        <v>1</v>
      </c>
      <c r="C208" t="s">
        <v>1696</v>
      </c>
      <c r="D208" t="s">
        <v>1697</v>
      </c>
      <c r="E208" t="s">
        <v>2471</v>
      </c>
      <c r="F208" t="s">
        <v>2472</v>
      </c>
      <c r="G208" t="s">
        <v>2481</v>
      </c>
      <c r="H208" t="s">
        <v>2481</v>
      </c>
      <c r="J208" t="s">
        <v>2482</v>
      </c>
      <c r="K208" t="s">
        <v>2483</v>
      </c>
      <c r="M208" s="1" t="s">
        <v>2484</v>
      </c>
      <c r="O208" s="46">
        <f t="shared" si="18"/>
        <v>0</v>
      </c>
      <c r="P208" s="43" t="s">
        <v>1542</v>
      </c>
      <c r="Q208" s="43" t="s">
        <v>1542</v>
      </c>
      <c r="R208" s="43" t="s">
        <v>1542</v>
      </c>
      <c r="S208" s="43" t="s">
        <v>1542</v>
      </c>
      <c r="T208" s="43" t="s">
        <v>1542</v>
      </c>
      <c r="U208" s="43" t="s">
        <v>1542</v>
      </c>
      <c r="V208" s="43" t="s">
        <v>1542</v>
      </c>
      <c r="W208" s="43" t="s">
        <v>1542</v>
      </c>
      <c r="X208" s="43" t="s">
        <v>1542</v>
      </c>
      <c r="Y208" s="43" t="s">
        <v>1542</v>
      </c>
      <c r="Z208" s="43" t="s">
        <v>1542</v>
      </c>
      <c r="AA208" s="43" t="s">
        <v>1542</v>
      </c>
      <c r="AB208" s="46">
        <f t="shared" si="19"/>
        <v>0</v>
      </c>
      <c r="AC208" s="44" t="s">
        <v>1542</v>
      </c>
      <c r="AD208" s="44" t="s">
        <v>1542</v>
      </c>
      <c r="AE208" s="44" t="s">
        <v>1542</v>
      </c>
      <c r="AF208" s="44" t="s">
        <v>1542</v>
      </c>
      <c r="AG208" s="44" t="s">
        <v>1542</v>
      </c>
      <c r="AH208" s="44" t="s">
        <v>1542</v>
      </c>
      <c r="AI208" s="44" t="s">
        <v>1542</v>
      </c>
      <c r="AJ208" s="44" t="s">
        <v>1542</v>
      </c>
      <c r="AK208" s="44" t="s">
        <v>1542</v>
      </c>
      <c r="AL208" s="44" t="s">
        <v>1542</v>
      </c>
      <c r="AM208" s="44" t="s">
        <v>1542</v>
      </c>
      <c r="AN208" s="44" t="s">
        <v>1542</v>
      </c>
      <c r="AO208" s="46">
        <f t="shared" si="15"/>
        <v>0</v>
      </c>
      <c r="AP208" s="43" t="s">
        <v>1542</v>
      </c>
      <c r="AQ208" s="43" t="s">
        <v>1542</v>
      </c>
      <c r="AR208" s="43" t="s">
        <v>1542</v>
      </c>
      <c r="AS208" s="43" t="s">
        <v>1542</v>
      </c>
      <c r="AT208" s="43" t="s">
        <v>1542</v>
      </c>
      <c r="AU208" s="43" t="s">
        <v>1542</v>
      </c>
      <c r="AV208" s="43" t="s">
        <v>1542</v>
      </c>
      <c r="AW208" s="43" t="s">
        <v>1542</v>
      </c>
      <c r="AX208" s="43" t="s">
        <v>1542</v>
      </c>
      <c r="AY208" s="43" t="s">
        <v>1542</v>
      </c>
      <c r="AZ208" s="43" t="s">
        <v>1542</v>
      </c>
      <c r="BA208" s="43" t="s">
        <v>1542</v>
      </c>
      <c r="BB208" s="46">
        <f t="shared" si="16"/>
        <v>0</v>
      </c>
      <c r="BC208" s="44" t="s">
        <v>1542</v>
      </c>
      <c r="BD208" s="44" t="s">
        <v>1542</v>
      </c>
      <c r="BE208" s="44" t="s">
        <v>1542</v>
      </c>
      <c r="BF208" s="44" t="s">
        <v>1542</v>
      </c>
      <c r="BG208" s="44" t="s">
        <v>1542</v>
      </c>
      <c r="BH208" s="44" t="s">
        <v>1542</v>
      </c>
      <c r="BI208" s="44" t="s">
        <v>1542</v>
      </c>
      <c r="BJ208" s="44" t="s">
        <v>1542</v>
      </c>
      <c r="BK208" s="44" t="s">
        <v>1542</v>
      </c>
      <c r="BL208" s="44" t="s">
        <v>1542</v>
      </c>
      <c r="BM208" s="44" t="s">
        <v>1542</v>
      </c>
      <c r="BN208" s="44" t="s">
        <v>1542</v>
      </c>
      <c r="BO208" s="46">
        <f t="shared" si="17"/>
        <v>0</v>
      </c>
      <c r="BP208" s="43" t="s">
        <v>1542</v>
      </c>
      <c r="BQ208" s="43" t="s">
        <v>1542</v>
      </c>
      <c r="BR208" s="43" t="s">
        <v>1542</v>
      </c>
      <c r="BS208" s="43" t="s">
        <v>1542</v>
      </c>
      <c r="BT208" s="43" t="s">
        <v>1542</v>
      </c>
      <c r="BU208" s="43" t="s">
        <v>1542</v>
      </c>
      <c r="BV208" s="43" t="s">
        <v>1542</v>
      </c>
      <c r="BW208" s="43" t="s">
        <v>1542</v>
      </c>
      <c r="BX208" s="43" t="s">
        <v>1542</v>
      </c>
      <c r="BY208" s="43" t="s">
        <v>1542</v>
      </c>
      <c r="BZ208" s="43" t="s">
        <v>1542</v>
      </c>
      <c r="CA208" s="43" t="s">
        <v>1542</v>
      </c>
    </row>
    <row r="209" spans="1:79">
      <c r="A209">
        <v>208</v>
      </c>
      <c r="B209">
        <v>1</v>
      </c>
      <c r="C209" t="s">
        <v>1696</v>
      </c>
      <c r="D209" t="s">
        <v>1697</v>
      </c>
      <c r="E209" t="s">
        <v>2471</v>
      </c>
      <c r="F209" t="s">
        <v>2472</v>
      </c>
      <c r="G209" t="s">
        <v>2485</v>
      </c>
      <c r="H209" t="s">
        <v>2485</v>
      </c>
      <c r="J209" t="s">
        <v>2486</v>
      </c>
      <c r="K209" t="s">
        <v>2487</v>
      </c>
      <c r="M209" s="1" t="s">
        <v>2488</v>
      </c>
      <c r="N209" t="s">
        <v>2489</v>
      </c>
      <c r="O209" s="46">
        <f t="shared" si="18"/>
        <v>0</v>
      </c>
      <c r="P209" s="43" t="s">
        <v>1542</v>
      </c>
      <c r="Q209" s="43" t="s">
        <v>1542</v>
      </c>
      <c r="R209" s="43" t="s">
        <v>1542</v>
      </c>
      <c r="S209" s="43" t="s">
        <v>1542</v>
      </c>
      <c r="T209" s="43" t="s">
        <v>1542</v>
      </c>
      <c r="U209" s="43" t="s">
        <v>1542</v>
      </c>
      <c r="V209" s="43" t="s">
        <v>1542</v>
      </c>
      <c r="W209" s="43" t="s">
        <v>1542</v>
      </c>
      <c r="X209" s="43" t="s">
        <v>1542</v>
      </c>
      <c r="Y209" s="43" t="s">
        <v>1542</v>
      </c>
      <c r="Z209" s="43" t="s">
        <v>1542</v>
      </c>
      <c r="AA209" s="43" t="s">
        <v>1542</v>
      </c>
      <c r="AB209" s="46">
        <f t="shared" si="19"/>
        <v>0</v>
      </c>
      <c r="AC209" s="44" t="s">
        <v>1542</v>
      </c>
      <c r="AD209" s="44" t="s">
        <v>1542</v>
      </c>
      <c r="AE209" s="44" t="s">
        <v>1542</v>
      </c>
      <c r="AF209" s="44" t="s">
        <v>1542</v>
      </c>
      <c r="AG209" s="44" t="s">
        <v>1542</v>
      </c>
      <c r="AH209" s="44" t="s">
        <v>1542</v>
      </c>
      <c r="AI209" s="44" t="s">
        <v>1542</v>
      </c>
      <c r="AJ209" s="44" t="s">
        <v>1542</v>
      </c>
      <c r="AK209" s="44" t="s">
        <v>1542</v>
      </c>
      <c r="AL209" s="44" t="s">
        <v>1542</v>
      </c>
      <c r="AM209" s="44" t="s">
        <v>1542</v>
      </c>
      <c r="AN209" s="44" t="s">
        <v>1542</v>
      </c>
      <c r="AO209" s="46">
        <f t="shared" si="15"/>
        <v>0</v>
      </c>
      <c r="AP209" s="43" t="s">
        <v>1542</v>
      </c>
      <c r="AQ209" s="43" t="s">
        <v>1542</v>
      </c>
      <c r="AR209" s="43" t="s">
        <v>1542</v>
      </c>
      <c r="AS209" s="43" t="s">
        <v>1542</v>
      </c>
      <c r="AT209" s="43" t="s">
        <v>1542</v>
      </c>
      <c r="AU209" s="43" t="s">
        <v>1542</v>
      </c>
      <c r="AV209" s="43" t="s">
        <v>1542</v>
      </c>
      <c r="AW209" s="43" t="s">
        <v>1542</v>
      </c>
      <c r="AX209" s="43" t="s">
        <v>1542</v>
      </c>
      <c r="AY209" s="43" t="s">
        <v>1542</v>
      </c>
      <c r="AZ209" s="43" t="s">
        <v>1542</v>
      </c>
      <c r="BA209" s="43" t="s">
        <v>1542</v>
      </c>
      <c r="BB209" s="46">
        <f t="shared" si="16"/>
        <v>0</v>
      </c>
      <c r="BC209" s="44" t="s">
        <v>1542</v>
      </c>
      <c r="BD209" s="44" t="s">
        <v>1554</v>
      </c>
      <c r="BE209" s="44" t="s">
        <v>1554</v>
      </c>
      <c r="BF209" s="44" t="s">
        <v>1542</v>
      </c>
      <c r="BG209" s="44" t="s">
        <v>1542</v>
      </c>
      <c r="BH209" s="44" t="s">
        <v>1542</v>
      </c>
      <c r="BI209" s="44" t="s">
        <v>1542</v>
      </c>
      <c r="BJ209" s="44" t="s">
        <v>1542</v>
      </c>
      <c r="BK209" s="44" t="s">
        <v>1542</v>
      </c>
      <c r="BL209" s="44" t="s">
        <v>1542</v>
      </c>
      <c r="BM209" s="44" t="s">
        <v>1542</v>
      </c>
      <c r="BN209" s="44" t="s">
        <v>1542</v>
      </c>
      <c r="BO209" s="46">
        <f t="shared" si="17"/>
        <v>2</v>
      </c>
      <c r="BP209" s="43" t="s">
        <v>1542</v>
      </c>
      <c r="BQ209" s="43" t="s">
        <v>1542</v>
      </c>
      <c r="BR209" s="43" t="s">
        <v>1542</v>
      </c>
      <c r="BS209" s="43" t="s">
        <v>1542</v>
      </c>
      <c r="BT209" s="43" t="s">
        <v>1542</v>
      </c>
      <c r="BU209" s="43" t="s">
        <v>1542</v>
      </c>
      <c r="BV209" s="43" t="s">
        <v>1542</v>
      </c>
      <c r="BW209" s="43" t="s">
        <v>1542</v>
      </c>
      <c r="BX209" s="43" t="s">
        <v>1542</v>
      </c>
      <c r="BY209" s="43" t="s">
        <v>1542</v>
      </c>
      <c r="BZ209" s="43" t="s">
        <v>1542</v>
      </c>
      <c r="CA209" s="43" t="s">
        <v>1542</v>
      </c>
    </row>
    <row r="210" spans="1:79">
      <c r="A210">
        <v>209</v>
      </c>
      <c r="B210">
        <v>1</v>
      </c>
      <c r="C210" t="s">
        <v>1696</v>
      </c>
      <c r="D210" t="s">
        <v>1697</v>
      </c>
      <c r="E210" t="s">
        <v>2471</v>
      </c>
      <c r="F210" t="s">
        <v>2472</v>
      </c>
      <c r="G210" t="s">
        <v>2490</v>
      </c>
      <c r="H210" t="s">
        <v>2490</v>
      </c>
      <c r="J210" t="s">
        <v>2491</v>
      </c>
      <c r="K210" t="s">
        <v>2492</v>
      </c>
      <c r="M210" s="1" t="s">
        <v>2493</v>
      </c>
      <c r="O210" s="46">
        <f t="shared" si="18"/>
        <v>0</v>
      </c>
      <c r="P210" s="43" t="s">
        <v>1542</v>
      </c>
      <c r="Q210" s="43" t="s">
        <v>1542</v>
      </c>
      <c r="R210" s="43" t="s">
        <v>1542</v>
      </c>
      <c r="S210" s="43" t="s">
        <v>1542</v>
      </c>
      <c r="T210" s="43" t="s">
        <v>1542</v>
      </c>
      <c r="U210" s="43" t="s">
        <v>1542</v>
      </c>
      <c r="V210" s="43" t="s">
        <v>1542</v>
      </c>
      <c r="W210" s="43" t="s">
        <v>1542</v>
      </c>
      <c r="X210" s="43" t="s">
        <v>1542</v>
      </c>
      <c r="Y210" s="43" t="s">
        <v>1542</v>
      </c>
      <c r="Z210" s="43" t="s">
        <v>1542</v>
      </c>
      <c r="AA210" s="43" t="s">
        <v>1542</v>
      </c>
      <c r="AB210" s="46">
        <f t="shared" si="19"/>
        <v>0</v>
      </c>
      <c r="AC210" s="44" t="s">
        <v>1542</v>
      </c>
      <c r="AD210" s="44" t="s">
        <v>1542</v>
      </c>
      <c r="AE210" s="44" t="s">
        <v>1542</v>
      </c>
      <c r="AF210" s="44" t="s">
        <v>1542</v>
      </c>
      <c r="AG210" s="44" t="s">
        <v>1542</v>
      </c>
      <c r="AH210" s="44" t="s">
        <v>1542</v>
      </c>
      <c r="AI210" s="44" t="s">
        <v>1542</v>
      </c>
      <c r="AJ210" s="44" t="s">
        <v>1542</v>
      </c>
      <c r="AK210" s="44" t="s">
        <v>1542</v>
      </c>
      <c r="AL210" s="44" t="s">
        <v>1542</v>
      </c>
      <c r="AM210" s="44" t="s">
        <v>1542</v>
      </c>
      <c r="AN210" s="44" t="s">
        <v>1542</v>
      </c>
      <c r="AO210" s="46">
        <f t="shared" si="15"/>
        <v>0</v>
      </c>
      <c r="AP210" s="43" t="s">
        <v>1542</v>
      </c>
      <c r="AQ210" s="43" t="s">
        <v>1542</v>
      </c>
      <c r="AR210" s="43" t="s">
        <v>1542</v>
      </c>
      <c r="AS210" s="43" t="s">
        <v>1542</v>
      </c>
      <c r="AT210" s="43" t="s">
        <v>1542</v>
      </c>
      <c r="AU210" s="43" t="s">
        <v>1542</v>
      </c>
      <c r="AV210" s="43" t="s">
        <v>1542</v>
      </c>
      <c r="AW210" s="43" t="s">
        <v>1542</v>
      </c>
      <c r="AX210" s="43" t="s">
        <v>1542</v>
      </c>
      <c r="AY210" s="43" t="s">
        <v>1542</v>
      </c>
      <c r="AZ210" s="43" t="s">
        <v>1542</v>
      </c>
      <c r="BA210" s="43" t="s">
        <v>1542</v>
      </c>
      <c r="BB210" s="46">
        <f t="shared" si="16"/>
        <v>0</v>
      </c>
      <c r="BC210" s="44" t="s">
        <v>1542</v>
      </c>
      <c r="BD210" s="44" t="s">
        <v>1542</v>
      </c>
      <c r="BE210" s="44" t="s">
        <v>1542</v>
      </c>
      <c r="BF210" s="44" t="s">
        <v>1542</v>
      </c>
      <c r="BG210" s="44" t="s">
        <v>1542</v>
      </c>
      <c r="BH210" s="44" t="s">
        <v>1542</v>
      </c>
      <c r="BI210" s="44" t="s">
        <v>1542</v>
      </c>
      <c r="BJ210" s="44" t="s">
        <v>1542</v>
      </c>
      <c r="BK210" s="44" t="s">
        <v>1542</v>
      </c>
      <c r="BL210" s="44" t="s">
        <v>1542</v>
      </c>
      <c r="BM210" s="44" t="s">
        <v>1542</v>
      </c>
      <c r="BN210" s="44" t="s">
        <v>1542</v>
      </c>
      <c r="BO210" s="46">
        <f t="shared" si="17"/>
        <v>0</v>
      </c>
      <c r="BP210" s="43" t="s">
        <v>1542</v>
      </c>
      <c r="BQ210" s="43" t="s">
        <v>1542</v>
      </c>
      <c r="BR210" s="43" t="s">
        <v>1542</v>
      </c>
      <c r="BS210" s="43" t="s">
        <v>1542</v>
      </c>
      <c r="BT210" s="43" t="s">
        <v>1542</v>
      </c>
      <c r="BU210" s="43" t="s">
        <v>1542</v>
      </c>
      <c r="BV210" s="43" t="s">
        <v>1542</v>
      </c>
      <c r="BW210" s="43" t="s">
        <v>1542</v>
      </c>
      <c r="BX210" s="43" t="s">
        <v>1542</v>
      </c>
      <c r="BY210" s="43" t="s">
        <v>1542</v>
      </c>
      <c r="BZ210" s="43" t="s">
        <v>1542</v>
      </c>
      <c r="CA210" s="43" t="s">
        <v>1542</v>
      </c>
    </row>
    <row r="211" spans="1:79">
      <c r="A211">
        <v>210</v>
      </c>
      <c r="B211">
        <v>1</v>
      </c>
      <c r="C211" t="s">
        <v>1696</v>
      </c>
      <c r="D211" t="s">
        <v>1697</v>
      </c>
      <c r="E211" t="s">
        <v>2471</v>
      </c>
      <c r="F211" t="s">
        <v>2472</v>
      </c>
      <c r="G211" t="s">
        <v>2494</v>
      </c>
      <c r="H211" t="s">
        <v>2494</v>
      </c>
      <c r="J211" t="s">
        <v>2495</v>
      </c>
      <c r="K211" t="s">
        <v>2496</v>
      </c>
      <c r="M211" s="1" t="s">
        <v>2497</v>
      </c>
      <c r="O211" s="46">
        <f t="shared" si="18"/>
        <v>0</v>
      </c>
      <c r="P211" s="43" t="s">
        <v>1542</v>
      </c>
      <c r="Q211" s="43" t="s">
        <v>1542</v>
      </c>
      <c r="R211" s="43" t="s">
        <v>1542</v>
      </c>
      <c r="S211" s="43" t="s">
        <v>1542</v>
      </c>
      <c r="T211" s="43" t="s">
        <v>1542</v>
      </c>
      <c r="U211" s="43" t="s">
        <v>1542</v>
      </c>
      <c r="V211" s="43" t="s">
        <v>1542</v>
      </c>
      <c r="W211" s="43" t="s">
        <v>1542</v>
      </c>
      <c r="X211" s="43" t="s">
        <v>1542</v>
      </c>
      <c r="Y211" s="43" t="s">
        <v>1542</v>
      </c>
      <c r="Z211" s="43" t="s">
        <v>1542</v>
      </c>
      <c r="AA211" s="43" t="s">
        <v>1542</v>
      </c>
      <c r="AB211" s="46">
        <f t="shared" si="19"/>
        <v>0</v>
      </c>
      <c r="AC211" s="44" t="s">
        <v>1542</v>
      </c>
      <c r="AD211" s="44" t="s">
        <v>1542</v>
      </c>
      <c r="AE211" s="44" t="s">
        <v>1542</v>
      </c>
      <c r="AF211" s="44" t="s">
        <v>1542</v>
      </c>
      <c r="AG211" s="44" t="s">
        <v>1542</v>
      </c>
      <c r="AH211" s="44" t="s">
        <v>1542</v>
      </c>
      <c r="AI211" s="44" t="s">
        <v>1542</v>
      </c>
      <c r="AJ211" s="44" t="s">
        <v>1542</v>
      </c>
      <c r="AK211" s="44" t="s">
        <v>1542</v>
      </c>
      <c r="AL211" s="44" t="s">
        <v>1542</v>
      </c>
      <c r="AM211" s="44" t="s">
        <v>1542</v>
      </c>
      <c r="AN211" s="44" t="s">
        <v>1542</v>
      </c>
      <c r="AO211" s="46">
        <f t="shared" si="15"/>
        <v>0</v>
      </c>
      <c r="AP211" s="43" t="s">
        <v>1542</v>
      </c>
      <c r="AQ211" s="43" t="s">
        <v>1542</v>
      </c>
      <c r="AR211" s="43" t="s">
        <v>1542</v>
      </c>
      <c r="AS211" s="43" t="s">
        <v>1542</v>
      </c>
      <c r="AT211" s="43" t="s">
        <v>1542</v>
      </c>
      <c r="AU211" s="43" t="s">
        <v>1542</v>
      </c>
      <c r="AV211" s="43" t="s">
        <v>1542</v>
      </c>
      <c r="AW211" s="43" t="s">
        <v>1542</v>
      </c>
      <c r="AX211" s="43" t="s">
        <v>1542</v>
      </c>
      <c r="AY211" s="43" t="s">
        <v>1542</v>
      </c>
      <c r="AZ211" s="43" t="s">
        <v>1542</v>
      </c>
      <c r="BA211" s="43" t="s">
        <v>1542</v>
      </c>
      <c r="BB211" s="46">
        <f t="shared" si="16"/>
        <v>0</v>
      </c>
      <c r="BC211" s="44" t="s">
        <v>1542</v>
      </c>
      <c r="BD211" s="44" t="s">
        <v>1542</v>
      </c>
      <c r="BE211" s="44" t="s">
        <v>1542</v>
      </c>
      <c r="BF211" s="44" t="s">
        <v>1542</v>
      </c>
      <c r="BG211" s="44" t="s">
        <v>1542</v>
      </c>
      <c r="BH211" s="44" t="s">
        <v>1542</v>
      </c>
      <c r="BI211" s="44" t="s">
        <v>1542</v>
      </c>
      <c r="BJ211" s="44" t="s">
        <v>1542</v>
      </c>
      <c r="BK211" s="44" t="s">
        <v>1542</v>
      </c>
      <c r="BL211" s="44" t="s">
        <v>1542</v>
      </c>
      <c r="BM211" s="44" t="s">
        <v>1542</v>
      </c>
      <c r="BN211" s="44" t="s">
        <v>1542</v>
      </c>
      <c r="BO211" s="46">
        <f t="shared" si="17"/>
        <v>0</v>
      </c>
      <c r="BP211" s="43" t="s">
        <v>1542</v>
      </c>
      <c r="BQ211" s="43" t="s">
        <v>1542</v>
      </c>
      <c r="BR211" s="43" t="s">
        <v>1542</v>
      </c>
      <c r="BS211" s="43" t="s">
        <v>1542</v>
      </c>
      <c r="BT211" s="43" t="s">
        <v>1542</v>
      </c>
      <c r="BU211" s="43" t="s">
        <v>1542</v>
      </c>
      <c r="BV211" s="43" t="s">
        <v>1542</v>
      </c>
      <c r="BW211" s="43" t="s">
        <v>1542</v>
      </c>
      <c r="BX211" s="43" t="s">
        <v>1542</v>
      </c>
      <c r="BY211" s="43" t="s">
        <v>1542</v>
      </c>
      <c r="BZ211" s="43" t="s">
        <v>1542</v>
      </c>
      <c r="CA211" s="43" t="s">
        <v>1542</v>
      </c>
    </row>
    <row r="212" spans="1:79">
      <c r="A212">
        <v>211</v>
      </c>
      <c r="B212">
        <v>1</v>
      </c>
      <c r="C212" t="s">
        <v>1696</v>
      </c>
      <c r="D212" t="s">
        <v>1697</v>
      </c>
      <c r="E212" t="s">
        <v>2471</v>
      </c>
      <c r="F212" t="s">
        <v>2472</v>
      </c>
      <c r="G212" t="s">
        <v>2498</v>
      </c>
      <c r="H212" t="s">
        <v>2498</v>
      </c>
      <c r="J212" t="s">
        <v>2499</v>
      </c>
      <c r="K212" t="s">
        <v>2500</v>
      </c>
      <c r="M212" s="1" t="s">
        <v>2501</v>
      </c>
      <c r="O212" s="46">
        <f t="shared" si="18"/>
        <v>0</v>
      </c>
      <c r="P212" s="43" t="s">
        <v>1542</v>
      </c>
      <c r="Q212" s="43" t="s">
        <v>1542</v>
      </c>
      <c r="R212" s="43" t="s">
        <v>1542</v>
      </c>
      <c r="S212" s="43" t="s">
        <v>1542</v>
      </c>
      <c r="T212" s="43" t="s">
        <v>1542</v>
      </c>
      <c r="U212" s="43" t="s">
        <v>1542</v>
      </c>
      <c r="V212" s="43" t="s">
        <v>1542</v>
      </c>
      <c r="W212" s="43" t="s">
        <v>1542</v>
      </c>
      <c r="X212" s="43" t="s">
        <v>1542</v>
      </c>
      <c r="Y212" s="43" t="s">
        <v>1542</v>
      </c>
      <c r="Z212" s="43" t="s">
        <v>1542</v>
      </c>
      <c r="AA212" s="43" t="s">
        <v>1542</v>
      </c>
      <c r="AB212" s="46">
        <f t="shared" si="19"/>
        <v>0</v>
      </c>
      <c r="AC212" s="44" t="s">
        <v>1542</v>
      </c>
      <c r="AD212" s="44" t="s">
        <v>1542</v>
      </c>
      <c r="AE212" s="44" t="s">
        <v>1542</v>
      </c>
      <c r="AF212" s="44" t="s">
        <v>1542</v>
      </c>
      <c r="AG212" s="44" t="s">
        <v>1542</v>
      </c>
      <c r="AH212" s="44" t="s">
        <v>1542</v>
      </c>
      <c r="AI212" s="44" t="s">
        <v>1542</v>
      </c>
      <c r="AJ212" s="44" t="s">
        <v>1542</v>
      </c>
      <c r="AK212" s="44" t="s">
        <v>1542</v>
      </c>
      <c r="AL212" s="44" t="s">
        <v>1542</v>
      </c>
      <c r="AM212" s="44" t="s">
        <v>1542</v>
      </c>
      <c r="AN212" s="44" t="s">
        <v>1542</v>
      </c>
      <c r="AO212" s="46">
        <f t="shared" si="15"/>
        <v>0</v>
      </c>
      <c r="AP212" s="43" t="s">
        <v>1542</v>
      </c>
      <c r="AQ212" s="43" t="s">
        <v>1542</v>
      </c>
      <c r="AR212" s="43" t="s">
        <v>1542</v>
      </c>
      <c r="AS212" s="43" t="s">
        <v>1542</v>
      </c>
      <c r="AT212" s="43" t="s">
        <v>1542</v>
      </c>
      <c r="AU212" s="43" t="s">
        <v>1542</v>
      </c>
      <c r="AV212" s="43" t="s">
        <v>1542</v>
      </c>
      <c r="AW212" s="43" t="s">
        <v>1542</v>
      </c>
      <c r="AX212" s="43" t="s">
        <v>1542</v>
      </c>
      <c r="AY212" s="43" t="s">
        <v>1542</v>
      </c>
      <c r="AZ212" s="43" t="s">
        <v>1542</v>
      </c>
      <c r="BA212" s="43" t="s">
        <v>1542</v>
      </c>
      <c r="BB212" s="46">
        <f t="shared" si="16"/>
        <v>0</v>
      </c>
      <c r="BC212" s="44" t="s">
        <v>1542</v>
      </c>
      <c r="BD212" s="44" t="s">
        <v>1542</v>
      </c>
      <c r="BE212" s="44" t="s">
        <v>1542</v>
      </c>
      <c r="BF212" s="44" t="s">
        <v>1542</v>
      </c>
      <c r="BG212" s="44" t="s">
        <v>1542</v>
      </c>
      <c r="BH212" s="44" t="s">
        <v>1542</v>
      </c>
      <c r="BI212" s="44" t="s">
        <v>1542</v>
      </c>
      <c r="BJ212" s="44" t="s">
        <v>1542</v>
      </c>
      <c r="BK212" s="44" t="s">
        <v>1542</v>
      </c>
      <c r="BL212" s="44" t="s">
        <v>1542</v>
      </c>
      <c r="BM212" s="44" t="s">
        <v>1542</v>
      </c>
      <c r="BN212" s="44" t="s">
        <v>1542</v>
      </c>
      <c r="BO212" s="46">
        <f t="shared" si="17"/>
        <v>0</v>
      </c>
      <c r="BP212" s="43" t="s">
        <v>1542</v>
      </c>
      <c r="BQ212" s="43" t="s">
        <v>1542</v>
      </c>
      <c r="BR212" s="43" t="s">
        <v>1542</v>
      </c>
      <c r="BS212" s="43" t="s">
        <v>1542</v>
      </c>
      <c r="BT212" s="43" t="s">
        <v>1542</v>
      </c>
      <c r="BU212" s="43" t="s">
        <v>1542</v>
      </c>
      <c r="BV212" s="43" t="s">
        <v>1542</v>
      </c>
      <c r="BW212" s="43" t="s">
        <v>1542</v>
      </c>
      <c r="BX212" s="43" t="s">
        <v>1542</v>
      </c>
      <c r="BY212" s="43" t="s">
        <v>1542</v>
      </c>
      <c r="BZ212" s="43" t="s">
        <v>1542</v>
      </c>
      <c r="CA212" s="43" t="s">
        <v>1542</v>
      </c>
    </row>
    <row r="213" spans="1:79">
      <c r="A213">
        <v>212</v>
      </c>
      <c r="B213">
        <v>1</v>
      </c>
      <c r="C213" t="s">
        <v>1696</v>
      </c>
      <c r="D213" t="s">
        <v>1697</v>
      </c>
      <c r="E213" t="s">
        <v>2471</v>
      </c>
      <c r="F213" t="s">
        <v>2472</v>
      </c>
      <c r="G213" t="s">
        <v>2502</v>
      </c>
      <c r="H213" t="s">
        <v>2502</v>
      </c>
      <c r="J213" t="s">
        <v>2503</v>
      </c>
      <c r="K213" t="s">
        <v>2504</v>
      </c>
      <c r="M213" s="1" t="s">
        <v>2505</v>
      </c>
      <c r="O213" s="46">
        <f t="shared" si="18"/>
        <v>0</v>
      </c>
      <c r="P213" s="43" t="s">
        <v>1542</v>
      </c>
      <c r="Q213" s="43" t="s">
        <v>1542</v>
      </c>
      <c r="R213" s="43" t="s">
        <v>1542</v>
      </c>
      <c r="S213" s="43" t="s">
        <v>1542</v>
      </c>
      <c r="T213" s="43" t="s">
        <v>1542</v>
      </c>
      <c r="U213" s="43" t="s">
        <v>1542</v>
      </c>
      <c r="V213" s="43" t="s">
        <v>1542</v>
      </c>
      <c r="W213" s="43" t="s">
        <v>1542</v>
      </c>
      <c r="X213" s="43" t="s">
        <v>1542</v>
      </c>
      <c r="Y213" s="43" t="s">
        <v>1542</v>
      </c>
      <c r="Z213" s="43" t="s">
        <v>1542</v>
      </c>
      <c r="AA213" s="43" t="s">
        <v>1542</v>
      </c>
      <c r="AB213" s="46">
        <f t="shared" si="19"/>
        <v>0</v>
      </c>
      <c r="AC213" s="44" t="s">
        <v>1542</v>
      </c>
      <c r="AD213" s="44" t="s">
        <v>1542</v>
      </c>
      <c r="AE213" s="44" t="s">
        <v>1542</v>
      </c>
      <c r="AF213" s="44" t="s">
        <v>1542</v>
      </c>
      <c r="AG213" s="44" t="s">
        <v>1542</v>
      </c>
      <c r="AH213" s="44" t="s">
        <v>1542</v>
      </c>
      <c r="AI213" s="44" t="s">
        <v>1542</v>
      </c>
      <c r="AJ213" s="44" t="s">
        <v>1542</v>
      </c>
      <c r="AK213" s="44" t="s">
        <v>1542</v>
      </c>
      <c r="AL213" s="44" t="s">
        <v>1542</v>
      </c>
      <c r="AM213" s="44" t="s">
        <v>1542</v>
      </c>
      <c r="AN213" s="44" t="s">
        <v>1542</v>
      </c>
      <c r="AO213" s="46">
        <f t="shared" si="15"/>
        <v>0</v>
      </c>
      <c r="AP213" s="43" t="s">
        <v>1542</v>
      </c>
      <c r="AQ213" s="43" t="s">
        <v>1542</v>
      </c>
      <c r="AR213" s="43" t="s">
        <v>1542</v>
      </c>
      <c r="AS213" s="43" t="s">
        <v>1542</v>
      </c>
      <c r="AT213" s="43" t="s">
        <v>1542</v>
      </c>
      <c r="AU213" s="43" t="s">
        <v>1542</v>
      </c>
      <c r="AV213" s="43" t="s">
        <v>1542</v>
      </c>
      <c r="AW213" s="43" t="s">
        <v>1542</v>
      </c>
      <c r="AX213" s="43" t="s">
        <v>1542</v>
      </c>
      <c r="AY213" s="43" t="s">
        <v>1542</v>
      </c>
      <c r="AZ213" s="43" t="s">
        <v>1542</v>
      </c>
      <c r="BA213" s="43" t="s">
        <v>1542</v>
      </c>
      <c r="BB213" s="46">
        <f t="shared" si="16"/>
        <v>0</v>
      </c>
      <c r="BC213" s="44" t="s">
        <v>1542</v>
      </c>
      <c r="BD213" s="44" t="s">
        <v>1542</v>
      </c>
      <c r="BE213" s="44" t="s">
        <v>1542</v>
      </c>
      <c r="BF213" s="44" t="s">
        <v>1542</v>
      </c>
      <c r="BG213" s="44" t="s">
        <v>1542</v>
      </c>
      <c r="BH213" s="44" t="s">
        <v>1542</v>
      </c>
      <c r="BI213" s="44" t="s">
        <v>1542</v>
      </c>
      <c r="BJ213" s="44" t="s">
        <v>1542</v>
      </c>
      <c r="BK213" s="44" t="s">
        <v>1542</v>
      </c>
      <c r="BL213" s="44" t="s">
        <v>1542</v>
      </c>
      <c r="BM213" s="44" t="s">
        <v>1542</v>
      </c>
      <c r="BN213" s="44" t="s">
        <v>1542</v>
      </c>
      <c r="BO213" s="46">
        <f t="shared" si="17"/>
        <v>0</v>
      </c>
      <c r="BP213" s="43" t="s">
        <v>1542</v>
      </c>
      <c r="BQ213" s="43" t="s">
        <v>1542</v>
      </c>
      <c r="BR213" s="43" t="s">
        <v>1542</v>
      </c>
      <c r="BS213" s="43" t="s">
        <v>1542</v>
      </c>
      <c r="BT213" s="43" t="s">
        <v>1542</v>
      </c>
      <c r="BU213" s="43" t="s">
        <v>1542</v>
      </c>
      <c r="BV213" s="43" t="s">
        <v>1542</v>
      </c>
      <c r="BW213" s="43" t="s">
        <v>1542</v>
      </c>
      <c r="BX213" s="43" t="s">
        <v>1542</v>
      </c>
      <c r="BY213" s="43" t="s">
        <v>1542</v>
      </c>
      <c r="BZ213" s="43" t="s">
        <v>1542</v>
      </c>
      <c r="CA213" s="43" t="s">
        <v>1542</v>
      </c>
    </row>
    <row r="214" spans="1:79">
      <c r="A214">
        <v>213</v>
      </c>
      <c r="B214">
        <v>1</v>
      </c>
      <c r="C214" t="s">
        <v>1696</v>
      </c>
      <c r="D214" t="s">
        <v>1697</v>
      </c>
      <c r="E214" t="s">
        <v>2471</v>
      </c>
      <c r="F214" t="s">
        <v>2472</v>
      </c>
      <c r="G214" t="s">
        <v>2506</v>
      </c>
      <c r="H214" t="s">
        <v>2506</v>
      </c>
      <c r="I214" t="s">
        <v>2507</v>
      </c>
      <c r="J214" t="s">
        <v>2508</v>
      </c>
      <c r="K214" t="s">
        <v>2509</v>
      </c>
      <c r="M214" s="1" t="s">
        <v>2510</v>
      </c>
      <c r="O214" s="46">
        <f t="shared" si="18"/>
        <v>0</v>
      </c>
      <c r="P214" s="43" t="s">
        <v>1542</v>
      </c>
      <c r="Q214" s="43" t="s">
        <v>1542</v>
      </c>
      <c r="R214" s="43" t="s">
        <v>1542</v>
      </c>
      <c r="S214" s="43" t="s">
        <v>1542</v>
      </c>
      <c r="T214" s="43" t="s">
        <v>1542</v>
      </c>
      <c r="U214" s="43" t="s">
        <v>1542</v>
      </c>
      <c r="V214" s="43" t="s">
        <v>1542</v>
      </c>
      <c r="W214" s="43" t="s">
        <v>1542</v>
      </c>
      <c r="X214" s="43" t="s">
        <v>1542</v>
      </c>
      <c r="Y214" s="43" t="s">
        <v>1542</v>
      </c>
      <c r="Z214" s="43" t="s">
        <v>1542</v>
      </c>
      <c r="AA214" s="43" t="s">
        <v>1542</v>
      </c>
      <c r="AB214" s="46">
        <f t="shared" si="19"/>
        <v>0</v>
      </c>
      <c r="AC214" s="44" t="s">
        <v>1542</v>
      </c>
      <c r="AD214" s="44" t="s">
        <v>1542</v>
      </c>
      <c r="AE214" s="44" t="s">
        <v>1542</v>
      </c>
      <c r="AF214" s="44" t="s">
        <v>1542</v>
      </c>
      <c r="AG214" s="44" t="s">
        <v>1542</v>
      </c>
      <c r="AH214" s="44" t="s">
        <v>1542</v>
      </c>
      <c r="AI214" s="44" t="s">
        <v>1542</v>
      </c>
      <c r="AJ214" s="44" t="s">
        <v>1542</v>
      </c>
      <c r="AK214" s="44" t="s">
        <v>1542</v>
      </c>
      <c r="AL214" s="44" t="s">
        <v>1542</v>
      </c>
      <c r="AM214" s="44" t="s">
        <v>1542</v>
      </c>
      <c r="AN214" s="44" t="s">
        <v>1542</v>
      </c>
      <c r="AO214" s="46">
        <f t="shared" si="15"/>
        <v>0</v>
      </c>
      <c r="AP214" s="43" t="s">
        <v>1542</v>
      </c>
      <c r="AQ214" s="43" t="s">
        <v>1542</v>
      </c>
      <c r="AR214" s="43" t="s">
        <v>1542</v>
      </c>
      <c r="AS214" s="43" t="s">
        <v>1542</v>
      </c>
      <c r="AT214" s="43" t="s">
        <v>1542</v>
      </c>
      <c r="AU214" s="43" t="s">
        <v>1542</v>
      </c>
      <c r="AV214" s="43" t="s">
        <v>1542</v>
      </c>
      <c r="AW214" s="43" t="s">
        <v>1542</v>
      </c>
      <c r="AX214" s="43" t="s">
        <v>1542</v>
      </c>
      <c r="AY214" s="43" t="s">
        <v>1542</v>
      </c>
      <c r="AZ214" s="43" t="s">
        <v>1542</v>
      </c>
      <c r="BA214" s="43" t="s">
        <v>1542</v>
      </c>
      <c r="BB214" s="46">
        <f t="shared" si="16"/>
        <v>0</v>
      </c>
      <c r="BC214" s="44" t="s">
        <v>1542</v>
      </c>
      <c r="BD214" s="44" t="s">
        <v>1542</v>
      </c>
      <c r="BE214" s="44" t="s">
        <v>1542</v>
      </c>
      <c r="BF214" s="44" t="s">
        <v>1542</v>
      </c>
      <c r="BG214" s="44" t="s">
        <v>1542</v>
      </c>
      <c r="BH214" s="44" t="s">
        <v>1542</v>
      </c>
      <c r="BI214" s="44" t="s">
        <v>1542</v>
      </c>
      <c r="BJ214" s="44" t="s">
        <v>1542</v>
      </c>
      <c r="BK214" s="44" t="s">
        <v>1542</v>
      </c>
      <c r="BL214" s="44" t="s">
        <v>1542</v>
      </c>
      <c r="BM214" s="44" t="s">
        <v>1542</v>
      </c>
      <c r="BN214" s="44" t="s">
        <v>1542</v>
      </c>
      <c r="BO214" s="46">
        <f t="shared" si="17"/>
        <v>0</v>
      </c>
      <c r="BP214" s="43" t="s">
        <v>1542</v>
      </c>
      <c r="BQ214" s="43" t="s">
        <v>1542</v>
      </c>
      <c r="BR214" s="43" t="s">
        <v>1542</v>
      </c>
      <c r="BS214" s="43" t="s">
        <v>1542</v>
      </c>
      <c r="BT214" s="43" t="s">
        <v>1542</v>
      </c>
      <c r="BU214" s="43" t="s">
        <v>1542</v>
      </c>
      <c r="BV214" s="43" t="s">
        <v>1542</v>
      </c>
      <c r="BW214" s="43" t="s">
        <v>1542</v>
      </c>
      <c r="BX214" s="43" t="s">
        <v>1542</v>
      </c>
      <c r="BY214" s="43" t="s">
        <v>1542</v>
      </c>
      <c r="BZ214" s="43" t="s">
        <v>1542</v>
      </c>
      <c r="CA214" s="43" t="s">
        <v>1542</v>
      </c>
    </row>
    <row r="215" spans="1:79">
      <c r="A215">
        <v>214</v>
      </c>
      <c r="B215">
        <v>1</v>
      </c>
      <c r="C215" t="s">
        <v>1696</v>
      </c>
      <c r="D215" t="s">
        <v>1697</v>
      </c>
      <c r="E215" t="s">
        <v>2471</v>
      </c>
      <c r="F215" t="s">
        <v>2472</v>
      </c>
      <c r="G215" t="s">
        <v>2511</v>
      </c>
      <c r="H215" t="s">
        <v>2511</v>
      </c>
      <c r="J215" t="s">
        <v>2512</v>
      </c>
      <c r="K215" t="s">
        <v>2513</v>
      </c>
      <c r="M215" s="1" t="s">
        <v>2514</v>
      </c>
      <c r="O215" s="46">
        <f t="shared" si="18"/>
        <v>0</v>
      </c>
      <c r="P215" s="43" t="s">
        <v>1542</v>
      </c>
      <c r="Q215" s="43" t="s">
        <v>1542</v>
      </c>
      <c r="R215" s="43" t="s">
        <v>1542</v>
      </c>
      <c r="S215" s="43" t="s">
        <v>1542</v>
      </c>
      <c r="T215" s="43" t="s">
        <v>1542</v>
      </c>
      <c r="U215" s="43" t="s">
        <v>1542</v>
      </c>
      <c r="V215" s="43" t="s">
        <v>1542</v>
      </c>
      <c r="W215" s="43" t="s">
        <v>1542</v>
      </c>
      <c r="X215" s="43" t="s">
        <v>1542</v>
      </c>
      <c r="Y215" s="43" t="s">
        <v>1542</v>
      </c>
      <c r="Z215" s="43" t="s">
        <v>1542</v>
      </c>
      <c r="AA215" s="43" t="s">
        <v>1542</v>
      </c>
      <c r="AB215" s="46">
        <f t="shared" si="19"/>
        <v>0</v>
      </c>
      <c r="AC215" s="44" t="s">
        <v>1542</v>
      </c>
      <c r="AD215" s="44" t="s">
        <v>1542</v>
      </c>
      <c r="AE215" s="44" t="s">
        <v>1542</v>
      </c>
      <c r="AF215" s="44" t="s">
        <v>1542</v>
      </c>
      <c r="AG215" s="44" t="s">
        <v>1542</v>
      </c>
      <c r="AH215" s="44" t="s">
        <v>1542</v>
      </c>
      <c r="AI215" s="44" t="s">
        <v>1542</v>
      </c>
      <c r="AJ215" s="44" t="s">
        <v>1542</v>
      </c>
      <c r="AK215" s="44" t="s">
        <v>1542</v>
      </c>
      <c r="AL215" s="44" t="s">
        <v>1542</v>
      </c>
      <c r="AM215" s="44" t="s">
        <v>1542</v>
      </c>
      <c r="AN215" s="44" t="s">
        <v>1542</v>
      </c>
      <c r="AO215" s="46">
        <f t="shared" si="15"/>
        <v>0</v>
      </c>
      <c r="AP215" s="43" t="s">
        <v>1542</v>
      </c>
      <c r="AQ215" s="43" t="s">
        <v>1542</v>
      </c>
      <c r="AR215" s="43" t="s">
        <v>1542</v>
      </c>
      <c r="AS215" s="43" t="s">
        <v>1542</v>
      </c>
      <c r="AT215" s="43" t="s">
        <v>1542</v>
      </c>
      <c r="AU215" s="43" t="s">
        <v>1542</v>
      </c>
      <c r="AV215" s="43" t="s">
        <v>1542</v>
      </c>
      <c r="AW215" s="43" t="s">
        <v>1542</v>
      </c>
      <c r="AX215" s="43" t="s">
        <v>1542</v>
      </c>
      <c r="AY215" s="43" t="s">
        <v>1542</v>
      </c>
      <c r="AZ215" s="43" t="s">
        <v>1542</v>
      </c>
      <c r="BA215" s="43" t="s">
        <v>1542</v>
      </c>
      <c r="BB215" s="46">
        <f t="shared" si="16"/>
        <v>0</v>
      </c>
      <c r="BC215" s="44" t="s">
        <v>1542</v>
      </c>
      <c r="BD215" s="44" t="s">
        <v>1542</v>
      </c>
      <c r="BE215" s="44" t="s">
        <v>1542</v>
      </c>
      <c r="BF215" s="44" t="s">
        <v>1542</v>
      </c>
      <c r="BG215" s="44" t="s">
        <v>1542</v>
      </c>
      <c r="BH215" s="44" t="s">
        <v>1542</v>
      </c>
      <c r="BI215" s="44" t="s">
        <v>1542</v>
      </c>
      <c r="BJ215" s="44" t="s">
        <v>1542</v>
      </c>
      <c r="BK215" s="44" t="s">
        <v>1542</v>
      </c>
      <c r="BL215" s="44" t="s">
        <v>1542</v>
      </c>
      <c r="BM215" s="44" t="s">
        <v>1542</v>
      </c>
      <c r="BN215" s="44" t="s">
        <v>1542</v>
      </c>
      <c r="BO215" s="46">
        <f t="shared" si="17"/>
        <v>0</v>
      </c>
      <c r="BP215" s="43" t="s">
        <v>1542</v>
      </c>
      <c r="BQ215" s="43" t="s">
        <v>1542</v>
      </c>
      <c r="BR215" s="43" t="s">
        <v>1542</v>
      </c>
      <c r="BS215" s="43" t="s">
        <v>1542</v>
      </c>
      <c r="BT215" s="43" t="s">
        <v>1542</v>
      </c>
      <c r="BU215" s="43" t="s">
        <v>1542</v>
      </c>
      <c r="BV215" s="43" t="s">
        <v>1542</v>
      </c>
      <c r="BW215" s="43" t="s">
        <v>1542</v>
      </c>
      <c r="BX215" s="43" t="s">
        <v>1542</v>
      </c>
      <c r="BY215" s="43" t="s">
        <v>1542</v>
      </c>
      <c r="BZ215" s="43" t="s">
        <v>1542</v>
      </c>
      <c r="CA215" s="43" t="s">
        <v>1542</v>
      </c>
    </row>
    <row r="216" spans="1:79">
      <c r="A216">
        <v>215</v>
      </c>
      <c r="B216">
        <v>1</v>
      </c>
      <c r="C216" t="s">
        <v>1696</v>
      </c>
      <c r="D216" t="s">
        <v>1697</v>
      </c>
      <c r="E216" t="s">
        <v>2471</v>
      </c>
      <c r="F216" t="s">
        <v>2472</v>
      </c>
      <c r="G216" t="s">
        <v>2515</v>
      </c>
      <c r="H216" t="s">
        <v>2515</v>
      </c>
      <c r="J216" t="s">
        <v>2516</v>
      </c>
      <c r="K216" t="s">
        <v>2517</v>
      </c>
      <c r="M216" s="1" t="s">
        <v>2518</v>
      </c>
      <c r="N216" t="s">
        <v>2519</v>
      </c>
      <c r="O216" s="46">
        <f t="shared" si="18"/>
        <v>0</v>
      </c>
      <c r="P216" s="43" t="s">
        <v>1542</v>
      </c>
      <c r="Q216" s="43" t="s">
        <v>1542</v>
      </c>
      <c r="R216" s="43" t="s">
        <v>1542</v>
      </c>
      <c r="S216" s="43" t="s">
        <v>1542</v>
      </c>
      <c r="T216" s="43" t="s">
        <v>1542</v>
      </c>
      <c r="U216" s="43" t="s">
        <v>1542</v>
      </c>
      <c r="V216" s="43" t="s">
        <v>1542</v>
      </c>
      <c r="W216" s="43" t="s">
        <v>1542</v>
      </c>
      <c r="X216" s="43" t="s">
        <v>1542</v>
      </c>
      <c r="Y216" s="43" t="s">
        <v>1542</v>
      </c>
      <c r="Z216" s="43" t="s">
        <v>1542</v>
      </c>
      <c r="AA216" s="43" t="s">
        <v>1542</v>
      </c>
      <c r="AB216" s="46">
        <f t="shared" si="19"/>
        <v>0</v>
      </c>
      <c r="AC216" s="44" t="s">
        <v>1542</v>
      </c>
      <c r="AD216" s="44" t="s">
        <v>1542</v>
      </c>
      <c r="AE216" s="44" t="s">
        <v>1542</v>
      </c>
      <c r="AF216" s="44" t="s">
        <v>1542</v>
      </c>
      <c r="AG216" s="44" t="s">
        <v>1542</v>
      </c>
      <c r="AH216" s="44" t="s">
        <v>1542</v>
      </c>
      <c r="AI216" s="44" t="s">
        <v>1542</v>
      </c>
      <c r="AJ216" s="44" t="s">
        <v>1542</v>
      </c>
      <c r="AK216" s="44" t="s">
        <v>1542</v>
      </c>
      <c r="AL216" s="44" t="s">
        <v>1542</v>
      </c>
      <c r="AM216" s="44" t="s">
        <v>1542</v>
      </c>
      <c r="AN216" s="44" t="s">
        <v>1542</v>
      </c>
      <c r="AO216" s="46">
        <f t="shared" si="15"/>
        <v>0</v>
      </c>
      <c r="AP216" s="43" t="s">
        <v>1542</v>
      </c>
      <c r="AQ216" s="43" t="s">
        <v>1542</v>
      </c>
      <c r="AR216" s="43" t="s">
        <v>1542</v>
      </c>
      <c r="AS216" s="43" t="s">
        <v>1542</v>
      </c>
      <c r="AT216" s="43" t="s">
        <v>1542</v>
      </c>
      <c r="AU216" s="43" t="s">
        <v>1554</v>
      </c>
      <c r="AV216" s="43" t="s">
        <v>1554</v>
      </c>
      <c r="AW216" s="43" t="s">
        <v>1554</v>
      </c>
      <c r="AX216" s="43" t="s">
        <v>1542</v>
      </c>
      <c r="AY216" s="43" t="s">
        <v>1542</v>
      </c>
      <c r="AZ216" s="43" t="s">
        <v>1542</v>
      </c>
      <c r="BA216" s="43" t="s">
        <v>1542</v>
      </c>
      <c r="BB216" s="46">
        <f t="shared" si="16"/>
        <v>3</v>
      </c>
      <c r="BC216" s="44" t="s">
        <v>1542</v>
      </c>
      <c r="BD216" s="44" t="s">
        <v>1542</v>
      </c>
      <c r="BE216" s="44" t="s">
        <v>1542</v>
      </c>
      <c r="BF216" s="44" t="s">
        <v>1542</v>
      </c>
      <c r="BG216" s="44" t="s">
        <v>1542</v>
      </c>
      <c r="BH216" s="44" t="s">
        <v>1542</v>
      </c>
      <c r="BI216" s="44" t="s">
        <v>1542</v>
      </c>
      <c r="BJ216" s="44" t="s">
        <v>1542</v>
      </c>
      <c r="BK216" s="44" t="s">
        <v>1542</v>
      </c>
      <c r="BL216" s="44" t="s">
        <v>1542</v>
      </c>
      <c r="BM216" s="44" t="s">
        <v>1542</v>
      </c>
      <c r="BN216" s="44" t="s">
        <v>1542</v>
      </c>
      <c r="BO216" s="46">
        <f t="shared" si="17"/>
        <v>0</v>
      </c>
      <c r="BP216" s="43" t="s">
        <v>1542</v>
      </c>
      <c r="BQ216" s="43" t="s">
        <v>1542</v>
      </c>
      <c r="BR216" s="43" t="s">
        <v>1542</v>
      </c>
      <c r="BS216" s="43" t="s">
        <v>1542</v>
      </c>
      <c r="BT216" s="43" t="s">
        <v>1542</v>
      </c>
      <c r="BU216" s="43" t="s">
        <v>1542</v>
      </c>
      <c r="BV216" s="43" t="s">
        <v>1542</v>
      </c>
      <c r="BW216" s="43" t="s">
        <v>1542</v>
      </c>
      <c r="BX216" s="43" t="s">
        <v>1542</v>
      </c>
      <c r="BY216" s="43" t="s">
        <v>1542</v>
      </c>
      <c r="BZ216" s="43" t="s">
        <v>1542</v>
      </c>
      <c r="CA216" s="43" t="s">
        <v>1542</v>
      </c>
    </row>
    <row r="217" spans="1:79">
      <c r="A217">
        <v>216</v>
      </c>
      <c r="B217">
        <v>1</v>
      </c>
      <c r="C217" t="s">
        <v>1696</v>
      </c>
      <c r="D217" t="s">
        <v>1697</v>
      </c>
      <c r="E217" t="s">
        <v>2471</v>
      </c>
      <c r="F217" t="s">
        <v>2472</v>
      </c>
      <c r="G217" t="s">
        <v>2520</v>
      </c>
      <c r="H217" t="s">
        <v>2520</v>
      </c>
      <c r="J217" t="s">
        <v>2521</v>
      </c>
      <c r="K217" t="s">
        <v>2522</v>
      </c>
      <c r="M217" s="1" t="s">
        <v>2523</v>
      </c>
      <c r="O217" s="46">
        <f t="shared" si="18"/>
        <v>0</v>
      </c>
      <c r="P217" s="43" t="s">
        <v>1542</v>
      </c>
      <c r="Q217" s="43" t="s">
        <v>1542</v>
      </c>
      <c r="R217" s="43" t="s">
        <v>1542</v>
      </c>
      <c r="S217" s="43" t="s">
        <v>1542</v>
      </c>
      <c r="T217" s="43" t="s">
        <v>1542</v>
      </c>
      <c r="U217" s="43" t="s">
        <v>1542</v>
      </c>
      <c r="V217" s="43" t="s">
        <v>1542</v>
      </c>
      <c r="W217" s="43" t="s">
        <v>1542</v>
      </c>
      <c r="X217" s="43" t="s">
        <v>1542</v>
      </c>
      <c r="Y217" s="43" t="s">
        <v>1542</v>
      </c>
      <c r="Z217" s="43" t="s">
        <v>1542</v>
      </c>
      <c r="AA217" s="43" t="s">
        <v>1542</v>
      </c>
      <c r="AB217" s="46">
        <f t="shared" si="19"/>
        <v>0</v>
      </c>
      <c r="AC217" s="44" t="s">
        <v>1542</v>
      </c>
      <c r="AD217" s="44" t="s">
        <v>1542</v>
      </c>
      <c r="AE217" s="44" t="s">
        <v>1542</v>
      </c>
      <c r="AF217" s="44" t="s">
        <v>1542</v>
      </c>
      <c r="AG217" s="44" t="s">
        <v>1542</v>
      </c>
      <c r="AH217" s="44" t="s">
        <v>1542</v>
      </c>
      <c r="AI217" s="44" t="s">
        <v>1542</v>
      </c>
      <c r="AJ217" s="44" t="s">
        <v>1542</v>
      </c>
      <c r="AK217" s="44" t="s">
        <v>1542</v>
      </c>
      <c r="AL217" s="44" t="s">
        <v>1542</v>
      </c>
      <c r="AM217" s="44" t="s">
        <v>1542</v>
      </c>
      <c r="AN217" s="44" t="s">
        <v>1542</v>
      </c>
      <c r="AO217" s="46">
        <f t="shared" si="15"/>
        <v>0</v>
      </c>
      <c r="AP217" s="43" t="s">
        <v>1542</v>
      </c>
      <c r="AQ217" s="43" t="s">
        <v>1542</v>
      </c>
      <c r="AR217" s="43" t="s">
        <v>1542</v>
      </c>
      <c r="AS217" s="43" t="s">
        <v>1542</v>
      </c>
      <c r="AT217" s="43" t="s">
        <v>1542</v>
      </c>
      <c r="AU217" s="43" t="s">
        <v>1542</v>
      </c>
      <c r="AV217" s="43" t="s">
        <v>1542</v>
      </c>
      <c r="AW217" s="43" t="s">
        <v>1542</v>
      </c>
      <c r="AX217" s="43" t="s">
        <v>1542</v>
      </c>
      <c r="AY217" s="43" t="s">
        <v>1542</v>
      </c>
      <c r="AZ217" s="43" t="s">
        <v>1542</v>
      </c>
      <c r="BA217" s="43" t="s">
        <v>1542</v>
      </c>
      <c r="BB217" s="46">
        <f t="shared" si="16"/>
        <v>0</v>
      </c>
      <c r="BC217" s="44" t="s">
        <v>1542</v>
      </c>
      <c r="BD217" s="44" t="s">
        <v>1542</v>
      </c>
      <c r="BE217" s="44" t="s">
        <v>1542</v>
      </c>
      <c r="BF217" s="44" t="s">
        <v>1542</v>
      </c>
      <c r="BG217" s="44" t="s">
        <v>1542</v>
      </c>
      <c r="BH217" s="44" t="s">
        <v>1542</v>
      </c>
      <c r="BI217" s="44" t="s">
        <v>1542</v>
      </c>
      <c r="BJ217" s="44" t="s">
        <v>1542</v>
      </c>
      <c r="BK217" s="44" t="s">
        <v>1542</v>
      </c>
      <c r="BL217" s="44" t="s">
        <v>1542</v>
      </c>
      <c r="BM217" s="44" t="s">
        <v>1542</v>
      </c>
      <c r="BN217" s="44" t="s">
        <v>1542</v>
      </c>
      <c r="BO217" s="46">
        <f t="shared" si="17"/>
        <v>0</v>
      </c>
      <c r="BP217" s="43" t="s">
        <v>1542</v>
      </c>
      <c r="BQ217" s="43" t="s">
        <v>1542</v>
      </c>
      <c r="BR217" s="43" t="s">
        <v>1542</v>
      </c>
      <c r="BS217" s="43" t="s">
        <v>1542</v>
      </c>
      <c r="BT217" s="43" t="s">
        <v>1542</v>
      </c>
      <c r="BU217" s="43" t="s">
        <v>1542</v>
      </c>
      <c r="BV217" s="43" t="s">
        <v>1542</v>
      </c>
      <c r="BW217" s="43" t="s">
        <v>1542</v>
      </c>
      <c r="BX217" s="43" t="s">
        <v>1542</v>
      </c>
      <c r="BY217" s="43" t="s">
        <v>1542</v>
      </c>
      <c r="BZ217" s="43" t="s">
        <v>1542</v>
      </c>
      <c r="CA217" s="43" t="s">
        <v>1542</v>
      </c>
    </row>
    <row r="218" spans="1:79">
      <c r="A218">
        <v>217</v>
      </c>
      <c r="B218" t="s">
        <v>1543</v>
      </c>
      <c r="C218" t="s">
        <v>1696</v>
      </c>
      <c r="D218" t="s">
        <v>1697</v>
      </c>
      <c r="E218" t="s">
        <v>2471</v>
      </c>
      <c r="F218" t="s">
        <v>2472</v>
      </c>
      <c r="G218" t="s">
        <v>2524</v>
      </c>
      <c r="H218" t="s">
        <v>2524</v>
      </c>
      <c r="J218" t="s">
        <v>2525</v>
      </c>
      <c r="K218" t="s">
        <v>2526</v>
      </c>
      <c r="M218" s="1" t="s">
        <v>2527</v>
      </c>
      <c r="N218" t="s">
        <v>2528</v>
      </c>
      <c r="O218" s="46">
        <f t="shared" si="18"/>
        <v>0</v>
      </c>
      <c r="P218" s="43"/>
      <c r="Q218" s="43"/>
      <c r="R218" s="43"/>
      <c r="S218" s="43"/>
      <c r="T218" s="43"/>
      <c r="U218" s="43"/>
      <c r="V218" s="43"/>
      <c r="W218" s="43"/>
      <c r="X218" s="43"/>
      <c r="Y218" s="43"/>
      <c r="Z218" s="43"/>
      <c r="AA218" s="43"/>
      <c r="AB218" s="46">
        <f t="shared" si="19"/>
        <v>0</v>
      </c>
      <c r="AC218" s="44"/>
      <c r="AD218" s="44"/>
      <c r="AE218" s="44"/>
      <c r="AF218" s="44"/>
      <c r="AG218" s="44"/>
      <c r="AH218" s="44"/>
      <c r="AI218" s="44"/>
      <c r="AJ218" s="44"/>
      <c r="AK218" s="44"/>
      <c r="AL218" s="44"/>
      <c r="AM218" s="44"/>
      <c r="AN218" s="44"/>
      <c r="AO218" s="46">
        <f t="shared" si="15"/>
        <v>0</v>
      </c>
      <c r="AP218" s="43"/>
      <c r="AQ218" s="43"/>
      <c r="AR218" s="43"/>
      <c r="AS218" s="43"/>
      <c r="AT218" s="43"/>
      <c r="AU218" s="43"/>
      <c r="AV218" s="43"/>
      <c r="AW218" s="43"/>
      <c r="AX218" s="43"/>
      <c r="AY218" s="43"/>
      <c r="AZ218" s="43"/>
      <c r="BA218" s="43"/>
      <c r="BB218" s="46">
        <f t="shared" si="16"/>
        <v>0</v>
      </c>
      <c r="BC218" s="44"/>
      <c r="BD218" s="44"/>
      <c r="BE218" s="44"/>
      <c r="BF218" s="44"/>
      <c r="BG218" s="44"/>
      <c r="BH218" s="44"/>
      <c r="BI218" s="44"/>
      <c r="BJ218" s="44"/>
      <c r="BK218" s="44"/>
      <c r="BL218" s="44"/>
      <c r="BM218" s="44"/>
      <c r="BN218" s="44"/>
      <c r="BO218" s="46">
        <f t="shared" si="17"/>
        <v>0</v>
      </c>
      <c r="BP218" s="43"/>
      <c r="BQ218" s="43"/>
      <c r="BR218" s="43"/>
      <c r="BS218" s="43"/>
      <c r="BT218" s="43"/>
      <c r="BU218" s="43"/>
      <c r="BV218" s="43"/>
      <c r="BW218" s="43"/>
      <c r="BX218" s="43"/>
      <c r="BY218" s="43"/>
      <c r="BZ218" s="43"/>
      <c r="CA218" s="43"/>
    </row>
    <row r="219" spans="1:79">
      <c r="A219">
        <v>218</v>
      </c>
      <c r="B219">
        <v>1</v>
      </c>
      <c r="C219" t="s">
        <v>1696</v>
      </c>
      <c r="D219" t="s">
        <v>1697</v>
      </c>
      <c r="E219" t="s">
        <v>2471</v>
      </c>
      <c r="F219" t="s">
        <v>2472</v>
      </c>
      <c r="G219" t="s">
        <v>2529</v>
      </c>
      <c r="H219" t="s">
        <v>2529</v>
      </c>
      <c r="J219" t="s">
        <v>2530</v>
      </c>
      <c r="K219" t="s">
        <v>2531</v>
      </c>
      <c r="M219" s="1" t="s">
        <v>2532</v>
      </c>
      <c r="O219" s="46">
        <f t="shared" si="18"/>
        <v>0</v>
      </c>
      <c r="P219" s="43" t="s">
        <v>1542</v>
      </c>
      <c r="Q219" s="43" t="s">
        <v>1542</v>
      </c>
      <c r="R219" s="43" t="s">
        <v>1542</v>
      </c>
      <c r="S219" s="43" t="s">
        <v>1542</v>
      </c>
      <c r="T219" s="43" t="s">
        <v>1542</v>
      </c>
      <c r="U219" s="43" t="s">
        <v>1542</v>
      </c>
      <c r="V219" s="43" t="s">
        <v>1542</v>
      </c>
      <c r="W219" s="43" t="s">
        <v>1542</v>
      </c>
      <c r="X219" s="43" t="s">
        <v>1542</v>
      </c>
      <c r="Y219" s="43" t="s">
        <v>1542</v>
      </c>
      <c r="Z219" s="43" t="s">
        <v>1542</v>
      </c>
      <c r="AA219" s="43" t="s">
        <v>1542</v>
      </c>
      <c r="AB219" s="46">
        <f t="shared" si="19"/>
        <v>0</v>
      </c>
      <c r="AC219" s="44" t="s">
        <v>1542</v>
      </c>
      <c r="AD219" s="44" t="s">
        <v>1542</v>
      </c>
      <c r="AE219" s="44" t="s">
        <v>1542</v>
      </c>
      <c r="AF219" s="44" t="s">
        <v>1542</v>
      </c>
      <c r="AG219" s="44" t="s">
        <v>1542</v>
      </c>
      <c r="AH219" s="44" t="s">
        <v>1542</v>
      </c>
      <c r="AI219" s="44" t="s">
        <v>1542</v>
      </c>
      <c r="AJ219" s="44" t="s">
        <v>1542</v>
      </c>
      <c r="AK219" s="44" t="s">
        <v>1542</v>
      </c>
      <c r="AL219" s="44" t="s">
        <v>1542</v>
      </c>
      <c r="AM219" s="44" t="s">
        <v>1542</v>
      </c>
      <c r="AN219" s="44" t="s">
        <v>1542</v>
      </c>
      <c r="AO219" s="46">
        <f t="shared" si="15"/>
        <v>0</v>
      </c>
      <c r="AP219" s="43" t="s">
        <v>1542</v>
      </c>
      <c r="AQ219" s="43" t="s">
        <v>1542</v>
      </c>
      <c r="AR219" s="43" t="s">
        <v>1542</v>
      </c>
      <c r="AS219" s="43" t="s">
        <v>1542</v>
      </c>
      <c r="AT219" s="43" t="s">
        <v>1542</v>
      </c>
      <c r="AU219" s="43" t="s">
        <v>1542</v>
      </c>
      <c r="AV219" s="43" t="s">
        <v>1542</v>
      </c>
      <c r="AW219" s="43" t="s">
        <v>1542</v>
      </c>
      <c r="AX219" s="43" t="s">
        <v>1542</v>
      </c>
      <c r="AY219" s="43" t="s">
        <v>1542</v>
      </c>
      <c r="AZ219" s="43" t="s">
        <v>1542</v>
      </c>
      <c r="BA219" s="43" t="s">
        <v>1542</v>
      </c>
      <c r="BB219" s="46">
        <f t="shared" si="16"/>
        <v>0</v>
      </c>
      <c r="BC219" s="44" t="s">
        <v>1542</v>
      </c>
      <c r="BD219" s="44" t="s">
        <v>1542</v>
      </c>
      <c r="BE219" s="44" t="s">
        <v>1542</v>
      </c>
      <c r="BF219" s="44" t="s">
        <v>1542</v>
      </c>
      <c r="BG219" s="44" t="s">
        <v>1542</v>
      </c>
      <c r="BH219" s="44" t="s">
        <v>1542</v>
      </c>
      <c r="BI219" s="44" t="s">
        <v>1542</v>
      </c>
      <c r="BJ219" s="44" t="s">
        <v>1542</v>
      </c>
      <c r="BK219" s="44" t="s">
        <v>1542</v>
      </c>
      <c r="BL219" s="44" t="s">
        <v>1542</v>
      </c>
      <c r="BM219" s="44" t="s">
        <v>1542</v>
      </c>
      <c r="BN219" s="44" t="s">
        <v>1542</v>
      </c>
      <c r="BO219" s="46">
        <f t="shared" si="17"/>
        <v>0</v>
      </c>
      <c r="BP219" s="43" t="s">
        <v>1542</v>
      </c>
      <c r="BQ219" s="43" t="s">
        <v>1542</v>
      </c>
      <c r="BR219" s="43" t="s">
        <v>1542</v>
      </c>
      <c r="BS219" s="43" t="s">
        <v>1542</v>
      </c>
      <c r="BT219" s="43" t="s">
        <v>1542</v>
      </c>
      <c r="BU219" s="43" t="s">
        <v>1542</v>
      </c>
      <c r="BV219" s="43" t="s">
        <v>1542</v>
      </c>
      <c r="BW219" s="43" t="s">
        <v>1542</v>
      </c>
      <c r="BX219" s="43" t="s">
        <v>1542</v>
      </c>
      <c r="BY219" s="43" t="s">
        <v>1542</v>
      </c>
      <c r="BZ219" s="43" t="s">
        <v>1542</v>
      </c>
      <c r="CA219" s="43" t="s">
        <v>1542</v>
      </c>
    </row>
    <row r="220" spans="1:79">
      <c r="A220">
        <v>219</v>
      </c>
      <c r="B220" t="s">
        <v>1543</v>
      </c>
      <c r="C220" t="s">
        <v>1696</v>
      </c>
      <c r="D220" t="s">
        <v>1697</v>
      </c>
      <c r="E220" t="s">
        <v>2471</v>
      </c>
      <c r="F220" t="s">
        <v>2472</v>
      </c>
      <c r="G220" t="s">
        <v>2533</v>
      </c>
      <c r="H220" t="s">
        <v>2533</v>
      </c>
      <c r="J220" t="s">
        <v>2534</v>
      </c>
      <c r="K220" t="s">
        <v>2535</v>
      </c>
      <c r="M220" s="1" t="s">
        <v>2536</v>
      </c>
      <c r="N220" t="s">
        <v>2537</v>
      </c>
      <c r="O220" s="46">
        <f t="shared" si="18"/>
        <v>0</v>
      </c>
      <c r="P220" s="43"/>
      <c r="Q220" s="43"/>
      <c r="R220" s="43"/>
      <c r="S220" s="43"/>
      <c r="T220" s="43"/>
      <c r="U220" s="43"/>
      <c r="V220" s="43"/>
      <c r="W220" s="43"/>
      <c r="X220" s="43"/>
      <c r="Y220" s="43"/>
      <c r="Z220" s="43"/>
      <c r="AA220" s="43"/>
      <c r="AB220" s="46">
        <f t="shared" si="19"/>
        <v>0</v>
      </c>
      <c r="AC220" s="44"/>
      <c r="AD220" s="44"/>
      <c r="AE220" s="44"/>
      <c r="AF220" s="44"/>
      <c r="AG220" s="44"/>
      <c r="AH220" s="44"/>
      <c r="AI220" s="44"/>
      <c r="AJ220" s="44"/>
      <c r="AK220" s="44"/>
      <c r="AL220" s="44"/>
      <c r="AM220" s="44"/>
      <c r="AN220" s="44"/>
      <c r="AO220" s="46">
        <f t="shared" si="15"/>
        <v>0</v>
      </c>
      <c r="AP220" s="43"/>
      <c r="AQ220" s="43"/>
      <c r="AR220" s="43"/>
      <c r="AS220" s="43"/>
      <c r="AT220" s="43"/>
      <c r="AU220" s="43"/>
      <c r="AV220" s="43"/>
      <c r="AW220" s="43"/>
      <c r="AX220" s="43"/>
      <c r="AY220" s="43"/>
      <c r="AZ220" s="43"/>
      <c r="BA220" s="43"/>
      <c r="BB220" s="46">
        <f t="shared" si="16"/>
        <v>0</v>
      </c>
      <c r="BC220" s="44"/>
      <c r="BD220" s="44"/>
      <c r="BE220" s="44"/>
      <c r="BF220" s="44"/>
      <c r="BG220" s="44"/>
      <c r="BH220" s="44"/>
      <c r="BI220" s="44"/>
      <c r="BJ220" s="44"/>
      <c r="BK220" s="44"/>
      <c r="BL220" s="44"/>
      <c r="BM220" s="44"/>
      <c r="BN220" s="44"/>
      <c r="BO220" s="46">
        <f t="shared" si="17"/>
        <v>0</v>
      </c>
      <c r="BP220" s="43"/>
      <c r="BQ220" s="43"/>
      <c r="BR220" s="43"/>
      <c r="BS220" s="43"/>
      <c r="BT220" s="43"/>
      <c r="BU220" s="43"/>
      <c r="BV220" s="43"/>
      <c r="BW220" s="43"/>
      <c r="BX220" s="43"/>
      <c r="BY220" s="43"/>
      <c r="BZ220" s="43"/>
      <c r="CA220" s="43"/>
    </row>
    <row r="221" spans="1:79">
      <c r="A221">
        <v>220</v>
      </c>
      <c r="B221">
        <v>1</v>
      </c>
      <c r="C221" t="s">
        <v>1696</v>
      </c>
      <c r="D221" t="s">
        <v>1697</v>
      </c>
      <c r="E221" t="s">
        <v>2471</v>
      </c>
      <c r="F221" t="s">
        <v>2472</v>
      </c>
      <c r="G221" t="s">
        <v>2538</v>
      </c>
      <c r="H221" t="s">
        <v>2538</v>
      </c>
      <c r="J221" t="s">
        <v>2539</v>
      </c>
      <c r="K221" t="s">
        <v>2540</v>
      </c>
      <c r="M221" s="1" t="s">
        <v>2541</v>
      </c>
      <c r="O221" s="46">
        <f t="shared" si="18"/>
        <v>0</v>
      </c>
      <c r="P221" s="43" t="s">
        <v>1542</v>
      </c>
      <c r="Q221" s="43" t="s">
        <v>1542</v>
      </c>
      <c r="R221" s="43" t="s">
        <v>1542</v>
      </c>
      <c r="S221" s="43" t="s">
        <v>1542</v>
      </c>
      <c r="T221" s="43" t="s">
        <v>1542</v>
      </c>
      <c r="U221" s="43" t="s">
        <v>1542</v>
      </c>
      <c r="V221" s="43" t="s">
        <v>1542</v>
      </c>
      <c r="W221" s="43" t="s">
        <v>1542</v>
      </c>
      <c r="X221" s="43" t="s">
        <v>1542</v>
      </c>
      <c r="Y221" s="43" t="s">
        <v>1542</v>
      </c>
      <c r="Z221" s="43" t="s">
        <v>1542</v>
      </c>
      <c r="AA221" s="43" t="s">
        <v>1542</v>
      </c>
      <c r="AB221" s="46">
        <f t="shared" si="19"/>
        <v>0</v>
      </c>
      <c r="AC221" s="44" t="s">
        <v>1542</v>
      </c>
      <c r="AD221" s="44" t="s">
        <v>1542</v>
      </c>
      <c r="AE221" s="44" t="s">
        <v>1542</v>
      </c>
      <c r="AF221" s="44" t="s">
        <v>1542</v>
      </c>
      <c r="AG221" s="44" t="s">
        <v>1542</v>
      </c>
      <c r="AH221" s="44" t="s">
        <v>1542</v>
      </c>
      <c r="AI221" s="44" t="s">
        <v>1542</v>
      </c>
      <c r="AJ221" s="44" t="s">
        <v>1542</v>
      </c>
      <c r="AK221" s="44" t="s">
        <v>1542</v>
      </c>
      <c r="AL221" s="44" t="s">
        <v>1542</v>
      </c>
      <c r="AM221" s="44" t="s">
        <v>1542</v>
      </c>
      <c r="AN221" s="44" t="s">
        <v>1542</v>
      </c>
      <c r="AO221" s="46">
        <f t="shared" si="15"/>
        <v>0</v>
      </c>
      <c r="AP221" s="43" t="s">
        <v>1542</v>
      </c>
      <c r="AQ221" s="43" t="s">
        <v>1542</v>
      </c>
      <c r="AR221" s="43" t="s">
        <v>1542</v>
      </c>
      <c r="AS221" s="43" t="s">
        <v>1542</v>
      </c>
      <c r="AT221" s="43" t="s">
        <v>1542</v>
      </c>
      <c r="AU221" s="43" t="s">
        <v>1542</v>
      </c>
      <c r="AV221" s="43" t="s">
        <v>1542</v>
      </c>
      <c r="AW221" s="43" t="s">
        <v>1542</v>
      </c>
      <c r="AX221" s="43" t="s">
        <v>1542</v>
      </c>
      <c r="AY221" s="43" t="s">
        <v>1542</v>
      </c>
      <c r="AZ221" s="43" t="s">
        <v>1542</v>
      </c>
      <c r="BA221" s="43" t="s">
        <v>1542</v>
      </c>
      <c r="BB221" s="46">
        <f t="shared" si="16"/>
        <v>0</v>
      </c>
      <c r="BC221" s="44" t="s">
        <v>1542</v>
      </c>
      <c r="BD221" s="44" t="s">
        <v>1542</v>
      </c>
      <c r="BE221" s="44" t="s">
        <v>1542</v>
      </c>
      <c r="BF221" s="44" t="s">
        <v>1542</v>
      </c>
      <c r="BG221" s="44" t="s">
        <v>1542</v>
      </c>
      <c r="BH221" s="44" t="s">
        <v>1542</v>
      </c>
      <c r="BI221" s="44" t="s">
        <v>1542</v>
      </c>
      <c r="BJ221" s="44" t="s">
        <v>1542</v>
      </c>
      <c r="BK221" s="44" t="s">
        <v>1542</v>
      </c>
      <c r="BL221" s="44" t="s">
        <v>1542</v>
      </c>
      <c r="BM221" s="44" t="s">
        <v>1542</v>
      </c>
      <c r="BN221" s="44" t="s">
        <v>1542</v>
      </c>
      <c r="BO221" s="46">
        <f t="shared" si="17"/>
        <v>0</v>
      </c>
      <c r="BP221" s="43" t="s">
        <v>1542</v>
      </c>
      <c r="BQ221" s="43" t="s">
        <v>1542</v>
      </c>
      <c r="BR221" s="43" t="s">
        <v>1542</v>
      </c>
      <c r="BS221" s="43" t="s">
        <v>1542</v>
      </c>
      <c r="BT221" s="43" t="s">
        <v>1542</v>
      </c>
      <c r="BU221" s="43" t="s">
        <v>1542</v>
      </c>
      <c r="BV221" s="43" t="s">
        <v>1542</v>
      </c>
      <c r="BW221" s="43" t="s">
        <v>1542</v>
      </c>
      <c r="BX221" s="43" t="s">
        <v>1542</v>
      </c>
      <c r="BY221" s="43" t="s">
        <v>1542</v>
      </c>
      <c r="BZ221" s="43" t="s">
        <v>1542</v>
      </c>
      <c r="CA221" s="43" t="s">
        <v>1542</v>
      </c>
    </row>
    <row r="222" spans="1:79">
      <c r="A222">
        <v>221</v>
      </c>
      <c r="B222">
        <v>1</v>
      </c>
      <c r="C222" t="s">
        <v>1696</v>
      </c>
      <c r="D222" t="s">
        <v>1697</v>
      </c>
      <c r="E222" t="s">
        <v>2471</v>
      </c>
      <c r="F222" t="s">
        <v>2472</v>
      </c>
      <c r="G222" t="s">
        <v>2542</v>
      </c>
      <c r="H222" t="s">
        <v>2542</v>
      </c>
      <c r="J222" t="s">
        <v>2543</v>
      </c>
      <c r="K222" t="s">
        <v>2544</v>
      </c>
      <c r="M222" s="1" t="s">
        <v>2545</v>
      </c>
      <c r="N222" t="s">
        <v>2546</v>
      </c>
      <c r="O222" s="46">
        <f t="shared" si="18"/>
        <v>0</v>
      </c>
      <c r="P222" s="43" t="s">
        <v>1542</v>
      </c>
      <c r="Q222" s="43" t="s">
        <v>1542</v>
      </c>
      <c r="R222" s="43" t="s">
        <v>1542</v>
      </c>
      <c r="S222" s="43" t="s">
        <v>1542</v>
      </c>
      <c r="T222" s="43" t="s">
        <v>1542</v>
      </c>
      <c r="U222" s="43" t="s">
        <v>1542</v>
      </c>
      <c r="V222" s="43" t="s">
        <v>1542</v>
      </c>
      <c r="W222" s="43" t="s">
        <v>1542</v>
      </c>
      <c r="X222" s="43" t="s">
        <v>1542</v>
      </c>
      <c r="Y222" s="43" t="s">
        <v>1542</v>
      </c>
      <c r="Z222" s="43" t="s">
        <v>1542</v>
      </c>
      <c r="AA222" s="43" t="s">
        <v>1542</v>
      </c>
      <c r="AB222" s="46">
        <f t="shared" si="19"/>
        <v>0</v>
      </c>
      <c r="AC222" s="44" t="s">
        <v>1542</v>
      </c>
      <c r="AD222" s="44" t="s">
        <v>1542</v>
      </c>
      <c r="AE222" s="44" t="s">
        <v>1542</v>
      </c>
      <c r="AF222" s="44" t="s">
        <v>1542</v>
      </c>
      <c r="AG222" s="44" t="s">
        <v>1542</v>
      </c>
      <c r="AH222" s="44" t="s">
        <v>1542</v>
      </c>
      <c r="AI222" s="44" t="s">
        <v>1542</v>
      </c>
      <c r="AJ222" s="44" t="s">
        <v>1542</v>
      </c>
      <c r="AK222" s="44" t="s">
        <v>1542</v>
      </c>
      <c r="AL222" s="44" t="s">
        <v>1542</v>
      </c>
      <c r="AM222" s="44" t="s">
        <v>1542</v>
      </c>
      <c r="AN222" s="44" t="s">
        <v>1542</v>
      </c>
      <c r="AO222" s="46">
        <f t="shared" si="15"/>
        <v>0</v>
      </c>
      <c r="AP222" s="43" t="s">
        <v>1542</v>
      </c>
      <c r="AQ222" s="43" t="s">
        <v>1542</v>
      </c>
      <c r="AR222" s="43" t="s">
        <v>1542</v>
      </c>
      <c r="AS222" s="43" t="s">
        <v>1542</v>
      </c>
      <c r="AT222" s="43" t="s">
        <v>1542</v>
      </c>
      <c r="AU222" s="43" t="s">
        <v>1542</v>
      </c>
      <c r="AV222" s="43" t="s">
        <v>1542</v>
      </c>
      <c r="AW222" s="43" t="s">
        <v>1542</v>
      </c>
      <c r="AX222" s="43" t="s">
        <v>1542</v>
      </c>
      <c r="AY222" s="43" t="s">
        <v>1542</v>
      </c>
      <c r="AZ222" s="43" t="s">
        <v>1542</v>
      </c>
      <c r="BA222" s="43" t="s">
        <v>1542</v>
      </c>
      <c r="BB222" s="46">
        <f t="shared" si="16"/>
        <v>0</v>
      </c>
      <c r="BC222" s="44" t="s">
        <v>1542</v>
      </c>
      <c r="BD222" s="44" t="s">
        <v>1542</v>
      </c>
      <c r="BE222" s="44" t="s">
        <v>1542</v>
      </c>
      <c r="BF222" s="44" t="s">
        <v>1542</v>
      </c>
      <c r="BG222" s="44" t="s">
        <v>1542</v>
      </c>
      <c r="BH222" s="44" t="s">
        <v>1542</v>
      </c>
      <c r="BI222" s="44" t="s">
        <v>1542</v>
      </c>
      <c r="BJ222" s="44" t="s">
        <v>1542</v>
      </c>
      <c r="BK222" s="44" t="s">
        <v>1542</v>
      </c>
      <c r="BL222" s="44" t="s">
        <v>1542</v>
      </c>
      <c r="BM222" s="44" t="s">
        <v>1542</v>
      </c>
      <c r="BN222" s="44" t="s">
        <v>1542</v>
      </c>
      <c r="BO222" s="46">
        <f t="shared" si="17"/>
        <v>0</v>
      </c>
      <c r="BP222" s="43" t="s">
        <v>1542</v>
      </c>
      <c r="BQ222" s="43" t="s">
        <v>1542</v>
      </c>
      <c r="BR222" s="43" t="s">
        <v>1542</v>
      </c>
      <c r="BS222" s="43" t="s">
        <v>1542</v>
      </c>
      <c r="BT222" s="43" t="s">
        <v>1542</v>
      </c>
      <c r="BU222" s="43" t="s">
        <v>1542</v>
      </c>
      <c r="BV222" s="43" t="s">
        <v>1542</v>
      </c>
      <c r="BW222" s="43" t="s">
        <v>1542</v>
      </c>
      <c r="BX222" s="43" t="s">
        <v>1542</v>
      </c>
      <c r="BY222" s="43" t="s">
        <v>1542</v>
      </c>
      <c r="BZ222" s="43" t="s">
        <v>1542</v>
      </c>
      <c r="CA222" s="43" t="s">
        <v>1542</v>
      </c>
    </row>
    <row r="223" spans="1:79">
      <c r="A223">
        <v>222</v>
      </c>
      <c r="B223">
        <v>1</v>
      </c>
      <c r="C223" t="s">
        <v>1696</v>
      </c>
      <c r="D223" t="s">
        <v>1697</v>
      </c>
      <c r="E223" t="s">
        <v>2471</v>
      </c>
      <c r="F223" t="s">
        <v>2472</v>
      </c>
      <c r="G223" t="s">
        <v>2547</v>
      </c>
      <c r="H223" t="s">
        <v>2547</v>
      </c>
      <c r="J223" t="s">
        <v>2548</v>
      </c>
      <c r="K223" t="s">
        <v>2549</v>
      </c>
      <c r="M223" s="1" t="s">
        <v>2550</v>
      </c>
      <c r="O223" s="46">
        <f t="shared" si="18"/>
        <v>0</v>
      </c>
      <c r="P223" s="43" t="s">
        <v>1542</v>
      </c>
      <c r="Q223" s="43" t="s">
        <v>1542</v>
      </c>
      <c r="R223" s="43" t="s">
        <v>1542</v>
      </c>
      <c r="S223" s="43" t="s">
        <v>1542</v>
      </c>
      <c r="T223" s="43" t="s">
        <v>1542</v>
      </c>
      <c r="U223" s="43" t="s">
        <v>1542</v>
      </c>
      <c r="V223" s="43" t="s">
        <v>1542</v>
      </c>
      <c r="W223" s="43" t="s">
        <v>1542</v>
      </c>
      <c r="X223" s="43" t="s">
        <v>1542</v>
      </c>
      <c r="Y223" s="43" t="s">
        <v>1542</v>
      </c>
      <c r="Z223" s="43" t="s">
        <v>1542</v>
      </c>
      <c r="AA223" s="43" t="s">
        <v>1542</v>
      </c>
      <c r="AB223" s="46">
        <f t="shared" si="19"/>
        <v>0</v>
      </c>
      <c r="AC223" s="44" t="s">
        <v>1542</v>
      </c>
      <c r="AD223" s="44" t="s">
        <v>1542</v>
      </c>
      <c r="AE223" s="44" t="s">
        <v>1542</v>
      </c>
      <c r="AF223" s="44" t="s">
        <v>1542</v>
      </c>
      <c r="AG223" s="44" t="s">
        <v>1542</v>
      </c>
      <c r="AH223" s="44" t="s">
        <v>1542</v>
      </c>
      <c r="AI223" s="44" t="s">
        <v>1542</v>
      </c>
      <c r="AJ223" s="44" t="s">
        <v>1542</v>
      </c>
      <c r="AK223" s="44" t="s">
        <v>1542</v>
      </c>
      <c r="AL223" s="44" t="s">
        <v>1542</v>
      </c>
      <c r="AM223" s="44" t="s">
        <v>1542</v>
      </c>
      <c r="AN223" s="44" t="s">
        <v>1542</v>
      </c>
      <c r="AO223" s="46">
        <f t="shared" si="15"/>
        <v>0</v>
      </c>
      <c r="AP223" s="43" t="s">
        <v>1542</v>
      </c>
      <c r="AQ223" s="43" t="s">
        <v>1542</v>
      </c>
      <c r="AR223" s="43" t="s">
        <v>1542</v>
      </c>
      <c r="AS223" s="43" t="s">
        <v>1542</v>
      </c>
      <c r="AT223" s="43" t="s">
        <v>1542</v>
      </c>
      <c r="AU223" s="43" t="s">
        <v>1542</v>
      </c>
      <c r="AV223" s="43" t="s">
        <v>1542</v>
      </c>
      <c r="AW223" s="43" t="s">
        <v>1542</v>
      </c>
      <c r="AX223" s="43" t="s">
        <v>1542</v>
      </c>
      <c r="AY223" s="43" t="s">
        <v>1542</v>
      </c>
      <c r="AZ223" s="43" t="s">
        <v>1542</v>
      </c>
      <c r="BA223" s="43" t="s">
        <v>1542</v>
      </c>
      <c r="BB223" s="46">
        <f t="shared" si="16"/>
        <v>0</v>
      </c>
      <c r="BC223" s="44" t="s">
        <v>1542</v>
      </c>
      <c r="BD223" s="44" t="s">
        <v>1542</v>
      </c>
      <c r="BE223" s="44" t="s">
        <v>1542</v>
      </c>
      <c r="BF223" s="44" t="s">
        <v>1542</v>
      </c>
      <c r="BG223" s="44" t="s">
        <v>1542</v>
      </c>
      <c r="BH223" s="44" t="s">
        <v>1542</v>
      </c>
      <c r="BI223" s="44" t="s">
        <v>1542</v>
      </c>
      <c r="BJ223" s="44" t="s">
        <v>1542</v>
      </c>
      <c r="BK223" s="44" t="s">
        <v>1542</v>
      </c>
      <c r="BL223" s="44" t="s">
        <v>1542</v>
      </c>
      <c r="BM223" s="44" t="s">
        <v>1542</v>
      </c>
      <c r="BN223" s="44" t="s">
        <v>1542</v>
      </c>
      <c r="BO223" s="46">
        <f t="shared" si="17"/>
        <v>0</v>
      </c>
      <c r="BP223" s="43" t="s">
        <v>1542</v>
      </c>
      <c r="BQ223" s="43" t="s">
        <v>1542</v>
      </c>
      <c r="BR223" s="43" t="s">
        <v>1542</v>
      </c>
      <c r="BS223" s="43" t="s">
        <v>1542</v>
      </c>
      <c r="BT223" s="43" t="s">
        <v>1542</v>
      </c>
      <c r="BU223" s="43" t="s">
        <v>1542</v>
      </c>
      <c r="BV223" s="43" t="s">
        <v>1542</v>
      </c>
      <c r="BW223" s="43" t="s">
        <v>1542</v>
      </c>
      <c r="BX223" s="43" t="s">
        <v>1542</v>
      </c>
      <c r="BY223" s="43" t="s">
        <v>1542</v>
      </c>
      <c r="BZ223" s="43" t="s">
        <v>1542</v>
      </c>
      <c r="CA223" s="43" t="s">
        <v>1542</v>
      </c>
    </row>
    <row r="224" spans="1:79">
      <c r="A224">
        <v>223</v>
      </c>
      <c r="B224" t="s">
        <v>1543</v>
      </c>
      <c r="C224" t="s">
        <v>1696</v>
      </c>
      <c r="D224" t="s">
        <v>1697</v>
      </c>
      <c r="E224" t="s">
        <v>2471</v>
      </c>
      <c r="F224" t="s">
        <v>2472</v>
      </c>
      <c r="G224" t="s">
        <v>2551</v>
      </c>
      <c r="H224" t="s">
        <v>2551</v>
      </c>
      <c r="J224" t="s">
        <v>2552</v>
      </c>
      <c r="K224" t="s">
        <v>2553</v>
      </c>
      <c r="M224" s="1" t="s">
        <v>2554</v>
      </c>
      <c r="N224" t="s">
        <v>2555</v>
      </c>
      <c r="O224" s="46">
        <f t="shared" si="18"/>
        <v>0</v>
      </c>
      <c r="P224" s="43"/>
      <c r="Q224" s="43"/>
      <c r="R224" s="43"/>
      <c r="S224" s="43"/>
      <c r="T224" s="43"/>
      <c r="U224" s="43"/>
      <c r="V224" s="43"/>
      <c r="W224" s="43"/>
      <c r="X224" s="43"/>
      <c r="Y224" s="43"/>
      <c r="Z224" s="43"/>
      <c r="AA224" s="43"/>
      <c r="AB224" s="46">
        <f t="shared" si="19"/>
        <v>0</v>
      </c>
      <c r="AC224" s="44"/>
      <c r="AD224" s="44"/>
      <c r="AE224" s="44"/>
      <c r="AF224" s="44"/>
      <c r="AG224" s="44"/>
      <c r="AH224" s="44"/>
      <c r="AI224" s="44"/>
      <c r="AJ224" s="44"/>
      <c r="AK224" s="44"/>
      <c r="AL224" s="44"/>
      <c r="AM224" s="44"/>
      <c r="AN224" s="44"/>
      <c r="AO224" s="46">
        <f t="shared" si="15"/>
        <v>0</v>
      </c>
      <c r="AP224" s="43"/>
      <c r="AQ224" s="43"/>
      <c r="AR224" s="43"/>
      <c r="AS224" s="43"/>
      <c r="AT224" s="43"/>
      <c r="AU224" s="43"/>
      <c r="AV224" s="43"/>
      <c r="AW224" s="43"/>
      <c r="AX224" s="43"/>
      <c r="AY224" s="43"/>
      <c r="AZ224" s="43"/>
      <c r="BA224" s="43"/>
      <c r="BB224" s="46">
        <f t="shared" si="16"/>
        <v>0</v>
      </c>
      <c r="BC224" s="44"/>
      <c r="BD224" s="44"/>
      <c r="BE224" s="44"/>
      <c r="BF224" s="44"/>
      <c r="BG224" s="44"/>
      <c r="BH224" s="44"/>
      <c r="BI224" s="44"/>
      <c r="BJ224" s="44"/>
      <c r="BK224" s="44"/>
      <c r="BL224" s="44"/>
      <c r="BM224" s="44"/>
      <c r="BN224" s="44"/>
      <c r="BO224" s="46">
        <f t="shared" si="17"/>
        <v>0</v>
      </c>
      <c r="BP224" s="43"/>
      <c r="BQ224" s="43"/>
      <c r="BR224" s="43"/>
      <c r="BS224" s="43"/>
      <c r="BT224" s="43"/>
      <c r="BU224" s="43"/>
      <c r="BV224" s="43"/>
      <c r="BW224" s="43"/>
      <c r="BX224" s="43"/>
      <c r="BY224" s="43"/>
      <c r="BZ224" s="43"/>
      <c r="CA224" s="43"/>
    </row>
    <row r="225" spans="1:79">
      <c r="A225">
        <v>224</v>
      </c>
      <c r="B225">
        <v>1</v>
      </c>
      <c r="C225" t="s">
        <v>1696</v>
      </c>
      <c r="D225" t="s">
        <v>1697</v>
      </c>
      <c r="E225" t="s">
        <v>2556</v>
      </c>
      <c r="F225" t="s">
        <v>2557</v>
      </c>
      <c r="G225" t="s">
        <v>2558</v>
      </c>
      <c r="H225" t="s">
        <v>2558</v>
      </c>
      <c r="I225" t="s">
        <v>2559</v>
      </c>
      <c r="J225" t="s">
        <v>2560</v>
      </c>
      <c r="K225" t="s">
        <v>2561</v>
      </c>
      <c r="M225" s="1" t="s">
        <v>2562</v>
      </c>
      <c r="O225" s="46">
        <f t="shared" si="18"/>
        <v>0</v>
      </c>
      <c r="P225" s="43" t="s">
        <v>1542</v>
      </c>
      <c r="Q225" s="43" t="s">
        <v>1542</v>
      </c>
      <c r="R225" s="43" t="s">
        <v>1542</v>
      </c>
      <c r="S225" s="43" t="s">
        <v>1542</v>
      </c>
      <c r="T225" s="43" t="s">
        <v>1542</v>
      </c>
      <c r="U225" s="43" t="s">
        <v>1542</v>
      </c>
      <c r="V225" s="43" t="s">
        <v>1542</v>
      </c>
      <c r="W225" s="43" t="s">
        <v>1542</v>
      </c>
      <c r="X225" s="43" t="s">
        <v>1542</v>
      </c>
      <c r="Y225" s="43" t="s">
        <v>1542</v>
      </c>
      <c r="Z225" s="43" t="s">
        <v>1542</v>
      </c>
      <c r="AA225" s="43" t="s">
        <v>1542</v>
      </c>
      <c r="AB225" s="46">
        <f t="shared" si="19"/>
        <v>0</v>
      </c>
      <c r="AC225" s="44" t="s">
        <v>1542</v>
      </c>
      <c r="AD225" s="44" t="s">
        <v>1542</v>
      </c>
      <c r="AE225" s="44" t="s">
        <v>1542</v>
      </c>
      <c r="AF225" s="44" t="s">
        <v>1542</v>
      </c>
      <c r="AG225" s="44" t="s">
        <v>1542</v>
      </c>
      <c r="AH225" s="44" t="s">
        <v>1542</v>
      </c>
      <c r="AI225" s="44" t="s">
        <v>1542</v>
      </c>
      <c r="AJ225" s="44" t="s">
        <v>1542</v>
      </c>
      <c r="AK225" s="44" t="s">
        <v>1542</v>
      </c>
      <c r="AL225" s="44" t="s">
        <v>1542</v>
      </c>
      <c r="AM225" s="44" t="s">
        <v>1542</v>
      </c>
      <c r="AN225" s="44" t="s">
        <v>1542</v>
      </c>
      <c r="AO225" s="46">
        <f t="shared" si="15"/>
        <v>0</v>
      </c>
      <c r="AP225" s="43" t="s">
        <v>1542</v>
      </c>
      <c r="AQ225" s="43" t="s">
        <v>1542</v>
      </c>
      <c r="AR225" s="43" t="s">
        <v>1542</v>
      </c>
      <c r="AS225" s="43" t="s">
        <v>1542</v>
      </c>
      <c r="AT225" s="43" t="s">
        <v>1542</v>
      </c>
      <c r="AU225" s="43" t="s">
        <v>1542</v>
      </c>
      <c r="AV225" s="43" t="s">
        <v>1542</v>
      </c>
      <c r="AW225" s="43" t="s">
        <v>1542</v>
      </c>
      <c r="AX225" s="43" t="s">
        <v>1542</v>
      </c>
      <c r="AY225" s="43" t="s">
        <v>1542</v>
      </c>
      <c r="AZ225" s="43" t="s">
        <v>1542</v>
      </c>
      <c r="BA225" s="43" t="s">
        <v>1542</v>
      </c>
      <c r="BB225" s="46">
        <f t="shared" si="16"/>
        <v>0</v>
      </c>
      <c r="BC225" s="44" t="s">
        <v>1542</v>
      </c>
      <c r="BD225" s="44" t="s">
        <v>1542</v>
      </c>
      <c r="BE225" s="44" t="s">
        <v>1542</v>
      </c>
      <c r="BF225" s="44" t="s">
        <v>1542</v>
      </c>
      <c r="BG225" s="44" t="s">
        <v>1542</v>
      </c>
      <c r="BH225" s="44" t="s">
        <v>1542</v>
      </c>
      <c r="BI225" s="44" t="s">
        <v>1542</v>
      </c>
      <c r="BJ225" s="44" t="s">
        <v>1542</v>
      </c>
      <c r="BK225" s="44" t="s">
        <v>1542</v>
      </c>
      <c r="BL225" s="44" t="s">
        <v>1542</v>
      </c>
      <c r="BM225" s="44" t="s">
        <v>1542</v>
      </c>
      <c r="BN225" s="44" t="s">
        <v>1542</v>
      </c>
      <c r="BO225" s="46">
        <f t="shared" si="17"/>
        <v>0</v>
      </c>
      <c r="BP225" s="43" t="s">
        <v>1542</v>
      </c>
      <c r="BQ225" s="43" t="s">
        <v>1542</v>
      </c>
      <c r="BR225" s="43" t="s">
        <v>1542</v>
      </c>
      <c r="BS225" s="43" t="s">
        <v>1542</v>
      </c>
      <c r="BT225" s="43" t="s">
        <v>1542</v>
      </c>
      <c r="BU225" s="43" t="s">
        <v>1542</v>
      </c>
      <c r="BV225" s="43" t="s">
        <v>1542</v>
      </c>
      <c r="BW225" s="43" t="s">
        <v>1542</v>
      </c>
      <c r="BX225" s="43" t="s">
        <v>1542</v>
      </c>
      <c r="BY225" s="43" t="s">
        <v>1542</v>
      </c>
      <c r="BZ225" s="43" t="s">
        <v>1542</v>
      </c>
      <c r="CA225" s="43" t="s">
        <v>1542</v>
      </c>
    </row>
    <row r="226" spans="1:79">
      <c r="A226">
        <v>225</v>
      </c>
      <c r="B226" t="s">
        <v>1543</v>
      </c>
      <c r="C226" t="s">
        <v>1696</v>
      </c>
      <c r="D226" t="s">
        <v>1697</v>
      </c>
      <c r="E226" t="s">
        <v>2556</v>
      </c>
      <c r="F226" t="s">
        <v>2557</v>
      </c>
      <c r="G226" t="s">
        <v>2563</v>
      </c>
      <c r="H226" t="s">
        <v>2563</v>
      </c>
      <c r="J226" t="s">
        <v>2564</v>
      </c>
      <c r="K226" t="s">
        <v>2565</v>
      </c>
      <c r="M226" s="1" t="s">
        <v>2566</v>
      </c>
      <c r="N226" t="s">
        <v>2567</v>
      </c>
      <c r="O226" s="46">
        <f t="shared" si="18"/>
        <v>0</v>
      </c>
      <c r="P226" s="43"/>
      <c r="Q226" s="43"/>
      <c r="R226" s="43"/>
      <c r="S226" s="43"/>
      <c r="T226" s="43"/>
      <c r="U226" s="43"/>
      <c r="V226" s="43"/>
      <c r="W226" s="43"/>
      <c r="X226" s="43"/>
      <c r="Y226" s="43"/>
      <c r="Z226" s="43"/>
      <c r="AA226" s="43"/>
      <c r="AB226" s="46">
        <f t="shared" si="19"/>
        <v>0</v>
      </c>
      <c r="AC226" s="44"/>
      <c r="AD226" s="44"/>
      <c r="AE226" s="44"/>
      <c r="AF226" s="44"/>
      <c r="AG226" s="44"/>
      <c r="AH226" s="44"/>
      <c r="AI226" s="44"/>
      <c r="AJ226" s="44"/>
      <c r="AK226" s="44"/>
      <c r="AL226" s="44"/>
      <c r="AM226" s="44"/>
      <c r="AN226" s="44"/>
      <c r="AO226" s="46">
        <f t="shared" si="15"/>
        <v>0</v>
      </c>
      <c r="AP226" s="43"/>
      <c r="AQ226" s="43"/>
      <c r="AR226" s="43"/>
      <c r="AS226" s="43"/>
      <c r="AT226" s="43"/>
      <c r="AU226" s="43"/>
      <c r="AV226" s="43"/>
      <c r="AW226" s="43"/>
      <c r="AX226" s="43"/>
      <c r="AY226" s="43"/>
      <c r="AZ226" s="43"/>
      <c r="BA226" s="43"/>
      <c r="BB226" s="46">
        <f t="shared" si="16"/>
        <v>0</v>
      </c>
      <c r="BC226" s="44"/>
      <c r="BD226" s="44"/>
      <c r="BE226" s="44"/>
      <c r="BF226" s="44"/>
      <c r="BG226" s="44"/>
      <c r="BH226" s="44"/>
      <c r="BI226" s="44"/>
      <c r="BJ226" s="44"/>
      <c r="BK226" s="44"/>
      <c r="BL226" s="44"/>
      <c r="BM226" s="44"/>
      <c r="BN226" s="44"/>
      <c r="BO226" s="46">
        <f t="shared" si="17"/>
        <v>0</v>
      </c>
      <c r="BP226" s="43"/>
      <c r="BQ226" s="43"/>
      <c r="BR226" s="43"/>
      <c r="BS226" s="43"/>
      <c r="BT226" s="43"/>
      <c r="BU226" s="43"/>
      <c r="BV226" s="43"/>
      <c r="BW226" s="43"/>
      <c r="BX226" s="43"/>
      <c r="BY226" s="43"/>
      <c r="BZ226" s="43"/>
      <c r="CA226" s="43"/>
    </row>
    <row r="227" spans="1:79">
      <c r="A227">
        <v>226</v>
      </c>
      <c r="B227">
        <v>1</v>
      </c>
      <c r="C227" t="s">
        <v>1696</v>
      </c>
      <c r="D227" t="s">
        <v>1697</v>
      </c>
      <c r="E227" t="s">
        <v>2556</v>
      </c>
      <c r="F227" t="s">
        <v>2557</v>
      </c>
      <c r="G227" t="s">
        <v>2568</v>
      </c>
      <c r="H227" t="s">
        <v>2568</v>
      </c>
      <c r="J227" t="s">
        <v>2569</v>
      </c>
      <c r="K227" t="s">
        <v>2570</v>
      </c>
      <c r="M227" s="1" t="s">
        <v>2571</v>
      </c>
      <c r="N227" t="s">
        <v>2572</v>
      </c>
      <c r="O227" s="46">
        <f t="shared" si="18"/>
        <v>0</v>
      </c>
      <c r="P227" s="43" t="s">
        <v>1542</v>
      </c>
      <c r="Q227" s="43" t="s">
        <v>1542</v>
      </c>
      <c r="R227" s="43" t="s">
        <v>1542</v>
      </c>
      <c r="S227" s="43" t="s">
        <v>1542</v>
      </c>
      <c r="T227" s="43" t="s">
        <v>1542</v>
      </c>
      <c r="U227" s="43" t="s">
        <v>1542</v>
      </c>
      <c r="V227" s="43" t="s">
        <v>1542</v>
      </c>
      <c r="W227" s="43" t="s">
        <v>1542</v>
      </c>
      <c r="X227" s="43" t="s">
        <v>1542</v>
      </c>
      <c r="Y227" s="43" t="s">
        <v>1542</v>
      </c>
      <c r="Z227" s="43" t="s">
        <v>1542</v>
      </c>
      <c r="AA227" s="43" t="s">
        <v>1542</v>
      </c>
      <c r="AB227" s="46">
        <f t="shared" si="19"/>
        <v>0</v>
      </c>
      <c r="AC227" s="44" t="s">
        <v>1542</v>
      </c>
      <c r="AD227" s="44" t="s">
        <v>1542</v>
      </c>
      <c r="AE227" s="44" t="s">
        <v>1542</v>
      </c>
      <c r="AF227" s="44" t="s">
        <v>1542</v>
      </c>
      <c r="AG227" s="44" t="s">
        <v>1542</v>
      </c>
      <c r="AH227" s="44" t="s">
        <v>1542</v>
      </c>
      <c r="AI227" s="44" t="s">
        <v>1542</v>
      </c>
      <c r="AJ227" s="44" t="s">
        <v>1542</v>
      </c>
      <c r="AK227" s="44" t="s">
        <v>1542</v>
      </c>
      <c r="AL227" s="44" t="s">
        <v>1542</v>
      </c>
      <c r="AM227" s="44" t="s">
        <v>1542</v>
      </c>
      <c r="AN227" s="44" t="s">
        <v>1542</v>
      </c>
      <c r="AO227" s="46">
        <f t="shared" si="15"/>
        <v>0</v>
      </c>
      <c r="AP227" s="43" t="s">
        <v>1542</v>
      </c>
      <c r="AQ227" s="43" t="s">
        <v>1542</v>
      </c>
      <c r="AR227" s="43" t="s">
        <v>1542</v>
      </c>
      <c r="AS227" s="43" t="s">
        <v>1542</v>
      </c>
      <c r="AT227" s="43" t="s">
        <v>1542</v>
      </c>
      <c r="AU227" s="43" t="s">
        <v>1542</v>
      </c>
      <c r="AV227" s="43" t="s">
        <v>1542</v>
      </c>
      <c r="AW227" s="43" t="s">
        <v>1542</v>
      </c>
      <c r="AX227" s="43" t="s">
        <v>1542</v>
      </c>
      <c r="AY227" s="43" t="s">
        <v>1542</v>
      </c>
      <c r="AZ227" s="43" t="s">
        <v>1542</v>
      </c>
      <c r="BA227" s="43" t="s">
        <v>1542</v>
      </c>
      <c r="BB227" s="46">
        <f t="shared" si="16"/>
        <v>0</v>
      </c>
      <c r="BC227" s="44" t="s">
        <v>1542</v>
      </c>
      <c r="BD227" s="44" t="s">
        <v>1542</v>
      </c>
      <c r="BE227" s="44" t="s">
        <v>1542</v>
      </c>
      <c r="BF227" s="44" t="s">
        <v>1542</v>
      </c>
      <c r="BG227" s="44" t="s">
        <v>1542</v>
      </c>
      <c r="BH227" s="44" t="s">
        <v>1542</v>
      </c>
      <c r="BI227" s="44" t="s">
        <v>1542</v>
      </c>
      <c r="BJ227" s="44" t="s">
        <v>1542</v>
      </c>
      <c r="BK227" s="44" t="s">
        <v>1542</v>
      </c>
      <c r="BL227" s="44" t="s">
        <v>1542</v>
      </c>
      <c r="BM227" s="44" t="s">
        <v>1542</v>
      </c>
      <c r="BN227" s="44" t="s">
        <v>1542</v>
      </c>
      <c r="BO227" s="46">
        <f t="shared" si="17"/>
        <v>0</v>
      </c>
      <c r="BP227" s="43" t="s">
        <v>1542</v>
      </c>
      <c r="BQ227" s="43" t="s">
        <v>1542</v>
      </c>
      <c r="BR227" s="43" t="s">
        <v>1542</v>
      </c>
      <c r="BS227" s="43" t="s">
        <v>1542</v>
      </c>
      <c r="BT227" s="43" t="s">
        <v>1542</v>
      </c>
      <c r="BU227" s="43" t="s">
        <v>1542</v>
      </c>
      <c r="BV227" s="43" t="s">
        <v>1542</v>
      </c>
      <c r="BW227" s="43" t="s">
        <v>1542</v>
      </c>
      <c r="BX227" s="43" t="s">
        <v>1542</v>
      </c>
      <c r="BY227" s="43" t="s">
        <v>1542</v>
      </c>
      <c r="BZ227" s="43" t="s">
        <v>1542</v>
      </c>
      <c r="CA227" s="43" t="s">
        <v>1542</v>
      </c>
    </row>
    <row r="228" spans="1:79">
      <c r="A228">
        <v>227</v>
      </c>
      <c r="B228">
        <v>1</v>
      </c>
      <c r="C228" t="s">
        <v>1696</v>
      </c>
      <c r="D228" t="s">
        <v>1697</v>
      </c>
      <c r="E228" t="s">
        <v>2556</v>
      </c>
      <c r="F228" t="s">
        <v>2557</v>
      </c>
      <c r="G228" t="s">
        <v>2573</v>
      </c>
      <c r="H228" t="s">
        <v>2573</v>
      </c>
      <c r="J228" t="s">
        <v>2574</v>
      </c>
      <c r="K228" t="s">
        <v>2575</v>
      </c>
      <c r="M228" s="1" t="s">
        <v>2576</v>
      </c>
      <c r="N228" t="s">
        <v>2577</v>
      </c>
      <c r="O228" s="46">
        <f t="shared" si="18"/>
        <v>0</v>
      </c>
      <c r="P228" s="43" t="s">
        <v>1542</v>
      </c>
      <c r="Q228" s="43" t="s">
        <v>1542</v>
      </c>
      <c r="R228" s="43" t="s">
        <v>1542</v>
      </c>
      <c r="S228" s="43" t="s">
        <v>1542</v>
      </c>
      <c r="T228" s="43" t="s">
        <v>1542</v>
      </c>
      <c r="U228" s="43" t="s">
        <v>1542</v>
      </c>
      <c r="V228" s="43" t="s">
        <v>1542</v>
      </c>
      <c r="W228" s="43" t="s">
        <v>1542</v>
      </c>
      <c r="X228" s="43" t="s">
        <v>1542</v>
      </c>
      <c r="Y228" s="43" t="s">
        <v>1542</v>
      </c>
      <c r="Z228" s="43" t="s">
        <v>1542</v>
      </c>
      <c r="AA228" s="43" t="s">
        <v>1542</v>
      </c>
      <c r="AB228" s="46">
        <f t="shared" si="19"/>
        <v>1</v>
      </c>
      <c r="AC228" s="44" t="s">
        <v>1542</v>
      </c>
      <c r="AD228" s="44" t="s">
        <v>1542</v>
      </c>
      <c r="AE228" s="44" t="s">
        <v>1554</v>
      </c>
      <c r="AF228" s="44" t="s">
        <v>1542</v>
      </c>
      <c r="AG228" s="44" t="s">
        <v>1542</v>
      </c>
      <c r="AH228" s="44" t="s">
        <v>1542</v>
      </c>
      <c r="AI228" s="44" t="s">
        <v>1542</v>
      </c>
      <c r="AJ228" s="44" t="s">
        <v>1542</v>
      </c>
      <c r="AK228" s="44" t="s">
        <v>1542</v>
      </c>
      <c r="AL228" s="44" t="s">
        <v>1542</v>
      </c>
      <c r="AM228" s="44" t="s">
        <v>1542</v>
      </c>
      <c r="AN228" s="44" t="s">
        <v>1542</v>
      </c>
      <c r="AO228" s="46">
        <f t="shared" si="15"/>
        <v>1</v>
      </c>
      <c r="AP228" s="43" t="s">
        <v>1542</v>
      </c>
      <c r="AQ228" s="43" t="s">
        <v>1542</v>
      </c>
      <c r="AR228" s="43" t="s">
        <v>1542</v>
      </c>
      <c r="AS228" s="43" t="s">
        <v>1542</v>
      </c>
      <c r="AT228" s="43" t="s">
        <v>1542</v>
      </c>
      <c r="AU228" s="43" t="s">
        <v>1542</v>
      </c>
      <c r="AV228" s="43" t="s">
        <v>1542</v>
      </c>
      <c r="AW228" s="43" t="s">
        <v>1542</v>
      </c>
      <c r="AX228" s="43" t="s">
        <v>1542</v>
      </c>
      <c r="AY228" s="43" t="s">
        <v>1542</v>
      </c>
      <c r="AZ228" s="43" t="s">
        <v>1542</v>
      </c>
      <c r="BA228" s="43" t="s">
        <v>1542</v>
      </c>
      <c r="BB228" s="46">
        <f t="shared" si="16"/>
        <v>0</v>
      </c>
      <c r="BC228" s="44" t="s">
        <v>1542</v>
      </c>
      <c r="BD228" s="44" t="s">
        <v>1542</v>
      </c>
      <c r="BE228" s="44" t="s">
        <v>1542</v>
      </c>
      <c r="BF228" s="44" t="s">
        <v>1542</v>
      </c>
      <c r="BG228" s="44" t="s">
        <v>1542</v>
      </c>
      <c r="BH228" s="44" t="s">
        <v>1542</v>
      </c>
      <c r="BI228" s="44" t="s">
        <v>1542</v>
      </c>
      <c r="BJ228" s="44" t="s">
        <v>1542</v>
      </c>
      <c r="BK228" s="44" t="s">
        <v>1542</v>
      </c>
      <c r="BL228" s="44" t="s">
        <v>1542</v>
      </c>
      <c r="BM228" s="44" t="s">
        <v>1542</v>
      </c>
      <c r="BN228" s="44" t="s">
        <v>1542</v>
      </c>
      <c r="BO228" s="46">
        <f t="shared" si="17"/>
        <v>0</v>
      </c>
      <c r="BP228" s="43" t="s">
        <v>1542</v>
      </c>
      <c r="BQ228" s="43" t="s">
        <v>1542</v>
      </c>
      <c r="BR228" s="43" t="s">
        <v>1542</v>
      </c>
      <c r="BS228" s="43" t="s">
        <v>1542</v>
      </c>
      <c r="BT228" s="43" t="s">
        <v>1542</v>
      </c>
      <c r="BU228" s="43" t="s">
        <v>1542</v>
      </c>
      <c r="BV228" s="43" t="s">
        <v>1542</v>
      </c>
      <c r="BW228" s="43" t="s">
        <v>1542</v>
      </c>
      <c r="BX228" s="43" t="s">
        <v>1542</v>
      </c>
      <c r="BY228" s="43" t="s">
        <v>1542</v>
      </c>
      <c r="BZ228" s="43" t="s">
        <v>1542</v>
      </c>
      <c r="CA228" s="43" t="s">
        <v>1542</v>
      </c>
    </row>
    <row r="229" spans="1:79">
      <c r="A229">
        <v>228</v>
      </c>
      <c r="C229" t="s">
        <v>1696</v>
      </c>
      <c r="D229" t="s">
        <v>1697</v>
      </c>
      <c r="E229" t="s">
        <v>2556</v>
      </c>
      <c r="F229" t="s">
        <v>2557</v>
      </c>
      <c r="G229" t="s">
        <v>2573</v>
      </c>
      <c r="H229" t="s">
        <v>2578</v>
      </c>
      <c r="I229" t="s">
        <v>2578</v>
      </c>
      <c r="J229" t="s">
        <v>2579</v>
      </c>
      <c r="K229" t="s">
        <v>2575</v>
      </c>
      <c r="M229" s="1" t="s">
        <v>2580</v>
      </c>
      <c r="N229" t="s">
        <v>2581</v>
      </c>
      <c r="O229" s="46">
        <f t="shared" si="18"/>
        <v>0</v>
      </c>
      <c r="P229" s="43"/>
      <c r="Q229" s="43"/>
      <c r="R229" s="43"/>
      <c r="S229" s="43"/>
      <c r="T229" s="43"/>
      <c r="U229" s="43"/>
      <c r="V229" s="43"/>
      <c r="W229" s="43"/>
      <c r="X229" s="43"/>
      <c r="Y229" s="43"/>
      <c r="Z229" s="43"/>
      <c r="AA229" s="43"/>
      <c r="AB229" s="46">
        <f t="shared" si="19"/>
        <v>0</v>
      </c>
      <c r="AC229" s="44"/>
      <c r="AD229" s="44"/>
      <c r="AE229" s="44"/>
      <c r="AF229" s="44"/>
      <c r="AG229" s="44"/>
      <c r="AH229" s="44"/>
      <c r="AI229" s="44"/>
      <c r="AJ229" s="44"/>
      <c r="AK229" s="44"/>
      <c r="AL229" s="44"/>
      <c r="AM229" s="44"/>
      <c r="AN229" s="44"/>
      <c r="AO229" s="46">
        <f t="shared" si="15"/>
        <v>0</v>
      </c>
      <c r="AP229" s="43"/>
      <c r="AQ229" s="43"/>
      <c r="AR229" s="43"/>
      <c r="AS229" s="43"/>
      <c r="AT229" s="43"/>
      <c r="AU229" s="43"/>
      <c r="AV229" s="43"/>
      <c r="AW229" s="43"/>
      <c r="AX229" s="43"/>
      <c r="AY229" s="43"/>
      <c r="AZ229" s="43"/>
      <c r="BA229" s="43"/>
      <c r="BB229" s="46">
        <f t="shared" si="16"/>
        <v>0</v>
      </c>
      <c r="BC229" s="44"/>
      <c r="BD229" s="44"/>
      <c r="BE229" s="44"/>
      <c r="BF229" s="44"/>
      <c r="BG229" s="44"/>
      <c r="BH229" s="44"/>
      <c r="BI229" s="44"/>
      <c r="BJ229" s="44"/>
      <c r="BK229" s="44"/>
      <c r="BL229" s="44"/>
      <c r="BM229" s="44"/>
      <c r="BN229" s="44"/>
      <c r="BO229" s="46">
        <f t="shared" si="17"/>
        <v>0</v>
      </c>
      <c r="BP229" s="43"/>
      <c r="BQ229" s="43"/>
      <c r="BR229" s="43"/>
      <c r="BS229" s="43"/>
      <c r="BT229" s="43"/>
      <c r="BU229" s="43"/>
      <c r="BV229" s="43"/>
      <c r="BW229" s="43"/>
      <c r="BX229" s="43"/>
      <c r="BY229" s="43"/>
      <c r="BZ229" s="43"/>
      <c r="CA229" s="43"/>
    </row>
    <row r="230" spans="1:79">
      <c r="A230">
        <v>229</v>
      </c>
      <c r="C230" t="s">
        <v>1696</v>
      </c>
      <c r="D230" t="s">
        <v>1697</v>
      </c>
      <c r="E230" t="s">
        <v>2556</v>
      </c>
      <c r="F230" t="s">
        <v>2557</v>
      </c>
      <c r="G230" t="s">
        <v>2573</v>
      </c>
      <c r="H230" t="s">
        <v>2582</v>
      </c>
      <c r="I230" t="s">
        <v>2582</v>
      </c>
      <c r="J230" t="s">
        <v>2583</v>
      </c>
      <c r="K230" t="s">
        <v>2575</v>
      </c>
      <c r="M230" s="1" t="s">
        <v>2584</v>
      </c>
      <c r="N230" t="s">
        <v>2585</v>
      </c>
      <c r="O230" s="46">
        <f t="shared" si="18"/>
        <v>0</v>
      </c>
      <c r="P230" s="43"/>
      <c r="Q230" s="43"/>
      <c r="R230" s="43"/>
      <c r="S230" s="43"/>
      <c r="T230" s="43"/>
      <c r="U230" s="43"/>
      <c r="V230" s="43"/>
      <c r="W230" s="43"/>
      <c r="X230" s="43"/>
      <c r="Y230" s="43"/>
      <c r="Z230" s="43"/>
      <c r="AA230" s="43"/>
      <c r="AB230" s="46">
        <f t="shared" si="19"/>
        <v>0</v>
      </c>
      <c r="AC230" s="44"/>
      <c r="AD230" s="44"/>
      <c r="AE230" s="44"/>
      <c r="AF230" s="44"/>
      <c r="AG230" s="44"/>
      <c r="AH230" s="44"/>
      <c r="AI230" s="44"/>
      <c r="AJ230" s="44"/>
      <c r="AK230" s="44"/>
      <c r="AL230" s="44"/>
      <c r="AM230" s="44"/>
      <c r="AN230" s="44"/>
      <c r="AO230" s="46">
        <f t="shared" si="15"/>
        <v>0</v>
      </c>
      <c r="AP230" s="43"/>
      <c r="AQ230" s="43"/>
      <c r="AR230" s="43"/>
      <c r="AS230" s="43"/>
      <c r="AT230" s="43"/>
      <c r="AU230" s="43"/>
      <c r="AV230" s="43"/>
      <c r="AW230" s="43"/>
      <c r="AX230" s="43"/>
      <c r="AY230" s="43"/>
      <c r="AZ230" s="43"/>
      <c r="BA230" s="43"/>
      <c r="BB230" s="46">
        <f t="shared" si="16"/>
        <v>0</v>
      </c>
      <c r="BC230" s="44"/>
      <c r="BD230" s="44"/>
      <c r="BE230" s="44"/>
      <c r="BF230" s="44"/>
      <c r="BG230" s="44"/>
      <c r="BH230" s="44"/>
      <c r="BI230" s="44"/>
      <c r="BJ230" s="44"/>
      <c r="BK230" s="44"/>
      <c r="BL230" s="44"/>
      <c r="BM230" s="44"/>
      <c r="BN230" s="44"/>
      <c r="BO230" s="46">
        <f t="shared" si="17"/>
        <v>0</v>
      </c>
      <c r="BP230" s="43" t="s">
        <v>1542</v>
      </c>
      <c r="BQ230" s="43" t="s">
        <v>1542</v>
      </c>
      <c r="BR230" s="43" t="s">
        <v>1542</v>
      </c>
      <c r="BS230" s="43" t="s">
        <v>1542</v>
      </c>
      <c r="BT230" s="43" t="s">
        <v>1542</v>
      </c>
      <c r="BU230" s="43" t="s">
        <v>1554</v>
      </c>
      <c r="BV230" s="43" t="s">
        <v>1542</v>
      </c>
      <c r="BW230" s="43" t="s">
        <v>1542</v>
      </c>
      <c r="BX230" s="43" t="s">
        <v>1542</v>
      </c>
      <c r="BY230" s="43" t="s">
        <v>1542</v>
      </c>
      <c r="BZ230" s="43" t="s">
        <v>1542</v>
      </c>
      <c r="CA230" s="43" t="s">
        <v>1542</v>
      </c>
    </row>
    <row r="231" spans="1:79">
      <c r="A231">
        <v>230</v>
      </c>
      <c r="B231">
        <v>1</v>
      </c>
      <c r="C231" t="s">
        <v>1696</v>
      </c>
      <c r="D231" t="s">
        <v>1697</v>
      </c>
      <c r="E231" t="s">
        <v>2556</v>
      </c>
      <c r="F231" t="s">
        <v>2557</v>
      </c>
      <c r="G231" t="s">
        <v>2586</v>
      </c>
      <c r="H231" t="s">
        <v>2586</v>
      </c>
      <c r="J231" t="s">
        <v>2587</v>
      </c>
      <c r="K231" t="s">
        <v>2588</v>
      </c>
      <c r="M231" s="1" t="s">
        <v>2589</v>
      </c>
      <c r="O231" s="46">
        <f t="shared" si="18"/>
        <v>0</v>
      </c>
      <c r="P231" s="43" t="s">
        <v>1542</v>
      </c>
      <c r="Q231" s="43" t="s">
        <v>1542</v>
      </c>
      <c r="R231" s="43" t="s">
        <v>1542</v>
      </c>
      <c r="S231" s="43" t="s">
        <v>1542</v>
      </c>
      <c r="T231" s="43" t="s">
        <v>1542</v>
      </c>
      <c r="U231" s="43" t="s">
        <v>1542</v>
      </c>
      <c r="V231" s="43" t="s">
        <v>1542</v>
      </c>
      <c r="W231" s="43" t="s">
        <v>1542</v>
      </c>
      <c r="X231" s="43" t="s">
        <v>1542</v>
      </c>
      <c r="Y231" s="43" t="s">
        <v>1542</v>
      </c>
      <c r="Z231" s="43" t="s">
        <v>1542</v>
      </c>
      <c r="AA231" s="43" t="s">
        <v>1542</v>
      </c>
      <c r="AB231" s="46">
        <f t="shared" si="19"/>
        <v>0</v>
      </c>
      <c r="AC231" s="44" t="s">
        <v>1542</v>
      </c>
      <c r="AD231" s="44" t="s">
        <v>1542</v>
      </c>
      <c r="AE231" s="44" t="s">
        <v>1542</v>
      </c>
      <c r="AF231" s="44" t="s">
        <v>1542</v>
      </c>
      <c r="AG231" s="44" t="s">
        <v>1542</v>
      </c>
      <c r="AH231" s="44" t="s">
        <v>1542</v>
      </c>
      <c r="AI231" s="44" t="s">
        <v>1542</v>
      </c>
      <c r="AJ231" s="44" t="s">
        <v>1542</v>
      </c>
      <c r="AK231" s="44" t="s">
        <v>1542</v>
      </c>
      <c r="AL231" s="44" t="s">
        <v>1542</v>
      </c>
      <c r="AM231" s="44" t="s">
        <v>1542</v>
      </c>
      <c r="AN231" s="44" t="s">
        <v>1542</v>
      </c>
      <c r="AO231" s="46">
        <f t="shared" si="15"/>
        <v>0</v>
      </c>
      <c r="AP231" s="43" t="s">
        <v>1542</v>
      </c>
      <c r="AQ231" s="43" t="s">
        <v>1542</v>
      </c>
      <c r="AR231" s="43" t="s">
        <v>1542</v>
      </c>
      <c r="AS231" s="43" t="s">
        <v>1542</v>
      </c>
      <c r="AT231" s="43" t="s">
        <v>1542</v>
      </c>
      <c r="AU231" s="43" t="s">
        <v>1542</v>
      </c>
      <c r="AV231" s="43" t="s">
        <v>1542</v>
      </c>
      <c r="AW231" s="43" t="s">
        <v>1542</v>
      </c>
      <c r="AX231" s="43" t="s">
        <v>1542</v>
      </c>
      <c r="AY231" s="43" t="s">
        <v>1542</v>
      </c>
      <c r="AZ231" s="43" t="s">
        <v>1542</v>
      </c>
      <c r="BA231" s="43" t="s">
        <v>1542</v>
      </c>
      <c r="BB231" s="46">
        <f t="shared" si="16"/>
        <v>0</v>
      </c>
      <c r="BC231" s="44" t="s">
        <v>1542</v>
      </c>
      <c r="BD231" s="44" t="s">
        <v>1542</v>
      </c>
      <c r="BE231" s="44" t="s">
        <v>1542</v>
      </c>
      <c r="BF231" s="44" t="s">
        <v>1542</v>
      </c>
      <c r="BG231" s="44" t="s">
        <v>1542</v>
      </c>
      <c r="BH231" s="44" t="s">
        <v>1542</v>
      </c>
      <c r="BI231" s="44" t="s">
        <v>1542</v>
      </c>
      <c r="BJ231" s="44" t="s">
        <v>1542</v>
      </c>
      <c r="BK231" s="44" t="s">
        <v>1542</v>
      </c>
      <c r="BL231" s="44" t="s">
        <v>1542</v>
      </c>
      <c r="BM231" s="44" t="s">
        <v>1542</v>
      </c>
      <c r="BN231" s="44" t="s">
        <v>1542</v>
      </c>
      <c r="BO231" s="46">
        <f t="shared" si="17"/>
        <v>0</v>
      </c>
      <c r="BP231" s="43" t="s">
        <v>1542</v>
      </c>
      <c r="BQ231" s="43" t="s">
        <v>1542</v>
      </c>
      <c r="BR231" s="43" t="s">
        <v>1542</v>
      </c>
      <c r="BS231" s="43" t="s">
        <v>1542</v>
      </c>
      <c r="BT231" s="43" t="s">
        <v>1542</v>
      </c>
      <c r="BU231" s="43" t="s">
        <v>1542</v>
      </c>
      <c r="BV231" s="43" t="s">
        <v>1542</v>
      </c>
      <c r="BW231" s="43" t="s">
        <v>1542</v>
      </c>
      <c r="BX231" s="43" t="s">
        <v>1542</v>
      </c>
      <c r="BY231" s="43" t="s">
        <v>1542</v>
      </c>
      <c r="BZ231" s="43" t="s">
        <v>1542</v>
      </c>
      <c r="CA231" s="43" t="s">
        <v>1542</v>
      </c>
    </row>
    <row r="232" spans="1:79">
      <c r="A232">
        <v>231</v>
      </c>
      <c r="B232">
        <v>1</v>
      </c>
      <c r="C232" t="s">
        <v>1696</v>
      </c>
      <c r="D232" t="s">
        <v>1697</v>
      </c>
      <c r="E232" t="s">
        <v>2556</v>
      </c>
      <c r="F232" t="s">
        <v>2557</v>
      </c>
      <c r="G232" t="s">
        <v>2590</v>
      </c>
      <c r="H232" t="s">
        <v>2590</v>
      </c>
      <c r="I232" t="s">
        <v>2591</v>
      </c>
      <c r="J232" t="s">
        <v>2592</v>
      </c>
      <c r="K232" t="s">
        <v>2593</v>
      </c>
      <c r="M232" s="1" t="s">
        <v>2594</v>
      </c>
      <c r="O232" s="46">
        <f t="shared" si="18"/>
        <v>0</v>
      </c>
      <c r="P232" s="43" t="s">
        <v>1542</v>
      </c>
      <c r="Q232" s="43" t="s">
        <v>1542</v>
      </c>
      <c r="R232" s="43" t="s">
        <v>1542</v>
      </c>
      <c r="S232" s="43" t="s">
        <v>1542</v>
      </c>
      <c r="T232" s="43" t="s">
        <v>1542</v>
      </c>
      <c r="U232" s="43" t="s">
        <v>1542</v>
      </c>
      <c r="V232" s="43" t="s">
        <v>1542</v>
      </c>
      <c r="W232" s="43" t="s">
        <v>1542</v>
      </c>
      <c r="X232" s="43" t="s">
        <v>1542</v>
      </c>
      <c r="Y232" s="43" t="s">
        <v>1542</v>
      </c>
      <c r="Z232" s="43" t="s">
        <v>1542</v>
      </c>
      <c r="AA232" s="43" t="s">
        <v>1542</v>
      </c>
      <c r="AB232" s="46">
        <f t="shared" si="19"/>
        <v>0</v>
      </c>
      <c r="AC232" s="44" t="s">
        <v>1542</v>
      </c>
      <c r="AD232" s="44" t="s">
        <v>1542</v>
      </c>
      <c r="AE232" s="44" t="s">
        <v>1542</v>
      </c>
      <c r="AF232" s="44" t="s">
        <v>1542</v>
      </c>
      <c r="AG232" s="44" t="s">
        <v>1542</v>
      </c>
      <c r="AH232" s="44" t="s">
        <v>1542</v>
      </c>
      <c r="AI232" s="44" t="s">
        <v>1542</v>
      </c>
      <c r="AJ232" s="44" t="s">
        <v>1542</v>
      </c>
      <c r="AK232" s="44" t="s">
        <v>1542</v>
      </c>
      <c r="AL232" s="44" t="s">
        <v>1542</v>
      </c>
      <c r="AM232" s="44" t="s">
        <v>1542</v>
      </c>
      <c r="AN232" s="44" t="s">
        <v>1542</v>
      </c>
      <c r="AO232" s="46">
        <f t="shared" si="15"/>
        <v>0</v>
      </c>
      <c r="AP232" s="43" t="s">
        <v>1542</v>
      </c>
      <c r="AQ232" s="43" t="s">
        <v>1542</v>
      </c>
      <c r="AR232" s="43" t="s">
        <v>1542</v>
      </c>
      <c r="AS232" s="43" t="s">
        <v>1542</v>
      </c>
      <c r="AT232" s="43" t="s">
        <v>1542</v>
      </c>
      <c r="AU232" s="43" t="s">
        <v>1542</v>
      </c>
      <c r="AV232" s="43" t="s">
        <v>1542</v>
      </c>
      <c r="AW232" s="43" t="s">
        <v>1542</v>
      </c>
      <c r="AX232" s="43" t="s">
        <v>1542</v>
      </c>
      <c r="AY232" s="43" t="s">
        <v>1542</v>
      </c>
      <c r="AZ232" s="43" t="s">
        <v>1542</v>
      </c>
      <c r="BA232" s="43" t="s">
        <v>1542</v>
      </c>
      <c r="BB232" s="46">
        <f t="shared" si="16"/>
        <v>0</v>
      </c>
      <c r="BC232" s="44" t="s">
        <v>1542</v>
      </c>
      <c r="BD232" s="44" t="s">
        <v>1542</v>
      </c>
      <c r="BE232" s="44" t="s">
        <v>1542</v>
      </c>
      <c r="BF232" s="44" t="s">
        <v>1542</v>
      </c>
      <c r="BG232" s="44" t="s">
        <v>1542</v>
      </c>
      <c r="BH232" s="44" t="s">
        <v>1542</v>
      </c>
      <c r="BI232" s="44" t="s">
        <v>1542</v>
      </c>
      <c r="BJ232" s="44" t="s">
        <v>1542</v>
      </c>
      <c r="BK232" s="44" t="s">
        <v>1542</v>
      </c>
      <c r="BL232" s="44" t="s">
        <v>1542</v>
      </c>
      <c r="BM232" s="44" t="s">
        <v>1542</v>
      </c>
      <c r="BN232" s="44" t="s">
        <v>1542</v>
      </c>
      <c r="BO232" s="46">
        <f t="shared" si="17"/>
        <v>0</v>
      </c>
      <c r="BP232" s="43" t="s">
        <v>1542</v>
      </c>
      <c r="BQ232" s="43" t="s">
        <v>1542</v>
      </c>
      <c r="BR232" s="43" t="s">
        <v>1542</v>
      </c>
      <c r="BS232" s="43" t="s">
        <v>1542</v>
      </c>
      <c r="BT232" s="43" t="s">
        <v>1542</v>
      </c>
      <c r="BU232" s="43" t="s">
        <v>1542</v>
      </c>
      <c r="BV232" s="43" t="s">
        <v>1542</v>
      </c>
      <c r="BW232" s="43" t="s">
        <v>1542</v>
      </c>
      <c r="BX232" s="43" t="s">
        <v>1542</v>
      </c>
      <c r="BY232" s="43" t="s">
        <v>1542</v>
      </c>
      <c r="BZ232" s="43" t="s">
        <v>1542</v>
      </c>
      <c r="CA232" s="43" t="s">
        <v>1542</v>
      </c>
    </row>
    <row r="233" spans="1:79">
      <c r="A233">
        <v>232</v>
      </c>
      <c r="B233">
        <v>1</v>
      </c>
      <c r="C233" t="s">
        <v>1696</v>
      </c>
      <c r="D233" t="s">
        <v>1697</v>
      </c>
      <c r="E233" t="s">
        <v>2556</v>
      </c>
      <c r="F233" t="s">
        <v>2557</v>
      </c>
      <c r="G233" t="s">
        <v>2595</v>
      </c>
      <c r="H233" t="s">
        <v>2595</v>
      </c>
      <c r="J233" t="s">
        <v>2596</v>
      </c>
      <c r="K233" t="s">
        <v>2597</v>
      </c>
      <c r="M233" s="1" t="s">
        <v>2598</v>
      </c>
      <c r="N233" t="s">
        <v>2599</v>
      </c>
      <c r="O233" s="46">
        <f t="shared" si="18"/>
        <v>0</v>
      </c>
      <c r="P233" s="43" t="s">
        <v>1542</v>
      </c>
      <c r="Q233" s="43" t="s">
        <v>1542</v>
      </c>
      <c r="R233" s="43" t="s">
        <v>1542</v>
      </c>
      <c r="S233" s="43" t="s">
        <v>1542</v>
      </c>
      <c r="T233" s="43" t="s">
        <v>1542</v>
      </c>
      <c r="U233" s="43" t="s">
        <v>1542</v>
      </c>
      <c r="V233" s="43" t="s">
        <v>1542</v>
      </c>
      <c r="W233" s="43" t="s">
        <v>1542</v>
      </c>
      <c r="X233" s="43" t="s">
        <v>1542</v>
      </c>
      <c r="Y233" s="43" t="s">
        <v>1542</v>
      </c>
      <c r="Z233" s="43" t="s">
        <v>1542</v>
      </c>
      <c r="AA233" s="43" t="s">
        <v>1542</v>
      </c>
      <c r="AB233" s="46">
        <f t="shared" si="19"/>
        <v>0</v>
      </c>
      <c r="AC233" s="44" t="s">
        <v>1542</v>
      </c>
      <c r="AD233" s="44" t="s">
        <v>1542</v>
      </c>
      <c r="AE233" s="44" t="s">
        <v>1542</v>
      </c>
      <c r="AF233" s="44" t="s">
        <v>1542</v>
      </c>
      <c r="AG233" s="44" t="s">
        <v>1542</v>
      </c>
      <c r="AH233" s="44" t="s">
        <v>1542</v>
      </c>
      <c r="AI233" s="44" t="s">
        <v>1542</v>
      </c>
      <c r="AJ233" s="44" t="s">
        <v>1542</v>
      </c>
      <c r="AK233" s="44" t="s">
        <v>1542</v>
      </c>
      <c r="AL233" s="44" t="s">
        <v>1542</v>
      </c>
      <c r="AM233" s="44" t="s">
        <v>1542</v>
      </c>
      <c r="AN233" s="44" t="s">
        <v>1542</v>
      </c>
      <c r="AO233" s="46">
        <f t="shared" si="15"/>
        <v>0</v>
      </c>
      <c r="AP233" s="43" t="s">
        <v>1542</v>
      </c>
      <c r="AQ233" s="43" t="s">
        <v>1542</v>
      </c>
      <c r="AR233" s="43" t="s">
        <v>1542</v>
      </c>
      <c r="AS233" s="43" t="s">
        <v>1542</v>
      </c>
      <c r="AT233" s="43" t="s">
        <v>1542</v>
      </c>
      <c r="AU233" s="43" t="s">
        <v>1542</v>
      </c>
      <c r="AV233" s="43" t="s">
        <v>1542</v>
      </c>
      <c r="AW233" s="43" t="s">
        <v>1542</v>
      </c>
      <c r="AX233" s="43" t="s">
        <v>1542</v>
      </c>
      <c r="AY233" s="43" t="s">
        <v>1542</v>
      </c>
      <c r="AZ233" s="43" t="s">
        <v>1542</v>
      </c>
      <c r="BA233" s="43" t="s">
        <v>1542</v>
      </c>
      <c r="BB233" s="46">
        <f t="shared" si="16"/>
        <v>0</v>
      </c>
      <c r="BC233" s="44" t="s">
        <v>1542</v>
      </c>
      <c r="BD233" s="44" t="s">
        <v>1542</v>
      </c>
      <c r="BE233" s="44" t="s">
        <v>1542</v>
      </c>
      <c r="BF233" s="44" t="s">
        <v>1542</v>
      </c>
      <c r="BG233" s="44" t="s">
        <v>1542</v>
      </c>
      <c r="BH233" s="44" t="s">
        <v>1542</v>
      </c>
      <c r="BI233" s="44" t="s">
        <v>1542</v>
      </c>
      <c r="BJ233" s="44" t="s">
        <v>1542</v>
      </c>
      <c r="BK233" s="44" t="s">
        <v>1542</v>
      </c>
      <c r="BL233" s="44" t="s">
        <v>1542</v>
      </c>
      <c r="BM233" s="44" t="s">
        <v>1542</v>
      </c>
      <c r="BN233" s="44" t="s">
        <v>1542</v>
      </c>
      <c r="BO233" s="46">
        <f t="shared" si="17"/>
        <v>0</v>
      </c>
      <c r="BP233" s="43" t="s">
        <v>1542</v>
      </c>
      <c r="BQ233" s="43" t="s">
        <v>1542</v>
      </c>
      <c r="BR233" s="43" t="s">
        <v>1542</v>
      </c>
      <c r="BS233" s="43" t="s">
        <v>1542</v>
      </c>
      <c r="BT233" s="43" t="s">
        <v>1542</v>
      </c>
      <c r="BU233" s="43" t="s">
        <v>1542</v>
      </c>
      <c r="BV233" s="43" t="s">
        <v>1542</v>
      </c>
      <c r="BW233" s="43" t="s">
        <v>1542</v>
      </c>
      <c r="BX233" s="43" t="s">
        <v>1542</v>
      </c>
      <c r="BY233" s="43" t="s">
        <v>1542</v>
      </c>
      <c r="BZ233" s="43" t="s">
        <v>1542</v>
      </c>
      <c r="CA233" s="43" t="s">
        <v>1542</v>
      </c>
    </row>
    <row r="234" spans="1:79">
      <c r="A234">
        <v>233</v>
      </c>
      <c r="B234">
        <v>1</v>
      </c>
      <c r="C234" t="s">
        <v>1696</v>
      </c>
      <c r="D234" t="s">
        <v>1697</v>
      </c>
      <c r="E234" t="s">
        <v>2556</v>
      </c>
      <c r="F234" t="s">
        <v>2557</v>
      </c>
      <c r="G234" t="s">
        <v>2600</v>
      </c>
      <c r="H234" t="s">
        <v>2600</v>
      </c>
      <c r="J234" t="s">
        <v>2601</v>
      </c>
      <c r="K234" t="s">
        <v>2602</v>
      </c>
      <c r="M234" s="1" t="s">
        <v>2603</v>
      </c>
      <c r="N234" t="s">
        <v>2604</v>
      </c>
      <c r="O234" s="46">
        <f t="shared" si="18"/>
        <v>0</v>
      </c>
      <c r="P234" s="43" t="s">
        <v>1542</v>
      </c>
      <c r="Q234" s="43" t="s">
        <v>1542</v>
      </c>
      <c r="R234" s="43" t="s">
        <v>1542</v>
      </c>
      <c r="S234" s="43" t="s">
        <v>1542</v>
      </c>
      <c r="T234" s="43" t="s">
        <v>1542</v>
      </c>
      <c r="U234" s="43" t="s">
        <v>1542</v>
      </c>
      <c r="V234" s="43" t="s">
        <v>1542</v>
      </c>
      <c r="W234" s="43" t="s">
        <v>1542</v>
      </c>
      <c r="X234" s="43" t="s">
        <v>1542</v>
      </c>
      <c r="Y234" s="43" t="s">
        <v>1542</v>
      </c>
      <c r="Z234" s="43" t="s">
        <v>1542</v>
      </c>
      <c r="AA234" s="43" t="s">
        <v>1542</v>
      </c>
      <c r="AB234" s="46">
        <f t="shared" si="19"/>
        <v>0</v>
      </c>
      <c r="AC234" s="44" t="s">
        <v>1542</v>
      </c>
      <c r="AD234" s="44" t="s">
        <v>1542</v>
      </c>
      <c r="AE234" s="44" t="s">
        <v>1542</v>
      </c>
      <c r="AF234" s="44" t="s">
        <v>1542</v>
      </c>
      <c r="AG234" s="44" t="s">
        <v>1542</v>
      </c>
      <c r="AH234" s="44" t="s">
        <v>1542</v>
      </c>
      <c r="AI234" s="44" t="s">
        <v>1542</v>
      </c>
      <c r="AJ234" s="44" t="s">
        <v>1542</v>
      </c>
      <c r="AK234" s="44" t="s">
        <v>1542</v>
      </c>
      <c r="AL234" s="44" t="s">
        <v>1542</v>
      </c>
      <c r="AM234" s="44" t="s">
        <v>1542</v>
      </c>
      <c r="AN234" s="44" t="s">
        <v>1542</v>
      </c>
      <c r="AO234" s="46">
        <f t="shared" si="15"/>
        <v>0</v>
      </c>
      <c r="AP234" s="43" t="s">
        <v>1542</v>
      </c>
      <c r="AQ234" s="43" t="s">
        <v>1542</v>
      </c>
      <c r="AR234" s="43" t="s">
        <v>1542</v>
      </c>
      <c r="AS234" s="43" t="s">
        <v>1542</v>
      </c>
      <c r="AT234" s="43" t="s">
        <v>1542</v>
      </c>
      <c r="AU234" s="43" t="s">
        <v>1542</v>
      </c>
      <c r="AV234" s="43" t="s">
        <v>1542</v>
      </c>
      <c r="AW234" s="43" t="s">
        <v>1542</v>
      </c>
      <c r="AX234" s="43" t="s">
        <v>1542</v>
      </c>
      <c r="AY234" s="43" t="s">
        <v>1542</v>
      </c>
      <c r="AZ234" s="43" t="s">
        <v>1542</v>
      </c>
      <c r="BA234" s="43" t="s">
        <v>1542</v>
      </c>
      <c r="BB234" s="46">
        <f t="shared" si="16"/>
        <v>0</v>
      </c>
      <c r="BC234" s="44" t="s">
        <v>1542</v>
      </c>
      <c r="BD234" s="44" t="s">
        <v>1542</v>
      </c>
      <c r="BE234" s="44" t="s">
        <v>1542</v>
      </c>
      <c r="BF234" s="44" t="s">
        <v>1542</v>
      </c>
      <c r="BG234" s="44" t="s">
        <v>1542</v>
      </c>
      <c r="BH234" s="44" t="s">
        <v>1542</v>
      </c>
      <c r="BI234" s="44" t="s">
        <v>1542</v>
      </c>
      <c r="BJ234" s="44" t="s">
        <v>1542</v>
      </c>
      <c r="BK234" s="44" t="s">
        <v>1542</v>
      </c>
      <c r="BL234" s="44" t="s">
        <v>1542</v>
      </c>
      <c r="BM234" s="44" t="s">
        <v>1542</v>
      </c>
      <c r="BN234" s="44" t="s">
        <v>1542</v>
      </c>
      <c r="BO234" s="46">
        <f t="shared" si="17"/>
        <v>0</v>
      </c>
      <c r="BP234" s="43" t="s">
        <v>1542</v>
      </c>
      <c r="BQ234" s="43" t="s">
        <v>1542</v>
      </c>
      <c r="BR234" s="43" t="s">
        <v>1542</v>
      </c>
      <c r="BS234" s="43" t="s">
        <v>1542</v>
      </c>
      <c r="BT234" s="43" t="s">
        <v>1542</v>
      </c>
      <c r="BU234" s="43" t="s">
        <v>1542</v>
      </c>
      <c r="BV234" s="43" t="s">
        <v>1542</v>
      </c>
      <c r="BW234" s="43" t="s">
        <v>1542</v>
      </c>
      <c r="BX234" s="43" t="s">
        <v>1542</v>
      </c>
      <c r="BY234" s="43" t="s">
        <v>1542</v>
      </c>
      <c r="BZ234" s="43" t="s">
        <v>1542</v>
      </c>
      <c r="CA234" s="43" t="s">
        <v>1542</v>
      </c>
    </row>
    <row r="235" spans="1:79">
      <c r="A235">
        <v>234</v>
      </c>
      <c r="C235" t="s">
        <v>1696</v>
      </c>
      <c r="D235" t="s">
        <v>1697</v>
      </c>
      <c r="E235" t="s">
        <v>2556</v>
      </c>
      <c r="F235" t="s">
        <v>2557</v>
      </c>
      <c r="G235" t="s">
        <v>2600</v>
      </c>
      <c r="H235" t="s">
        <v>2605</v>
      </c>
      <c r="I235" t="s">
        <v>2605</v>
      </c>
      <c r="J235" t="s">
        <v>2601</v>
      </c>
      <c r="K235" t="s">
        <v>2602</v>
      </c>
      <c r="M235" s="1" t="s">
        <v>2606</v>
      </c>
      <c r="N235" t="s">
        <v>2607</v>
      </c>
      <c r="O235" s="46">
        <f t="shared" si="18"/>
        <v>1</v>
      </c>
      <c r="P235" s="43" t="s">
        <v>1542</v>
      </c>
      <c r="Q235" s="43" t="s">
        <v>1554</v>
      </c>
      <c r="R235" s="43"/>
      <c r="S235" s="43"/>
      <c r="T235" s="43"/>
      <c r="U235" s="43"/>
      <c r="V235" s="43"/>
      <c r="W235" s="43"/>
      <c r="X235" s="43"/>
      <c r="Y235" s="43"/>
      <c r="Z235" s="43"/>
      <c r="AA235" s="43"/>
      <c r="AB235" s="46">
        <f t="shared" si="19"/>
        <v>0</v>
      </c>
      <c r="AC235" s="44" t="s">
        <v>1542</v>
      </c>
      <c r="AD235" s="44" t="s">
        <v>1542</v>
      </c>
      <c r="AE235" s="44" t="s">
        <v>1542</v>
      </c>
      <c r="AF235" s="44" t="s">
        <v>1542</v>
      </c>
      <c r="AG235" s="44" t="s">
        <v>1542</v>
      </c>
      <c r="AH235" s="44" t="s">
        <v>1542</v>
      </c>
      <c r="AI235" s="44" t="s">
        <v>1542</v>
      </c>
      <c r="AJ235" s="44" t="s">
        <v>1542</v>
      </c>
      <c r="AK235" s="44" t="s">
        <v>1542</v>
      </c>
      <c r="AL235" s="44" t="s">
        <v>1542</v>
      </c>
      <c r="AM235" s="44" t="s">
        <v>1542</v>
      </c>
      <c r="AN235" s="44" t="s">
        <v>1542</v>
      </c>
      <c r="AO235" s="46">
        <f t="shared" si="15"/>
        <v>0</v>
      </c>
      <c r="AP235" s="43" t="s">
        <v>1542</v>
      </c>
      <c r="AQ235" s="43" t="s">
        <v>1542</v>
      </c>
      <c r="AR235" s="43" t="s">
        <v>1542</v>
      </c>
      <c r="AS235" s="43" t="s">
        <v>1542</v>
      </c>
      <c r="AT235" s="43" t="s">
        <v>1542</v>
      </c>
      <c r="AU235" s="43" t="s">
        <v>1542</v>
      </c>
      <c r="AV235" s="43" t="s">
        <v>1542</v>
      </c>
      <c r="AW235" s="43" t="s">
        <v>1542</v>
      </c>
      <c r="AX235" s="43" t="s">
        <v>1542</v>
      </c>
      <c r="AY235" s="43" t="s">
        <v>1542</v>
      </c>
      <c r="AZ235" s="43" t="s">
        <v>1542</v>
      </c>
      <c r="BA235" s="43" t="s">
        <v>1542</v>
      </c>
      <c r="BB235" s="46">
        <f t="shared" si="16"/>
        <v>0</v>
      </c>
      <c r="BC235" s="44" t="s">
        <v>1542</v>
      </c>
      <c r="BD235" s="44" t="s">
        <v>1542</v>
      </c>
      <c r="BE235" s="44" t="s">
        <v>1542</v>
      </c>
      <c r="BF235" s="44" t="s">
        <v>1542</v>
      </c>
      <c r="BG235" s="44" t="s">
        <v>1542</v>
      </c>
      <c r="BH235" s="44" t="s">
        <v>1542</v>
      </c>
      <c r="BI235" s="44" t="s">
        <v>1542</v>
      </c>
      <c r="BJ235" s="44" t="s">
        <v>1542</v>
      </c>
      <c r="BK235" s="44" t="s">
        <v>1542</v>
      </c>
      <c r="BL235" s="44" t="s">
        <v>1542</v>
      </c>
      <c r="BM235" s="44" t="s">
        <v>1542</v>
      </c>
      <c r="BN235" s="44" t="s">
        <v>1542</v>
      </c>
      <c r="BO235" s="46">
        <f t="shared" si="17"/>
        <v>0</v>
      </c>
      <c r="BP235" s="43" t="s">
        <v>1554</v>
      </c>
      <c r="BQ235" s="43" t="s">
        <v>1554</v>
      </c>
      <c r="BR235" s="43" t="s">
        <v>1554</v>
      </c>
      <c r="BS235" s="43" t="s">
        <v>1542</v>
      </c>
      <c r="BT235" s="43" t="s">
        <v>1542</v>
      </c>
      <c r="BU235" s="43" t="s">
        <v>1542</v>
      </c>
      <c r="BV235" s="43" t="s">
        <v>1542</v>
      </c>
      <c r="BW235" s="43" t="s">
        <v>1542</v>
      </c>
      <c r="BX235" s="43" t="s">
        <v>1542</v>
      </c>
      <c r="BY235" s="43" t="s">
        <v>1542</v>
      </c>
      <c r="BZ235" s="43" t="s">
        <v>1542</v>
      </c>
      <c r="CA235" s="43" t="s">
        <v>1542</v>
      </c>
    </row>
    <row r="236" spans="1:79">
      <c r="A236">
        <v>235</v>
      </c>
      <c r="B236">
        <v>1</v>
      </c>
      <c r="C236" t="s">
        <v>1696</v>
      </c>
      <c r="D236" t="s">
        <v>1697</v>
      </c>
      <c r="E236" t="s">
        <v>2556</v>
      </c>
      <c r="F236" t="s">
        <v>2557</v>
      </c>
      <c r="G236" t="s">
        <v>2608</v>
      </c>
      <c r="H236" t="s">
        <v>2608</v>
      </c>
      <c r="J236" t="s">
        <v>2609</v>
      </c>
      <c r="K236" t="s">
        <v>2610</v>
      </c>
      <c r="M236" s="1" t="s">
        <v>2611</v>
      </c>
      <c r="O236" s="46">
        <f t="shared" si="18"/>
        <v>0</v>
      </c>
      <c r="P236" s="43" t="s">
        <v>1542</v>
      </c>
      <c r="Q236" s="43" t="s">
        <v>1542</v>
      </c>
      <c r="R236" s="43" t="s">
        <v>1542</v>
      </c>
      <c r="S236" s="43" t="s">
        <v>1542</v>
      </c>
      <c r="T236" s="43" t="s">
        <v>1542</v>
      </c>
      <c r="U236" s="43" t="s">
        <v>1542</v>
      </c>
      <c r="V236" s="43" t="s">
        <v>1542</v>
      </c>
      <c r="W236" s="43" t="s">
        <v>1542</v>
      </c>
      <c r="X236" s="43" t="s">
        <v>1542</v>
      </c>
      <c r="Y236" s="43" t="s">
        <v>1542</v>
      </c>
      <c r="Z236" s="43" t="s">
        <v>1542</v>
      </c>
      <c r="AA236" s="43" t="s">
        <v>1542</v>
      </c>
      <c r="AB236" s="46">
        <f t="shared" si="19"/>
        <v>0</v>
      </c>
      <c r="AC236" s="44" t="s">
        <v>1542</v>
      </c>
      <c r="AD236" s="44" t="s">
        <v>1542</v>
      </c>
      <c r="AE236" s="44" t="s">
        <v>1542</v>
      </c>
      <c r="AF236" s="44" t="s">
        <v>1542</v>
      </c>
      <c r="AG236" s="44" t="s">
        <v>1542</v>
      </c>
      <c r="AH236" s="44" t="s">
        <v>1542</v>
      </c>
      <c r="AI236" s="44" t="s">
        <v>1542</v>
      </c>
      <c r="AJ236" s="44" t="s">
        <v>1542</v>
      </c>
      <c r="AK236" s="44" t="s">
        <v>1542</v>
      </c>
      <c r="AL236" s="44" t="s">
        <v>1542</v>
      </c>
      <c r="AM236" s="44" t="s">
        <v>1542</v>
      </c>
      <c r="AN236" s="44" t="s">
        <v>1542</v>
      </c>
      <c r="AO236" s="46">
        <f t="shared" si="15"/>
        <v>0</v>
      </c>
      <c r="AP236" s="43" t="s">
        <v>1542</v>
      </c>
      <c r="AQ236" s="43" t="s">
        <v>1542</v>
      </c>
      <c r="AR236" s="43" t="s">
        <v>1542</v>
      </c>
      <c r="AS236" s="43" t="s">
        <v>1542</v>
      </c>
      <c r="AT236" s="43" t="s">
        <v>1542</v>
      </c>
      <c r="AU236" s="43" t="s">
        <v>1542</v>
      </c>
      <c r="AV236" s="43" t="s">
        <v>1542</v>
      </c>
      <c r="AW236" s="43" t="s">
        <v>1542</v>
      </c>
      <c r="AX236" s="43" t="s">
        <v>1542</v>
      </c>
      <c r="AY236" s="43" t="s">
        <v>1542</v>
      </c>
      <c r="AZ236" s="43" t="s">
        <v>1542</v>
      </c>
      <c r="BA236" s="43" t="s">
        <v>1542</v>
      </c>
      <c r="BB236" s="46">
        <f t="shared" si="16"/>
        <v>0</v>
      </c>
      <c r="BC236" s="44" t="s">
        <v>1542</v>
      </c>
      <c r="BD236" s="44" t="s">
        <v>1542</v>
      </c>
      <c r="BE236" s="44" t="s">
        <v>1542</v>
      </c>
      <c r="BF236" s="44" t="s">
        <v>1542</v>
      </c>
      <c r="BG236" s="44" t="s">
        <v>1542</v>
      </c>
      <c r="BH236" s="44" t="s">
        <v>1542</v>
      </c>
      <c r="BI236" s="44" t="s">
        <v>1542</v>
      </c>
      <c r="BJ236" s="44" t="s">
        <v>1542</v>
      </c>
      <c r="BK236" s="44" t="s">
        <v>1542</v>
      </c>
      <c r="BL236" s="44" t="s">
        <v>1542</v>
      </c>
      <c r="BM236" s="44" t="s">
        <v>1542</v>
      </c>
      <c r="BN236" s="44" t="s">
        <v>1542</v>
      </c>
      <c r="BO236" s="46">
        <f t="shared" si="17"/>
        <v>0</v>
      </c>
      <c r="BP236" s="43" t="s">
        <v>1542</v>
      </c>
      <c r="BQ236" s="43" t="s">
        <v>1542</v>
      </c>
      <c r="BR236" s="43" t="s">
        <v>1542</v>
      </c>
      <c r="BS236" s="43" t="s">
        <v>1542</v>
      </c>
      <c r="BT236" s="43" t="s">
        <v>1542</v>
      </c>
      <c r="BU236" s="43" t="s">
        <v>1542</v>
      </c>
      <c r="BV236" s="43" t="s">
        <v>1542</v>
      </c>
      <c r="BW236" s="43" t="s">
        <v>1542</v>
      </c>
      <c r="BX236" s="43" t="s">
        <v>1542</v>
      </c>
      <c r="BY236" s="43" t="s">
        <v>1542</v>
      </c>
      <c r="BZ236" s="43" t="s">
        <v>1542</v>
      </c>
      <c r="CA236" s="43" t="s">
        <v>1542</v>
      </c>
    </row>
    <row r="237" spans="1:79">
      <c r="A237">
        <v>236</v>
      </c>
      <c r="B237">
        <v>1</v>
      </c>
      <c r="C237" t="s">
        <v>1696</v>
      </c>
      <c r="D237" t="s">
        <v>1697</v>
      </c>
      <c r="E237" t="s">
        <v>2556</v>
      </c>
      <c r="F237" t="s">
        <v>2557</v>
      </c>
      <c r="G237" t="s">
        <v>2612</v>
      </c>
      <c r="H237" t="s">
        <v>2612</v>
      </c>
      <c r="J237" t="s">
        <v>2613</v>
      </c>
      <c r="K237" t="s">
        <v>2614</v>
      </c>
      <c r="M237" s="1" t="s">
        <v>2615</v>
      </c>
      <c r="O237" s="46">
        <f t="shared" si="18"/>
        <v>0</v>
      </c>
      <c r="P237" s="43" t="s">
        <v>1542</v>
      </c>
      <c r="Q237" s="43" t="s">
        <v>1542</v>
      </c>
      <c r="R237" s="43" t="s">
        <v>1542</v>
      </c>
      <c r="S237" s="43" t="s">
        <v>1542</v>
      </c>
      <c r="T237" s="43" t="s">
        <v>1542</v>
      </c>
      <c r="U237" s="43" t="s">
        <v>1542</v>
      </c>
      <c r="V237" s="43" t="s">
        <v>1542</v>
      </c>
      <c r="W237" s="43" t="s">
        <v>1542</v>
      </c>
      <c r="X237" s="43" t="s">
        <v>1542</v>
      </c>
      <c r="Y237" s="43" t="s">
        <v>1542</v>
      </c>
      <c r="Z237" s="43" t="s">
        <v>1542</v>
      </c>
      <c r="AA237" s="43" t="s">
        <v>1542</v>
      </c>
      <c r="AB237" s="46">
        <f t="shared" si="19"/>
        <v>0</v>
      </c>
      <c r="AC237" s="44" t="s">
        <v>1542</v>
      </c>
      <c r="AD237" s="44" t="s">
        <v>1542</v>
      </c>
      <c r="AE237" s="44" t="s">
        <v>1542</v>
      </c>
      <c r="AF237" s="44" t="s">
        <v>1542</v>
      </c>
      <c r="AG237" s="44" t="s">
        <v>1542</v>
      </c>
      <c r="AH237" s="44" t="s">
        <v>1542</v>
      </c>
      <c r="AI237" s="44" t="s">
        <v>1542</v>
      </c>
      <c r="AJ237" s="44" t="s">
        <v>1542</v>
      </c>
      <c r="AK237" s="44" t="s">
        <v>1542</v>
      </c>
      <c r="AL237" s="44" t="s">
        <v>1542</v>
      </c>
      <c r="AM237" s="44" t="s">
        <v>1542</v>
      </c>
      <c r="AN237" s="44" t="s">
        <v>1542</v>
      </c>
      <c r="AO237" s="46">
        <f t="shared" si="15"/>
        <v>0</v>
      </c>
      <c r="AP237" s="43" t="s">
        <v>1542</v>
      </c>
      <c r="AQ237" s="43" t="s">
        <v>1542</v>
      </c>
      <c r="AR237" s="43" t="s">
        <v>1542</v>
      </c>
      <c r="AS237" s="43" t="s">
        <v>1542</v>
      </c>
      <c r="AT237" s="43" t="s">
        <v>1542</v>
      </c>
      <c r="AU237" s="43" t="s">
        <v>1542</v>
      </c>
      <c r="AV237" s="43" t="s">
        <v>1542</v>
      </c>
      <c r="AW237" s="43" t="s">
        <v>1542</v>
      </c>
      <c r="AX237" s="43" t="s">
        <v>1542</v>
      </c>
      <c r="AY237" s="43" t="s">
        <v>1542</v>
      </c>
      <c r="AZ237" s="43" t="s">
        <v>1542</v>
      </c>
      <c r="BA237" s="43" t="s">
        <v>1542</v>
      </c>
      <c r="BB237" s="46">
        <f t="shared" si="16"/>
        <v>0</v>
      </c>
      <c r="BC237" s="44" t="s">
        <v>1542</v>
      </c>
      <c r="BD237" s="44" t="s">
        <v>1542</v>
      </c>
      <c r="BE237" s="44" t="s">
        <v>1542</v>
      </c>
      <c r="BF237" s="44" t="s">
        <v>1542</v>
      </c>
      <c r="BG237" s="44" t="s">
        <v>1542</v>
      </c>
      <c r="BH237" s="44" t="s">
        <v>1542</v>
      </c>
      <c r="BI237" s="44" t="s">
        <v>1542</v>
      </c>
      <c r="BJ237" s="44" t="s">
        <v>1542</v>
      </c>
      <c r="BK237" s="44" t="s">
        <v>1542</v>
      </c>
      <c r="BL237" s="44" t="s">
        <v>1542</v>
      </c>
      <c r="BM237" s="44" t="s">
        <v>1542</v>
      </c>
      <c r="BN237" s="44" t="s">
        <v>1542</v>
      </c>
      <c r="BO237" s="46">
        <f t="shared" si="17"/>
        <v>0</v>
      </c>
      <c r="BP237" s="43" t="s">
        <v>1542</v>
      </c>
      <c r="BQ237" s="43" t="s">
        <v>1542</v>
      </c>
      <c r="BR237" s="43" t="s">
        <v>1542</v>
      </c>
      <c r="BS237" s="43" t="s">
        <v>1542</v>
      </c>
      <c r="BT237" s="43" t="s">
        <v>1542</v>
      </c>
      <c r="BU237" s="43" t="s">
        <v>1542</v>
      </c>
      <c r="BV237" s="43" t="s">
        <v>1542</v>
      </c>
      <c r="BW237" s="43" t="s">
        <v>1542</v>
      </c>
      <c r="BX237" s="43" t="s">
        <v>1542</v>
      </c>
      <c r="BY237" s="43" t="s">
        <v>1542</v>
      </c>
      <c r="BZ237" s="43" t="s">
        <v>1542</v>
      </c>
      <c r="CA237" s="43" t="s">
        <v>1542</v>
      </c>
    </row>
    <row r="238" spans="1:79">
      <c r="A238">
        <v>237</v>
      </c>
      <c r="B238">
        <v>1</v>
      </c>
      <c r="C238" t="s">
        <v>1696</v>
      </c>
      <c r="D238" t="s">
        <v>1697</v>
      </c>
      <c r="E238" t="s">
        <v>2556</v>
      </c>
      <c r="F238" t="s">
        <v>2557</v>
      </c>
      <c r="G238" t="s">
        <v>2616</v>
      </c>
      <c r="H238" t="s">
        <v>2616</v>
      </c>
      <c r="J238" t="s">
        <v>2617</v>
      </c>
      <c r="K238" t="s">
        <v>2618</v>
      </c>
      <c r="M238" s="1" t="s">
        <v>2619</v>
      </c>
      <c r="N238" t="s">
        <v>2620</v>
      </c>
      <c r="O238" s="46">
        <f t="shared" si="18"/>
        <v>0</v>
      </c>
      <c r="P238" s="43" t="s">
        <v>1542</v>
      </c>
      <c r="Q238" s="43" t="s">
        <v>1542</v>
      </c>
      <c r="R238" s="43" t="s">
        <v>1542</v>
      </c>
      <c r="S238" s="43" t="s">
        <v>1542</v>
      </c>
      <c r="T238" s="43" t="s">
        <v>1542</v>
      </c>
      <c r="U238" s="43" t="s">
        <v>1542</v>
      </c>
      <c r="V238" s="43" t="s">
        <v>1542</v>
      </c>
      <c r="W238" s="43" t="s">
        <v>1542</v>
      </c>
      <c r="X238" s="43" t="s">
        <v>1542</v>
      </c>
      <c r="Y238" s="43" t="s">
        <v>1542</v>
      </c>
      <c r="Z238" s="43" t="s">
        <v>1542</v>
      </c>
      <c r="AA238" s="43" t="s">
        <v>1542</v>
      </c>
      <c r="AB238" s="46">
        <f t="shared" si="19"/>
        <v>0</v>
      </c>
      <c r="AC238" s="44" t="s">
        <v>1542</v>
      </c>
      <c r="AD238" s="44" t="s">
        <v>1542</v>
      </c>
      <c r="AE238" s="44" t="s">
        <v>1542</v>
      </c>
      <c r="AF238" s="44" t="s">
        <v>1542</v>
      </c>
      <c r="AG238" s="44" t="s">
        <v>1542</v>
      </c>
      <c r="AH238" s="44" t="s">
        <v>1542</v>
      </c>
      <c r="AI238" s="44" t="s">
        <v>1542</v>
      </c>
      <c r="AJ238" s="44" t="s">
        <v>1542</v>
      </c>
      <c r="AK238" s="44" t="s">
        <v>1542</v>
      </c>
      <c r="AL238" s="44" t="s">
        <v>1542</v>
      </c>
      <c r="AM238" s="44" t="s">
        <v>1542</v>
      </c>
      <c r="AN238" s="44" t="s">
        <v>1542</v>
      </c>
      <c r="AO238" s="46">
        <f t="shared" si="15"/>
        <v>0</v>
      </c>
      <c r="AP238" s="43" t="s">
        <v>1542</v>
      </c>
      <c r="AQ238" s="43" t="s">
        <v>1542</v>
      </c>
      <c r="AR238" s="43" t="s">
        <v>1542</v>
      </c>
      <c r="AS238" s="43" t="s">
        <v>1542</v>
      </c>
      <c r="AT238" s="43" t="s">
        <v>1542</v>
      </c>
      <c r="AU238" s="43" t="s">
        <v>1542</v>
      </c>
      <c r="AV238" s="43" t="s">
        <v>1542</v>
      </c>
      <c r="AW238" s="43" t="s">
        <v>1542</v>
      </c>
      <c r="AX238" s="43" t="s">
        <v>1542</v>
      </c>
      <c r="AY238" s="43" t="s">
        <v>1542</v>
      </c>
      <c r="AZ238" s="43" t="s">
        <v>1542</v>
      </c>
      <c r="BA238" s="43" t="s">
        <v>1542</v>
      </c>
      <c r="BB238" s="46">
        <f t="shared" si="16"/>
        <v>0</v>
      </c>
      <c r="BC238" s="44" t="s">
        <v>1542</v>
      </c>
      <c r="BD238" s="44" t="s">
        <v>1542</v>
      </c>
      <c r="BE238" s="44" t="s">
        <v>1542</v>
      </c>
      <c r="BF238" s="44" t="s">
        <v>1542</v>
      </c>
      <c r="BG238" s="44" t="s">
        <v>1542</v>
      </c>
      <c r="BH238" s="44" t="s">
        <v>1542</v>
      </c>
      <c r="BI238" s="44" t="s">
        <v>1542</v>
      </c>
      <c r="BJ238" s="44" t="s">
        <v>1542</v>
      </c>
      <c r="BK238" s="44" t="s">
        <v>1542</v>
      </c>
      <c r="BL238" s="44" t="s">
        <v>1542</v>
      </c>
      <c r="BM238" s="44" t="s">
        <v>1542</v>
      </c>
      <c r="BN238" s="44" t="s">
        <v>1542</v>
      </c>
      <c r="BO238" s="46">
        <f t="shared" si="17"/>
        <v>0</v>
      </c>
      <c r="BP238" s="43" t="s">
        <v>1542</v>
      </c>
      <c r="BQ238" s="43" t="s">
        <v>1542</v>
      </c>
      <c r="BR238" s="43" t="s">
        <v>1542</v>
      </c>
      <c r="BS238" s="43" t="s">
        <v>1542</v>
      </c>
      <c r="BT238" s="43" t="s">
        <v>1542</v>
      </c>
      <c r="BU238" s="43" t="s">
        <v>1542</v>
      </c>
      <c r="BV238" s="43" t="s">
        <v>1542</v>
      </c>
      <c r="BW238" s="43" t="s">
        <v>1542</v>
      </c>
      <c r="BX238" s="43" t="s">
        <v>1542</v>
      </c>
      <c r="BY238" s="43" t="s">
        <v>1542</v>
      </c>
      <c r="BZ238" s="43" t="s">
        <v>1542</v>
      </c>
      <c r="CA238" s="43" t="s">
        <v>1542</v>
      </c>
    </row>
    <row r="239" spans="1:79">
      <c r="A239">
        <v>238</v>
      </c>
      <c r="B239">
        <v>1</v>
      </c>
      <c r="C239" t="s">
        <v>1696</v>
      </c>
      <c r="D239" t="s">
        <v>1697</v>
      </c>
      <c r="E239" t="s">
        <v>2556</v>
      </c>
      <c r="F239" t="s">
        <v>2557</v>
      </c>
      <c r="G239" t="s">
        <v>2621</v>
      </c>
      <c r="H239" t="s">
        <v>2621</v>
      </c>
      <c r="J239" t="s">
        <v>2622</v>
      </c>
      <c r="K239" t="s">
        <v>2623</v>
      </c>
      <c r="M239" s="1" t="s">
        <v>2624</v>
      </c>
      <c r="N239" t="s">
        <v>2625</v>
      </c>
      <c r="O239" s="46">
        <f t="shared" si="18"/>
        <v>0</v>
      </c>
      <c r="P239" s="43" t="s">
        <v>1542</v>
      </c>
      <c r="Q239" s="43" t="s">
        <v>1542</v>
      </c>
      <c r="R239" s="43" t="s">
        <v>1542</v>
      </c>
      <c r="S239" s="43" t="s">
        <v>1542</v>
      </c>
      <c r="T239" s="43" t="s">
        <v>1542</v>
      </c>
      <c r="U239" s="43" t="s">
        <v>1542</v>
      </c>
      <c r="V239" s="43" t="s">
        <v>1542</v>
      </c>
      <c r="W239" s="43" t="s">
        <v>1542</v>
      </c>
      <c r="X239" s="43" t="s">
        <v>1542</v>
      </c>
      <c r="Y239" s="43" t="s">
        <v>1542</v>
      </c>
      <c r="Z239" s="43" t="s">
        <v>1542</v>
      </c>
      <c r="AA239" s="43" t="s">
        <v>1542</v>
      </c>
      <c r="AB239" s="46">
        <f t="shared" si="19"/>
        <v>0</v>
      </c>
      <c r="AC239" s="44" t="s">
        <v>1542</v>
      </c>
      <c r="AD239" s="44" t="s">
        <v>1542</v>
      </c>
      <c r="AE239" s="44" t="s">
        <v>1542</v>
      </c>
      <c r="AF239" s="44" t="s">
        <v>1542</v>
      </c>
      <c r="AG239" s="44" t="s">
        <v>1542</v>
      </c>
      <c r="AH239" s="44" t="s">
        <v>1542</v>
      </c>
      <c r="AI239" s="44" t="s">
        <v>1542</v>
      </c>
      <c r="AJ239" s="44" t="s">
        <v>1542</v>
      </c>
      <c r="AK239" s="44" t="s">
        <v>1542</v>
      </c>
      <c r="AL239" s="44" t="s">
        <v>1542</v>
      </c>
      <c r="AM239" s="44" t="s">
        <v>1542</v>
      </c>
      <c r="AN239" s="44" t="s">
        <v>1542</v>
      </c>
      <c r="AO239" s="46">
        <f t="shared" si="15"/>
        <v>0</v>
      </c>
      <c r="AP239" s="43" t="s">
        <v>1542</v>
      </c>
      <c r="AQ239" s="43" t="s">
        <v>1542</v>
      </c>
      <c r="AR239" s="43" t="s">
        <v>1542</v>
      </c>
      <c r="AS239" s="43" t="s">
        <v>1542</v>
      </c>
      <c r="AT239" s="43" t="s">
        <v>1542</v>
      </c>
      <c r="AU239" s="43" t="s">
        <v>1542</v>
      </c>
      <c r="AV239" s="43" t="s">
        <v>1542</v>
      </c>
      <c r="AW239" s="43" t="s">
        <v>1542</v>
      </c>
      <c r="AX239" s="43" t="s">
        <v>1542</v>
      </c>
      <c r="AY239" s="43" t="s">
        <v>1542</v>
      </c>
      <c r="AZ239" s="43" t="s">
        <v>1542</v>
      </c>
      <c r="BA239" s="43" t="s">
        <v>1542</v>
      </c>
      <c r="BB239" s="46">
        <f t="shared" si="16"/>
        <v>0</v>
      </c>
      <c r="BC239" s="44" t="s">
        <v>1542</v>
      </c>
      <c r="BD239" s="44" t="s">
        <v>1542</v>
      </c>
      <c r="BE239" s="44" t="s">
        <v>1542</v>
      </c>
      <c r="BF239" s="44" t="s">
        <v>1542</v>
      </c>
      <c r="BG239" s="44" t="s">
        <v>1542</v>
      </c>
      <c r="BH239" s="44" t="s">
        <v>1542</v>
      </c>
      <c r="BI239" s="44" t="s">
        <v>1542</v>
      </c>
      <c r="BJ239" s="44" t="s">
        <v>1542</v>
      </c>
      <c r="BK239" s="44" t="s">
        <v>1542</v>
      </c>
      <c r="BL239" s="44" t="s">
        <v>1542</v>
      </c>
      <c r="BM239" s="44" t="s">
        <v>1542</v>
      </c>
      <c r="BN239" s="44" t="s">
        <v>1542</v>
      </c>
      <c r="BO239" s="46">
        <f t="shared" si="17"/>
        <v>0</v>
      </c>
      <c r="BP239" s="43" t="s">
        <v>1542</v>
      </c>
      <c r="BQ239" s="43" t="s">
        <v>1542</v>
      </c>
      <c r="BR239" s="43" t="s">
        <v>1542</v>
      </c>
      <c r="BS239" s="43" t="s">
        <v>1542</v>
      </c>
      <c r="BT239" s="43" t="s">
        <v>1542</v>
      </c>
      <c r="BU239" s="43" t="s">
        <v>1542</v>
      </c>
      <c r="BV239" s="43" t="s">
        <v>1542</v>
      </c>
      <c r="BW239" s="43" t="s">
        <v>1542</v>
      </c>
      <c r="BX239" s="43" t="s">
        <v>1542</v>
      </c>
      <c r="BY239" s="43" t="s">
        <v>1542</v>
      </c>
      <c r="BZ239" s="43" t="s">
        <v>1542</v>
      </c>
      <c r="CA239" s="43" t="s">
        <v>1542</v>
      </c>
    </row>
    <row r="240" spans="1:79">
      <c r="A240">
        <v>239</v>
      </c>
      <c r="C240" t="s">
        <v>1696</v>
      </c>
      <c r="D240" t="s">
        <v>1697</v>
      </c>
      <c r="E240" t="s">
        <v>2556</v>
      </c>
      <c r="F240" t="s">
        <v>2557</v>
      </c>
      <c r="G240" t="s">
        <v>2621</v>
      </c>
      <c r="H240" t="s">
        <v>2626</v>
      </c>
      <c r="I240" t="s">
        <v>2626</v>
      </c>
      <c r="J240" t="s">
        <v>2622</v>
      </c>
      <c r="K240" t="s">
        <v>2623</v>
      </c>
      <c r="M240" s="1" t="s">
        <v>2627</v>
      </c>
      <c r="N240" t="s">
        <v>2628</v>
      </c>
      <c r="O240" s="46">
        <f t="shared" si="18"/>
        <v>0</v>
      </c>
      <c r="P240" s="43"/>
      <c r="Q240" s="43"/>
      <c r="R240" s="43"/>
      <c r="S240" s="43"/>
      <c r="T240" s="43"/>
      <c r="U240" s="43"/>
      <c r="V240" s="43"/>
      <c r="W240" s="43"/>
      <c r="X240" s="43"/>
      <c r="Y240" s="43"/>
      <c r="Z240" s="43"/>
      <c r="AA240" s="43"/>
      <c r="AB240" s="46">
        <f t="shared" si="19"/>
        <v>4</v>
      </c>
      <c r="AC240" s="44" t="s">
        <v>1542</v>
      </c>
      <c r="AD240" s="44" t="s">
        <v>1542</v>
      </c>
      <c r="AE240" s="44" t="s">
        <v>1542</v>
      </c>
      <c r="AF240" s="44" t="s">
        <v>1542</v>
      </c>
      <c r="AG240" s="44" t="s">
        <v>1554</v>
      </c>
      <c r="AH240" s="44" t="s">
        <v>1554</v>
      </c>
      <c r="AI240" s="44" t="s">
        <v>1554</v>
      </c>
      <c r="AJ240" s="44" t="s">
        <v>1542</v>
      </c>
      <c r="AK240" s="44" t="s">
        <v>1554</v>
      </c>
      <c r="AL240" s="44"/>
      <c r="AM240" s="44"/>
      <c r="AN240" s="44"/>
      <c r="AO240" s="46">
        <f t="shared" si="15"/>
        <v>4</v>
      </c>
      <c r="AP240" s="43" t="s">
        <v>1542</v>
      </c>
      <c r="AQ240" s="43" t="s">
        <v>1542</v>
      </c>
      <c r="AR240" s="43" t="s">
        <v>1542</v>
      </c>
      <c r="AS240" s="43" t="s">
        <v>1542</v>
      </c>
      <c r="AT240" s="43" t="s">
        <v>1542</v>
      </c>
      <c r="AU240" s="43" t="s">
        <v>1542</v>
      </c>
      <c r="AV240" s="43" t="s">
        <v>1542</v>
      </c>
      <c r="AW240" s="43" t="s">
        <v>1542</v>
      </c>
      <c r="AX240" s="43" t="s">
        <v>1542</v>
      </c>
      <c r="AY240" s="43" t="s">
        <v>1542</v>
      </c>
      <c r="AZ240" s="43" t="s">
        <v>1542</v>
      </c>
      <c r="BA240" s="43" t="s">
        <v>1542</v>
      </c>
      <c r="BB240" s="46">
        <f t="shared" si="16"/>
        <v>0</v>
      </c>
      <c r="BC240" s="44" t="s">
        <v>1542</v>
      </c>
      <c r="BD240" s="44" t="s">
        <v>1542</v>
      </c>
      <c r="BE240" s="44" t="s">
        <v>1542</v>
      </c>
      <c r="BF240" s="44" t="s">
        <v>1542</v>
      </c>
      <c r="BG240" s="44" t="s">
        <v>1542</v>
      </c>
      <c r="BH240" s="44" t="s">
        <v>1542</v>
      </c>
      <c r="BI240" s="44" t="s">
        <v>1542</v>
      </c>
      <c r="BJ240" s="44" t="s">
        <v>1542</v>
      </c>
      <c r="BK240" s="44" t="s">
        <v>1542</v>
      </c>
      <c r="BL240" s="44" t="s">
        <v>1542</v>
      </c>
      <c r="BM240" s="44" t="s">
        <v>1542</v>
      </c>
      <c r="BN240" s="44" t="s">
        <v>1542</v>
      </c>
      <c r="BO240" s="46">
        <f t="shared" si="17"/>
        <v>0</v>
      </c>
      <c r="BP240" s="43" t="s">
        <v>1542</v>
      </c>
      <c r="BQ240" s="43" t="s">
        <v>1542</v>
      </c>
      <c r="BR240" s="43" t="s">
        <v>1542</v>
      </c>
      <c r="BS240" s="43" t="s">
        <v>1542</v>
      </c>
      <c r="BT240" s="43" t="s">
        <v>1542</v>
      </c>
      <c r="BU240" s="43" t="s">
        <v>1542</v>
      </c>
      <c r="BV240" s="43" t="s">
        <v>1542</v>
      </c>
      <c r="BW240" s="43" t="s">
        <v>1542</v>
      </c>
      <c r="BX240" s="43" t="s">
        <v>1542</v>
      </c>
      <c r="BY240" s="43" t="s">
        <v>1542</v>
      </c>
      <c r="BZ240" s="43" t="s">
        <v>1542</v>
      </c>
      <c r="CA240" s="43" t="s">
        <v>1542</v>
      </c>
    </row>
    <row r="241" spans="1:79">
      <c r="A241">
        <v>240</v>
      </c>
      <c r="B241">
        <v>1</v>
      </c>
      <c r="C241" t="s">
        <v>1696</v>
      </c>
      <c r="D241" t="s">
        <v>1697</v>
      </c>
      <c r="E241" t="s">
        <v>2556</v>
      </c>
      <c r="F241" t="s">
        <v>2557</v>
      </c>
      <c r="G241" t="s">
        <v>2629</v>
      </c>
      <c r="H241" t="s">
        <v>2629</v>
      </c>
      <c r="J241" t="s">
        <v>2630</v>
      </c>
      <c r="K241" t="s">
        <v>2631</v>
      </c>
      <c r="M241" s="1" t="s">
        <v>2632</v>
      </c>
      <c r="N241" t="s">
        <v>2633</v>
      </c>
      <c r="O241" s="46">
        <f t="shared" si="18"/>
        <v>0</v>
      </c>
      <c r="P241" s="43" t="s">
        <v>1542</v>
      </c>
      <c r="Q241" s="43" t="s">
        <v>1542</v>
      </c>
      <c r="R241" s="43" t="s">
        <v>1542</v>
      </c>
      <c r="S241" s="43" t="s">
        <v>1542</v>
      </c>
      <c r="T241" s="43" t="s">
        <v>1542</v>
      </c>
      <c r="U241" s="43" t="s">
        <v>1542</v>
      </c>
      <c r="V241" s="43" t="s">
        <v>1542</v>
      </c>
      <c r="W241" s="43" t="s">
        <v>1542</v>
      </c>
      <c r="X241" s="43" t="s">
        <v>1542</v>
      </c>
      <c r="Y241" s="43" t="s">
        <v>1542</v>
      </c>
      <c r="Z241" s="43" t="s">
        <v>1542</v>
      </c>
      <c r="AA241" s="43" t="s">
        <v>1542</v>
      </c>
      <c r="AB241" s="46">
        <f t="shared" si="19"/>
        <v>0</v>
      </c>
      <c r="AC241" s="44" t="s">
        <v>1542</v>
      </c>
      <c r="AD241" s="44" t="s">
        <v>1542</v>
      </c>
      <c r="AE241" s="44" t="s">
        <v>1542</v>
      </c>
      <c r="AF241" s="44" t="s">
        <v>1542</v>
      </c>
      <c r="AG241" s="44" t="s">
        <v>1542</v>
      </c>
      <c r="AH241" s="44" t="s">
        <v>1542</v>
      </c>
      <c r="AI241" s="44" t="s">
        <v>1542</v>
      </c>
      <c r="AJ241" s="44" t="s">
        <v>1542</v>
      </c>
      <c r="AK241" s="44" t="s">
        <v>1542</v>
      </c>
      <c r="AL241" s="44" t="s">
        <v>1542</v>
      </c>
      <c r="AM241" s="44" t="s">
        <v>1542</v>
      </c>
      <c r="AN241" s="44" t="s">
        <v>1542</v>
      </c>
      <c r="AO241" s="46">
        <f t="shared" si="15"/>
        <v>0</v>
      </c>
      <c r="AP241" s="43" t="s">
        <v>1542</v>
      </c>
      <c r="AQ241" s="43" t="s">
        <v>1542</v>
      </c>
      <c r="AR241" s="43" t="s">
        <v>1542</v>
      </c>
      <c r="AS241" s="43" t="s">
        <v>1542</v>
      </c>
      <c r="AT241" s="43" t="s">
        <v>1542</v>
      </c>
      <c r="AU241" s="43" t="s">
        <v>1542</v>
      </c>
      <c r="AV241" s="43" t="s">
        <v>1542</v>
      </c>
      <c r="AW241" s="43" t="s">
        <v>1542</v>
      </c>
      <c r="AX241" s="43" t="s">
        <v>1542</v>
      </c>
      <c r="AY241" s="43" t="s">
        <v>1542</v>
      </c>
      <c r="AZ241" s="43" t="s">
        <v>1542</v>
      </c>
      <c r="BA241" s="43" t="s">
        <v>1542</v>
      </c>
      <c r="BB241" s="46">
        <f t="shared" si="16"/>
        <v>0</v>
      </c>
      <c r="BC241" s="44" t="s">
        <v>1542</v>
      </c>
      <c r="BD241" s="44" t="s">
        <v>1542</v>
      </c>
      <c r="BE241" s="44" t="s">
        <v>1542</v>
      </c>
      <c r="BF241" s="44" t="s">
        <v>1542</v>
      </c>
      <c r="BG241" s="44" t="s">
        <v>1542</v>
      </c>
      <c r="BH241" s="44" t="s">
        <v>1542</v>
      </c>
      <c r="BI241" s="44" t="s">
        <v>1542</v>
      </c>
      <c r="BJ241" s="44" t="s">
        <v>1542</v>
      </c>
      <c r="BK241" s="44" t="s">
        <v>1542</v>
      </c>
      <c r="BL241" s="44" t="s">
        <v>1542</v>
      </c>
      <c r="BM241" s="44" t="s">
        <v>1542</v>
      </c>
      <c r="BN241" s="44" t="s">
        <v>1542</v>
      </c>
      <c r="BO241" s="46">
        <f t="shared" si="17"/>
        <v>0</v>
      </c>
      <c r="BP241" s="43" t="s">
        <v>1542</v>
      </c>
      <c r="BQ241" s="43" t="s">
        <v>1542</v>
      </c>
      <c r="BR241" s="43" t="s">
        <v>1542</v>
      </c>
      <c r="BS241" s="43" t="s">
        <v>1542</v>
      </c>
      <c r="BT241" s="43" t="s">
        <v>1542</v>
      </c>
      <c r="BU241" s="43" t="s">
        <v>1542</v>
      </c>
      <c r="BV241" s="43" t="s">
        <v>1542</v>
      </c>
      <c r="BW241" s="43" t="s">
        <v>1542</v>
      </c>
      <c r="BX241" s="43" t="s">
        <v>1542</v>
      </c>
      <c r="BY241" s="43" t="s">
        <v>1542</v>
      </c>
      <c r="BZ241" s="43" t="s">
        <v>1542</v>
      </c>
      <c r="CA241" s="43" t="s">
        <v>1542</v>
      </c>
    </row>
    <row r="242" spans="1:79">
      <c r="A242">
        <v>241</v>
      </c>
      <c r="C242" t="s">
        <v>1696</v>
      </c>
      <c r="D242" t="s">
        <v>1697</v>
      </c>
      <c r="E242" t="s">
        <v>2556</v>
      </c>
      <c r="F242" t="s">
        <v>2557</v>
      </c>
      <c r="G242" t="s">
        <v>2629</v>
      </c>
      <c r="H242" t="s">
        <v>2634</v>
      </c>
      <c r="I242" t="s">
        <v>2634</v>
      </c>
      <c r="J242" t="s">
        <v>2635</v>
      </c>
      <c r="K242" t="s">
        <v>2631</v>
      </c>
      <c r="M242" s="1" t="s">
        <v>2636</v>
      </c>
      <c r="N242" t="s">
        <v>2637</v>
      </c>
      <c r="O242" s="46">
        <f t="shared" si="18"/>
        <v>0</v>
      </c>
      <c r="P242" s="43"/>
      <c r="Q242" s="43"/>
      <c r="R242" s="43"/>
      <c r="S242" s="43"/>
      <c r="T242" s="43"/>
      <c r="U242" s="43"/>
      <c r="V242" s="43"/>
      <c r="W242" s="43"/>
      <c r="X242" s="43"/>
      <c r="Y242" s="43"/>
      <c r="Z242" s="43"/>
      <c r="AA242" s="43"/>
      <c r="AB242" s="46">
        <f t="shared" si="19"/>
        <v>0</v>
      </c>
      <c r="AC242" s="44"/>
      <c r="AD242" s="44"/>
      <c r="AE242" s="44"/>
      <c r="AF242" s="44"/>
      <c r="AG242" s="44"/>
      <c r="AH242" s="44"/>
      <c r="AI242" s="44"/>
      <c r="AJ242" s="44"/>
      <c r="AK242" s="44"/>
      <c r="AL242" s="44"/>
      <c r="AM242" s="44"/>
      <c r="AN242" s="44"/>
      <c r="AO242" s="46">
        <f t="shared" si="15"/>
        <v>0</v>
      </c>
      <c r="AP242" s="43"/>
      <c r="AQ242" s="43"/>
      <c r="AR242" s="43"/>
      <c r="AS242" s="43"/>
      <c r="AT242" s="43"/>
      <c r="AU242" s="43"/>
      <c r="AV242" s="43"/>
      <c r="AW242" s="43"/>
      <c r="AX242" s="43"/>
      <c r="AY242" s="43"/>
      <c r="AZ242" s="43"/>
      <c r="BA242" s="43"/>
      <c r="BB242" s="46">
        <f t="shared" si="16"/>
        <v>0</v>
      </c>
      <c r="BC242" s="44"/>
      <c r="BD242" s="44"/>
      <c r="BE242" s="44"/>
      <c r="BF242" s="44"/>
      <c r="BG242" s="44"/>
      <c r="BH242" s="44"/>
      <c r="BI242" s="44"/>
      <c r="BJ242" s="44"/>
      <c r="BK242" s="44"/>
      <c r="BL242" s="44"/>
      <c r="BM242" s="44"/>
      <c r="BN242" s="44"/>
      <c r="BO242" s="46">
        <f t="shared" si="17"/>
        <v>0</v>
      </c>
      <c r="BP242" s="43"/>
      <c r="BQ242" s="43"/>
      <c r="BR242" s="43"/>
      <c r="BS242" s="43"/>
      <c r="BT242" s="43"/>
      <c r="BU242" s="43"/>
      <c r="BV242" s="43"/>
      <c r="BW242" s="43"/>
      <c r="BX242" s="43"/>
      <c r="BY242" s="43"/>
      <c r="BZ242" s="43"/>
      <c r="CA242" s="43"/>
    </row>
    <row r="243" spans="1:79">
      <c r="A243">
        <v>242</v>
      </c>
      <c r="B243">
        <v>1</v>
      </c>
      <c r="C243" t="s">
        <v>1696</v>
      </c>
      <c r="D243" t="s">
        <v>1697</v>
      </c>
      <c r="E243" t="s">
        <v>2556</v>
      </c>
      <c r="F243" t="s">
        <v>2557</v>
      </c>
      <c r="G243" t="s">
        <v>2638</v>
      </c>
      <c r="H243" t="s">
        <v>2638</v>
      </c>
      <c r="I243" t="s">
        <v>2639</v>
      </c>
      <c r="J243" t="s">
        <v>2640</v>
      </c>
      <c r="K243" t="s">
        <v>2641</v>
      </c>
      <c r="M243" s="1" t="s">
        <v>2642</v>
      </c>
      <c r="O243" s="46">
        <f t="shared" si="18"/>
        <v>0</v>
      </c>
      <c r="P243" s="43" t="s">
        <v>1542</v>
      </c>
      <c r="Q243" s="43" t="s">
        <v>1542</v>
      </c>
      <c r="R243" s="43" t="s">
        <v>1542</v>
      </c>
      <c r="S243" s="43" t="s">
        <v>1542</v>
      </c>
      <c r="T243" s="43" t="s">
        <v>1542</v>
      </c>
      <c r="U243" s="43" t="s">
        <v>1542</v>
      </c>
      <c r="V243" s="43" t="s">
        <v>1542</v>
      </c>
      <c r="W243" s="43" t="s">
        <v>1542</v>
      </c>
      <c r="X243" s="43" t="s">
        <v>1542</v>
      </c>
      <c r="Y243" s="43" t="s">
        <v>1542</v>
      </c>
      <c r="Z243" s="43" t="s">
        <v>1542</v>
      </c>
      <c r="AA243" s="43" t="s">
        <v>1542</v>
      </c>
      <c r="AB243" s="46">
        <f t="shared" si="19"/>
        <v>0</v>
      </c>
      <c r="AC243" s="44" t="s">
        <v>1542</v>
      </c>
      <c r="AD243" s="44" t="s">
        <v>1542</v>
      </c>
      <c r="AE243" s="44" t="s">
        <v>1542</v>
      </c>
      <c r="AF243" s="44" t="s">
        <v>1542</v>
      </c>
      <c r="AG243" s="44" t="s">
        <v>1542</v>
      </c>
      <c r="AH243" s="44" t="s">
        <v>1542</v>
      </c>
      <c r="AI243" s="44" t="s">
        <v>1542</v>
      </c>
      <c r="AJ243" s="44" t="s">
        <v>1542</v>
      </c>
      <c r="AK243" s="44" t="s">
        <v>1542</v>
      </c>
      <c r="AL243" s="44" t="s">
        <v>1542</v>
      </c>
      <c r="AM243" s="44" t="s">
        <v>1542</v>
      </c>
      <c r="AN243" s="44" t="s">
        <v>1542</v>
      </c>
      <c r="AO243" s="46">
        <f t="shared" si="15"/>
        <v>0</v>
      </c>
      <c r="AP243" s="43" t="s">
        <v>1542</v>
      </c>
      <c r="AQ243" s="43" t="s">
        <v>1542</v>
      </c>
      <c r="AR243" s="43" t="s">
        <v>1542</v>
      </c>
      <c r="AS243" s="43" t="s">
        <v>1542</v>
      </c>
      <c r="AT243" s="43" t="s">
        <v>1542</v>
      </c>
      <c r="AU243" s="43" t="s">
        <v>1542</v>
      </c>
      <c r="AV243" s="43" t="s">
        <v>1542</v>
      </c>
      <c r="AW243" s="43" t="s">
        <v>1542</v>
      </c>
      <c r="AX243" s="43" t="s">
        <v>1542</v>
      </c>
      <c r="AY243" s="43" t="s">
        <v>1542</v>
      </c>
      <c r="AZ243" s="43" t="s">
        <v>1542</v>
      </c>
      <c r="BA243" s="43" t="s">
        <v>1542</v>
      </c>
      <c r="BB243" s="46">
        <f t="shared" si="16"/>
        <v>0</v>
      </c>
      <c r="BC243" s="44" t="s">
        <v>1542</v>
      </c>
      <c r="BD243" s="44" t="s">
        <v>1542</v>
      </c>
      <c r="BE243" s="44" t="s">
        <v>1542</v>
      </c>
      <c r="BF243" s="44" t="s">
        <v>1542</v>
      </c>
      <c r="BG243" s="44" t="s">
        <v>1542</v>
      </c>
      <c r="BH243" s="44" t="s">
        <v>1542</v>
      </c>
      <c r="BI243" s="44" t="s">
        <v>1542</v>
      </c>
      <c r="BJ243" s="44" t="s">
        <v>1542</v>
      </c>
      <c r="BK243" s="44" t="s">
        <v>1542</v>
      </c>
      <c r="BL243" s="44" t="s">
        <v>1542</v>
      </c>
      <c r="BM243" s="44" t="s">
        <v>1542</v>
      </c>
      <c r="BN243" s="44" t="s">
        <v>1542</v>
      </c>
      <c r="BO243" s="46">
        <f t="shared" si="17"/>
        <v>0</v>
      </c>
      <c r="BP243" s="43" t="s">
        <v>1542</v>
      </c>
      <c r="BQ243" s="43" t="s">
        <v>1542</v>
      </c>
      <c r="BR243" s="43" t="s">
        <v>1542</v>
      </c>
      <c r="BS243" s="43" t="s">
        <v>1542</v>
      </c>
      <c r="BT243" s="43" t="s">
        <v>1542</v>
      </c>
      <c r="BU243" s="43" t="s">
        <v>1542</v>
      </c>
      <c r="BV243" s="43" t="s">
        <v>1542</v>
      </c>
      <c r="BW243" s="43" t="s">
        <v>1542</v>
      </c>
      <c r="BX243" s="43" t="s">
        <v>1542</v>
      </c>
      <c r="BY243" s="43" t="s">
        <v>1542</v>
      </c>
      <c r="BZ243" s="43" t="s">
        <v>1542</v>
      </c>
      <c r="CA243" s="43" t="s">
        <v>1542</v>
      </c>
    </row>
    <row r="244" spans="1:79">
      <c r="A244">
        <v>243</v>
      </c>
      <c r="B244">
        <v>1</v>
      </c>
      <c r="C244" t="s">
        <v>1696</v>
      </c>
      <c r="D244" t="s">
        <v>1697</v>
      </c>
      <c r="E244" t="s">
        <v>2556</v>
      </c>
      <c r="F244" t="s">
        <v>2557</v>
      </c>
      <c r="G244" t="s">
        <v>2643</v>
      </c>
      <c r="H244" t="s">
        <v>2643</v>
      </c>
      <c r="J244" t="s">
        <v>2644</v>
      </c>
      <c r="K244" t="s">
        <v>2645</v>
      </c>
      <c r="M244" s="1" t="s">
        <v>2646</v>
      </c>
      <c r="O244" s="46">
        <f t="shared" si="18"/>
        <v>0</v>
      </c>
      <c r="P244" s="43" t="s">
        <v>1542</v>
      </c>
      <c r="Q244" s="43" t="s">
        <v>1542</v>
      </c>
      <c r="R244" s="43" t="s">
        <v>1542</v>
      </c>
      <c r="S244" s="43" t="s">
        <v>1542</v>
      </c>
      <c r="T244" s="43" t="s">
        <v>1542</v>
      </c>
      <c r="U244" s="43" t="s">
        <v>1542</v>
      </c>
      <c r="V244" s="43" t="s">
        <v>1542</v>
      </c>
      <c r="W244" s="43" t="s">
        <v>1542</v>
      </c>
      <c r="X244" s="43" t="s">
        <v>1542</v>
      </c>
      <c r="Y244" s="43" t="s">
        <v>1542</v>
      </c>
      <c r="Z244" s="43" t="s">
        <v>1542</v>
      </c>
      <c r="AA244" s="43" t="s">
        <v>1542</v>
      </c>
      <c r="AB244" s="46">
        <f t="shared" si="19"/>
        <v>0</v>
      </c>
      <c r="AC244" s="44" t="s">
        <v>1542</v>
      </c>
      <c r="AD244" s="44" t="s">
        <v>1542</v>
      </c>
      <c r="AE244" s="44" t="s">
        <v>1542</v>
      </c>
      <c r="AF244" s="44" t="s">
        <v>1542</v>
      </c>
      <c r="AG244" s="44" t="s">
        <v>1542</v>
      </c>
      <c r="AH244" s="44" t="s">
        <v>1542</v>
      </c>
      <c r="AI244" s="44" t="s">
        <v>1542</v>
      </c>
      <c r="AJ244" s="44" t="s">
        <v>1542</v>
      </c>
      <c r="AK244" s="44" t="s">
        <v>1542</v>
      </c>
      <c r="AL244" s="44" t="s">
        <v>1542</v>
      </c>
      <c r="AM244" s="44" t="s">
        <v>1542</v>
      </c>
      <c r="AN244" s="44" t="s">
        <v>1542</v>
      </c>
      <c r="AO244" s="46">
        <f t="shared" si="15"/>
        <v>0</v>
      </c>
      <c r="AP244" s="43" t="s">
        <v>1542</v>
      </c>
      <c r="AQ244" s="43" t="s">
        <v>1542</v>
      </c>
      <c r="AR244" s="43" t="s">
        <v>1542</v>
      </c>
      <c r="AS244" s="43" t="s">
        <v>1542</v>
      </c>
      <c r="AT244" s="43" t="s">
        <v>1542</v>
      </c>
      <c r="AU244" s="43" t="s">
        <v>1542</v>
      </c>
      <c r="AV244" s="43" t="s">
        <v>1542</v>
      </c>
      <c r="AW244" s="43" t="s">
        <v>1542</v>
      </c>
      <c r="AX244" s="43" t="s">
        <v>1542</v>
      </c>
      <c r="AY244" s="43" t="s">
        <v>1542</v>
      </c>
      <c r="AZ244" s="43" t="s">
        <v>1542</v>
      </c>
      <c r="BA244" s="43" t="s">
        <v>1542</v>
      </c>
      <c r="BB244" s="46">
        <f t="shared" si="16"/>
        <v>0</v>
      </c>
      <c r="BC244" s="44" t="s">
        <v>1542</v>
      </c>
      <c r="BD244" s="44" t="s">
        <v>1542</v>
      </c>
      <c r="BE244" s="44" t="s">
        <v>1542</v>
      </c>
      <c r="BF244" s="44" t="s">
        <v>1542</v>
      </c>
      <c r="BG244" s="44" t="s">
        <v>1542</v>
      </c>
      <c r="BH244" s="44" t="s">
        <v>1542</v>
      </c>
      <c r="BI244" s="44" t="s">
        <v>1542</v>
      </c>
      <c r="BJ244" s="44" t="s">
        <v>1542</v>
      </c>
      <c r="BK244" s="44" t="s">
        <v>1542</v>
      </c>
      <c r="BL244" s="44" t="s">
        <v>1542</v>
      </c>
      <c r="BM244" s="44" t="s">
        <v>1542</v>
      </c>
      <c r="BN244" s="44" t="s">
        <v>1542</v>
      </c>
      <c r="BO244" s="46">
        <f t="shared" si="17"/>
        <v>0</v>
      </c>
      <c r="BP244" s="43" t="s">
        <v>1542</v>
      </c>
      <c r="BQ244" s="43" t="s">
        <v>1542</v>
      </c>
      <c r="BR244" s="43" t="s">
        <v>1542</v>
      </c>
      <c r="BS244" s="43" t="s">
        <v>1542</v>
      </c>
      <c r="BT244" s="43" t="s">
        <v>1542</v>
      </c>
      <c r="BU244" s="43" t="s">
        <v>1542</v>
      </c>
      <c r="BV244" s="43" t="s">
        <v>1542</v>
      </c>
      <c r="BW244" s="43" t="s">
        <v>1542</v>
      </c>
      <c r="BX244" s="43" t="s">
        <v>1542</v>
      </c>
      <c r="BY244" s="43" t="s">
        <v>1542</v>
      </c>
      <c r="BZ244" s="43" t="s">
        <v>1542</v>
      </c>
      <c r="CA244" s="43" t="s">
        <v>1542</v>
      </c>
    </row>
    <row r="245" spans="1:79">
      <c r="A245">
        <v>244</v>
      </c>
      <c r="B245">
        <v>1</v>
      </c>
      <c r="C245" t="s">
        <v>1696</v>
      </c>
      <c r="D245" t="s">
        <v>1697</v>
      </c>
      <c r="E245" t="s">
        <v>2556</v>
      </c>
      <c r="F245" t="s">
        <v>2557</v>
      </c>
      <c r="G245" t="s">
        <v>2647</v>
      </c>
      <c r="H245" t="s">
        <v>2647</v>
      </c>
      <c r="J245" t="s">
        <v>2648</v>
      </c>
      <c r="K245" t="s">
        <v>2649</v>
      </c>
      <c r="M245" s="1" t="s">
        <v>2650</v>
      </c>
      <c r="N245" t="s">
        <v>2651</v>
      </c>
      <c r="O245" s="46">
        <f t="shared" si="18"/>
        <v>0</v>
      </c>
      <c r="P245" s="43" t="s">
        <v>1542</v>
      </c>
      <c r="Q245" s="43" t="s">
        <v>1542</v>
      </c>
      <c r="R245" s="43" t="s">
        <v>1542</v>
      </c>
      <c r="S245" s="43" t="s">
        <v>1542</v>
      </c>
      <c r="T245" s="43" t="s">
        <v>1542</v>
      </c>
      <c r="U245" s="43" t="s">
        <v>1542</v>
      </c>
      <c r="V245" s="43" t="s">
        <v>1542</v>
      </c>
      <c r="W245" s="43" t="s">
        <v>1542</v>
      </c>
      <c r="X245" s="43" t="s">
        <v>1542</v>
      </c>
      <c r="Y245" s="43" t="s">
        <v>1542</v>
      </c>
      <c r="Z245" s="43" t="s">
        <v>1542</v>
      </c>
      <c r="AA245" s="43" t="s">
        <v>1542</v>
      </c>
      <c r="AB245" s="46">
        <f t="shared" si="19"/>
        <v>3</v>
      </c>
      <c r="AC245" s="44" t="s">
        <v>1542</v>
      </c>
      <c r="AD245" s="44" t="s">
        <v>1542</v>
      </c>
      <c r="AE245" s="44" t="s">
        <v>1542</v>
      </c>
      <c r="AF245" s="44" t="s">
        <v>1542</v>
      </c>
      <c r="AG245" s="44" t="s">
        <v>1554</v>
      </c>
      <c r="AH245" s="44" t="s">
        <v>1554</v>
      </c>
      <c r="AI245" s="44" t="s">
        <v>1554</v>
      </c>
      <c r="AJ245" s="44" t="s">
        <v>1542</v>
      </c>
      <c r="AK245" s="44" t="s">
        <v>1542</v>
      </c>
      <c r="AL245" s="44" t="s">
        <v>1542</v>
      </c>
      <c r="AM245" s="44" t="s">
        <v>1542</v>
      </c>
      <c r="AN245" s="44" t="s">
        <v>1542</v>
      </c>
      <c r="AO245" s="46">
        <f t="shared" si="15"/>
        <v>3</v>
      </c>
      <c r="AP245" s="43" t="s">
        <v>1542</v>
      </c>
      <c r="AQ245" s="43" t="s">
        <v>1542</v>
      </c>
      <c r="AR245" s="43" t="s">
        <v>1542</v>
      </c>
      <c r="AS245" s="43" t="s">
        <v>1542</v>
      </c>
      <c r="AT245" s="43" t="s">
        <v>1542</v>
      </c>
      <c r="AU245" s="43" t="s">
        <v>1542</v>
      </c>
      <c r="AV245" s="43" t="s">
        <v>1542</v>
      </c>
      <c r="AW245" s="43" t="s">
        <v>1542</v>
      </c>
      <c r="AX245" s="43" t="s">
        <v>1542</v>
      </c>
      <c r="AY245" s="43" t="s">
        <v>1542</v>
      </c>
      <c r="AZ245" s="43" t="s">
        <v>1542</v>
      </c>
      <c r="BA245" s="43" t="s">
        <v>1542</v>
      </c>
      <c r="BB245" s="46">
        <f t="shared" si="16"/>
        <v>0</v>
      </c>
      <c r="BC245" s="44" t="s">
        <v>1542</v>
      </c>
      <c r="BD245" s="44" t="s">
        <v>1542</v>
      </c>
      <c r="BE245" s="44" t="s">
        <v>1542</v>
      </c>
      <c r="BF245" s="44" t="s">
        <v>1542</v>
      </c>
      <c r="BG245" s="44" t="s">
        <v>1542</v>
      </c>
      <c r="BH245" s="44" t="s">
        <v>1542</v>
      </c>
      <c r="BI245" s="44" t="s">
        <v>1542</v>
      </c>
      <c r="BJ245" s="44" t="s">
        <v>1542</v>
      </c>
      <c r="BK245" s="44" t="s">
        <v>1542</v>
      </c>
      <c r="BL245" s="44" t="s">
        <v>1542</v>
      </c>
      <c r="BM245" s="44" t="s">
        <v>1542</v>
      </c>
      <c r="BN245" s="44" t="s">
        <v>1542</v>
      </c>
      <c r="BO245" s="46">
        <f t="shared" si="17"/>
        <v>0</v>
      </c>
      <c r="BP245" s="43" t="s">
        <v>1542</v>
      </c>
      <c r="BQ245" s="43" t="s">
        <v>1542</v>
      </c>
      <c r="BR245" s="43" t="s">
        <v>1542</v>
      </c>
      <c r="BS245" s="43" t="s">
        <v>1542</v>
      </c>
      <c r="BT245" s="43" t="s">
        <v>1542</v>
      </c>
      <c r="BU245" s="43" t="s">
        <v>1542</v>
      </c>
      <c r="BV245" s="43" t="s">
        <v>1542</v>
      </c>
      <c r="BW245" s="43" t="s">
        <v>1542</v>
      </c>
      <c r="BX245" s="43" t="s">
        <v>1542</v>
      </c>
      <c r="BY245" s="43" t="s">
        <v>1542</v>
      </c>
      <c r="BZ245" s="43" t="s">
        <v>1542</v>
      </c>
      <c r="CA245" s="43" t="s">
        <v>1542</v>
      </c>
    </row>
    <row r="246" spans="1:79">
      <c r="A246">
        <v>245</v>
      </c>
      <c r="C246" t="s">
        <v>1696</v>
      </c>
      <c r="D246" t="s">
        <v>1697</v>
      </c>
      <c r="E246" t="s">
        <v>2556</v>
      </c>
      <c r="F246" t="s">
        <v>2557</v>
      </c>
      <c r="G246" t="s">
        <v>2647</v>
      </c>
      <c r="H246" t="s">
        <v>2652</v>
      </c>
      <c r="I246" t="s">
        <v>2652</v>
      </c>
      <c r="J246" t="s">
        <v>2653</v>
      </c>
      <c r="K246" t="s">
        <v>2649</v>
      </c>
      <c r="M246" s="1" t="s">
        <v>2654</v>
      </c>
      <c r="N246" t="s">
        <v>2655</v>
      </c>
      <c r="O246" s="46">
        <f t="shared" si="18"/>
        <v>0</v>
      </c>
      <c r="P246" s="43"/>
      <c r="Q246" s="43"/>
      <c r="R246" s="43"/>
      <c r="S246" s="43"/>
      <c r="T246" s="43"/>
      <c r="U246" s="43"/>
      <c r="V246" s="43"/>
      <c r="W246" s="43"/>
      <c r="X246" s="43"/>
      <c r="Y246" s="43"/>
      <c r="Z246" s="43"/>
      <c r="AA246" s="43"/>
      <c r="AB246" s="46">
        <f t="shared" si="19"/>
        <v>3</v>
      </c>
      <c r="AC246" s="44"/>
      <c r="AD246" s="44"/>
      <c r="AE246" s="44"/>
      <c r="AF246" s="44"/>
      <c r="AG246" s="44" t="s">
        <v>1554</v>
      </c>
      <c r="AH246" s="44" t="s">
        <v>1554</v>
      </c>
      <c r="AI246" s="44" t="s">
        <v>1554</v>
      </c>
      <c r="AJ246" s="44"/>
      <c r="AK246" s="44"/>
      <c r="AL246" s="44"/>
      <c r="AM246" s="44"/>
      <c r="AN246" s="44"/>
      <c r="AO246" s="46">
        <f t="shared" si="15"/>
        <v>3</v>
      </c>
      <c r="AP246" s="43"/>
      <c r="AQ246" s="43"/>
      <c r="AR246" s="43"/>
      <c r="AS246" s="43"/>
      <c r="AT246" s="43"/>
      <c r="AU246" s="43"/>
      <c r="AV246" s="43"/>
      <c r="AW246" s="43"/>
      <c r="AX246" s="43"/>
      <c r="AY246" s="43"/>
      <c r="AZ246" s="43"/>
      <c r="BA246" s="43"/>
      <c r="BB246" s="46">
        <f t="shared" si="16"/>
        <v>0</v>
      </c>
      <c r="BC246" s="44"/>
      <c r="BD246" s="44"/>
      <c r="BE246" s="44"/>
      <c r="BF246" s="44"/>
      <c r="BG246" s="44"/>
      <c r="BH246" s="44"/>
      <c r="BI246" s="44"/>
      <c r="BJ246" s="44"/>
      <c r="BK246" s="44"/>
      <c r="BL246" s="44"/>
      <c r="BM246" s="44"/>
      <c r="BN246" s="44"/>
      <c r="BO246" s="46">
        <f t="shared" si="17"/>
        <v>0</v>
      </c>
      <c r="BP246" s="43"/>
      <c r="BQ246" s="43"/>
      <c r="BR246" s="43"/>
      <c r="BS246" s="43"/>
      <c r="BT246" s="43"/>
      <c r="BU246" s="43"/>
      <c r="BV246" s="43"/>
      <c r="BW246" s="43"/>
      <c r="BX246" s="43"/>
      <c r="BY246" s="43"/>
      <c r="BZ246" s="43"/>
      <c r="CA246" s="43"/>
    </row>
    <row r="247" spans="1:79">
      <c r="A247">
        <v>246</v>
      </c>
      <c r="B247" t="s">
        <v>1543</v>
      </c>
      <c r="C247" t="s">
        <v>1696</v>
      </c>
      <c r="D247" t="s">
        <v>1697</v>
      </c>
      <c r="E247" t="s">
        <v>2556</v>
      </c>
      <c r="F247" t="s">
        <v>2557</v>
      </c>
      <c r="G247" t="s">
        <v>2656</v>
      </c>
      <c r="H247" t="s">
        <v>2656</v>
      </c>
      <c r="J247" t="s">
        <v>2657</v>
      </c>
      <c r="K247" t="s">
        <v>2658</v>
      </c>
      <c r="M247" s="1" t="s">
        <v>2659</v>
      </c>
      <c r="N247" t="s">
        <v>2660</v>
      </c>
      <c r="O247" s="46">
        <f t="shared" si="18"/>
        <v>0</v>
      </c>
      <c r="P247" s="43" t="s">
        <v>1542</v>
      </c>
      <c r="Q247" s="43" t="s">
        <v>1542</v>
      </c>
      <c r="R247" s="43" t="s">
        <v>1542</v>
      </c>
      <c r="S247" s="43" t="s">
        <v>1542</v>
      </c>
      <c r="T247" s="43" t="s">
        <v>1542</v>
      </c>
      <c r="U247" s="43" t="s">
        <v>1542</v>
      </c>
      <c r="V247" s="43" t="s">
        <v>1542</v>
      </c>
      <c r="W247" s="43" t="s">
        <v>1542</v>
      </c>
      <c r="X247" s="43" t="s">
        <v>1542</v>
      </c>
      <c r="Y247" s="43"/>
      <c r="Z247" s="43"/>
      <c r="AA247" s="43"/>
      <c r="AB247" s="46">
        <f t="shared" si="19"/>
        <v>0</v>
      </c>
      <c r="AC247" s="44" t="s">
        <v>1542</v>
      </c>
      <c r="AD247" s="44" t="s">
        <v>1542</v>
      </c>
      <c r="AE247" s="44" t="s">
        <v>1542</v>
      </c>
      <c r="AF247" s="44" t="s">
        <v>1542</v>
      </c>
      <c r="AG247" s="44" t="s">
        <v>1542</v>
      </c>
      <c r="AH247" s="44" t="s">
        <v>1542</v>
      </c>
      <c r="AI247" s="44" t="s">
        <v>1542</v>
      </c>
      <c r="AJ247" s="44" t="s">
        <v>1542</v>
      </c>
      <c r="AK247" s="44" t="s">
        <v>1542</v>
      </c>
      <c r="AL247" s="44" t="s">
        <v>1542</v>
      </c>
      <c r="AM247" s="44" t="s">
        <v>1542</v>
      </c>
      <c r="AN247" s="44" t="s">
        <v>1542</v>
      </c>
      <c r="AO247" s="46">
        <f t="shared" si="15"/>
        <v>0</v>
      </c>
      <c r="AP247" s="43" t="s">
        <v>1542</v>
      </c>
      <c r="AQ247" s="43" t="s">
        <v>1542</v>
      </c>
      <c r="AR247" s="43" t="s">
        <v>1542</v>
      </c>
      <c r="AS247" s="43" t="s">
        <v>1542</v>
      </c>
      <c r="AT247" s="43" t="s">
        <v>1542</v>
      </c>
      <c r="AU247" s="43" t="s">
        <v>1542</v>
      </c>
      <c r="AV247" s="43" t="s">
        <v>1542</v>
      </c>
      <c r="AW247" s="43" t="s">
        <v>1542</v>
      </c>
      <c r="AX247" s="43" t="s">
        <v>1542</v>
      </c>
      <c r="AY247" s="43" t="s">
        <v>1542</v>
      </c>
      <c r="AZ247" s="43" t="s">
        <v>1542</v>
      </c>
      <c r="BA247" s="43" t="s">
        <v>1542</v>
      </c>
      <c r="BB247" s="46">
        <f t="shared" si="16"/>
        <v>0</v>
      </c>
      <c r="BC247" s="44" t="s">
        <v>1542</v>
      </c>
      <c r="BD247" s="44" t="s">
        <v>1542</v>
      </c>
      <c r="BE247" s="44" t="s">
        <v>1542</v>
      </c>
      <c r="BF247" s="44" t="s">
        <v>1542</v>
      </c>
      <c r="BG247" s="44" t="s">
        <v>1542</v>
      </c>
      <c r="BH247" s="44" t="s">
        <v>1542</v>
      </c>
      <c r="BI247" s="44" t="s">
        <v>1542</v>
      </c>
      <c r="BJ247" s="44" t="s">
        <v>1542</v>
      </c>
      <c r="BK247" s="44" t="s">
        <v>1542</v>
      </c>
      <c r="BL247" s="44" t="s">
        <v>1542</v>
      </c>
      <c r="BM247" s="44" t="s">
        <v>1542</v>
      </c>
      <c r="BN247" s="44" t="s">
        <v>1542</v>
      </c>
      <c r="BO247" s="46">
        <f t="shared" si="17"/>
        <v>0</v>
      </c>
      <c r="BP247" s="43" t="s">
        <v>1542</v>
      </c>
      <c r="BQ247" s="43" t="s">
        <v>1542</v>
      </c>
      <c r="BR247" s="43" t="s">
        <v>1542</v>
      </c>
      <c r="BS247" s="43" t="s">
        <v>1542</v>
      </c>
      <c r="BT247" s="43" t="s">
        <v>1542</v>
      </c>
      <c r="BU247" s="43" t="s">
        <v>1542</v>
      </c>
      <c r="BV247" s="43" t="s">
        <v>1542</v>
      </c>
      <c r="BW247" s="43" t="s">
        <v>1542</v>
      </c>
      <c r="BX247" s="43" t="s">
        <v>1542</v>
      </c>
      <c r="BY247" s="43" t="s">
        <v>1542</v>
      </c>
      <c r="BZ247" s="43" t="s">
        <v>1542</v>
      </c>
      <c r="CA247" s="43" t="s">
        <v>1542</v>
      </c>
    </row>
    <row r="248" spans="1:79">
      <c r="A248">
        <v>247</v>
      </c>
      <c r="B248">
        <v>1</v>
      </c>
      <c r="C248" t="s">
        <v>1696</v>
      </c>
      <c r="D248" t="s">
        <v>1697</v>
      </c>
      <c r="E248" t="s">
        <v>2661</v>
      </c>
      <c r="F248" t="s">
        <v>2662</v>
      </c>
      <c r="G248" t="s">
        <v>2663</v>
      </c>
      <c r="H248" t="s">
        <v>2663</v>
      </c>
      <c r="J248" t="s">
        <v>2664</v>
      </c>
      <c r="K248" t="s">
        <v>2665</v>
      </c>
      <c r="M248" s="1" t="s">
        <v>2666</v>
      </c>
      <c r="O248" s="46">
        <f t="shared" si="18"/>
        <v>0</v>
      </c>
      <c r="P248" s="43" t="s">
        <v>1542</v>
      </c>
      <c r="Q248" s="43" t="s">
        <v>1542</v>
      </c>
      <c r="R248" s="43" t="s">
        <v>1542</v>
      </c>
      <c r="S248" s="43" t="s">
        <v>1542</v>
      </c>
      <c r="T248" s="43" t="s">
        <v>1542</v>
      </c>
      <c r="U248" s="43" t="s">
        <v>1542</v>
      </c>
      <c r="V248" s="43" t="s">
        <v>1542</v>
      </c>
      <c r="W248" s="43" t="s">
        <v>1542</v>
      </c>
      <c r="X248" s="43" t="s">
        <v>1542</v>
      </c>
      <c r="Y248" s="43" t="s">
        <v>1542</v>
      </c>
      <c r="Z248" s="43" t="s">
        <v>1542</v>
      </c>
      <c r="AA248" s="43" t="s">
        <v>1542</v>
      </c>
      <c r="AB248" s="46">
        <f t="shared" si="19"/>
        <v>0</v>
      </c>
      <c r="AC248" s="44" t="s">
        <v>1542</v>
      </c>
      <c r="AD248" s="44" t="s">
        <v>1542</v>
      </c>
      <c r="AE248" s="44" t="s">
        <v>1542</v>
      </c>
      <c r="AF248" s="44" t="s">
        <v>1542</v>
      </c>
      <c r="AG248" s="44" t="s">
        <v>1542</v>
      </c>
      <c r="AH248" s="44" t="s">
        <v>1542</v>
      </c>
      <c r="AI248" s="44" t="s">
        <v>1542</v>
      </c>
      <c r="AJ248" s="44" t="s">
        <v>1542</v>
      </c>
      <c r="AK248" s="44" t="s">
        <v>1542</v>
      </c>
      <c r="AL248" s="44" t="s">
        <v>1542</v>
      </c>
      <c r="AM248" s="44" t="s">
        <v>1542</v>
      </c>
      <c r="AN248" s="44" t="s">
        <v>1542</v>
      </c>
      <c r="AO248" s="46">
        <f t="shared" si="15"/>
        <v>0</v>
      </c>
      <c r="AP248" s="43" t="s">
        <v>1542</v>
      </c>
      <c r="AQ248" s="43" t="s">
        <v>1542</v>
      </c>
      <c r="AR248" s="43" t="s">
        <v>1542</v>
      </c>
      <c r="AS248" s="43" t="s">
        <v>1542</v>
      </c>
      <c r="AT248" s="43" t="s">
        <v>1542</v>
      </c>
      <c r="AU248" s="43" t="s">
        <v>1542</v>
      </c>
      <c r="AV248" s="43" t="s">
        <v>1542</v>
      </c>
      <c r="AW248" s="43" t="s">
        <v>1542</v>
      </c>
      <c r="AX248" s="43" t="s">
        <v>1542</v>
      </c>
      <c r="AY248" s="43" t="s">
        <v>1542</v>
      </c>
      <c r="AZ248" s="43" t="s">
        <v>1542</v>
      </c>
      <c r="BA248" s="43" t="s">
        <v>1542</v>
      </c>
      <c r="BB248" s="46">
        <f t="shared" si="16"/>
        <v>0</v>
      </c>
      <c r="BC248" s="44" t="s">
        <v>1542</v>
      </c>
      <c r="BD248" s="44" t="s">
        <v>1542</v>
      </c>
      <c r="BE248" s="44" t="s">
        <v>1542</v>
      </c>
      <c r="BF248" s="44" t="s">
        <v>1542</v>
      </c>
      <c r="BG248" s="44" t="s">
        <v>1542</v>
      </c>
      <c r="BH248" s="44" t="s">
        <v>1542</v>
      </c>
      <c r="BI248" s="44" t="s">
        <v>1542</v>
      </c>
      <c r="BJ248" s="44" t="s">
        <v>1542</v>
      </c>
      <c r="BK248" s="44" t="s">
        <v>1542</v>
      </c>
      <c r="BL248" s="44" t="s">
        <v>1542</v>
      </c>
      <c r="BM248" s="44" t="s">
        <v>1542</v>
      </c>
      <c r="BN248" s="44" t="s">
        <v>1542</v>
      </c>
      <c r="BO248" s="46">
        <f t="shared" si="17"/>
        <v>0</v>
      </c>
      <c r="BP248" s="43" t="s">
        <v>1542</v>
      </c>
      <c r="BQ248" s="43" t="s">
        <v>1542</v>
      </c>
      <c r="BR248" s="43" t="s">
        <v>1542</v>
      </c>
      <c r="BS248" s="43" t="s">
        <v>1542</v>
      </c>
      <c r="BT248" s="43" t="s">
        <v>1542</v>
      </c>
      <c r="BU248" s="43" t="s">
        <v>1542</v>
      </c>
      <c r="BV248" s="43" t="s">
        <v>1542</v>
      </c>
      <c r="BW248" s="43" t="s">
        <v>1542</v>
      </c>
      <c r="BX248" s="43" t="s">
        <v>1542</v>
      </c>
      <c r="BY248" s="43" t="s">
        <v>1542</v>
      </c>
      <c r="BZ248" s="43" t="s">
        <v>1542</v>
      </c>
      <c r="CA248" s="43" t="s">
        <v>1542</v>
      </c>
    </row>
    <row r="249" spans="1:79">
      <c r="A249">
        <v>248</v>
      </c>
      <c r="B249" t="s">
        <v>1543</v>
      </c>
      <c r="C249" t="s">
        <v>1696</v>
      </c>
      <c r="D249" t="s">
        <v>1697</v>
      </c>
      <c r="E249" t="s">
        <v>2661</v>
      </c>
      <c r="F249" t="s">
        <v>2662</v>
      </c>
      <c r="G249" t="s">
        <v>2667</v>
      </c>
      <c r="H249" t="s">
        <v>2667</v>
      </c>
      <c r="J249" t="s">
        <v>2668</v>
      </c>
      <c r="K249" t="s">
        <v>2669</v>
      </c>
      <c r="M249" s="1" t="s">
        <v>2670</v>
      </c>
      <c r="N249" t="s">
        <v>2671</v>
      </c>
      <c r="O249" s="46">
        <f t="shared" si="18"/>
        <v>0</v>
      </c>
      <c r="P249" s="43"/>
      <c r="Q249" s="43"/>
      <c r="R249" s="43"/>
      <c r="S249" s="43"/>
      <c r="T249" s="43"/>
      <c r="U249" s="43"/>
      <c r="V249" s="43"/>
      <c r="W249" s="43"/>
      <c r="X249" s="43"/>
      <c r="Y249" s="43"/>
      <c r="Z249" s="43"/>
      <c r="AA249" s="43"/>
      <c r="AB249" s="46">
        <f t="shared" si="19"/>
        <v>0</v>
      </c>
      <c r="AC249" s="44"/>
      <c r="AD249" s="44"/>
      <c r="AE249" s="44"/>
      <c r="AF249" s="44"/>
      <c r="AG249" s="44"/>
      <c r="AH249" s="44"/>
      <c r="AI249" s="44"/>
      <c r="AJ249" s="44"/>
      <c r="AK249" s="44"/>
      <c r="AL249" s="44"/>
      <c r="AM249" s="44"/>
      <c r="AN249" s="44"/>
      <c r="AO249" s="46">
        <f t="shared" si="15"/>
        <v>0</v>
      </c>
      <c r="AP249" s="43"/>
      <c r="AQ249" s="43"/>
      <c r="AR249" s="43"/>
      <c r="AS249" s="43"/>
      <c r="AT249" s="43"/>
      <c r="AU249" s="43"/>
      <c r="AV249" s="43"/>
      <c r="AW249" s="43"/>
      <c r="AX249" s="43"/>
      <c r="AY249" s="43"/>
      <c r="AZ249" s="43"/>
      <c r="BA249" s="43"/>
      <c r="BB249" s="46">
        <f t="shared" si="16"/>
        <v>0</v>
      </c>
      <c r="BC249" s="44"/>
      <c r="BD249" s="44"/>
      <c r="BE249" s="44"/>
      <c r="BF249" s="44"/>
      <c r="BG249" s="44"/>
      <c r="BH249" s="44"/>
      <c r="BI249" s="44"/>
      <c r="BJ249" s="44"/>
      <c r="BK249" s="44"/>
      <c r="BL249" s="44"/>
      <c r="BM249" s="44"/>
      <c r="BN249" s="44"/>
      <c r="BO249" s="46">
        <f t="shared" si="17"/>
        <v>0</v>
      </c>
      <c r="BP249" s="43"/>
      <c r="BQ249" s="43"/>
      <c r="BR249" s="43"/>
      <c r="BS249" s="43"/>
      <c r="BT249" s="43"/>
      <c r="BU249" s="43"/>
      <c r="BV249" s="43"/>
      <c r="BW249" s="43"/>
      <c r="BX249" s="43"/>
      <c r="BY249" s="43"/>
      <c r="BZ249" s="43"/>
      <c r="CA249" s="43"/>
    </row>
    <row r="250" spans="1:79">
      <c r="A250">
        <v>249</v>
      </c>
      <c r="B250">
        <v>1</v>
      </c>
      <c r="C250" t="s">
        <v>1696</v>
      </c>
      <c r="D250" t="s">
        <v>1697</v>
      </c>
      <c r="E250" t="s">
        <v>2661</v>
      </c>
      <c r="F250" t="s">
        <v>2662</v>
      </c>
      <c r="G250" t="s">
        <v>2672</v>
      </c>
      <c r="H250" t="s">
        <v>2672</v>
      </c>
      <c r="J250" t="s">
        <v>2673</v>
      </c>
      <c r="K250" t="s">
        <v>2674</v>
      </c>
      <c r="M250" s="1" t="s">
        <v>2675</v>
      </c>
      <c r="O250" s="46">
        <f t="shared" si="18"/>
        <v>0</v>
      </c>
      <c r="P250" s="43" t="s">
        <v>1542</v>
      </c>
      <c r="Q250" s="43" t="s">
        <v>1542</v>
      </c>
      <c r="R250" s="43" t="s">
        <v>1542</v>
      </c>
      <c r="S250" s="43" t="s">
        <v>1542</v>
      </c>
      <c r="T250" s="43" t="s">
        <v>1542</v>
      </c>
      <c r="U250" s="43" t="s">
        <v>1542</v>
      </c>
      <c r="V250" s="43" t="s">
        <v>1542</v>
      </c>
      <c r="W250" s="43" t="s">
        <v>1542</v>
      </c>
      <c r="X250" s="43" t="s">
        <v>1542</v>
      </c>
      <c r="Y250" s="43" t="s">
        <v>1542</v>
      </c>
      <c r="Z250" s="43" t="s">
        <v>1542</v>
      </c>
      <c r="AA250" s="43" t="s">
        <v>1542</v>
      </c>
      <c r="AB250" s="46">
        <f t="shared" si="19"/>
        <v>0</v>
      </c>
      <c r="AC250" s="44" t="s">
        <v>1542</v>
      </c>
      <c r="AD250" s="44" t="s">
        <v>1542</v>
      </c>
      <c r="AE250" s="44" t="s">
        <v>1542</v>
      </c>
      <c r="AF250" s="44" t="s">
        <v>1542</v>
      </c>
      <c r="AG250" s="44" t="s">
        <v>1542</v>
      </c>
      <c r="AH250" s="44" t="s">
        <v>1542</v>
      </c>
      <c r="AI250" s="44" t="s">
        <v>1542</v>
      </c>
      <c r="AJ250" s="44" t="s">
        <v>1542</v>
      </c>
      <c r="AK250" s="44" t="s">
        <v>1542</v>
      </c>
      <c r="AL250" s="44" t="s">
        <v>1542</v>
      </c>
      <c r="AM250" s="44" t="s">
        <v>1542</v>
      </c>
      <c r="AN250" s="44" t="s">
        <v>1542</v>
      </c>
      <c r="AO250" s="46">
        <f t="shared" si="15"/>
        <v>0</v>
      </c>
      <c r="AP250" s="43" t="s">
        <v>1542</v>
      </c>
      <c r="AQ250" s="43" t="s">
        <v>1542</v>
      </c>
      <c r="AR250" s="43" t="s">
        <v>1542</v>
      </c>
      <c r="AS250" s="43" t="s">
        <v>1542</v>
      </c>
      <c r="AT250" s="43" t="s">
        <v>1542</v>
      </c>
      <c r="AU250" s="43" t="s">
        <v>1542</v>
      </c>
      <c r="AV250" s="43" t="s">
        <v>1542</v>
      </c>
      <c r="AW250" s="43" t="s">
        <v>1542</v>
      </c>
      <c r="AX250" s="43" t="s">
        <v>1542</v>
      </c>
      <c r="AY250" s="43" t="s">
        <v>1542</v>
      </c>
      <c r="AZ250" s="43" t="s">
        <v>1542</v>
      </c>
      <c r="BA250" s="43" t="s">
        <v>1542</v>
      </c>
      <c r="BB250" s="46">
        <f t="shared" si="16"/>
        <v>0</v>
      </c>
      <c r="BC250" s="44" t="s">
        <v>1542</v>
      </c>
      <c r="BD250" s="44" t="s">
        <v>1542</v>
      </c>
      <c r="BE250" s="44" t="s">
        <v>1542</v>
      </c>
      <c r="BF250" s="44" t="s">
        <v>1542</v>
      </c>
      <c r="BG250" s="44" t="s">
        <v>1542</v>
      </c>
      <c r="BH250" s="44" t="s">
        <v>1542</v>
      </c>
      <c r="BI250" s="44" t="s">
        <v>1542</v>
      </c>
      <c r="BJ250" s="44" t="s">
        <v>1542</v>
      </c>
      <c r="BK250" s="44" t="s">
        <v>1542</v>
      </c>
      <c r="BL250" s="44" t="s">
        <v>1542</v>
      </c>
      <c r="BM250" s="44" t="s">
        <v>1542</v>
      </c>
      <c r="BN250" s="44" t="s">
        <v>1542</v>
      </c>
      <c r="BO250" s="46">
        <f t="shared" si="17"/>
        <v>0</v>
      </c>
      <c r="BP250" s="43" t="s">
        <v>1542</v>
      </c>
      <c r="BQ250" s="43" t="s">
        <v>1542</v>
      </c>
      <c r="BR250" s="43" t="s">
        <v>1542</v>
      </c>
      <c r="BS250" s="43" t="s">
        <v>1542</v>
      </c>
      <c r="BT250" s="43" t="s">
        <v>1542</v>
      </c>
      <c r="BU250" s="43" t="s">
        <v>1542</v>
      </c>
      <c r="BV250" s="43" t="s">
        <v>1542</v>
      </c>
      <c r="BW250" s="43" t="s">
        <v>1542</v>
      </c>
      <c r="BX250" s="43" t="s">
        <v>1542</v>
      </c>
      <c r="BY250" s="43" t="s">
        <v>1542</v>
      </c>
      <c r="BZ250" s="43" t="s">
        <v>1542</v>
      </c>
      <c r="CA250" s="43" t="s">
        <v>1542</v>
      </c>
    </row>
    <row r="251" spans="1:79">
      <c r="A251">
        <v>250</v>
      </c>
      <c r="B251">
        <v>1</v>
      </c>
      <c r="C251" t="s">
        <v>1696</v>
      </c>
      <c r="D251" t="s">
        <v>1697</v>
      </c>
      <c r="E251" t="s">
        <v>2661</v>
      </c>
      <c r="F251" t="s">
        <v>2662</v>
      </c>
      <c r="G251" t="s">
        <v>2676</v>
      </c>
      <c r="H251" t="s">
        <v>2676</v>
      </c>
      <c r="J251" t="s">
        <v>2677</v>
      </c>
      <c r="K251" t="s">
        <v>2678</v>
      </c>
      <c r="M251" s="1" t="s">
        <v>2679</v>
      </c>
      <c r="N251" t="s">
        <v>2680</v>
      </c>
      <c r="O251" s="46">
        <f t="shared" si="18"/>
        <v>0</v>
      </c>
      <c r="P251" s="43" t="s">
        <v>1542</v>
      </c>
      <c r="Q251" s="43" t="s">
        <v>1542</v>
      </c>
      <c r="R251" s="43" t="s">
        <v>1542</v>
      </c>
      <c r="S251" s="43" t="s">
        <v>1542</v>
      </c>
      <c r="T251" s="43" t="s">
        <v>1542</v>
      </c>
      <c r="U251" s="43" t="s">
        <v>1542</v>
      </c>
      <c r="V251" s="43" t="s">
        <v>1542</v>
      </c>
      <c r="W251" s="43" t="s">
        <v>1542</v>
      </c>
      <c r="X251" s="43" t="s">
        <v>1542</v>
      </c>
      <c r="Y251" s="43" t="s">
        <v>1542</v>
      </c>
      <c r="Z251" s="43" t="s">
        <v>1542</v>
      </c>
      <c r="AA251" s="43" t="s">
        <v>1542</v>
      </c>
      <c r="AB251" s="46">
        <f t="shared" si="19"/>
        <v>0</v>
      </c>
      <c r="AC251" s="44" t="s">
        <v>1542</v>
      </c>
      <c r="AD251" s="44" t="s">
        <v>1542</v>
      </c>
      <c r="AE251" s="44" t="s">
        <v>1542</v>
      </c>
      <c r="AF251" s="44" t="s">
        <v>1542</v>
      </c>
      <c r="AG251" s="44" t="s">
        <v>1542</v>
      </c>
      <c r="AH251" s="44" t="s">
        <v>1542</v>
      </c>
      <c r="AI251" s="44" t="s">
        <v>1542</v>
      </c>
      <c r="AJ251" s="44" t="s">
        <v>1542</v>
      </c>
      <c r="AK251" s="44" t="s">
        <v>1542</v>
      </c>
      <c r="AL251" s="44" t="s">
        <v>1542</v>
      </c>
      <c r="AM251" s="44" t="s">
        <v>1542</v>
      </c>
      <c r="AN251" s="44" t="s">
        <v>1542</v>
      </c>
      <c r="AO251" s="46">
        <f t="shared" si="15"/>
        <v>0</v>
      </c>
      <c r="AP251" s="43" t="s">
        <v>1542</v>
      </c>
      <c r="AQ251" s="43" t="s">
        <v>1542</v>
      </c>
      <c r="AR251" s="43" t="s">
        <v>1542</v>
      </c>
      <c r="AS251" s="43" t="s">
        <v>1542</v>
      </c>
      <c r="AT251" s="43" t="s">
        <v>1542</v>
      </c>
      <c r="AU251" s="43" t="s">
        <v>1542</v>
      </c>
      <c r="AV251" s="43" t="s">
        <v>1542</v>
      </c>
      <c r="AW251" s="43" t="s">
        <v>1542</v>
      </c>
      <c r="AX251" s="43" t="s">
        <v>1542</v>
      </c>
      <c r="AY251" s="43" t="s">
        <v>1542</v>
      </c>
      <c r="AZ251" s="43" t="s">
        <v>1542</v>
      </c>
      <c r="BA251" s="43" t="s">
        <v>1542</v>
      </c>
      <c r="BB251" s="46">
        <f t="shared" si="16"/>
        <v>0</v>
      </c>
      <c r="BC251" s="44" t="s">
        <v>1542</v>
      </c>
      <c r="BD251" s="44" t="s">
        <v>1542</v>
      </c>
      <c r="BE251" s="44" t="s">
        <v>1542</v>
      </c>
      <c r="BF251" s="44" t="s">
        <v>1542</v>
      </c>
      <c r="BG251" s="44" t="s">
        <v>1542</v>
      </c>
      <c r="BH251" s="44" t="s">
        <v>1542</v>
      </c>
      <c r="BI251" s="44" t="s">
        <v>1542</v>
      </c>
      <c r="BJ251" s="44" t="s">
        <v>1542</v>
      </c>
      <c r="BK251" s="44" t="s">
        <v>1542</v>
      </c>
      <c r="BL251" s="44" t="s">
        <v>1542</v>
      </c>
      <c r="BM251" s="44" t="s">
        <v>1542</v>
      </c>
      <c r="BN251" s="44" t="s">
        <v>1542</v>
      </c>
      <c r="BO251" s="46">
        <f t="shared" si="17"/>
        <v>0</v>
      </c>
      <c r="BP251" s="43" t="s">
        <v>1542</v>
      </c>
      <c r="BQ251" s="43" t="s">
        <v>1542</v>
      </c>
      <c r="BR251" s="43" t="s">
        <v>1542</v>
      </c>
      <c r="BS251" s="43" t="s">
        <v>1542</v>
      </c>
      <c r="BT251" s="43" t="s">
        <v>1542</v>
      </c>
      <c r="BU251" s="43" t="s">
        <v>1542</v>
      </c>
      <c r="BV251" s="43" t="s">
        <v>1542</v>
      </c>
      <c r="BW251" s="43" t="s">
        <v>1542</v>
      </c>
      <c r="BX251" s="43" t="s">
        <v>1554</v>
      </c>
      <c r="BY251" s="43" t="s">
        <v>1554</v>
      </c>
      <c r="BZ251" s="43" t="s">
        <v>1542</v>
      </c>
      <c r="CA251" s="43" t="s">
        <v>1542</v>
      </c>
    </row>
    <row r="252" spans="1:79">
      <c r="A252">
        <v>251</v>
      </c>
      <c r="B252">
        <v>1</v>
      </c>
      <c r="C252" t="s">
        <v>1696</v>
      </c>
      <c r="D252" t="s">
        <v>1697</v>
      </c>
      <c r="E252" t="s">
        <v>2661</v>
      </c>
      <c r="F252" t="s">
        <v>2662</v>
      </c>
      <c r="G252" t="s">
        <v>2681</v>
      </c>
      <c r="H252" t="s">
        <v>2681</v>
      </c>
      <c r="J252" t="s">
        <v>2682</v>
      </c>
      <c r="K252" t="s">
        <v>2683</v>
      </c>
      <c r="M252" s="1" t="s">
        <v>2684</v>
      </c>
      <c r="O252" s="46">
        <f t="shared" si="18"/>
        <v>0</v>
      </c>
      <c r="P252" s="43" t="s">
        <v>1542</v>
      </c>
      <c r="Q252" s="43" t="s">
        <v>1542</v>
      </c>
      <c r="R252" s="43" t="s">
        <v>1542</v>
      </c>
      <c r="S252" s="43" t="s">
        <v>1542</v>
      </c>
      <c r="T252" s="43" t="s">
        <v>1542</v>
      </c>
      <c r="U252" s="43" t="s">
        <v>1542</v>
      </c>
      <c r="V252" s="43" t="s">
        <v>1542</v>
      </c>
      <c r="W252" s="43" t="s">
        <v>1542</v>
      </c>
      <c r="X252" s="43" t="s">
        <v>1542</v>
      </c>
      <c r="Y252" s="43" t="s">
        <v>1542</v>
      </c>
      <c r="Z252" s="43" t="s">
        <v>1542</v>
      </c>
      <c r="AA252" s="43" t="s">
        <v>1542</v>
      </c>
      <c r="AB252" s="46">
        <f t="shared" si="19"/>
        <v>0</v>
      </c>
      <c r="AC252" s="44" t="s">
        <v>1542</v>
      </c>
      <c r="AD252" s="44" t="s">
        <v>1542</v>
      </c>
      <c r="AE252" s="44" t="s">
        <v>1542</v>
      </c>
      <c r="AF252" s="44" t="s">
        <v>1542</v>
      </c>
      <c r="AG252" s="44" t="s">
        <v>1542</v>
      </c>
      <c r="AH252" s="44" t="s">
        <v>1542</v>
      </c>
      <c r="AI252" s="44" t="s">
        <v>1542</v>
      </c>
      <c r="AJ252" s="44" t="s">
        <v>1542</v>
      </c>
      <c r="AK252" s="44" t="s">
        <v>1542</v>
      </c>
      <c r="AL252" s="44" t="s">
        <v>1542</v>
      </c>
      <c r="AM252" s="44" t="s">
        <v>1542</v>
      </c>
      <c r="AN252" s="44" t="s">
        <v>1542</v>
      </c>
      <c r="AO252" s="46">
        <f t="shared" si="15"/>
        <v>0</v>
      </c>
      <c r="AP252" s="43" t="s">
        <v>1542</v>
      </c>
      <c r="AQ252" s="43" t="s">
        <v>1542</v>
      </c>
      <c r="AR252" s="43" t="s">
        <v>1542</v>
      </c>
      <c r="AS252" s="43" t="s">
        <v>1542</v>
      </c>
      <c r="AT252" s="43" t="s">
        <v>1542</v>
      </c>
      <c r="AU252" s="43" t="s">
        <v>1542</v>
      </c>
      <c r="AV252" s="43" t="s">
        <v>1542</v>
      </c>
      <c r="AW252" s="43" t="s">
        <v>1542</v>
      </c>
      <c r="AX252" s="43" t="s">
        <v>1542</v>
      </c>
      <c r="AY252" s="43" t="s">
        <v>1542</v>
      </c>
      <c r="AZ252" s="43" t="s">
        <v>1542</v>
      </c>
      <c r="BA252" s="43" t="s">
        <v>1542</v>
      </c>
      <c r="BB252" s="46">
        <f t="shared" si="16"/>
        <v>0</v>
      </c>
      <c r="BC252" s="44" t="s">
        <v>1542</v>
      </c>
      <c r="BD252" s="44" t="s">
        <v>1542</v>
      </c>
      <c r="BE252" s="44" t="s">
        <v>1542</v>
      </c>
      <c r="BF252" s="44" t="s">
        <v>1542</v>
      </c>
      <c r="BG252" s="44" t="s">
        <v>1542</v>
      </c>
      <c r="BH252" s="44" t="s">
        <v>1542</v>
      </c>
      <c r="BI252" s="44" t="s">
        <v>1542</v>
      </c>
      <c r="BJ252" s="44" t="s">
        <v>1542</v>
      </c>
      <c r="BK252" s="44" t="s">
        <v>1542</v>
      </c>
      <c r="BL252" s="44" t="s">
        <v>1542</v>
      </c>
      <c r="BM252" s="44" t="s">
        <v>1542</v>
      </c>
      <c r="BN252" s="44" t="s">
        <v>1542</v>
      </c>
      <c r="BO252" s="46">
        <f t="shared" si="17"/>
        <v>0</v>
      </c>
      <c r="BP252" s="43" t="s">
        <v>1542</v>
      </c>
      <c r="BQ252" s="43" t="s">
        <v>1542</v>
      </c>
      <c r="BR252" s="43" t="s">
        <v>1542</v>
      </c>
      <c r="BS252" s="43" t="s">
        <v>1542</v>
      </c>
      <c r="BT252" s="43" t="s">
        <v>1542</v>
      </c>
      <c r="BU252" s="43" t="s">
        <v>1542</v>
      </c>
      <c r="BV252" s="43" t="s">
        <v>1542</v>
      </c>
      <c r="BW252" s="43" t="s">
        <v>1542</v>
      </c>
      <c r="BX252" s="43" t="s">
        <v>1542</v>
      </c>
      <c r="BY252" s="43" t="s">
        <v>1542</v>
      </c>
      <c r="BZ252" s="43" t="s">
        <v>1542</v>
      </c>
      <c r="CA252" s="43" t="s">
        <v>1542</v>
      </c>
    </row>
    <row r="253" spans="1:79">
      <c r="A253">
        <v>252</v>
      </c>
      <c r="B253">
        <v>1</v>
      </c>
      <c r="C253" t="s">
        <v>1696</v>
      </c>
      <c r="D253" t="s">
        <v>1697</v>
      </c>
      <c r="E253" t="s">
        <v>2661</v>
      </c>
      <c r="F253" t="s">
        <v>2662</v>
      </c>
      <c r="G253" t="s">
        <v>2685</v>
      </c>
      <c r="H253" t="s">
        <v>2685</v>
      </c>
      <c r="J253" t="s">
        <v>2686</v>
      </c>
      <c r="K253" t="s">
        <v>2687</v>
      </c>
      <c r="M253" s="1" t="s">
        <v>2688</v>
      </c>
      <c r="O253" s="46">
        <f t="shared" si="18"/>
        <v>0</v>
      </c>
      <c r="P253" s="43" t="s">
        <v>1542</v>
      </c>
      <c r="Q253" s="43" t="s">
        <v>1542</v>
      </c>
      <c r="R253" s="43" t="s">
        <v>1542</v>
      </c>
      <c r="S253" s="43" t="s">
        <v>1542</v>
      </c>
      <c r="T253" s="43" t="s">
        <v>1542</v>
      </c>
      <c r="U253" s="43" t="s">
        <v>1542</v>
      </c>
      <c r="V253" s="43" t="s">
        <v>1542</v>
      </c>
      <c r="W253" s="43" t="s">
        <v>1542</v>
      </c>
      <c r="X253" s="43" t="s">
        <v>1542</v>
      </c>
      <c r="Y253" s="43" t="s">
        <v>1542</v>
      </c>
      <c r="Z253" s="43" t="s">
        <v>1542</v>
      </c>
      <c r="AA253" s="43" t="s">
        <v>1542</v>
      </c>
      <c r="AB253" s="46">
        <f t="shared" si="19"/>
        <v>0</v>
      </c>
      <c r="AC253" s="44" t="s">
        <v>1542</v>
      </c>
      <c r="AD253" s="44" t="s">
        <v>1542</v>
      </c>
      <c r="AE253" s="44" t="s">
        <v>1542</v>
      </c>
      <c r="AF253" s="44" t="s">
        <v>1542</v>
      </c>
      <c r="AG253" s="44" t="s">
        <v>1542</v>
      </c>
      <c r="AH253" s="44" t="s">
        <v>1542</v>
      </c>
      <c r="AI253" s="44" t="s">
        <v>1542</v>
      </c>
      <c r="AJ253" s="44" t="s">
        <v>1542</v>
      </c>
      <c r="AK253" s="44" t="s">
        <v>1542</v>
      </c>
      <c r="AL253" s="44" t="s">
        <v>1542</v>
      </c>
      <c r="AM253" s="44" t="s">
        <v>1542</v>
      </c>
      <c r="AN253" s="44" t="s">
        <v>1542</v>
      </c>
      <c r="AO253" s="46">
        <f t="shared" si="15"/>
        <v>0</v>
      </c>
      <c r="AP253" s="43" t="s">
        <v>1542</v>
      </c>
      <c r="AQ253" s="43" t="s">
        <v>1542</v>
      </c>
      <c r="AR253" s="43" t="s">
        <v>1542</v>
      </c>
      <c r="AS253" s="43" t="s">
        <v>1542</v>
      </c>
      <c r="AT253" s="43" t="s">
        <v>1542</v>
      </c>
      <c r="AU253" s="43" t="s">
        <v>1542</v>
      </c>
      <c r="AV253" s="43" t="s">
        <v>1542</v>
      </c>
      <c r="AW253" s="43" t="s">
        <v>1542</v>
      </c>
      <c r="AX253" s="43" t="s">
        <v>1542</v>
      </c>
      <c r="AY253" s="43" t="s">
        <v>1542</v>
      </c>
      <c r="AZ253" s="43" t="s">
        <v>1542</v>
      </c>
      <c r="BA253" s="43" t="s">
        <v>1542</v>
      </c>
      <c r="BB253" s="46">
        <f t="shared" si="16"/>
        <v>0</v>
      </c>
      <c r="BC253" s="44" t="s">
        <v>1542</v>
      </c>
      <c r="BD253" s="44" t="s">
        <v>1542</v>
      </c>
      <c r="BE253" s="44" t="s">
        <v>1542</v>
      </c>
      <c r="BF253" s="44" t="s">
        <v>1542</v>
      </c>
      <c r="BG253" s="44" t="s">
        <v>1542</v>
      </c>
      <c r="BH253" s="44" t="s">
        <v>1542</v>
      </c>
      <c r="BI253" s="44" t="s">
        <v>1542</v>
      </c>
      <c r="BJ253" s="44" t="s">
        <v>1542</v>
      </c>
      <c r="BK253" s="44" t="s">
        <v>1542</v>
      </c>
      <c r="BL253" s="44" t="s">
        <v>1542</v>
      </c>
      <c r="BM253" s="44" t="s">
        <v>1542</v>
      </c>
      <c r="BN253" s="44" t="s">
        <v>1542</v>
      </c>
      <c r="BO253" s="46">
        <f t="shared" si="17"/>
        <v>0</v>
      </c>
      <c r="BP253" s="43" t="s">
        <v>1542</v>
      </c>
      <c r="BQ253" s="43" t="s">
        <v>1542</v>
      </c>
      <c r="BR253" s="43" t="s">
        <v>1542</v>
      </c>
      <c r="BS253" s="43" t="s">
        <v>1542</v>
      </c>
      <c r="BT253" s="43" t="s">
        <v>1542</v>
      </c>
      <c r="BU253" s="43" t="s">
        <v>1542</v>
      </c>
      <c r="BV253" s="43" t="s">
        <v>1542</v>
      </c>
      <c r="BW253" s="43" t="s">
        <v>1542</v>
      </c>
      <c r="BX253" s="43" t="s">
        <v>1542</v>
      </c>
      <c r="BY253" s="43" t="s">
        <v>1542</v>
      </c>
      <c r="BZ253" s="43" t="s">
        <v>1542</v>
      </c>
      <c r="CA253" s="43" t="s">
        <v>1542</v>
      </c>
    </row>
    <row r="254" spans="1:79">
      <c r="A254">
        <v>253</v>
      </c>
      <c r="B254">
        <v>1</v>
      </c>
      <c r="C254" t="s">
        <v>1696</v>
      </c>
      <c r="D254" t="s">
        <v>1697</v>
      </c>
      <c r="E254" t="s">
        <v>2661</v>
      </c>
      <c r="F254" t="s">
        <v>2662</v>
      </c>
      <c r="G254" t="s">
        <v>2689</v>
      </c>
      <c r="H254" t="s">
        <v>2689</v>
      </c>
      <c r="J254" t="s">
        <v>2690</v>
      </c>
      <c r="K254" t="s">
        <v>2691</v>
      </c>
      <c r="M254" s="1" t="s">
        <v>2692</v>
      </c>
      <c r="O254" s="46">
        <f t="shared" si="18"/>
        <v>0</v>
      </c>
      <c r="P254" s="43" t="s">
        <v>1542</v>
      </c>
      <c r="Q254" s="43" t="s">
        <v>1542</v>
      </c>
      <c r="R254" s="43" t="s">
        <v>1542</v>
      </c>
      <c r="S254" s="43" t="s">
        <v>1542</v>
      </c>
      <c r="T254" s="43" t="s">
        <v>1542</v>
      </c>
      <c r="U254" s="43" t="s">
        <v>1542</v>
      </c>
      <c r="V254" s="43" t="s">
        <v>1542</v>
      </c>
      <c r="W254" s="43" t="s">
        <v>1542</v>
      </c>
      <c r="X254" s="43" t="s">
        <v>1542</v>
      </c>
      <c r="Y254" s="43" t="s">
        <v>1542</v>
      </c>
      <c r="Z254" s="43" t="s">
        <v>1542</v>
      </c>
      <c r="AA254" s="43" t="s">
        <v>1542</v>
      </c>
      <c r="AB254" s="46">
        <f t="shared" si="19"/>
        <v>0</v>
      </c>
      <c r="AC254" s="44" t="s">
        <v>1542</v>
      </c>
      <c r="AD254" s="44" t="s">
        <v>1542</v>
      </c>
      <c r="AE254" s="44" t="s">
        <v>1542</v>
      </c>
      <c r="AF254" s="44" t="s">
        <v>1542</v>
      </c>
      <c r="AG254" s="44" t="s">
        <v>1542</v>
      </c>
      <c r="AH254" s="44" t="s">
        <v>1542</v>
      </c>
      <c r="AI254" s="44" t="s">
        <v>1542</v>
      </c>
      <c r="AJ254" s="44" t="s">
        <v>1542</v>
      </c>
      <c r="AK254" s="44" t="s">
        <v>1542</v>
      </c>
      <c r="AL254" s="44" t="s">
        <v>1542</v>
      </c>
      <c r="AM254" s="44" t="s">
        <v>1542</v>
      </c>
      <c r="AN254" s="44" t="s">
        <v>1542</v>
      </c>
      <c r="AO254" s="46">
        <f t="shared" si="15"/>
        <v>0</v>
      </c>
      <c r="AP254" s="43" t="s">
        <v>1542</v>
      </c>
      <c r="AQ254" s="43" t="s">
        <v>1542</v>
      </c>
      <c r="AR254" s="43" t="s">
        <v>1542</v>
      </c>
      <c r="AS254" s="43" t="s">
        <v>1542</v>
      </c>
      <c r="AT254" s="43" t="s">
        <v>1542</v>
      </c>
      <c r="AU254" s="43" t="s">
        <v>1542</v>
      </c>
      <c r="AV254" s="43" t="s">
        <v>1542</v>
      </c>
      <c r="AW254" s="43" t="s">
        <v>1542</v>
      </c>
      <c r="AX254" s="43" t="s">
        <v>1542</v>
      </c>
      <c r="AY254" s="43" t="s">
        <v>1542</v>
      </c>
      <c r="AZ254" s="43" t="s">
        <v>1542</v>
      </c>
      <c r="BA254" s="43" t="s">
        <v>1542</v>
      </c>
      <c r="BB254" s="46">
        <f t="shared" si="16"/>
        <v>0</v>
      </c>
      <c r="BC254" s="44" t="s">
        <v>1542</v>
      </c>
      <c r="BD254" s="44" t="s">
        <v>1542</v>
      </c>
      <c r="BE254" s="44" t="s">
        <v>1542</v>
      </c>
      <c r="BF254" s="44" t="s">
        <v>1542</v>
      </c>
      <c r="BG254" s="44" t="s">
        <v>1542</v>
      </c>
      <c r="BH254" s="44" t="s">
        <v>1542</v>
      </c>
      <c r="BI254" s="44" t="s">
        <v>1542</v>
      </c>
      <c r="BJ254" s="44" t="s">
        <v>1542</v>
      </c>
      <c r="BK254" s="44" t="s">
        <v>1542</v>
      </c>
      <c r="BL254" s="44" t="s">
        <v>1542</v>
      </c>
      <c r="BM254" s="44" t="s">
        <v>1542</v>
      </c>
      <c r="BN254" s="44" t="s">
        <v>1542</v>
      </c>
      <c r="BO254" s="46">
        <f t="shared" si="17"/>
        <v>0</v>
      </c>
      <c r="BP254" s="43" t="s">
        <v>1542</v>
      </c>
      <c r="BQ254" s="43" t="s">
        <v>1542</v>
      </c>
      <c r="BR254" s="43" t="s">
        <v>1542</v>
      </c>
      <c r="BS254" s="43" t="s">
        <v>1542</v>
      </c>
      <c r="BT254" s="43" t="s">
        <v>1542</v>
      </c>
      <c r="BU254" s="43" t="s">
        <v>1542</v>
      </c>
      <c r="BV254" s="43" t="s">
        <v>1542</v>
      </c>
      <c r="BW254" s="43" t="s">
        <v>1542</v>
      </c>
      <c r="BX254" s="43" t="s">
        <v>1542</v>
      </c>
      <c r="BY254" s="43" t="s">
        <v>1542</v>
      </c>
      <c r="BZ254" s="43" t="s">
        <v>1542</v>
      </c>
      <c r="CA254" s="43" t="s">
        <v>1542</v>
      </c>
    </row>
    <row r="255" spans="1:79">
      <c r="A255">
        <v>254</v>
      </c>
      <c r="B255">
        <v>1</v>
      </c>
      <c r="C255" t="s">
        <v>1696</v>
      </c>
      <c r="D255" t="s">
        <v>1697</v>
      </c>
      <c r="E255" t="s">
        <v>2661</v>
      </c>
      <c r="F255" t="s">
        <v>2662</v>
      </c>
      <c r="G255" t="s">
        <v>2693</v>
      </c>
      <c r="H255" t="s">
        <v>2693</v>
      </c>
      <c r="I255" t="s">
        <v>2694</v>
      </c>
      <c r="J255" t="s">
        <v>2695</v>
      </c>
      <c r="K255" t="s">
        <v>2696</v>
      </c>
      <c r="M255" s="1" t="s">
        <v>2697</v>
      </c>
      <c r="N255" t="s">
        <v>2698</v>
      </c>
      <c r="O255" s="46">
        <f t="shared" si="18"/>
        <v>0</v>
      </c>
      <c r="P255" s="43" t="s">
        <v>1542</v>
      </c>
      <c r="Q255" s="43" t="s">
        <v>1542</v>
      </c>
      <c r="R255" s="43" t="s">
        <v>1542</v>
      </c>
      <c r="S255" s="43" t="s">
        <v>1542</v>
      </c>
      <c r="T255" s="43" t="s">
        <v>1542</v>
      </c>
      <c r="U255" s="43" t="s">
        <v>1542</v>
      </c>
      <c r="V255" s="43" t="s">
        <v>1542</v>
      </c>
      <c r="W255" s="43" t="s">
        <v>1542</v>
      </c>
      <c r="X255" s="43" t="s">
        <v>1542</v>
      </c>
      <c r="Y255" s="43" t="s">
        <v>1542</v>
      </c>
      <c r="Z255" s="43" t="s">
        <v>1542</v>
      </c>
      <c r="AA255" s="43" t="s">
        <v>1542</v>
      </c>
      <c r="AB255" s="46">
        <f t="shared" si="19"/>
        <v>0</v>
      </c>
      <c r="AC255" s="44" t="s">
        <v>1542</v>
      </c>
      <c r="AD255" s="44" t="s">
        <v>1542</v>
      </c>
      <c r="AE255" s="44" t="s">
        <v>1542</v>
      </c>
      <c r="AF255" s="44" t="s">
        <v>1542</v>
      </c>
      <c r="AG255" s="44" t="s">
        <v>1542</v>
      </c>
      <c r="AH255" s="44" t="s">
        <v>1542</v>
      </c>
      <c r="AI255" s="44" t="s">
        <v>1542</v>
      </c>
      <c r="AJ255" s="44" t="s">
        <v>1542</v>
      </c>
      <c r="AK255" s="44" t="s">
        <v>1542</v>
      </c>
      <c r="AL255" s="44" t="s">
        <v>1542</v>
      </c>
      <c r="AM255" s="44" t="s">
        <v>1542</v>
      </c>
      <c r="AN255" s="44" t="s">
        <v>1542</v>
      </c>
      <c r="AO255" s="46">
        <f t="shared" si="15"/>
        <v>0</v>
      </c>
      <c r="AP255" s="43" t="s">
        <v>1542</v>
      </c>
      <c r="AQ255" s="43" t="s">
        <v>1542</v>
      </c>
      <c r="AR255" s="43" t="s">
        <v>1542</v>
      </c>
      <c r="AS255" s="43" t="s">
        <v>1542</v>
      </c>
      <c r="AT255" s="43" t="s">
        <v>1542</v>
      </c>
      <c r="AU255" s="43" t="s">
        <v>1542</v>
      </c>
      <c r="AV255" s="43" t="s">
        <v>1542</v>
      </c>
      <c r="AW255" s="43" t="s">
        <v>1542</v>
      </c>
      <c r="AX255" s="43" t="s">
        <v>1542</v>
      </c>
      <c r="AY255" s="43" t="s">
        <v>1542</v>
      </c>
      <c r="AZ255" s="43" t="s">
        <v>1542</v>
      </c>
      <c r="BA255" s="43" t="s">
        <v>1542</v>
      </c>
      <c r="BB255" s="46">
        <f t="shared" si="16"/>
        <v>0</v>
      </c>
      <c r="BC255" s="44" t="s">
        <v>1542</v>
      </c>
      <c r="BD255" s="44" t="s">
        <v>1542</v>
      </c>
      <c r="BE255" s="44" t="s">
        <v>1542</v>
      </c>
      <c r="BF255" s="44" t="s">
        <v>1542</v>
      </c>
      <c r="BG255" s="44" t="s">
        <v>1542</v>
      </c>
      <c r="BH255" s="44" t="s">
        <v>1542</v>
      </c>
      <c r="BI255" s="44" t="s">
        <v>1542</v>
      </c>
      <c r="BJ255" s="44" t="s">
        <v>1542</v>
      </c>
      <c r="BK255" s="44" t="s">
        <v>1542</v>
      </c>
      <c r="BL255" s="44" t="s">
        <v>1542</v>
      </c>
      <c r="BM255" s="44" t="s">
        <v>1542</v>
      </c>
      <c r="BN255" s="44" t="s">
        <v>1542</v>
      </c>
      <c r="BO255" s="46">
        <f t="shared" si="17"/>
        <v>0</v>
      </c>
      <c r="BP255" s="43" t="s">
        <v>1554</v>
      </c>
      <c r="BQ255" s="43" t="s">
        <v>1542</v>
      </c>
      <c r="BR255" s="43" t="s">
        <v>1542</v>
      </c>
      <c r="BS255" s="43" t="s">
        <v>1542</v>
      </c>
      <c r="BT255" s="43" t="s">
        <v>1542</v>
      </c>
      <c r="BU255" s="43" t="s">
        <v>1542</v>
      </c>
      <c r="BV255" s="43" t="s">
        <v>1542</v>
      </c>
      <c r="BW255" s="43" t="s">
        <v>1542</v>
      </c>
      <c r="BX255" s="43" t="s">
        <v>1542</v>
      </c>
      <c r="BY255" s="43" t="s">
        <v>1542</v>
      </c>
      <c r="BZ255" s="43" t="s">
        <v>1542</v>
      </c>
      <c r="CA255" s="43" t="s">
        <v>1542</v>
      </c>
    </row>
    <row r="256" spans="1:79">
      <c r="A256">
        <v>255</v>
      </c>
      <c r="B256">
        <v>1</v>
      </c>
      <c r="C256" t="s">
        <v>1696</v>
      </c>
      <c r="D256" t="s">
        <v>1697</v>
      </c>
      <c r="E256" t="s">
        <v>2661</v>
      </c>
      <c r="F256" t="s">
        <v>2662</v>
      </c>
      <c r="G256" t="s">
        <v>2699</v>
      </c>
      <c r="H256" t="s">
        <v>2699</v>
      </c>
      <c r="J256" t="s">
        <v>2700</v>
      </c>
      <c r="K256" t="s">
        <v>2701</v>
      </c>
      <c r="M256" s="1" t="s">
        <v>2702</v>
      </c>
      <c r="O256" s="46">
        <f t="shared" si="18"/>
        <v>0</v>
      </c>
      <c r="P256" s="43" t="s">
        <v>1542</v>
      </c>
      <c r="Q256" s="43" t="s">
        <v>1542</v>
      </c>
      <c r="R256" s="43" t="s">
        <v>1542</v>
      </c>
      <c r="S256" s="43" t="s">
        <v>1542</v>
      </c>
      <c r="T256" s="43" t="s">
        <v>1542</v>
      </c>
      <c r="U256" s="43" t="s">
        <v>1542</v>
      </c>
      <c r="V256" s="43" t="s">
        <v>1542</v>
      </c>
      <c r="W256" s="43" t="s">
        <v>1542</v>
      </c>
      <c r="X256" s="43" t="s">
        <v>1542</v>
      </c>
      <c r="Y256" s="43" t="s">
        <v>1542</v>
      </c>
      <c r="Z256" s="43" t="s">
        <v>1542</v>
      </c>
      <c r="AA256" s="43" t="s">
        <v>1542</v>
      </c>
      <c r="AB256" s="46">
        <f t="shared" si="19"/>
        <v>0</v>
      </c>
      <c r="AC256" s="44" t="s">
        <v>1542</v>
      </c>
      <c r="AD256" s="44" t="s">
        <v>1542</v>
      </c>
      <c r="AE256" s="44" t="s">
        <v>1542</v>
      </c>
      <c r="AF256" s="44" t="s">
        <v>1542</v>
      </c>
      <c r="AG256" s="44" t="s">
        <v>1542</v>
      </c>
      <c r="AH256" s="44" t="s">
        <v>1542</v>
      </c>
      <c r="AI256" s="44" t="s">
        <v>1542</v>
      </c>
      <c r="AJ256" s="44" t="s">
        <v>1542</v>
      </c>
      <c r="AK256" s="44" t="s">
        <v>1542</v>
      </c>
      <c r="AL256" s="44" t="s">
        <v>1542</v>
      </c>
      <c r="AM256" s="44" t="s">
        <v>1542</v>
      </c>
      <c r="AN256" s="44" t="s">
        <v>1542</v>
      </c>
      <c r="AO256" s="46">
        <f t="shared" si="15"/>
        <v>0</v>
      </c>
      <c r="AP256" s="43" t="s">
        <v>1542</v>
      </c>
      <c r="AQ256" s="43" t="s">
        <v>1542</v>
      </c>
      <c r="AR256" s="43" t="s">
        <v>1542</v>
      </c>
      <c r="AS256" s="43" t="s">
        <v>1542</v>
      </c>
      <c r="AT256" s="43" t="s">
        <v>1542</v>
      </c>
      <c r="AU256" s="43" t="s">
        <v>1542</v>
      </c>
      <c r="AV256" s="43" t="s">
        <v>1542</v>
      </c>
      <c r="AW256" s="43" t="s">
        <v>1542</v>
      </c>
      <c r="AX256" s="43" t="s">
        <v>1542</v>
      </c>
      <c r="AY256" s="43" t="s">
        <v>1542</v>
      </c>
      <c r="AZ256" s="43" t="s">
        <v>1542</v>
      </c>
      <c r="BA256" s="43" t="s">
        <v>1542</v>
      </c>
      <c r="BB256" s="46">
        <f t="shared" si="16"/>
        <v>0</v>
      </c>
      <c r="BC256" s="44" t="s">
        <v>1542</v>
      </c>
      <c r="BD256" s="44" t="s">
        <v>1542</v>
      </c>
      <c r="BE256" s="44" t="s">
        <v>1542</v>
      </c>
      <c r="BF256" s="44" t="s">
        <v>1542</v>
      </c>
      <c r="BG256" s="44" t="s">
        <v>1542</v>
      </c>
      <c r="BH256" s="44" t="s">
        <v>1542</v>
      </c>
      <c r="BI256" s="44" t="s">
        <v>1542</v>
      </c>
      <c r="BJ256" s="44" t="s">
        <v>1542</v>
      </c>
      <c r="BK256" s="44" t="s">
        <v>1542</v>
      </c>
      <c r="BL256" s="44" t="s">
        <v>1542</v>
      </c>
      <c r="BM256" s="44" t="s">
        <v>1542</v>
      </c>
      <c r="BN256" s="44" t="s">
        <v>1542</v>
      </c>
      <c r="BO256" s="46">
        <f t="shared" si="17"/>
        <v>0</v>
      </c>
      <c r="BP256" s="43" t="s">
        <v>1542</v>
      </c>
      <c r="BQ256" s="43" t="s">
        <v>1542</v>
      </c>
      <c r="BR256" s="43" t="s">
        <v>1542</v>
      </c>
      <c r="BS256" s="43" t="s">
        <v>1542</v>
      </c>
      <c r="BT256" s="43" t="s">
        <v>1542</v>
      </c>
      <c r="BU256" s="43" t="s">
        <v>1542</v>
      </c>
      <c r="BV256" s="43" t="s">
        <v>1542</v>
      </c>
      <c r="BW256" s="43" t="s">
        <v>1542</v>
      </c>
      <c r="BX256" s="43" t="s">
        <v>1542</v>
      </c>
      <c r="BY256" s="43" t="s">
        <v>1542</v>
      </c>
      <c r="BZ256" s="43" t="s">
        <v>1542</v>
      </c>
      <c r="CA256" s="43" t="s">
        <v>1542</v>
      </c>
    </row>
    <row r="257" spans="1:79">
      <c r="A257">
        <v>256</v>
      </c>
      <c r="B257">
        <v>1</v>
      </c>
      <c r="C257" t="s">
        <v>1696</v>
      </c>
      <c r="D257" t="s">
        <v>1697</v>
      </c>
      <c r="E257" t="s">
        <v>2661</v>
      </c>
      <c r="F257" t="s">
        <v>2662</v>
      </c>
      <c r="G257" t="s">
        <v>2703</v>
      </c>
      <c r="H257" t="s">
        <v>2703</v>
      </c>
      <c r="J257" t="s">
        <v>2704</v>
      </c>
      <c r="K257" t="s">
        <v>2705</v>
      </c>
      <c r="M257" s="1" t="s">
        <v>2706</v>
      </c>
      <c r="O257" s="46">
        <f t="shared" si="18"/>
        <v>0</v>
      </c>
      <c r="P257" s="43" t="s">
        <v>1542</v>
      </c>
      <c r="Q257" s="43" t="s">
        <v>1542</v>
      </c>
      <c r="R257" s="43" t="s">
        <v>1542</v>
      </c>
      <c r="S257" s="43" t="s">
        <v>1542</v>
      </c>
      <c r="T257" s="43" t="s">
        <v>1542</v>
      </c>
      <c r="U257" s="43" t="s">
        <v>1542</v>
      </c>
      <c r="V257" s="43" t="s">
        <v>1542</v>
      </c>
      <c r="W257" s="43" t="s">
        <v>1542</v>
      </c>
      <c r="X257" s="43" t="s">
        <v>1542</v>
      </c>
      <c r="Y257" s="43" t="s">
        <v>1542</v>
      </c>
      <c r="Z257" s="43" t="s">
        <v>1542</v>
      </c>
      <c r="AA257" s="43" t="s">
        <v>1542</v>
      </c>
      <c r="AB257" s="46">
        <f t="shared" si="19"/>
        <v>0</v>
      </c>
      <c r="AC257" s="44" t="s">
        <v>1542</v>
      </c>
      <c r="AD257" s="44" t="s">
        <v>1542</v>
      </c>
      <c r="AE257" s="44" t="s">
        <v>1542</v>
      </c>
      <c r="AF257" s="44" t="s">
        <v>1542</v>
      </c>
      <c r="AG257" s="44" t="s">
        <v>1542</v>
      </c>
      <c r="AH257" s="44" t="s">
        <v>1542</v>
      </c>
      <c r="AI257" s="44" t="s">
        <v>1542</v>
      </c>
      <c r="AJ257" s="44" t="s">
        <v>1542</v>
      </c>
      <c r="AK257" s="44" t="s">
        <v>1542</v>
      </c>
      <c r="AL257" s="44" t="s">
        <v>1542</v>
      </c>
      <c r="AM257" s="44" t="s">
        <v>1542</v>
      </c>
      <c r="AN257" s="44" t="s">
        <v>1542</v>
      </c>
      <c r="AO257" s="46">
        <f t="shared" si="15"/>
        <v>0</v>
      </c>
      <c r="AP257" s="43" t="s">
        <v>1542</v>
      </c>
      <c r="AQ257" s="43" t="s">
        <v>1542</v>
      </c>
      <c r="AR257" s="43" t="s">
        <v>1542</v>
      </c>
      <c r="AS257" s="43" t="s">
        <v>1542</v>
      </c>
      <c r="AT257" s="43" t="s">
        <v>1542</v>
      </c>
      <c r="AU257" s="43" t="s">
        <v>1542</v>
      </c>
      <c r="AV257" s="43" t="s">
        <v>1542</v>
      </c>
      <c r="AW257" s="43" t="s">
        <v>1542</v>
      </c>
      <c r="AX257" s="43" t="s">
        <v>1542</v>
      </c>
      <c r="AY257" s="43" t="s">
        <v>1542</v>
      </c>
      <c r="AZ257" s="43" t="s">
        <v>1542</v>
      </c>
      <c r="BA257" s="43" t="s">
        <v>1542</v>
      </c>
      <c r="BB257" s="46">
        <f t="shared" si="16"/>
        <v>0</v>
      </c>
      <c r="BC257" s="44" t="s">
        <v>1542</v>
      </c>
      <c r="BD257" s="44" t="s">
        <v>1542</v>
      </c>
      <c r="BE257" s="44" t="s">
        <v>1542</v>
      </c>
      <c r="BF257" s="44" t="s">
        <v>1542</v>
      </c>
      <c r="BG257" s="44" t="s">
        <v>1542</v>
      </c>
      <c r="BH257" s="44" t="s">
        <v>1542</v>
      </c>
      <c r="BI257" s="44" t="s">
        <v>1542</v>
      </c>
      <c r="BJ257" s="44" t="s">
        <v>1542</v>
      </c>
      <c r="BK257" s="44" t="s">
        <v>1542</v>
      </c>
      <c r="BL257" s="44" t="s">
        <v>1542</v>
      </c>
      <c r="BM257" s="44" t="s">
        <v>1542</v>
      </c>
      <c r="BN257" s="44" t="s">
        <v>1542</v>
      </c>
      <c r="BO257" s="46">
        <f t="shared" si="17"/>
        <v>0</v>
      </c>
      <c r="BP257" s="43" t="s">
        <v>1542</v>
      </c>
      <c r="BQ257" s="43" t="s">
        <v>1542</v>
      </c>
      <c r="BR257" s="43" t="s">
        <v>1542</v>
      </c>
      <c r="BS257" s="43" t="s">
        <v>1542</v>
      </c>
      <c r="BT257" s="43" t="s">
        <v>1542</v>
      </c>
      <c r="BU257" s="43" t="s">
        <v>1542</v>
      </c>
      <c r="BV257" s="43" t="s">
        <v>1542</v>
      </c>
      <c r="BW257" s="43" t="s">
        <v>1542</v>
      </c>
      <c r="BX257" s="43" t="s">
        <v>1542</v>
      </c>
      <c r="BY257" s="43" t="s">
        <v>1542</v>
      </c>
      <c r="BZ257" s="43" t="s">
        <v>1542</v>
      </c>
      <c r="CA257" s="43" t="s">
        <v>1542</v>
      </c>
    </row>
    <row r="258" spans="1:79">
      <c r="A258">
        <v>257</v>
      </c>
      <c r="B258">
        <v>1</v>
      </c>
      <c r="C258" t="s">
        <v>1696</v>
      </c>
      <c r="D258" t="s">
        <v>1697</v>
      </c>
      <c r="E258" t="s">
        <v>2661</v>
      </c>
      <c r="F258" t="s">
        <v>2662</v>
      </c>
      <c r="G258" t="s">
        <v>2707</v>
      </c>
      <c r="H258" t="s">
        <v>2707</v>
      </c>
      <c r="J258" t="s">
        <v>2708</v>
      </c>
      <c r="K258" t="s">
        <v>2709</v>
      </c>
      <c r="M258" s="1" t="s">
        <v>2710</v>
      </c>
      <c r="N258" t="s">
        <v>2711</v>
      </c>
      <c r="O258" s="46">
        <f t="shared" si="18"/>
        <v>0</v>
      </c>
      <c r="P258" s="43" t="s">
        <v>1542</v>
      </c>
      <c r="Q258" s="43" t="s">
        <v>1542</v>
      </c>
      <c r="R258" s="43" t="s">
        <v>1542</v>
      </c>
      <c r="S258" s="43" t="s">
        <v>1542</v>
      </c>
      <c r="T258" s="43" t="s">
        <v>1542</v>
      </c>
      <c r="U258" s="43" t="s">
        <v>1542</v>
      </c>
      <c r="V258" s="43" t="s">
        <v>1542</v>
      </c>
      <c r="W258" s="43" t="s">
        <v>1542</v>
      </c>
      <c r="X258" s="43" t="s">
        <v>1542</v>
      </c>
      <c r="Y258" s="43" t="s">
        <v>1542</v>
      </c>
      <c r="Z258" s="43" t="s">
        <v>1542</v>
      </c>
      <c r="AA258" s="43" t="s">
        <v>1542</v>
      </c>
      <c r="AB258" s="46">
        <f t="shared" si="19"/>
        <v>1</v>
      </c>
      <c r="AC258" s="44" t="s">
        <v>1554</v>
      </c>
      <c r="AD258" s="44" t="s">
        <v>1542</v>
      </c>
      <c r="AE258" s="44" t="s">
        <v>1542</v>
      </c>
      <c r="AF258" s="44" t="s">
        <v>1542</v>
      </c>
      <c r="AG258" s="44" t="s">
        <v>1542</v>
      </c>
      <c r="AH258" s="44" t="s">
        <v>1542</v>
      </c>
      <c r="AI258" s="44" t="s">
        <v>1542</v>
      </c>
      <c r="AJ258" s="44" t="s">
        <v>1542</v>
      </c>
      <c r="AK258" s="44" t="s">
        <v>1542</v>
      </c>
      <c r="AL258" s="44" t="s">
        <v>1542</v>
      </c>
      <c r="AM258" s="44" t="s">
        <v>1542</v>
      </c>
      <c r="AN258" s="44" t="s">
        <v>1542</v>
      </c>
      <c r="AO258" s="46">
        <f t="shared" ref="AO258:AO321" si="20">COUNTIF(AC258:AM258,"NE")</f>
        <v>1</v>
      </c>
      <c r="AP258" s="43" t="s">
        <v>1542</v>
      </c>
      <c r="AQ258" s="43" t="s">
        <v>1542</v>
      </c>
      <c r="AR258" s="43" t="s">
        <v>1542</v>
      </c>
      <c r="AS258" s="43" t="s">
        <v>1542</v>
      </c>
      <c r="AT258" s="43" t="s">
        <v>1542</v>
      </c>
      <c r="AU258" s="43" t="s">
        <v>1542</v>
      </c>
      <c r="AV258" s="43" t="s">
        <v>1542</v>
      </c>
      <c r="AW258" s="43" t="s">
        <v>1542</v>
      </c>
      <c r="AX258" s="43" t="s">
        <v>1542</v>
      </c>
      <c r="AY258" s="43" t="s">
        <v>1542</v>
      </c>
      <c r="AZ258" s="43" t="s">
        <v>1542</v>
      </c>
      <c r="BA258" s="43" t="s">
        <v>1542</v>
      </c>
      <c r="BB258" s="46">
        <f t="shared" ref="BB258:BB321" si="21">COUNTIF(AP258:AZ258,"NE")</f>
        <v>0</v>
      </c>
      <c r="BC258" s="44" t="s">
        <v>1542</v>
      </c>
      <c r="BD258" s="44" t="s">
        <v>1542</v>
      </c>
      <c r="BE258" s="44" t="s">
        <v>1542</v>
      </c>
      <c r="BF258" s="44" t="s">
        <v>1542</v>
      </c>
      <c r="BG258" s="44" t="s">
        <v>1542</v>
      </c>
      <c r="BH258" s="44" t="s">
        <v>1542</v>
      </c>
      <c r="BI258" s="44" t="s">
        <v>1542</v>
      </c>
      <c r="BJ258" s="44" t="s">
        <v>1542</v>
      </c>
      <c r="BK258" s="44" t="s">
        <v>1542</v>
      </c>
      <c r="BL258" s="44" t="s">
        <v>1542</v>
      </c>
      <c r="BM258" s="44" t="s">
        <v>1542</v>
      </c>
      <c r="BN258" s="44" t="s">
        <v>1542</v>
      </c>
      <c r="BO258" s="46">
        <f t="shared" ref="BO258:BO321" si="22">COUNTIF(BC258:BM258,"NE")</f>
        <v>0</v>
      </c>
      <c r="BP258" s="43" t="s">
        <v>1542</v>
      </c>
      <c r="BQ258" s="43" t="s">
        <v>1542</v>
      </c>
      <c r="BR258" s="43" t="s">
        <v>1542</v>
      </c>
      <c r="BS258" s="43" t="s">
        <v>1542</v>
      </c>
      <c r="BT258" s="43" t="s">
        <v>1542</v>
      </c>
      <c r="BU258" s="43" t="s">
        <v>1542</v>
      </c>
      <c r="BV258" s="43" t="s">
        <v>1542</v>
      </c>
      <c r="BW258" s="43" t="s">
        <v>1542</v>
      </c>
      <c r="BX258" s="43" t="s">
        <v>1542</v>
      </c>
      <c r="BY258" s="43" t="s">
        <v>1542</v>
      </c>
      <c r="BZ258" s="43" t="s">
        <v>1542</v>
      </c>
      <c r="CA258" s="43" t="s">
        <v>1542</v>
      </c>
    </row>
    <row r="259" spans="1:79">
      <c r="A259">
        <v>258</v>
      </c>
      <c r="B259">
        <v>1</v>
      </c>
      <c r="C259" t="s">
        <v>1696</v>
      </c>
      <c r="D259" t="s">
        <v>1697</v>
      </c>
      <c r="E259" t="s">
        <v>2661</v>
      </c>
      <c r="F259" t="s">
        <v>2662</v>
      </c>
      <c r="G259" t="s">
        <v>2712</v>
      </c>
      <c r="H259" t="s">
        <v>2712</v>
      </c>
      <c r="I259" t="s">
        <v>2713</v>
      </c>
      <c r="J259" t="s">
        <v>2714</v>
      </c>
      <c r="K259" t="s">
        <v>2715</v>
      </c>
      <c r="M259" s="1" t="s">
        <v>2716</v>
      </c>
      <c r="O259" s="46">
        <f t="shared" ref="O259:O322" si="23">COUNTIF(P259:AA259,"NE")</f>
        <v>0</v>
      </c>
      <c r="P259" s="43" t="s">
        <v>1542</v>
      </c>
      <c r="Q259" s="43" t="s">
        <v>1542</v>
      </c>
      <c r="R259" s="43" t="s">
        <v>1542</v>
      </c>
      <c r="S259" s="43" t="s">
        <v>1542</v>
      </c>
      <c r="T259" s="43" t="s">
        <v>1542</v>
      </c>
      <c r="U259" s="43" t="s">
        <v>1542</v>
      </c>
      <c r="V259" s="43" t="s">
        <v>1542</v>
      </c>
      <c r="W259" s="43" t="s">
        <v>1542</v>
      </c>
      <c r="X259" s="43" t="s">
        <v>1542</v>
      </c>
      <c r="Y259" s="43" t="s">
        <v>1542</v>
      </c>
      <c r="Z259" s="43" t="s">
        <v>1542</v>
      </c>
      <c r="AA259" s="43" t="s">
        <v>1542</v>
      </c>
      <c r="AB259" s="46">
        <f t="shared" ref="AB259:AB322" si="24">COUNTIF(AC259:AN259,"NE")</f>
        <v>0</v>
      </c>
      <c r="AC259" s="44" t="s">
        <v>1542</v>
      </c>
      <c r="AD259" s="44" t="s">
        <v>1542</v>
      </c>
      <c r="AE259" s="44" t="s">
        <v>1542</v>
      </c>
      <c r="AF259" s="44" t="s">
        <v>1542</v>
      </c>
      <c r="AG259" s="44" t="s">
        <v>1542</v>
      </c>
      <c r="AH259" s="44" t="s">
        <v>1542</v>
      </c>
      <c r="AI259" s="44" t="s">
        <v>1542</v>
      </c>
      <c r="AJ259" s="44" t="s">
        <v>1542</v>
      </c>
      <c r="AK259" s="44" t="s">
        <v>1542</v>
      </c>
      <c r="AL259" s="44" t="s">
        <v>1542</v>
      </c>
      <c r="AM259" s="44" t="s">
        <v>1542</v>
      </c>
      <c r="AN259" s="44" t="s">
        <v>1542</v>
      </c>
      <c r="AO259" s="46">
        <f t="shared" si="20"/>
        <v>0</v>
      </c>
      <c r="AP259" s="43" t="s">
        <v>1542</v>
      </c>
      <c r="AQ259" s="43" t="s">
        <v>1542</v>
      </c>
      <c r="AR259" s="43" t="s">
        <v>1542</v>
      </c>
      <c r="AS259" s="43" t="s">
        <v>1542</v>
      </c>
      <c r="AT259" s="43" t="s">
        <v>1542</v>
      </c>
      <c r="AU259" s="43" t="s">
        <v>1542</v>
      </c>
      <c r="AV259" s="43" t="s">
        <v>1542</v>
      </c>
      <c r="AW259" s="43" t="s">
        <v>1542</v>
      </c>
      <c r="AX259" s="43" t="s">
        <v>1542</v>
      </c>
      <c r="AY259" s="43" t="s">
        <v>1542</v>
      </c>
      <c r="AZ259" s="43" t="s">
        <v>1542</v>
      </c>
      <c r="BA259" s="43" t="s">
        <v>1542</v>
      </c>
      <c r="BB259" s="46">
        <f t="shared" si="21"/>
        <v>0</v>
      </c>
      <c r="BC259" s="44" t="s">
        <v>1542</v>
      </c>
      <c r="BD259" s="44" t="s">
        <v>1542</v>
      </c>
      <c r="BE259" s="44" t="s">
        <v>1542</v>
      </c>
      <c r="BF259" s="44" t="s">
        <v>1542</v>
      </c>
      <c r="BG259" s="44" t="s">
        <v>1542</v>
      </c>
      <c r="BH259" s="44" t="s">
        <v>1542</v>
      </c>
      <c r="BI259" s="44" t="s">
        <v>1542</v>
      </c>
      <c r="BJ259" s="44" t="s">
        <v>1542</v>
      </c>
      <c r="BK259" s="44" t="s">
        <v>1542</v>
      </c>
      <c r="BL259" s="44" t="s">
        <v>1542</v>
      </c>
      <c r="BM259" s="44" t="s">
        <v>1542</v>
      </c>
      <c r="BN259" s="44" t="s">
        <v>1542</v>
      </c>
      <c r="BO259" s="46">
        <f t="shared" si="22"/>
        <v>0</v>
      </c>
      <c r="BP259" s="43" t="s">
        <v>1542</v>
      </c>
      <c r="BQ259" s="43" t="s">
        <v>1542</v>
      </c>
      <c r="BR259" s="43" t="s">
        <v>1542</v>
      </c>
      <c r="BS259" s="43" t="s">
        <v>1542</v>
      </c>
      <c r="BT259" s="43" t="s">
        <v>1542</v>
      </c>
      <c r="BU259" s="43" t="s">
        <v>1542</v>
      </c>
      <c r="BV259" s="43" t="s">
        <v>1542</v>
      </c>
      <c r="BW259" s="43" t="s">
        <v>1542</v>
      </c>
      <c r="BX259" s="43" t="s">
        <v>1542</v>
      </c>
      <c r="BY259" s="43" t="s">
        <v>1542</v>
      </c>
      <c r="BZ259" s="43" t="s">
        <v>1542</v>
      </c>
      <c r="CA259" s="43" t="s">
        <v>1542</v>
      </c>
    </row>
    <row r="260" spans="1:79">
      <c r="A260">
        <v>259</v>
      </c>
      <c r="B260">
        <v>1</v>
      </c>
      <c r="C260" t="s">
        <v>1696</v>
      </c>
      <c r="D260" t="s">
        <v>1697</v>
      </c>
      <c r="E260" t="s">
        <v>2661</v>
      </c>
      <c r="F260" t="s">
        <v>2662</v>
      </c>
      <c r="G260" t="s">
        <v>2717</v>
      </c>
      <c r="H260" t="s">
        <v>2717</v>
      </c>
      <c r="I260" t="s">
        <v>2718</v>
      </c>
      <c r="J260" t="s">
        <v>2719</v>
      </c>
      <c r="K260" t="s">
        <v>2720</v>
      </c>
      <c r="M260" s="1" t="s">
        <v>2721</v>
      </c>
      <c r="O260" s="46">
        <f t="shared" si="23"/>
        <v>0</v>
      </c>
      <c r="P260" s="43" t="s">
        <v>1542</v>
      </c>
      <c r="Q260" s="43" t="s">
        <v>1542</v>
      </c>
      <c r="R260" s="43" t="s">
        <v>1542</v>
      </c>
      <c r="S260" s="43" t="s">
        <v>1542</v>
      </c>
      <c r="T260" s="43" t="s">
        <v>1542</v>
      </c>
      <c r="U260" s="43" t="s">
        <v>1542</v>
      </c>
      <c r="V260" s="43" t="s">
        <v>1542</v>
      </c>
      <c r="W260" s="43" t="s">
        <v>1542</v>
      </c>
      <c r="X260" s="43" t="s">
        <v>1542</v>
      </c>
      <c r="Y260" s="43" t="s">
        <v>1542</v>
      </c>
      <c r="Z260" s="43" t="s">
        <v>1542</v>
      </c>
      <c r="AA260" s="43" t="s">
        <v>1542</v>
      </c>
      <c r="AB260" s="46">
        <f t="shared" si="24"/>
        <v>0</v>
      </c>
      <c r="AC260" s="44" t="s">
        <v>1542</v>
      </c>
      <c r="AD260" s="44" t="s">
        <v>1542</v>
      </c>
      <c r="AE260" s="44" t="s">
        <v>1542</v>
      </c>
      <c r="AF260" s="44" t="s">
        <v>1542</v>
      </c>
      <c r="AG260" s="44" t="s">
        <v>1542</v>
      </c>
      <c r="AH260" s="44" t="s">
        <v>1542</v>
      </c>
      <c r="AI260" s="44" t="s">
        <v>1542</v>
      </c>
      <c r="AJ260" s="44" t="s">
        <v>1542</v>
      </c>
      <c r="AK260" s="44" t="s">
        <v>1542</v>
      </c>
      <c r="AL260" s="44" t="s">
        <v>1542</v>
      </c>
      <c r="AM260" s="44" t="s">
        <v>1542</v>
      </c>
      <c r="AN260" s="44" t="s">
        <v>1542</v>
      </c>
      <c r="AO260" s="46">
        <f t="shared" si="20"/>
        <v>0</v>
      </c>
      <c r="AP260" s="43" t="s">
        <v>1542</v>
      </c>
      <c r="AQ260" s="43" t="s">
        <v>1542</v>
      </c>
      <c r="AR260" s="43" t="s">
        <v>1542</v>
      </c>
      <c r="AS260" s="43" t="s">
        <v>1542</v>
      </c>
      <c r="AT260" s="43" t="s">
        <v>1542</v>
      </c>
      <c r="AU260" s="43" t="s">
        <v>1542</v>
      </c>
      <c r="AV260" s="43" t="s">
        <v>1542</v>
      </c>
      <c r="AW260" s="43" t="s">
        <v>1542</v>
      </c>
      <c r="AX260" s="43" t="s">
        <v>1542</v>
      </c>
      <c r="AY260" s="43" t="s">
        <v>1542</v>
      </c>
      <c r="AZ260" s="43" t="s">
        <v>1542</v>
      </c>
      <c r="BA260" s="43" t="s">
        <v>1542</v>
      </c>
      <c r="BB260" s="46">
        <f t="shared" si="21"/>
        <v>0</v>
      </c>
      <c r="BC260" s="44" t="s">
        <v>1542</v>
      </c>
      <c r="BD260" s="44" t="s">
        <v>1542</v>
      </c>
      <c r="BE260" s="44" t="s">
        <v>1542</v>
      </c>
      <c r="BF260" s="44" t="s">
        <v>1542</v>
      </c>
      <c r="BG260" s="44" t="s">
        <v>1542</v>
      </c>
      <c r="BH260" s="44" t="s">
        <v>1542</v>
      </c>
      <c r="BI260" s="44" t="s">
        <v>1542</v>
      </c>
      <c r="BJ260" s="44" t="s">
        <v>1542</v>
      </c>
      <c r="BK260" s="44" t="s">
        <v>1542</v>
      </c>
      <c r="BL260" s="44" t="s">
        <v>1542</v>
      </c>
      <c r="BM260" s="44" t="s">
        <v>1542</v>
      </c>
      <c r="BN260" s="44" t="s">
        <v>1542</v>
      </c>
      <c r="BO260" s="46">
        <f t="shared" si="22"/>
        <v>0</v>
      </c>
      <c r="BP260" s="43" t="s">
        <v>1542</v>
      </c>
      <c r="BQ260" s="43" t="s">
        <v>1542</v>
      </c>
      <c r="BR260" s="43" t="s">
        <v>1542</v>
      </c>
      <c r="BS260" s="43" t="s">
        <v>1542</v>
      </c>
      <c r="BT260" s="43" t="s">
        <v>1542</v>
      </c>
      <c r="BU260" s="43" t="s">
        <v>1542</v>
      </c>
      <c r="BV260" s="43" t="s">
        <v>1542</v>
      </c>
      <c r="BW260" s="43" t="s">
        <v>1542</v>
      </c>
      <c r="BX260" s="43" t="s">
        <v>1542</v>
      </c>
      <c r="BY260" s="43" t="s">
        <v>1542</v>
      </c>
      <c r="BZ260" s="43" t="s">
        <v>1542</v>
      </c>
      <c r="CA260" s="43" t="s">
        <v>1542</v>
      </c>
    </row>
    <row r="261" spans="1:79">
      <c r="A261">
        <v>260</v>
      </c>
      <c r="B261">
        <v>1</v>
      </c>
      <c r="C261" t="s">
        <v>1696</v>
      </c>
      <c r="D261" t="s">
        <v>1697</v>
      </c>
      <c r="E261" t="s">
        <v>2661</v>
      </c>
      <c r="F261" t="s">
        <v>2662</v>
      </c>
      <c r="G261" t="s">
        <v>2722</v>
      </c>
      <c r="H261" t="s">
        <v>2722</v>
      </c>
      <c r="I261" t="s">
        <v>2723</v>
      </c>
      <c r="J261" t="s">
        <v>2724</v>
      </c>
      <c r="K261" t="s">
        <v>2725</v>
      </c>
      <c r="M261" s="1" t="s">
        <v>2726</v>
      </c>
      <c r="N261" t="s">
        <v>2727</v>
      </c>
      <c r="O261" s="46">
        <f t="shared" si="23"/>
        <v>0</v>
      </c>
      <c r="P261" s="43" t="s">
        <v>1542</v>
      </c>
      <c r="Q261" s="43" t="s">
        <v>1542</v>
      </c>
      <c r="R261" s="43" t="s">
        <v>1542</v>
      </c>
      <c r="S261" s="43" t="s">
        <v>1542</v>
      </c>
      <c r="T261" s="43" t="s">
        <v>1542</v>
      </c>
      <c r="U261" s="43" t="s">
        <v>1542</v>
      </c>
      <c r="V261" s="43" t="s">
        <v>1542</v>
      </c>
      <c r="W261" s="43" t="s">
        <v>1542</v>
      </c>
      <c r="X261" s="43" t="s">
        <v>1542</v>
      </c>
      <c r="Y261" s="43" t="s">
        <v>1542</v>
      </c>
      <c r="Z261" s="43" t="s">
        <v>1542</v>
      </c>
      <c r="AA261" s="43" t="s">
        <v>1542</v>
      </c>
      <c r="AB261" s="46">
        <f t="shared" si="24"/>
        <v>0</v>
      </c>
      <c r="AC261" s="44" t="s">
        <v>1542</v>
      </c>
      <c r="AD261" s="44" t="s">
        <v>1542</v>
      </c>
      <c r="AE261" s="44" t="s">
        <v>1542</v>
      </c>
      <c r="AF261" s="44" t="s">
        <v>1542</v>
      </c>
      <c r="AG261" s="44" t="s">
        <v>1542</v>
      </c>
      <c r="AH261" s="44" t="s">
        <v>1542</v>
      </c>
      <c r="AI261" s="44" t="s">
        <v>1542</v>
      </c>
      <c r="AJ261" s="44" t="s">
        <v>1542</v>
      </c>
      <c r="AK261" s="44" t="s">
        <v>1542</v>
      </c>
      <c r="AL261" s="44" t="s">
        <v>1542</v>
      </c>
      <c r="AM261" s="44" t="s">
        <v>1542</v>
      </c>
      <c r="AN261" s="44" t="s">
        <v>1542</v>
      </c>
      <c r="AO261" s="46">
        <f t="shared" si="20"/>
        <v>0</v>
      </c>
      <c r="AP261" s="43" t="s">
        <v>1542</v>
      </c>
      <c r="AQ261" s="43" t="s">
        <v>1542</v>
      </c>
      <c r="AR261" s="43" t="s">
        <v>1542</v>
      </c>
      <c r="AS261" s="43" t="s">
        <v>1542</v>
      </c>
      <c r="AT261" s="43" t="s">
        <v>1542</v>
      </c>
      <c r="AU261" s="43" t="s">
        <v>1542</v>
      </c>
      <c r="AV261" s="43" t="s">
        <v>1542</v>
      </c>
      <c r="AW261" s="43" t="s">
        <v>1542</v>
      </c>
      <c r="AX261" s="43" t="s">
        <v>1542</v>
      </c>
      <c r="AY261" s="43" t="s">
        <v>1542</v>
      </c>
      <c r="AZ261" s="43" t="s">
        <v>1542</v>
      </c>
      <c r="BA261" s="43" t="s">
        <v>1542</v>
      </c>
      <c r="BB261" s="46">
        <f t="shared" si="21"/>
        <v>0</v>
      </c>
      <c r="BC261" s="44" t="s">
        <v>1542</v>
      </c>
      <c r="BD261" s="44" t="s">
        <v>1542</v>
      </c>
      <c r="BE261" s="44" t="s">
        <v>1542</v>
      </c>
      <c r="BF261" s="44" t="s">
        <v>1542</v>
      </c>
      <c r="BG261" s="44" t="s">
        <v>1542</v>
      </c>
      <c r="BH261" s="44" t="s">
        <v>1542</v>
      </c>
      <c r="BI261" s="44" t="s">
        <v>1542</v>
      </c>
      <c r="BJ261" s="44" t="s">
        <v>1542</v>
      </c>
      <c r="BK261" s="44" t="s">
        <v>1542</v>
      </c>
      <c r="BL261" s="44" t="s">
        <v>1542</v>
      </c>
      <c r="BM261" s="44" t="s">
        <v>1542</v>
      </c>
      <c r="BN261" s="44" t="s">
        <v>1542</v>
      </c>
      <c r="BO261" s="46">
        <f t="shared" si="22"/>
        <v>0</v>
      </c>
      <c r="BP261" s="43" t="s">
        <v>1542</v>
      </c>
      <c r="BQ261" s="43" t="s">
        <v>1542</v>
      </c>
      <c r="BR261" s="43" t="s">
        <v>1542</v>
      </c>
      <c r="BS261" s="43" t="s">
        <v>1542</v>
      </c>
      <c r="BT261" s="43" t="s">
        <v>1542</v>
      </c>
      <c r="BU261" s="43" t="s">
        <v>1542</v>
      </c>
      <c r="BV261" s="43" t="s">
        <v>1542</v>
      </c>
      <c r="BW261" s="43" t="s">
        <v>1542</v>
      </c>
      <c r="BX261" s="43" t="s">
        <v>1542</v>
      </c>
      <c r="BY261" s="43" t="s">
        <v>1542</v>
      </c>
      <c r="BZ261" s="43" t="s">
        <v>1542</v>
      </c>
      <c r="CA261" s="43" t="s">
        <v>1542</v>
      </c>
    </row>
    <row r="262" spans="1:79">
      <c r="A262">
        <v>261</v>
      </c>
      <c r="B262">
        <v>1</v>
      </c>
      <c r="C262" t="s">
        <v>1696</v>
      </c>
      <c r="D262" t="s">
        <v>1697</v>
      </c>
      <c r="E262" t="s">
        <v>2661</v>
      </c>
      <c r="F262" t="s">
        <v>2662</v>
      </c>
      <c r="G262" t="s">
        <v>2728</v>
      </c>
      <c r="H262" t="s">
        <v>2728</v>
      </c>
      <c r="J262" t="s">
        <v>2729</v>
      </c>
      <c r="K262" t="s">
        <v>2730</v>
      </c>
      <c r="M262" s="1" t="s">
        <v>2731</v>
      </c>
      <c r="O262" s="46">
        <f t="shared" si="23"/>
        <v>0</v>
      </c>
      <c r="P262" s="43" t="s">
        <v>1542</v>
      </c>
      <c r="Q262" s="43" t="s">
        <v>1542</v>
      </c>
      <c r="R262" s="43" t="s">
        <v>1542</v>
      </c>
      <c r="S262" s="43" t="s">
        <v>1542</v>
      </c>
      <c r="T262" s="43" t="s">
        <v>1542</v>
      </c>
      <c r="U262" s="43" t="s">
        <v>1542</v>
      </c>
      <c r="V262" s="43" t="s">
        <v>1542</v>
      </c>
      <c r="W262" s="43" t="s">
        <v>1542</v>
      </c>
      <c r="X262" s="43" t="s">
        <v>1542</v>
      </c>
      <c r="Y262" s="43" t="s">
        <v>1542</v>
      </c>
      <c r="Z262" s="43" t="s">
        <v>1542</v>
      </c>
      <c r="AA262" s="43" t="s">
        <v>1542</v>
      </c>
      <c r="AB262" s="46">
        <f t="shared" si="24"/>
        <v>0</v>
      </c>
      <c r="AC262" s="44" t="s">
        <v>1542</v>
      </c>
      <c r="AD262" s="44" t="s">
        <v>1542</v>
      </c>
      <c r="AE262" s="44" t="s">
        <v>1542</v>
      </c>
      <c r="AF262" s="44" t="s">
        <v>1542</v>
      </c>
      <c r="AG262" s="44" t="s">
        <v>1542</v>
      </c>
      <c r="AH262" s="44" t="s">
        <v>1542</v>
      </c>
      <c r="AI262" s="44" t="s">
        <v>1542</v>
      </c>
      <c r="AJ262" s="44" t="s">
        <v>1542</v>
      </c>
      <c r="AK262" s="44" t="s">
        <v>1542</v>
      </c>
      <c r="AL262" s="44" t="s">
        <v>1542</v>
      </c>
      <c r="AM262" s="44" t="s">
        <v>1542</v>
      </c>
      <c r="AN262" s="44" t="s">
        <v>1542</v>
      </c>
      <c r="AO262" s="46">
        <f t="shared" si="20"/>
        <v>0</v>
      </c>
      <c r="AP262" s="43" t="s">
        <v>1542</v>
      </c>
      <c r="AQ262" s="43" t="s">
        <v>1542</v>
      </c>
      <c r="AR262" s="43" t="s">
        <v>1542</v>
      </c>
      <c r="AS262" s="43" t="s">
        <v>1542</v>
      </c>
      <c r="AT262" s="43" t="s">
        <v>1542</v>
      </c>
      <c r="AU262" s="43" t="s">
        <v>1542</v>
      </c>
      <c r="AV262" s="43" t="s">
        <v>1542</v>
      </c>
      <c r="AW262" s="43" t="s">
        <v>1542</v>
      </c>
      <c r="AX262" s="43" t="s">
        <v>1542</v>
      </c>
      <c r="AY262" s="43" t="s">
        <v>1542</v>
      </c>
      <c r="AZ262" s="43" t="s">
        <v>1542</v>
      </c>
      <c r="BA262" s="43" t="s">
        <v>1542</v>
      </c>
      <c r="BB262" s="46">
        <f t="shared" si="21"/>
        <v>0</v>
      </c>
      <c r="BC262" s="44" t="s">
        <v>1542</v>
      </c>
      <c r="BD262" s="44" t="s">
        <v>1542</v>
      </c>
      <c r="BE262" s="44" t="s">
        <v>1542</v>
      </c>
      <c r="BF262" s="44" t="s">
        <v>1542</v>
      </c>
      <c r="BG262" s="44" t="s">
        <v>1542</v>
      </c>
      <c r="BH262" s="44" t="s">
        <v>1542</v>
      </c>
      <c r="BI262" s="44" t="s">
        <v>1542</v>
      </c>
      <c r="BJ262" s="44" t="s">
        <v>1542</v>
      </c>
      <c r="BK262" s="44" t="s">
        <v>1542</v>
      </c>
      <c r="BL262" s="44" t="s">
        <v>1542</v>
      </c>
      <c r="BM262" s="44" t="s">
        <v>1542</v>
      </c>
      <c r="BN262" s="44" t="s">
        <v>1542</v>
      </c>
      <c r="BO262" s="46">
        <f t="shared" si="22"/>
        <v>0</v>
      </c>
      <c r="BP262" s="43" t="s">
        <v>1542</v>
      </c>
      <c r="BQ262" s="43" t="s">
        <v>1542</v>
      </c>
      <c r="BR262" s="43" t="s">
        <v>1542</v>
      </c>
      <c r="BS262" s="43" t="s">
        <v>1542</v>
      </c>
      <c r="BT262" s="43" t="s">
        <v>1542</v>
      </c>
      <c r="BU262" s="43" t="s">
        <v>1542</v>
      </c>
      <c r="BV262" s="43" t="s">
        <v>1542</v>
      </c>
      <c r="BW262" s="43" t="s">
        <v>1542</v>
      </c>
      <c r="BX262" s="43" t="s">
        <v>1542</v>
      </c>
      <c r="BY262" s="43" t="s">
        <v>1542</v>
      </c>
      <c r="BZ262" s="43" t="s">
        <v>1542</v>
      </c>
      <c r="CA262" s="43" t="s">
        <v>1542</v>
      </c>
    </row>
    <row r="263" spans="1:79">
      <c r="A263">
        <v>262</v>
      </c>
      <c r="B263">
        <v>1</v>
      </c>
      <c r="C263" t="s">
        <v>1696</v>
      </c>
      <c r="D263" t="s">
        <v>1697</v>
      </c>
      <c r="E263" t="s">
        <v>2661</v>
      </c>
      <c r="F263" t="s">
        <v>2662</v>
      </c>
      <c r="G263" t="s">
        <v>2732</v>
      </c>
      <c r="H263" t="s">
        <v>2732</v>
      </c>
      <c r="J263" t="s">
        <v>2733</v>
      </c>
      <c r="K263" t="s">
        <v>2734</v>
      </c>
      <c r="M263" s="1" t="s">
        <v>2735</v>
      </c>
      <c r="O263" s="46">
        <f t="shared" si="23"/>
        <v>0</v>
      </c>
      <c r="P263" s="43" t="s">
        <v>1542</v>
      </c>
      <c r="Q263" s="43" t="s">
        <v>1542</v>
      </c>
      <c r="R263" s="43" t="s">
        <v>1542</v>
      </c>
      <c r="S263" s="43" t="s">
        <v>1542</v>
      </c>
      <c r="T263" s="43" t="s">
        <v>1542</v>
      </c>
      <c r="U263" s="43" t="s">
        <v>1542</v>
      </c>
      <c r="V263" s="43" t="s">
        <v>1542</v>
      </c>
      <c r="W263" s="43" t="s">
        <v>1542</v>
      </c>
      <c r="X263" s="43" t="s">
        <v>1542</v>
      </c>
      <c r="Y263" s="43" t="s">
        <v>1542</v>
      </c>
      <c r="Z263" s="43" t="s">
        <v>1542</v>
      </c>
      <c r="AA263" s="43" t="s">
        <v>1542</v>
      </c>
      <c r="AB263" s="46">
        <f t="shared" si="24"/>
        <v>0</v>
      </c>
      <c r="AC263" s="44" t="s">
        <v>1542</v>
      </c>
      <c r="AD263" s="44" t="s">
        <v>1542</v>
      </c>
      <c r="AE263" s="44" t="s">
        <v>1542</v>
      </c>
      <c r="AF263" s="44" t="s">
        <v>1542</v>
      </c>
      <c r="AG263" s="44" t="s">
        <v>1542</v>
      </c>
      <c r="AH263" s="44" t="s">
        <v>1542</v>
      </c>
      <c r="AI263" s="44" t="s">
        <v>1542</v>
      </c>
      <c r="AJ263" s="44" t="s">
        <v>1542</v>
      </c>
      <c r="AK263" s="44" t="s">
        <v>1542</v>
      </c>
      <c r="AL263" s="44" t="s">
        <v>1542</v>
      </c>
      <c r="AM263" s="44" t="s">
        <v>1542</v>
      </c>
      <c r="AN263" s="44" t="s">
        <v>1542</v>
      </c>
      <c r="AO263" s="46">
        <f t="shared" si="20"/>
        <v>0</v>
      </c>
      <c r="AP263" s="43" t="s">
        <v>1542</v>
      </c>
      <c r="AQ263" s="43" t="s">
        <v>1542</v>
      </c>
      <c r="AR263" s="43" t="s">
        <v>1542</v>
      </c>
      <c r="AS263" s="43" t="s">
        <v>1542</v>
      </c>
      <c r="AT263" s="43" t="s">
        <v>1542</v>
      </c>
      <c r="AU263" s="43" t="s">
        <v>1542</v>
      </c>
      <c r="AV263" s="43" t="s">
        <v>1542</v>
      </c>
      <c r="AW263" s="43" t="s">
        <v>1542</v>
      </c>
      <c r="AX263" s="43" t="s">
        <v>1542</v>
      </c>
      <c r="AY263" s="43" t="s">
        <v>1542</v>
      </c>
      <c r="AZ263" s="43" t="s">
        <v>1542</v>
      </c>
      <c r="BA263" s="43" t="s">
        <v>1542</v>
      </c>
      <c r="BB263" s="46">
        <f t="shared" si="21"/>
        <v>0</v>
      </c>
      <c r="BC263" s="44" t="s">
        <v>1542</v>
      </c>
      <c r="BD263" s="44" t="s">
        <v>1542</v>
      </c>
      <c r="BE263" s="44" t="s">
        <v>1542</v>
      </c>
      <c r="BF263" s="44" t="s">
        <v>1542</v>
      </c>
      <c r="BG263" s="44" t="s">
        <v>1542</v>
      </c>
      <c r="BH263" s="44" t="s">
        <v>1542</v>
      </c>
      <c r="BI263" s="44" t="s">
        <v>1542</v>
      </c>
      <c r="BJ263" s="44" t="s">
        <v>1542</v>
      </c>
      <c r="BK263" s="44" t="s">
        <v>1542</v>
      </c>
      <c r="BL263" s="44" t="s">
        <v>1542</v>
      </c>
      <c r="BM263" s="44" t="s">
        <v>1542</v>
      </c>
      <c r="BN263" s="44" t="s">
        <v>1542</v>
      </c>
      <c r="BO263" s="46">
        <f t="shared" si="22"/>
        <v>0</v>
      </c>
      <c r="BP263" s="43" t="s">
        <v>1542</v>
      </c>
      <c r="BQ263" s="43" t="s">
        <v>1542</v>
      </c>
      <c r="BR263" s="43" t="s">
        <v>1542</v>
      </c>
      <c r="BS263" s="43" t="s">
        <v>1542</v>
      </c>
      <c r="BT263" s="43" t="s">
        <v>1542</v>
      </c>
      <c r="BU263" s="43" t="s">
        <v>1542</v>
      </c>
      <c r="BV263" s="43" t="s">
        <v>1542</v>
      </c>
      <c r="BW263" s="43" t="s">
        <v>1542</v>
      </c>
      <c r="BX263" s="43" t="s">
        <v>1542</v>
      </c>
      <c r="BY263" s="43" t="s">
        <v>1542</v>
      </c>
      <c r="BZ263" s="43" t="s">
        <v>1542</v>
      </c>
      <c r="CA263" s="43" t="s">
        <v>1542</v>
      </c>
    </row>
    <row r="264" spans="1:79">
      <c r="A264">
        <v>263</v>
      </c>
      <c r="B264">
        <v>1</v>
      </c>
      <c r="C264" t="s">
        <v>1696</v>
      </c>
      <c r="D264" t="s">
        <v>1697</v>
      </c>
      <c r="E264" t="s">
        <v>2661</v>
      </c>
      <c r="F264" t="s">
        <v>2662</v>
      </c>
      <c r="G264" t="s">
        <v>2736</v>
      </c>
      <c r="H264" t="s">
        <v>2736</v>
      </c>
      <c r="J264" t="s">
        <v>2737</v>
      </c>
      <c r="K264" t="s">
        <v>2738</v>
      </c>
      <c r="M264" s="1" t="s">
        <v>2739</v>
      </c>
      <c r="O264" s="46">
        <f t="shared" si="23"/>
        <v>0</v>
      </c>
      <c r="P264" s="43" t="s">
        <v>1542</v>
      </c>
      <c r="Q264" s="43" t="s">
        <v>1542</v>
      </c>
      <c r="R264" s="43" t="s">
        <v>1542</v>
      </c>
      <c r="S264" s="43" t="s">
        <v>1542</v>
      </c>
      <c r="T264" s="43" t="s">
        <v>1542</v>
      </c>
      <c r="U264" s="43" t="s">
        <v>1542</v>
      </c>
      <c r="V264" s="43" t="s">
        <v>1542</v>
      </c>
      <c r="W264" s="43" t="s">
        <v>1542</v>
      </c>
      <c r="X264" s="43" t="s">
        <v>1542</v>
      </c>
      <c r="Y264" s="43" t="s">
        <v>1542</v>
      </c>
      <c r="Z264" s="43" t="s">
        <v>1542</v>
      </c>
      <c r="AA264" s="43" t="s">
        <v>1542</v>
      </c>
      <c r="AB264" s="46">
        <f t="shared" si="24"/>
        <v>0</v>
      </c>
      <c r="AC264" s="44" t="s">
        <v>1542</v>
      </c>
      <c r="AD264" s="44" t="s">
        <v>1542</v>
      </c>
      <c r="AE264" s="44" t="s">
        <v>1542</v>
      </c>
      <c r="AF264" s="44" t="s">
        <v>1542</v>
      </c>
      <c r="AG264" s="44" t="s">
        <v>1542</v>
      </c>
      <c r="AH264" s="44" t="s">
        <v>1542</v>
      </c>
      <c r="AI264" s="44" t="s">
        <v>1542</v>
      </c>
      <c r="AJ264" s="44" t="s">
        <v>1542</v>
      </c>
      <c r="AK264" s="44" t="s">
        <v>1542</v>
      </c>
      <c r="AL264" s="44" t="s">
        <v>1542</v>
      </c>
      <c r="AM264" s="44" t="s">
        <v>1542</v>
      </c>
      <c r="AN264" s="44" t="s">
        <v>1542</v>
      </c>
      <c r="AO264" s="46">
        <f t="shared" si="20"/>
        <v>0</v>
      </c>
      <c r="AP264" s="43" t="s">
        <v>1542</v>
      </c>
      <c r="AQ264" s="43" t="s">
        <v>1542</v>
      </c>
      <c r="AR264" s="43" t="s">
        <v>1542</v>
      </c>
      <c r="AS264" s="43" t="s">
        <v>1542</v>
      </c>
      <c r="AT264" s="43" t="s">
        <v>1542</v>
      </c>
      <c r="AU264" s="43" t="s">
        <v>1542</v>
      </c>
      <c r="AV264" s="43" t="s">
        <v>1542</v>
      </c>
      <c r="AW264" s="43" t="s">
        <v>1542</v>
      </c>
      <c r="AX264" s="43" t="s">
        <v>1542</v>
      </c>
      <c r="AY264" s="43" t="s">
        <v>1542</v>
      </c>
      <c r="AZ264" s="43" t="s">
        <v>1542</v>
      </c>
      <c r="BA264" s="43" t="s">
        <v>1542</v>
      </c>
      <c r="BB264" s="46">
        <f t="shared" si="21"/>
        <v>0</v>
      </c>
      <c r="BC264" s="44" t="s">
        <v>1542</v>
      </c>
      <c r="BD264" s="44" t="s">
        <v>1542</v>
      </c>
      <c r="BE264" s="44" t="s">
        <v>1542</v>
      </c>
      <c r="BF264" s="44" t="s">
        <v>1542</v>
      </c>
      <c r="BG264" s="44" t="s">
        <v>1542</v>
      </c>
      <c r="BH264" s="44" t="s">
        <v>1542</v>
      </c>
      <c r="BI264" s="44" t="s">
        <v>1542</v>
      </c>
      <c r="BJ264" s="44" t="s">
        <v>1542</v>
      </c>
      <c r="BK264" s="44" t="s">
        <v>1542</v>
      </c>
      <c r="BL264" s="44" t="s">
        <v>1542</v>
      </c>
      <c r="BM264" s="44" t="s">
        <v>1542</v>
      </c>
      <c r="BN264" s="44" t="s">
        <v>1542</v>
      </c>
      <c r="BO264" s="46">
        <f t="shared" si="22"/>
        <v>0</v>
      </c>
      <c r="BP264" s="43" t="s">
        <v>1542</v>
      </c>
      <c r="BQ264" s="43" t="s">
        <v>1542</v>
      </c>
      <c r="BR264" s="43" t="s">
        <v>1542</v>
      </c>
      <c r="BS264" s="43" t="s">
        <v>1542</v>
      </c>
      <c r="BT264" s="43" t="s">
        <v>1542</v>
      </c>
      <c r="BU264" s="43" t="s">
        <v>1542</v>
      </c>
      <c r="BV264" s="43" t="s">
        <v>1542</v>
      </c>
      <c r="BW264" s="43" t="s">
        <v>1542</v>
      </c>
      <c r="BX264" s="43" t="s">
        <v>1542</v>
      </c>
      <c r="BY264" s="43" t="s">
        <v>1542</v>
      </c>
      <c r="BZ264" s="43" t="s">
        <v>1542</v>
      </c>
      <c r="CA264" s="43" t="s">
        <v>1542</v>
      </c>
    </row>
    <row r="265" spans="1:79">
      <c r="A265">
        <v>264</v>
      </c>
      <c r="B265" t="s">
        <v>1543</v>
      </c>
      <c r="C265" t="s">
        <v>1696</v>
      </c>
      <c r="D265" t="s">
        <v>1697</v>
      </c>
      <c r="E265" t="s">
        <v>2661</v>
      </c>
      <c r="F265" t="s">
        <v>2662</v>
      </c>
      <c r="G265" t="s">
        <v>2740</v>
      </c>
      <c r="H265" t="s">
        <v>2740</v>
      </c>
      <c r="J265" t="s">
        <v>2741</v>
      </c>
      <c r="K265" t="s">
        <v>2742</v>
      </c>
      <c r="M265" s="1" t="s">
        <v>2743</v>
      </c>
      <c r="N265" t="s">
        <v>2744</v>
      </c>
      <c r="O265" s="46">
        <f t="shared" si="23"/>
        <v>0</v>
      </c>
      <c r="P265" s="43"/>
      <c r="Q265" s="43"/>
      <c r="R265" s="43"/>
      <c r="S265" s="43"/>
      <c r="T265" s="43"/>
      <c r="U265" s="43"/>
      <c r="V265" s="43"/>
      <c r="W265" s="43"/>
      <c r="X265" s="43"/>
      <c r="Y265" s="43"/>
      <c r="Z265" s="43"/>
      <c r="AA265" s="43"/>
      <c r="AB265" s="46">
        <f t="shared" si="24"/>
        <v>0</v>
      </c>
      <c r="AC265" s="44"/>
      <c r="AD265" s="44"/>
      <c r="AE265" s="44"/>
      <c r="AF265" s="44"/>
      <c r="AG265" s="44"/>
      <c r="AH265" s="44"/>
      <c r="AI265" s="44"/>
      <c r="AJ265" s="44"/>
      <c r="AK265" s="44"/>
      <c r="AL265" s="44"/>
      <c r="AM265" s="44"/>
      <c r="AN265" s="44"/>
      <c r="AO265" s="46">
        <f t="shared" si="20"/>
        <v>0</v>
      </c>
      <c r="AP265" s="43"/>
      <c r="AQ265" s="43"/>
      <c r="AR265" s="43"/>
      <c r="AS265" s="43"/>
      <c r="AT265" s="43"/>
      <c r="AU265" s="43"/>
      <c r="AV265" s="43"/>
      <c r="AW265" s="43"/>
      <c r="AX265" s="43"/>
      <c r="AY265" s="43"/>
      <c r="AZ265" s="43"/>
      <c r="BA265" s="43"/>
      <c r="BB265" s="46">
        <f t="shared" si="21"/>
        <v>0</v>
      </c>
      <c r="BC265" s="44"/>
      <c r="BD265" s="44"/>
      <c r="BE265" s="44"/>
      <c r="BF265" s="44"/>
      <c r="BG265" s="44"/>
      <c r="BH265" s="44"/>
      <c r="BI265" s="44"/>
      <c r="BJ265" s="44"/>
      <c r="BK265" s="44"/>
      <c r="BL265" s="44"/>
      <c r="BM265" s="44"/>
      <c r="BN265" s="44"/>
      <c r="BO265" s="46">
        <f t="shared" si="22"/>
        <v>0</v>
      </c>
      <c r="BP265" s="43"/>
      <c r="BQ265" s="43"/>
      <c r="BR265" s="43"/>
      <c r="BS265" s="43"/>
      <c r="BT265" s="43"/>
      <c r="BU265" s="43"/>
      <c r="BV265" s="43"/>
      <c r="BW265" s="43"/>
      <c r="BX265" s="43"/>
      <c r="BY265" s="43"/>
      <c r="BZ265" s="43"/>
      <c r="CA265" s="43"/>
    </row>
    <row r="266" spans="1:79">
      <c r="A266">
        <v>265</v>
      </c>
      <c r="B266">
        <v>1</v>
      </c>
      <c r="C266" t="s">
        <v>1696</v>
      </c>
      <c r="D266" t="s">
        <v>1697</v>
      </c>
      <c r="E266" t="s">
        <v>2661</v>
      </c>
      <c r="F266" t="s">
        <v>2662</v>
      </c>
      <c r="G266" t="s">
        <v>2745</v>
      </c>
      <c r="H266" t="s">
        <v>2745</v>
      </c>
      <c r="J266" t="s">
        <v>2746</v>
      </c>
      <c r="K266" t="s">
        <v>2747</v>
      </c>
      <c r="M266" s="1" t="s">
        <v>2748</v>
      </c>
      <c r="O266" s="46">
        <f t="shared" si="23"/>
        <v>0</v>
      </c>
      <c r="P266" s="43" t="s">
        <v>1542</v>
      </c>
      <c r="Q266" s="43" t="s">
        <v>1542</v>
      </c>
      <c r="R266" s="43" t="s">
        <v>1542</v>
      </c>
      <c r="S266" s="43" t="s">
        <v>1542</v>
      </c>
      <c r="T266" s="43" t="s">
        <v>1542</v>
      </c>
      <c r="U266" s="43" t="s">
        <v>1542</v>
      </c>
      <c r="V266" s="43" t="s">
        <v>1542</v>
      </c>
      <c r="W266" s="43" t="s">
        <v>1542</v>
      </c>
      <c r="X266" s="43" t="s">
        <v>1542</v>
      </c>
      <c r="Y266" s="43" t="s">
        <v>1542</v>
      </c>
      <c r="Z266" s="43" t="s">
        <v>1542</v>
      </c>
      <c r="AA266" s="43" t="s">
        <v>1542</v>
      </c>
      <c r="AB266" s="46">
        <f t="shared" si="24"/>
        <v>0</v>
      </c>
      <c r="AC266" s="44" t="s">
        <v>1542</v>
      </c>
      <c r="AD266" s="44" t="s">
        <v>1542</v>
      </c>
      <c r="AE266" s="44" t="s">
        <v>1542</v>
      </c>
      <c r="AF266" s="44" t="s">
        <v>1542</v>
      </c>
      <c r="AG266" s="44" t="s">
        <v>1542</v>
      </c>
      <c r="AH266" s="44" t="s">
        <v>1542</v>
      </c>
      <c r="AI266" s="44" t="s">
        <v>1542</v>
      </c>
      <c r="AJ266" s="44" t="s">
        <v>1542</v>
      </c>
      <c r="AK266" s="44" t="s">
        <v>1542</v>
      </c>
      <c r="AL266" s="44" t="s">
        <v>1542</v>
      </c>
      <c r="AM266" s="44" t="s">
        <v>1542</v>
      </c>
      <c r="AN266" s="44" t="s">
        <v>1542</v>
      </c>
      <c r="AO266" s="46">
        <f t="shared" si="20"/>
        <v>0</v>
      </c>
      <c r="AP266" s="43" t="s">
        <v>1542</v>
      </c>
      <c r="AQ266" s="43" t="s">
        <v>1542</v>
      </c>
      <c r="AR266" s="43" t="s">
        <v>1542</v>
      </c>
      <c r="AS266" s="43" t="s">
        <v>1542</v>
      </c>
      <c r="AT266" s="43" t="s">
        <v>1542</v>
      </c>
      <c r="AU266" s="43" t="s">
        <v>1542</v>
      </c>
      <c r="AV266" s="43" t="s">
        <v>1542</v>
      </c>
      <c r="AW266" s="43" t="s">
        <v>1542</v>
      </c>
      <c r="AX266" s="43" t="s">
        <v>1542</v>
      </c>
      <c r="AY266" s="43" t="s">
        <v>1542</v>
      </c>
      <c r="AZ266" s="43" t="s">
        <v>1542</v>
      </c>
      <c r="BA266" s="43" t="s">
        <v>1542</v>
      </c>
      <c r="BB266" s="46">
        <f t="shared" si="21"/>
        <v>0</v>
      </c>
      <c r="BC266" s="44" t="s">
        <v>1542</v>
      </c>
      <c r="BD266" s="44" t="s">
        <v>1542</v>
      </c>
      <c r="BE266" s="44" t="s">
        <v>1542</v>
      </c>
      <c r="BF266" s="44" t="s">
        <v>1542</v>
      </c>
      <c r="BG266" s="44" t="s">
        <v>1542</v>
      </c>
      <c r="BH266" s="44" t="s">
        <v>1542</v>
      </c>
      <c r="BI266" s="44" t="s">
        <v>1542</v>
      </c>
      <c r="BJ266" s="44" t="s">
        <v>1542</v>
      </c>
      <c r="BK266" s="44" t="s">
        <v>1542</v>
      </c>
      <c r="BL266" s="44" t="s">
        <v>1542</v>
      </c>
      <c r="BM266" s="44" t="s">
        <v>1542</v>
      </c>
      <c r="BN266" s="44" t="s">
        <v>1542</v>
      </c>
      <c r="BO266" s="46">
        <f t="shared" si="22"/>
        <v>0</v>
      </c>
      <c r="BP266" s="43" t="s">
        <v>1542</v>
      </c>
      <c r="BQ266" s="43" t="s">
        <v>1542</v>
      </c>
      <c r="BR266" s="43" t="s">
        <v>1542</v>
      </c>
      <c r="BS266" s="43" t="s">
        <v>1542</v>
      </c>
      <c r="BT266" s="43" t="s">
        <v>1542</v>
      </c>
      <c r="BU266" s="43" t="s">
        <v>1542</v>
      </c>
      <c r="BV266" s="43" t="s">
        <v>1542</v>
      </c>
      <c r="BW266" s="43" t="s">
        <v>1542</v>
      </c>
      <c r="BX266" s="43" t="s">
        <v>1542</v>
      </c>
      <c r="BY266" s="43" t="s">
        <v>1542</v>
      </c>
      <c r="BZ266" s="43" t="s">
        <v>1542</v>
      </c>
      <c r="CA266" s="43" t="s">
        <v>1542</v>
      </c>
    </row>
    <row r="267" spans="1:79">
      <c r="A267">
        <v>266</v>
      </c>
      <c r="B267">
        <v>1</v>
      </c>
      <c r="C267" t="s">
        <v>1696</v>
      </c>
      <c r="D267" t="s">
        <v>1697</v>
      </c>
      <c r="E267" t="s">
        <v>2661</v>
      </c>
      <c r="F267" t="s">
        <v>2662</v>
      </c>
      <c r="G267" t="s">
        <v>2749</v>
      </c>
      <c r="H267" t="s">
        <v>2749</v>
      </c>
      <c r="J267" t="s">
        <v>2750</v>
      </c>
      <c r="K267" t="s">
        <v>2751</v>
      </c>
      <c r="M267" s="1" t="s">
        <v>2752</v>
      </c>
      <c r="O267" s="46">
        <f t="shared" si="23"/>
        <v>0</v>
      </c>
      <c r="P267" s="43" t="s">
        <v>1542</v>
      </c>
      <c r="Q267" s="43" t="s">
        <v>1542</v>
      </c>
      <c r="R267" s="43" t="s">
        <v>1542</v>
      </c>
      <c r="S267" s="43" t="s">
        <v>1542</v>
      </c>
      <c r="T267" s="43" t="s">
        <v>1542</v>
      </c>
      <c r="U267" s="43" t="s">
        <v>1542</v>
      </c>
      <c r="V267" s="43" t="s">
        <v>1542</v>
      </c>
      <c r="W267" s="43" t="s">
        <v>1542</v>
      </c>
      <c r="X267" s="43" t="s">
        <v>1542</v>
      </c>
      <c r="Y267" s="43" t="s">
        <v>1542</v>
      </c>
      <c r="Z267" s="43" t="s">
        <v>1542</v>
      </c>
      <c r="AA267" s="43" t="s">
        <v>1542</v>
      </c>
      <c r="AB267" s="46">
        <f t="shared" si="24"/>
        <v>0</v>
      </c>
      <c r="AC267" s="44" t="s">
        <v>1542</v>
      </c>
      <c r="AD267" s="44" t="s">
        <v>1542</v>
      </c>
      <c r="AE267" s="44" t="s">
        <v>1542</v>
      </c>
      <c r="AF267" s="44" t="s">
        <v>1542</v>
      </c>
      <c r="AG267" s="44" t="s">
        <v>1542</v>
      </c>
      <c r="AH267" s="44" t="s">
        <v>1542</v>
      </c>
      <c r="AI267" s="44" t="s">
        <v>1542</v>
      </c>
      <c r="AJ267" s="44" t="s">
        <v>1542</v>
      </c>
      <c r="AK267" s="44" t="s">
        <v>1542</v>
      </c>
      <c r="AL267" s="44" t="s">
        <v>1542</v>
      </c>
      <c r="AM267" s="44" t="s">
        <v>1542</v>
      </c>
      <c r="AN267" s="44" t="s">
        <v>1542</v>
      </c>
      <c r="AO267" s="46">
        <f t="shared" si="20"/>
        <v>0</v>
      </c>
      <c r="AP267" s="43" t="s">
        <v>1542</v>
      </c>
      <c r="AQ267" s="43" t="s">
        <v>1542</v>
      </c>
      <c r="AR267" s="43" t="s">
        <v>1542</v>
      </c>
      <c r="AS267" s="43" t="s">
        <v>1542</v>
      </c>
      <c r="AT267" s="43" t="s">
        <v>1542</v>
      </c>
      <c r="AU267" s="43" t="s">
        <v>1542</v>
      </c>
      <c r="AV267" s="43" t="s">
        <v>1542</v>
      </c>
      <c r="AW267" s="43" t="s">
        <v>1542</v>
      </c>
      <c r="AX267" s="43" t="s">
        <v>1542</v>
      </c>
      <c r="AY267" s="43" t="s">
        <v>1542</v>
      </c>
      <c r="AZ267" s="43" t="s">
        <v>1542</v>
      </c>
      <c r="BA267" s="43" t="s">
        <v>1542</v>
      </c>
      <c r="BB267" s="46">
        <f t="shared" si="21"/>
        <v>0</v>
      </c>
      <c r="BC267" s="44" t="s">
        <v>1542</v>
      </c>
      <c r="BD267" s="44" t="s">
        <v>1542</v>
      </c>
      <c r="BE267" s="44" t="s">
        <v>1542</v>
      </c>
      <c r="BF267" s="44" t="s">
        <v>1542</v>
      </c>
      <c r="BG267" s="44" t="s">
        <v>1542</v>
      </c>
      <c r="BH267" s="44" t="s">
        <v>1542</v>
      </c>
      <c r="BI267" s="44" t="s">
        <v>1542</v>
      </c>
      <c r="BJ267" s="44" t="s">
        <v>1542</v>
      </c>
      <c r="BK267" s="44" t="s">
        <v>1542</v>
      </c>
      <c r="BL267" s="44" t="s">
        <v>1542</v>
      </c>
      <c r="BM267" s="44" t="s">
        <v>1542</v>
      </c>
      <c r="BN267" s="44" t="s">
        <v>1542</v>
      </c>
      <c r="BO267" s="46">
        <f t="shared" si="22"/>
        <v>0</v>
      </c>
      <c r="BP267" s="43" t="s">
        <v>1542</v>
      </c>
      <c r="BQ267" s="43" t="s">
        <v>1542</v>
      </c>
      <c r="BR267" s="43" t="s">
        <v>1542</v>
      </c>
      <c r="BS267" s="43" t="s">
        <v>1542</v>
      </c>
      <c r="BT267" s="43" t="s">
        <v>1542</v>
      </c>
      <c r="BU267" s="43" t="s">
        <v>1542</v>
      </c>
      <c r="BV267" s="43" t="s">
        <v>1542</v>
      </c>
      <c r="BW267" s="43" t="s">
        <v>1542</v>
      </c>
      <c r="BX267" s="43" t="s">
        <v>1542</v>
      </c>
      <c r="BY267" s="43" t="s">
        <v>1542</v>
      </c>
      <c r="BZ267" s="43" t="s">
        <v>1542</v>
      </c>
      <c r="CA267" s="43" t="s">
        <v>1542</v>
      </c>
    </row>
    <row r="268" spans="1:79">
      <c r="A268">
        <v>267</v>
      </c>
      <c r="B268">
        <v>1</v>
      </c>
      <c r="C268" t="s">
        <v>1532</v>
      </c>
      <c r="D268" t="s">
        <v>1533</v>
      </c>
      <c r="E268" t="s">
        <v>2753</v>
      </c>
      <c r="F268" t="s">
        <v>2754</v>
      </c>
      <c r="G268" t="s">
        <v>2755</v>
      </c>
      <c r="H268" t="s">
        <v>2755</v>
      </c>
      <c r="J268" t="s">
        <v>2756</v>
      </c>
      <c r="K268" t="s">
        <v>2757</v>
      </c>
      <c r="M268" s="1" t="s">
        <v>2758</v>
      </c>
      <c r="N268" t="s">
        <v>2759</v>
      </c>
      <c r="O268" s="46">
        <f t="shared" si="23"/>
        <v>0</v>
      </c>
      <c r="P268" s="43" t="s">
        <v>1542</v>
      </c>
      <c r="Q268" s="43" t="s">
        <v>1542</v>
      </c>
      <c r="R268" s="43" t="s">
        <v>1542</v>
      </c>
      <c r="S268" s="43" t="s">
        <v>1542</v>
      </c>
      <c r="T268" s="43" t="s">
        <v>1542</v>
      </c>
      <c r="U268" s="43" t="s">
        <v>1542</v>
      </c>
      <c r="V268" s="43" t="s">
        <v>1542</v>
      </c>
      <c r="W268" s="43" t="s">
        <v>1542</v>
      </c>
      <c r="X268" s="43" t="s">
        <v>1542</v>
      </c>
      <c r="Y268" s="43" t="s">
        <v>1542</v>
      </c>
      <c r="Z268" s="43" t="s">
        <v>1542</v>
      </c>
      <c r="AA268" s="43" t="s">
        <v>1542</v>
      </c>
      <c r="AB268" s="46">
        <f t="shared" si="24"/>
        <v>0</v>
      </c>
      <c r="AC268" s="44" t="s">
        <v>1542</v>
      </c>
      <c r="AD268" s="44" t="s">
        <v>1542</v>
      </c>
      <c r="AE268" s="44" t="s">
        <v>1542</v>
      </c>
      <c r="AF268" s="44" t="s">
        <v>1542</v>
      </c>
      <c r="AG268" s="44" t="s">
        <v>1542</v>
      </c>
      <c r="AH268" s="44" t="s">
        <v>1542</v>
      </c>
      <c r="AI268" s="44" t="s">
        <v>1542</v>
      </c>
      <c r="AJ268" s="44" t="s">
        <v>1542</v>
      </c>
      <c r="AK268" s="44" t="s">
        <v>1542</v>
      </c>
      <c r="AL268" s="44" t="s">
        <v>1542</v>
      </c>
      <c r="AM268" s="44" t="s">
        <v>1542</v>
      </c>
      <c r="AN268" s="44" t="s">
        <v>1542</v>
      </c>
      <c r="AO268" s="46">
        <f t="shared" si="20"/>
        <v>0</v>
      </c>
      <c r="AP268" s="43" t="s">
        <v>1542</v>
      </c>
      <c r="AQ268" s="43" t="s">
        <v>1542</v>
      </c>
      <c r="AR268" s="43" t="s">
        <v>1542</v>
      </c>
      <c r="AS268" s="43" t="s">
        <v>1542</v>
      </c>
      <c r="AT268" s="43" t="s">
        <v>1542</v>
      </c>
      <c r="AU268" s="43" t="s">
        <v>1542</v>
      </c>
      <c r="AV268" s="43" t="s">
        <v>1542</v>
      </c>
      <c r="AW268" s="43" t="s">
        <v>1542</v>
      </c>
      <c r="AX268" s="43" t="s">
        <v>1542</v>
      </c>
      <c r="AY268" s="43" t="s">
        <v>1542</v>
      </c>
      <c r="AZ268" s="43" t="s">
        <v>1542</v>
      </c>
      <c r="BA268" s="43" t="s">
        <v>1542</v>
      </c>
      <c r="BB268" s="46">
        <f t="shared" si="21"/>
        <v>0</v>
      </c>
      <c r="BC268" s="44" t="s">
        <v>1542</v>
      </c>
      <c r="BD268" s="44" t="s">
        <v>1542</v>
      </c>
      <c r="BE268" s="44" t="s">
        <v>1542</v>
      </c>
      <c r="BF268" s="44" t="s">
        <v>1542</v>
      </c>
      <c r="BG268" s="44" t="s">
        <v>1542</v>
      </c>
      <c r="BH268" s="44" t="s">
        <v>1542</v>
      </c>
      <c r="BI268" s="44" t="s">
        <v>1542</v>
      </c>
      <c r="BJ268" s="44" t="s">
        <v>1542</v>
      </c>
      <c r="BK268" s="44" t="s">
        <v>1542</v>
      </c>
      <c r="BL268" s="44" t="s">
        <v>1542</v>
      </c>
      <c r="BM268" s="44" t="s">
        <v>1542</v>
      </c>
      <c r="BN268" s="44" t="s">
        <v>1542</v>
      </c>
      <c r="BO268" s="46">
        <f t="shared" si="22"/>
        <v>0</v>
      </c>
      <c r="BP268" s="43" t="s">
        <v>1542</v>
      </c>
      <c r="BQ268" s="43" t="s">
        <v>1542</v>
      </c>
      <c r="BR268" s="43" t="s">
        <v>1542</v>
      </c>
      <c r="BS268" s="43" t="s">
        <v>1554</v>
      </c>
      <c r="BT268" s="43" t="s">
        <v>1542</v>
      </c>
      <c r="BU268" s="43" t="s">
        <v>1542</v>
      </c>
      <c r="BV268" s="43" t="s">
        <v>1542</v>
      </c>
      <c r="BW268" s="43" t="s">
        <v>1542</v>
      </c>
      <c r="BX268" s="43" t="s">
        <v>1542</v>
      </c>
      <c r="BY268" s="43" t="s">
        <v>1542</v>
      </c>
      <c r="BZ268" s="43" t="s">
        <v>1542</v>
      </c>
      <c r="CA268" s="43" t="s">
        <v>1542</v>
      </c>
    </row>
    <row r="269" spans="1:79">
      <c r="A269">
        <v>268</v>
      </c>
      <c r="C269" t="s">
        <v>1532</v>
      </c>
      <c r="D269" t="s">
        <v>1533</v>
      </c>
      <c r="E269" t="s">
        <v>2753</v>
      </c>
      <c r="F269" t="s">
        <v>2754</v>
      </c>
      <c r="G269" t="s">
        <v>2755</v>
      </c>
      <c r="H269" s="41" t="s">
        <v>2760</v>
      </c>
      <c r="I269" s="41" t="s">
        <v>2760</v>
      </c>
      <c r="J269" t="s">
        <v>2756</v>
      </c>
      <c r="K269" t="s">
        <v>2757</v>
      </c>
      <c r="M269" s="1" t="s">
        <v>2761</v>
      </c>
      <c r="N269" t="s">
        <v>2762</v>
      </c>
      <c r="O269" s="46">
        <f t="shared" si="23"/>
        <v>2</v>
      </c>
      <c r="P269" s="43" t="s">
        <v>1542</v>
      </c>
      <c r="Q269" s="43" t="s">
        <v>1542</v>
      </c>
      <c r="R269" s="43" t="s">
        <v>1542</v>
      </c>
      <c r="S269" s="43" t="s">
        <v>1542</v>
      </c>
      <c r="T269" s="43" t="s">
        <v>1542</v>
      </c>
      <c r="U269" s="43" t="s">
        <v>1542</v>
      </c>
      <c r="V269" s="43" t="s">
        <v>1542</v>
      </c>
      <c r="W269" s="43" t="s">
        <v>1542</v>
      </c>
      <c r="X269" s="43" t="s">
        <v>1542</v>
      </c>
      <c r="Y269" s="43" t="s">
        <v>1542</v>
      </c>
      <c r="Z269" s="43" t="s">
        <v>1554</v>
      </c>
      <c r="AA269" s="43" t="s">
        <v>1554</v>
      </c>
      <c r="AB269" s="46">
        <f t="shared" si="24"/>
        <v>0</v>
      </c>
      <c r="AC269" s="44" t="s">
        <v>1542</v>
      </c>
      <c r="AD269" s="44" t="s">
        <v>1542</v>
      </c>
      <c r="AE269" s="44" t="s">
        <v>1542</v>
      </c>
      <c r="AF269" s="44" t="s">
        <v>1542</v>
      </c>
      <c r="AG269" s="44" t="s">
        <v>1542</v>
      </c>
      <c r="AH269" s="44" t="s">
        <v>1542</v>
      </c>
      <c r="AI269" s="44" t="s">
        <v>1542</v>
      </c>
      <c r="AJ269" s="44" t="s">
        <v>1542</v>
      </c>
      <c r="AK269" s="44" t="s">
        <v>1542</v>
      </c>
      <c r="AL269" s="44" t="s">
        <v>1542</v>
      </c>
      <c r="AM269" s="44" t="s">
        <v>1542</v>
      </c>
      <c r="AN269" s="44" t="s">
        <v>1542</v>
      </c>
      <c r="AO269" s="46">
        <f t="shared" si="20"/>
        <v>0</v>
      </c>
      <c r="AP269" s="43" t="s">
        <v>1542</v>
      </c>
      <c r="AQ269" s="43" t="s">
        <v>1542</v>
      </c>
      <c r="AR269" s="43" t="s">
        <v>1542</v>
      </c>
      <c r="AS269" s="43" t="s">
        <v>1542</v>
      </c>
      <c r="AT269" s="43" t="s">
        <v>1542</v>
      </c>
      <c r="AU269" s="43" t="s">
        <v>1542</v>
      </c>
      <c r="AV269" s="43" t="s">
        <v>1542</v>
      </c>
      <c r="AW269" s="43" t="s">
        <v>1542</v>
      </c>
      <c r="AX269" s="43" t="s">
        <v>1542</v>
      </c>
      <c r="AY269" s="43" t="s">
        <v>1542</v>
      </c>
      <c r="AZ269" s="43" t="s">
        <v>1542</v>
      </c>
      <c r="BA269" s="43" t="s">
        <v>1542</v>
      </c>
      <c r="BB269" s="46">
        <f t="shared" si="21"/>
        <v>0</v>
      </c>
      <c r="BC269" s="44" t="s">
        <v>1542</v>
      </c>
      <c r="BD269" s="44" t="s">
        <v>1542</v>
      </c>
      <c r="BE269" s="44" t="s">
        <v>1542</v>
      </c>
      <c r="BF269" s="44" t="s">
        <v>1542</v>
      </c>
      <c r="BG269" s="44" t="s">
        <v>1542</v>
      </c>
      <c r="BH269" s="44" t="s">
        <v>1542</v>
      </c>
      <c r="BI269" s="44" t="s">
        <v>1542</v>
      </c>
      <c r="BJ269" s="44" t="s">
        <v>1542</v>
      </c>
      <c r="BK269" s="44" t="s">
        <v>1542</v>
      </c>
      <c r="BL269" s="44" t="s">
        <v>1542</v>
      </c>
      <c r="BM269" s="44" t="s">
        <v>1542</v>
      </c>
      <c r="BN269" s="44" t="s">
        <v>1542</v>
      </c>
      <c r="BO269" s="46">
        <f t="shared" si="22"/>
        <v>0</v>
      </c>
      <c r="BP269" s="43" t="s">
        <v>1542</v>
      </c>
      <c r="BQ269" s="43" t="s">
        <v>1542</v>
      </c>
      <c r="BR269" s="43" t="s">
        <v>1542</v>
      </c>
      <c r="BS269" s="43" t="s">
        <v>1542</v>
      </c>
      <c r="BT269" s="43" t="s">
        <v>1542</v>
      </c>
      <c r="BU269" s="43" t="s">
        <v>1542</v>
      </c>
      <c r="BV269" s="43" t="s">
        <v>1542</v>
      </c>
      <c r="BW269" s="43" t="s">
        <v>1542</v>
      </c>
      <c r="BX269" s="43" t="s">
        <v>1542</v>
      </c>
      <c r="BY269" s="43" t="s">
        <v>1542</v>
      </c>
      <c r="BZ269" s="43" t="s">
        <v>1542</v>
      </c>
      <c r="CA269" s="43" t="s">
        <v>1542</v>
      </c>
    </row>
    <row r="270" spans="1:79">
      <c r="A270">
        <v>269</v>
      </c>
      <c r="B270">
        <v>1</v>
      </c>
      <c r="C270" t="s">
        <v>1532</v>
      </c>
      <c r="D270" t="s">
        <v>1533</v>
      </c>
      <c r="E270" t="s">
        <v>2753</v>
      </c>
      <c r="F270" t="s">
        <v>2754</v>
      </c>
      <c r="G270" t="s">
        <v>2763</v>
      </c>
      <c r="H270" t="s">
        <v>2763</v>
      </c>
      <c r="J270" t="s">
        <v>2764</v>
      </c>
      <c r="K270" t="s">
        <v>2765</v>
      </c>
      <c r="M270" s="1" t="s">
        <v>2766</v>
      </c>
      <c r="N270" t="s">
        <v>2767</v>
      </c>
      <c r="O270" s="46">
        <f t="shared" si="23"/>
        <v>0</v>
      </c>
      <c r="P270" s="43" t="s">
        <v>1542</v>
      </c>
      <c r="Q270" s="43" t="s">
        <v>1542</v>
      </c>
      <c r="R270" s="43" t="s">
        <v>1542</v>
      </c>
      <c r="S270" s="43" t="s">
        <v>1542</v>
      </c>
      <c r="T270" s="43" t="s">
        <v>1542</v>
      </c>
      <c r="U270" s="43" t="s">
        <v>1542</v>
      </c>
      <c r="V270" s="43" t="s">
        <v>1542</v>
      </c>
      <c r="W270" s="43" t="s">
        <v>1542</v>
      </c>
      <c r="X270" s="43" t="s">
        <v>1542</v>
      </c>
      <c r="Y270" s="43" t="s">
        <v>1542</v>
      </c>
      <c r="Z270" s="43" t="s">
        <v>1542</v>
      </c>
      <c r="AA270" s="43" t="s">
        <v>1542</v>
      </c>
      <c r="AB270" s="46">
        <f t="shared" si="24"/>
        <v>0</v>
      </c>
      <c r="AC270" s="44" t="s">
        <v>1542</v>
      </c>
      <c r="AD270" s="44" t="s">
        <v>1542</v>
      </c>
      <c r="AE270" s="44" t="s">
        <v>1542</v>
      </c>
      <c r="AF270" s="44" t="s">
        <v>1542</v>
      </c>
      <c r="AG270" s="44" t="s">
        <v>1542</v>
      </c>
      <c r="AH270" s="44" t="s">
        <v>1542</v>
      </c>
      <c r="AI270" s="44" t="s">
        <v>1542</v>
      </c>
      <c r="AJ270" s="44" t="s">
        <v>1542</v>
      </c>
      <c r="AK270" s="44" t="s">
        <v>1542</v>
      </c>
      <c r="AL270" s="44" t="s">
        <v>1542</v>
      </c>
      <c r="AM270" s="44" t="s">
        <v>1542</v>
      </c>
      <c r="AN270" s="44" t="s">
        <v>1542</v>
      </c>
      <c r="AO270" s="46">
        <f t="shared" si="20"/>
        <v>0</v>
      </c>
      <c r="AP270" s="43" t="s">
        <v>1542</v>
      </c>
      <c r="AQ270" s="43" t="s">
        <v>1542</v>
      </c>
      <c r="AR270" s="43" t="s">
        <v>1542</v>
      </c>
      <c r="AS270" s="43" t="s">
        <v>1542</v>
      </c>
      <c r="AT270" s="43" t="s">
        <v>1542</v>
      </c>
      <c r="AU270" s="43" t="s">
        <v>1542</v>
      </c>
      <c r="AV270" s="43" t="s">
        <v>1542</v>
      </c>
      <c r="AW270" s="43" t="s">
        <v>1542</v>
      </c>
      <c r="AX270" s="43" t="s">
        <v>1542</v>
      </c>
      <c r="AY270" s="43" t="s">
        <v>1542</v>
      </c>
      <c r="AZ270" s="43" t="s">
        <v>1542</v>
      </c>
      <c r="BA270" s="43" t="s">
        <v>1542</v>
      </c>
      <c r="BB270" s="46">
        <f t="shared" si="21"/>
        <v>0</v>
      </c>
      <c r="BC270" s="44" t="s">
        <v>1542</v>
      </c>
      <c r="BD270" s="44" t="s">
        <v>1542</v>
      </c>
      <c r="BE270" s="44" t="s">
        <v>1542</v>
      </c>
      <c r="BF270" s="44" t="s">
        <v>1542</v>
      </c>
      <c r="BG270" s="44" t="s">
        <v>1542</v>
      </c>
      <c r="BH270" s="44" t="s">
        <v>1542</v>
      </c>
      <c r="BI270" s="44" t="s">
        <v>1542</v>
      </c>
      <c r="BJ270" s="44" t="s">
        <v>1542</v>
      </c>
      <c r="BK270" s="44" t="s">
        <v>1542</v>
      </c>
      <c r="BL270" s="44" t="s">
        <v>1542</v>
      </c>
      <c r="BM270" s="44" t="s">
        <v>1542</v>
      </c>
      <c r="BN270" s="44" t="s">
        <v>1542</v>
      </c>
      <c r="BO270" s="46">
        <f t="shared" si="22"/>
        <v>0</v>
      </c>
      <c r="BP270" s="43" t="s">
        <v>1542</v>
      </c>
      <c r="BQ270" s="43" t="s">
        <v>1542</v>
      </c>
      <c r="BR270" s="43" t="s">
        <v>1542</v>
      </c>
      <c r="BS270" s="43" t="s">
        <v>1542</v>
      </c>
      <c r="BT270" s="43" t="s">
        <v>1542</v>
      </c>
      <c r="BU270" s="43" t="s">
        <v>1542</v>
      </c>
      <c r="BV270" s="43" t="s">
        <v>1542</v>
      </c>
      <c r="BW270" s="43" t="s">
        <v>1542</v>
      </c>
      <c r="BX270" s="43" t="s">
        <v>1542</v>
      </c>
      <c r="BY270" s="43" t="s">
        <v>1542</v>
      </c>
      <c r="BZ270" s="43" t="s">
        <v>1542</v>
      </c>
      <c r="CA270" s="43" t="s">
        <v>1542</v>
      </c>
    </row>
    <row r="271" spans="1:79">
      <c r="A271">
        <v>270</v>
      </c>
      <c r="C271" t="s">
        <v>1532</v>
      </c>
      <c r="D271" t="s">
        <v>1533</v>
      </c>
      <c r="E271" t="s">
        <v>2753</v>
      </c>
      <c r="F271" t="s">
        <v>2754</v>
      </c>
      <c r="G271" t="s">
        <v>2763</v>
      </c>
      <c r="H271" s="41" t="s">
        <v>2768</v>
      </c>
      <c r="I271" s="41" t="s">
        <v>2768</v>
      </c>
      <c r="J271" t="s">
        <v>2764</v>
      </c>
      <c r="K271" t="s">
        <v>2765</v>
      </c>
      <c r="M271" s="1" t="s">
        <v>2769</v>
      </c>
      <c r="N271" t="s">
        <v>2770</v>
      </c>
      <c r="O271" s="46">
        <f t="shared" si="23"/>
        <v>4</v>
      </c>
      <c r="P271" s="43" t="s">
        <v>1542</v>
      </c>
      <c r="Q271" s="43" t="s">
        <v>1542</v>
      </c>
      <c r="R271" s="43" t="s">
        <v>1542</v>
      </c>
      <c r="S271" s="43" t="s">
        <v>1542</v>
      </c>
      <c r="T271" s="43" t="s">
        <v>1542</v>
      </c>
      <c r="U271" s="43" t="s">
        <v>1542</v>
      </c>
      <c r="V271" s="43" t="s">
        <v>1542</v>
      </c>
      <c r="W271" s="43" t="s">
        <v>1542</v>
      </c>
      <c r="X271" s="43" t="s">
        <v>1554</v>
      </c>
      <c r="Y271" s="43" t="s">
        <v>1554</v>
      </c>
      <c r="Z271" s="43" t="s">
        <v>1554</v>
      </c>
      <c r="AA271" s="43" t="s">
        <v>1554</v>
      </c>
      <c r="AB271" s="46">
        <f t="shared" si="24"/>
        <v>0</v>
      </c>
      <c r="AC271" s="44" t="s">
        <v>1542</v>
      </c>
      <c r="AD271" s="44" t="s">
        <v>1542</v>
      </c>
      <c r="AE271" s="44" t="s">
        <v>1542</v>
      </c>
      <c r="AF271" s="44" t="s">
        <v>1542</v>
      </c>
      <c r="AG271" s="44" t="s">
        <v>1542</v>
      </c>
      <c r="AH271" s="44" t="s">
        <v>1542</v>
      </c>
      <c r="AI271" s="44" t="s">
        <v>1542</v>
      </c>
      <c r="AJ271" s="44" t="s">
        <v>1542</v>
      </c>
      <c r="AK271" s="44" t="s">
        <v>1542</v>
      </c>
      <c r="AL271" s="44" t="s">
        <v>1542</v>
      </c>
      <c r="AM271" s="44" t="s">
        <v>1542</v>
      </c>
      <c r="AN271" s="44" t="s">
        <v>1542</v>
      </c>
      <c r="AO271" s="46">
        <f t="shared" si="20"/>
        <v>0</v>
      </c>
      <c r="AP271" s="43" t="s">
        <v>1542</v>
      </c>
      <c r="AQ271" s="43" t="s">
        <v>1542</v>
      </c>
      <c r="AR271" s="43" t="s">
        <v>1542</v>
      </c>
      <c r="AS271" s="43" t="s">
        <v>1542</v>
      </c>
      <c r="AT271" s="43" t="s">
        <v>1542</v>
      </c>
      <c r="AU271" s="43" t="s">
        <v>1542</v>
      </c>
      <c r="AV271" s="43" t="s">
        <v>1542</v>
      </c>
      <c r="AW271" s="43" t="s">
        <v>1542</v>
      </c>
      <c r="AX271" s="43" t="s">
        <v>1542</v>
      </c>
      <c r="AY271" s="43" t="s">
        <v>1542</v>
      </c>
      <c r="AZ271" s="43" t="s">
        <v>1542</v>
      </c>
      <c r="BA271" s="43" t="s">
        <v>1542</v>
      </c>
      <c r="BB271" s="46">
        <f t="shared" si="21"/>
        <v>0</v>
      </c>
      <c r="BC271" s="44" t="s">
        <v>1542</v>
      </c>
      <c r="BD271" s="44" t="s">
        <v>1542</v>
      </c>
      <c r="BE271" s="44" t="s">
        <v>1542</v>
      </c>
      <c r="BF271" s="44" t="s">
        <v>1542</v>
      </c>
      <c r="BG271" s="44" t="s">
        <v>1542</v>
      </c>
      <c r="BH271" s="44" t="s">
        <v>1542</v>
      </c>
      <c r="BI271" s="44" t="s">
        <v>1542</v>
      </c>
      <c r="BJ271" s="44" t="s">
        <v>1542</v>
      </c>
      <c r="BK271" s="44" t="s">
        <v>1542</v>
      </c>
      <c r="BL271" s="44" t="s">
        <v>1542</v>
      </c>
      <c r="BM271" s="44" t="s">
        <v>1542</v>
      </c>
      <c r="BN271" s="44" t="s">
        <v>1542</v>
      </c>
      <c r="BO271" s="46">
        <f t="shared" si="22"/>
        <v>0</v>
      </c>
      <c r="BP271" s="43" t="s">
        <v>1542</v>
      </c>
      <c r="BQ271" s="43" t="s">
        <v>1542</v>
      </c>
      <c r="BR271" s="43" t="s">
        <v>1542</v>
      </c>
      <c r="BS271" s="43" t="s">
        <v>1542</v>
      </c>
      <c r="BT271" s="43" t="s">
        <v>1542</v>
      </c>
      <c r="BU271" s="43" t="s">
        <v>1542</v>
      </c>
      <c r="BV271" s="43" t="s">
        <v>1542</v>
      </c>
      <c r="BW271" s="43" t="s">
        <v>1542</v>
      </c>
      <c r="BX271" s="43" t="s">
        <v>1542</v>
      </c>
      <c r="BY271" s="43" t="s">
        <v>1542</v>
      </c>
      <c r="BZ271" s="43" t="s">
        <v>1542</v>
      </c>
      <c r="CA271" s="43" t="s">
        <v>1542</v>
      </c>
    </row>
    <row r="272" spans="1:79">
      <c r="A272">
        <v>271</v>
      </c>
      <c r="B272">
        <v>1</v>
      </c>
      <c r="C272" t="s">
        <v>1532</v>
      </c>
      <c r="D272" t="s">
        <v>1533</v>
      </c>
      <c r="E272" t="s">
        <v>2753</v>
      </c>
      <c r="F272" t="s">
        <v>2754</v>
      </c>
      <c r="G272" t="s">
        <v>2771</v>
      </c>
      <c r="H272" t="s">
        <v>2771</v>
      </c>
      <c r="J272" t="s">
        <v>2772</v>
      </c>
      <c r="K272" t="s">
        <v>2773</v>
      </c>
      <c r="M272" s="1" t="s">
        <v>2774</v>
      </c>
      <c r="N272" t="s">
        <v>2775</v>
      </c>
      <c r="O272" s="46">
        <f t="shared" si="23"/>
        <v>0</v>
      </c>
      <c r="P272" s="43" t="s">
        <v>1542</v>
      </c>
      <c r="Q272" s="43" t="s">
        <v>1542</v>
      </c>
      <c r="R272" s="43" t="s">
        <v>1542</v>
      </c>
      <c r="S272" s="43" t="s">
        <v>1542</v>
      </c>
      <c r="T272" s="43" t="s">
        <v>1542</v>
      </c>
      <c r="U272" s="43" t="s">
        <v>1542</v>
      </c>
      <c r="V272" s="43" t="s">
        <v>1542</v>
      </c>
      <c r="W272" s="43" t="s">
        <v>1542</v>
      </c>
      <c r="X272" s="43" t="s">
        <v>1542</v>
      </c>
      <c r="Y272" s="43" t="s">
        <v>1542</v>
      </c>
      <c r="Z272" s="43" t="s">
        <v>1542</v>
      </c>
      <c r="AA272" s="43" t="s">
        <v>1542</v>
      </c>
      <c r="AB272" s="46">
        <f t="shared" si="24"/>
        <v>0</v>
      </c>
      <c r="AC272" s="44" t="s">
        <v>1542</v>
      </c>
      <c r="AD272" s="44" t="s">
        <v>1542</v>
      </c>
      <c r="AE272" s="44" t="s">
        <v>1542</v>
      </c>
      <c r="AF272" s="44" t="s">
        <v>1542</v>
      </c>
      <c r="AG272" s="44" t="s">
        <v>1542</v>
      </c>
      <c r="AH272" s="44" t="s">
        <v>1542</v>
      </c>
      <c r="AI272" s="44" t="s">
        <v>1542</v>
      </c>
      <c r="AJ272" s="44" t="s">
        <v>1542</v>
      </c>
      <c r="AK272" s="44" t="s">
        <v>1542</v>
      </c>
      <c r="AL272" s="44" t="s">
        <v>1542</v>
      </c>
      <c r="AM272" s="44" t="s">
        <v>1542</v>
      </c>
      <c r="AN272" s="44" t="s">
        <v>1542</v>
      </c>
      <c r="AO272" s="46">
        <f t="shared" si="20"/>
        <v>0</v>
      </c>
      <c r="AP272" s="43" t="s">
        <v>1542</v>
      </c>
      <c r="AQ272" s="43" t="s">
        <v>1542</v>
      </c>
      <c r="AR272" s="43" t="s">
        <v>1542</v>
      </c>
      <c r="AS272" s="43" t="s">
        <v>1542</v>
      </c>
      <c r="AT272" s="43" t="s">
        <v>1542</v>
      </c>
      <c r="AU272" s="43" t="s">
        <v>1542</v>
      </c>
      <c r="AV272" s="43" t="s">
        <v>1542</v>
      </c>
      <c r="AW272" s="43" t="s">
        <v>1542</v>
      </c>
      <c r="AX272" s="43" t="s">
        <v>1542</v>
      </c>
      <c r="AY272" s="43" t="s">
        <v>1542</v>
      </c>
      <c r="AZ272" s="43" t="s">
        <v>1542</v>
      </c>
      <c r="BA272" s="43" t="s">
        <v>1542</v>
      </c>
      <c r="BB272" s="46">
        <f t="shared" si="21"/>
        <v>0</v>
      </c>
      <c r="BC272" s="44" t="s">
        <v>1554</v>
      </c>
      <c r="BD272" s="44" t="s">
        <v>1542</v>
      </c>
      <c r="BE272" s="44" t="s">
        <v>1542</v>
      </c>
      <c r="BF272" s="44" t="s">
        <v>1542</v>
      </c>
      <c r="BG272" s="44" t="s">
        <v>1542</v>
      </c>
      <c r="BH272" s="44" t="s">
        <v>1542</v>
      </c>
      <c r="BI272" s="44" t="s">
        <v>1542</v>
      </c>
      <c r="BJ272" s="44" t="s">
        <v>1542</v>
      </c>
      <c r="BK272" s="44" t="s">
        <v>1542</v>
      </c>
      <c r="BL272" s="44" t="s">
        <v>1542</v>
      </c>
      <c r="BM272" s="44" t="s">
        <v>1542</v>
      </c>
      <c r="BN272" s="44" t="s">
        <v>1542</v>
      </c>
      <c r="BO272" s="46">
        <f t="shared" si="22"/>
        <v>1</v>
      </c>
      <c r="BP272" s="43" t="s">
        <v>1542</v>
      </c>
      <c r="BQ272" s="43" t="s">
        <v>1542</v>
      </c>
      <c r="BR272" s="43" t="s">
        <v>1542</v>
      </c>
      <c r="BS272" s="43" t="s">
        <v>1542</v>
      </c>
      <c r="BT272" s="43" t="s">
        <v>1542</v>
      </c>
      <c r="BU272" s="43" t="s">
        <v>1542</v>
      </c>
      <c r="BV272" s="43" t="s">
        <v>1542</v>
      </c>
      <c r="BW272" s="43" t="s">
        <v>1542</v>
      </c>
      <c r="BX272" s="43" t="s">
        <v>1542</v>
      </c>
      <c r="BY272" s="43" t="s">
        <v>1554</v>
      </c>
      <c r="BZ272" s="43" t="s">
        <v>1554</v>
      </c>
      <c r="CA272" s="43" t="s">
        <v>1554</v>
      </c>
    </row>
    <row r="273" spans="1:79">
      <c r="A273">
        <v>272</v>
      </c>
      <c r="B273">
        <v>1</v>
      </c>
      <c r="C273" t="s">
        <v>1532</v>
      </c>
      <c r="D273" t="s">
        <v>1533</v>
      </c>
      <c r="E273" t="s">
        <v>2753</v>
      </c>
      <c r="F273" t="s">
        <v>2754</v>
      </c>
      <c r="G273" t="s">
        <v>2776</v>
      </c>
      <c r="H273" t="s">
        <v>2776</v>
      </c>
      <c r="J273" t="s">
        <v>2777</v>
      </c>
      <c r="K273" t="s">
        <v>2778</v>
      </c>
      <c r="M273" s="1" t="s">
        <v>2779</v>
      </c>
      <c r="O273" s="46">
        <f t="shared" si="23"/>
        <v>0</v>
      </c>
      <c r="P273" s="43" t="s">
        <v>1542</v>
      </c>
      <c r="Q273" s="43" t="s">
        <v>1542</v>
      </c>
      <c r="R273" s="43" t="s">
        <v>1542</v>
      </c>
      <c r="S273" s="43" t="s">
        <v>1542</v>
      </c>
      <c r="T273" s="43" t="s">
        <v>1542</v>
      </c>
      <c r="U273" s="43" t="s">
        <v>1542</v>
      </c>
      <c r="V273" s="43" t="s">
        <v>1542</v>
      </c>
      <c r="W273" s="43" t="s">
        <v>1542</v>
      </c>
      <c r="X273" s="43" t="s">
        <v>1542</v>
      </c>
      <c r="Y273" s="43" t="s">
        <v>1542</v>
      </c>
      <c r="Z273" s="43" t="s">
        <v>1542</v>
      </c>
      <c r="AA273" s="43" t="s">
        <v>1542</v>
      </c>
      <c r="AB273" s="46">
        <f t="shared" si="24"/>
        <v>0</v>
      </c>
      <c r="AC273" s="44" t="s">
        <v>1542</v>
      </c>
      <c r="AD273" s="44" t="s">
        <v>1542</v>
      </c>
      <c r="AE273" s="44" t="s">
        <v>1542</v>
      </c>
      <c r="AF273" s="44" t="s">
        <v>1542</v>
      </c>
      <c r="AG273" s="44" t="s">
        <v>1542</v>
      </c>
      <c r="AH273" s="44" t="s">
        <v>1542</v>
      </c>
      <c r="AI273" s="44" t="s">
        <v>1542</v>
      </c>
      <c r="AJ273" s="44" t="s">
        <v>1542</v>
      </c>
      <c r="AK273" s="44" t="s">
        <v>1542</v>
      </c>
      <c r="AL273" s="44" t="s">
        <v>1542</v>
      </c>
      <c r="AM273" s="44" t="s">
        <v>1542</v>
      </c>
      <c r="AN273" s="44" t="s">
        <v>1542</v>
      </c>
      <c r="AO273" s="46">
        <f t="shared" si="20"/>
        <v>0</v>
      </c>
      <c r="AP273" s="43" t="s">
        <v>1542</v>
      </c>
      <c r="AQ273" s="43" t="s">
        <v>1542</v>
      </c>
      <c r="AR273" s="43" t="s">
        <v>1542</v>
      </c>
      <c r="AS273" s="43" t="s">
        <v>1542</v>
      </c>
      <c r="AT273" s="43" t="s">
        <v>1542</v>
      </c>
      <c r="AU273" s="43" t="s">
        <v>1542</v>
      </c>
      <c r="AV273" s="43" t="s">
        <v>1542</v>
      </c>
      <c r="AW273" s="43" t="s">
        <v>1542</v>
      </c>
      <c r="AX273" s="43" t="s">
        <v>1542</v>
      </c>
      <c r="AY273" s="43" t="s">
        <v>1542</v>
      </c>
      <c r="AZ273" s="43" t="s">
        <v>1542</v>
      </c>
      <c r="BA273" s="43" t="s">
        <v>1542</v>
      </c>
      <c r="BB273" s="46">
        <f t="shared" si="21"/>
        <v>0</v>
      </c>
      <c r="BC273" s="44" t="s">
        <v>1542</v>
      </c>
      <c r="BD273" s="44" t="s">
        <v>1542</v>
      </c>
      <c r="BE273" s="44" t="s">
        <v>1542</v>
      </c>
      <c r="BF273" s="44" t="s">
        <v>1542</v>
      </c>
      <c r="BG273" s="44" t="s">
        <v>1542</v>
      </c>
      <c r="BH273" s="44" t="s">
        <v>1542</v>
      </c>
      <c r="BI273" s="44" t="s">
        <v>1542</v>
      </c>
      <c r="BJ273" s="44" t="s">
        <v>1542</v>
      </c>
      <c r="BK273" s="44" t="s">
        <v>1542</v>
      </c>
      <c r="BL273" s="44" t="s">
        <v>1542</v>
      </c>
      <c r="BM273" s="44" t="s">
        <v>1542</v>
      </c>
      <c r="BN273" s="44" t="s">
        <v>1542</v>
      </c>
      <c r="BO273" s="46">
        <f t="shared" si="22"/>
        <v>0</v>
      </c>
      <c r="BP273" s="43" t="s">
        <v>1542</v>
      </c>
      <c r="BQ273" s="43" t="s">
        <v>1542</v>
      </c>
      <c r="BR273" s="43" t="s">
        <v>1542</v>
      </c>
      <c r="BS273" s="43" t="s">
        <v>1542</v>
      </c>
      <c r="BT273" s="43" t="s">
        <v>1542</v>
      </c>
      <c r="BU273" s="43" t="s">
        <v>1542</v>
      </c>
      <c r="BV273" s="43" t="s">
        <v>1542</v>
      </c>
      <c r="BW273" s="43" t="s">
        <v>1542</v>
      </c>
      <c r="BX273" s="43" t="s">
        <v>1542</v>
      </c>
      <c r="BY273" s="43" t="s">
        <v>1542</v>
      </c>
      <c r="BZ273" s="43" t="s">
        <v>1542</v>
      </c>
      <c r="CA273" s="43" t="s">
        <v>1542</v>
      </c>
    </row>
    <row r="274" spans="1:79">
      <c r="A274">
        <v>273</v>
      </c>
      <c r="B274">
        <v>1</v>
      </c>
      <c r="C274" t="s">
        <v>1532</v>
      </c>
      <c r="D274" t="s">
        <v>1533</v>
      </c>
      <c r="E274" t="s">
        <v>2753</v>
      </c>
      <c r="F274" t="s">
        <v>2754</v>
      </c>
      <c r="G274" t="s">
        <v>2780</v>
      </c>
      <c r="H274" t="s">
        <v>2780</v>
      </c>
      <c r="J274" t="s">
        <v>2781</v>
      </c>
      <c r="K274" t="s">
        <v>2782</v>
      </c>
      <c r="M274" s="1" t="s">
        <v>2783</v>
      </c>
      <c r="O274" s="46">
        <f t="shared" si="23"/>
        <v>0</v>
      </c>
      <c r="P274" s="43" t="s">
        <v>1542</v>
      </c>
      <c r="Q274" s="43" t="s">
        <v>1542</v>
      </c>
      <c r="R274" s="43" t="s">
        <v>1542</v>
      </c>
      <c r="S274" s="43" t="s">
        <v>1542</v>
      </c>
      <c r="T274" s="43" t="s">
        <v>1542</v>
      </c>
      <c r="U274" s="43" t="s">
        <v>1542</v>
      </c>
      <c r="V274" s="43" t="s">
        <v>1542</v>
      </c>
      <c r="W274" s="43" t="s">
        <v>1542</v>
      </c>
      <c r="X274" s="43" t="s">
        <v>1542</v>
      </c>
      <c r="Y274" s="43" t="s">
        <v>1542</v>
      </c>
      <c r="Z274" s="43" t="s">
        <v>1542</v>
      </c>
      <c r="AA274" s="43" t="s">
        <v>1542</v>
      </c>
      <c r="AB274" s="46">
        <f t="shared" si="24"/>
        <v>0</v>
      </c>
      <c r="AC274" s="44" t="s">
        <v>1542</v>
      </c>
      <c r="AD274" s="44" t="s">
        <v>1542</v>
      </c>
      <c r="AE274" s="44" t="s">
        <v>1542</v>
      </c>
      <c r="AF274" s="44" t="s">
        <v>1542</v>
      </c>
      <c r="AG274" s="44" t="s">
        <v>1542</v>
      </c>
      <c r="AH274" s="44" t="s">
        <v>1542</v>
      </c>
      <c r="AI274" s="44" t="s">
        <v>1542</v>
      </c>
      <c r="AJ274" s="44" t="s">
        <v>1542</v>
      </c>
      <c r="AK274" s="44" t="s">
        <v>1542</v>
      </c>
      <c r="AL274" s="44" t="s">
        <v>1542</v>
      </c>
      <c r="AM274" s="44" t="s">
        <v>1542</v>
      </c>
      <c r="AN274" s="44" t="s">
        <v>1542</v>
      </c>
      <c r="AO274" s="46">
        <f t="shared" si="20"/>
        <v>0</v>
      </c>
      <c r="AP274" s="43" t="s">
        <v>1542</v>
      </c>
      <c r="AQ274" s="43" t="s">
        <v>1542</v>
      </c>
      <c r="AR274" s="43" t="s">
        <v>1542</v>
      </c>
      <c r="AS274" s="43" t="s">
        <v>1542</v>
      </c>
      <c r="AT274" s="43" t="s">
        <v>1542</v>
      </c>
      <c r="AU274" s="43" t="s">
        <v>1542</v>
      </c>
      <c r="AV274" s="43" t="s">
        <v>1542</v>
      </c>
      <c r="AW274" s="43" t="s">
        <v>1542</v>
      </c>
      <c r="AX274" s="43" t="s">
        <v>1542</v>
      </c>
      <c r="AY274" s="43" t="s">
        <v>1542</v>
      </c>
      <c r="AZ274" s="43" t="s">
        <v>1542</v>
      </c>
      <c r="BA274" s="43" t="s">
        <v>1542</v>
      </c>
      <c r="BB274" s="46">
        <f t="shared" si="21"/>
        <v>0</v>
      </c>
      <c r="BC274" s="44" t="s">
        <v>1542</v>
      </c>
      <c r="BD274" s="44" t="s">
        <v>1542</v>
      </c>
      <c r="BE274" s="44" t="s">
        <v>1542</v>
      </c>
      <c r="BF274" s="44" t="s">
        <v>1542</v>
      </c>
      <c r="BG274" s="44" t="s">
        <v>1542</v>
      </c>
      <c r="BH274" s="44" t="s">
        <v>1542</v>
      </c>
      <c r="BI274" s="44" t="s">
        <v>1542</v>
      </c>
      <c r="BJ274" s="44" t="s">
        <v>1542</v>
      </c>
      <c r="BK274" s="44" t="s">
        <v>1542</v>
      </c>
      <c r="BL274" s="44" t="s">
        <v>1542</v>
      </c>
      <c r="BM274" s="44" t="s">
        <v>1542</v>
      </c>
      <c r="BN274" s="44" t="s">
        <v>1542</v>
      </c>
      <c r="BO274" s="46">
        <f t="shared" si="22"/>
        <v>0</v>
      </c>
      <c r="BP274" s="43" t="s">
        <v>1542</v>
      </c>
      <c r="BQ274" s="43" t="s">
        <v>1542</v>
      </c>
      <c r="BR274" s="43" t="s">
        <v>1542</v>
      </c>
      <c r="BS274" s="43" t="s">
        <v>1542</v>
      </c>
      <c r="BT274" s="43" t="s">
        <v>1542</v>
      </c>
      <c r="BU274" s="43" t="s">
        <v>1542</v>
      </c>
      <c r="BV274" s="43" t="s">
        <v>1542</v>
      </c>
      <c r="BW274" s="43" t="s">
        <v>1542</v>
      </c>
      <c r="BX274" s="43" t="s">
        <v>1542</v>
      </c>
      <c r="BY274" s="43" t="s">
        <v>1542</v>
      </c>
      <c r="BZ274" s="43" t="s">
        <v>1542</v>
      </c>
      <c r="CA274" s="43" t="s">
        <v>1542</v>
      </c>
    </row>
    <row r="275" spans="1:79">
      <c r="A275">
        <v>274</v>
      </c>
      <c r="C275" t="s">
        <v>1532</v>
      </c>
      <c r="D275" t="s">
        <v>1533</v>
      </c>
      <c r="E275" t="s">
        <v>2753</v>
      </c>
      <c r="F275" t="s">
        <v>2754</v>
      </c>
      <c r="G275" t="s">
        <v>2780</v>
      </c>
      <c r="H275" t="s">
        <v>2784</v>
      </c>
      <c r="I275" t="s">
        <v>2784</v>
      </c>
      <c r="J275" t="s">
        <v>2785</v>
      </c>
      <c r="K275" t="s">
        <v>2782</v>
      </c>
      <c r="M275" s="1" t="s">
        <v>2786</v>
      </c>
      <c r="N275" t="s">
        <v>2787</v>
      </c>
      <c r="O275" s="46">
        <f t="shared" si="23"/>
        <v>0</v>
      </c>
      <c r="P275" s="43"/>
      <c r="Q275" s="43"/>
      <c r="R275" s="43"/>
      <c r="S275" s="43"/>
      <c r="T275" s="43"/>
      <c r="U275" s="43"/>
      <c r="V275" s="43"/>
      <c r="W275" s="43"/>
      <c r="X275" s="43"/>
      <c r="Y275" s="43"/>
      <c r="Z275" s="43"/>
      <c r="AA275" s="43"/>
      <c r="AB275" s="46">
        <f t="shared" si="24"/>
        <v>0</v>
      </c>
      <c r="AC275" s="44"/>
      <c r="AD275" s="44"/>
      <c r="AE275" s="44"/>
      <c r="AF275" s="44"/>
      <c r="AG275" s="44"/>
      <c r="AH275" s="44"/>
      <c r="AI275" s="44"/>
      <c r="AJ275" s="44"/>
      <c r="AK275" s="44"/>
      <c r="AL275" s="44"/>
      <c r="AM275" s="44"/>
      <c r="AN275" s="44"/>
      <c r="AO275" s="46">
        <f t="shared" si="20"/>
        <v>0</v>
      </c>
      <c r="AP275" s="43"/>
      <c r="AQ275" s="43"/>
      <c r="AR275" s="43"/>
      <c r="AS275" s="43"/>
      <c r="AT275" s="43"/>
      <c r="AU275" s="43"/>
      <c r="AV275" s="43"/>
      <c r="AW275" s="43"/>
      <c r="AX275" s="43"/>
      <c r="AY275" s="43"/>
      <c r="AZ275" s="43"/>
      <c r="BA275" s="43"/>
      <c r="BB275" s="46">
        <f t="shared" si="21"/>
        <v>0</v>
      </c>
      <c r="BC275" s="44"/>
      <c r="BD275" s="44"/>
      <c r="BE275" s="44"/>
      <c r="BF275" s="44"/>
      <c r="BG275" s="44"/>
      <c r="BH275" s="44"/>
      <c r="BI275" s="44"/>
      <c r="BJ275" s="44"/>
      <c r="BK275" s="44"/>
      <c r="BL275" s="44"/>
      <c r="BM275" s="44"/>
      <c r="BN275" s="44"/>
      <c r="BO275" s="46">
        <f t="shared" si="22"/>
        <v>0</v>
      </c>
      <c r="BP275" s="43"/>
      <c r="BQ275" s="43"/>
      <c r="BR275" s="43"/>
      <c r="BS275" s="43"/>
      <c r="BT275" s="43"/>
      <c r="BU275" s="43"/>
      <c r="BV275" s="43"/>
      <c r="BW275" s="43"/>
      <c r="BX275" s="43"/>
      <c r="BY275" s="43"/>
      <c r="BZ275" s="43"/>
      <c r="CA275" s="43"/>
    </row>
    <row r="276" spans="1:79">
      <c r="A276">
        <v>275</v>
      </c>
      <c r="B276">
        <v>1</v>
      </c>
      <c r="C276" t="s">
        <v>1532</v>
      </c>
      <c r="D276" t="s">
        <v>1533</v>
      </c>
      <c r="E276" t="s">
        <v>2753</v>
      </c>
      <c r="F276" t="s">
        <v>2754</v>
      </c>
      <c r="G276" t="s">
        <v>2788</v>
      </c>
      <c r="H276" t="s">
        <v>2788</v>
      </c>
      <c r="J276" t="s">
        <v>2789</v>
      </c>
      <c r="K276" t="s">
        <v>2790</v>
      </c>
      <c r="M276" s="1" t="s">
        <v>2791</v>
      </c>
      <c r="N276" t="s">
        <v>2792</v>
      </c>
      <c r="O276" s="46">
        <f t="shared" si="23"/>
        <v>0</v>
      </c>
      <c r="P276" s="43" t="s">
        <v>1542</v>
      </c>
      <c r="Q276" s="43" t="s">
        <v>1542</v>
      </c>
      <c r="R276" s="43" t="s">
        <v>1542</v>
      </c>
      <c r="S276" s="43" t="s">
        <v>1542</v>
      </c>
      <c r="T276" s="43" t="s">
        <v>1542</v>
      </c>
      <c r="U276" s="43" t="s">
        <v>1542</v>
      </c>
      <c r="V276" s="43" t="s">
        <v>1542</v>
      </c>
      <c r="W276" s="43" t="s">
        <v>1542</v>
      </c>
      <c r="X276" s="43" t="s">
        <v>1542</v>
      </c>
      <c r="Y276" s="43" t="s">
        <v>1542</v>
      </c>
      <c r="Z276" s="43" t="s">
        <v>1542</v>
      </c>
      <c r="AA276" s="43" t="s">
        <v>1542</v>
      </c>
      <c r="AB276" s="46">
        <f t="shared" si="24"/>
        <v>0</v>
      </c>
      <c r="AC276" s="44" t="s">
        <v>1542</v>
      </c>
      <c r="AD276" s="44" t="s">
        <v>1542</v>
      </c>
      <c r="AE276" s="44" t="s">
        <v>1542</v>
      </c>
      <c r="AF276" s="44" t="s">
        <v>1542</v>
      </c>
      <c r="AG276" s="44" t="s">
        <v>1542</v>
      </c>
      <c r="AH276" s="44" t="s">
        <v>1542</v>
      </c>
      <c r="AI276" s="44" t="s">
        <v>1542</v>
      </c>
      <c r="AJ276" s="44" t="s">
        <v>1542</v>
      </c>
      <c r="AK276" s="44" t="s">
        <v>1542</v>
      </c>
      <c r="AL276" s="44" t="s">
        <v>1542</v>
      </c>
      <c r="AM276" s="44" t="s">
        <v>1542</v>
      </c>
      <c r="AN276" s="44" t="s">
        <v>1542</v>
      </c>
      <c r="AO276" s="46">
        <f t="shared" si="20"/>
        <v>0</v>
      </c>
      <c r="AP276" s="43" t="s">
        <v>1542</v>
      </c>
      <c r="AQ276" s="43" t="s">
        <v>1542</v>
      </c>
      <c r="AR276" s="43" t="s">
        <v>1542</v>
      </c>
      <c r="AS276" s="43" t="s">
        <v>1542</v>
      </c>
      <c r="AT276" s="43" t="s">
        <v>1542</v>
      </c>
      <c r="AU276" s="43" t="s">
        <v>1542</v>
      </c>
      <c r="AV276" s="43" t="s">
        <v>1542</v>
      </c>
      <c r="AW276" s="43" t="s">
        <v>1542</v>
      </c>
      <c r="AX276" s="43" t="s">
        <v>1542</v>
      </c>
      <c r="AY276" s="43" t="s">
        <v>1542</v>
      </c>
      <c r="AZ276" s="43" t="s">
        <v>1542</v>
      </c>
      <c r="BA276" s="43" t="s">
        <v>1542</v>
      </c>
      <c r="BB276" s="46">
        <f t="shared" si="21"/>
        <v>0</v>
      </c>
      <c r="BC276" s="44" t="s">
        <v>1542</v>
      </c>
      <c r="BD276" s="44" t="s">
        <v>1542</v>
      </c>
      <c r="BE276" s="44" t="s">
        <v>1542</v>
      </c>
      <c r="BF276" s="44" t="s">
        <v>1554</v>
      </c>
      <c r="BG276" s="44" t="s">
        <v>1554</v>
      </c>
      <c r="BH276" s="44" t="s">
        <v>1554</v>
      </c>
      <c r="BI276" s="44" t="s">
        <v>1542</v>
      </c>
      <c r="BJ276" s="44" t="s">
        <v>1542</v>
      </c>
      <c r="BK276" s="44" t="s">
        <v>1542</v>
      </c>
      <c r="BL276" s="44" t="s">
        <v>1542</v>
      </c>
      <c r="BM276" s="44" t="s">
        <v>1542</v>
      </c>
      <c r="BN276" s="44" t="s">
        <v>1542</v>
      </c>
      <c r="BO276" s="46">
        <f t="shared" si="22"/>
        <v>3</v>
      </c>
      <c r="BP276" s="43" t="s">
        <v>1542</v>
      </c>
      <c r="BQ276" s="43" t="s">
        <v>1542</v>
      </c>
      <c r="BR276" s="43" t="s">
        <v>1542</v>
      </c>
      <c r="BS276" s="43" t="s">
        <v>1542</v>
      </c>
      <c r="BT276" s="43" t="s">
        <v>1542</v>
      </c>
      <c r="BU276" s="43" t="s">
        <v>1542</v>
      </c>
      <c r="BV276" s="43" t="s">
        <v>1542</v>
      </c>
      <c r="BW276" s="43" t="s">
        <v>1542</v>
      </c>
      <c r="BX276" s="43" t="s">
        <v>1542</v>
      </c>
      <c r="BY276" s="43" t="s">
        <v>1542</v>
      </c>
      <c r="BZ276" s="43" t="s">
        <v>1542</v>
      </c>
      <c r="CA276" s="43" t="s">
        <v>1542</v>
      </c>
    </row>
    <row r="277" spans="1:79">
      <c r="A277">
        <v>276</v>
      </c>
      <c r="B277">
        <v>1</v>
      </c>
      <c r="C277" t="s">
        <v>1532</v>
      </c>
      <c r="D277" t="s">
        <v>1533</v>
      </c>
      <c r="E277" t="s">
        <v>2753</v>
      </c>
      <c r="F277" t="s">
        <v>2754</v>
      </c>
      <c r="G277" t="s">
        <v>2793</v>
      </c>
      <c r="H277" t="s">
        <v>2793</v>
      </c>
      <c r="J277" t="s">
        <v>2794</v>
      </c>
      <c r="K277" t="s">
        <v>2795</v>
      </c>
      <c r="M277" s="1" t="s">
        <v>2796</v>
      </c>
      <c r="O277" s="46">
        <f t="shared" si="23"/>
        <v>0</v>
      </c>
      <c r="P277" s="43" t="s">
        <v>1542</v>
      </c>
      <c r="Q277" s="43" t="s">
        <v>1542</v>
      </c>
      <c r="R277" s="43" t="s">
        <v>1542</v>
      </c>
      <c r="S277" s="43" t="s">
        <v>1542</v>
      </c>
      <c r="T277" s="43" t="s">
        <v>1542</v>
      </c>
      <c r="U277" s="43" t="s">
        <v>1542</v>
      </c>
      <c r="V277" s="43" t="s">
        <v>1542</v>
      </c>
      <c r="W277" s="43" t="s">
        <v>1542</v>
      </c>
      <c r="X277" s="43" t="s">
        <v>1542</v>
      </c>
      <c r="Y277" s="43" t="s">
        <v>1542</v>
      </c>
      <c r="Z277" s="43" t="s">
        <v>1542</v>
      </c>
      <c r="AA277" s="43" t="s">
        <v>1542</v>
      </c>
      <c r="AB277" s="46">
        <f t="shared" si="24"/>
        <v>0</v>
      </c>
      <c r="AC277" s="44" t="s">
        <v>1542</v>
      </c>
      <c r="AD277" s="44" t="s">
        <v>1542</v>
      </c>
      <c r="AE277" s="44" t="s">
        <v>1542</v>
      </c>
      <c r="AF277" s="44" t="s">
        <v>1542</v>
      </c>
      <c r="AG277" s="44" t="s">
        <v>1542</v>
      </c>
      <c r="AH277" s="44" t="s">
        <v>1542</v>
      </c>
      <c r="AI277" s="44" t="s">
        <v>1542</v>
      </c>
      <c r="AJ277" s="44" t="s">
        <v>1542</v>
      </c>
      <c r="AK277" s="44" t="s">
        <v>1542</v>
      </c>
      <c r="AL277" s="44" t="s">
        <v>1542</v>
      </c>
      <c r="AM277" s="44" t="s">
        <v>1542</v>
      </c>
      <c r="AN277" s="44" t="s">
        <v>1542</v>
      </c>
      <c r="AO277" s="46">
        <f t="shared" si="20"/>
        <v>0</v>
      </c>
      <c r="AP277" s="43" t="s">
        <v>1542</v>
      </c>
      <c r="AQ277" s="43" t="s">
        <v>1542</v>
      </c>
      <c r="AR277" s="43" t="s">
        <v>1542</v>
      </c>
      <c r="AS277" s="43" t="s">
        <v>1542</v>
      </c>
      <c r="AT277" s="43" t="s">
        <v>1542</v>
      </c>
      <c r="AU277" s="43" t="s">
        <v>1542</v>
      </c>
      <c r="AV277" s="43" t="s">
        <v>1542</v>
      </c>
      <c r="AW277" s="43" t="s">
        <v>1542</v>
      </c>
      <c r="AX277" s="43" t="s">
        <v>1542</v>
      </c>
      <c r="AY277" s="43" t="s">
        <v>1542</v>
      </c>
      <c r="AZ277" s="43" t="s">
        <v>1542</v>
      </c>
      <c r="BA277" s="43" t="s">
        <v>1542</v>
      </c>
      <c r="BB277" s="46">
        <f t="shared" si="21"/>
        <v>0</v>
      </c>
      <c r="BC277" s="44" t="s">
        <v>1542</v>
      </c>
      <c r="BD277" s="44" t="s">
        <v>1542</v>
      </c>
      <c r="BE277" s="44" t="s">
        <v>1542</v>
      </c>
      <c r="BF277" s="44" t="s">
        <v>1542</v>
      </c>
      <c r="BG277" s="44" t="s">
        <v>1542</v>
      </c>
      <c r="BH277" s="44" t="s">
        <v>1542</v>
      </c>
      <c r="BI277" s="44" t="s">
        <v>1542</v>
      </c>
      <c r="BJ277" s="44" t="s">
        <v>1542</v>
      </c>
      <c r="BK277" s="44" t="s">
        <v>1542</v>
      </c>
      <c r="BL277" s="44" t="s">
        <v>1542</v>
      </c>
      <c r="BM277" s="44" t="s">
        <v>1542</v>
      </c>
      <c r="BN277" s="44" t="s">
        <v>1542</v>
      </c>
      <c r="BO277" s="46">
        <f t="shared" si="22"/>
        <v>0</v>
      </c>
      <c r="BP277" s="43" t="s">
        <v>1542</v>
      </c>
      <c r="BQ277" s="43" t="s">
        <v>1542</v>
      </c>
      <c r="BR277" s="43" t="s">
        <v>1542</v>
      </c>
      <c r="BS277" s="43" t="s">
        <v>1542</v>
      </c>
      <c r="BT277" s="43" t="s">
        <v>1542</v>
      </c>
      <c r="BU277" s="43" t="s">
        <v>1542</v>
      </c>
      <c r="BV277" s="43" t="s">
        <v>1542</v>
      </c>
      <c r="BW277" s="43" t="s">
        <v>1542</v>
      </c>
      <c r="BX277" s="43" t="s">
        <v>1542</v>
      </c>
      <c r="BY277" s="43" t="s">
        <v>1542</v>
      </c>
      <c r="BZ277" s="43" t="s">
        <v>1542</v>
      </c>
      <c r="CA277" s="43" t="s">
        <v>1542</v>
      </c>
    </row>
    <row r="278" spans="1:79">
      <c r="A278">
        <v>277</v>
      </c>
      <c r="B278">
        <v>1</v>
      </c>
      <c r="C278" t="s">
        <v>1532</v>
      </c>
      <c r="D278" t="s">
        <v>1533</v>
      </c>
      <c r="E278" t="s">
        <v>2753</v>
      </c>
      <c r="F278" t="s">
        <v>2754</v>
      </c>
      <c r="G278" t="s">
        <v>2797</v>
      </c>
      <c r="H278" t="s">
        <v>2797</v>
      </c>
      <c r="J278" t="s">
        <v>2798</v>
      </c>
      <c r="K278" t="s">
        <v>2799</v>
      </c>
      <c r="M278" s="1" t="s">
        <v>2800</v>
      </c>
      <c r="N278" t="s">
        <v>2801</v>
      </c>
      <c r="O278" s="46">
        <f t="shared" si="23"/>
        <v>0</v>
      </c>
      <c r="P278" s="43" t="s">
        <v>1542</v>
      </c>
      <c r="Q278" s="43" t="s">
        <v>1542</v>
      </c>
      <c r="R278" s="43" t="s">
        <v>1542</v>
      </c>
      <c r="S278" s="43" t="s">
        <v>1542</v>
      </c>
      <c r="T278" s="43" t="s">
        <v>1542</v>
      </c>
      <c r="U278" s="43" t="s">
        <v>1542</v>
      </c>
      <c r="V278" s="43" t="s">
        <v>1542</v>
      </c>
      <c r="W278" s="43" t="s">
        <v>1542</v>
      </c>
      <c r="X278" s="43" t="s">
        <v>1542</v>
      </c>
      <c r="Y278" s="43" t="s">
        <v>1542</v>
      </c>
      <c r="Z278" s="43" t="s">
        <v>1542</v>
      </c>
      <c r="AA278" s="43" t="s">
        <v>1542</v>
      </c>
      <c r="AB278" s="46">
        <f t="shared" si="24"/>
        <v>0</v>
      </c>
      <c r="AC278" s="44" t="s">
        <v>1542</v>
      </c>
      <c r="AD278" s="44" t="s">
        <v>1542</v>
      </c>
      <c r="AE278" s="44" t="s">
        <v>1542</v>
      </c>
      <c r="AF278" s="44" t="s">
        <v>1542</v>
      </c>
      <c r="AG278" s="44" t="s">
        <v>1542</v>
      </c>
      <c r="AH278" s="44" t="s">
        <v>1542</v>
      </c>
      <c r="AI278" s="44" t="s">
        <v>1542</v>
      </c>
      <c r="AJ278" s="44" t="s">
        <v>1542</v>
      </c>
      <c r="AK278" s="44" t="s">
        <v>1542</v>
      </c>
      <c r="AL278" s="44" t="s">
        <v>1542</v>
      </c>
      <c r="AM278" s="44" t="s">
        <v>1542</v>
      </c>
      <c r="AN278" s="44" t="s">
        <v>1542</v>
      </c>
      <c r="AO278" s="46">
        <f t="shared" si="20"/>
        <v>0</v>
      </c>
      <c r="AP278" s="43" t="s">
        <v>1542</v>
      </c>
      <c r="AQ278" s="43" t="s">
        <v>1542</v>
      </c>
      <c r="AR278" s="43" t="s">
        <v>1542</v>
      </c>
      <c r="AS278" s="43" t="s">
        <v>1542</v>
      </c>
      <c r="AT278" s="43" t="s">
        <v>1542</v>
      </c>
      <c r="AU278" s="43" t="s">
        <v>1542</v>
      </c>
      <c r="AV278" s="43" t="s">
        <v>1542</v>
      </c>
      <c r="AW278" s="43" t="s">
        <v>1542</v>
      </c>
      <c r="AX278" s="43" t="s">
        <v>1542</v>
      </c>
      <c r="AY278" s="43" t="s">
        <v>1542</v>
      </c>
      <c r="AZ278" s="43" t="s">
        <v>1542</v>
      </c>
      <c r="BA278" s="43" t="s">
        <v>1542</v>
      </c>
      <c r="BB278" s="46">
        <f t="shared" si="21"/>
        <v>0</v>
      </c>
      <c r="BC278" s="44" t="s">
        <v>1542</v>
      </c>
      <c r="BD278" s="44" t="s">
        <v>1542</v>
      </c>
      <c r="BE278" s="44" t="s">
        <v>1542</v>
      </c>
      <c r="BF278" s="44" t="s">
        <v>1542</v>
      </c>
      <c r="BG278" s="44" t="s">
        <v>1542</v>
      </c>
      <c r="BH278" s="44" t="s">
        <v>1542</v>
      </c>
      <c r="BI278" s="44" t="s">
        <v>1542</v>
      </c>
      <c r="BJ278" s="44" t="s">
        <v>1542</v>
      </c>
      <c r="BK278" s="44" t="s">
        <v>1542</v>
      </c>
      <c r="BL278" s="44" t="s">
        <v>1542</v>
      </c>
      <c r="BM278" s="44" t="s">
        <v>1542</v>
      </c>
      <c r="BN278" s="44" t="s">
        <v>1542</v>
      </c>
      <c r="BO278" s="46">
        <f t="shared" si="22"/>
        <v>0</v>
      </c>
      <c r="BP278" s="43" t="s">
        <v>1542</v>
      </c>
      <c r="BQ278" s="43" t="s">
        <v>1542</v>
      </c>
      <c r="BR278" s="43" t="s">
        <v>1542</v>
      </c>
      <c r="BS278" s="43" t="s">
        <v>1542</v>
      </c>
      <c r="BT278" s="43" t="s">
        <v>1542</v>
      </c>
      <c r="BU278" s="43" t="s">
        <v>1542</v>
      </c>
      <c r="BV278" s="43" t="s">
        <v>1542</v>
      </c>
      <c r="BW278" s="43" t="s">
        <v>1542</v>
      </c>
      <c r="BX278" s="43" t="s">
        <v>1542</v>
      </c>
      <c r="BY278" s="43" t="s">
        <v>1542</v>
      </c>
      <c r="BZ278" s="43" t="s">
        <v>1542</v>
      </c>
      <c r="CA278" s="43" t="s">
        <v>1542</v>
      </c>
    </row>
    <row r="279" spans="1:79">
      <c r="A279">
        <v>278</v>
      </c>
      <c r="B279">
        <v>1</v>
      </c>
      <c r="C279" t="s">
        <v>1532</v>
      </c>
      <c r="D279" t="s">
        <v>1533</v>
      </c>
      <c r="E279" t="s">
        <v>2753</v>
      </c>
      <c r="F279" t="s">
        <v>2754</v>
      </c>
      <c r="G279" t="s">
        <v>2802</v>
      </c>
      <c r="H279" t="s">
        <v>2802</v>
      </c>
      <c r="J279" t="s">
        <v>2803</v>
      </c>
      <c r="K279" t="s">
        <v>2804</v>
      </c>
      <c r="M279" s="1" t="s">
        <v>2805</v>
      </c>
      <c r="N279" t="s">
        <v>2806</v>
      </c>
      <c r="O279" s="46">
        <f t="shared" si="23"/>
        <v>0</v>
      </c>
      <c r="P279" s="43" t="s">
        <v>1542</v>
      </c>
      <c r="Q279" s="43" t="s">
        <v>1542</v>
      </c>
      <c r="R279" s="43" t="s">
        <v>1542</v>
      </c>
      <c r="S279" s="43" t="s">
        <v>1542</v>
      </c>
      <c r="T279" s="43" t="s">
        <v>1542</v>
      </c>
      <c r="U279" s="43" t="s">
        <v>1542</v>
      </c>
      <c r="V279" s="43" t="s">
        <v>1542</v>
      </c>
      <c r="W279" s="43" t="s">
        <v>1542</v>
      </c>
      <c r="X279" s="43" t="s">
        <v>1542</v>
      </c>
      <c r="Y279" s="43" t="s">
        <v>1542</v>
      </c>
      <c r="Z279" s="43" t="s">
        <v>1542</v>
      </c>
      <c r="AA279" s="43" t="s">
        <v>1542</v>
      </c>
      <c r="AB279" s="46">
        <f t="shared" si="24"/>
        <v>0</v>
      </c>
      <c r="AC279" s="44" t="s">
        <v>1542</v>
      </c>
      <c r="AD279" s="44" t="s">
        <v>1542</v>
      </c>
      <c r="AE279" s="44" t="s">
        <v>1542</v>
      </c>
      <c r="AF279" s="44" t="s">
        <v>1542</v>
      </c>
      <c r="AG279" s="44" t="s">
        <v>1542</v>
      </c>
      <c r="AH279" s="44" t="s">
        <v>1542</v>
      </c>
      <c r="AI279" s="44" t="s">
        <v>1542</v>
      </c>
      <c r="AJ279" s="44" t="s">
        <v>1542</v>
      </c>
      <c r="AK279" s="44" t="s">
        <v>1542</v>
      </c>
      <c r="AL279" s="44" t="s">
        <v>1542</v>
      </c>
      <c r="AM279" s="44" t="s">
        <v>1542</v>
      </c>
      <c r="AN279" s="44" t="s">
        <v>1542</v>
      </c>
      <c r="AO279" s="46">
        <f t="shared" si="20"/>
        <v>0</v>
      </c>
      <c r="AP279" s="43" t="s">
        <v>1542</v>
      </c>
      <c r="AQ279" s="43" t="s">
        <v>1542</v>
      </c>
      <c r="AR279" s="43" t="s">
        <v>1542</v>
      </c>
      <c r="AS279" s="43" t="s">
        <v>1542</v>
      </c>
      <c r="AT279" s="43" t="s">
        <v>1542</v>
      </c>
      <c r="AU279" s="43" t="s">
        <v>1542</v>
      </c>
      <c r="AV279" s="43" t="s">
        <v>1542</v>
      </c>
      <c r="AW279" s="43" t="s">
        <v>1542</v>
      </c>
      <c r="AX279" s="43" t="s">
        <v>1542</v>
      </c>
      <c r="AY279" s="43" t="s">
        <v>1542</v>
      </c>
      <c r="AZ279" s="43" t="s">
        <v>1554</v>
      </c>
      <c r="BA279" s="43" t="s">
        <v>1554</v>
      </c>
      <c r="BB279" s="46">
        <f t="shared" si="21"/>
        <v>1</v>
      </c>
      <c r="BC279" s="44" t="s">
        <v>1542</v>
      </c>
      <c r="BD279" s="44" t="s">
        <v>1542</v>
      </c>
      <c r="BE279" s="44" t="s">
        <v>1542</v>
      </c>
      <c r="BF279" s="44" t="s">
        <v>1542</v>
      </c>
      <c r="BG279" s="44" t="s">
        <v>1542</v>
      </c>
      <c r="BH279" s="44" t="s">
        <v>1542</v>
      </c>
      <c r="BI279" s="44" t="s">
        <v>1542</v>
      </c>
      <c r="BJ279" s="44" t="s">
        <v>1542</v>
      </c>
      <c r="BK279" s="44" t="s">
        <v>1542</v>
      </c>
      <c r="BL279" s="44" t="s">
        <v>1542</v>
      </c>
      <c r="BM279" s="44" t="s">
        <v>1542</v>
      </c>
      <c r="BN279" s="44" t="s">
        <v>1542</v>
      </c>
      <c r="BO279" s="46">
        <f t="shared" si="22"/>
        <v>0</v>
      </c>
      <c r="BP279" s="43" t="s">
        <v>1542</v>
      </c>
      <c r="BQ279" s="43" t="s">
        <v>1542</v>
      </c>
      <c r="BR279" s="43" t="s">
        <v>1542</v>
      </c>
      <c r="BS279" s="43" t="s">
        <v>1542</v>
      </c>
      <c r="BT279" s="43" t="s">
        <v>1542</v>
      </c>
      <c r="BU279" s="43" t="s">
        <v>1542</v>
      </c>
      <c r="BV279" s="43" t="s">
        <v>1542</v>
      </c>
      <c r="BW279" s="43" t="s">
        <v>1542</v>
      </c>
      <c r="BX279" s="43" t="s">
        <v>1542</v>
      </c>
      <c r="BY279" s="43" t="s">
        <v>1542</v>
      </c>
      <c r="BZ279" s="43" t="s">
        <v>1542</v>
      </c>
      <c r="CA279" s="43" t="s">
        <v>1542</v>
      </c>
    </row>
    <row r="280" spans="1:79">
      <c r="A280">
        <v>279</v>
      </c>
      <c r="B280">
        <v>1</v>
      </c>
      <c r="C280" t="s">
        <v>1532</v>
      </c>
      <c r="D280" t="s">
        <v>1533</v>
      </c>
      <c r="E280" t="s">
        <v>2753</v>
      </c>
      <c r="F280" t="s">
        <v>2754</v>
      </c>
      <c r="G280" t="s">
        <v>2807</v>
      </c>
      <c r="H280" t="s">
        <v>2807</v>
      </c>
      <c r="J280" t="s">
        <v>2808</v>
      </c>
      <c r="K280" t="s">
        <v>2809</v>
      </c>
      <c r="M280" s="1" t="s">
        <v>2810</v>
      </c>
      <c r="N280" t="s">
        <v>2811</v>
      </c>
      <c r="O280" s="46">
        <f t="shared" si="23"/>
        <v>0</v>
      </c>
      <c r="P280" s="43" t="s">
        <v>1542</v>
      </c>
      <c r="Q280" s="43" t="s">
        <v>1542</v>
      </c>
      <c r="R280" s="43" t="s">
        <v>1542</v>
      </c>
      <c r="S280" s="43" t="s">
        <v>1542</v>
      </c>
      <c r="T280" s="43" t="s">
        <v>1542</v>
      </c>
      <c r="U280" s="43" t="s">
        <v>1542</v>
      </c>
      <c r="V280" s="43" t="s">
        <v>1542</v>
      </c>
      <c r="W280" s="43" t="s">
        <v>1542</v>
      </c>
      <c r="X280" s="43" t="s">
        <v>1542</v>
      </c>
      <c r="Y280" s="43" t="s">
        <v>1542</v>
      </c>
      <c r="Z280" s="43" t="s">
        <v>1542</v>
      </c>
      <c r="AA280" s="43" t="s">
        <v>1542</v>
      </c>
      <c r="AB280" s="46">
        <f t="shared" si="24"/>
        <v>0</v>
      </c>
      <c r="AC280" s="44" t="s">
        <v>1542</v>
      </c>
      <c r="AD280" s="44" t="s">
        <v>1542</v>
      </c>
      <c r="AE280" s="44" t="s">
        <v>1542</v>
      </c>
      <c r="AF280" s="44" t="s">
        <v>1542</v>
      </c>
      <c r="AG280" s="44" t="s">
        <v>1542</v>
      </c>
      <c r="AH280" s="44" t="s">
        <v>1542</v>
      </c>
      <c r="AI280" s="44" t="s">
        <v>1542</v>
      </c>
      <c r="AJ280" s="44" t="s">
        <v>1542</v>
      </c>
      <c r="AK280" s="44" t="s">
        <v>1542</v>
      </c>
      <c r="AL280" s="44" t="s">
        <v>1542</v>
      </c>
      <c r="AM280" s="44" t="s">
        <v>1542</v>
      </c>
      <c r="AN280" s="44" t="s">
        <v>1542</v>
      </c>
      <c r="AO280" s="46">
        <f t="shared" si="20"/>
        <v>0</v>
      </c>
      <c r="AP280" s="43" t="s">
        <v>1542</v>
      </c>
      <c r="AQ280" s="43" t="s">
        <v>1542</v>
      </c>
      <c r="AR280" s="43" t="s">
        <v>1542</v>
      </c>
      <c r="AS280" s="43" t="s">
        <v>1542</v>
      </c>
      <c r="AT280" s="43" t="s">
        <v>1542</v>
      </c>
      <c r="AU280" s="43" t="s">
        <v>1542</v>
      </c>
      <c r="AV280" s="43" t="s">
        <v>1542</v>
      </c>
      <c r="AW280" s="43" t="s">
        <v>1542</v>
      </c>
      <c r="AX280" s="43" t="s">
        <v>1542</v>
      </c>
      <c r="AY280" s="43" t="s">
        <v>1542</v>
      </c>
      <c r="AZ280" s="43" t="s">
        <v>1542</v>
      </c>
      <c r="BA280" s="43" t="s">
        <v>1542</v>
      </c>
      <c r="BB280" s="46">
        <f t="shared" si="21"/>
        <v>0</v>
      </c>
      <c r="BC280" s="44" t="s">
        <v>1554</v>
      </c>
      <c r="BD280" s="44" t="s">
        <v>1554</v>
      </c>
      <c r="BE280" s="44" t="s">
        <v>1554</v>
      </c>
      <c r="BF280" s="44" t="s">
        <v>1542</v>
      </c>
      <c r="BG280" s="44" t="s">
        <v>1542</v>
      </c>
      <c r="BH280" s="44" t="s">
        <v>1542</v>
      </c>
      <c r="BI280" s="44" t="s">
        <v>1542</v>
      </c>
      <c r="BJ280" s="44" t="s">
        <v>1542</v>
      </c>
      <c r="BK280" s="44" t="s">
        <v>1542</v>
      </c>
      <c r="BL280" s="44" t="s">
        <v>1542</v>
      </c>
      <c r="BM280" s="44" t="s">
        <v>1542</v>
      </c>
      <c r="BN280" s="44" t="s">
        <v>1542</v>
      </c>
      <c r="BO280" s="46">
        <f t="shared" si="22"/>
        <v>3</v>
      </c>
      <c r="BP280" s="43" t="s">
        <v>1542</v>
      </c>
      <c r="BQ280" s="43" t="s">
        <v>1542</v>
      </c>
      <c r="BR280" s="43" t="s">
        <v>1542</v>
      </c>
      <c r="BS280" s="43" t="s">
        <v>1542</v>
      </c>
      <c r="BT280" s="43" t="s">
        <v>1542</v>
      </c>
      <c r="BU280" s="43" t="s">
        <v>1542</v>
      </c>
      <c r="BV280" s="43" t="s">
        <v>1542</v>
      </c>
      <c r="BW280" s="43" t="s">
        <v>1542</v>
      </c>
      <c r="BX280" s="43" t="s">
        <v>1542</v>
      </c>
      <c r="BY280" s="43" t="s">
        <v>1554</v>
      </c>
      <c r="BZ280" s="43" t="s">
        <v>1554</v>
      </c>
      <c r="CA280" s="43" t="s">
        <v>1554</v>
      </c>
    </row>
    <row r="281" spans="1:79">
      <c r="A281">
        <v>280</v>
      </c>
      <c r="B281">
        <v>1</v>
      </c>
      <c r="C281" t="s">
        <v>1532</v>
      </c>
      <c r="D281" t="s">
        <v>1533</v>
      </c>
      <c r="E281" t="s">
        <v>2753</v>
      </c>
      <c r="F281" t="s">
        <v>2754</v>
      </c>
      <c r="G281" t="s">
        <v>2812</v>
      </c>
      <c r="H281" t="s">
        <v>2812</v>
      </c>
      <c r="J281" t="s">
        <v>2813</v>
      </c>
      <c r="K281" t="s">
        <v>2814</v>
      </c>
      <c r="M281" s="1" t="s">
        <v>2815</v>
      </c>
      <c r="N281" t="s">
        <v>2816</v>
      </c>
      <c r="O281" s="46">
        <f t="shared" si="23"/>
        <v>0</v>
      </c>
      <c r="P281" s="43" t="s">
        <v>1542</v>
      </c>
      <c r="Q281" s="43" t="s">
        <v>1542</v>
      </c>
      <c r="R281" s="43" t="s">
        <v>1542</v>
      </c>
      <c r="S281" s="43" t="s">
        <v>1542</v>
      </c>
      <c r="T281" s="43" t="s">
        <v>1542</v>
      </c>
      <c r="U281" s="43" t="s">
        <v>1542</v>
      </c>
      <c r="V281" s="43" t="s">
        <v>1542</v>
      </c>
      <c r="W281" s="43" t="s">
        <v>1542</v>
      </c>
      <c r="X281" s="43" t="s">
        <v>1542</v>
      </c>
      <c r="Y281" s="43" t="s">
        <v>1542</v>
      </c>
      <c r="Z281" s="43" t="s">
        <v>1542</v>
      </c>
      <c r="AA281" s="43" t="s">
        <v>1542</v>
      </c>
      <c r="AB281" s="46">
        <f t="shared" si="24"/>
        <v>0</v>
      </c>
      <c r="AC281" s="44" t="s">
        <v>1542</v>
      </c>
      <c r="AD281" s="44" t="s">
        <v>1542</v>
      </c>
      <c r="AE281" s="44" t="s">
        <v>1542</v>
      </c>
      <c r="AF281" s="44" t="s">
        <v>1542</v>
      </c>
      <c r="AG281" s="44" t="s">
        <v>1542</v>
      </c>
      <c r="AH281" s="44" t="s">
        <v>1542</v>
      </c>
      <c r="AI281" s="44" t="s">
        <v>1542</v>
      </c>
      <c r="AJ281" s="44" t="s">
        <v>1542</v>
      </c>
      <c r="AK281" s="44" t="s">
        <v>1542</v>
      </c>
      <c r="AL281" s="44" t="s">
        <v>1542</v>
      </c>
      <c r="AM281" s="44" t="s">
        <v>1542</v>
      </c>
      <c r="AN281" s="44" t="s">
        <v>1542</v>
      </c>
      <c r="AO281" s="46">
        <f t="shared" si="20"/>
        <v>0</v>
      </c>
      <c r="AP281" s="43" t="s">
        <v>1542</v>
      </c>
      <c r="AQ281" s="43" t="s">
        <v>1542</v>
      </c>
      <c r="AR281" s="43" t="s">
        <v>1542</v>
      </c>
      <c r="AS281" s="43" t="s">
        <v>1542</v>
      </c>
      <c r="AT281" s="43" t="s">
        <v>1542</v>
      </c>
      <c r="AU281" s="43" t="s">
        <v>1542</v>
      </c>
      <c r="AV281" s="43" t="s">
        <v>1542</v>
      </c>
      <c r="AW281" s="43" t="s">
        <v>1542</v>
      </c>
      <c r="AX281" s="43" t="s">
        <v>1542</v>
      </c>
      <c r="AY281" s="43" t="s">
        <v>1542</v>
      </c>
      <c r="AZ281" s="43" t="s">
        <v>1542</v>
      </c>
      <c r="BA281" s="43" t="s">
        <v>1542</v>
      </c>
      <c r="BB281" s="46">
        <f t="shared" si="21"/>
        <v>0</v>
      </c>
      <c r="BC281" s="44" t="s">
        <v>1542</v>
      </c>
      <c r="BD281" s="44" t="s">
        <v>1542</v>
      </c>
      <c r="BE281" s="44" t="s">
        <v>1542</v>
      </c>
      <c r="BF281" s="44" t="s">
        <v>1542</v>
      </c>
      <c r="BG281" s="44" t="s">
        <v>1542</v>
      </c>
      <c r="BH281" s="44" t="s">
        <v>1542</v>
      </c>
      <c r="BI281" s="44" t="s">
        <v>1542</v>
      </c>
      <c r="BJ281" s="44" t="s">
        <v>1542</v>
      </c>
      <c r="BK281" s="44" t="s">
        <v>1542</v>
      </c>
      <c r="BL281" s="44" t="s">
        <v>1542</v>
      </c>
      <c r="BM281" s="44" t="s">
        <v>1542</v>
      </c>
      <c r="BN281" s="44" t="s">
        <v>1542</v>
      </c>
      <c r="BO281" s="46">
        <f t="shared" si="22"/>
        <v>0</v>
      </c>
      <c r="BP281" s="43" t="s">
        <v>1554</v>
      </c>
      <c r="BQ281" s="43" t="s">
        <v>1554</v>
      </c>
      <c r="BR281" s="43" t="s">
        <v>1542</v>
      </c>
      <c r="BS281" s="43" t="s">
        <v>1542</v>
      </c>
      <c r="BT281" s="43" t="s">
        <v>1542</v>
      </c>
      <c r="BU281" s="43" t="s">
        <v>1542</v>
      </c>
      <c r="BV281" s="43" t="s">
        <v>1542</v>
      </c>
      <c r="BW281" s="43" t="s">
        <v>1542</v>
      </c>
      <c r="BX281" s="43" t="s">
        <v>1542</v>
      </c>
      <c r="BY281" s="43" t="s">
        <v>1542</v>
      </c>
      <c r="BZ281" s="43" t="s">
        <v>1542</v>
      </c>
      <c r="CA281" s="43" t="s">
        <v>1542</v>
      </c>
    </row>
    <row r="282" spans="1:79">
      <c r="A282">
        <v>281</v>
      </c>
      <c r="B282">
        <v>1</v>
      </c>
      <c r="C282" t="s">
        <v>1532</v>
      </c>
      <c r="D282" t="s">
        <v>1533</v>
      </c>
      <c r="E282" t="s">
        <v>2753</v>
      </c>
      <c r="F282" t="s">
        <v>2754</v>
      </c>
      <c r="G282" t="s">
        <v>2817</v>
      </c>
      <c r="H282" t="s">
        <v>2817</v>
      </c>
      <c r="J282" t="s">
        <v>2818</v>
      </c>
      <c r="K282" t="s">
        <v>2819</v>
      </c>
      <c r="M282" s="1" t="s">
        <v>2820</v>
      </c>
      <c r="O282" s="46">
        <f t="shared" si="23"/>
        <v>0</v>
      </c>
      <c r="P282" s="43" t="s">
        <v>1542</v>
      </c>
      <c r="Q282" s="43" t="s">
        <v>1542</v>
      </c>
      <c r="R282" s="43" t="s">
        <v>1542</v>
      </c>
      <c r="S282" s="43" t="s">
        <v>1542</v>
      </c>
      <c r="T282" s="43" t="s">
        <v>1542</v>
      </c>
      <c r="U282" s="43" t="s">
        <v>1542</v>
      </c>
      <c r="V282" s="43" t="s">
        <v>1542</v>
      </c>
      <c r="W282" s="43" t="s">
        <v>1542</v>
      </c>
      <c r="X282" s="43" t="s">
        <v>1542</v>
      </c>
      <c r="Y282" s="43" t="s">
        <v>1542</v>
      </c>
      <c r="Z282" s="43" t="s">
        <v>1542</v>
      </c>
      <c r="AA282" s="43" t="s">
        <v>1542</v>
      </c>
      <c r="AB282" s="46">
        <f t="shared" si="24"/>
        <v>0</v>
      </c>
      <c r="AC282" s="44" t="s">
        <v>1542</v>
      </c>
      <c r="AD282" s="44" t="s">
        <v>1542</v>
      </c>
      <c r="AE282" s="44" t="s">
        <v>1542</v>
      </c>
      <c r="AF282" s="44" t="s">
        <v>1542</v>
      </c>
      <c r="AG282" s="44" t="s">
        <v>1542</v>
      </c>
      <c r="AH282" s="44" t="s">
        <v>1542</v>
      </c>
      <c r="AI282" s="44" t="s">
        <v>1542</v>
      </c>
      <c r="AJ282" s="44" t="s">
        <v>1542</v>
      </c>
      <c r="AK282" s="44" t="s">
        <v>1542</v>
      </c>
      <c r="AL282" s="44" t="s">
        <v>1542</v>
      </c>
      <c r="AM282" s="44" t="s">
        <v>1542</v>
      </c>
      <c r="AN282" s="44" t="s">
        <v>1542</v>
      </c>
      <c r="AO282" s="46">
        <f t="shared" si="20"/>
        <v>0</v>
      </c>
      <c r="AP282" s="43" t="s">
        <v>1542</v>
      </c>
      <c r="AQ282" s="43" t="s">
        <v>1542</v>
      </c>
      <c r="AR282" s="43" t="s">
        <v>1542</v>
      </c>
      <c r="AS282" s="43" t="s">
        <v>1542</v>
      </c>
      <c r="AT282" s="43" t="s">
        <v>1542</v>
      </c>
      <c r="AU282" s="43" t="s">
        <v>1542</v>
      </c>
      <c r="AV282" s="43" t="s">
        <v>1542</v>
      </c>
      <c r="AW282" s="43" t="s">
        <v>1542</v>
      </c>
      <c r="AX282" s="43" t="s">
        <v>1542</v>
      </c>
      <c r="AY282" s="43" t="s">
        <v>1542</v>
      </c>
      <c r="AZ282" s="43" t="s">
        <v>1542</v>
      </c>
      <c r="BA282" s="43" t="s">
        <v>1542</v>
      </c>
      <c r="BB282" s="46">
        <f t="shared" si="21"/>
        <v>0</v>
      </c>
      <c r="BC282" s="44" t="s">
        <v>1542</v>
      </c>
      <c r="BD282" s="44" t="s">
        <v>1542</v>
      </c>
      <c r="BE282" s="44" t="s">
        <v>1542</v>
      </c>
      <c r="BF282" s="44" t="s">
        <v>1542</v>
      </c>
      <c r="BG282" s="44" t="s">
        <v>1542</v>
      </c>
      <c r="BH282" s="44" t="s">
        <v>1542</v>
      </c>
      <c r="BI282" s="44" t="s">
        <v>1542</v>
      </c>
      <c r="BJ282" s="44" t="s">
        <v>1542</v>
      </c>
      <c r="BK282" s="44" t="s">
        <v>1542</v>
      </c>
      <c r="BL282" s="44" t="s">
        <v>1542</v>
      </c>
      <c r="BM282" s="44" t="s">
        <v>1542</v>
      </c>
      <c r="BN282" s="44" t="s">
        <v>1542</v>
      </c>
      <c r="BO282" s="46">
        <f t="shared" si="22"/>
        <v>0</v>
      </c>
      <c r="BP282" s="43" t="s">
        <v>1542</v>
      </c>
      <c r="BQ282" s="43" t="s">
        <v>1542</v>
      </c>
      <c r="BR282" s="43" t="s">
        <v>1542</v>
      </c>
      <c r="BS282" s="43" t="s">
        <v>1542</v>
      </c>
      <c r="BT282" s="43" t="s">
        <v>1542</v>
      </c>
      <c r="BU282" s="43" t="s">
        <v>1542</v>
      </c>
      <c r="BV282" s="43" t="s">
        <v>1542</v>
      </c>
      <c r="BW282" s="43" t="s">
        <v>1542</v>
      </c>
      <c r="BX282" s="43" t="s">
        <v>1542</v>
      </c>
      <c r="BY282" s="43" t="s">
        <v>1542</v>
      </c>
      <c r="BZ282" s="43" t="s">
        <v>1542</v>
      </c>
      <c r="CA282" s="43" t="s">
        <v>1542</v>
      </c>
    </row>
    <row r="283" spans="1:79">
      <c r="A283">
        <v>282</v>
      </c>
      <c r="B283">
        <v>1</v>
      </c>
      <c r="C283" t="s">
        <v>1532</v>
      </c>
      <c r="D283" t="s">
        <v>1533</v>
      </c>
      <c r="E283" t="s">
        <v>2753</v>
      </c>
      <c r="F283" t="s">
        <v>2754</v>
      </c>
      <c r="G283" t="s">
        <v>2821</v>
      </c>
      <c r="H283" t="s">
        <v>2821</v>
      </c>
      <c r="I283" t="s">
        <v>2822</v>
      </c>
      <c r="J283" t="s">
        <v>2823</v>
      </c>
      <c r="K283" t="s">
        <v>2824</v>
      </c>
      <c r="M283" s="1" t="s">
        <v>2825</v>
      </c>
      <c r="N283" t="s">
        <v>2826</v>
      </c>
      <c r="O283" s="46">
        <f t="shared" si="23"/>
        <v>0</v>
      </c>
      <c r="P283" s="43" t="s">
        <v>1542</v>
      </c>
      <c r="Q283" s="43" t="s">
        <v>1542</v>
      </c>
      <c r="R283" s="43" t="s">
        <v>1542</v>
      </c>
      <c r="S283" s="43" t="s">
        <v>1542</v>
      </c>
      <c r="T283" s="43" t="s">
        <v>1542</v>
      </c>
      <c r="U283" s="43" t="s">
        <v>1542</v>
      </c>
      <c r="V283" s="43" t="s">
        <v>1542</v>
      </c>
      <c r="W283" s="43" t="s">
        <v>1542</v>
      </c>
      <c r="X283" s="43" t="s">
        <v>1542</v>
      </c>
      <c r="Y283" s="43" t="s">
        <v>1542</v>
      </c>
      <c r="Z283" s="43" t="s">
        <v>1542</v>
      </c>
      <c r="AA283" s="43" t="s">
        <v>1542</v>
      </c>
      <c r="AB283" s="46">
        <f t="shared" si="24"/>
        <v>0</v>
      </c>
      <c r="AC283" s="44" t="s">
        <v>1542</v>
      </c>
      <c r="AD283" s="44" t="s">
        <v>1542</v>
      </c>
      <c r="AE283" s="44" t="s">
        <v>1542</v>
      </c>
      <c r="AF283" s="44" t="s">
        <v>1542</v>
      </c>
      <c r="AG283" s="44" t="s">
        <v>1542</v>
      </c>
      <c r="AH283" s="44" t="s">
        <v>1542</v>
      </c>
      <c r="AI283" s="44" t="s">
        <v>1542</v>
      </c>
      <c r="AJ283" s="44" t="s">
        <v>1542</v>
      </c>
      <c r="AK283" s="44" t="s">
        <v>1542</v>
      </c>
      <c r="AL283" s="44" t="s">
        <v>1542</v>
      </c>
      <c r="AM283" s="44" t="s">
        <v>1542</v>
      </c>
      <c r="AN283" s="44" t="s">
        <v>1542</v>
      </c>
      <c r="AO283" s="46">
        <f t="shared" si="20"/>
        <v>0</v>
      </c>
      <c r="AP283" s="43" t="s">
        <v>1542</v>
      </c>
      <c r="AQ283" s="43" t="s">
        <v>1542</v>
      </c>
      <c r="AR283" s="43" t="s">
        <v>1542</v>
      </c>
      <c r="AS283" s="43" t="s">
        <v>1542</v>
      </c>
      <c r="AT283" s="43" t="s">
        <v>1542</v>
      </c>
      <c r="AU283" s="43" t="s">
        <v>1542</v>
      </c>
      <c r="AV283" s="43" t="s">
        <v>1542</v>
      </c>
      <c r="AW283" s="43" t="s">
        <v>1542</v>
      </c>
      <c r="AX283" s="43" t="s">
        <v>1542</v>
      </c>
      <c r="AY283" s="43" t="s">
        <v>1542</v>
      </c>
      <c r="AZ283" s="43" t="s">
        <v>1542</v>
      </c>
      <c r="BA283" s="43" t="s">
        <v>1542</v>
      </c>
      <c r="BB283" s="46">
        <f t="shared" si="21"/>
        <v>0</v>
      </c>
      <c r="BC283" s="44" t="s">
        <v>1542</v>
      </c>
      <c r="BD283" s="44" t="s">
        <v>1542</v>
      </c>
      <c r="BE283" s="44" t="s">
        <v>1542</v>
      </c>
      <c r="BF283" s="44" t="s">
        <v>1542</v>
      </c>
      <c r="BG283" s="44" t="s">
        <v>1542</v>
      </c>
      <c r="BH283" s="44" t="s">
        <v>1542</v>
      </c>
      <c r="BI283" s="44" t="s">
        <v>1542</v>
      </c>
      <c r="BJ283" s="44" t="s">
        <v>1542</v>
      </c>
      <c r="BK283" s="44" t="s">
        <v>1542</v>
      </c>
      <c r="BL283" s="44" t="s">
        <v>1542</v>
      </c>
      <c r="BM283" s="44" t="s">
        <v>1542</v>
      </c>
      <c r="BN283" s="44" t="s">
        <v>1542</v>
      </c>
      <c r="BO283" s="46">
        <f t="shared" si="22"/>
        <v>0</v>
      </c>
      <c r="BP283" s="43" t="s">
        <v>1542</v>
      </c>
      <c r="BQ283" s="43" t="s">
        <v>1542</v>
      </c>
      <c r="BR283" s="43" t="s">
        <v>1542</v>
      </c>
      <c r="BS283" s="43" t="s">
        <v>1542</v>
      </c>
      <c r="BT283" s="43" t="s">
        <v>1542</v>
      </c>
      <c r="BU283" s="43" t="s">
        <v>1542</v>
      </c>
      <c r="BV283" s="43" t="s">
        <v>1542</v>
      </c>
      <c r="BW283" s="43" t="s">
        <v>1542</v>
      </c>
      <c r="BX283" s="43" t="s">
        <v>1542</v>
      </c>
      <c r="BY283" s="43" t="s">
        <v>1542</v>
      </c>
      <c r="BZ283" s="43" t="s">
        <v>1542</v>
      </c>
      <c r="CA283" s="43" t="s">
        <v>1542</v>
      </c>
    </row>
    <row r="284" spans="1:79">
      <c r="A284">
        <v>283</v>
      </c>
      <c r="B284">
        <v>1</v>
      </c>
      <c r="C284" t="s">
        <v>1532</v>
      </c>
      <c r="D284" t="s">
        <v>1533</v>
      </c>
      <c r="E284" t="s">
        <v>2753</v>
      </c>
      <c r="F284" t="s">
        <v>2754</v>
      </c>
      <c r="G284" t="s">
        <v>2827</v>
      </c>
      <c r="H284" t="s">
        <v>2827</v>
      </c>
      <c r="J284" t="s">
        <v>2828</v>
      </c>
      <c r="K284" t="s">
        <v>2829</v>
      </c>
      <c r="M284" s="1" t="s">
        <v>2830</v>
      </c>
      <c r="O284" s="46">
        <f t="shared" si="23"/>
        <v>0</v>
      </c>
      <c r="P284" s="43" t="s">
        <v>1542</v>
      </c>
      <c r="Q284" s="43" t="s">
        <v>1542</v>
      </c>
      <c r="R284" s="43" t="s">
        <v>1542</v>
      </c>
      <c r="S284" s="43" t="s">
        <v>1542</v>
      </c>
      <c r="T284" s="43" t="s">
        <v>1542</v>
      </c>
      <c r="U284" s="43" t="s">
        <v>1542</v>
      </c>
      <c r="V284" s="43" t="s">
        <v>1542</v>
      </c>
      <c r="W284" s="43" t="s">
        <v>1542</v>
      </c>
      <c r="X284" s="43" t="s">
        <v>1542</v>
      </c>
      <c r="Y284" s="43" t="s">
        <v>1542</v>
      </c>
      <c r="Z284" s="43" t="s">
        <v>1542</v>
      </c>
      <c r="AA284" s="43" t="s">
        <v>1542</v>
      </c>
      <c r="AB284" s="46">
        <f t="shared" si="24"/>
        <v>0</v>
      </c>
      <c r="AC284" s="44" t="s">
        <v>1542</v>
      </c>
      <c r="AD284" s="44" t="s">
        <v>1542</v>
      </c>
      <c r="AE284" s="44" t="s">
        <v>1542</v>
      </c>
      <c r="AF284" s="44" t="s">
        <v>1542</v>
      </c>
      <c r="AG284" s="44" t="s">
        <v>1542</v>
      </c>
      <c r="AH284" s="44" t="s">
        <v>1542</v>
      </c>
      <c r="AI284" s="44" t="s">
        <v>1542</v>
      </c>
      <c r="AJ284" s="44" t="s">
        <v>1542</v>
      </c>
      <c r="AK284" s="44" t="s">
        <v>1542</v>
      </c>
      <c r="AL284" s="44" t="s">
        <v>1542</v>
      </c>
      <c r="AM284" s="44" t="s">
        <v>1542</v>
      </c>
      <c r="AN284" s="44" t="s">
        <v>1542</v>
      </c>
      <c r="AO284" s="46">
        <f t="shared" si="20"/>
        <v>0</v>
      </c>
      <c r="AP284" s="43" t="s">
        <v>1542</v>
      </c>
      <c r="AQ284" s="43" t="s">
        <v>1542</v>
      </c>
      <c r="AR284" s="43" t="s">
        <v>1542</v>
      </c>
      <c r="AS284" s="43" t="s">
        <v>1542</v>
      </c>
      <c r="AT284" s="43" t="s">
        <v>1542</v>
      </c>
      <c r="AU284" s="43" t="s">
        <v>1542</v>
      </c>
      <c r="AV284" s="43" t="s">
        <v>1542</v>
      </c>
      <c r="AW284" s="43" t="s">
        <v>1542</v>
      </c>
      <c r="AX284" s="43" t="s">
        <v>1542</v>
      </c>
      <c r="AY284" s="43" t="s">
        <v>1542</v>
      </c>
      <c r="AZ284" s="43" t="s">
        <v>1542</v>
      </c>
      <c r="BA284" s="43" t="s">
        <v>1542</v>
      </c>
      <c r="BB284" s="46">
        <f t="shared" si="21"/>
        <v>0</v>
      </c>
      <c r="BC284" s="44" t="s">
        <v>1542</v>
      </c>
      <c r="BD284" s="44" t="s">
        <v>1542</v>
      </c>
      <c r="BE284" s="44" t="s">
        <v>1542</v>
      </c>
      <c r="BF284" s="44" t="s">
        <v>1542</v>
      </c>
      <c r="BG284" s="44" t="s">
        <v>1542</v>
      </c>
      <c r="BH284" s="44" t="s">
        <v>1542</v>
      </c>
      <c r="BI284" s="44" t="s">
        <v>1542</v>
      </c>
      <c r="BJ284" s="44" t="s">
        <v>1542</v>
      </c>
      <c r="BK284" s="44" t="s">
        <v>1542</v>
      </c>
      <c r="BL284" s="44" t="s">
        <v>1542</v>
      </c>
      <c r="BM284" s="44" t="s">
        <v>1542</v>
      </c>
      <c r="BN284" s="44" t="s">
        <v>1542</v>
      </c>
      <c r="BO284" s="46">
        <f t="shared" si="22"/>
        <v>0</v>
      </c>
      <c r="BP284" s="43" t="s">
        <v>1542</v>
      </c>
      <c r="BQ284" s="43" t="s">
        <v>1542</v>
      </c>
      <c r="BR284" s="43" t="s">
        <v>1542</v>
      </c>
      <c r="BS284" s="43" t="s">
        <v>1542</v>
      </c>
      <c r="BT284" s="43" t="s">
        <v>1542</v>
      </c>
      <c r="BU284" s="43" t="s">
        <v>1542</v>
      </c>
      <c r="BV284" s="43" t="s">
        <v>1542</v>
      </c>
      <c r="BW284" s="43" t="s">
        <v>1542</v>
      </c>
      <c r="BX284" s="43" t="s">
        <v>1542</v>
      </c>
      <c r="BY284" s="43" t="s">
        <v>1542</v>
      </c>
      <c r="BZ284" s="43" t="s">
        <v>1542</v>
      </c>
      <c r="CA284" s="43" t="s">
        <v>1542</v>
      </c>
    </row>
    <row r="285" spans="1:79">
      <c r="A285">
        <v>284</v>
      </c>
      <c r="B285">
        <v>1</v>
      </c>
      <c r="C285" t="s">
        <v>1532</v>
      </c>
      <c r="D285" t="s">
        <v>1533</v>
      </c>
      <c r="E285" t="s">
        <v>2753</v>
      </c>
      <c r="F285" t="s">
        <v>2754</v>
      </c>
      <c r="G285" t="s">
        <v>2831</v>
      </c>
      <c r="H285" t="s">
        <v>2831</v>
      </c>
      <c r="J285" t="s">
        <v>2832</v>
      </c>
      <c r="K285" t="s">
        <v>2833</v>
      </c>
      <c r="M285" s="1" t="s">
        <v>2834</v>
      </c>
      <c r="O285" s="46">
        <f t="shared" si="23"/>
        <v>0</v>
      </c>
      <c r="P285" s="43" t="s">
        <v>1542</v>
      </c>
      <c r="Q285" s="43" t="s">
        <v>1542</v>
      </c>
      <c r="R285" s="43" t="s">
        <v>1542</v>
      </c>
      <c r="S285" s="43" t="s">
        <v>1542</v>
      </c>
      <c r="T285" s="43" t="s">
        <v>1542</v>
      </c>
      <c r="U285" s="43" t="s">
        <v>1542</v>
      </c>
      <c r="V285" s="43" t="s">
        <v>1542</v>
      </c>
      <c r="W285" s="43" t="s">
        <v>1542</v>
      </c>
      <c r="X285" s="43" t="s">
        <v>1542</v>
      </c>
      <c r="Y285" s="43" t="s">
        <v>1542</v>
      </c>
      <c r="Z285" s="43" t="s">
        <v>1542</v>
      </c>
      <c r="AA285" s="43" t="s">
        <v>1542</v>
      </c>
      <c r="AB285" s="46">
        <f t="shared" si="24"/>
        <v>0</v>
      </c>
      <c r="AC285" s="44" t="s">
        <v>1542</v>
      </c>
      <c r="AD285" s="44" t="s">
        <v>1542</v>
      </c>
      <c r="AE285" s="44" t="s">
        <v>1542</v>
      </c>
      <c r="AF285" s="44" t="s">
        <v>1542</v>
      </c>
      <c r="AG285" s="44" t="s">
        <v>1542</v>
      </c>
      <c r="AH285" s="44" t="s">
        <v>1542</v>
      </c>
      <c r="AI285" s="44" t="s">
        <v>1542</v>
      </c>
      <c r="AJ285" s="44" t="s">
        <v>1542</v>
      </c>
      <c r="AK285" s="44" t="s">
        <v>1542</v>
      </c>
      <c r="AL285" s="44" t="s">
        <v>1542</v>
      </c>
      <c r="AM285" s="44" t="s">
        <v>1542</v>
      </c>
      <c r="AN285" s="44" t="s">
        <v>1542</v>
      </c>
      <c r="AO285" s="46">
        <f t="shared" si="20"/>
        <v>0</v>
      </c>
      <c r="AP285" s="43" t="s">
        <v>1542</v>
      </c>
      <c r="AQ285" s="43" t="s">
        <v>1542</v>
      </c>
      <c r="AR285" s="43" t="s">
        <v>1542</v>
      </c>
      <c r="AS285" s="43" t="s">
        <v>1542</v>
      </c>
      <c r="AT285" s="43" t="s">
        <v>1542</v>
      </c>
      <c r="AU285" s="43" t="s">
        <v>1542</v>
      </c>
      <c r="AV285" s="43" t="s">
        <v>1542</v>
      </c>
      <c r="AW285" s="43" t="s">
        <v>1542</v>
      </c>
      <c r="AX285" s="43" t="s">
        <v>1542</v>
      </c>
      <c r="AY285" s="43" t="s">
        <v>1542</v>
      </c>
      <c r="AZ285" s="43" t="s">
        <v>1542</v>
      </c>
      <c r="BA285" s="43" t="s">
        <v>1542</v>
      </c>
      <c r="BB285" s="46">
        <f t="shared" si="21"/>
        <v>0</v>
      </c>
      <c r="BC285" s="44" t="s">
        <v>1542</v>
      </c>
      <c r="BD285" s="44" t="s">
        <v>1542</v>
      </c>
      <c r="BE285" s="44" t="s">
        <v>1542</v>
      </c>
      <c r="BF285" s="44" t="s">
        <v>1542</v>
      </c>
      <c r="BG285" s="44" t="s">
        <v>1542</v>
      </c>
      <c r="BH285" s="44" t="s">
        <v>1542</v>
      </c>
      <c r="BI285" s="44" t="s">
        <v>1542</v>
      </c>
      <c r="BJ285" s="44" t="s">
        <v>1542</v>
      </c>
      <c r="BK285" s="44" t="s">
        <v>1542</v>
      </c>
      <c r="BL285" s="44" t="s">
        <v>1542</v>
      </c>
      <c r="BM285" s="44" t="s">
        <v>1542</v>
      </c>
      <c r="BN285" s="44" t="s">
        <v>1542</v>
      </c>
      <c r="BO285" s="46">
        <f t="shared" si="22"/>
        <v>0</v>
      </c>
      <c r="BP285" s="43" t="s">
        <v>1542</v>
      </c>
      <c r="BQ285" s="43" t="s">
        <v>1542</v>
      </c>
      <c r="BR285" s="43" t="s">
        <v>1542</v>
      </c>
      <c r="BS285" s="43" t="s">
        <v>1542</v>
      </c>
      <c r="BT285" s="43" t="s">
        <v>1542</v>
      </c>
      <c r="BU285" s="43" t="s">
        <v>1542</v>
      </c>
      <c r="BV285" s="43" t="s">
        <v>1542</v>
      </c>
      <c r="BW285" s="43" t="s">
        <v>1542</v>
      </c>
      <c r="BX285" s="43" t="s">
        <v>1542</v>
      </c>
      <c r="BY285" s="43" t="s">
        <v>1542</v>
      </c>
      <c r="BZ285" s="43" t="s">
        <v>1542</v>
      </c>
      <c r="CA285" s="43" t="s">
        <v>1542</v>
      </c>
    </row>
    <row r="286" spans="1:79">
      <c r="A286">
        <v>285</v>
      </c>
      <c r="C286" t="s">
        <v>1532</v>
      </c>
      <c r="D286" t="s">
        <v>1533</v>
      </c>
      <c r="E286" t="s">
        <v>2753</v>
      </c>
      <c r="F286" t="s">
        <v>2754</v>
      </c>
      <c r="G286" t="s">
        <v>2831</v>
      </c>
      <c r="H286" s="41" t="s">
        <v>2835</v>
      </c>
      <c r="I286" s="41" t="s">
        <v>2835</v>
      </c>
      <c r="J286" t="s">
        <v>2832</v>
      </c>
      <c r="K286" t="s">
        <v>2833</v>
      </c>
      <c r="M286" s="1" t="s">
        <v>2836</v>
      </c>
      <c r="N286" t="s">
        <v>2837</v>
      </c>
      <c r="O286" s="46">
        <f t="shared" si="23"/>
        <v>0</v>
      </c>
      <c r="P286" s="43" t="s">
        <v>1542</v>
      </c>
      <c r="Q286" s="43" t="s">
        <v>1542</v>
      </c>
      <c r="R286" s="43" t="s">
        <v>1542</v>
      </c>
      <c r="S286" s="43" t="s">
        <v>1542</v>
      </c>
      <c r="T286" s="43" t="s">
        <v>1542</v>
      </c>
      <c r="U286" s="43" t="s">
        <v>1542</v>
      </c>
      <c r="V286" s="43" t="s">
        <v>1542</v>
      </c>
      <c r="W286" s="43" t="s">
        <v>1542</v>
      </c>
      <c r="X286" s="43" t="s">
        <v>1542</v>
      </c>
      <c r="Y286" s="43" t="s">
        <v>1542</v>
      </c>
      <c r="Z286" s="43" t="s">
        <v>1542</v>
      </c>
      <c r="AA286" s="43" t="s">
        <v>1542</v>
      </c>
      <c r="AB286" s="46">
        <f t="shared" si="24"/>
        <v>0</v>
      </c>
      <c r="AC286" s="44" t="s">
        <v>1542</v>
      </c>
      <c r="AD286" s="44" t="s">
        <v>1542</v>
      </c>
      <c r="AE286" s="44" t="s">
        <v>1542</v>
      </c>
      <c r="AF286" s="44" t="s">
        <v>1542</v>
      </c>
      <c r="AG286" s="44" t="s">
        <v>1542</v>
      </c>
      <c r="AH286" s="44" t="s">
        <v>1542</v>
      </c>
      <c r="AI286" s="44" t="s">
        <v>1542</v>
      </c>
      <c r="AJ286" s="44" t="s">
        <v>1542</v>
      </c>
      <c r="AK286" s="44" t="s">
        <v>1542</v>
      </c>
      <c r="AL286" s="44" t="s">
        <v>1542</v>
      </c>
      <c r="AM286" s="44" t="s">
        <v>1542</v>
      </c>
      <c r="AN286" s="44" t="s">
        <v>1542</v>
      </c>
      <c r="AO286" s="46">
        <f t="shared" si="20"/>
        <v>0</v>
      </c>
      <c r="AP286" s="43" t="s">
        <v>1542</v>
      </c>
      <c r="AQ286" s="43" t="s">
        <v>1542</v>
      </c>
      <c r="AR286" s="43" t="s">
        <v>1542</v>
      </c>
      <c r="AS286" s="43" t="s">
        <v>1542</v>
      </c>
      <c r="AT286" s="43" t="s">
        <v>1542</v>
      </c>
      <c r="AU286" s="43" t="s">
        <v>1542</v>
      </c>
      <c r="AV286" s="43" t="s">
        <v>1542</v>
      </c>
      <c r="AW286" s="43" t="s">
        <v>1542</v>
      </c>
      <c r="AX286" s="43" t="s">
        <v>1542</v>
      </c>
      <c r="AY286" s="43" t="s">
        <v>1542</v>
      </c>
      <c r="AZ286" s="43" t="s">
        <v>1542</v>
      </c>
      <c r="BA286" s="43" t="s">
        <v>1542</v>
      </c>
      <c r="BB286" s="46">
        <f t="shared" si="21"/>
        <v>0</v>
      </c>
      <c r="BC286" s="44" t="s">
        <v>1554</v>
      </c>
      <c r="BD286" s="44" t="s">
        <v>1542</v>
      </c>
      <c r="BE286" s="44" t="s">
        <v>1542</v>
      </c>
      <c r="BF286" s="44" t="s">
        <v>1542</v>
      </c>
      <c r="BG286" s="44" t="s">
        <v>1542</v>
      </c>
      <c r="BH286" s="44" t="s">
        <v>1542</v>
      </c>
      <c r="BI286" s="44" t="s">
        <v>1542</v>
      </c>
      <c r="BJ286" s="44" t="s">
        <v>1542</v>
      </c>
      <c r="BK286" s="44" t="s">
        <v>1542</v>
      </c>
      <c r="BL286" s="44" t="s">
        <v>1542</v>
      </c>
      <c r="BM286" s="44" t="s">
        <v>1542</v>
      </c>
      <c r="BN286" s="44" t="s">
        <v>1542</v>
      </c>
      <c r="BO286" s="46">
        <f t="shared" si="22"/>
        <v>1</v>
      </c>
      <c r="BP286" s="43" t="s">
        <v>1554</v>
      </c>
      <c r="BQ286" s="43" t="s">
        <v>1542</v>
      </c>
      <c r="BR286" s="43" t="s">
        <v>1542</v>
      </c>
      <c r="BS286" s="43" t="s">
        <v>1542</v>
      </c>
      <c r="BT286" s="43" t="s">
        <v>1554</v>
      </c>
      <c r="BU286" s="43" t="s">
        <v>1542</v>
      </c>
      <c r="BV286" s="43" t="s">
        <v>1542</v>
      </c>
      <c r="BW286" s="43" t="s">
        <v>1542</v>
      </c>
      <c r="BX286" s="43" t="s">
        <v>1542</v>
      </c>
      <c r="BY286" s="43" t="s">
        <v>1542</v>
      </c>
      <c r="BZ286" s="43" t="s">
        <v>1554</v>
      </c>
      <c r="CA286" s="43" t="s">
        <v>1554</v>
      </c>
    </row>
    <row r="287" spans="1:79">
      <c r="A287">
        <v>286</v>
      </c>
      <c r="B287">
        <v>1</v>
      </c>
      <c r="C287" t="s">
        <v>1532</v>
      </c>
      <c r="D287" t="s">
        <v>1533</v>
      </c>
      <c r="E287" t="s">
        <v>2753</v>
      </c>
      <c r="F287" t="s">
        <v>2754</v>
      </c>
      <c r="G287" t="s">
        <v>2838</v>
      </c>
      <c r="H287" t="s">
        <v>2838</v>
      </c>
      <c r="I287" t="s">
        <v>2839</v>
      </c>
      <c r="J287" t="s">
        <v>2840</v>
      </c>
      <c r="K287" t="s">
        <v>2841</v>
      </c>
      <c r="M287" s="1" t="s">
        <v>2842</v>
      </c>
      <c r="O287" s="46">
        <f t="shared" si="23"/>
        <v>0</v>
      </c>
      <c r="P287" s="43" t="s">
        <v>1542</v>
      </c>
      <c r="Q287" s="43" t="s">
        <v>1542</v>
      </c>
      <c r="R287" s="43" t="s">
        <v>1542</v>
      </c>
      <c r="S287" s="43" t="s">
        <v>1542</v>
      </c>
      <c r="T287" s="43" t="s">
        <v>1542</v>
      </c>
      <c r="U287" s="43" t="s">
        <v>1542</v>
      </c>
      <c r="V287" s="43" t="s">
        <v>1542</v>
      </c>
      <c r="W287" s="43" t="s">
        <v>1542</v>
      </c>
      <c r="X287" s="43" t="s">
        <v>1542</v>
      </c>
      <c r="Y287" s="43" t="s">
        <v>1542</v>
      </c>
      <c r="Z287" s="43" t="s">
        <v>1542</v>
      </c>
      <c r="AA287" s="43" t="s">
        <v>1542</v>
      </c>
      <c r="AB287" s="46">
        <f t="shared" si="24"/>
        <v>0</v>
      </c>
      <c r="AC287" s="44" t="s">
        <v>1542</v>
      </c>
      <c r="AD287" s="44" t="s">
        <v>1542</v>
      </c>
      <c r="AE287" s="44" t="s">
        <v>1542</v>
      </c>
      <c r="AF287" s="44" t="s">
        <v>1542</v>
      </c>
      <c r="AG287" s="44" t="s">
        <v>1542</v>
      </c>
      <c r="AH287" s="44" t="s">
        <v>1542</v>
      </c>
      <c r="AI287" s="44" t="s">
        <v>1542</v>
      </c>
      <c r="AJ287" s="44" t="s">
        <v>1542</v>
      </c>
      <c r="AK287" s="44" t="s">
        <v>1542</v>
      </c>
      <c r="AL287" s="44" t="s">
        <v>1542</v>
      </c>
      <c r="AM287" s="44" t="s">
        <v>1542</v>
      </c>
      <c r="AN287" s="44" t="s">
        <v>1542</v>
      </c>
      <c r="AO287" s="46">
        <f t="shared" si="20"/>
        <v>0</v>
      </c>
      <c r="AP287" s="43" t="s">
        <v>1542</v>
      </c>
      <c r="AQ287" s="43" t="s">
        <v>1542</v>
      </c>
      <c r="AR287" s="43" t="s">
        <v>1542</v>
      </c>
      <c r="AS287" s="43" t="s">
        <v>1542</v>
      </c>
      <c r="AT287" s="43" t="s">
        <v>1542</v>
      </c>
      <c r="AU287" s="43" t="s">
        <v>1542</v>
      </c>
      <c r="AV287" s="43" t="s">
        <v>1542</v>
      </c>
      <c r="AW287" s="43" t="s">
        <v>1542</v>
      </c>
      <c r="AX287" s="43" t="s">
        <v>1542</v>
      </c>
      <c r="AY287" s="43" t="s">
        <v>1542</v>
      </c>
      <c r="AZ287" s="43" t="s">
        <v>1542</v>
      </c>
      <c r="BA287" s="43" t="s">
        <v>1542</v>
      </c>
      <c r="BB287" s="46">
        <f t="shared" si="21"/>
        <v>0</v>
      </c>
      <c r="BC287" s="44" t="s">
        <v>1542</v>
      </c>
      <c r="BD287" s="44" t="s">
        <v>1542</v>
      </c>
      <c r="BE287" s="44" t="s">
        <v>1542</v>
      </c>
      <c r="BF287" s="44" t="s">
        <v>1542</v>
      </c>
      <c r="BG287" s="44" t="s">
        <v>1542</v>
      </c>
      <c r="BH287" s="44" t="s">
        <v>1542</v>
      </c>
      <c r="BI287" s="44" t="s">
        <v>1542</v>
      </c>
      <c r="BJ287" s="44" t="s">
        <v>1542</v>
      </c>
      <c r="BK287" s="44" t="s">
        <v>1542</v>
      </c>
      <c r="BL287" s="44" t="s">
        <v>1542</v>
      </c>
      <c r="BM287" s="44" t="s">
        <v>1542</v>
      </c>
      <c r="BN287" s="44" t="s">
        <v>1542</v>
      </c>
      <c r="BO287" s="46">
        <f t="shared" si="22"/>
        <v>0</v>
      </c>
      <c r="BP287" s="43" t="s">
        <v>1542</v>
      </c>
      <c r="BQ287" s="43" t="s">
        <v>1542</v>
      </c>
      <c r="BR287" s="43" t="s">
        <v>1542</v>
      </c>
      <c r="BS287" s="43" t="s">
        <v>1542</v>
      </c>
      <c r="BT287" s="43" t="s">
        <v>1542</v>
      </c>
      <c r="BU287" s="43" t="s">
        <v>1542</v>
      </c>
      <c r="BV287" s="43" t="s">
        <v>1542</v>
      </c>
      <c r="BW287" s="43" t="s">
        <v>1542</v>
      </c>
      <c r="BX287" s="43" t="s">
        <v>1542</v>
      </c>
      <c r="BY287" s="43" t="s">
        <v>1542</v>
      </c>
      <c r="BZ287" s="43" t="s">
        <v>1542</v>
      </c>
      <c r="CA287" s="43" t="s">
        <v>1542</v>
      </c>
    </row>
    <row r="288" spans="1:79">
      <c r="A288">
        <v>287</v>
      </c>
      <c r="B288">
        <v>1</v>
      </c>
      <c r="C288" t="s">
        <v>1532</v>
      </c>
      <c r="D288" t="s">
        <v>1533</v>
      </c>
      <c r="E288" t="s">
        <v>2843</v>
      </c>
      <c r="F288" t="s">
        <v>2844</v>
      </c>
      <c r="G288" t="s">
        <v>2845</v>
      </c>
      <c r="H288" t="s">
        <v>2845</v>
      </c>
      <c r="J288" t="s">
        <v>2846</v>
      </c>
      <c r="K288" t="s">
        <v>2847</v>
      </c>
      <c r="M288" s="1" t="s">
        <v>2848</v>
      </c>
      <c r="N288" t="s">
        <v>2849</v>
      </c>
      <c r="O288" s="46">
        <f t="shared" si="23"/>
        <v>0</v>
      </c>
      <c r="P288" s="43" t="s">
        <v>1542</v>
      </c>
      <c r="Q288" s="43" t="s">
        <v>1542</v>
      </c>
      <c r="R288" s="43" t="s">
        <v>1542</v>
      </c>
      <c r="S288" s="43" t="s">
        <v>1542</v>
      </c>
      <c r="T288" s="43" t="s">
        <v>1542</v>
      </c>
      <c r="U288" s="43" t="s">
        <v>1542</v>
      </c>
      <c r="V288" s="43" t="s">
        <v>1542</v>
      </c>
      <c r="W288" s="43" t="s">
        <v>1542</v>
      </c>
      <c r="X288" s="43" t="s">
        <v>1542</v>
      </c>
      <c r="Y288" s="43" t="s">
        <v>1542</v>
      </c>
      <c r="Z288" s="43" t="s">
        <v>1542</v>
      </c>
      <c r="AA288" s="43" t="s">
        <v>1542</v>
      </c>
      <c r="AB288" s="46">
        <f t="shared" si="24"/>
        <v>3</v>
      </c>
      <c r="AC288" s="44" t="s">
        <v>1542</v>
      </c>
      <c r="AD288" s="44" t="s">
        <v>1554</v>
      </c>
      <c r="AE288" s="44" t="s">
        <v>1554</v>
      </c>
      <c r="AF288" s="44" t="s">
        <v>1554</v>
      </c>
      <c r="AG288" s="44" t="s">
        <v>1542</v>
      </c>
      <c r="AH288" s="44" t="s">
        <v>1542</v>
      </c>
      <c r="AI288" s="44" t="s">
        <v>1542</v>
      </c>
      <c r="AJ288" s="44" t="s">
        <v>1542</v>
      </c>
      <c r="AK288" s="44" t="s">
        <v>1542</v>
      </c>
      <c r="AL288" s="44" t="s">
        <v>1542</v>
      </c>
      <c r="AM288" s="44" t="s">
        <v>1542</v>
      </c>
      <c r="AN288" s="44" t="s">
        <v>1542</v>
      </c>
      <c r="AO288" s="46">
        <f t="shared" si="20"/>
        <v>3</v>
      </c>
      <c r="AP288" s="43" t="s">
        <v>1542</v>
      </c>
      <c r="AQ288" s="43" t="s">
        <v>1542</v>
      </c>
      <c r="AR288" s="43" t="s">
        <v>1542</v>
      </c>
      <c r="AS288" s="43" t="s">
        <v>1542</v>
      </c>
      <c r="AT288" s="43" t="s">
        <v>1542</v>
      </c>
      <c r="AU288" s="43" t="s">
        <v>1542</v>
      </c>
      <c r="AV288" s="43" t="s">
        <v>1542</v>
      </c>
      <c r="AW288" s="43" t="s">
        <v>1542</v>
      </c>
      <c r="AX288" s="43" t="s">
        <v>1542</v>
      </c>
      <c r="AY288" s="43" t="s">
        <v>1542</v>
      </c>
      <c r="AZ288" s="43" t="s">
        <v>1542</v>
      </c>
      <c r="BA288" s="43" t="s">
        <v>1542</v>
      </c>
      <c r="BB288" s="46">
        <f t="shared" si="21"/>
        <v>0</v>
      </c>
      <c r="BC288" s="44" t="s">
        <v>1542</v>
      </c>
      <c r="BD288" s="44" t="s">
        <v>1542</v>
      </c>
      <c r="BE288" s="44" t="s">
        <v>1542</v>
      </c>
      <c r="BF288" s="44" t="s">
        <v>1542</v>
      </c>
      <c r="BG288" s="44" t="s">
        <v>1542</v>
      </c>
      <c r="BH288" s="44" t="s">
        <v>1542</v>
      </c>
      <c r="BI288" s="44" t="s">
        <v>1542</v>
      </c>
      <c r="BJ288" s="44" t="s">
        <v>1542</v>
      </c>
      <c r="BK288" s="44" t="s">
        <v>1542</v>
      </c>
      <c r="BL288" s="44" t="s">
        <v>1542</v>
      </c>
      <c r="BM288" s="44" t="s">
        <v>1542</v>
      </c>
      <c r="BN288" s="44" t="s">
        <v>1542</v>
      </c>
      <c r="BO288" s="46">
        <f t="shared" si="22"/>
        <v>0</v>
      </c>
      <c r="BP288" s="43" t="s">
        <v>1542</v>
      </c>
      <c r="BQ288" s="43" t="s">
        <v>1542</v>
      </c>
      <c r="BR288" s="43" t="s">
        <v>1542</v>
      </c>
      <c r="BS288" s="43" t="s">
        <v>1542</v>
      </c>
      <c r="BT288" s="43" t="s">
        <v>1542</v>
      </c>
      <c r="BU288" s="43" t="s">
        <v>1542</v>
      </c>
      <c r="BV288" s="43" t="s">
        <v>1542</v>
      </c>
      <c r="BW288" s="43" t="s">
        <v>1542</v>
      </c>
      <c r="BX288" s="43" t="s">
        <v>1542</v>
      </c>
      <c r="BY288" s="43" t="s">
        <v>1542</v>
      </c>
      <c r="BZ288" s="43" t="s">
        <v>1542</v>
      </c>
      <c r="CA288" s="43" t="s">
        <v>1542</v>
      </c>
    </row>
    <row r="289" spans="1:79">
      <c r="A289">
        <v>288</v>
      </c>
      <c r="B289">
        <v>1</v>
      </c>
      <c r="C289" t="s">
        <v>1532</v>
      </c>
      <c r="D289" t="s">
        <v>1533</v>
      </c>
      <c r="E289" t="s">
        <v>2843</v>
      </c>
      <c r="F289" t="s">
        <v>2844</v>
      </c>
      <c r="G289" t="s">
        <v>2850</v>
      </c>
      <c r="H289" t="s">
        <v>2850</v>
      </c>
      <c r="J289" t="s">
        <v>2851</v>
      </c>
      <c r="K289" t="s">
        <v>2852</v>
      </c>
      <c r="M289" s="1" t="s">
        <v>2853</v>
      </c>
      <c r="O289" s="46">
        <f t="shared" si="23"/>
        <v>0</v>
      </c>
      <c r="P289" s="43" t="s">
        <v>1542</v>
      </c>
      <c r="Q289" s="43" t="s">
        <v>1542</v>
      </c>
      <c r="R289" s="43" t="s">
        <v>1542</v>
      </c>
      <c r="S289" s="43" t="s">
        <v>1542</v>
      </c>
      <c r="T289" s="43" t="s">
        <v>1542</v>
      </c>
      <c r="U289" s="43" t="s">
        <v>1542</v>
      </c>
      <c r="V289" s="43" t="s">
        <v>1542</v>
      </c>
      <c r="W289" s="43" t="s">
        <v>1542</v>
      </c>
      <c r="X289" s="43" t="s">
        <v>1542</v>
      </c>
      <c r="Y289" s="43" t="s">
        <v>1542</v>
      </c>
      <c r="Z289" s="43" t="s">
        <v>1542</v>
      </c>
      <c r="AA289" s="43" t="s">
        <v>1542</v>
      </c>
      <c r="AB289" s="46">
        <f t="shared" si="24"/>
        <v>0</v>
      </c>
      <c r="AC289" s="44" t="s">
        <v>1542</v>
      </c>
      <c r="AD289" s="44" t="s">
        <v>1542</v>
      </c>
      <c r="AE289" s="44" t="s">
        <v>1542</v>
      </c>
      <c r="AF289" s="44" t="s">
        <v>1542</v>
      </c>
      <c r="AG289" s="44" t="s">
        <v>1542</v>
      </c>
      <c r="AH289" s="44" t="s">
        <v>1542</v>
      </c>
      <c r="AI289" s="44" t="s">
        <v>1542</v>
      </c>
      <c r="AJ289" s="44" t="s">
        <v>1542</v>
      </c>
      <c r="AK289" s="44" t="s">
        <v>1542</v>
      </c>
      <c r="AL289" s="44" t="s">
        <v>1542</v>
      </c>
      <c r="AM289" s="44" t="s">
        <v>1542</v>
      </c>
      <c r="AN289" s="44" t="s">
        <v>1542</v>
      </c>
      <c r="AO289" s="46">
        <f t="shared" si="20"/>
        <v>0</v>
      </c>
      <c r="AP289" s="43" t="s">
        <v>1542</v>
      </c>
      <c r="AQ289" s="43" t="s">
        <v>1542</v>
      </c>
      <c r="AR289" s="43" t="s">
        <v>1542</v>
      </c>
      <c r="AS289" s="43" t="s">
        <v>1542</v>
      </c>
      <c r="AT289" s="43" t="s">
        <v>1542</v>
      </c>
      <c r="AU289" s="43" t="s">
        <v>1542</v>
      </c>
      <c r="AV289" s="43" t="s">
        <v>1542</v>
      </c>
      <c r="AW289" s="43" t="s">
        <v>1542</v>
      </c>
      <c r="AX289" s="43" t="s">
        <v>1542</v>
      </c>
      <c r="AY289" s="43" t="s">
        <v>1542</v>
      </c>
      <c r="AZ289" s="43" t="s">
        <v>1542</v>
      </c>
      <c r="BA289" s="43" t="s">
        <v>1542</v>
      </c>
      <c r="BB289" s="46">
        <f t="shared" si="21"/>
        <v>0</v>
      </c>
      <c r="BC289" s="44" t="s">
        <v>1542</v>
      </c>
      <c r="BD289" s="44" t="s">
        <v>1542</v>
      </c>
      <c r="BE289" s="44" t="s">
        <v>1542</v>
      </c>
      <c r="BF289" s="44" t="s">
        <v>1542</v>
      </c>
      <c r="BG289" s="44" t="s">
        <v>1542</v>
      </c>
      <c r="BH289" s="44" t="s">
        <v>1542</v>
      </c>
      <c r="BI289" s="44" t="s">
        <v>1542</v>
      </c>
      <c r="BJ289" s="44" t="s">
        <v>1542</v>
      </c>
      <c r="BK289" s="44" t="s">
        <v>1542</v>
      </c>
      <c r="BL289" s="44" t="s">
        <v>1542</v>
      </c>
      <c r="BM289" s="44" t="s">
        <v>1542</v>
      </c>
      <c r="BN289" s="44" t="s">
        <v>1542</v>
      </c>
      <c r="BO289" s="46">
        <f t="shared" si="22"/>
        <v>0</v>
      </c>
      <c r="BP289" s="43" t="s">
        <v>1542</v>
      </c>
      <c r="BQ289" s="43" t="s">
        <v>1542</v>
      </c>
      <c r="BR289" s="43" t="s">
        <v>1542</v>
      </c>
      <c r="BS289" s="43" t="s">
        <v>1542</v>
      </c>
      <c r="BT289" s="43" t="s">
        <v>1542</v>
      </c>
      <c r="BU289" s="43" t="s">
        <v>1542</v>
      </c>
      <c r="BV289" s="43" t="s">
        <v>1542</v>
      </c>
      <c r="BW289" s="43" t="s">
        <v>1542</v>
      </c>
      <c r="BX289" s="43" t="s">
        <v>1542</v>
      </c>
      <c r="BY289" s="43" t="s">
        <v>1542</v>
      </c>
      <c r="BZ289" s="43" t="s">
        <v>1542</v>
      </c>
      <c r="CA289" s="43" t="s">
        <v>1542</v>
      </c>
    </row>
    <row r="290" spans="1:79">
      <c r="A290">
        <v>289</v>
      </c>
      <c r="B290">
        <v>1</v>
      </c>
      <c r="C290" t="s">
        <v>1532</v>
      </c>
      <c r="D290" t="s">
        <v>1533</v>
      </c>
      <c r="E290" t="s">
        <v>2843</v>
      </c>
      <c r="F290" t="s">
        <v>2844</v>
      </c>
      <c r="G290" t="s">
        <v>2854</v>
      </c>
      <c r="H290" t="s">
        <v>2854</v>
      </c>
      <c r="J290" t="s">
        <v>2855</v>
      </c>
      <c r="K290" t="s">
        <v>2856</v>
      </c>
      <c r="M290" s="1" t="s">
        <v>2857</v>
      </c>
      <c r="N290" t="s">
        <v>2858</v>
      </c>
      <c r="O290" s="46">
        <f t="shared" si="23"/>
        <v>0</v>
      </c>
      <c r="P290" s="43" t="s">
        <v>1542</v>
      </c>
      <c r="Q290" s="43" t="s">
        <v>1542</v>
      </c>
      <c r="R290" s="43" t="s">
        <v>1542</v>
      </c>
      <c r="S290" s="43" t="s">
        <v>1542</v>
      </c>
      <c r="T290" s="43" t="s">
        <v>1542</v>
      </c>
      <c r="U290" s="43" t="s">
        <v>1542</v>
      </c>
      <c r="V290" s="43" t="s">
        <v>1542</v>
      </c>
      <c r="W290" s="43" t="s">
        <v>1542</v>
      </c>
      <c r="X290" s="43" t="s">
        <v>1542</v>
      </c>
      <c r="Y290" s="43" t="s">
        <v>1542</v>
      </c>
      <c r="Z290" s="43" t="s">
        <v>1542</v>
      </c>
      <c r="AA290" s="43" t="s">
        <v>1542</v>
      </c>
      <c r="AB290" s="46">
        <f t="shared" si="24"/>
        <v>0</v>
      </c>
      <c r="AC290" s="44" t="s">
        <v>1542</v>
      </c>
      <c r="AD290" s="44" t="s">
        <v>1542</v>
      </c>
      <c r="AE290" s="44" t="s">
        <v>1542</v>
      </c>
      <c r="AF290" s="44" t="s">
        <v>1542</v>
      </c>
      <c r="AG290" s="44" t="s">
        <v>1542</v>
      </c>
      <c r="AH290" s="44" t="s">
        <v>1542</v>
      </c>
      <c r="AI290" s="44" t="s">
        <v>1542</v>
      </c>
      <c r="AJ290" s="44" t="s">
        <v>1542</v>
      </c>
      <c r="AK290" s="44" t="s">
        <v>1542</v>
      </c>
      <c r="AL290" s="44" t="s">
        <v>1542</v>
      </c>
      <c r="AM290" s="44" t="s">
        <v>1542</v>
      </c>
      <c r="AN290" s="44" t="s">
        <v>1542</v>
      </c>
      <c r="AO290" s="46">
        <f t="shared" si="20"/>
        <v>0</v>
      </c>
      <c r="AP290" s="43" t="s">
        <v>1542</v>
      </c>
      <c r="AQ290" s="43" t="s">
        <v>1542</v>
      </c>
      <c r="AR290" s="43" t="s">
        <v>1542</v>
      </c>
      <c r="AS290" s="43" t="s">
        <v>1542</v>
      </c>
      <c r="AT290" s="43" t="s">
        <v>1542</v>
      </c>
      <c r="AU290" s="43" t="s">
        <v>1542</v>
      </c>
      <c r="AV290" s="43" t="s">
        <v>1542</v>
      </c>
      <c r="AW290" s="43" t="s">
        <v>1542</v>
      </c>
      <c r="AX290" s="43" t="s">
        <v>1542</v>
      </c>
      <c r="AY290" s="43" t="s">
        <v>1542</v>
      </c>
      <c r="AZ290" s="43" t="s">
        <v>1542</v>
      </c>
      <c r="BA290" s="43" t="s">
        <v>1542</v>
      </c>
      <c r="BB290" s="46">
        <f t="shared" si="21"/>
        <v>0</v>
      </c>
      <c r="BC290" s="44" t="s">
        <v>1542</v>
      </c>
      <c r="BD290" s="44" t="s">
        <v>1542</v>
      </c>
      <c r="BE290" s="44" t="s">
        <v>1542</v>
      </c>
      <c r="BF290" s="44" t="s">
        <v>1542</v>
      </c>
      <c r="BG290" s="44" t="s">
        <v>1542</v>
      </c>
      <c r="BH290" s="44" t="s">
        <v>1542</v>
      </c>
      <c r="BI290" s="44" t="s">
        <v>1542</v>
      </c>
      <c r="BJ290" s="44" t="s">
        <v>1542</v>
      </c>
      <c r="BK290" s="44" t="s">
        <v>1542</v>
      </c>
      <c r="BL290" s="44" t="s">
        <v>1542</v>
      </c>
      <c r="BM290" s="44" t="s">
        <v>1542</v>
      </c>
      <c r="BN290" s="44" t="s">
        <v>1542</v>
      </c>
      <c r="BO290" s="46">
        <f t="shared" si="22"/>
        <v>0</v>
      </c>
      <c r="BP290" s="43" t="s">
        <v>1542</v>
      </c>
      <c r="BQ290" s="43" t="s">
        <v>1542</v>
      </c>
      <c r="BR290" s="43" t="s">
        <v>1542</v>
      </c>
      <c r="BS290" s="43" t="s">
        <v>1542</v>
      </c>
      <c r="BT290" s="43" t="s">
        <v>1542</v>
      </c>
      <c r="BU290" s="43" t="s">
        <v>1542</v>
      </c>
      <c r="BV290" s="43" t="s">
        <v>1542</v>
      </c>
      <c r="BW290" s="43" t="s">
        <v>1542</v>
      </c>
      <c r="BX290" s="43" t="s">
        <v>1542</v>
      </c>
      <c r="BY290" s="43" t="s">
        <v>1542</v>
      </c>
      <c r="BZ290" s="43" t="s">
        <v>1542</v>
      </c>
      <c r="CA290" s="43" t="s">
        <v>1542</v>
      </c>
    </row>
    <row r="291" spans="1:79">
      <c r="A291">
        <v>290</v>
      </c>
      <c r="C291" t="s">
        <v>1532</v>
      </c>
      <c r="D291" t="s">
        <v>1533</v>
      </c>
      <c r="E291" t="s">
        <v>2843</v>
      </c>
      <c r="F291" t="s">
        <v>2844</v>
      </c>
      <c r="G291" t="s">
        <v>2854</v>
      </c>
      <c r="H291" s="41" t="s">
        <v>2859</v>
      </c>
      <c r="I291" s="41" t="s">
        <v>2859</v>
      </c>
      <c r="J291" t="s">
        <v>2855</v>
      </c>
      <c r="K291" t="s">
        <v>2856</v>
      </c>
      <c r="M291" s="1" t="s">
        <v>2860</v>
      </c>
      <c r="N291" t="s">
        <v>2861</v>
      </c>
      <c r="O291" s="46">
        <f t="shared" si="23"/>
        <v>3</v>
      </c>
      <c r="P291" s="43" t="s">
        <v>1542</v>
      </c>
      <c r="Q291" s="43" t="s">
        <v>1542</v>
      </c>
      <c r="R291" s="43" t="s">
        <v>1542</v>
      </c>
      <c r="S291" s="43" t="s">
        <v>1542</v>
      </c>
      <c r="T291" s="43" t="s">
        <v>1542</v>
      </c>
      <c r="U291" s="43" t="s">
        <v>1542</v>
      </c>
      <c r="V291" s="43" t="s">
        <v>1542</v>
      </c>
      <c r="W291" s="43" t="s">
        <v>1542</v>
      </c>
      <c r="X291" s="43" t="s">
        <v>1542</v>
      </c>
      <c r="Y291" s="43" t="s">
        <v>1554</v>
      </c>
      <c r="Z291" s="43" t="s">
        <v>1554</v>
      </c>
      <c r="AA291" s="43" t="s">
        <v>1554</v>
      </c>
      <c r="AB291" s="46">
        <f t="shared" si="24"/>
        <v>0</v>
      </c>
      <c r="AC291" s="44" t="s">
        <v>1542</v>
      </c>
      <c r="AD291" s="44" t="s">
        <v>1542</v>
      </c>
      <c r="AE291" s="44" t="s">
        <v>1542</v>
      </c>
      <c r="AF291" s="44" t="s">
        <v>1542</v>
      </c>
      <c r="AG291" s="44" t="s">
        <v>1542</v>
      </c>
      <c r="AH291" s="44" t="s">
        <v>1542</v>
      </c>
      <c r="AI291" s="44" t="s">
        <v>1542</v>
      </c>
      <c r="AJ291" s="44" t="s">
        <v>1542</v>
      </c>
      <c r="AK291" s="44" t="s">
        <v>1542</v>
      </c>
      <c r="AL291" s="44" t="s">
        <v>1542</v>
      </c>
      <c r="AM291" s="44" t="s">
        <v>1542</v>
      </c>
      <c r="AN291" s="44" t="s">
        <v>1542</v>
      </c>
      <c r="AO291" s="46">
        <f t="shared" si="20"/>
        <v>0</v>
      </c>
      <c r="AP291" s="43" t="s">
        <v>1542</v>
      </c>
      <c r="AQ291" s="43" t="s">
        <v>1542</v>
      </c>
      <c r="AR291" s="43" t="s">
        <v>1542</v>
      </c>
      <c r="AS291" s="43" t="s">
        <v>1542</v>
      </c>
      <c r="AT291" s="43" t="s">
        <v>1542</v>
      </c>
      <c r="AU291" s="43" t="s">
        <v>1542</v>
      </c>
      <c r="AV291" s="43" t="s">
        <v>1542</v>
      </c>
      <c r="AW291" s="43" t="s">
        <v>1542</v>
      </c>
      <c r="AX291" s="43" t="s">
        <v>1542</v>
      </c>
      <c r="AY291" s="43" t="s">
        <v>1542</v>
      </c>
      <c r="AZ291" s="43" t="s">
        <v>1542</v>
      </c>
      <c r="BA291" s="43" t="s">
        <v>1542</v>
      </c>
      <c r="BB291" s="46">
        <f t="shared" si="21"/>
        <v>0</v>
      </c>
      <c r="BC291" s="44" t="s">
        <v>1542</v>
      </c>
      <c r="BD291" s="44" t="s">
        <v>1542</v>
      </c>
      <c r="BE291" s="44" t="s">
        <v>1542</v>
      </c>
      <c r="BF291" s="44" t="s">
        <v>1542</v>
      </c>
      <c r="BG291" s="44" t="s">
        <v>1542</v>
      </c>
      <c r="BH291" s="44" t="s">
        <v>1542</v>
      </c>
      <c r="BI291" s="44" t="s">
        <v>1542</v>
      </c>
      <c r="BJ291" s="44" t="s">
        <v>1542</v>
      </c>
      <c r="BK291" s="44" t="s">
        <v>1542</v>
      </c>
      <c r="BL291" s="44" t="s">
        <v>1542</v>
      </c>
      <c r="BM291" s="44" t="s">
        <v>1542</v>
      </c>
      <c r="BN291" s="44" t="s">
        <v>1542</v>
      </c>
      <c r="BO291" s="46">
        <f t="shared" si="22"/>
        <v>0</v>
      </c>
      <c r="BP291" s="43" t="s">
        <v>1542</v>
      </c>
      <c r="BQ291" s="43" t="s">
        <v>1542</v>
      </c>
      <c r="BR291" s="43" t="s">
        <v>1542</v>
      </c>
      <c r="BS291" s="43" t="s">
        <v>1542</v>
      </c>
      <c r="BT291" s="43" t="s">
        <v>1542</v>
      </c>
      <c r="BU291" s="43" t="s">
        <v>1542</v>
      </c>
      <c r="BV291" s="43" t="s">
        <v>1542</v>
      </c>
      <c r="BW291" s="43" t="s">
        <v>1542</v>
      </c>
      <c r="BX291" s="43" t="s">
        <v>1542</v>
      </c>
      <c r="BY291" s="43" t="s">
        <v>1542</v>
      </c>
      <c r="BZ291" s="43" t="s">
        <v>1542</v>
      </c>
      <c r="CA291" s="43" t="s">
        <v>1542</v>
      </c>
    </row>
    <row r="292" spans="1:79">
      <c r="A292">
        <v>291</v>
      </c>
      <c r="B292">
        <v>1</v>
      </c>
      <c r="C292" t="s">
        <v>1532</v>
      </c>
      <c r="D292" t="s">
        <v>1533</v>
      </c>
      <c r="E292" t="s">
        <v>2843</v>
      </c>
      <c r="F292" t="s">
        <v>2844</v>
      </c>
      <c r="G292" t="s">
        <v>2862</v>
      </c>
      <c r="H292" t="s">
        <v>2862</v>
      </c>
      <c r="J292" t="s">
        <v>2863</v>
      </c>
      <c r="K292" t="s">
        <v>2864</v>
      </c>
      <c r="M292" s="1" t="s">
        <v>2865</v>
      </c>
      <c r="N292" t="s">
        <v>2866</v>
      </c>
      <c r="O292" s="46">
        <f t="shared" si="23"/>
        <v>0</v>
      </c>
      <c r="P292" s="43" t="s">
        <v>1542</v>
      </c>
      <c r="Q292" s="43" t="s">
        <v>1542</v>
      </c>
      <c r="R292" s="43" t="s">
        <v>1542</v>
      </c>
      <c r="S292" s="43" t="s">
        <v>1542</v>
      </c>
      <c r="T292" s="43" t="s">
        <v>1542</v>
      </c>
      <c r="U292" s="43" t="s">
        <v>1542</v>
      </c>
      <c r="V292" s="43" t="s">
        <v>1542</v>
      </c>
      <c r="W292" s="43" t="s">
        <v>1542</v>
      </c>
      <c r="X292" s="43" t="s">
        <v>1542</v>
      </c>
      <c r="Y292" s="43" t="s">
        <v>1542</v>
      </c>
      <c r="Z292" s="43" t="s">
        <v>1542</v>
      </c>
      <c r="AA292" s="43" t="s">
        <v>1542</v>
      </c>
      <c r="AB292" s="46">
        <f t="shared" si="24"/>
        <v>0</v>
      </c>
      <c r="AC292" s="44" t="s">
        <v>1542</v>
      </c>
      <c r="AD292" s="44" t="s">
        <v>1542</v>
      </c>
      <c r="AE292" s="44" t="s">
        <v>1542</v>
      </c>
      <c r="AF292" s="44" t="s">
        <v>1542</v>
      </c>
      <c r="AG292" s="44" t="s">
        <v>1542</v>
      </c>
      <c r="AH292" s="44" t="s">
        <v>1542</v>
      </c>
      <c r="AI292" s="44" t="s">
        <v>1542</v>
      </c>
      <c r="AJ292" s="44" t="s">
        <v>1542</v>
      </c>
      <c r="AK292" s="44" t="s">
        <v>1542</v>
      </c>
      <c r="AL292" s="44" t="s">
        <v>1542</v>
      </c>
      <c r="AM292" s="44" t="s">
        <v>1542</v>
      </c>
      <c r="AN292" s="44" t="s">
        <v>1542</v>
      </c>
      <c r="AO292" s="46">
        <f t="shared" si="20"/>
        <v>0</v>
      </c>
      <c r="AP292" s="43" t="s">
        <v>1542</v>
      </c>
      <c r="AQ292" s="43" t="s">
        <v>1542</v>
      </c>
      <c r="AR292" s="43" t="s">
        <v>1542</v>
      </c>
      <c r="AS292" s="43" t="s">
        <v>1542</v>
      </c>
      <c r="AT292" s="43" t="s">
        <v>1542</v>
      </c>
      <c r="AU292" s="43" t="s">
        <v>1542</v>
      </c>
      <c r="AV292" s="43" t="s">
        <v>1542</v>
      </c>
      <c r="AW292" s="43" t="s">
        <v>1542</v>
      </c>
      <c r="AX292" s="43" t="s">
        <v>1542</v>
      </c>
      <c r="AY292" s="43" t="s">
        <v>1542</v>
      </c>
      <c r="AZ292" s="43" t="s">
        <v>1542</v>
      </c>
      <c r="BA292" s="43" t="s">
        <v>1542</v>
      </c>
      <c r="BB292" s="46">
        <f t="shared" si="21"/>
        <v>0</v>
      </c>
      <c r="BC292" s="44" t="s">
        <v>1542</v>
      </c>
      <c r="BD292" s="44" t="s">
        <v>1542</v>
      </c>
      <c r="BE292" s="44" t="s">
        <v>1542</v>
      </c>
      <c r="BF292" s="44" t="s">
        <v>1542</v>
      </c>
      <c r="BG292" s="44" t="s">
        <v>1542</v>
      </c>
      <c r="BH292" s="44" t="s">
        <v>1542</v>
      </c>
      <c r="BI292" s="44" t="s">
        <v>1542</v>
      </c>
      <c r="BJ292" s="44" t="s">
        <v>1542</v>
      </c>
      <c r="BK292" s="44" t="s">
        <v>1542</v>
      </c>
      <c r="BL292" s="44" t="s">
        <v>1542</v>
      </c>
      <c r="BM292" s="44" t="s">
        <v>1542</v>
      </c>
      <c r="BN292" s="44" t="s">
        <v>1542</v>
      </c>
      <c r="BO292" s="46">
        <f t="shared" si="22"/>
        <v>0</v>
      </c>
      <c r="BP292" s="43" t="s">
        <v>1542</v>
      </c>
      <c r="BQ292" s="43" t="s">
        <v>1542</v>
      </c>
      <c r="BR292" s="43" t="s">
        <v>1542</v>
      </c>
      <c r="BS292" s="43" t="s">
        <v>1542</v>
      </c>
      <c r="BT292" s="43" t="s">
        <v>1542</v>
      </c>
      <c r="BU292" s="43" t="s">
        <v>1542</v>
      </c>
      <c r="BV292" s="43" t="s">
        <v>1542</v>
      </c>
      <c r="BW292" s="43" t="s">
        <v>1542</v>
      </c>
      <c r="BX292" s="43" t="s">
        <v>1542</v>
      </c>
      <c r="BY292" s="43" t="s">
        <v>1542</v>
      </c>
      <c r="BZ292" s="43" t="s">
        <v>1542</v>
      </c>
      <c r="CA292" s="43" t="s">
        <v>1542</v>
      </c>
    </row>
    <row r="293" spans="1:79">
      <c r="A293">
        <v>292</v>
      </c>
      <c r="C293" t="s">
        <v>1532</v>
      </c>
      <c r="D293" t="s">
        <v>1533</v>
      </c>
      <c r="E293" t="s">
        <v>2843</v>
      </c>
      <c r="F293" t="s">
        <v>2844</v>
      </c>
      <c r="G293" t="s">
        <v>2862</v>
      </c>
      <c r="H293" s="41" t="s">
        <v>2867</v>
      </c>
      <c r="I293" s="41" t="s">
        <v>2867</v>
      </c>
      <c r="J293" t="s">
        <v>2863</v>
      </c>
      <c r="K293" t="s">
        <v>2864</v>
      </c>
      <c r="M293" s="1" t="s">
        <v>2868</v>
      </c>
      <c r="N293" t="s">
        <v>2861</v>
      </c>
      <c r="O293" s="46">
        <f t="shared" si="23"/>
        <v>3</v>
      </c>
      <c r="P293" s="43" t="s">
        <v>1542</v>
      </c>
      <c r="Q293" s="43" t="s">
        <v>1542</v>
      </c>
      <c r="R293" s="43" t="s">
        <v>1542</v>
      </c>
      <c r="S293" s="43" t="s">
        <v>1542</v>
      </c>
      <c r="T293" s="43" t="s">
        <v>1542</v>
      </c>
      <c r="U293" s="43" t="s">
        <v>1542</v>
      </c>
      <c r="V293" s="43" t="s">
        <v>1542</v>
      </c>
      <c r="W293" s="43" t="s">
        <v>1542</v>
      </c>
      <c r="X293" s="43" t="s">
        <v>1542</v>
      </c>
      <c r="Y293" s="43" t="s">
        <v>1554</v>
      </c>
      <c r="Z293" s="43" t="s">
        <v>1554</v>
      </c>
      <c r="AA293" s="43" t="s">
        <v>1554</v>
      </c>
      <c r="AB293" s="46">
        <f t="shared" si="24"/>
        <v>0</v>
      </c>
      <c r="AC293" s="44" t="s">
        <v>1542</v>
      </c>
      <c r="AD293" s="44" t="s">
        <v>1542</v>
      </c>
      <c r="AE293" s="44" t="s">
        <v>1542</v>
      </c>
      <c r="AF293" s="44" t="s">
        <v>1542</v>
      </c>
      <c r="AG293" s="44" t="s">
        <v>1542</v>
      </c>
      <c r="AH293" s="44" t="s">
        <v>1542</v>
      </c>
      <c r="AI293" s="44" t="s">
        <v>1542</v>
      </c>
      <c r="AJ293" s="44" t="s">
        <v>1542</v>
      </c>
      <c r="AK293" s="44" t="s">
        <v>1542</v>
      </c>
      <c r="AL293" s="44" t="s">
        <v>1542</v>
      </c>
      <c r="AM293" s="44" t="s">
        <v>1542</v>
      </c>
      <c r="AN293" s="44" t="s">
        <v>1542</v>
      </c>
      <c r="AO293" s="46">
        <f t="shared" si="20"/>
        <v>0</v>
      </c>
      <c r="AP293" s="43" t="s">
        <v>1542</v>
      </c>
      <c r="AQ293" s="43" t="s">
        <v>1542</v>
      </c>
      <c r="AR293" s="43" t="s">
        <v>1542</v>
      </c>
      <c r="AS293" s="43" t="s">
        <v>1542</v>
      </c>
      <c r="AT293" s="43" t="s">
        <v>1542</v>
      </c>
      <c r="AU293" s="43" t="s">
        <v>1542</v>
      </c>
      <c r="AV293" s="43" t="s">
        <v>1542</v>
      </c>
      <c r="AW293" s="43" t="s">
        <v>1542</v>
      </c>
      <c r="AX293" s="43" t="s">
        <v>1542</v>
      </c>
      <c r="AY293" s="43" t="s">
        <v>1542</v>
      </c>
      <c r="AZ293" s="43" t="s">
        <v>1542</v>
      </c>
      <c r="BA293" s="43" t="s">
        <v>1542</v>
      </c>
      <c r="BB293" s="46">
        <f t="shared" si="21"/>
        <v>0</v>
      </c>
      <c r="BC293" s="44" t="s">
        <v>1542</v>
      </c>
      <c r="BD293" s="44" t="s">
        <v>1542</v>
      </c>
      <c r="BE293" s="44" t="s">
        <v>1542</v>
      </c>
      <c r="BF293" s="44" t="s">
        <v>1542</v>
      </c>
      <c r="BG293" s="44" t="s">
        <v>1542</v>
      </c>
      <c r="BH293" s="44" t="s">
        <v>1542</v>
      </c>
      <c r="BI293" s="44" t="s">
        <v>1542</v>
      </c>
      <c r="BJ293" s="44" t="s">
        <v>1542</v>
      </c>
      <c r="BK293" s="44" t="s">
        <v>1542</v>
      </c>
      <c r="BL293" s="44" t="s">
        <v>1542</v>
      </c>
      <c r="BM293" s="44" t="s">
        <v>1542</v>
      </c>
      <c r="BN293" s="44" t="s">
        <v>1542</v>
      </c>
      <c r="BO293" s="46">
        <f t="shared" si="22"/>
        <v>0</v>
      </c>
      <c r="BP293" s="43" t="s">
        <v>1542</v>
      </c>
      <c r="BQ293" s="43" t="s">
        <v>1542</v>
      </c>
      <c r="BR293" s="43" t="s">
        <v>1542</v>
      </c>
      <c r="BS293" s="43" t="s">
        <v>1542</v>
      </c>
      <c r="BT293" s="43" t="s">
        <v>1542</v>
      </c>
      <c r="BU293" s="43" t="s">
        <v>1542</v>
      </c>
      <c r="BV293" s="43" t="s">
        <v>1542</v>
      </c>
      <c r="BW293" s="43" t="s">
        <v>1542</v>
      </c>
      <c r="BX293" s="43" t="s">
        <v>1542</v>
      </c>
      <c r="BY293" s="43" t="s">
        <v>1542</v>
      </c>
      <c r="BZ293" s="43" t="s">
        <v>1542</v>
      </c>
      <c r="CA293" s="43" t="s">
        <v>1542</v>
      </c>
    </row>
    <row r="294" spans="1:79">
      <c r="A294">
        <v>293</v>
      </c>
      <c r="B294">
        <v>1</v>
      </c>
      <c r="C294" t="s">
        <v>1532</v>
      </c>
      <c r="D294" t="s">
        <v>1533</v>
      </c>
      <c r="E294" t="s">
        <v>2843</v>
      </c>
      <c r="F294" t="s">
        <v>2844</v>
      </c>
      <c r="G294" t="s">
        <v>2869</v>
      </c>
      <c r="H294" t="s">
        <v>2869</v>
      </c>
      <c r="J294" t="s">
        <v>2870</v>
      </c>
      <c r="K294" t="s">
        <v>2871</v>
      </c>
      <c r="M294" s="1" t="s">
        <v>2872</v>
      </c>
      <c r="N294" t="s">
        <v>2873</v>
      </c>
      <c r="O294" s="46">
        <f t="shared" si="23"/>
        <v>0</v>
      </c>
      <c r="P294" s="43" t="s">
        <v>1542</v>
      </c>
      <c r="Q294" s="43" t="s">
        <v>1542</v>
      </c>
      <c r="R294" s="43" t="s">
        <v>1542</v>
      </c>
      <c r="S294" s="43" t="s">
        <v>1542</v>
      </c>
      <c r="T294" s="43" t="s">
        <v>1542</v>
      </c>
      <c r="U294" s="43" t="s">
        <v>1542</v>
      </c>
      <c r="V294" s="43" t="s">
        <v>1542</v>
      </c>
      <c r="W294" s="43" t="s">
        <v>1542</v>
      </c>
      <c r="X294" s="43" t="s">
        <v>1542</v>
      </c>
      <c r="Y294" s="43" t="s">
        <v>1542</v>
      </c>
      <c r="Z294" s="43" t="s">
        <v>1542</v>
      </c>
      <c r="AA294" s="43" t="s">
        <v>1542</v>
      </c>
      <c r="AB294" s="46">
        <f t="shared" si="24"/>
        <v>0</v>
      </c>
      <c r="AC294" s="44" t="s">
        <v>1542</v>
      </c>
      <c r="AD294" s="44" t="s">
        <v>1542</v>
      </c>
      <c r="AE294" s="44" t="s">
        <v>1542</v>
      </c>
      <c r="AF294" s="44" t="s">
        <v>1542</v>
      </c>
      <c r="AG294" s="44" t="s">
        <v>1542</v>
      </c>
      <c r="AH294" s="44" t="s">
        <v>1542</v>
      </c>
      <c r="AI294" s="44" t="s">
        <v>1542</v>
      </c>
      <c r="AJ294" s="44" t="s">
        <v>1542</v>
      </c>
      <c r="AK294" s="44" t="s">
        <v>1542</v>
      </c>
      <c r="AL294" s="44" t="s">
        <v>1542</v>
      </c>
      <c r="AM294" s="44" t="s">
        <v>1542</v>
      </c>
      <c r="AN294" s="44" t="s">
        <v>1542</v>
      </c>
      <c r="AO294" s="46">
        <f t="shared" si="20"/>
        <v>0</v>
      </c>
      <c r="AP294" s="43" t="s">
        <v>1542</v>
      </c>
      <c r="AQ294" s="43" t="s">
        <v>1542</v>
      </c>
      <c r="AR294" s="43" t="s">
        <v>1542</v>
      </c>
      <c r="AS294" s="43" t="s">
        <v>1542</v>
      </c>
      <c r="AT294" s="43" t="s">
        <v>1542</v>
      </c>
      <c r="AU294" s="43" t="s">
        <v>1542</v>
      </c>
      <c r="AV294" s="43" t="s">
        <v>1542</v>
      </c>
      <c r="AW294" s="43" t="s">
        <v>1542</v>
      </c>
      <c r="AX294" s="43" t="s">
        <v>1542</v>
      </c>
      <c r="AY294" s="43" t="s">
        <v>1542</v>
      </c>
      <c r="AZ294" s="43" t="s">
        <v>1542</v>
      </c>
      <c r="BA294" s="43" t="s">
        <v>1542</v>
      </c>
      <c r="BB294" s="46">
        <f t="shared" si="21"/>
        <v>0</v>
      </c>
      <c r="BC294" s="44" t="s">
        <v>1542</v>
      </c>
      <c r="BD294" s="44" t="s">
        <v>1542</v>
      </c>
      <c r="BE294" s="44" t="s">
        <v>1542</v>
      </c>
      <c r="BF294" s="44" t="s">
        <v>1542</v>
      </c>
      <c r="BG294" s="44" t="s">
        <v>1542</v>
      </c>
      <c r="BH294" s="44" t="s">
        <v>1542</v>
      </c>
      <c r="BI294" s="44" t="s">
        <v>1542</v>
      </c>
      <c r="BJ294" s="44" t="s">
        <v>1542</v>
      </c>
      <c r="BK294" s="44" t="s">
        <v>1542</v>
      </c>
      <c r="BL294" s="44" t="s">
        <v>1542</v>
      </c>
      <c r="BM294" s="44" t="s">
        <v>1542</v>
      </c>
      <c r="BN294" s="44" t="s">
        <v>1542</v>
      </c>
      <c r="BO294" s="46">
        <f t="shared" si="22"/>
        <v>0</v>
      </c>
      <c r="BP294" s="43" t="s">
        <v>1542</v>
      </c>
      <c r="BQ294" s="43" t="s">
        <v>1542</v>
      </c>
      <c r="BR294" s="43" t="s">
        <v>1542</v>
      </c>
      <c r="BS294" s="43" t="s">
        <v>1542</v>
      </c>
      <c r="BT294" s="43" t="s">
        <v>1542</v>
      </c>
      <c r="BU294" s="43" t="s">
        <v>1542</v>
      </c>
      <c r="BV294" s="43" t="s">
        <v>1542</v>
      </c>
      <c r="BW294" s="43" t="s">
        <v>1542</v>
      </c>
      <c r="BX294" s="43" t="s">
        <v>1542</v>
      </c>
      <c r="BY294" s="43" t="s">
        <v>1542</v>
      </c>
      <c r="BZ294" s="43" t="s">
        <v>1542</v>
      </c>
      <c r="CA294" s="43" t="s">
        <v>1542</v>
      </c>
    </row>
    <row r="295" spans="1:79">
      <c r="A295">
        <v>294</v>
      </c>
      <c r="B295">
        <v>1</v>
      </c>
      <c r="C295" t="s">
        <v>1532</v>
      </c>
      <c r="D295" t="s">
        <v>1533</v>
      </c>
      <c r="E295" t="s">
        <v>2843</v>
      </c>
      <c r="F295" t="s">
        <v>2844</v>
      </c>
      <c r="G295" t="s">
        <v>2874</v>
      </c>
      <c r="H295" t="s">
        <v>2874</v>
      </c>
      <c r="J295" t="s">
        <v>2875</v>
      </c>
      <c r="K295" t="s">
        <v>2876</v>
      </c>
      <c r="M295" s="1" t="s">
        <v>2877</v>
      </c>
      <c r="N295" t="s">
        <v>2878</v>
      </c>
      <c r="O295" s="46">
        <f t="shared" si="23"/>
        <v>0</v>
      </c>
      <c r="P295" s="43" t="s">
        <v>1542</v>
      </c>
      <c r="Q295" s="43" t="s">
        <v>1542</v>
      </c>
      <c r="R295" s="43" t="s">
        <v>1542</v>
      </c>
      <c r="S295" s="43" t="s">
        <v>1542</v>
      </c>
      <c r="T295" s="43" t="s">
        <v>1542</v>
      </c>
      <c r="U295" s="43" t="s">
        <v>1542</v>
      </c>
      <c r="V295" s="43" t="s">
        <v>1542</v>
      </c>
      <c r="W295" s="43" t="s">
        <v>1542</v>
      </c>
      <c r="X295" s="43" t="s">
        <v>1542</v>
      </c>
      <c r="Y295" s="43" t="s">
        <v>1542</v>
      </c>
      <c r="Z295" s="43" t="s">
        <v>1542</v>
      </c>
      <c r="AA295" s="43" t="s">
        <v>1542</v>
      </c>
      <c r="AB295" s="46">
        <f t="shared" si="24"/>
        <v>0</v>
      </c>
      <c r="AC295" s="44" t="s">
        <v>1542</v>
      </c>
      <c r="AD295" s="44" t="s">
        <v>1542</v>
      </c>
      <c r="AE295" s="44" t="s">
        <v>1542</v>
      </c>
      <c r="AF295" s="44" t="s">
        <v>1542</v>
      </c>
      <c r="AG295" s="44" t="s">
        <v>1542</v>
      </c>
      <c r="AH295" s="44" t="s">
        <v>1542</v>
      </c>
      <c r="AI295" s="44" t="s">
        <v>1542</v>
      </c>
      <c r="AJ295" s="44" t="s">
        <v>1542</v>
      </c>
      <c r="AK295" s="44" t="s">
        <v>1542</v>
      </c>
      <c r="AL295" s="44" t="s">
        <v>1542</v>
      </c>
      <c r="AM295" s="44" t="s">
        <v>1542</v>
      </c>
      <c r="AN295" s="44" t="s">
        <v>1542</v>
      </c>
      <c r="AO295" s="46">
        <f t="shared" si="20"/>
        <v>0</v>
      </c>
      <c r="AP295" s="43" t="s">
        <v>1542</v>
      </c>
      <c r="AQ295" s="43" t="s">
        <v>1542</v>
      </c>
      <c r="AR295" s="43" t="s">
        <v>1542</v>
      </c>
      <c r="AS295" s="43" t="s">
        <v>1542</v>
      </c>
      <c r="AT295" s="43" t="s">
        <v>1542</v>
      </c>
      <c r="AU295" s="43" t="s">
        <v>1542</v>
      </c>
      <c r="AV295" s="43" t="s">
        <v>1542</v>
      </c>
      <c r="AW295" s="43" t="s">
        <v>1542</v>
      </c>
      <c r="AX295" s="43" t="s">
        <v>1542</v>
      </c>
      <c r="AY295" s="43" t="s">
        <v>1542</v>
      </c>
      <c r="AZ295" s="43" t="s">
        <v>1542</v>
      </c>
      <c r="BA295" s="43" t="s">
        <v>1542</v>
      </c>
      <c r="BB295" s="46">
        <f t="shared" si="21"/>
        <v>0</v>
      </c>
      <c r="BC295" s="44" t="s">
        <v>1542</v>
      </c>
      <c r="BD295" s="44" t="s">
        <v>1542</v>
      </c>
      <c r="BE295" s="44" t="s">
        <v>1542</v>
      </c>
      <c r="BF295" s="44" t="s">
        <v>1542</v>
      </c>
      <c r="BG295" s="44" t="s">
        <v>1542</v>
      </c>
      <c r="BH295" s="44" t="s">
        <v>1542</v>
      </c>
      <c r="BI295" s="44" t="s">
        <v>1542</v>
      </c>
      <c r="BJ295" s="44" t="s">
        <v>1542</v>
      </c>
      <c r="BK295" s="44" t="s">
        <v>1542</v>
      </c>
      <c r="BL295" s="44" t="s">
        <v>1542</v>
      </c>
      <c r="BM295" s="44" t="s">
        <v>1542</v>
      </c>
      <c r="BN295" s="44" t="s">
        <v>1542</v>
      </c>
      <c r="BO295" s="46">
        <f t="shared" si="22"/>
        <v>0</v>
      </c>
      <c r="BP295" s="43" t="s">
        <v>1542</v>
      </c>
      <c r="BQ295" s="43" t="s">
        <v>1542</v>
      </c>
      <c r="BR295" s="43" t="s">
        <v>1542</v>
      </c>
      <c r="BS295" s="43" t="s">
        <v>1542</v>
      </c>
      <c r="BT295" s="43" t="s">
        <v>1542</v>
      </c>
      <c r="BU295" s="43" t="s">
        <v>1542</v>
      </c>
      <c r="BV295" s="43" t="s">
        <v>1542</v>
      </c>
      <c r="BW295" s="43" t="s">
        <v>1542</v>
      </c>
      <c r="BX295" s="43" t="s">
        <v>1542</v>
      </c>
      <c r="BY295" s="43" t="s">
        <v>1542</v>
      </c>
      <c r="BZ295" s="43" t="s">
        <v>1542</v>
      </c>
      <c r="CA295" s="43" t="s">
        <v>1542</v>
      </c>
    </row>
    <row r="296" spans="1:79">
      <c r="A296">
        <v>295</v>
      </c>
      <c r="B296">
        <v>1</v>
      </c>
      <c r="C296" t="s">
        <v>1532</v>
      </c>
      <c r="D296" t="s">
        <v>1533</v>
      </c>
      <c r="E296" t="s">
        <v>2843</v>
      </c>
      <c r="F296" t="s">
        <v>2844</v>
      </c>
      <c r="G296" t="s">
        <v>2879</v>
      </c>
      <c r="H296" t="s">
        <v>2879</v>
      </c>
      <c r="J296" t="s">
        <v>2880</v>
      </c>
      <c r="K296" t="s">
        <v>2881</v>
      </c>
      <c r="M296" s="1" t="s">
        <v>2882</v>
      </c>
      <c r="N296" t="s">
        <v>2883</v>
      </c>
      <c r="O296" s="46">
        <f t="shared" si="23"/>
        <v>0</v>
      </c>
      <c r="P296" s="43" t="s">
        <v>1542</v>
      </c>
      <c r="Q296" s="43" t="s">
        <v>1542</v>
      </c>
      <c r="R296" s="43" t="s">
        <v>1542</v>
      </c>
      <c r="S296" s="43" t="s">
        <v>1542</v>
      </c>
      <c r="T296" s="43" t="s">
        <v>1542</v>
      </c>
      <c r="U296" s="43" t="s">
        <v>1542</v>
      </c>
      <c r="V296" s="43" t="s">
        <v>1542</v>
      </c>
      <c r="W296" s="43" t="s">
        <v>1542</v>
      </c>
      <c r="X296" s="43" t="s">
        <v>1542</v>
      </c>
      <c r="Y296" s="43" t="s">
        <v>1542</v>
      </c>
      <c r="Z296" s="43" t="s">
        <v>1542</v>
      </c>
      <c r="AA296" s="43" t="s">
        <v>1542</v>
      </c>
      <c r="AB296" s="46">
        <f t="shared" si="24"/>
        <v>1</v>
      </c>
      <c r="AC296" s="44" t="s">
        <v>1554</v>
      </c>
      <c r="AD296" s="44" t="s">
        <v>1542</v>
      </c>
      <c r="AE296" s="44" t="s">
        <v>1542</v>
      </c>
      <c r="AF296" s="44" t="s">
        <v>1542</v>
      </c>
      <c r="AG296" s="44" t="s">
        <v>1542</v>
      </c>
      <c r="AH296" s="44" t="s">
        <v>1542</v>
      </c>
      <c r="AI296" s="44" t="s">
        <v>1542</v>
      </c>
      <c r="AJ296" s="44" t="s">
        <v>1542</v>
      </c>
      <c r="AK296" s="44" t="s">
        <v>1542</v>
      </c>
      <c r="AL296" s="44" t="s">
        <v>1542</v>
      </c>
      <c r="AM296" s="44" t="s">
        <v>1542</v>
      </c>
      <c r="AN296" s="44" t="s">
        <v>1542</v>
      </c>
      <c r="AO296" s="46">
        <f t="shared" si="20"/>
        <v>1</v>
      </c>
      <c r="AP296" s="43" t="s">
        <v>1542</v>
      </c>
      <c r="AQ296" s="43" t="s">
        <v>1542</v>
      </c>
      <c r="AR296" s="43" t="s">
        <v>1542</v>
      </c>
      <c r="AS296" s="43" t="s">
        <v>1542</v>
      </c>
      <c r="AT296" s="43" t="s">
        <v>1542</v>
      </c>
      <c r="AU296" s="43" t="s">
        <v>1542</v>
      </c>
      <c r="AV296" s="43" t="s">
        <v>1542</v>
      </c>
      <c r="AW296" s="43" t="s">
        <v>1542</v>
      </c>
      <c r="AX296" s="43" t="s">
        <v>1542</v>
      </c>
      <c r="AY296" s="43" t="s">
        <v>1542</v>
      </c>
      <c r="AZ296" s="43" t="s">
        <v>1554</v>
      </c>
      <c r="BA296" s="43" t="s">
        <v>1554</v>
      </c>
      <c r="BB296" s="46">
        <f t="shared" si="21"/>
        <v>1</v>
      </c>
      <c r="BC296" s="44" t="s">
        <v>1542</v>
      </c>
      <c r="BD296" s="44" t="s">
        <v>1542</v>
      </c>
      <c r="BE296" s="44" t="s">
        <v>1542</v>
      </c>
      <c r="BF296" s="44" t="s">
        <v>1542</v>
      </c>
      <c r="BG296" s="44" t="s">
        <v>1542</v>
      </c>
      <c r="BH296" s="44" t="s">
        <v>1542</v>
      </c>
      <c r="BI296" s="44" t="s">
        <v>1542</v>
      </c>
      <c r="BJ296" s="44" t="s">
        <v>1542</v>
      </c>
      <c r="BK296" s="44" t="s">
        <v>1542</v>
      </c>
      <c r="BL296" s="44" t="s">
        <v>1542</v>
      </c>
      <c r="BM296" s="44" t="s">
        <v>1542</v>
      </c>
      <c r="BN296" s="44" t="s">
        <v>1542</v>
      </c>
      <c r="BO296" s="46">
        <f t="shared" si="22"/>
        <v>0</v>
      </c>
      <c r="BP296" s="43" t="s">
        <v>1542</v>
      </c>
      <c r="BQ296" s="43" t="s">
        <v>1542</v>
      </c>
      <c r="BR296" s="43" t="s">
        <v>1542</v>
      </c>
      <c r="BS296" s="43" t="s">
        <v>1542</v>
      </c>
      <c r="BT296" s="43" t="s">
        <v>1542</v>
      </c>
      <c r="BU296" s="43" t="s">
        <v>1542</v>
      </c>
      <c r="BV296" s="43" t="s">
        <v>1542</v>
      </c>
      <c r="BW296" s="43" t="s">
        <v>1542</v>
      </c>
      <c r="BX296" s="43" t="s">
        <v>1542</v>
      </c>
      <c r="BY296" s="43" t="s">
        <v>1542</v>
      </c>
      <c r="BZ296" s="43" t="s">
        <v>1542</v>
      </c>
      <c r="CA296" s="43" t="s">
        <v>1542</v>
      </c>
    </row>
    <row r="297" spans="1:79">
      <c r="A297">
        <v>296</v>
      </c>
      <c r="B297">
        <v>1</v>
      </c>
      <c r="C297" t="s">
        <v>1532</v>
      </c>
      <c r="D297" t="s">
        <v>1533</v>
      </c>
      <c r="E297" t="s">
        <v>2843</v>
      </c>
      <c r="F297" t="s">
        <v>2844</v>
      </c>
      <c r="G297" t="s">
        <v>2884</v>
      </c>
      <c r="H297" t="s">
        <v>2884</v>
      </c>
      <c r="J297" t="s">
        <v>2885</v>
      </c>
      <c r="K297" t="s">
        <v>2886</v>
      </c>
      <c r="M297" s="1" t="s">
        <v>2887</v>
      </c>
      <c r="N297" t="s">
        <v>2878</v>
      </c>
      <c r="O297" s="46">
        <f t="shared" si="23"/>
        <v>0</v>
      </c>
      <c r="P297" s="43" t="s">
        <v>1542</v>
      </c>
      <c r="Q297" s="43" t="s">
        <v>1542</v>
      </c>
      <c r="R297" s="43" t="s">
        <v>1542</v>
      </c>
      <c r="S297" s="43" t="s">
        <v>1542</v>
      </c>
      <c r="T297" s="43" t="s">
        <v>1542</v>
      </c>
      <c r="U297" s="43" t="s">
        <v>1542</v>
      </c>
      <c r="V297" s="43" t="s">
        <v>1542</v>
      </c>
      <c r="W297" s="43" t="s">
        <v>1542</v>
      </c>
      <c r="X297" s="43" t="s">
        <v>1542</v>
      </c>
      <c r="Y297" s="43" t="s">
        <v>1542</v>
      </c>
      <c r="Z297" s="43" t="s">
        <v>1542</v>
      </c>
      <c r="AA297" s="43" t="s">
        <v>1542</v>
      </c>
      <c r="AB297" s="46">
        <f t="shared" si="24"/>
        <v>0</v>
      </c>
      <c r="AC297" s="44" t="s">
        <v>1542</v>
      </c>
      <c r="AD297" s="44" t="s">
        <v>1542</v>
      </c>
      <c r="AE297" s="44" t="s">
        <v>1542</v>
      </c>
      <c r="AF297" s="44" t="s">
        <v>1542</v>
      </c>
      <c r="AG297" s="44" t="s">
        <v>1542</v>
      </c>
      <c r="AH297" s="44" t="s">
        <v>1542</v>
      </c>
      <c r="AI297" s="44" t="s">
        <v>1542</v>
      </c>
      <c r="AJ297" s="44" t="s">
        <v>1542</v>
      </c>
      <c r="AK297" s="44" t="s">
        <v>1542</v>
      </c>
      <c r="AL297" s="44" t="s">
        <v>1542</v>
      </c>
      <c r="AM297" s="44" t="s">
        <v>1542</v>
      </c>
      <c r="AN297" s="44" t="s">
        <v>1542</v>
      </c>
      <c r="AO297" s="46">
        <f t="shared" si="20"/>
        <v>0</v>
      </c>
      <c r="AP297" s="43" t="s">
        <v>1542</v>
      </c>
      <c r="AQ297" s="43" t="s">
        <v>1542</v>
      </c>
      <c r="AR297" s="43" t="s">
        <v>1542</v>
      </c>
      <c r="AS297" s="43" t="s">
        <v>1542</v>
      </c>
      <c r="AT297" s="43" t="s">
        <v>1542</v>
      </c>
      <c r="AU297" s="43" t="s">
        <v>1542</v>
      </c>
      <c r="AV297" s="43" t="s">
        <v>1542</v>
      </c>
      <c r="AW297" s="43" t="s">
        <v>1542</v>
      </c>
      <c r="AX297" s="43" t="s">
        <v>1542</v>
      </c>
      <c r="AY297" s="43" t="s">
        <v>1542</v>
      </c>
      <c r="AZ297" s="43" t="s">
        <v>1542</v>
      </c>
      <c r="BA297" s="43" t="s">
        <v>1542</v>
      </c>
      <c r="BB297" s="46">
        <f t="shared" si="21"/>
        <v>0</v>
      </c>
      <c r="BC297" s="44" t="s">
        <v>1542</v>
      </c>
      <c r="BD297" s="44" t="s">
        <v>1542</v>
      </c>
      <c r="BE297" s="44" t="s">
        <v>1542</v>
      </c>
      <c r="BF297" s="44" t="s">
        <v>1542</v>
      </c>
      <c r="BG297" s="44" t="s">
        <v>1542</v>
      </c>
      <c r="BH297" s="44" t="s">
        <v>1542</v>
      </c>
      <c r="BI297" s="44" t="s">
        <v>1542</v>
      </c>
      <c r="BJ297" s="44" t="s">
        <v>1542</v>
      </c>
      <c r="BK297" s="44" t="s">
        <v>1542</v>
      </c>
      <c r="BL297" s="44" t="s">
        <v>1542</v>
      </c>
      <c r="BM297" s="44" t="s">
        <v>1542</v>
      </c>
      <c r="BN297" s="44" t="s">
        <v>1542</v>
      </c>
      <c r="BO297" s="46">
        <f t="shared" si="22"/>
        <v>0</v>
      </c>
      <c r="BP297" s="43" t="s">
        <v>1542</v>
      </c>
      <c r="BQ297" s="43" t="s">
        <v>1542</v>
      </c>
      <c r="BR297" s="43" t="s">
        <v>1542</v>
      </c>
      <c r="BS297" s="43" t="s">
        <v>1542</v>
      </c>
      <c r="BT297" s="43" t="s">
        <v>1542</v>
      </c>
      <c r="BU297" s="43" t="s">
        <v>1542</v>
      </c>
      <c r="BV297" s="43" t="s">
        <v>1542</v>
      </c>
      <c r="BW297" s="43" t="s">
        <v>1542</v>
      </c>
      <c r="BX297" s="43" t="s">
        <v>1542</v>
      </c>
      <c r="BY297" s="43" t="s">
        <v>1542</v>
      </c>
      <c r="BZ297" s="43" t="s">
        <v>1542</v>
      </c>
      <c r="CA297" s="43" t="s">
        <v>1542</v>
      </c>
    </row>
    <row r="298" spans="1:79">
      <c r="A298">
        <v>297</v>
      </c>
      <c r="B298" t="s">
        <v>1543</v>
      </c>
      <c r="C298" t="s">
        <v>1532</v>
      </c>
      <c r="D298" t="s">
        <v>1533</v>
      </c>
      <c r="E298" t="s">
        <v>2843</v>
      </c>
      <c r="F298" t="s">
        <v>2844</v>
      </c>
      <c r="G298" t="s">
        <v>2888</v>
      </c>
      <c r="H298" t="s">
        <v>2888</v>
      </c>
      <c r="J298" t="s">
        <v>2889</v>
      </c>
      <c r="K298" t="s">
        <v>2890</v>
      </c>
      <c r="M298" s="1" t="s">
        <v>2891</v>
      </c>
      <c r="N298" t="s">
        <v>2892</v>
      </c>
      <c r="O298" s="46">
        <f t="shared" si="23"/>
        <v>0</v>
      </c>
      <c r="P298" s="43"/>
      <c r="Q298" s="43"/>
      <c r="R298" s="43"/>
      <c r="S298" s="43"/>
      <c r="T298" s="43"/>
      <c r="U298" s="43"/>
      <c r="V298" s="43"/>
      <c r="W298" s="43"/>
      <c r="X298" s="43"/>
      <c r="Y298" s="43"/>
      <c r="Z298" s="43"/>
      <c r="AA298" s="43"/>
      <c r="AB298" s="46">
        <f t="shared" si="24"/>
        <v>0</v>
      </c>
      <c r="AC298" s="44"/>
      <c r="AD298" s="44"/>
      <c r="AE298" s="44"/>
      <c r="AF298" s="44"/>
      <c r="AG298" s="44"/>
      <c r="AH298" s="44"/>
      <c r="AI298" s="44"/>
      <c r="AJ298" s="44"/>
      <c r="AK298" s="44"/>
      <c r="AL298" s="44"/>
      <c r="AM298" s="44"/>
      <c r="AN298" s="44"/>
      <c r="AO298" s="46">
        <f t="shared" si="20"/>
        <v>0</v>
      </c>
      <c r="AP298" s="43"/>
      <c r="AQ298" s="43"/>
      <c r="AR298" s="43"/>
      <c r="AS298" s="43"/>
      <c r="AT298" s="43"/>
      <c r="AU298" s="43"/>
      <c r="AV298" s="43"/>
      <c r="AW298" s="43"/>
      <c r="AX298" s="43"/>
      <c r="AY298" s="43"/>
      <c r="AZ298" s="43"/>
      <c r="BA298" s="43"/>
      <c r="BB298" s="46">
        <f t="shared" si="21"/>
        <v>0</v>
      </c>
      <c r="BC298" s="44"/>
      <c r="BD298" s="44"/>
      <c r="BE298" s="44"/>
      <c r="BF298" s="44"/>
      <c r="BG298" s="44"/>
      <c r="BH298" s="44"/>
      <c r="BI298" s="44"/>
      <c r="BJ298" s="44"/>
      <c r="BK298" s="44"/>
      <c r="BL298" s="44"/>
      <c r="BM298" s="44"/>
      <c r="BN298" s="44"/>
      <c r="BO298" s="46">
        <f t="shared" si="22"/>
        <v>0</v>
      </c>
      <c r="BP298" s="43"/>
      <c r="BQ298" s="43"/>
      <c r="BR298" s="43"/>
      <c r="BS298" s="43"/>
      <c r="BT298" s="43"/>
      <c r="BU298" s="43"/>
      <c r="BV298" s="43"/>
      <c r="BW298" s="43"/>
      <c r="BX298" s="43"/>
      <c r="BY298" s="43"/>
      <c r="BZ298" s="43"/>
      <c r="CA298" s="43"/>
    </row>
    <row r="299" spans="1:79">
      <c r="A299">
        <v>298</v>
      </c>
      <c r="B299" t="s">
        <v>1543</v>
      </c>
      <c r="C299" t="s">
        <v>1532</v>
      </c>
      <c r="D299" t="s">
        <v>1533</v>
      </c>
      <c r="E299" t="s">
        <v>2843</v>
      </c>
      <c r="F299" t="s">
        <v>2844</v>
      </c>
      <c r="G299" t="s">
        <v>2893</v>
      </c>
      <c r="H299" t="s">
        <v>2893</v>
      </c>
      <c r="J299" t="s">
        <v>2894</v>
      </c>
      <c r="K299" t="s">
        <v>2895</v>
      </c>
      <c r="M299" s="1" t="s">
        <v>2896</v>
      </c>
      <c r="N299" t="s">
        <v>2897</v>
      </c>
      <c r="O299" s="46">
        <f t="shared" si="23"/>
        <v>0</v>
      </c>
      <c r="P299" s="43"/>
      <c r="Q299" s="43"/>
      <c r="R299" s="43"/>
      <c r="S299" s="43"/>
      <c r="T299" s="43"/>
      <c r="U299" s="43"/>
      <c r="V299" s="43"/>
      <c r="W299" s="43"/>
      <c r="X299" s="43"/>
      <c r="Y299" s="43"/>
      <c r="Z299" s="43"/>
      <c r="AA299" s="43"/>
      <c r="AB299" s="46">
        <f t="shared" si="24"/>
        <v>4</v>
      </c>
      <c r="AC299" s="44" t="s">
        <v>1554</v>
      </c>
      <c r="AD299" s="44" t="s">
        <v>1554</v>
      </c>
      <c r="AE299" s="44" t="s">
        <v>1554</v>
      </c>
      <c r="AF299" s="44" t="s">
        <v>1554</v>
      </c>
      <c r="AG299" s="44"/>
      <c r="AH299" s="44"/>
      <c r="AI299" s="44"/>
      <c r="AJ299" s="44"/>
      <c r="AK299" s="44"/>
      <c r="AL299" s="44"/>
      <c r="AM299" s="44"/>
      <c r="AN299" s="44"/>
      <c r="AO299" s="46">
        <f t="shared" si="20"/>
        <v>4</v>
      </c>
      <c r="AP299" s="43" t="s">
        <v>1554</v>
      </c>
      <c r="AQ299" s="43" t="s">
        <v>1554</v>
      </c>
      <c r="AR299" s="43" t="s">
        <v>1554</v>
      </c>
      <c r="AS299" s="43" t="s">
        <v>1554</v>
      </c>
      <c r="AT299" s="43" t="s">
        <v>1554</v>
      </c>
      <c r="AU299" s="43" t="s">
        <v>1554</v>
      </c>
      <c r="AV299" s="43" t="s">
        <v>1554</v>
      </c>
      <c r="AW299" s="43" t="s">
        <v>1554</v>
      </c>
      <c r="AX299" s="43" t="s">
        <v>1554</v>
      </c>
      <c r="AY299" s="43" t="s">
        <v>1554</v>
      </c>
      <c r="AZ299" s="43" t="s">
        <v>1554</v>
      </c>
      <c r="BA299" s="43" t="s">
        <v>1554</v>
      </c>
      <c r="BB299" s="46">
        <f t="shared" si="21"/>
        <v>11</v>
      </c>
      <c r="BC299" s="44" t="s">
        <v>1554</v>
      </c>
      <c r="BD299" s="44" t="s">
        <v>1554</v>
      </c>
      <c r="BE299" s="44" t="s">
        <v>1554</v>
      </c>
      <c r="BF299" s="44" t="s">
        <v>1554</v>
      </c>
      <c r="BG299" s="44" t="s">
        <v>1554</v>
      </c>
      <c r="BH299" s="44" t="s">
        <v>1554</v>
      </c>
      <c r="BI299" s="44" t="s">
        <v>1554</v>
      </c>
      <c r="BJ299" s="44" t="s">
        <v>1554</v>
      </c>
      <c r="BK299" s="44" t="s">
        <v>1554</v>
      </c>
      <c r="BL299" s="44" t="s">
        <v>1554</v>
      </c>
      <c r="BM299" s="44" t="s">
        <v>1554</v>
      </c>
      <c r="BN299" s="44" t="s">
        <v>1554</v>
      </c>
      <c r="BO299" s="46">
        <f t="shared" si="22"/>
        <v>11</v>
      </c>
      <c r="BP299" s="43" t="s">
        <v>1554</v>
      </c>
      <c r="BQ299" s="43" t="s">
        <v>1554</v>
      </c>
      <c r="BR299" s="43" t="s">
        <v>1554</v>
      </c>
      <c r="BS299" s="43" t="s">
        <v>1554</v>
      </c>
      <c r="BT299" s="43" t="s">
        <v>1554</v>
      </c>
      <c r="BU299" s="43" t="s">
        <v>1554</v>
      </c>
      <c r="BV299" s="43" t="s">
        <v>1554</v>
      </c>
      <c r="BW299" s="43" t="s">
        <v>1554</v>
      </c>
      <c r="BX299" s="43" t="s">
        <v>1554</v>
      </c>
      <c r="BY299" s="43" t="s">
        <v>1554</v>
      </c>
      <c r="BZ299" s="43" t="s">
        <v>1554</v>
      </c>
      <c r="CA299" s="43" t="s">
        <v>1554</v>
      </c>
    </row>
    <row r="300" spans="1:79">
      <c r="A300">
        <v>299</v>
      </c>
      <c r="B300">
        <v>1</v>
      </c>
      <c r="C300" t="s">
        <v>1532</v>
      </c>
      <c r="D300" t="s">
        <v>1533</v>
      </c>
      <c r="E300" t="s">
        <v>2843</v>
      </c>
      <c r="F300" t="s">
        <v>2844</v>
      </c>
      <c r="G300" t="s">
        <v>2898</v>
      </c>
      <c r="H300" t="s">
        <v>2898</v>
      </c>
      <c r="J300" t="s">
        <v>2899</v>
      </c>
      <c r="K300" t="s">
        <v>2900</v>
      </c>
      <c r="M300" s="1" t="s">
        <v>2901</v>
      </c>
      <c r="N300" t="s">
        <v>2902</v>
      </c>
      <c r="O300" s="46">
        <f t="shared" si="23"/>
        <v>0</v>
      </c>
      <c r="P300" s="43" t="s">
        <v>1542</v>
      </c>
      <c r="Q300" s="43" t="s">
        <v>1542</v>
      </c>
      <c r="R300" s="43" t="s">
        <v>1542</v>
      </c>
      <c r="S300" s="43" t="s">
        <v>1542</v>
      </c>
      <c r="T300" s="43" t="s">
        <v>1542</v>
      </c>
      <c r="U300" s="43" t="s">
        <v>1542</v>
      </c>
      <c r="V300" s="43" t="s">
        <v>1542</v>
      </c>
      <c r="W300" s="43" t="s">
        <v>1542</v>
      </c>
      <c r="X300" s="43" t="s">
        <v>1542</v>
      </c>
      <c r="Y300" s="43" t="s">
        <v>1542</v>
      </c>
      <c r="Z300" s="43" t="s">
        <v>1542</v>
      </c>
      <c r="AA300" s="43" t="s">
        <v>1542</v>
      </c>
      <c r="AB300" s="46">
        <f t="shared" si="24"/>
        <v>0</v>
      </c>
      <c r="AC300" s="44" t="s">
        <v>1542</v>
      </c>
      <c r="AD300" s="44" t="s">
        <v>1542</v>
      </c>
      <c r="AE300" s="44" t="s">
        <v>1542</v>
      </c>
      <c r="AF300" s="44" t="s">
        <v>1542</v>
      </c>
      <c r="AG300" s="44" t="s">
        <v>1542</v>
      </c>
      <c r="AH300" s="44" t="s">
        <v>1542</v>
      </c>
      <c r="AI300" s="44" t="s">
        <v>1542</v>
      </c>
      <c r="AJ300" s="44" t="s">
        <v>1542</v>
      </c>
      <c r="AK300" s="44" t="s">
        <v>1542</v>
      </c>
      <c r="AL300" s="44" t="s">
        <v>1542</v>
      </c>
      <c r="AM300" s="44" t="s">
        <v>1542</v>
      </c>
      <c r="AN300" s="44" t="s">
        <v>1542</v>
      </c>
      <c r="AO300" s="46">
        <f t="shared" si="20"/>
        <v>0</v>
      </c>
      <c r="AP300" s="43" t="s">
        <v>1542</v>
      </c>
      <c r="AQ300" s="43" t="s">
        <v>1542</v>
      </c>
      <c r="AR300" s="43" t="s">
        <v>1542</v>
      </c>
      <c r="AS300" s="43" t="s">
        <v>1542</v>
      </c>
      <c r="AT300" s="43" t="s">
        <v>1542</v>
      </c>
      <c r="AU300" s="43" t="s">
        <v>1542</v>
      </c>
      <c r="AV300" s="43" t="s">
        <v>1542</v>
      </c>
      <c r="AW300" s="43" t="s">
        <v>1542</v>
      </c>
      <c r="AX300" s="43" t="s">
        <v>1542</v>
      </c>
      <c r="AY300" s="43" t="s">
        <v>1542</v>
      </c>
      <c r="AZ300" s="43" t="s">
        <v>1542</v>
      </c>
      <c r="BA300" s="43" t="s">
        <v>1542</v>
      </c>
      <c r="BB300" s="46">
        <f t="shared" si="21"/>
        <v>0</v>
      </c>
      <c r="BC300" s="44" t="s">
        <v>1542</v>
      </c>
      <c r="BD300" s="44" t="s">
        <v>1542</v>
      </c>
      <c r="BE300" s="44" t="s">
        <v>1542</v>
      </c>
      <c r="BF300" s="44" t="s">
        <v>1542</v>
      </c>
      <c r="BG300" s="44" t="s">
        <v>1542</v>
      </c>
      <c r="BH300" s="44" t="s">
        <v>1542</v>
      </c>
      <c r="BI300" s="44" t="s">
        <v>1542</v>
      </c>
      <c r="BJ300" s="44" t="s">
        <v>1542</v>
      </c>
      <c r="BK300" s="44" t="s">
        <v>1542</v>
      </c>
      <c r="BL300" s="44" t="s">
        <v>1542</v>
      </c>
      <c r="BM300" s="44" t="s">
        <v>1542</v>
      </c>
      <c r="BN300" s="44" t="s">
        <v>1542</v>
      </c>
      <c r="BO300" s="46">
        <f t="shared" si="22"/>
        <v>0</v>
      </c>
      <c r="BP300" s="43" t="s">
        <v>1554</v>
      </c>
      <c r="BQ300" s="43" t="s">
        <v>1542</v>
      </c>
      <c r="BR300" s="43" t="s">
        <v>1542</v>
      </c>
      <c r="BS300" s="43" t="s">
        <v>1542</v>
      </c>
      <c r="BT300" s="43" t="s">
        <v>1542</v>
      </c>
      <c r="BU300" s="43" t="s">
        <v>1542</v>
      </c>
      <c r="BV300" s="43" t="s">
        <v>1542</v>
      </c>
      <c r="BW300" s="43" t="s">
        <v>1542</v>
      </c>
      <c r="BX300" s="43" t="s">
        <v>1542</v>
      </c>
      <c r="BY300" s="43" t="s">
        <v>1542</v>
      </c>
      <c r="BZ300" s="43" t="s">
        <v>1542</v>
      </c>
      <c r="CA300" s="43" t="s">
        <v>1542</v>
      </c>
    </row>
    <row r="301" spans="1:79">
      <c r="A301">
        <v>300</v>
      </c>
      <c r="B301">
        <v>1</v>
      </c>
      <c r="C301" t="s">
        <v>1532</v>
      </c>
      <c r="D301" t="s">
        <v>1533</v>
      </c>
      <c r="E301" t="s">
        <v>2843</v>
      </c>
      <c r="F301" t="s">
        <v>2844</v>
      </c>
      <c r="G301" t="s">
        <v>2903</v>
      </c>
      <c r="H301" t="s">
        <v>2903</v>
      </c>
      <c r="J301" t="s">
        <v>2904</v>
      </c>
      <c r="K301" t="s">
        <v>2905</v>
      </c>
      <c r="M301" s="1" t="s">
        <v>2906</v>
      </c>
      <c r="O301" s="46">
        <f t="shared" si="23"/>
        <v>0</v>
      </c>
      <c r="P301" s="43" t="s">
        <v>1542</v>
      </c>
      <c r="Q301" s="43" t="s">
        <v>1542</v>
      </c>
      <c r="R301" s="43" t="s">
        <v>1542</v>
      </c>
      <c r="S301" s="43" t="s">
        <v>1542</v>
      </c>
      <c r="T301" s="43" t="s">
        <v>1542</v>
      </c>
      <c r="U301" s="43" t="s">
        <v>1542</v>
      </c>
      <c r="V301" s="43" t="s">
        <v>1542</v>
      </c>
      <c r="W301" s="43" t="s">
        <v>1542</v>
      </c>
      <c r="X301" s="43" t="s">
        <v>1542</v>
      </c>
      <c r="Y301" s="43" t="s">
        <v>1542</v>
      </c>
      <c r="Z301" s="43" t="s">
        <v>1542</v>
      </c>
      <c r="AA301" s="43" t="s">
        <v>1542</v>
      </c>
      <c r="AB301" s="46">
        <f t="shared" si="24"/>
        <v>0</v>
      </c>
      <c r="AC301" s="44" t="s">
        <v>1542</v>
      </c>
      <c r="AD301" s="44" t="s">
        <v>1542</v>
      </c>
      <c r="AE301" s="44" t="s">
        <v>1542</v>
      </c>
      <c r="AF301" s="44" t="s">
        <v>1542</v>
      </c>
      <c r="AG301" s="44" t="s">
        <v>1542</v>
      </c>
      <c r="AH301" s="44" t="s">
        <v>1542</v>
      </c>
      <c r="AI301" s="44" t="s">
        <v>1542</v>
      </c>
      <c r="AJ301" s="44" t="s">
        <v>1542</v>
      </c>
      <c r="AK301" s="44" t="s">
        <v>1542</v>
      </c>
      <c r="AL301" s="44" t="s">
        <v>1542</v>
      </c>
      <c r="AM301" s="44" t="s">
        <v>1542</v>
      </c>
      <c r="AN301" s="44" t="s">
        <v>1542</v>
      </c>
      <c r="AO301" s="46">
        <f t="shared" si="20"/>
        <v>0</v>
      </c>
      <c r="AP301" s="43" t="s">
        <v>1542</v>
      </c>
      <c r="AQ301" s="43" t="s">
        <v>1542</v>
      </c>
      <c r="AR301" s="43" t="s">
        <v>1542</v>
      </c>
      <c r="AS301" s="43" t="s">
        <v>1542</v>
      </c>
      <c r="AT301" s="43" t="s">
        <v>1542</v>
      </c>
      <c r="AU301" s="43" t="s">
        <v>1542</v>
      </c>
      <c r="AV301" s="43" t="s">
        <v>1542</v>
      </c>
      <c r="AW301" s="43" t="s">
        <v>1542</v>
      </c>
      <c r="AX301" s="43" t="s">
        <v>1542</v>
      </c>
      <c r="AY301" s="43" t="s">
        <v>1542</v>
      </c>
      <c r="AZ301" s="43" t="s">
        <v>1542</v>
      </c>
      <c r="BA301" s="43" t="s">
        <v>1542</v>
      </c>
      <c r="BB301" s="46">
        <f t="shared" si="21"/>
        <v>0</v>
      </c>
      <c r="BC301" s="44" t="s">
        <v>1542</v>
      </c>
      <c r="BD301" s="44" t="s">
        <v>1542</v>
      </c>
      <c r="BE301" s="44" t="s">
        <v>1542</v>
      </c>
      <c r="BF301" s="44" t="s">
        <v>1542</v>
      </c>
      <c r="BG301" s="44" t="s">
        <v>1542</v>
      </c>
      <c r="BH301" s="44" t="s">
        <v>1542</v>
      </c>
      <c r="BI301" s="44" t="s">
        <v>1542</v>
      </c>
      <c r="BJ301" s="44" t="s">
        <v>1542</v>
      </c>
      <c r="BK301" s="44" t="s">
        <v>1542</v>
      </c>
      <c r="BL301" s="44" t="s">
        <v>1542</v>
      </c>
      <c r="BM301" s="44" t="s">
        <v>1542</v>
      </c>
      <c r="BN301" s="44" t="s">
        <v>1542</v>
      </c>
      <c r="BO301" s="46">
        <f t="shared" si="22"/>
        <v>0</v>
      </c>
      <c r="BP301" s="43" t="s">
        <v>1542</v>
      </c>
      <c r="BQ301" s="43" t="s">
        <v>1542</v>
      </c>
      <c r="BR301" s="43" t="s">
        <v>1542</v>
      </c>
      <c r="BS301" s="43" t="s">
        <v>1542</v>
      </c>
      <c r="BT301" s="43" t="s">
        <v>1542</v>
      </c>
      <c r="BU301" s="43" t="s">
        <v>1542</v>
      </c>
      <c r="BV301" s="43" t="s">
        <v>1542</v>
      </c>
      <c r="BW301" s="43" t="s">
        <v>1542</v>
      </c>
      <c r="BX301" s="43" t="s">
        <v>1542</v>
      </c>
      <c r="BY301" s="43" t="s">
        <v>1542</v>
      </c>
      <c r="BZ301" s="43" t="s">
        <v>1542</v>
      </c>
      <c r="CA301" s="43" t="s">
        <v>1542</v>
      </c>
    </row>
    <row r="302" spans="1:79">
      <c r="A302">
        <v>301</v>
      </c>
      <c r="B302" t="s">
        <v>1543</v>
      </c>
      <c r="C302" t="s">
        <v>1532</v>
      </c>
      <c r="D302" t="s">
        <v>1533</v>
      </c>
      <c r="E302" t="s">
        <v>2843</v>
      </c>
      <c r="F302" t="s">
        <v>2844</v>
      </c>
      <c r="G302" t="s">
        <v>2907</v>
      </c>
      <c r="H302" t="s">
        <v>2907</v>
      </c>
      <c r="J302" t="s">
        <v>2908</v>
      </c>
      <c r="K302" t="s">
        <v>2909</v>
      </c>
      <c r="M302" s="1" t="s">
        <v>2910</v>
      </c>
      <c r="N302" t="s">
        <v>2911</v>
      </c>
      <c r="O302" s="46">
        <f t="shared" si="23"/>
        <v>0</v>
      </c>
      <c r="P302" s="43"/>
      <c r="Q302" s="43"/>
      <c r="R302" s="43"/>
      <c r="S302" s="43"/>
      <c r="T302" s="43"/>
      <c r="U302" s="43"/>
      <c r="V302" s="43"/>
      <c r="W302" s="43"/>
      <c r="X302" s="43"/>
      <c r="Y302" s="43"/>
      <c r="Z302" s="43"/>
      <c r="AA302" s="43"/>
      <c r="AB302" s="46">
        <f t="shared" si="24"/>
        <v>0</v>
      </c>
      <c r="AC302" s="44"/>
      <c r="AD302" s="44"/>
      <c r="AE302" s="44"/>
      <c r="AF302" s="44"/>
      <c r="AG302" s="44"/>
      <c r="AH302" s="44"/>
      <c r="AI302" s="44"/>
      <c r="AJ302" s="44"/>
      <c r="AK302" s="44"/>
      <c r="AL302" s="44"/>
      <c r="AM302" s="44"/>
      <c r="AN302" s="44"/>
      <c r="AO302" s="46">
        <f t="shared" si="20"/>
        <v>0</v>
      </c>
      <c r="AP302" s="43"/>
      <c r="AQ302" s="43"/>
      <c r="AR302" s="43"/>
      <c r="AS302" s="43"/>
      <c r="AT302" s="43"/>
      <c r="AU302" s="43"/>
      <c r="AV302" s="43"/>
      <c r="AW302" s="43"/>
      <c r="AX302" s="43"/>
      <c r="AY302" s="43"/>
      <c r="AZ302" s="43"/>
      <c r="BA302" s="43"/>
      <c r="BB302" s="46">
        <f t="shared" si="21"/>
        <v>0</v>
      </c>
      <c r="BC302" s="44"/>
      <c r="BD302" s="44"/>
      <c r="BE302" s="44"/>
      <c r="BF302" s="44"/>
      <c r="BG302" s="44"/>
      <c r="BH302" s="44"/>
      <c r="BI302" s="44"/>
      <c r="BJ302" s="44"/>
      <c r="BK302" s="44"/>
      <c r="BL302" s="44"/>
      <c r="BM302" s="44"/>
      <c r="BN302" s="44"/>
      <c r="BO302" s="46">
        <f t="shared" si="22"/>
        <v>0</v>
      </c>
      <c r="BP302" s="43"/>
      <c r="BQ302" s="43"/>
      <c r="BR302" s="43"/>
      <c r="BS302" s="43"/>
      <c r="BT302" s="43"/>
      <c r="BU302" s="43"/>
      <c r="BV302" s="43"/>
      <c r="BW302" s="43"/>
      <c r="BX302" s="43"/>
      <c r="BY302" s="43"/>
      <c r="BZ302" s="43"/>
      <c r="CA302" s="43"/>
    </row>
    <row r="303" spans="1:79">
      <c r="A303">
        <v>302</v>
      </c>
      <c r="B303">
        <v>1</v>
      </c>
      <c r="C303" t="s">
        <v>1532</v>
      </c>
      <c r="D303" t="s">
        <v>1533</v>
      </c>
      <c r="E303" t="s">
        <v>2843</v>
      </c>
      <c r="F303" t="s">
        <v>2844</v>
      </c>
      <c r="G303" t="s">
        <v>2912</v>
      </c>
      <c r="H303" t="s">
        <v>2912</v>
      </c>
      <c r="J303" t="s">
        <v>2913</v>
      </c>
      <c r="K303" t="s">
        <v>2914</v>
      </c>
      <c r="M303" s="1" t="s">
        <v>2915</v>
      </c>
      <c r="N303" t="s">
        <v>2916</v>
      </c>
      <c r="O303" s="46">
        <f t="shared" si="23"/>
        <v>0</v>
      </c>
      <c r="P303" s="43" t="s">
        <v>1542</v>
      </c>
      <c r="Q303" s="43" t="s">
        <v>1542</v>
      </c>
      <c r="R303" s="43" t="s">
        <v>1542</v>
      </c>
      <c r="S303" s="43" t="s">
        <v>1542</v>
      </c>
      <c r="T303" s="43" t="s">
        <v>1542</v>
      </c>
      <c r="U303" s="43" t="s">
        <v>1542</v>
      </c>
      <c r="V303" s="43" t="s">
        <v>1542</v>
      </c>
      <c r="W303" s="43" t="s">
        <v>1542</v>
      </c>
      <c r="X303" s="43" t="s">
        <v>1542</v>
      </c>
      <c r="Y303" s="43" t="s">
        <v>1542</v>
      </c>
      <c r="Z303" s="43" t="s">
        <v>1542</v>
      </c>
      <c r="AA303" s="43" t="s">
        <v>1542</v>
      </c>
      <c r="AB303" s="46">
        <f t="shared" si="24"/>
        <v>0</v>
      </c>
      <c r="AC303" s="44" t="s">
        <v>1542</v>
      </c>
      <c r="AD303" s="44" t="s">
        <v>1542</v>
      </c>
      <c r="AE303" s="44" t="s">
        <v>1542</v>
      </c>
      <c r="AF303" s="44" t="s">
        <v>1542</v>
      </c>
      <c r="AG303" s="44" t="s">
        <v>1542</v>
      </c>
      <c r="AH303" s="44" t="s">
        <v>1542</v>
      </c>
      <c r="AI303" s="44" t="s">
        <v>1542</v>
      </c>
      <c r="AJ303" s="44" t="s">
        <v>1542</v>
      </c>
      <c r="AK303" s="44" t="s">
        <v>1542</v>
      </c>
      <c r="AL303" s="44" t="s">
        <v>1542</v>
      </c>
      <c r="AM303" s="44" t="s">
        <v>1542</v>
      </c>
      <c r="AN303" s="44" t="s">
        <v>1542</v>
      </c>
      <c r="AO303" s="46">
        <f t="shared" si="20"/>
        <v>0</v>
      </c>
      <c r="AP303" s="43" t="s">
        <v>1542</v>
      </c>
      <c r="AQ303" s="43" t="s">
        <v>1542</v>
      </c>
      <c r="AR303" s="43" t="s">
        <v>1542</v>
      </c>
      <c r="AS303" s="43" t="s">
        <v>1542</v>
      </c>
      <c r="AT303" s="43" t="s">
        <v>1542</v>
      </c>
      <c r="AU303" s="43" t="s">
        <v>1542</v>
      </c>
      <c r="AV303" s="43" t="s">
        <v>1542</v>
      </c>
      <c r="AW303" s="43" t="s">
        <v>1542</v>
      </c>
      <c r="AX303" s="43" t="s">
        <v>1542</v>
      </c>
      <c r="AY303" s="43" t="s">
        <v>1542</v>
      </c>
      <c r="AZ303" s="43" t="s">
        <v>1542</v>
      </c>
      <c r="BA303" s="43" t="s">
        <v>1542</v>
      </c>
      <c r="BB303" s="46">
        <f t="shared" si="21"/>
        <v>0</v>
      </c>
      <c r="BC303" s="44" t="s">
        <v>1542</v>
      </c>
      <c r="BD303" s="44" t="s">
        <v>1542</v>
      </c>
      <c r="BE303" s="44" t="s">
        <v>1542</v>
      </c>
      <c r="BF303" s="44" t="s">
        <v>1542</v>
      </c>
      <c r="BG303" s="44" t="s">
        <v>1542</v>
      </c>
      <c r="BH303" s="44" t="s">
        <v>1542</v>
      </c>
      <c r="BI303" s="44" t="s">
        <v>1542</v>
      </c>
      <c r="BJ303" s="44" t="s">
        <v>1542</v>
      </c>
      <c r="BK303" s="44" t="s">
        <v>1542</v>
      </c>
      <c r="BL303" s="44" t="s">
        <v>1542</v>
      </c>
      <c r="BM303" s="44" t="s">
        <v>1542</v>
      </c>
      <c r="BN303" s="44" t="s">
        <v>1542</v>
      </c>
      <c r="BO303" s="46">
        <f t="shared" si="22"/>
        <v>0</v>
      </c>
      <c r="BP303" s="43" t="s">
        <v>1542</v>
      </c>
      <c r="BQ303" s="43" t="s">
        <v>1542</v>
      </c>
      <c r="BR303" s="43" t="s">
        <v>1542</v>
      </c>
      <c r="BS303" s="43" t="s">
        <v>1542</v>
      </c>
      <c r="BT303" s="43" t="s">
        <v>1542</v>
      </c>
      <c r="BU303" s="43" t="s">
        <v>1542</v>
      </c>
      <c r="BV303" s="43" t="s">
        <v>1542</v>
      </c>
      <c r="BW303" s="43" t="s">
        <v>1542</v>
      </c>
      <c r="BX303" s="43" t="s">
        <v>1542</v>
      </c>
      <c r="BY303" s="43" t="s">
        <v>1542</v>
      </c>
      <c r="BZ303" s="43" t="s">
        <v>1542</v>
      </c>
      <c r="CA303" s="43" t="s">
        <v>1542</v>
      </c>
    </row>
    <row r="304" spans="1:79">
      <c r="A304">
        <v>303</v>
      </c>
      <c r="B304">
        <v>1</v>
      </c>
      <c r="C304" t="s">
        <v>1532</v>
      </c>
      <c r="D304" t="s">
        <v>1533</v>
      </c>
      <c r="E304" t="s">
        <v>2843</v>
      </c>
      <c r="F304" t="s">
        <v>2844</v>
      </c>
      <c r="G304" t="s">
        <v>2917</v>
      </c>
      <c r="H304" t="s">
        <v>2917</v>
      </c>
      <c r="J304" t="s">
        <v>2918</v>
      </c>
      <c r="K304" t="s">
        <v>2919</v>
      </c>
      <c r="M304" s="1" t="s">
        <v>2920</v>
      </c>
      <c r="O304" s="46">
        <f t="shared" si="23"/>
        <v>0</v>
      </c>
      <c r="P304" s="43" t="s">
        <v>1542</v>
      </c>
      <c r="Q304" s="43" t="s">
        <v>1542</v>
      </c>
      <c r="R304" s="43" t="s">
        <v>1542</v>
      </c>
      <c r="S304" s="43" t="s">
        <v>1542</v>
      </c>
      <c r="T304" s="43" t="s">
        <v>1542</v>
      </c>
      <c r="U304" s="43" t="s">
        <v>1542</v>
      </c>
      <c r="V304" s="43" t="s">
        <v>1542</v>
      </c>
      <c r="W304" s="43" t="s">
        <v>1542</v>
      </c>
      <c r="X304" s="43" t="s">
        <v>1542</v>
      </c>
      <c r="Y304" s="43" t="s">
        <v>1542</v>
      </c>
      <c r="Z304" s="43" t="s">
        <v>1542</v>
      </c>
      <c r="AA304" s="43" t="s">
        <v>1542</v>
      </c>
      <c r="AB304" s="46">
        <f t="shared" si="24"/>
        <v>0</v>
      </c>
      <c r="AC304" s="44" t="s">
        <v>1542</v>
      </c>
      <c r="AD304" s="44" t="s">
        <v>1542</v>
      </c>
      <c r="AE304" s="44" t="s">
        <v>1542</v>
      </c>
      <c r="AF304" s="44" t="s">
        <v>1542</v>
      </c>
      <c r="AG304" s="44" t="s">
        <v>1542</v>
      </c>
      <c r="AH304" s="44" t="s">
        <v>1542</v>
      </c>
      <c r="AI304" s="44" t="s">
        <v>1542</v>
      </c>
      <c r="AJ304" s="44" t="s">
        <v>1542</v>
      </c>
      <c r="AK304" s="44" t="s">
        <v>1542</v>
      </c>
      <c r="AL304" s="44" t="s">
        <v>1542</v>
      </c>
      <c r="AM304" s="44" t="s">
        <v>1542</v>
      </c>
      <c r="AN304" s="44" t="s">
        <v>1542</v>
      </c>
      <c r="AO304" s="46">
        <f t="shared" si="20"/>
        <v>0</v>
      </c>
      <c r="AP304" s="43" t="s">
        <v>1542</v>
      </c>
      <c r="AQ304" s="43" t="s">
        <v>1542</v>
      </c>
      <c r="AR304" s="43" t="s">
        <v>1542</v>
      </c>
      <c r="AS304" s="43" t="s">
        <v>1542</v>
      </c>
      <c r="AT304" s="43" t="s">
        <v>1542</v>
      </c>
      <c r="AU304" s="43" t="s">
        <v>1542</v>
      </c>
      <c r="AV304" s="43" t="s">
        <v>1542</v>
      </c>
      <c r="AW304" s="43" t="s">
        <v>1542</v>
      </c>
      <c r="AX304" s="43" t="s">
        <v>1542</v>
      </c>
      <c r="AY304" s="43" t="s">
        <v>1542</v>
      </c>
      <c r="AZ304" s="43" t="s">
        <v>1542</v>
      </c>
      <c r="BA304" s="43" t="s">
        <v>1542</v>
      </c>
      <c r="BB304" s="46">
        <f t="shared" si="21"/>
        <v>0</v>
      </c>
      <c r="BC304" s="44" t="s">
        <v>1542</v>
      </c>
      <c r="BD304" s="44" t="s">
        <v>1542</v>
      </c>
      <c r="BE304" s="44" t="s">
        <v>1542</v>
      </c>
      <c r="BF304" s="44" t="s">
        <v>1542</v>
      </c>
      <c r="BG304" s="44" t="s">
        <v>1542</v>
      </c>
      <c r="BH304" s="44" t="s">
        <v>1542</v>
      </c>
      <c r="BI304" s="44" t="s">
        <v>1542</v>
      </c>
      <c r="BJ304" s="44" t="s">
        <v>1542</v>
      </c>
      <c r="BK304" s="44" t="s">
        <v>1542</v>
      </c>
      <c r="BL304" s="44" t="s">
        <v>1542</v>
      </c>
      <c r="BM304" s="44" t="s">
        <v>1542</v>
      </c>
      <c r="BN304" s="44" t="s">
        <v>1542</v>
      </c>
      <c r="BO304" s="46">
        <f t="shared" si="22"/>
        <v>0</v>
      </c>
      <c r="BP304" s="43" t="s">
        <v>1542</v>
      </c>
      <c r="BQ304" s="43" t="s">
        <v>1542</v>
      </c>
      <c r="BR304" s="43" t="s">
        <v>1542</v>
      </c>
      <c r="BS304" s="43" t="s">
        <v>1542</v>
      </c>
      <c r="BT304" s="43" t="s">
        <v>1542</v>
      </c>
      <c r="BU304" s="43" t="s">
        <v>1542</v>
      </c>
      <c r="BV304" s="43" t="s">
        <v>1542</v>
      </c>
      <c r="BW304" s="43" t="s">
        <v>1542</v>
      </c>
      <c r="BX304" s="43" t="s">
        <v>1542</v>
      </c>
      <c r="BY304" s="43" t="s">
        <v>1542</v>
      </c>
      <c r="BZ304" s="43" t="s">
        <v>1542</v>
      </c>
      <c r="CA304" s="43" t="s">
        <v>1542</v>
      </c>
    </row>
    <row r="305" spans="1:79">
      <c r="A305">
        <v>304</v>
      </c>
      <c r="B305" t="s">
        <v>1543</v>
      </c>
      <c r="C305" t="s">
        <v>1532</v>
      </c>
      <c r="D305" t="s">
        <v>1533</v>
      </c>
      <c r="E305" t="s">
        <v>2843</v>
      </c>
      <c r="F305" t="s">
        <v>2844</v>
      </c>
      <c r="G305" t="s">
        <v>2921</v>
      </c>
      <c r="H305" t="s">
        <v>2921</v>
      </c>
      <c r="J305" t="s">
        <v>2922</v>
      </c>
      <c r="K305" t="s">
        <v>2923</v>
      </c>
      <c r="M305" s="1" t="s">
        <v>2924</v>
      </c>
      <c r="N305" t="s">
        <v>2925</v>
      </c>
      <c r="O305" s="46">
        <f t="shared" si="23"/>
        <v>0</v>
      </c>
      <c r="P305" s="43"/>
      <c r="Q305" s="43"/>
      <c r="R305" s="43"/>
      <c r="S305" s="43"/>
      <c r="T305" s="43"/>
      <c r="U305" s="43"/>
      <c r="V305" s="43"/>
      <c r="W305" s="43"/>
      <c r="X305" s="43"/>
      <c r="Y305" s="43"/>
      <c r="Z305" s="43"/>
      <c r="AA305" s="43"/>
      <c r="AB305" s="46">
        <f t="shared" si="24"/>
        <v>0</v>
      </c>
      <c r="AC305" s="44"/>
      <c r="AD305" s="44"/>
      <c r="AE305" s="44"/>
      <c r="AF305" s="44"/>
      <c r="AG305" s="44"/>
      <c r="AH305" s="44"/>
      <c r="AI305" s="44"/>
      <c r="AJ305" s="44"/>
      <c r="AK305" s="44"/>
      <c r="AL305" s="44"/>
      <c r="AM305" s="44"/>
      <c r="AN305" s="44"/>
      <c r="AO305" s="46">
        <f t="shared" si="20"/>
        <v>0</v>
      </c>
      <c r="AP305" s="43"/>
      <c r="AQ305" s="43"/>
      <c r="AR305" s="43"/>
      <c r="AS305" s="43"/>
      <c r="AT305" s="43"/>
      <c r="AU305" s="43"/>
      <c r="AV305" s="43"/>
      <c r="AW305" s="43"/>
      <c r="AX305" s="43"/>
      <c r="AY305" s="43"/>
      <c r="AZ305" s="43"/>
      <c r="BA305" s="43"/>
      <c r="BB305" s="46">
        <f t="shared" si="21"/>
        <v>0</v>
      </c>
      <c r="BC305" s="44"/>
      <c r="BD305" s="44"/>
      <c r="BE305" s="44"/>
      <c r="BF305" s="44"/>
      <c r="BG305" s="44"/>
      <c r="BH305" s="44"/>
      <c r="BI305" s="44"/>
      <c r="BJ305" s="44"/>
      <c r="BK305" s="44"/>
      <c r="BL305" s="44"/>
      <c r="BM305" s="44"/>
      <c r="BN305" s="44"/>
      <c r="BO305" s="46">
        <f t="shared" si="22"/>
        <v>0</v>
      </c>
      <c r="BP305" s="43"/>
      <c r="BQ305" s="43"/>
      <c r="BR305" s="43"/>
      <c r="BS305" s="43"/>
      <c r="BT305" s="43"/>
      <c r="BU305" s="43"/>
      <c r="BV305" s="43"/>
      <c r="BW305" s="43"/>
      <c r="BX305" s="43"/>
      <c r="BY305" s="43"/>
      <c r="BZ305" s="43"/>
      <c r="CA305" s="43"/>
    </row>
    <row r="306" spans="1:79">
      <c r="A306">
        <v>305</v>
      </c>
      <c r="B306">
        <v>1</v>
      </c>
      <c r="C306" t="s">
        <v>1532</v>
      </c>
      <c r="D306" t="s">
        <v>1533</v>
      </c>
      <c r="E306" t="s">
        <v>2753</v>
      </c>
      <c r="F306" t="s">
        <v>2754</v>
      </c>
      <c r="G306" t="s">
        <v>2926</v>
      </c>
      <c r="H306" t="s">
        <v>2926</v>
      </c>
      <c r="J306" t="s">
        <v>2927</v>
      </c>
      <c r="K306" t="s">
        <v>2928</v>
      </c>
      <c r="M306" s="1" t="s">
        <v>2929</v>
      </c>
      <c r="O306" s="46">
        <f t="shared" si="23"/>
        <v>0</v>
      </c>
      <c r="P306" s="43" t="s">
        <v>1542</v>
      </c>
      <c r="Q306" s="43" t="s">
        <v>1542</v>
      </c>
      <c r="R306" s="43" t="s">
        <v>1542</v>
      </c>
      <c r="S306" s="43" t="s">
        <v>1542</v>
      </c>
      <c r="T306" s="43" t="s">
        <v>1542</v>
      </c>
      <c r="U306" s="43" t="s">
        <v>1542</v>
      </c>
      <c r="V306" s="43" t="s">
        <v>1542</v>
      </c>
      <c r="W306" s="43" t="s">
        <v>1542</v>
      </c>
      <c r="X306" s="43" t="s">
        <v>1542</v>
      </c>
      <c r="Y306" s="43" t="s">
        <v>1542</v>
      </c>
      <c r="Z306" s="43" t="s">
        <v>1542</v>
      </c>
      <c r="AA306" s="43" t="s">
        <v>1542</v>
      </c>
      <c r="AB306" s="46">
        <f t="shared" si="24"/>
        <v>0</v>
      </c>
      <c r="AC306" s="44" t="s">
        <v>1542</v>
      </c>
      <c r="AD306" s="44" t="s">
        <v>1542</v>
      </c>
      <c r="AE306" s="44" t="s">
        <v>1542</v>
      </c>
      <c r="AF306" s="44" t="s">
        <v>1542</v>
      </c>
      <c r="AG306" s="44" t="s">
        <v>1542</v>
      </c>
      <c r="AH306" s="44" t="s">
        <v>1542</v>
      </c>
      <c r="AI306" s="44" t="s">
        <v>1542</v>
      </c>
      <c r="AJ306" s="44" t="s">
        <v>1542</v>
      </c>
      <c r="AK306" s="44" t="s">
        <v>1542</v>
      </c>
      <c r="AL306" s="44" t="s">
        <v>1542</v>
      </c>
      <c r="AM306" s="44" t="s">
        <v>1542</v>
      </c>
      <c r="AN306" s="44" t="s">
        <v>1542</v>
      </c>
      <c r="AO306" s="46">
        <f t="shared" si="20"/>
        <v>0</v>
      </c>
      <c r="AP306" s="43" t="s">
        <v>1542</v>
      </c>
      <c r="AQ306" s="43" t="s">
        <v>1542</v>
      </c>
      <c r="AR306" s="43" t="s">
        <v>1542</v>
      </c>
      <c r="AS306" s="43" t="s">
        <v>1542</v>
      </c>
      <c r="AT306" s="43" t="s">
        <v>1542</v>
      </c>
      <c r="AU306" s="43" t="s">
        <v>1542</v>
      </c>
      <c r="AV306" s="43" t="s">
        <v>1542</v>
      </c>
      <c r="AW306" s="43" t="s">
        <v>1542</v>
      </c>
      <c r="AX306" s="43" t="s">
        <v>1542</v>
      </c>
      <c r="AY306" s="43" t="s">
        <v>1542</v>
      </c>
      <c r="AZ306" s="43" t="s">
        <v>1542</v>
      </c>
      <c r="BA306" s="43" t="s">
        <v>1542</v>
      </c>
      <c r="BB306" s="46">
        <f t="shared" si="21"/>
        <v>0</v>
      </c>
      <c r="BC306" s="44" t="s">
        <v>1542</v>
      </c>
      <c r="BD306" s="44" t="s">
        <v>1542</v>
      </c>
      <c r="BE306" s="44" t="s">
        <v>1542</v>
      </c>
      <c r="BF306" s="44" t="s">
        <v>1542</v>
      </c>
      <c r="BG306" s="44" t="s">
        <v>1542</v>
      </c>
      <c r="BH306" s="44" t="s">
        <v>1542</v>
      </c>
      <c r="BI306" s="44" t="s">
        <v>1542</v>
      </c>
      <c r="BJ306" s="44" t="s">
        <v>1542</v>
      </c>
      <c r="BK306" s="44" t="s">
        <v>1542</v>
      </c>
      <c r="BL306" s="44" t="s">
        <v>1542</v>
      </c>
      <c r="BM306" s="44" t="s">
        <v>1542</v>
      </c>
      <c r="BN306" s="44" t="s">
        <v>1542</v>
      </c>
      <c r="BO306" s="46">
        <f t="shared" si="22"/>
        <v>0</v>
      </c>
      <c r="BP306" s="43" t="s">
        <v>1542</v>
      </c>
      <c r="BQ306" s="43" t="s">
        <v>1542</v>
      </c>
      <c r="BR306" s="43" t="s">
        <v>1542</v>
      </c>
      <c r="BS306" s="43" t="s">
        <v>1542</v>
      </c>
      <c r="BT306" s="43" t="s">
        <v>1542</v>
      </c>
      <c r="BU306" s="43" t="s">
        <v>1542</v>
      </c>
      <c r="BV306" s="43" t="s">
        <v>1542</v>
      </c>
      <c r="BW306" s="43" t="s">
        <v>1542</v>
      </c>
      <c r="BX306" s="43" t="s">
        <v>1542</v>
      </c>
      <c r="BY306" s="43" t="s">
        <v>1542</v>
      </c>
      <c r="BZ306" s="43" t="s">
        <v>1542</v>
      </c>
      <c r="CA306" s="43" t="s">
        <v>1542</v>
      </c>
    </row>
    <row r="307" spans="1:79">
      <c r="A307">
        <v>306</v>
      </c>
      <c r="B307">
        <v>1</v>
      </c>
      <c r="C307" t="s">
        <v>1532</v>
      </c>
      <c r="D307" t="s">
        <v>1533</v>
      </c>
      <c r="E307" t="s">
        <v>2843</v>
      </c>
      <c r="F307" t="s">
        <v>2844</v>
      </c>
      <c r="G307" t="s">
        <v>2930</v>
      </c>
      <c r="H307" t="s">
        <v>2930</v>
      </c>
      <c r="J307" t="s">
        <v>2931</v>
      </c>
      <c r="K307" t="s">
        <v>2932</v>
      </c>
      <c r="M307" s="1" t="s">
        <v>2933</v>
      </c>
      <c r="N307" t="s">
        <v>2934</v>
      </c>
      <c r="O307" s="46">
        <f t="shared" si="23"/>
        <v>4</v>
      </c>
      <c r="P307" s="43" t="s">
        <v>1542</v>
      </c>
      <c r="Q307" s="43" t="s">
        <v>1542</v>
      </c>
      <c r="R307" s="43" t="s">
        <v>1542</v>
      </c>
      <c r="S307" s="43" t="s">
        <v>1554</v>
      </c>
      <c r="T307" s="43" t="s">
        <v>1554</v>
      </c>
      <c r="U307" s="43" t="s">
        <v>1554</v>
      </c>
      <c r="V307" s="43" t="s">
        <v>1554</v>
      </c>
      <c r="W307" s="43" t="s">
        <v>1542</v>
      </c>
      <c r="X307" s="43" t="s">
        <v>1542</v>
      </c>
      <c r="Y307" s="43" t="s">
        <v>1542</v>
      </c>
      <c r="Z307" s="43" t="s">
        <v>1542</v>
      </c>
      <c r="AA307" s="43" t="s">
        <v>1542</v>
      </c>
      <c r="AB307" s="46">
        <f t="shared" si="24"/>
        <v>0</v>
      </c>
      <c r="AC307" s="44" t="s">
        <v>1542</v>
      </c>
      <c r="AD307" s="44" t="s">
        <v>1542</v>
      </c>
      <c r="AE307" s="44" t="s">
        <v>1542</v>
      </c>
      <c r="AF307" s="44" t="s">
        <v>1542</v>
      </c>
      <c r="AG307" s="44" t="s">
        <v>1542</v>
      </c>
      <c r="AH307" s="44" t="s">
        <v>1542</v>
      </c>
      <c r="AI307" s="44" t="s">
        <v>1542</v>
      </c>
      <c r="AJ307" s="44" t="s">
        <v>1542</v>
      </c>
      <c r="AK307" s="44" t="s">
        <v>1542</v>
      </c>
      <c r="AL307" s="44" t="s">
        <v>1542</v>
      </c>
      <c r="AM307" s="44" t="s">
        <v>1542</v>
      </c>
      <c r="AN307" s="44" t="s">
        <v>1542</v>
      </c>
      <c r="AO307" s="46">
        <f t="shared" si="20"/>
        <v>0</v>
      </c>
      <c r="AP307" s="43" t="s">
        <v>1542</v>
      </c>
      <c r="AQ307" s="43" t="s">
        <v>1542</v>
      </c>
      <c r="AR307" s="43" t="s">
        <v>1542</v>
      </c>
      <c r="AS307" s="43" t="s">
        <v>1542</v>
      </c>
      <c r="AT307" s="43" t="s">
        <v>1542</v>
      </c>
      <c r="AU307" s="43" t="s">
        <v>1542</v>
      </c>
      <c r="AV307" s="43" t="s">
        <v>1542</v>
      </c>
      <c r="AW307" s="43" t="s">
        <v>1542</v>
      </c>
      <c r="AX307" s="43" t="s">
        <v>1542</v>
      </c>
      <c r="AY307" s="43" t="s">
        <v>1542</v>
      </c>
      <c r="AZ307" s="43" t="s">
        <v>1542</v>
      </c>
      <c r="BA307" s="43" t="s">
        <v>1542</v>
      </c>
      <c r="BB307" s="46">
        <f t="shared" si="21"/>
        <v>0</v>
      </c>
      <c r="BC307" s="44" t="s">
        <v>1542</v>
      </c>
      <c r="BD307" s="44" t="s">
        <v>1542</v>
      </c>
      <c r="BE307" s="44" t="s">
        <v>1542</v>
      </c>
      <c r="BF307" s="44" t="s">
        <v>1542</v>
      </c>
      <c r="BG307" s="44" t="s">
        <v>1542</v>
      </c>
      <c r="BH307" s="44" t="s">
        <v>1542</v>
      </c>
      <c r="BI307" s="44" t="s">
        <v>1542</v>
      </c>
      <c r="BJ307" s="44" t="s">
        <v>1542</v>
      </c>
      <c r="BK307" s="44" t="s">
        <v>1542</v>
      </c>
      <c r="BL307" s="44" t="s">
        <v>1542</v>
      </c>
      <c r="BM307" s="44" t="s">
        <v>1542</v>
      </c>
      <c r="BN307" s="44" t="s">
        <v>1542</v>
      </c>
      <c r="BO307" s="46">
        <f t="shared" si="22"/>
        <v>0</v>
      </c>
      <c r="BP307" s="43" t="s">
        <v>1542</v>
      </c>
      <c r="BQ307" s="43" t="s">
        <v>1542</v>
      </c>
      <c r="BR307" s="43" t="s">
        <v>1542</v>
      </c>
      <c r="BS307" s="43" t="s">
        <v>1542</v>
      </c>
      <c r="BT307" s="43" t="s">
        <v>1542</v>
      </c>
      <c r="BU307" s="43" t="s">
        <v>1542</v>
      </c>
      <c r="BV307" s="43" t="s">
        <v>1542</v>
      </c>
      <c r="BW307" s="43" t="s">
        <v>1542</v>
      </c>
      <c r="BX307" s="43" t="s">
        <v>1542</v>
      </c>
      <c r="BY307" s="43" t="s">
        <v>1542</v>
      </c>
      <c r="BZ307" s="43" t="s">
        <v>1542</v>
      </c>
      <c r="CA307" s="43" t="s">
        <v>1542</v>
      </c>
    </row>
    <row r="308" spans="1:79">
      <c r="A308">
        <v>307</v>
      </c>
      <c r="B308">
        <v>1</v>
      </c>
      <c r="C308" t="s">
        <v>2935</v>
      </c>
      <c r="D308" t="s">
        <v>2936</v>
      </c>
      <c r="E308" t="s">
        <v>2937</v>
      </c>
      <c r="F308" t="s">
        <v>2938</v>
      </c>
      <c r="G308" t="s">
        <v>2939</v>
      </c>
      <c r="H308" t="s">
        <v>2939</v>
      </c>
      <c r="J308" t="s">
        <v>2940</v>
      </c>
      <c r="K308" t="s">
        <v>2941</v>
      </c>
      <c r="M308" s="1" t="s">
        <v>2942</v>
      </c>
      <c r="O308" s="46">
        <f t="shared" si="23"/>
        <v>0</v>
      </c>
      <c r="P308" s="43" t="s">
        <v>1542</v>
      </c>
      <c r="Q308" s="43" t="s">
        <v>1542</v>
      </c>
      <c r="R308" s="43" t="s">
        <v>1542</v>
      </c>
      <c r="S308" s="43" t="s">
        <v>1542</v>
      </c>
      <c r="T308" s="43" t="s">
        <v>1542</v>
      </c>
      <c r="U308" s="43" t="s">
        <v>1542</v>
      </c>
      <c r="V308" s="43" t="s">
        <v>1542</v>
      </c>
      <c r="W308" s="43" t="s">
        <v>1542</v>
      </c>
      <c r="X308" s="43" t="s">
        <v>1542</v>
      </c>
      <c r="Y308" s="43" t="s">
        <v>1542</v>
      </c>
      <c r="Z308" s="43" t="s">
        <v>1542</v>
      </c>
      <c r="AA308" s="43" t="s">
        <v>1542</v>
      </c>
      <c r="AB308" s="46">
        <f t="shared" si="24"/>
        <v>0</v>
      </c>
      <c r="AC308" s="44" t="s">
        <v>1542</v>
      </c>
      <c r="AD308" s="44" t="s">
        <v>1542</v>
      </c>
      <c r="AE308" s="44" t="s">
        <v>1542</v>
      </c>
      <c r="AF308" s="44" t="s">
        <v>1542</v>
      </c>
      <c r="AG308" s="44" t="s">
        <v>1542</v>
      </c>
      <c r="AH308" s="44" t="s">
        <v>1542</v>
      </c>
      <c r="AI308" s="44" t="s">
        <v>1542</v>
      </c>
      <c r="AJ308" s="44" t="s">
        <v>1542</v>
      </c>
      <c r="AK308" s="44" t="s">
        <v>1542</v>
      </c>
      <c r="AL308" s="44" t="s">
        <v>1542</v>
      </c>
      <c r="AM308" s="44" t="s">
        <v>1542</v>
      </c>
      <c r="AN308" s="44" t="s">
        <v>1542</v>
      </c>
      <c r="AO308" s="46">
        <f t="shared" si="20"/>
        <v>0</v>
      </c>
      <c r="AP308" s="43" t="s">
        <v>1542</v>
      </c>
      <c r="AQ308" s="43" t="s">
        <v>1542</v>
      </c>
      <c r="AR308" s="43" t="s">
        <v>1542</v>
      </c>
      <c r="AS308" s="43" t="s">
        <v>1542</v>
      </c>
      <c r="AT308" s="43" t="s">
        <v>1542</v>
      </c>
      <c r="AU308" s="43" t="s">
        <v>1542</v>
      </c>
      <c r="AV308" s="43" t="s">
        <v>1542</v>
      </c>
      <c r="AW308" s="43" t="s">
        <v>1542</v>
      </c>
      <c r="AX308" s="43" t="s">
        <v>1542</v>
      </c>
      <c r="AY308" s="43" t="s">
        <v>1542</v>
      </c>
      <c r="AZ308" s="43" t="s">
        <v>1542</v>
      </c>
      <c r="BA308" s="43" t="s">
        <v>1542</v>
      </c>
      <c r="BB308" s="46">
        <f t="shared" si="21"/>
        <v>0</v>
      </c>
      <c r="BC308" s="44" t="s">
        <v>1542</v>
      </c>
      <c r="BD308" s="44" t="s">
        <v>1542</v>
      </c>
      <c r="BE308" s="44" t="s">
        <v>1542</v>
      </c>
      <c r="BF308" s="44" t="s">
        <v>1542</v>
      </c>
      <c r="BG308" s="44" t="s">
        <v>1542</v>
      </c>
      <c r="BH308" s="44" t="s">
        <v>1542</v>
      </c>
      <c r="BI308" s="44" t="s">
        <v>1542</v>
      </c>
      <c r="BJ308" s="44" t="s">
        <v>1542</v>
      </c>
      <c r="BK308" s="44" t="s">
        <v>1542</v>
      </c>
      <c r="BL308" s="44" t="s">
        <v>1542</v>
      </c>
      <c r="BM308" s="44" t="s">
        <v>1542</v>
      </c>
      <c r="BN308" s="44" t="s">
        <v>1542</v>
      </c>
      <c r="BO308" s="46">
        <f t="shared" si="22"/>
        <v>0</v>
      </c>
      <c r="BP308" s="43" t="s">
        <v>1542</v>
      </c>
      <c r="BQ308" s="43" t="s">
        <v>1542</v>
      </c>
      <c r="BR308" s="43" t="s">
        <v>1542</v>
      </c>
      <c r="BS308" s="43" t="s">
        <v>1542</v>
      </c>
      <c r="BT308" s="43" t="s">
        <v>1542</v>
      </c>
      <c r="BU308" s="43" t="s">
        <v>1542</v>
      </c>
      <c r="BV308" s="43" t="s">
        <v>1542</v>
      </c>
      <c r="BW308" s="43" t="s">
        <v>1542</v>
      </c>
      <c r="BX308" s="43" t="s">
        <v>1542</v>
      </c>
      <c r="BY308" s="43" t="s">
        <v>1542</v>
      </c>
      <c r="BZ308" s="43" t="s">
        <v>1542</v>
      </c>
      <c r="CA308" s="43" t="s">
        <v>1542</v>
      </c>
    </row>
    <row r="309" spans="1:79">
      <c r="A309">
        <v>308</v>
      </c>
      <c r="B309" t="s">
        <v>1543</v>
      </c>
      <c r="C309" t="s">
        <v>2935</v>
      </c>
      <c r="D309" t="s">
        <v>2936</v>
      </c>
      <c r="E309" t="s">
        <v>2937</v>
      </c>
      <c r="F309" t="s">
        <v>2938</v>
      </c>
      <c r="G309" t="s">
        <v>2943</v>
      </c>
      <c r="H309" t="s">
        <v>2943</v>
      </c>
      <c r="I309" t="s">
        <v>2944</v>
      </c>
      <c r="J309" t="s">
        <v>2945</v>
      </c>
      <c r="K309" t="s">
        <v>2946</v>
      </c>
      <c r="M309" s="1" t="s">
        <v>2947</v>
      </c>
      <c r="N309" t="s">
        <v>2948</v>
      </c>
      <c r="O309" s="46">
        <f t="shared" si="23"/>
        <v>0</v>
      </c>
      <c r="P309" s="43"/>
      <c r="Q309" s="43"/>
      <c r="R309" s="43"/>
      <c r="S309" s="43"/>
      <c r="T309" s="43"/>
      <c r="U309" s="43"/>
      <c r="V309" s="43"/>
      <c r="W309" s="43"/>
      <c r="X309" s="43"/>
      <c r="Y309" s="43"/>
      <c r="Z309" s="43"/>
      <c r="AA309" s="43"/>
      <c r="AB309" s="46">
        <f t="shared" si="24"/>
        <v>0</v>
      </c>
      <c r="AC309" s="44" t="s">
        <v>1542</v>
      </c>
      <c r="AD309" s="44" t="s">
        <v>1542</v>
      </c>
      <c r="AE309" s="44" t="s">
        <v>1542</v>
      </c>
      <c r="AF309" s="44" t="s">
        <v>1542</v>
      </c>
      <c r="AG309" s="44" t="s">
        <v>1542</v>
      </c>
      <c r="AH309" s="44" t="s">
        <v>1542</v>
      </c>
      <c r="AI309" s="44"/>
      <c r="AJ309" s="44"/>
      <c r="AK309" s="44"/>
      <c r="AL309" s="44"/>
      <c r="AM309" s="44"/>
      <c r="AN309" s="44"/>
      <c r="AO309" s="46">
        <f t="shared" si="20"/>
        <v>0</v>
      </c>
      <c r="AP309" s="43" t="s">
        <v>1542</v>
      </c>
      <c r="AQ309" s="43" t="s">
        <v>1542</v>
      </c>
      <c r="AR309" s="43" t="s">
        <v>1542</v>
      </c>
      <c r="AS309" s="43" t="s">
        <v>1542</v>
      </c>
      <c r="AT309" s="43" t="s">
        <v>1542</v>
      </c>
      <c r="AU309" s="43" t="s">
        <v>1542</v>
      </c>
      <c r="AV309" s="43" t="s">
        <v>1542</v>
      </c>
      <c r="AW309" s="43" t="s">
        <v>1542</v>
      </c>
      <c r="AX309" s="43" t="s">
        <v>1542</v>
      </c>
      <c r="AY309" s="43" t="s">
        <v>1542</v>
      </c>
      <c r="AZ309" s="43" t="s">
        <v>1542</v>
      </c>
      <c r="BA309" s="43" t="s">
        <v>1542</v>
      </c>
      <c r="BB309" s="46">
        <f t="shared" si="21"/>
        <v>0</v>
      </c>
      <c r="BC309" s="44" t="s">
        <v>1542</v>
      </c>
      <c r="BD309" s="44" t="s">
        <v>1542</v>
      </c>
      <c r="BE309" s="44" t="s">
        <v>1542</v>
      </c>
      <c r="BF309" s="44" t="s">
        <v>1542</v>
      </c>
      <c r="BG309" s="44" t="s">
        <v>1542</v>
      </c>
      <c r="BH309" s="44" t="s">
        <v>1542</v>
      </c>
      <c r="BI309" s="44" t="s">
        <v>1542</v>
      </c>
      <c r="BJ309" s="44" t="s">
        <v>1542</v>
      </c>
      <c r="BK309" s="44" t="s">
        <v>1542</v>
      </c>
      <c r="BL309" s="44" t="s">
        <v>1542</v>
      </c>
      <c r="BM309" s="44" t="s">
        <v>1542</v>
      </c>
      <c r="BN309" s="44" t="s">
        <v>1542</v>
      </c>
      <c r="BO309" s="46">
        <f t="shared" si="22"/>
        <v>0</v>
      </c>
      <c r="BP309" s="43" t="s">
        <v>1542</v>
      </c>
      <c r="BQ309" s="43" t="s">
        <v>1542</v>
      </c>
      <c r="BR309" s="43" t="s">
        <v>1542</v>
      </c>
      <c r="BS309" s="43" t="s">
        <v>1542</v>
      </c>
      <c r="BT309" s="43" t="s">
        <v>1554</v>
      </c>
      <c r="BU309" s="43" t="s">
        <v>1542</v>
      </c>
      <c r="BV309" s="43" t="s">
        <v>1542</v>
      </c>
      <c r="BW309" s="43" t="s">
        <v>1542</v>
      </c>
      <c r="BX309" s="43" t="s">
        <v>1542</v>
      </c>
      <c r="BY309" s="43" t="s">
        <v>1542</v>
      </c>
      <c r="BZ309" s="43" t="s">
        <v>1542</v>
      </c>
      <c r="CA309" s="43" t="s">
        <v>1542</v>
      </c>
    </row>
    <row r="310" spans="1:79">
      <c r="A310">
        <v>309</v>
      </c>
      <c r="B310">
        <v>1</v>
      </c>
      <c r="C310" t="s">
        <v>2935</v>
      </c>
      <c r="D310" t="s">
        <v>2936</v>
      </c>
      <c r="E310" t="s">
        <v>2937</v>
      </c>
      <c r="F310" t="s">
        <v>2938</v>
      </c>
      <c r="G310" t="s">
        <v>2949</v>
      </c>
      <c r="H310" t="s">
        <v>2949</v>
      </c>
      <c r="I310" t="s">
        <v>2950</v>
      </c>
      <c r="J310" t="s">
        <v>2951</v>
      </c>
      <c r="K310" t="s">
        <v>2952</v>
      </c>
      <c r="M310" s="1" t="s">
        <v>2953</v>
      </c>
      <c r="N310" t="s">
        <v>2954</v>
      </c>
      <c r="O310" s="46">
        <f t="shared" si="23"/>
        <v>0</v>
      </c>
      <c r="P310" s="43" t="s">
        <v>1542</v>
      </c>
      <c r="Q310" s="43" t="s">
        <v>1542</v>
      </c>
      <c r="R310" s="43" t="s">
        <v>1542</v>
      </c>
      <c r="S310" s="43" t="s">
        <v>1542</v>
      </c>
      <c r="T310" s="43" t="s">
        <v>1542</v>
      </c>
      <c r="U310" s="43" t="s">
        <v>1542</v>
      </c>
      <c r="V310" s="43" t="s">
        <v>1542</v>
      </c>
      <c r="W310" s="43" t="s">
        <v>1542</v>
      </c>
      <c r="X310" s="43" t="s">
        <v>1542</v>
      </c>
      <c r="Y310" s="43" t="s">
        <v>1542</v>
      </c>
      <c r="Z310" s="43" t="s">
        <v>1542</v>
      </c>
      <c r="AA310" s="43" t="s">
        <v>1542</v>
      </c>
      <c r="AB310" s="46">
        <f t="shared" si="24"/>
        <v>0</v>
      </c>
      <c r="AC310" s="44" t="s">
        <v>1542</v>
      </c>
      <c r="AD310" s="44" t="s">
        <v>1542</v>
      </c>
      <c r="AE310" s="44" t="s">
        <v>1542</v>
      </c>
      <c r="AF310" s="44" t="s">
        <v>1542</v>
      </c>
      <c r="AG310" s="44" t="s">
        <v>1542</v>
      </c>
      <c r="AH310" s="44" t="s">
        <v>1542</v>
      </c>
      <c r="AI310" s="44" t="s">
        <v>1542</v>
      </c>
      <c r="AJ310" s="44" t="s">
        <v>1542</v>
      </c>
      <c r="AK310" s="44" t="s">
        <v>1542</v>
      </c>
      <c r="AL310" s="44" t="s">
        <v>1542</v>
      </c>
      <c r="AM310" s="44" t="s">
        <v>1542</v>
      </c>
      <c r="AN310" s="44" t="s">
        <v>1542</v>
      </c>
      <c r="AO310" s="46">
        <f t="shared" si="20"/>
        <v>0</v>
      </c>
      <c r="AP310" s="43" t="s">
        <v>1542</v>
      </c>
      <c r="AQ310" s="43" t="s">
        <v>1542</v>
      </c>
      <c r="AR310" s="43" t="s">
        <v>1542</v>
      </c>
      <c r="AS310" s="43" t="s">
        <v>1542</v>
      </c>
      <c r="AT310" s="43" t="s">
        <v>1542</v>
      </c>
      <c r="AU310" s="43" t="s">
        <v>1542</v>
      </c>
      <c r="AV310" s="43" t="s">
        <v>1542</v>
      </c>
      <c r="AW310" s="43" t="s">
        <v>1542</v>
      </c>
      <c r="AX310" s="43" t="s">
        <v>1542</v>
      </c>
      <c r="AY310" s="43" t="s">
        <v>1542</v>
      </c>
      <c r="AZ310" s="43" t="s">
        <v>1542</v>
      </c>
      <c r="BA310" s="43" t="s">
        <v>1542</v>
      </c>
      <c r="BB310" s="46">
        <f t="shared" si="21"/>
        <v>0</v>
      </c>
      <c r="BC310" s="44" t="s">
        <v>1554</v>
      </c>
      <c r="BD310" s="44" t="s">
        <v>1554</v>
      </c>
      <c r="BE310" s="44" t="s">
        <v>1542</v>
      </c>
      <c r="BF310" s="44" t="s">
        <v>1542</v>
      </c>
      <c r="BG310" s="44" t="s">
        <v>1542</v>
      </c>
      <c r="BH310" s="44" t="s">
        <v>1542</v>
      </c>
      <c r="BI310" s="44" t="s">
        <v>1542</v>
      </c>
      <c r="BJ310" s="44" t="s">
        <v>1542</v>
      </c>
      <c r="BK310" s="44" t="s">
        <v>1542</v>
      </c>
      <c r="BL310" s="44" t="s">
        <v>1542</v>
      </c>
      <c r="BM310" s="44" t="s">
        <v>1542</v>
      </c>
      <c r="BN310" s="44" t="s">
        <v>1542</v>
      </c>
      <c r="BO310" s="46">
        <f t="shared" si="22"/>
        <v>2</v>
      </c>
      <c r="BP310" s="43" t="s">
        <v>1542</v>
      </c>
      <c r="BQ310" s="43" t="s">
        <v>1542</v>
      </c>
      <c r="BR310" s="43" t="s">
        <v>1542</v>
      </c>
      <c r="BS310" s="43" t="s">
        <v>1542</v>
      </c>
      <c r="BT310" s="43" t="s">
        <v>1542</v>
      </c>
      <c r="BU310" s="43" t="s">
        <v>1542</v>
      </c>
      <c r="BV310" s="43" t="s">
        <v>1554</v>
      </c>
      <c r="BW310" s="43" t="s">
        <v>1554</v>
      </c>
      <c r="BX310" s="43" t="s">
        <v>1554</v>
      </c>
      <c r="BY310" s="43" t="s">
        <v>1554</v>
      </c>
      <c r="BZ310" s="43" t="s">
        <v>1554</v>
      </c>
      <c r="CA310" s="43" t="s">
        <v>1554</v>
      </c>
    </row>
    <row r="311" spans="1:79">
      <c r="A311">
        <v>310</v>
      </c>
      <c r="B311">
        <v>1</v>
      </c>
      <c r="C311" t="s">
        <v>2935</v>
      </c>
      <c r="D311" t="s">
        <v>2936</v>
      </c>
      <c r="E311" t="s">
        <v>2937</v>
      </c>
      <c r="F311" t="s">
        <v>2938</v>
      </c>
      <c r="G311" t="s">
        <v>2955</v>
      </c>
      <c r="H311" t="s">
        <v>2955</v>
      </c>
      <c r="I311" t="s">
        <v>2956</v>
      </c>
      <c r="J311" t="s">
        <v>2957</v>
      </c>
      <c r="K311" t="s">
        <v>2958</v>
      </c>
      <c r="M311" s="1" t="s">
        <v>2959</v>
      </c>
      <c r="N311" t="s">
        <v>2960</v>
      </c>
      <c r="O311" s="46">
        <f t="shared" si="23"/>
        <v>0</v>
      </c>
      <c r="P311" s="43" t="s">
        <v>1542</v>
      </c>
      <c r="Q311" s="43" t="s">
        <v>1542</v>
      </c>
      <c r="R311" s="43" t="s">
        <v>1542</v>
      </c>
      <c r="S311" s="43" t="s">
        <v>1542</v>
      </c>
      <c r="T311" s="43" t="s">
        <v>1542</v>
      </c>
      <c r="U311" s="43" t="s">
        <v>1542</v>
      </c>
      <c r="V311" s="43" t="s">
        <v>1542</v>
      </c>
      <c r="W311" s="43" t="s">
        <v>1542</v>
      </c>
      <c r="X311" s="43" t="s">
        <v>1542</v>
      </c>
      <c r="Y311" s="43" t="s">
        <v>1542</v>
      </c>
      <c r="Z311" s="43" t="s">
        <v>1542</v>
      </c>
      <c r="AA311" s="43" t="s">
        <v>1542</v>
      </c>
      <c r="AB311" s="46">
        <f t="shared" si="24"/>
        <v>1</v>
      </c>
      <c r="AC311" s="44" t="s">
        <v>1542</v>
      </c>
      <c r="AD311" s="44" t="s">
        <v>1542</v>
      </c>
      <c r="AE311" s="44" t="s">
        <v>1542</v>
      </c>
      <c r="AF311" s="44" t="s">
        <v>1542</v>
      </c>
      <c r="AG311" s="44" t="s">
        <v>1542</v>
      </c>
      <c r="AH311" s="44" t="s">
        <v>1542</v>
      </c>
      <c r="AI311" s="44" t="s">
        <v>1542</v>
      </c>
      <c r="AJ311" s="44" t="s">
        <v>1542</v>
      </c>
      <c r="AK311" s="44" t="s">
        <v>1542</v>
      </c>
      <c r="AL311" s="44" t="s">
        <v>1554</v>
      </c>
      <c r="AM311" s="44" t="s">
        <v>1542</v>
      </c>
      <c r="AN311" s="44" t="s">
        <v>1542</v>
      </c>
      <c r="AO311" s="46">
        <f t="shared" si="20"/>
        <v>1</v>
      </c>
      <c r="AP311" s="43" t="s">
        <v>1542</v>
      </c>
      <c r="AQ311" s="43" t="s">
        <v>1542</v>
      </c>
      <c r="AR311" s="43" t="s">
        <v>1542</v>
      </c>
      <c r="AS311" s="43" t="s">
        <v>1542</v>
      </c>
      <c r="AT311" s="43" t="s">
        <v>1542</v>
      </c>
      <c r="AU311" s="43" t="s">
        <v>1542</v>
      </c>
      <c r="AV311" s="43" t="s">
        <v>1542</v>
      </c>
      <c r="AW311" s="43" t="s">
        <v>1542</v>
      </c>
      <c r="AX311" s="43" t="s">
        <v>1542</v>
      </c>
      <c r="AY311" s="43" t="s">
        <v>1542</v>
      </c>
      <c r="AZ311" s="43" t="s">
        <v>1542</v>
      </c>
      <c r="BA311" s="43" t="s">
        <v>1542</v>
      </c>
      <c r="BB311" s="46">
        <f t="shared" si="21"/>
        <v>0</v>
      </c>
      <c r="BC311" s="44" t="s">
        <v>1542</v>
      </c>
      <c r="BD311" s="44" t="s">
        <v>1542</v>
      </c>
      <c r="BE311" s="44" t="s">
        <v>1542</v>
      </c>
      <c r="BF311" s="44" t="s">
        <v>1542</v>
      </c>
      <c r="BG311" s="44" t="s">
        <v>1542</v>
      </c>
      <c r="BH311" s="44" t="s">
        <v>1542</v>
      </c>
      <c r="BI311" s="44" t="s">
        <v>1542</v>
      </c>
      <c r="BJ311" s="44" t="s">
        <v>1542</v>
      </c>
      <c r="BK311" s="44" t="s">
        <v>1542</v>
      </c>
      <c r="BL311" s="44" t="s">
        <v>1542</v>
      </c>
      <c r="BM311" s="44" t="s">
        <v>1542</v>
      </c>
      <c r="BN311" s="44" t="s">
        <v>1542</v>
      </c>
      <c r="BO311" s="46">
        <f t="shared" si="22"/>
        <v>0</v>
      </c>
      <c r="BP311" s="43" t="s">
        <v>1542</v>
      </c>
      <c r="BQ311" s="43" t="s">
        <v>1542</v>
      </c>
      <c r="BR311" s="43" t="s">
        <v>1542</v>
      </c>
      <c r="BS311" s="43" t="s">
        <v>1542</v>
      </c>
      <c r="BT311" s="43" t="s">
        <v>1542</v>
      </c>
      <c r="BU311" s="43" t="s">
        <v>1542</v>
      </c>
      <c r="BV311" s="43" t="s">
        <v>1542</v>
      </c>
      <c r="BW311" s="43" t="s">
        <v>1542</v>
      </c>
      <c r="BX311" s="43" t="s">
        <v>1542</v>
      </c>
      <c r="BY311" s="43" t="s">
        <v>1542</v>
      </c>
      <c r="BZ311" s="43" t="s">
        <v>1542</v>
      </c>
      <c r="CA311" s="43" t="s">
        <v>1542</v>
      </c>
    </row>
    <row r="312" spans="1:79">
      <c r="A312">
        <v>311</v>
      </c>
      <c r="B312">
        <v>1</v>
      </c>
      <c r="C312" t="s">
        <v>2935</v>
      </c>
      <c r="D312" t="s">
        <v>2936</v>
      </c>
      <c r="E312" t="s">
        <v>2937</v>
      </c>
      <c r="F312" t="s">
        <v>2938</v>
      </c>
      <c r="G312" t="s">
        <v>2961</v>
      </c>
      <c r="H312" t="s">
        <v>2961</v>
      </c>
      <c r="J312" t="s">
        <v>2962</v>
      </c>
      <c r="K312" t="s">
        <v>2963</v>
      </c>
      <c r="M312" s="1" t="s">
        <v>2964</v>
      </c>
      <c r="O312" s="46">
        <f t="shared" si="23"/>
        <v>0</v>
      </c>
      <c r="P312" s="43" t="s">
        <v>1542</v>
      </c>
      <c r="Q312" s="43" t="s">
        <v>1542</v>
      </c>
      <c r="R312" s="43" t="s">
        <v>1542</v>
      </c>
      <c r="S312" s="43" t="s">
        <v>1542</v>
      </c>
      <c r="T312" s="43" t="s">
        <v>1542</v>
      </c>
      <c r="U312" s="43" t="s">
        <v>1542</v>
      </c>
      <c r="V312" s="43" t="s">
        <v>1542</v>
      </c>
      <c r="W312" s="43" t="s">
        <v>1542</v>
      </c>
      <c r="X312" s="43" t="s">
        <v>1542</v>
      </c>
      <c r="Y312" s="43" t="s">
        <v>1542</v>
      </c>
      <c r="Z312" s="43" t="s">
        <v>1542</v>
      </c>
      <c r="AA312" s="43" t="s">
        <v>1542</v>
      </c>
      <c r="AB312" s="46">
        <f t="shared" si="24"/>
        <v>0</v>
      </c>
      <c r="AC312" s="44" t="s">
        <v>1542</v>
      </c>
      <c r="AD312" s="44" t="s">
        <v>1542</v>
      </c>
      <c r="AE312" s="44" t="s">
        <v>1542</v>
      </c>
      <c r="AF312" s="44" t="s">
        <v>1542</v>
      </c>
      <c r="AG312" s="44" t="s">
        <v>1542</v>
      </c>
      <c r="AH312" s="44" t="s">
        <v>1542</v>
      </c>
      <c r="AI312" s="44" t="s">
        <v>1542</v>
      </c>
      <c r="AJ312" s="44" t="s">
        <v>1542</v>
      </c>
      <c r="AK312" s="44" t="s">
        <v>1542</v>
      </c>
      <c r="AL312" s="44" t="s">
        <v>1542</v>
      </c>
      <c r="AM312" s="44" t="s">
        <v>1542</v>
      </c>
      <c r="AN312" s="44" t="s">
        <v>1542</v>
      </c>
      <c r="AO312" s="46">
        <f t="shared" si="20"/>
        <v>0</v>
      </c>
      <c r="AP312" s="43" t="s">
        <v>1542</v>
      </c>
      <c r="AQ312" s="43" t="s">
        <v>1542</v>
      </c>
      <c r="AR312" s="43" t="s">
        <v>1542</v>
      </c>
      <c r="AS312" s="43" t="s">
        <v>1542</v>
      </c>
      <c r="AT312" s="43" t="s">
        <v>1542</v>
      </c>
      <c r="AU312" s="43" t="s">
        <v>1542</v>
      </c>
      <c r="AV312" s="43" t="s">
        <v>1542</v>
      </c>
      <c r="AW312" s="43" t="s">
        <v>1542</v>
      </c>
      <c r="AX312" s="43" t="s">
        <v>1542</v>
      </c>
      <c r="AY312" s="43" t="s">
        <v>1542</v>
      </c>
      <c r="AZ312" s="43" t="s">
        <v>1542</v>
      </c>
      <c r="BA312" s="43" t="s">
        <v>1542</v>
      </c>
      <c r="BB312" s="46">
        <f t="shared" si="21"/>
        <v>0</v>
      </c>
      <c r="BC312" s="44" t="s">
        <v>1542</v>
      </c>
      <c r="BD312" s="44" t="s">
        <v>1542</v>
      </c>
      <c r="BE312" s="44" t="s">
        <v>1542</v>
      </c>
      <c r="BF312" s="44" t="s">
        <v>1542</v>
      </c>
      <c r="BG312" s="44" t="s">
        <v>1542</v>
      </c>
      <c r="BH312" s="44" t="s">
        <v>1542</v>
      </c>
      <c r="BI312" s="44" t="s">
        <v>1542</v>
      </c>
      <c r="BJ312" s="44" t="s">
        <v>1542</v>
      </c>
      <c r="BK312" s="44" t="s">
        <v>1542</v>
      </c>
      <c r="BL312" s="44" t="s">
        <v>1542</v>
      </c>
      <c r="BM312" s="44" t="s">
        <v>1542</v>
      </c>
      <c r="BN312" s="44" t="s">
        <v>1542</v>
      </c>
      <c r="BO312" s="46">
        <f t="shared" si="22"/>
        <v>0</v>
      </c>
      <c r="BP312" s="43" t="s">
        <v>1542</v>
      </c>
      <c r="BQ312" s="43" t="s">
        <v>1542</v>
      </c>
      <c r="BR312" s="43" t="s">
        <v>1542</v>
      </c>
      <c r="BS312" s="43" t="s">
        <v>1542</v>
      </c>
      <c r="BT312" s="43" t="s">
        <v>1542</v>
      </c>
      <c r="BU312" s="43" t="s">
        <v>1542</v>
      </c>
      <c r="BV312" s="43" t="s">
        <v>1542</v>
      </c>
      <c r="BW312" s="43" t="s">
        <v>1542</v>
      </c>
      <c r="BX312" s="43" t="s">
        <v>1542</v>
      </c>
      <c r="BY312" s="43" t="s">
        <v>1542</v>
      </c>
      <c r="BZ312" s="43" t="s">
        <v>1542</v>
      </c>
      <c r="CA312" s="43" t="s">
        <v>1542</v>
      </c>
    </row>
    <row r="313" spans="1:79">
      <c r="A313">
        <v>312</v>
      </c>
      <c r="B313">
        <v>1</v>
      </c>
      <c r="C313" t="s">
        <v>2935</v>
      </c>
      <c r="D313" t="s">
        <v>2936</v>
      </c>
      <c r="E313" t="s">
        <v>2937</v>
      </c>
      <c r="F313" t="s">
        <v>2938</v>
      </c>
      <c r="G313" t="s">
        <v>2965</v>
      </c>
      <c r="H313" t="s">
        <v>2965</v>
      </c>
      <c r="J313" t="s">
        <v>2966</v>
      </c>
      <c r="K313" t="s">
        <v>2967</v>
      </c>
      <c r="M313" s="1" t="s">
        <v>2968</v>
      </c>
      <c r="O313" s="46">
        <f t="shared" si="23"/>
        <v>0</v>
      </c>
      <c r="P313" s="43" t="s">
        <v>1542</v>
      </c>
      <c r="Q313" s="43" t="s">
        <v>1542</v>
      </c>
      <c r="R313" s="43" t="s">
        <v>1542</v>
      </c>
      <c r="S313" s="43" t="s">
        <v>1542</v>
      </c>
      <c r="T313" s="43" t="s">
        <v>1542</v>
      </c>
      <c r="U313" s="43" t="s">
        <v>1542</v>
      </c>
      <c r="V313" s="43" t="s">
        <v>1542</v>
      </c>
      <c r="W313" s="43" t="s">
        <v>1542</v>
      </c>
      <c r="X313" s="43" t="s">
        <v>1542</v>
      </c>
      <c r="Y313" s="43" t="s">
        <v>1542</v>
      </c>
      <c r="Z313" s="43" t="s">
        <v>1542</v>
      </c>
      <c r="AA313" s="43" t="s">
        <v>1542</v>
      </c>
      <c r="AB313" s="46">
        <f t="shared" si="24"/>
        <v>0</v>
      </c>
      <c r="AC313" s="44" t="s">
        <v>1542</v>
      </c>
      <c r="AD313" s="44" t="s">
        <v>1542</v>
      </c>
      <c r="AE313" s="44" t="s">
        <v>1542</v>
      </c>
      <c r="AF313" s="44" t="s">
        <v>1542</v>
      </c>
      <c r="AG313" s="44" t="s">
        <v>1542</v>
      </c>
      <c r="AH313" s="44" t="s">
        <v>1542</v>
      </c>
      <c r="AI313" s="44" t="s">
        <v>1542</v>
      </c>
      <c r="AJ313" s="44" t="s">
        <v>1542</v>
      </c>
      <c r="AK313" s="44" t="s">
        <v>1542</v>
      </c>
      <c r="AL313" s="44" t="s">
        <v>1542</v>
      </c>
      <c r="AM313" s="44" t="s">
        <v>1542</v>
      </c>
      <c r="AN313" s="44" t="s">
        <v>1542</v>
      </c>
      <c r="AO313" s="46">
        <f t="shared" si="20"/>
        <v>0</v>
      </c>
      <c r="AP313" s="43" t="s">
        <v>1542</v>
      </c>
      <c r="AQ313" s="43" t="s">
        <v>1542</v>
      </c>
      <c r="AR313" s="43" t="s">
        <v>1542</v>
      </c>
      <c r="AS313" s="43" t="s">
        <v>1542</v>
      </c>
      <c r="AT313" s="43" t="s">
        <v>1542</v>
      </c>
      <c r="AU313" s="43" t="s">
        <v>1542</v>
      </c>
      <c r="AV313" s="43" t="s">
        <v>1542</v>
      </c>
      <c r="AW313" s="43" t="s">
        <v>1542</v>
      </c>
      <c r="AX313" s="43" t="s">
        <v>1542</v>
      </c>
      <c r="AY313" s="43" t="s">
        <v>1542</v>
      </c>
      <c r="AZ313" s="43" t="s">
        <v>1542</v>
      </c>
      <c r="BA313" s="43" t="s">
        <v>1542</v>
      </c>
      <c r="BB313" s="46">
        <f t="shared" si="21"/>
        <v>0</v>
      </c>
      <c r="BC313" s="44" t="s">
        <v>1542</v>
      </c>
      <c r="BD313" s="44" t="s">
        <v>1542</v>
      </c>
      <c r="BE313" s="44" t="s">
        <v>1542</v>
      </c>
      <c r="BF313" s="44" t="s">
        <v>1542</v>
      </c>
      <c r="BG313" s="44" t="s">
        <v>1542</v>
      </c>
      <c r="BH313" s="44" t="s">
        <v>1542</v>
      </c>
      <c r="BI313" s="44" t="s">
        <v>1542</v>
      </c>
      <c r="BJ313" s="44" t="s">
        <v>1542</v>
      </c>
      <c r="BK313" s="44" t="s">
        <v>1542</v>
      </c>
      <c r="BL313" s="44" t="s">
        <v>1542</v>
      </c>
      <c r="BM313" s="44" t="s">
        <v>1542</v>
      </c>
      <c r="BN313" s="44" t="s">
        <v>1542</v>
      </c>
      <c r="BO313" s="46">
        <f t="shared" si="22"/>
        <v>0</v>
      </c>
      <c r="BP313" s="43" t="s">
        <v>1542</v>
      </c>
      <c r="BQ313" s="43" t="s">
        <v>1542</v>
      </c>
      <c r="BR313" s="43" t="s">
        <v>1542</v>
      </c>
      <c r="BS313" s="43" t="s">
        <v>1542</v>
      </c>
      <c r="BT313" s="43" t="s">
        <v>1542</v>
      </c>
      <c r="BU313" s="43" t="s">
        <v>1542</v>
      </c>
      <c r="BV313" s="43" t="s">
        <v>1542</v>
      </c>
      <c r="BW313" s="43" t="s">
        <v>1542</v>
      </c>
      <c r="BX313" s="43" t="s">
        <v>1542</v>
      </c>
      <c r="BY313" s="43" t="s">
        <v>1542</v>
      </c>
      <c r="BZ313" s="43" t="s">
        <v>1542</v>
      </c>
      <c r="CA313" s="43" t="s">
        <v>1542</v>
      </c>
    </row>
    <row r="314" spans="1:79">
      <c r="A314">
        <v>313</v>
      </c>
      <c r="B314">
        <v>1</v>
      </c>
      <c r="C314" t="s">
        <v>2935</v>
      </c>
      <c r="D314" t="s">
        <v>2936</v>
      </c>
      <c r="E314" t="s">
        <v>2937</v>
      </c>
      <c r="F314" t="s">
        <v>2938</v>
      </c>
      <c r="G314" t="s">
        <v>2969</v>
      </c>
      <c r="H314" t="s">
        <v>2969</v>
      </c>
      <c r="J314" t="s">
        <v>2970</v>
      </c>
      <c r="K314" t="s">
        <v>2971</v>
      </c>
      <c r="M314" s="1" t="s">
        <v>2972</v>
      </c>
      <c r="N314" t="s">
        <v>2973</v>
      </c>
      <c r="O314" s="46">
        <f t="shared" si="23"/>
        <v>3</v>
      </c>
      <c r="P314" s="43" t="s">
        <v>1542</v>
      </c>
      <c r="Q314" s="43" t="s">
        <v>1542</v>
      </c>
      <c r="R314" s="43" t="s">
        <v>1554</v>
      </c>
      <c r="S314" s="43" t="s">
        <v>1554</v>
      </c>
      <c r="T314" s="43" t="s">
        <v>1554</v>
      </c>
      <c r="U314" s="43" t="s">
        <v>1542</v>
      </c>
      <c r="V314" s="43" t="s">
        <v>1542</v>
      </c>
      <c r="W314" s="43" t="s">
        <v>1542</v>
      </c>
      <c r="X314" s="43" t="s">
        <v>1542</v>
      </c>
      <c r="Y314" s="43" t="s">
        <v>1542</v>
      </c>
      <c r="Z314" s="43" t="s">
        <v>1542</v>
      </c>
      <c r="AA314" s="43" t="s">
        <v>1542</v>
      </c>
      <c r="AB314" s="46">
        <f t="shared" si="24"/>
        <v>0</v>
      </c>
      <c r="AC314" s="44" t="s">
        <v>1542</v>
      </c>
      <c r="AD314" s="44" t="s">
        <v>1542</v>
      </c>
      <c r="AE314" s="44" t="s">
        <v>1542</v>
      </c>
      <c r="AF314" s="44" t="s">
        <v>1542</v>
      </c>
      <c r="AG314" s="44" t="s">
        <v>1542</v>
      </c>
      <c r="AH314" s="44" t="s">
        <v>1542</v>
      </c>
      <c r="AI314" s="44" t="s">
        <v>1542</v>
      </c>
      <c r="AJ314" s="44" t="s">
        <v>1542</v>
      </c>
      <c r="AK314" s="44" t="s">
        <v>1542</v>
      </c>
      <c r="AL314" s="44" t="s">
        <v>1542</v>
      </c>
      <c r="AM314" s="44" t="s">
        <v>1542</v>
      </c>
      <c r="AN314" s="44" t="s">
        <v>1542</v>
      </c>
      <c r="AO314" s="46">
        <f t="shared" si="20"/>
        <v>0</v>
      </c>
      <c r="AP314" s="43" t="s">
        <v>1542</v>
      </c>
      <c r="AQ314" s="43" t="s">
        <v>1542</v>
      </c>
      <c r="AR314" s="43" t="s">
        <v>1542</v>
      </c>
      <c r="AS314" s="43" t="s">
        <v>1542</v>
      </c>
      <c r="AT314" s="43" t="s">
        <v>1542</v>
      </c>
      <c r="AU314" s="43" t="s">
        <v>1542</v>
      </c>
      <c r="AV314" s="43" t="s">
        <v>1542</v>
      </c>
      <c r="AW314" s="43" t="s">
        <v>1542</v>
      </c>
      <c r="AX314" s="43" t="s">
        <v>1542</v>
      </c>
      <c r="AY314" s="43" t="s">
        <v>1542</v>
      </c>
      <c r="AZ314" s="43" t="s">
        <v>1542</v>
      </c>
      <c r="BA314" s="43" t="s">
        <v>1542</v>
      </c>
      <c r="BB314" s="46">
        <f t="shared" si="21"/>
        <v>0</v>
      </c>
      <c r="BC314" s="44" t="s">
        <v>1542</v>
      </c>
      <c r="BD314" s="44" t="s">
        <v>1542</v>
      </c>
      <c r="BE314" s="44" t="s">
        <v>1542</v>
      </c>
      <c r="BF314" s="44" t="s">
        <v>1542</v>
      </c>
      <c r="BG314" s="44" t="s">
        <v>1542</v>
      </c>
      <c r="BH314" s="44" t="s">
        <v>1542</v>
      </c>
      <c r="BI314" s="44" t="s">
        <v>1542</v>
      </c>
      <c r="BJ314" s="44" t="s">
        <v>1542</v>
      </c>
      <c r="BK314" s="44" t="s">
        <v>1542</v>
      </c>
      <c r="BL314" s="44" t="s">
        <v>1542</v>
      </c>
      <c r="BM314" s="44" t="s">
        <v>1542</v>
      </c>
      <c r="BN314" s="44" t="s">
        <v>1542</v>
      </c>
      <c r="BO314" s="46">
        <f t="shared" si="22"/>
        <v>0</v>
      </c>
      <c r="BP314" s="43" t="s">
        <v>1542</v>
      </c>
      <c r="BQ314" s="43" t="s">
        <v>1542</v>
      </c>
      <c r="BR314" s="43" t="s">
        <v>1542</v>
      </c>
      <c r="BS314" s="43" t="s">
        <v>1542</v>
      </c>
      <c r="BT314" s="43" t="s">
        <v>1542</v>
      </c>
      <c r="BU314" s="43" t="s">
        <v>1542</v>
      </c>
      <c r="BV314" s="43" t="s">
        <v>1542</v>
      </c>
      <c r="BW314" s="43" t="s">
        <v>1542</v>
      </c>
      <c r="BX314" s="43" t="s">
        <v>1542</v>
      </c>
      <c r="BY314" s="43" t="s">
        <v>1542</v>
      </c>
      <c r="BZ314" s="43" t="s">
        <v>1542</v>
      </c>
      <c r="CA314" s="43" t="s">
        <v>1542</v>
      </c>
    </row>
    <row r="315" spans="1:79">
      <c r="A315">
        <v>314</v>
      </c>
      <c r="B315">
        <v>1</v>
      </c>
      <c r="C315" t="s">
        <v>2935</v>
      </c>
      <c r="D315" t="s">
        <v>2936</v>
      </c>
      <c r="E315" t="s">
        <v>2974</v>
      </c>
      <c r="F315" t="s">
        <v>2975</v>
      </c>
      <c r="G315" t="s">
        <v>2976</v>
      </c>
      <c r="H315" t="s">
        <v>2976</v>
      </c>
      <c r="J315" t="s">
        <v>2977</v>
      </c>
      <c r="K315" t="s">
        <v>2978</v>
      </c>
      <c r="M315" s="1" t="s">
        <v>2979</v>
      </c>
      <c r="O315" s="46">
        <f t="shared" si="23"/>
        <v>0</v>
      </c>
      <c r="P315" s="43" t="s">
        <v>1542</v>
      </c>
      <c r="Q315" s="43" t="s">
        <v>1542</v>
      </c>
      <c r="R315" s="43" t="s">
        <v>1542</v>
      </c>
      <c r="S315" s="43" t="s">
        <v>1542</v>
      </c>
      <c r="T315" s="43" t="s">
        <v>1542</v>
      </c>
      <c r="U315" s="43" t="s">
        <v>1542</v>
      </c>
      <c r="V315" s="43" t="s">
        <v>1542</v>
      </c>
      <c r="W315" s="43" t="s">
        <v>1542</v>
      </c>
      <c r="X315" s="43" t="s">
        <v>1542</v>
      </c>
      <c r="Y315" s="43" t="s">
        <v>1542</v>
      </c>
      <c r="Z315" s="43" t="s">
        <v>1542</v>
      </c>
      <c r="AA315" s="43" t="s">
        <v>1542</v>
      </c>
      <c r="AB315" s="46">
        <f t="shared" si="24"/>
        <v>0</v>
      </c>
      <c r="AC315" s="44" t="s">
        <v>1542</v>
      </c>
      <c r="AD315" s="44" t="s">
        <v>1542</v>
      </c>
      <c r="AE315" s="44" t="s">
        <v>1542</v>
      </c>
      <c r="AF315" s="44" t="s">
        <v>1542</v>
      </c>
      <c r="AG315" s="44" t="s">
        <v>1542</v>
      </c>
      <c r="AH315" s="44" t="s">
        <v>1542</v>
      </c>
      <c r="AI315" s="44" t="s">
        <v>1542</v>
      </c>
      <c r="AJ315" s="44" t="s">
        <v>1542</v>
      </c>
      <c r="AK315" s="44" t="s">
        <v>1542</v>
      </c>
      <c r="AL315" s="44" t="s">
        <v>1542</v>
      </c>
      <c r="AM315" s="44" t="s">
        <v>1542</v>
      </c>
      <c r="AN315" s="44" t="s">
        <v>1542</v>
      </c>
      <c r="AO315" s="46">
        <f t="shared" si="20"/>
        <v>0</v>
      </c>
      <c r="AP315" s="43" t="s">
        <v>1542</v>
      </c>
      <c r="AQ315" s="43" t="s">
        <v>1542</v>
      </c>
      <c r="AR315" s="43" t="s">
        <v>1542</v>
      </c>
      <c r="AS315" s="43" t="s">
        <v>1542</v>
      </c>
      <c r="AT315" s="43" t="s">
        <v>1542</v>
      </c>
      <c r="AU315" s="43" t="s">
        <v>1542</v>
      </c>
      <c r="AV315" s="43" t="s">
        <v>1542</v>
      </c>
      <c r="AW315" s="43" t="s">
        <v>1542</v>
      </c>
      <c r="AX315" s="43" t="s">
        <v>1542</v>
      </c>
      <c r="AY315" s="43" t="s">
        <v>1542</v>
      </c>
      <c r="AZ315" s="43" t="s">
        <v>1542</v>
      </c>
      <c r="BA315" s="43" t="s">
        <v>1542</v>
      </c>
      <c r="BB315" s="46">
        <f t="shared" si="21"/>
        <v>0</v>
      </c>
      <c r="BC315" s="44" t="s">
        <v>1542</v>
      </c>
      <c r="BD315" s="44" t="s">
        <v>1542</v>
      </c>
      <c r="BE315" s="44" t="s">
        <v>1542</v>
      </c>
      <c r="BF315" s="44" t="s">
        <v>1542</v>
      </c>
      <c r="BG315" s="44" t="s">
        <v>1542</v>
      </c>
      <c r="BH315" s="44" t="s">
        <v>1542</v>
      </c>
      <c r="BI315" s="44" t="s">
        <v>1542</v>
      </c>
      <c r="BJ315" s="44" t="s">
        <v>1542</v>
      </c>
      <c r="BK315" s="44" t="s">
        <v>1542</v>
      </c>
      <c r="BL315" s="44" t="s">
        <v>1542</v>
      </c>
      <c r="BM315" s="44" t="s">
        <v>1542</v>
      </c>
      <c r="BN315" s="44" t="s">
        <v>1542</v>
      </c>
      <c r="BO315" s="46">
        <f t="shared" si="22"/>
        <v>0</v>
      </c>
      <c r="BP315" s="43" t="s">
        <v>1542</v>
      </c>
      <c r="BQ315" s="43" t="s">
        <v>1542</v>
      </c>
      <c r="BR315" s="43" t="s">
        <v>1542</v>
      </c>
      <c r="BS315" s="43" t="s">
        <v>1542</v>
      </c>
      <c r="BT315" s="43" t="s">
        <v>1542</v>
      </c>
      <c r="BU315" s="43" t="s">
        <v>1542</v>
      </c>
      <c r="BV315" s="43" t="s">
        <v>1542</v>
      </c>
      <c r="BW315" s="43" t="s">
        <v>1542</v>
      </c>
      <c r="BX315" s="43" t="s">
        <v>1542</v>
      </c>
      <c r="BY315" s="43" t="s">
        <v>1542</v>
      </c>
      <c r="BZ315" s="43" t="s">
        <v>1542</v>
      </c>
      <c r="CA315" s="43" t="s">
        <v>1542</v>
      </c>
    </row>
    <row r="316" spans="1:79">
      <c r="A316">
        <v>315</v>
      </c>
      <c r="B316">
        <v>1</v>
      </c>
      <c r="C316" t="s">
        <v>2935</v>
      </c>
      <c r="D316" t="s">
        <v>2936</v>
      </c>
      <c r="E316" t="s">
        <v>2974</v>
      </c>
      <c r="F316" t="s">
        <v>2975</v>
      </c>
      <c r="G316" t="s">
        <v>2980</v>
      </c>
      <c r="H316" t="s">
        <v>2980</v>
      </c>
      <c r="I316" t="s">
        <v>2981</v>
      </c>
      <c r="J316" t="s">
        <v>2982</v>
      </c>
      <c r="K316" t="s">
        <v>2983</v>
      </c>
      <c r="M316" s="1" t="s">
        <v>2984</v>
      </c>
      <c r="O316" s="46">
        <f t="shared" si="23"/>
        <v>0</v>
      </c>
      <c r="P316" s="43" t="s">
        <v>1542</v>
      </c>
      <c r="Q316" s="43" t="s">
        <v>1542</v>
      </c>
      <c r="R316" s="43" t="s">
        <v>1542</v>
      </c>
      <c r="S316" s="43" t="s">
        <v>1542</v>
      </c>
      <c r="T316" s="43" t="s">
        <v>1542</v>
      </c>
      <c r="U316" s="43" t="s">
        <v>1542</v>
      </c>
      <c r="V316" s="43" t="s">
        <v>1542</v>
      </c>
      <c r="W316" s="43" t="s">
        <v>1542</v>
      </c>
      <c r="X316" s="43" t="s">
        <v>1542</v>
      </c>
      <c r="Y316" s="43" t="s">
        <v>1542</v>
      </c>
      <c r="Z316" s="43" t="s">
        <v>1542</v>
      </c>
      <c r="AA316" s="43" t="s">
        <v>1542</v>
      </c>
      <c r="AB316" s="46">
        <f t="shared" si="24"/>
        <v>0</v>
      </c>
      <c r="AC316" s="44" t="s">
        <v>1542</v>
      </c>
      <c r="AD316" s="44" t="s">
        <v>1542</v>
      </c>
      <c r="AE316" s="44" t="s">
        <v>1542</v>
      </c>
      <c r="AF316" s="44" t="s">
        <v>1542</v>
      </c>
      <c r="AG316" s="44" t="s">
        <v>1542</v>
      </c>
      <c r="AH316" s="44" t="s">
        <v>1542</v>
      </c>
      <c r="AI316" s="44" t="s">
        <v>1542</v>
      </c>
      <c r="AJ316" s="44" t="s">
        <v>1542</v>
      </c>
      <c r="AK316" s="44" t="s">
        <v>1542</v>
      </c>
      <c r="AL316" s="44" t="s">
        <v>1542</v>
      </c>
      <c r="AM316" s="44" t="s">
        <v>1542</v>
      </c>
      <c r="AN316" s="44" t="s">
        <v>1542</v>
      </c>
      <c r="AO316" s="46">
        <f t="shared" si="20"/>
        <v>0</v>
      </c>
      <c r="AP316" s="43" t="s">
        <v>1542</v>
      </c>
      <c r="AQ316" s="43" t="s">
        <v>1542</v>
      </c>
      <c r="AR316" s="43" t="s">
        <v>1542</v>
      </c>
      <c r="AS316" s="43" t="s">
        <v>1542</v>
      </c>
      <c r="AT316" s="43" t="s">
        <v>1542</v>
      </c>
      <c r="AU316" s="43" t="s">
        <v>1542</v>
      </c>
      <c r="AV316" s="43" t="s">
        <v>1542</v>
      </c>
      <c r="AW316" s="43" t="s">
        <v>1542</v>
      </c>
      <c r="AX316" s="43" t="s">
        <v>1542</v>
      </c>
      <c r="AY316" s="43" t="s">
        <v>1542</v>
      </c>
      <c r="AZ316" s="43" t="s">
        <v>1542</v>
      </c>
      <c r="BA316" s="43" t="s">
        <v>1542</v>
      </c>
      <c r="BB316" s="46">
        <f t="shared" si="21"/>
        <v>0</v>
      </c>
      <c r="BC316" s="44" t="s">
        <v>1542</v>
      </c>
      <c r="BD316" s="44" t="s">
        <v>1542</v>
      </c>
      <c r="BE316" s="44" t="s">
        <v>1542</v>
      </c>
      <c r="BF316" s="44" t="s">
        <v>1542</v>
      </c>
      <c r="BG316" s="44" t="s">
        <v>1542</v>
      </c>
      <c r="BH316" s="44" t="s">
        <v>1542</v>
      </c>
      <c r="BI316" s="44" t="s">
        <v>1542</v>
      </c>
      <c r="BJ316" s="44" t="s">
        <v>1542</v>
      </c>
      <c r="BK316" s="44" t="s">
        <v>1542</v>
      </c>
      <c r="BL316" s="44" t="s">
        <v>1542</v>
      </c>
      <c r="BM316" s="44" t="s">
        <v>1542</v>
      </c>
      <c r="BN316" s="44" t="s">
        <v>1542</v>
      </c>
      <c r="BO316" s="46">
        <f t="shared" si="22"/>
        <v>0</v>
      </c>
      <c r="BP316" s="43" t="s">
        <v>1542</v>
      </c>
      <c r="BQ316" s="43" t="s">
        <v>1542</v>
      </c>
      <c r="BR316" s="43" t="s">
        <v>1542</v>
      </c>
      <c r="BS316" s="43" t="s">
        <v>1542</v>
      </c>
      <c r="BT316" s="43" t="s">
        <v>1542</v>
      </c>
      <c r="BU316" s="43" t="s">
        <v>1542</v>
      </c>
      <c r="BV316" s="43" t="s">
        <v>1542</v>
      </c>
      <c r="BW316" s="43" t="s">
        <v>1542</v>
      </c>
      <c r="BX316" s="43" t="s">
        <v>1542</v>
      </c>
      <c r="BY316" s="43" t="s">
        <v>1542</v>
      </c>
      <c r="BZ316" s="43" t="s">
        <v>1542</v>
      </c>
      <c r="CA316" s="43" t="s">
        <v>1542</v>
      </c>
    </row>
    <row r="317" spans="1:79">
      <c r="A317">
        <v>316</v>
      </c>
      <c r="B317">
        <v>1</v>
      </c>
      <c r="C317" t="s">
        <v>2935</v>
      </c>
      <c r="D317" t="s">
        <v>2936</v>
      </c>
      <c r="E317" t="s">
        <v>2937</v>
      </c>
      <c r="F317" t="s">
        <v>2938</v>
      </c>
      <c r="G317" t="s">
        <v>2985</v>
      </c>
      <c r="H317" t="s">
        <v>2985</v>
      </c>
      <c r="J317" t="s">
        <v>2986</v>
      </c>
      <c r="K317" t="s">
        <v>2987</v>
      </c>
      <c r="M317" s="1" t="s">
        <v>2988</v>
      </c>
      <c r="O317" s="46">
        <f t="shared" si="23"/>
        <v>0</v>
      </c>
      <c r="P317" s="43" t="s">
        <v>1542</v>
      </c>
      <c r="Q317" s="43" t="s">
        <v>1542</v>
      </c>
      <c r="R317" s="43" t="s">
        <v>1542</v>
      </c>
      <c r="S317" s="43" t="s">
        <v>1542</v>
      </c>
      <c r="T317" s="43" t="s">
        <v>1542</v>
      </c>
      <c r="U317" s="43" t="s">
        <v>1542</v>
      </c>
      <c r="V317" s="43" t="s">
        <v>1542</v>
      </c>
      <c r="W317" s="43" t="s">
        <v>1542</v>
      </c>
      <c r="X317" s="43" t="s">
        <v>1542</v>
      </c>
      <c r="Y317" s="43" t="s">
        <v>1542</v>
      </c>
      <c r="Z317" s="43" t="s">
        <v>1542</v>
      </c>
      <c r="AA317" s="43" t="s">
        <v>1542</v>
      </c>
      <c r="AB317" s="46">
        <f t="shared" si="24"/>
        <v>0</v>
      </c>
      <c r="AC317" s="44" t="s">
        <v>1542</v>
      </c>
      <c r="AD317" s="44" t="s">
        <v>1542</v>
      </c>
      <c r="AE317" s="44" t="s">
        <v>1542</v>
      </c>
      <c r="AF317" s="44" t="s">
        <v>1542</v>
      </c>
      <c r="AG317" s="44" t="s">
        <v>1542</v>
      </c>
      <c r="AH317" s="44" t="s">
        <v>1542</v>
      </c>
      <c r="AI317" s="44" t="s">
        <v>1542</v>
      </c>
      <c r="AJ317" s="44" t="s">
        <v>1542</v>
      </c>
      <c r="AK317" s="44" t="s">
        <v>1542</v>
      </c>
      <c r="AL317" s="44" t="s">
        <v>1542</v>
      </c>
      <c r="AM317" s="44" t="s">
        <v>1542</v>
      </c>
      <c r="AN317" s="44" t="s">
        <v>1542</v>
      </c>
      <c r="AO317" s="46">
        <f t="shared" si="20"/>
        <v>0</v>
      </c>
      <c r="AP317" s="43" t="s">
        <v>1542</v>
      </c>
      <c r="AQ317" s="43" t="s">
        <v>1542</v>
      </c>
      <c r="AR317" s="43" t="s">
        <v>1542</v>
      </c>
      <c r="AS317" s="43" t="s">
        <v>1542</v>
      </c>
      <c r="AT317" s="43" t="s">
        <v>1542</v>
      </c>
      <c r="AU317" s="43" t="s">
        <v>1542</v>
      </c>
      <c r="AV317" s="43" t="s">
        <v>1542</v>
      </c>
      <c r="AW317" s="43" t="s">
        <v>1542</v>
      </c>
      <c r="AX317" s="43" t="s">
        <v>1542</v>
      </c>
      <c r="AY317" s="43" t="s">
        <v>1542</v>
      </c>
      <c r="AZ317" s="43" t="s">
        <v>1542</v>
      </c>
      <c r="BA317" s="43" t="s">
        <v>1542</v>
      </c>
      <c r="BB317" s="46">
        <f t="shared" si="21"/>
        <v>0</v>
      </c>
      <c r="BC317" s="44" t="s">
        <v>1542</v>
      </c>
      <c r="BD317" s="44" t="s">
        <v>1542</v>
      </c>
      <c r="BE317" s="44" t="s">
        <v>1542</v>
      </c>
      <c r="BF317" s="44" t="s">
        <v>1542</v>
      </c>
      <c r="BG317" s="44" t="s">
        <v>1542</v>
      </c>
      <c r="BH317" s="44" t="s">
        <v>1542</v>
      </c>
      <c r="BI317" s="44" t="s">
        <v>1542</v>
      </c>
      <c r="BJ317" s="44" t="s">
        <v>1542</v>
      </c>
      <c r="BK317" s="44" t="s">
        <v>1542</v>
      </c>
      <c r="BL317" s="44" t="s">
        <v>1542</v>
      </c>
      <c r="BM317" s="44" t="s">
        <v>1542</v>
      </c>
      <c r="BN317" s="44" t="s">
        <v>1542</v>
      </c>
      <c r="BO317" s="46">
        <f t="shared" si="22"/>
        <v>0</v>
      </c>
      <c r="BP317" s="43" t="s">
        <v>1542</v>
      </c>
      <c r="BQ317" s="43" t="s">
        <v>1542</v>
      </c>
      <c r="BR317" s="43" t="s">
        <v>1542</v>
      </c>
      <c r="BS317" s="43" t="s">
        <v>1542</v>
      </c>
      <c r="BT317" s="43" t="s">
        <v>1542</v>
      </c>
      <c r="BU317" s="43" t="s">
        <v>1542</v>
      </c>
      <c r="BV317" s="43" t="s">
        <v>1542</v>
      </c>
      <c r="BW317" s="43" t="s">
        <v>1542</v>
      </c>
      <c r="BX317" s="43" t="s">
        <v>1542</v>
      </c>
      <c r="BY317" s="43" t="s">
        <v>1542</v>
      </c>
      <c r="BZ317" s="43" t="s">
        <v>1542</v>
      </c>
      <c r="CA317" s="43" t="s">
        <v>1542</v>
      </c>
    </row>
    <row r="318" spans="1:79">
      <c r="A318">
        <v>317</v>
      </c>
      <c r="B318">
        <v>1</v>
      </c>
      <c r="C318" t="s">
        <v>2935</v>
      </c>
      <c r="D318" t="s">
        <v>2936</v>
      </c>
      <c r="E318" t="s">
        <v>2974</v>
      </c>
      <c r="F318" t="s">
        <v>2975</v>
      </c>
      <c r="G318" t="s">
        <v>2989</v>
      </c>
      <c r="H318" t="s">
        <v>2989</v>
      </c>
      <c r="J318" t="s">
        <v>2990</v>
      </c>
      <c r="K318" t="s">
        <v>2991</v>
      </c>
      <c r="M318" s="1" t="s">
        <v>2992</v>
      </c>
      <c r="O318" s="46">
        <f t="shared" si="23"/>
        <v>0</v>
      </c>
      <c r="P318" s="43" t="s">
        <v>1542</v>
      </c>
      <c r="Q318" s="43" t="s">
        <v>1542</v>
      </c>
      <c r="R318" s="43" t="s">
        <v>1542</v>
      </c>
      <c r="S318" s="43" t="s">
        <v>1542</v>
      </c>
      <c r="T318" s="43" t="s">
        <v>1542</v>
      </c>
      <c r="U318" s="43" t="s">
        <v>1542</v>
      </c>
      <c r="V318" s="43" t="s">
        <v>1542</v>
      </c>
      <c r="W318" s="43" t="s">
        <v>1542</v>
      </c>
      <c r="X318" s="43" t="s">
        <v>1542</v>
      </c>
      <c r="Y318" s="43" t="s">
        <v>1542</v>
      </c>
      <c r="Z318" s="43" t="s">
        <v>1542</v>
      </c>
      <c r="AA318" s="43" t="s">
        <v>1542</v>
      </c>
      <c r="AB318" s="46">
        <f t="shared" si="24"/>
        <v>0</v>
      </c>
      <c r="AC318" s="44" t="s">
        <v>1542</v>
      </c>
      <c r="AD318" s="44" t="s">
        <v>1542</v>
      </c>
      <c r="AE318" s="44" t="s">
        <v>1542</v>
      </c>
      <c r="AF318" s="44" t="s">
        <v>1542</v>
      </c>
      <c r="AG318" s="44" t="s">
        <v>1542</v>
      </c>
      <c r="AH318" s="44" t="s">
        <v>1542</v>
      </c>
      <c r="AI318" s="44" t="s">
        <v>1542</v>
      </c>
      <c r="AJ318" s="44" t="s">
        <v>1542</v>
      </c>
      <c r="AK318" s="44" t="s">
        <v>1542</v>
      </c>
      <c r="AL318" s="44" t="s">
        <v>1542</v>
      </c>
      <c r="AM318" s="44" t="s">
        <v>1542</v>
      </c>
      <c r="AN318" s="44" t="s">
        <v>1542</v>
      </c>
      <c r="AO318" s="46">
        <f t="shared" si="20"/>
        <v>0</v>
      </c>
      <c r="AP318" s="43" t="s">
        <v>1542</v>
      </c>
      <c r="AQ318" s="43" t="s">
        <v>1542</v>
      </c>
      <c r="AR318" s="43" t="s">
        <v>1542</v>
      </c>
      <c r="AS318" s="43" t="s">
        <v>1542</v>
      </c>
      <c r="AT318" s="43" t="s">
        <v>1542</v>
      </c>
      <c r="AU318" s="43" t="s">
        <v>1542</v>
      </c>
      <c r="AV318" s="43" t="s">
        <v>1542</v>
      </c>
      <c r="AW318" s="43" t="s">
        <v>1542</v>
      </c>
      <c r="AX318" s="43" t="s">
        <v>1542</v>
      </c>
      <c r="AY318" s="43" t="s">
        <v>1542</v>
      </c>
      <c r="AZ318" s="43" t="s">
        <v>1542</v>
      </c>
      <c r="BA318" s="43" t="s">
        <v>1542</v>
      </c>
      <c r="BB318" s="46">
        <f t="shared" si="21"/>
        <v>0</v>
      </c>
      <c r="BC318" s="44" t="s">
        <v>1542</v>
      </c>
      <c r="BD318" s="44" t="s">
        <v>1542</v>
      </c>
      <c r="BE318" s="44" t="s">
        <v>1542</v>
      </c>
      <c r="BF318" s="44" t="s">
        <v>1542</v>
      </c>
      <c r="BG318" s="44" t="s">
        <v>1542</v>
      </c>
      <c r="BH318" s="44" t="s">
        <v>1542</v>
      </c>
      <c r="BI318" s="44" t="s">
        <v>1542</v>
      </c>
      <c r="BJ318" s="44" t="s">
        <v>1542</v>
      </c>
      <c r="BK318" s="44" t="s">
        <v>1542</v>
      </c>
      <c r="BL318" s="44" t="s">
        <v>1542</v>
      </c>
      <c r="BM318" s="44" t="s">
        <v>1542</v>
      </c>
      <c r="BN318" s="44" t="s">
        <v>1542</v>
      </c>
      <c r="BO318" s="46">
        <f t="shared" si="22"/>
        <v>0</v>
      </c>
      <c r="BP318" s="43" t="s">
        <v>1542</v>
      </c>
      <c r="BQ318" s="43" t="s">
        <v>1542</v>
      </c>
      <c r="BR318" s="43" t="s">
        <v>1542</v>
      </c>
      <c r="BS318" s="43" t="s">
        <v>1542</v>
      </c>
      <c r="BT318" s="43" t="s">
        <v>1542</v>
      </c>
      <c r="BU318" s="43" t="s">
        <v>1542</v>
      </c>
      <c r="BV318" s="43" t="s">
        <v>1542</v>
      </c>
      <c r="BW318" s="43" t="s">
        <v>1542</v>
      </c>
      <c r="BX318" s="43" t="s">
        <v>1542</v>
      </c>
      <c r="BY318" s="43" t="s">
        <v>1542</v>
      </c>
      <c r="BZ318" s="43" t="s">
        <v>1542</v>
      </c>
      <c r="CA318" s="43" t="s">
        <v>1542</v>
      </c>
    </row>
    <row r="319" spans="1:79">
      <c r="A319">
        <v>318</v>
      </c>
      <c r="B319">
        <v>1</v>
      </c>
      <c r="C319" t="s">
        <v>2935</v>
      </c>
      <c r="D319" t="s">
        <v>2936</v>
      </c>
      <c r="E319" t="s">
        <v>2937</v>
      </c>
      <c r="F319" t="s">
        <v>2938</v>
      </c>
      <c r="G319" t="s">
        <v>2993</v>
      </c>
      <c r="H319" t="s">
        <v>2993</v>
      </c>
      <c r="J319" t="s">
        <v>2994</v>
      </c>
      <c r="K319" t="s">
        <v>2995</v>
      </c>
      <c r="M319" s="1" t="s">
        <v>2996</v>
      </c>
      <c r="O319" s="46">
        <f t="shared" si="23"/>
        <v>0</v>
      </c>
      <c r="P319" s="43" t="s">
        <v>1542</v>
      </c>
      <c r="Q319" s="43" t="s">
        <v>1542</v>
      </c>
      <c r="R319" s="43" t="s">
        <v>1542</v>
      </c>
      <c r="S319" s="43" t="s">
        <v>1542</v>
      </c>
      <c r="T319" s="43" t="s">
        <v>1542</v>
      </c>
      <c r="U319" s="43" t="s">
        <v>1542</v>
      </c>
      <c r="V319" s="43" t="s">
        <v>1542</v>
      </c>
      <c r="W319" s="43" t="s">
        <v>1542</v>
      </c>
      <c r="X319" s="43" t="s">
        <v>1542</v>
      </c>
      <c r="Y319" s="43" t="s">
        <v>1542</v>
      </c>
      <c r="Z319" s="43" t="s">
        <v>1542</v>
      </c>
      <c r="AA319" s="43" t="s">
        <v>1542</v>
      </c>
      <c r="AB319" s="46">
        <f t="shared" si="24"/>
        <v>0</v>
      </c>
      <c r="AC319" s="44" t="s">
        <v>1542</v>
      </c>
      <c r="AD319" s="44" t="s">
        <v>1542</v>
      </c>
      <c r="AE319" s="44" t="s">
        <v>1542</v>
      </c>
      <c r="AF319" s="44" t="s">
        <v>1542</v>
      </c>
      <c r="AG319" s="44" t="s">
        <v>1542</v>
      </c>
      <c r="AH319" s="44" t="s">
        <v>1542</v>
      </c>
      <c r="AI319" s="44" t="s">
        <v>1542</v>
      </c>
      <c r="AJ319" s="44" t="s">
        <v>1542</v>
      </c>
      <c r="AK319" s="44" t="s">
        <v>1542</v>
      </c>
      <c r="AL319" s="44" t="s">
        <v>1542</v>
      </c>
      <c r="AM319" s="44" t="s">
        <v>1542</v>
      </c>
      <c r="AN319" s="44" t="s">
        <v>1542</v>
      </c>
      <c r="AO319" s="46">
        <f t="shared" si="20"/>
        <v>0</v>
      </c>
      <c r="AP319" s="43" t="s">
        <v>1542</v>
      </c>
      <c r="AQ319" s="43" t="s">
        <v>1542</v>
      </c>
      <c r="AR319" s="43" t="s">
        <v>1542</v>
      </c>
      <c r="AS319" s="43" t="s">
        <v>1542</v>
      </c>
      <c r="AT319" s="43" t="s">
        <v>1542</v>
      </c>
      <c r="AU319" s="43" t="s">
        <v>1542</v>
      </c>
      <c r="AV319" s="43" t="s">
        <v>1542</v>
      </c>
      <c r="AW319" s="43" t="s">
        <v>1542</v>
      </c>
      <c r="AX319" s="43" t="s">
        <v>1542</v>
      </c>
      <c r="AY319" s="43" t="s">
        <v>1542</v>
      </c>
      <c r="AZ319" s="43" t="s">
        <v>1542</v>
      </c>
      <c r="BA319" s="43" t="s">
        <v>1542</v>
      </c>
      <c r="BB319" s="46">
        <f t="shared" si="21"/>
        <v>0</v>
      </c>
      <c r="BC319" s="44" t="s">
        <v>1542</v>
      </c>
      <c r="BD319" s="44" t="s">
        <v>1542</v>
      </c>
      <c r="BE319" s="44" t="s">
        <v>1542</v>
      </c>
      <c r="BF319" s="44" t="s">
        <v>1542</v>
      </c>
      <c r="BG319" s="44" t="s">
        <v>1542</v>
      </c>
      <c r="BH319" s="44" t="s">
        <v>1542</v>
      </c>
      <c r="BI319" s="44" t="s">
        <v>1542</v>
      </c>
      <c r="BJ319" s="44" t="s">
        <v>1542</v>
      </c>
      <c r="BK319" s="44" t="s">
        <v>1542</v>
      </c>
      <c r="BL319" s="44" t="s">
        <v>1542</v>
      </c>
      <c r="BM319" s="44" t="s">
        <v>1542</v>
      </c>
      <c r="BN319" s="44" t="s">
        <v>1542</v>
      </c>
      <c r="BO319" s="46">
        <f t="shared" si="22"/>
        <v>0</v>
      </c>
      <c r="BP319" s="43" t="s">
        <v>1542</v>
      </c>
      <c r="BQ319" s="43" t="s">
        <v>1542</v>
      </c>
      <c r="BR319" s="43" t="s">
        <v>1542</v>
      </c>
      <c r="BS319" s="43" t="s">
        <v>1542</v>
      </c>
      <c r="BT319" s="43" t="s">
        <v>1542</v>
      </c>
      <c r="BU319" s="43" t="s">
        <v>1542</v>
      </c>
      <c r="BV319" s="43" t="s">
        <v>1542</v>
      </c>
      <c r="BW319" s="43" t="s">
        <v>1542</v>
      </c>
      <c r="BX319" s="43" t="s">
        <v>1542</v>
      </c>
      <c r="BY319" s="43" t="s">
        <v>1542</v>
      </c>
      <c r="BZ319" s="43" t="s">
        <v>1542</v>
      </c>
      <c r="CA319" s="43" t="s">
        <v>1542</v>
      </c>
    </row>
    <row r="320" spans="1:79">
      <c r="A320">
        <v>319</v>
      </c>
      <c r="B320">
        <v>1</v>
      </c>
      <c r="C320" t="s">
        <v>2935</v>
      </c>
      <c r="D320" t="s">
        <v>2936</v>
      </c>
      <c r="E320" t="s">
        <v>2937</v>
      </c>
      <c r="F320" t="s">
        <v>2938</v>
      </c>
      <c r="G320" t="s">
        <v>2997</v>
      </c>
      <c r="H320" t="s">
        <v>2997</v>
      </c>
      <c r="J320" t="s">
        <v>2998</v>
      </c>
      <c r="K320" t="s">
        <v>2999</v>
      </c>
      <c r="M320" s="1" t="s">
        <v>3000</v>
      </c>
      <c r="N320" t="s">
        <v>3001</v>
      </c>
      <c r="O320" s="46">
        <f t="shared" si="23"/>
        <v>0</v>
      </c>
      <c r="P320" s="43" t="s">
        <v>1542</v>
      </c>
      <c r="Q320" s="43" t="s">
        <v>1542</v>
      </c>
      <c r="R320" s="43" t="s">
        <v>1542</v>
      </c>
      <c r="S320" s="43" t="s">
        <v>1542</v>
      </c>
      <c r="T320" s="43" t="s">
        <v>1542</v>
      </c>
      <c r="U320" s="43" t="s">
        <v>1542</v>
      </c>
      <c r="V320" s="43" t="s">
        <v>1542</v>
      </c>
      <c r="W320" s="43" t="s">
        <v>1542</v>
      </c>
      <c r="X320" s="43" t="s">
        <v>1542</v>
      </c>
      <c r="Y320" s="43" t="s">
        <v>1542</v>
      </c>
      <c r="Z320" s="43" t="s">
        <v>1542</v>
      </c>
      <c r="AA320" s="43" t="s">
        <v>1542</v>
      </c>
      <c r="AB320" s="46">
        <f t="shared" si="24"/>
        <v>0</v>
      </c>
      <c r="AC320" s="44" t="s">
        <v>1542</v>
      </c>
      <c r="AD320" s="44" t="s">
        <v>1542</v>
      </c>
      <c r="AE320" s="44" t="s">
        <v>1542</v>
      </c>
      <c r="AF320" s="44" t="s">
        <v>1542</v>
      </c>
      <c r="AG320" s="44" t="s">
        <v>1542</v>
      </c>
      <c r="AH320" s="44" t="s">
        <v>1542</v>
      </c>
      <c r="AI320" s="44" t="s">
        <v>1542</v>
      </c>
      <c r="AJ320" s="44" t="s">
        <v>1542</v>
      </c>
      <c r="AK320" s="44" t="s">
        <v>1542</v>
      </c>
      <c r="AL320" s="44" t="s">
        <v>1542</v>
      </c>
      <c r="AM320" s="44" t="s">
        <v>1542</v>
      </c>
      <c r="AN320" s="44" t="s">
        <v>1542</v>
      </c>
      <c r="AO320" s="46">
        <f t="shared" si="20"/>
        <v>0</v>
      </c>
      <c r="AP320" s="43" t="s">
        <v>1542</v>
      </c>
      <c r="AQ320" s="43" t="s">
        <v>1542</v>
      </c>
      <c r="AR320" s="43" t="s">
        <v>1542</v>
      </c>
      <c r="AS320" s="43" t="s">
        <v>1542</v>
      </c>
      <c r="AT320" s="43" t="s">
        <v>1542</v>
      </c>
      <c r="AU320" s="43" t="s">
        <v>1542</v>
      </c>
      <c r="AV320" s="43" t="s">
        <v>1542</v>
      </c>
      <c r="AW320" s="43" t="s">
        <v>1542</v>
      </c>
      <c r="AX320" s="43" t="s">
        <v>1542</v>
      </c>
      <c r="AY320" s="43" t="s">
        <v>1542</v>
      </c>
      <c r="AZ320" s="43" t="s">
        <v>1542</v>
      </c>
      <c r="BA320" s="43" t="s">
        <v>1542</v>
      </c>
      <c r="BB320" s="46">
        <f t="shared" si="21"/>
        <v>0</v>
      </c>
      <c r="BC320" s="44" t="s">
        <v>1542</v>
      </c>
      <c r="BD320" s="44" t="s">
        <v>1542</v>
      </c>
      <c r="BE320" s="44" t="s">
        <v>1542</v>
      </c>
      <c r="BF320" s="44" t="s">
        <v>1542</v>
      </c>
      <c r="BG320" s="44" t="s">
        <v>1542</v>
      </c>
      <c r="BH320" s="44" t="s">
        <v>1542</v>
      </c>
      <c r="BI320" s="44" t="s">
        <v>1542</v>
      </c>
      <c r="BJ320" s="44" t="s">
        <v>1542</v>
      </c>
      <c r="BK320" s="44" t="s">
        <v>1542</v>
      </c>
      <c r="BL320" s="44" t="s">
        <v>1542</v>
      </c>
      <c r="BM320" s="44" t="s">
        <v>1542</v>
      </c>
      <c r="BN320" s="44" t="s">
        <v>1542</v>
      </c>
      <c r="BO320" s="46">
        <f t="shared" si="22"/>
        <v>0</v>
      </c>
      <c r="BP320" s="43" t="s">
        <v>1554</v>
      </c>
      <c r="BQ320" s="43" t="s">
        <v>1554</v>
      </c>
      <c r="BR320" s="43" t="s">
        <v>1542</v>
      </c>
      <c r="BS320" s="43" t="s">
        <v>1542</v>
      </c>
      <c r="BT320" s="43" t="s">
        <v>1542</v>
      </c>
      <c r="BU320" s="43" t="s">
        <v>1542</v>
      </c>
      <c r="BV320" s="43" t="s">
        <v>1542</v>
      </c>
      <c r="BW320" s="43" t="s">
        <v>1542</v>
      </c>
      <c r="BX320" s="43" t="s">
        <v>1542</v>
      </c>
      <c r="BY320" s="43" t="s">
        <v>1542</v>
      </c>
      <c r="BZ320" s="43" t="s">
        <v>1542</v>
      </c>
      <c r="CA320" s="43" t="s">
        <v>1542</v>
      </c>
    </row>
    <row r="321" spans="1:79">
      <c r="A321">
        <v>320</v>
      </c>
      <c r="B321">
        <v>1</v>
      </c>
      <c r="C321" t="s">
        <v>2935</v>
      </c>
      <c r="D321" t="s">
        <v>2936</v>
      </c>
      <c r="E321" t="s">
        <v>2937</v>
      </c>
      <c r="F321" t="s">
        <v>2938</v>
      </c>
      <c r="G321" t="s">
        <v>3002</v>
      </c>
      <c r="H321" t="s">
        <v>3002</v>
      </c>
      <c r="J321" t="s">
        <v>3003</v>
      </c>
      <c r="K321" t="s">
        <v>3004</v>
      </c>
      <c r="M321" s="1" t="s">
        <v>3005</v>
      </c>
      <c r="O321" s="46">
        <f t="shared" si="23"/>
        <v>0</v>
      </c>
      <c r="P321" s="43" t="s">
        <v>1542</v>
      </c>
      <c r="Q321" s="43" t="s">
        <v>1542</v>
      </c>
      <c r="R321" s="43" t="s">
        <v>1542</v>
      </c>
      <c r="S321" s="43" t="s">
        <v>1542</v>
      </c>
      <c r="T321" s="43" t="s">
        <v>1542</v>
      </c>
      <c r="U321" s="43" t="s">
        <v>1542</v>
      </c>
      <c r="V321" s="43" t="s">
        <v>1542</v>
      </c>
      <c r="W321" s="43" t="s">
        <v>1542</v>
      </c>
      <c r="X321" s="43" t="s">
        <v>1542</v>
      </c>
      <c r="Y321" s="43" t="s">
        <v>1542</v>
      </c>
      <c r="Z321" s="43" t="s">
        <v>1542</v>
      </c>
      <c r="AA321" s="43" t="s">
        <v>1542</v>
      </c>
      <c r="AB321" s="46">
        <f t="shared" si="24"/>
        <v>0</v>
      </c>
      <c r="AC321" s="44" t="s">
        <v>1542</v>
      </c>
      <c r="AD321" s="44" t="s">
        <v>1542</v>
      </c>
      <c r="AE321" s="44" t="s">
        <v>1542</v>
      </c>
      <c r="AF321" s="44" t="s">
        <v>1542</v>
      </c>
      <c r="AG321" s="44" t="s">
        <v>1542</v>
      </c>
      <c r="AH321" s="44" t="s">
        <v>1542</v>
      </c>
      <c r="AI321" s="44" t="s">
        <v>1542</v>
      </c>
      <c r="AJ321" s="44" t="s">
        <v>1542</v>
      </c>
      <c r="AK321" s="44" t="s">
        <v>1542</v>
      </c>
      <c r="AL321" s="44" t="s">
        <v>1542</v>
      </c>
      <c r="AM321" s="44" t="s">
        <v>1542</v>
      </c>
      <c r="AN321" s="44" t="s">
        <v>1542</v>
      </c>
      <c r="AO321" s="46">
        <f t="shared" si="20"/>
        <v>0</v>
      </c>
      <c r="AP321" s="43" t="s">
        <v>1542</v>
      </c>
      <c r="AQ321" s="43" t="s">
        <v>1542</v>
      </c>
      <c r="AR321" s="43" t="s">
        <v>1542</v>
      </c>
      <c r="AS321" s="43" t="s">
        <v>1542</v>
      </c>
      <c r="AT321" s="43" t="s">
        <v>1542</v>
      </c>
      <c r="AU321" s="43" t="s">
        <v>1542</v>
      </c>
      <c r="AV321" s="43" t="s">
        <v>1542</v>
      </c>
      <c r="AW321" s="43" t="s">
        <v>1542</v>
      </c>
      <c r="AX321" s="43" t="s">
        <v>1542</v>
      </c>
      <c r="AY321" s="43" t="s">
        <v>1542</v>
      </c>
      <c r="AZ321" s="43" t="s">
        <v>1542</v>
      </c>
      <c r="BA321" s="43" t="s">
        <v>1542</v>
      </c>
      <c r="BB321" s="46">
        <f t="shared" si="21"/>
        <v>0</v>
      </c>
      <c r="BC321" s="44" t="s">
        <v>1542</v>
      </c>
      <c r="BD321" s="44" t="s">
        <v>1542</v>
      </c>
      <c r="BE321" s="44" t="s">
        <v>1542</v>
      </c>
      <c r="BF321" s="44" t="s">
        <v>1542</v>
      </c>
      <c r="BG321" s="44" t="s">
        <v>1542</v>
      </c>
      <c r="BH321" s="44" t="s">
        <v>1542</v>
      </c>
      <c r="BI321" s="44" t="s">
        <v>1542</v>
      </c>
      <c r="BJ321" s="44" t="s">
        <v>1542</v>
      </c>
      <c r="BK321" s="44" t="s">
        <v>1542</v>
      </c>
      <c r="BL321" s="44" t="s">
        <v>1542</v>
      </c>
      <c r="BM321" s="44" t="s">
        <v>1542</v>
      </c>
      <c r="BN321" s="44" t="s">
        <v>1542</v>
      </c>
      <c r="BO321" s="46">
        <f t="shared" si="22"/>
        <v>0</v>
      </c>
      <c r="BP321" s="43" t="s">
        <v>1542</v>
      </c>
      <c r="BQ321" s="43" t="s">
        <v>1542</v>
      </c>
      <c r="BR321" s="43" t="s">
        <v>1542</v>
      </c>
      <c r="BS321" s="43" t="s">
        <v>1542</v>
      </c>
      <c r="BT321" s="43" t="s">
        <v>1542</v>
      </c>
      <c r="BU321" s="43" t="s">
        <v>1542</v>
      </c>
      <c r="BV321" s="43" t="s">
        <v>1542</v>
      </c>
      <c r="BW321" s="43" t="s">
        <v>1542</v>
      </c>
      <c r="BX321" s="43" t="s">
        <v>1542</v>
      </c>
      <c r="BY321" s="43" t="s">
        <v>1542</v>
      </c>
      <c r="BZ321" s="43" t="s">
        <v>1542</v>
      </c>
      <c r="CA321" s="43" t="s">
        <v>1542</v>
      </c>
    </row>
    <row r="322" spans="1:79">
      <c r="A322">
        <v>321</v>
      </c>
      <c r="B322">
        <v>1</v>
      </c>
      <c r="C322" t="s">
        <v>2935</v>
      </c>
      <c r="D322" t="s">
        <v>2936</v>
      </c>
      <c r="E322" t="s">
        <v>2937</v>
      </c>
      <c r="F322" t="s">
        <v>2938</v>
      </c>
      <c r="G322" t="s">
        <v>3006</v>
      </c>
      <c r="H322" t="s">
        <v>3006</v>
      </c>
      <c r="J322" t="s">
        <v>3007</v>
      </c>
      <c r="K322" t="s">
        <v>3008</v>
      </c>
      <c r="M322" s="1" t="s">
        <v>3009</v>
      </c>
      <c r="O322" s="46">
        <f t="shared" si="23"/>
        <v>0</v>
      </c>
      <c r="P322" s="43" t="s">
        <v>1542</v>
      </c>
      <c r="Q322" s="43" t="s">
        <v>1542</v>
      </c>
      <c r="R322" s="43" t="s">
        <v>1542</v>
      </c>
      <c r="S322" s="43" t="s">
        <v>1542</v>
      </c>
      <c r="T322" s="43" t="s">
        <v>1542</v>
      </c>
      <c r="U322" s="43" t="s">
        <v>1542</v>
      </c>
      <c r="V322" s="43" t="s">
        <v>1542</v>
      </c>
      <c r="W322" s="43" t="s">
        <v>1542</v>
      </c>
      <c r="X322" s="43" t="s">
        <v>1542</v>
      </c>
      <c r="Y322" s="43" t="s">
        <v>1542</v>
      </c>
      <c r="Z322" s="43" t="s">
        <v>1542</v>
      </c>
      <c r="AA322" s="43" t="s">
        <v>1542</v>
      </c>
      <c r="AB322" s="46">
        <f t="shared" si="24"/>
        <v>0</v>
      </c>
      <c r="AC322" s="44" t="s">
        <v>1542</v>
      </c>
      <c r="AD322" s="44" t="s">
        <v>1542</v>
      </c>
      <c r="AE322" s="44" t="s">
        <v>1542</v>
      </c>
      <c r="AF322" s="44" t="s">
        <v>1542</v>
      </c>
      <c r="AG322" s="44" t="s">
        <v>1542</v>
      </c>
      <c r="AH322" s="44" t="s">
        <v>1542</v>
      </c>
      <c r="AI322" s="44" t="s">
        <v>1542</v>
      </c>
      <c r="AJ322" s="44" t="s">
        <v>1542</v>
      </c>
      <c r="AK322" s="44" t="s">
        <v>1542</v>
      </c>
      <c r="AL322" s="44" t="s">
        <v>1542</v>
      </c>
      <c r="AM322" s="44" t="s">
        <v>1542</v>
      </c>
      <c r="AN322" s="44" t="s">
        <v>1542</v>
      </c>
      <c r="AO322" s="46">
        <f t="shared" ref="AO322:AO385" si="25">COUNTIF(AC322:AM322,"NE")</f>
        <v>0</v>
      </c>
      <c r="AP322" s="43" t="s">
        <v>1542</v>
      </c>
      <c r="AQ322" s="43" t="s">
        <v>1542</v>
      </c>
      <c r="AR322" s="43" t="s">
        <v>1542</v>
      </c>
      <c r="AS322" s="43" t="s">
        <v>1542</v>
      </c>
      <c r="AT322" s="43" t="s">
        <v>1542</v>
      </c>
      <c r="AU322" s="43" t="s">
        <v>1542</v>
      </c>
      <c r="AV322" s="43" t="s">
        <v>1542</v>
      </c>
      <c r="AW322" s="43" t="s">
        <v>1542</v>
      </c>
      <c r="AX322" s="43" t="s">
        <v>1542</v>
      </c>
      <c r="AY322" s="43" t="s">
        <v>1542</v>
      </c>
      <c r="AZ322" s="43" t="s">
        <v>1542</v>
      </c>
      <c r="BA322" s="43" t="s">
        <v>1542</v>
      </c>
      <c r="BB322" s="46">
        <f t="shared" ref="BB322:BB385" si="26">COUNTIF(AP322:AZ322,"NE")</f>
        <v>0</v>
      </c>
      <c r="BC322" s="44" t="s">
        <v>1542</v>
      </c>
      <c r="BD322" s="44" t="s">
        <v>1542</v>
      </c>
      <c r="BE322" s="44" t="s">
        <v>1542</v>
      </c>
      <c r="BF322" s="44" t="s">
        <v>1542</v>
      </c>
      <c r="BG322" s="44" t="s">
        <v>1542</v>
      </c>
      <c r="BH322" s="44" t="s">
        <v>1542</v>
      </c>
      <c r="BI322" s="44" t="s">
        <v>1542</v>
      </c>
      <c r="BJ322" s="44" t="s">
        <v>1542</v>
      </c>
      <c r="BK322" s="44" t="s">
        <v>1542</v>
      </c>
      <c r="BL322" s="44" t="s">
        <v>1542</v>
      </c>
      <c r="BM322" s="44" t="s">
        <v>1542</v>
      </c>
      <c r="BN322" s="44" t="s">
        <v>1542</v>
      </c>
      <c r="BO322" s="46">
        <f t="shared" ref="BO322:BO385" si="27">COUNTIF(BC322:BM322,"NE")</f>
        <v>0</v>
      </c>
      <c r="BP322" s="43" t="s">
        <v>1542</v>
      </c>
      <c r="BQ322" s="43" t="s">
        <v>1542</v>
      </c>
      <c r="BR322" s="43" t="s">
        <v>1542</v>
      </c>
      <c r="BS322" s="43" t="s">
        <v>1542</v>
      </c>
      <c r="BT322" s="43" t="s">
        <v>1542</v>
      </c>
      <c r="BU322" s="43" t="s">
        <v>1542</v>
      </c>
      <c r="BV322" s="43" t="s">
        <v>1542</v>
      </c>
      <c r="BW322" s="43" t="s">
        <v>1542</v>
      </c>
      <c r="BX322" s="43" t="s">
        <v>1542</v>
      </c>
      <c r="BY322" s="43" t="s">
        <v>1542</v>
      </c>
      <c r="BZ322" s="43" t="s">
        <v>1542</v>
      </c>
      <c r="CA322" s="43" t="s">
        <v>1542</v>
      </c>
    </row>
    <row r="323" spans="1:79">
      <c r="A323">
        <v>322</v>
      </c>
      <c r="B323">
        <v>1</v>
      </c>
      <c r="C323" t="s">
        <v>2935</v>
      </c>
      <c r="D323" t="s">
        <v>2936</v>
      </c>
      <c r="E323" t="s">
        <v>2937</v>
      </c>
      <c r="F323" t="s">
        <v>2938</v>
      </c>
      <c r="G323" t="s">
        <v>3010</v>
      </c>
      <c r="H323" t="s">
        <v>3010</v>
      </c>
      <c r="J323" t="s">
        <v>3011</v>
      </c>
      <c r="K323" t="s">
        <v>3012</v>
      </c>
      <c r="M323" s="1" t="s">
        <v>3013</v>
      </c>
      <c r="N323" t="s">
        <v>3014</v>
      </c>
      <c r="O323" s="46">
        <f t="shared" ref="O323:O386" si="28">COUNTIF(P323:AA323,"NE")</f>
        <v>0</v>
      </c>
      <c r="P323" s="43" t="s">
        <v>1542</v>
      </c>
      <c r="Q323" s="43" t="s">
        <v>1542</v>
      </c>
      <c r="R323" s="43" t="s">
        <v>1542</v>
      </c>
      <c r="S323" s="43" t="s">
        <v>1542</v>
      </c>
      <c r="T323" s="43" t="s">
        <v>1542</v>
      </c>
      <c r="U323" s="43" t="s">
        <v>1542</v>
      </c>
      <c r="V323" s="43" t="s">
        <v>1542</v>
      </c>
      <c r="W323" s="43" t="s">
        <v>1542</v>
      </c>
      <c r="X323" s="43" t="s">
        <v>1542</v>
      </c>
      <c r="Y323" s="43" t="s">
        <v>1542</v>
      </c>
      <c r="Z323" s="43" t="s">
        <v>1542</v>
      </c>
      <c r="AA323" s="43" t="s">
        <v>1542</v>
      </c>
      <c r="AB323" s="46">
        <f t="shared" ref="AB323:AB386" si="29">COUNTIF(AC323:AN323,"NE")</f>
        <v>0</v>
      </c>
      <c r="AC323" s="44" t="s">
        <v>1542</v>
      </c>
      <c r="AD323" s="44" t="s">
        <v>1542</v>
      </c>
      <c r="AE323" s="44" t="s">
        <v>1542</v>
      </c>
      <c r="AF323" s="44" t="s">
        <v>1542</v>
      </c>
      <c r="AG323" s="44" t="s">
        <v>1542</v>
      </c>
      <c r="AH323" s="44" t="s">
        <v>1542</v>
      </c>
      <c r="AI323" s="44" t="s">
        <v>1542</v>
      </c>
      <c r="AJ323" s="44" t="s">
        <v>1542</v>
      </c>
      <c r="AK323" s="44" t="s">
        <v>1542</v>
      </c>
      <c r="AL323" s="44" t="s">
        <v>1542</v>
      </c>
      <c r="AM323" s="44" t="s">
        <v>1542</v>
      </c>
      <c r="AN323" s="44" t="s">
        <v>1542</v>
      </c>
      <c r="AO323" s="46">
        <f t="shared" si="25"/>
        <v>0</v>
      </c>
      <c r="AP323" s="43" t="s">
        <v>1542</v>
      </c>
      <c r="AQ323" s="43" t="s">
        <v>1542</v>
      </c>
      <c r="AR323" s="43" t="s">
        <v>1542</v>
      </c>
      <c r="AS323" s="43" t="s">
        <v>1542</v>
      </c>
      <c r="AT323" s="43" t="s">
        <v>1542</v>
      </c>
      <c r="AU323" s="43" t="s">
        <v>1542</v>
      </c>
      <c r="AV323" s="43" t="s">
        <v>1542</v>
      </c>
      <c r="AW323" s="43" t="s">
        <v>1542</v>
      </c>
      <c r="AX323" s="43" t="s">
        <v>1542</v>
      </c>
      <c r="AY323" s="43" t="s">
        <v>1542</v>
      </c>
      <c r="AZ323" s="43" t="s">
        <v>1542</v>
      </c>
      <c r="BA323" s="43" t="s">
        <v>1542</v>
      </c>
      <c r="BB323" s="46">
        <f t="shared" si="26"/>
        <v>0</v>
      </c>
      <c r="BC323" s="44" t="s">
        <v>1542</v>
      </c>
      <c r="BD323" s="44" t="s">
        <v>1542</v>
      </c>
      <c r="BE323" s="44" t="s">
        <v>1542</v>
      </c>
      <c r="BF323" s="44" t="s">
        <v>1542</v>
      </c>
      <c r="BG323" s="44" t="s">
        <v>1542</v>
      </c>
      <c r="BH323" s="44" t="s">
        <v>1542</v>
      </c>
      <c r="BI323" s="44" t="s">
        <v>1542</v>
      </c>
      <c r="BJ323" s="44" t="s">
        <v>1542</v>
      </c>
      <c r="BK323" s="44" t="s">
        <v>1542</v>
      </c>
      <c r="BL323" s="44" t="s">
        <v>1542</v>
      </c>
      <c r="BM323" s="44" t="s">
        <v>1542</v>
      </c>
      <c r="BN323" s="44" t="s">
        <v>1542</v>
      </c>
      <c r="BO323" s="46">
        <f t="shared" si="27"/>
        <v>0</v>
      </c>
      <c r="BP323" s="43" t="s">
        <v>1542</v>
      </c>
      <c r="BQ323" s="43" t="s">
        <v>1542</v>
      </c>
      <c r="BR323" s="43" t="s">
        <v>1542</v>
      </c>
      <c r="BS323" s="43" t="s">
        <v>1542</v>
      </c>
      <c r="BT323" s="43" t="s">
        <v>1542</v>
      </c>
      <c r="BU323" s="43" t="s">
        <v>1542</v>
      </c>
      <c r="BV323" s="43" t="s">
        <v>1542</v>
      </c>
      <c r="BW323" s="43" t="s">
        <v>1542</v>
      </c>
      <c r="BX323" s="43" t="s">
        <v>1542</v>
      </c>
      <c r="BY323" s="43" t="s">
        <v>1542</v>
      </c>
      <c r="BZ323" s="43" t="s">
        <v>1542</v>
      </c>
      <c r="CA323" s="43" t="s">
        <v>1542</v>
      </c>
    </row>
    <row r="324" spans="1:79">
      <c r="A324">
        <v>323</v>
      </c>
      <c r="C324" t="s">
        <v>2935</v>
      </c>
      <c r="D324" t="s">
        <v>2936</v>
      </c>
      <c r="E324" t="s">
        <v>2937</v>
      </c>
      <c r="F324" t="s">
        <v>2938</v>
      </c>
      <c r="G324" t="s">
        <v>3010</v>
      </c>
      <c r="H324" t="s">
        <v>3015</v>
      </c>
      <c r="I324" t="s">
        <v>3015</v>
      </c>
      <c r="J324" t="s">
        <v>3011</v>
      </c>
      <c r="K324" t="s">
        <v>3012</v>
      </c>
      <c r="M324" s="1" t="s">
        <v>3016</v>
      </c>
      <c r="N324" t="s">
        <v>3017</v>
      </c>
      <c r="O324" s="46">
        <f t="shared" si="28"/>
        <v>0</v>
      </c>
      <c r="P324" s="43"/>
      <c r="Q324" s="43"/>
      <c r="R324" s="43"/>
      <c r="S324" s="43"/>
      <c r="T324" s="43"/>
      <c r="U324" s="43"/>
      <c r="V324" s="43"/>
      <c r="W324" s="43"/>
      <c r="X324" s="43"/>
      <c r="Y324" s="43"/>
      <c r="Z324" s="43"/>
      <c r="AA324" s="43"/>
      <c r="AB324" s="46">
        <f t="shared" si="29"/>
        <v>1</v>
      </c>
      <c r="AC324" s="44" t="s">
        <v>1542</v>
      </c>
      <c r="AD324" s="44" t="s">
        <v>1542</v>
      </c>
      <c r="AE324" s="44" t="s">
        <v>1542</v>
      </c>
      <c r="AF324" s="44" t="s">
        <v>1542</v>
      </c>
      <c r="AG324" s="44" t="s">
        <v>1554</v>
      </c>
      <c r="AH324" s="44" t="s">
        <v>1542</v>
      </c>
      <c r="AI324" s="44" t="s">
        <v>1542</v>
      </c>
      <c r="AJ324" s="44"/>
      <c r="AK324" s="44"/>
      <c r="AL324" s="44"/>
      <c r="AM324" s="44"/>
      <c r="AN324" s="44"/>
      <c r="AO324" s="46">
        <f t="shared" si="25"/>
        <v>1</v>
      </c>
      <c r="AP324" s="43" t="s">
        <v>1542</v>
      </c>
      <c r="AQ324" s="43" t="s">
        <v>1542</v>
      </c>
      <c r="AR324" s="43" t="s">
        <v>1542</v>
      </c>
      <c r="AS324" s="43" t="s">
        <v>1542</v>
      </c>
      <c r="AT324" s="43" t="s">
        <v>1542</v>
      </c>
      <c r="AU324" s="43" t="s">
        <v>1542</v>
      </c>
      <c r="AV324" s="43" t="s">
        <v>1542</v>
      </c>
      <c r="AW324" s="43" t="s">
        <v>1542</v>
      </c>
      <c r="AX324" s="43" t="s">
        <v>1542</v>
      </c>
      <c r="AY324" s="43" t="s">
        <v>1542</v>
      </c>
      <c r="AZ324" s="43" t="s">
        <v>1542</v>
      </c>
      <c r="BA324" s="43" t="s">
        <v>1542</v>
      </c>
      <c r="BB324" s="46">
        <f t="shared" si="26"/>
        <v>0</v>
      </c>
      <c r="BC324" s="44" t="s">
        <v>1542</v>
      </c>
      <c r="BD324" s="44" t="s">
        <v>1554</v>
      </c>
      <c r="BE324" s="44" t="s">
        <v>1554</v>
      </c>
      <c r="BF324" s="44" t="s">
        <v>1554</v>
      </c>
      <c r="BG324" s="44" t="s">
        <v>1542</v>
      </c>
      <c r="BH324" s="44" t="s">
        <v>1542</v>
      </c>
      <c r="BI324" s="44" t="s">
        <v>1542</v>
      </c>
      <c r="BJ324" s="44" t="s">
        <v>1542</v>
      </c>
      <c r="BK324" s="44" t="s">
        <v>1542</v>
      </c>
      <c r="BL324" s="44" t="s">
        <v>1542</v>
      </c>
      <c r="BM324" s="44" t="s">
        <v>1542</v>
      </c>
      <c r="BN324" s="44" t="s">
        <v>1542</v>
      </c>
      <c r="BO324" s="46">
        <f t="shared" si="27"/>
        <v>3</v>
      </c>
      <c r="BP324" s="43" t="s">
        <v>1542</v>
      </c>
      <c r="BQ324" s="43" t="s">
        <v>1542</v>
      </c>
      <c r="BR324" s="43" t="s">
        <v>1542</v>
      </c>
      <c r="BS324" s="43" t="s">
        <v>1542</v>
      </c>
      <c r="BT324" s="43" t="s">
        <v>1542</v>
      </c>
      <c r="BU324" s="43" t="s">
        <v>1542</v>
      </c>
      <c r="BV324" s="43" t="s">
        <v>1542</v>
      </c>
      <c r="BW324" s="43" t="s">
        <v>1542</v>
      </c>
      <c r="BX324" s="43" t="s">
        <v>1542</v>
      </c>
      <c r="BY324" s="43" t="s">
        <v>1542</v>
      </c>
      <c r="BZ324" s="43" t="s">
        <v>1542</v>
      </c>
      <c r="CA324" s="43" t="s">
        <v>1542</v>
      </c>
    </row>
    <row r="325" spans="1:79">
      <c r="A325">
        <v>324</v>
      </c>
      <c r="B325">
        <v>1</v>
      </c>
      <c r="C325" t="s">
        <v>2935</v>
      </c>
      <c r="D325" t="s">
        <v>2936</v>
      </c>
      <c r="E325" t="s">
        <v>2937</v>
      </c>
      <c r="F325" t="s">
        <v>2938</v>
      </c>
      <c r="G325" t="s">
        <v>3018</v>
      </c>
      <c r="H325" t="s">
        <v>3018</v>
      </c>
      <c r="J325" t="s">
        <v>3019</v>
      </c>
      <c r="K325" t="s">
        <v>3020</v>
      </c>
      <c r="M325" s="1" t="s">
        <v>3021</v>
      </c>
      <c r="O325" s="46">
        <f t="shared" si="28"/>
        <v>0</v>
      </c>
      <c r="P325" s="43" t="s">
        <v>1542</v>
      </c>
      <c r="Q325" s="43" t="s">
        <v>1542</v>
      </c>
      <c r="R325" s="43" t="s">
        <v>1542</v>
      </c>
      <c r="S325" s="43" t="s">
        <v>1542</v>
      </c>
      <c r="T325" s="43" t="s">
        <v>1542</v>
      </c>
      <c r="U325" s="43" t="s">
        <v>1542</v>
      </c>
      <c r="V325" s="43" t="s">
        <v>1542</v>
      </c>
      <c r="W325" s="43" t="s">
        <v>1542</v>
      </c>
      <c r="X325" s="43" t="s">
        <v>1542</v>
      </c>
      <c r="Y325" s="43" t="s">
        <v>1542</v>
      </c>
      <c r="Z325" s="43" t="s">
        <v>1542</v>
      </c>
      <c r="AA325" s="43" t="s">
        <v>1542</v>
      </c>
      <c r="AB325" s="46">
        <f t="shared" si="29"/>
        <v>0</v>
      </c>
      <c r="AC325" s="44" t="s">
        <v>1542</v>
      </c>
      <c r="AD325" s="44" t="s">
        <v>1542</v>
      </c>
      <c r="AE325" s="44" t="s">
        <v>1542</v>
      </c>
      <c r="AF325" s="44" t="s">
        <v>1542</v>
      </c>
      <c r="AG325" s="44" t="s">
        <v>1542</v>
      </c>
      <c r="AH325" s="44" t="s">
        <v>1542</v>
      </c>
      <c r="AI325" s="44" t="s">
        <v>1542</v>
      </c>
      <c r="AJ325" s="44" t="s">
        <v>1542</v>
      </c>
      <c r="AK325" s="44" t="s">
        <v>1542</v>
      </c>
      <c r="AL325" s="44" t="s">
        <v>1542</v>
      </c>
      <c r="AM325" s="44" t="s">
        <v>1542</v>
      </c>
      <c r="AN325" s="44" t="s">
        <v>1542</v>
      </c>
      <c r="AO325" s="46">
        <f t="shared" si="25"/>
        <v>0</v>
      </c>
      <c r="AP325" s="43" t="s">
        <v>1542</v>
      </c>
      <c r="AQ325" s="43" t="s">
        <v>1542</v>
      </c>
      <c r="AR325" s="43" t="s">
        <v>1542</v>
      </c>
      <c r="AS325" s="43" t="s">
        <v>1542</v>
      </c>
      <c r="AT325" s="43" t="s">
        <v>1542</v>
      </c>
      <c r="AU325" s="43" t="s">
        <v>1542</v>
      </c>
      <c r="AV325" s="43" t="s">
        <v>1542</v>
      </c>
      <c r="AW325" s="43" t="s">
        <v>1542</v>
      </c>
      <c r="AX325" s="43" t="s">
        <v>1542</v>
      </c>
      <c r="AY325" s="43" t="s">
        <v>1542</v>
      </c>
      <c r="AZ325" s="43" t="s">
        <v>1542</v>
      </c>
      <c r="BA325" s="43" t="s">
        <v>1542</v>
      </c>
      <c r="BB325" s="46">
        <f t="shared" si="26"/>
        <v>0</v>
      </c>
      <c r="BC325" s="44" t="s">
        <v>1542</v>
      </c>
      <c r="BD325" s="44" t="s">
        <v>1542</v>
      </c>
      <c r="BE325" s="44" t="s">
        <v>1542</v>
      </c>
      <c r="BF325" s="44" t="s">
        <v>1542</v>
      </c>
      <c r="BG325" s="44" t="s">
        <v>1542</v>
      </c>
      <c r="BH325" s="44" t="s">
        <v>1542</v>
      </c>
      <c r="BI325" s="44" t="s">
        <v>1542</v>
      </c>
      <c r="BJ325" s="44" t="s">
        <v>1542</v>
      </c>
      <c r="BK325" s="44" t="s">
        <v>1542</v>
      </c>
      <c r="BL325" s="44" t="s">
        <v>1542</v>
      </c>
      <c r="BM325" s="44" t="s">
        <v>1542</v>
      </c>
      <c r="BN325" s="44" t="s">
        <v>1542</v>
      </c>
      <c r="BO325" s="46">
        <f t="shared" si="27"/>
        <v>0</v>
      </c>
      <c r="BP325" s="43" t="s">
        <v>1542</v>
      </c>
      <c r="BQ325" s="43" t="s">
        <v>1542</v>
      </c>
      <c r="BR325" s="43" t="s">
        <v>1542</v>
      </c>
      <c r="BS325" s="43" t="s">
        <v>1542</v>
      </c>
      <c r="BT325" s="43" t="s">
        <v>1542</v>
      </c>
      <c r="BU325" s="43" t="s">
        <v>1542</v>
      </c>
      <c r="BV325" s="43" t="s">
        <v>1542</v>
      </c>
      <c r="BW325" s="43" t="s">
        <v>1542</v>
      </c>
      <c r="BX325" s="43" t="s">
        <v>1542</v>
      </c>
      <c r="BY325" s="43" t="s">
        <v>1542</v>
      </c>
      <c r="BZ325" s="43" t="s">
        <v>1542</v>
      </c>
      <c r="CA325" s="43" t="s">
        <v>1542</v>
      </c>
    </row>
    <row r="326" spans="1:79">
      <c r="A326">
        <v>325</v>
      </c>
      <c r="C326" t="s">
        <v>2935</v>
      </c>
      <c r="D326" t="s">
        <v>2936</v>
      </c>
      <c r="E326" t="s">
        <v>2937</v>
      </c>
      <c r="F326" t="s">
        <v>2938</v>
      </c>
      <c r="G326" t="s">
        <v>3018</v>
      </c>
      <c r="H326" t="s">
        <v>3022</v>
      </c>
      <c r="I326" t="s">
        <v>3022</v>
      </c>
      <c r="J326" t="s">
        <v>3019</v>
      </c>
      <c r="K326" t="s">
        <v>3020</v>
      </c>
      <c r="M326" s="1" t="s">
        <v>3023</v>
      </c>
      <c r="N326" t="s">
        <v>3024</v>
      </c>
      <c r="O326" s="46">
        <f t="shared" si="28"/>
        <v>0</v>
      </c>
      <c r="P326" s="43"/>
      <c r="Q326" s="43"/>
      <c r="R326" s="43"/>
      <c r="S326" s="43"/>
      <c r="T326" s="43"/>
      <c r="U326" s="43"/>
      <c r="V326" s="43"/>
      <c r="W326" s="43"/>
      <c r="X326" s="43"/>
      <c r="Y326" s="43"/>
      <c r="Z326" s="43"/>
      <c r="AA326" s="43"/>
      <c r="AB326" s="46">
        <f t="shared" si="29"/>
        <v>0</v>
      </c>
      <c r="AC326" s="44" t="s">
        <v>1542</v>
      </c>
      <c r="AD326" s="44" t="s">
        <v>1542</v>
      </c>
      <c r="AE326" s="44" t="s">
        <v>1542</v>
      </c>
      <c r="AF326" s="44" t="s">
        <v>1542</v>
      </c>
      <c r="AG326" s="44" t="s">
        <v>1542</v>
      </c>
      <c r="AH326" s="44" t="s">
        <v>1542</v>
      </c>
      <c r="AI326" s="44" t="s">
        <v>1542</v>
      </c>
      <c r="AJ326" s="44"/>
      <c r="AK326" s="44"/>
      <c r="AL326" s="44"/>
      <c r="AM326" s="44"/>
      <c r="AN326" s="44"/>
      <c r="AO326" s="46">
        <f t="shared" si="25"/>
        <v>0</v>
      </c>
      <c r="AP326" s="43" t="s">
        <v>1542</v>
      </c>
      <c r="AQ326" s="43" t="s">
        <v>1542</v>
      </c>
      <c r="AR326" s="43" t="s">
        <v>1542</v>
      </c>
      <c r="AS326" s="43" t="s">
        <v>1542</v>
      </c>
      <c r="AT326" s="43" t="s">
        <v>1542</v>
      </c>
      <c r="AU326" s="43" t="s">
        <v>1542</v>
      </c>
      <c r="AV326" s="43" t="s">
        <v>1542</v>
      </c>
      <c r="AW326" s="43" t="s">
        <v>1542</v>
      </c>
      <c r="AX326" s="43" t="s">
        <v>1542</v>
      </c>
      <c r="AY326" s="43" t="s">
        <v>1542</v>
      </c>
      <c r="AZ326" s="43" t="s">
        <v>1542</v>
      </c>
      <c r="BA326" s="43" t="s">
        <v>1542</v>
      </c>
      <c r="BB326" s="46">
        <f t="shared" si="26"/>
        <v>0</v>
      </c>
      <c r="BC326" s="44" t="s">
        <v>1542</v>
      </c>
      <c r="BD326" s="44" t="s">
        <v>1542</v>
      </c>
      <c r="BE326" s="44" t="s">
        <v>1542</v>
      </c>
      <c r="BF326" s="44" t="s">
        <v>1554</v>
      </c>
      <c r="BG326" s="44" t="s">
        <v>1554</v>
      </c>
      <c r="BH326" s="44" t="s">
        <v>1554</v>
      </c>
      <c r="BI326" s="44" t="s">
        <v>1542</v>
      </c>
      <c r="BJ326" s="44" t="s">
        <v>1542</v>
      </c>
      <c r="BK326" s="44" t="s">
        <v>1542</v>
      </c>
      <c r="BL326" s="44" t="s">
        <v>1542</v>
      </c>
      <c r="BM326" s="44" t="s">
        <v>1542</v>
      </c>
      <c r="BN326" s="44" t="s">
        <v>1542</v>
      </c>
      <c r="BO326" s="46">
        <f t="shared" si="27"/>
        <v>3</v>
      </c>
      <c r="BP326" s="43" t="s">
        <v>1542</v>
      </c>
      <c r="BQ326" s="43" t="s">
        <v>1542</v>
      </c>
      <c r="BR326" s="43" t="s">
        <v>1542</v>
      </c>
      <c r="BS326" s="43" t="s">
        <v>1542</v>
      </c>
      <c r="BT326" s="43" t="s">
        <v>1542</v>
      </c>
      <c r="BU326" s="43" t="s">
        <v>1542</v>
      </c>
      <c r="BV326" s="43" t="s">
        <v>1542</v>
      </c>
      <c r="BW326" s="43" t="s">
        <v>1542</v>
      </c>
      <c r="BX326" s="43" t="s">
        <v>1542</v>
      </c>
      <c r="BY326" s="43" t="s">
        <v>1542</v>
      </c>
      <c r="BZ326" s="43" t="s">
        <v>1542</v>
      </c>
      <c r="CA326" s="43" t="s">
        <v>1542</v>
      </c>
    </row>
    <row r="327" spans="1:79">
      <c r="A327">
        <v>326</v>
      </c>
      <c r="B327">
        <v>1</v>
      </c>
      <c r="C327" t="s">
        <v>1532</v>
      </c>
      <c r="D327" t="s">
        <v>1533</v>
      </c>
      <c r="E327" t="s">
        <v>3025</v>
      </c>
      <c r="F327" t="s">
        <v>3026</v>
      </c>
      <c r="G327" t="s">
        <v>3027</v>
      </c>
      <c r="H327" t="s">
        <v>3027</v>
      </c>
      <c r="J327" t="s">
        <v>3028</v>
      </c>
      <c r="K327" t="s">
        <v>3029</v>
      </c>
      <c r="L327" t="s">
        <v>1539</v>
      </c>
      <c r="M327" s="1" t="s">
        <v>3030</v>
      </c>
      <c r="N327" t="s">
        <v>3031</v>
      </c>
      <c r="O327" s="46">
        <f t="shared" si="28"/>
        <v>8</v>
      </c>
      <c r="P327" s="43" t="s">
        <v>1554</v>
      </c>
      <c r="Q327" s="43" t="s">
        <v>1554</v>
      </c>
      <c r="R327" s="43" t="s">
        <v>1554</v>
      </c>
      <c r="S327" s="43" t="s">
        <v>1554</v>
      </c>
      <c r="T327" s="43" t="s">
        <v>1554</v>
      </c>
      <c r="U327" s="43" t="s">
        <v>1554</v>
      </c>
      <c r="V327" s="43" t="s">
        <v>1554</v>
      </c>
      <c r="W327" s="43" t="s">
        <v>1554</v>
      </c>
      <c r="X327" s="43" t="s">
        <v>1542</v>
      </c>
      <c r="Y327" s="43" t="s">
        <v>1542</v>
      </c>
      <c r="Z327" s="43" t="s">
        <v>1542</v>
      </c>
      <c r="AA327" s="43" t="s">
        <v>1542</v>
      </c>
      <c r="AB327" s="46">
        <f t="shared" si="29"/>
        <v>3</v>
      </c>
      <c r="AC327" s="44" t="s">
        <v>1542</v>
      </c>
      <c r="AD327" s="44" t="s">
        <v>1542</v>
      </c>
      <c r="AE327" s="44" t="s">
        <v>1542</v>
      </c>
      <c r="AF327" s="44" t="s">
        <v>1542</v>
      </c>
      <c r="AG327" s="44" t="s">
        <v>1542</v>
      </c>
      <c r="AH327" s="44" t="s">
        <v>1542</v>
      </c>
      <c r="AI327" s="44" t="s">
        <v>1542</v>
      </c>
      <c r="AJ327" s="44" t="s">
        <v>1542</v>
      </c>
      <c r="AK327" s="44" t="s">
        <v>1542</v>
      </c>
      <c r="AL327" s="44" t="s">
        <v>1554</v>
      </c>
      <c r="AM327" s="44" t="s">
        <v>1554</v>
      </c>
      <c r="AN327" s="44" t="s">
        <v>1554</v>
      </c>
      <c r="AO327" s="46">
        <f t="shared" si="25"/>
        <v>2</v>
      </c>
      <c r="AP327" s="43" t="s">
        <v>1542</v>
      </c>
      <c r="AQ327" s="43" t="s">
        <v>1542</v>
      </c>
      <c r="AR327" s="43" t="s">
        <v>1542</v>
      </c>
      <c r="AS327" s="43" t="s">
        <v>1542</v>
      </c>
      <c r="AT327" s="43" t="s">
        <v>1542</v>
      </c>
      <c r="AU327" s="43" t="s">
        <v>1542</v>
      </c>
      <c r="AV327" s="43" t="s">
        <v>1542</v>
      </c>
      <c r="AW327" s="43" t="s">
        <v>1542</v>
      </c>
      <c r="AX327" s="43" t="s">
        <v>1542</v>
      </c>
      <c r="AY327" s="43" t="s">
        <v>1542</v>
      </c>
      <c r="AZ327" s="43" t="s">
        <v>1542</v>
      </c>
      <c r="BA327" s="43" t="s">
        <v>1542</v>
      </c>
      <c r="BB327" s="46">
        <f t="shared" si="26"/>
        <v>0</v>
      </c>
      <c r="BC327" s="44" t="s">
        <v>1554</v>
      </c>
      <c r="BD327" s="44" t="s">
        <v>1542</v>
      </c>
      <c r="BE327" s="44" t="s">
        <v>1542</v>
      </c>
      <c r="BF327" s="44" t="s">
        <v>1542</v>
      </c>
      <c r="BG327" s="44" t="s">
        <v>1542</v>
      </c>
      <c r="BH327" s="44" t="s">
        <v>1542</v>
      </c>
      <c r="BI327" s="44" t="s">
        <v>1542</v>
      </c>
      <c r="BJ327" s="44" t="s">
        <v>1542</v>
      </c>
      <c r="BK327" s="44" t="s">
        <v>1542</v>
      </c>
      <c r="BL327" s="44" t="s">
        <v>1542</v>
      </c>
      <c r="BM327" s="44" t="s">
        <v>1542</v>
      </c>
      <c r="BN327" s="44" t="s">
        <v>1542</v>
      </c>
      <c r="BO327" s="46">
        <f t="shared" si="27"/>
        <v>1</v>
      </c>
      <c r="BP327" s="43" t="s">
        <v>1542</v>
      </c>
      <c r="BQ327" s="43" t="s">
        <v>1542</v>
      </c>
      <c r="BR327" s="43" t="s">
        <v>1542</v>
      </c>
      <c r="BS327" s="43" t="s">
        <v>1542</v>
      </c>
      <c r="BT327" s="43" t="s">
        <v>1542</v>
      </c>
      <c r="BU327" s="43" t="s">
        <v>1542</v>
      </c>
      <c r="BV327" s="43" t="s">
        <v>1542</v>
      </c>
      <c r="BW327" s="43" t="s">
        <v>1542</v>
      </c>
      <c r="BX327" s="43" t="s">
        <v>1542</v>
      </c>
      <c r="BY327" s="43" t="s">
        <v>1542</v>
      </c>
      <c r="BZ327" s="43" t="s">
        <v>1542</v>
      </c>
      <c r="CA327" s="43" t="s">
        <v>1542</v>
      </c>
    </row>
    <row r="328" spans="1:79">
      <c r="A328">
        <v>327</v>
      </c>
      <c r="B328" t="s">
        <v>1543</v>
      </c>
      <c r="C328" t="s">
        <v>1532</v>
      </c>
      <c r="D328" t="s">
        <v>1533</v>
      </c>
      <c r="E328" t="s">
        <v>3025</v>
      </c>
      <c r="F328" t="s">
        <v>3026</v>
      </c>
      <c r="G328" t="s">
        <v>3032</v>
      </c>
      <c r="H328" t="s">
        <v>3032</v>
      </c>
      <c r="J328" t="s">
        <v>3033</v>
      </c>
      <c r="K328" t="s">
        <v>3034</v>
      </c>
      <c r="M328" s="1" t="s">
        <v>3035</v>
      </c>
      <c r="N328" t="s">
        <v>3036</v>
      </c>
      <c r="O328" s="46">
        <f t="shared" si="28"/>
        <v>0</v>
      </c>
      <c r="P328" s="43"/>
      <c r="Q328" s="43"/>
      <c r="R328" s="43"/>
      <c r="S328" s="43"/>
      <c r="T328" s="43"/>
      <c r="U328" s="43"/>
      <c r="V328" s="43"/>
      <c r="W328" s="43"/>
      <c r="X328" s="43"/>
      <c r="Y328" s="43"/>
      <c r="Z328" s="43"/>
      <c r="AA328" s="43"/>
      <c r="AB328" s="46">
        <f t="shared" si="29"/>
        <v>0</v>
      </c>
      <c r="AC328" s="44"/>
      <c r="AD328" s="44"/>
      <c r="AE328" s="44"/>
      <c r="AF328" s="44"/>
      <c r="AG328" s="44"/>
      <c r="AH328" s="44"/>
      <c r="AI328" s="44"/>
      <c r="AJ328" s="44"/>
      <c r="AK328" s="44"/>
      <c r="AL328" s="44"/>
      <c r="AM328" s="44"/>
      <c r="AN328" s="44"/>
      <c r="AO328" s="46">
        <f t="shared" si="25"/>
        <v>0</v>
      </c>
      <c r="AP328" s="43"/>
      <c r="AQ328" s="43"/>
      <c r="AR328" s="43"/>
      <c r="AS328" s="43"/>
      <c r="AT328" s="43"/>
      <c r="AU328" s="43"/>
      <c r="AV328" s="43"/>
      <c r="AW328" s="43"/>
      <c r="AX328" s="43"/>
      <c r="AY328" s="43"/>
      <c r="AZ328" s="43"/>
      <c r="BA328" s="43"/>
      <c r="BB328" s="46">
        <f t="shared" si="26"/>
        <v>0</v>
      </c>
      <c r="BC328" s="44"/>
      <c r="BD328" s="44"/>
      <c r="BE328" s="44"/>
      <c r="BF328" s="44"/>
      <c r="BG328" s="44"/>
      <c r="BH328" s="44"/>
      <c r="BI328" s="44"/>
      <c r="BJ328" s="44"/>
      <c r="BK328" s="44"/>
      <c r="BL328" s="44"/>
      <c r="BM328" s="44"/>
      <c r="BN328" s="44"/>
      <c r="BO328" s="46">
        <f t="shared" si="27"/>
        <v>0</v>
      </c>
      <c r="BP328" s="43"/>
      <c r="BQ328" s="43"/>
      <c r="BR328" s="43"/>
      <c r="BS328" s="43"/>
      <c r="BT328" s="43"/>
      <c r="BU328" s="43"/>
      <c r="BV328" s="43"/>
      <c r="BW328" s="43"/>
      <c r="BX328" s="43"/>
      <c r="BY328" s="43"/>
      <c r="BZ328" s="43"/>
      <c r="CA328" s="43"/>
    </row>
    <row r="329" spans="1:79">
      <c r="A329">
        <v>328</v>
      </c>
      <c r="B329">
        <v>1</v>
      </c>
      <c r="C329" t="s">
        <v>1532</v>
      </c>
      <c r="D329" t="s">
        <v>1533</v>
      </c>
      <c r="E329" t="s">
        <v>3025</v>
      </c>
      <c r="F329" t="s">
        <v>3026</v>
      </c>
      <c r="G329" t="s">
        <v>3037</v>
      </c>
      <c r="H329" t="s">
        <v>3037</v>
      </c>
      <c r="J329" t="s">
        <v>3038</v>
      </c>
      <c r="K329" t="s">
        <v>3039</v>
      </c>
      <c r="M329" s="1" t="s">
        <v>3040</v>
      </c>
      <c r="O329" s="46">
        <f t="shared" si="28"/>
        <v>0</v>
      </c>
      <c r="P329" s="43" t="s">
        <v>1542</v>
      </c>
      <c r="Q329" s="43" t="s">
        <v>1542</v>
      </c>
      <c r="R329" s="43" t="s">
        <v>1542</v>
      </c>
      <c r="S329" s="43" t="s">
        <v>1542</v>
      </c>
      <c r="T329" s="43" t="s">
        <v>1542</v>
      </c>
      <c r="U329" s="43" t="s">
        <v>1542</v>
      </c>
      <c r="V329" s="43" t="s">
        <v>1542</v>
      </c>
      <c r="W329" s="43" t="s">
        <v>1542</v>
      </c>
      <c r="X329" s="43" t="s">
        <v>1542</v>
      </c>
      <c r="Y329" s="43" t="s">
        <v>1542</v>
      </c>
      <c r="Z329" s="43" t="s">
        <v>1542</v>
      </c>
      <c r="AA329" s="43" t="s">
        <v>1542</v>
      </c>
      <c r="AB329" s="46">
        <f t="shared" si="29"/>
        <v>0</v>
      </c>
      <c r="AC329" s="44" t="s">
        <v>1542</v>
      </c>
      <c r="AD329" s="44" t="s">
        <v>1542</v>
      </c>
      <c r="AE329" s="44" t="s">
        <v>1542</v>
      </c>
      <c r="AF329" s="44" t="s">
        <v>1542</v>
      </c>
      <c r="AG329" s="44" t="s">
        <v>1542</v>
      </c>
      <c r="AH329" s="44" t="s">
        <v>1542</v>
      </c>
      <c r="AI329" s="44" t="s">
        <v>1542</v>
      </c>
      <c r="AJ329" s="44" t="s">
        <v>1542</v>
      </c>
      <c r="AK329" s="44" t="s">
        <v>1542</v>
      </c>
      <c r="AL329" s="44" t="s">
        <v>1542</v>
      </c>
      <c r="AM329" s="44" t="s">
        <v>1542</v>
      </c>
      <c r="AN329" s="44" t="s">
        <v>1542</v>
      </c>
      <c r="AO329" s="46">
        <f t="shared" si="25"/>
        <v>0</v>
      </c>
      <c r="AP329" s="43" t="s">
        <v>1542</v>
      </c>
      <c r="AQ329" s="43" t="s">
        <v>1542</v>
      </c>
      <c r="AR329" s="43" t="s">
        <v>1542</v>
      </c>
      <c r="AS329" s="43" t="s">
        <v>1542</v>
      </c>
      <c r="AT329" s="43" t="s">
        <v>1542</v>
      </c>
      <c r="AU329" s="43" t="s">
        <v>1542</v>
      </c>
      <c r="AV329" s="43" t="s">
        <v>1542</v>
      </c>
      <c r="AW329" s="43" t="s">
        <v>1542</v>
      </c>
      <c r="AX329" s="43" t="s">
        <v>1542</v>
      </c>
      <c r="AY329" s="43" t="s">
        <v>1542</v>
      </c>
      <c r="AZ329" s="43" t="s">
        <v>1542</v>
      </c>
      <c r="BA329" s="43" t="s">
        <v>1542</v>
      </c>
      <c r="BB329" s="46">
        <f t="shared" si="26"/>
        <v>0</v>
      </c>
      <c r="BC329" s="44" t="s">
        <v>1542</v>
      </c>
      <c r="BD329" s="44" t="s">
        <v>1542</v>
      </c>
      <c r="BE329" s="44" t="s">
        <v>1542</v>
      </c>
      <c r="BF329" s="44" t="s">
        <v>1542</v>
      </c>
      <c r="BG329" s="44" t="s">
        <v>1542</v>
      </c>
      <c r="BH329" s="44" t="s">
        <v>1542</v>
      </c>
      <c r="BI329" s="44" t="s">
        <v>1542</v>
      </c>
      <c r="BJ329" s="44" t="s">
        <v>1542</v>
      </c>
      <c r="BK329" s="44" t="s">
        <v>1542</v>
      </c>
      <c r="BL329" s="44" t="s">
        <v>1542</v>
      </c>
      <c r="BM329" s="44" t="s">
        <v>1542</v>
      </c>
      <c r="BN329" s="44" t="s">
        <v>1542</v>
      </c>
      <c r="BO329" s="46">
        <f t="shared" si="27"/>
        <v>0</v>
      </c>
      <c r="BP329" s="43" t="s">
        <v>1542</v>
      </c>
      <c r="BQ329" s="43" t="s">
        <v>1542</v>
      </c>
      <c r="BR329" s="43" t="s">
        <v>1542</v>
      </c>
      <c r="BS329" s="43" t="s">
        <v>1542</v>
      </c>
      <c r="BT329" s="43" t="s">
        <v>1542</v>
      </c>
      <c r="BU329" s="43" t="s">
        <v>1542</v>
      </c>
      <c r="BV329" s="43" t="s">
        <v>1542</v>
      </c>
      <c r="BW329" s="43" t="s">
        <v>1542</v>
      </c>
      <c r="BX329" s="43" t="s">
        <v>1542</v>
      </c>
      <c r="BY329" s="43" t="s">
        <v>1542</v>
      </c>
      <c r="BZ329" s="43" t="s">
        <v>1542</v>
      </c>
      <c r="CA329" s="43" t="s">
        <v>1542</v>
      </c>
    </row>
    <row r="330" spans="1:79">
      <c r="A330">
        <v>329</v>
      </c>
      <c r="B330">
        <v>1</v>
      </c>
      <c r="C330" t="s">
        <v>1532</v>
      </c>
      <c r="D330" t="s">
        <v>1533</v>
      </c>
      <c r="E330" t="s">
        <v>3025</v>
      </c>
      <c r="F330" t="s">
        <v>3026</v>
      </c>
      <c r="G330" t="s">
        <v>3041</v>
      </c>
      <c r="H330" t="s">
        <v>3041</v>
      </c>
      <c r="J330" t="s">
        <v>3042</v>
      </c>
      <c r="K330" t="s">
        <v>3043</v>
      </c>
      <c r="M330" s="1" t="s">
        <v>3044</v>
      </c>
      <c r="O330" s="46">
        <f t="shared" si="28"/>
        <v>0</v>
      </c>
      <c r="P330" s="43" t="s">
        <v>1542</v>
      </c>
      <c r="Q330" s="43" t="s">
        <v>1542</v>
      </c>
      <c r="R330" s="43" t="s">
        <v>1542</v>
      </c>
      <c r="S330" s="43" t="s">
        <v>1542</v>
      </c>
      <c r="T330" s="43" t="s">
        <v>1542</v>
      </c>
      <c r="U330" s="43" t="s">
        <v>1542</v>
      </c>
      <c r="V330" s="43" t="s">
        <v>1542</v>
      </c>
      <c r="W330" s="43" t="s">
        <v>1542</v>
      </c>
      <c r="X330" s="43" t="s">
        <v>1542</v>
      </c>
      <c r="Y330" s="43" t="s">
        <v>1542</v>
      </c>
      <c r="Z330" s="43" t="s">
        <v>1542</v>
      </c>
      <c r="AA330" s="43" t="s">
        <v>1542</v>
      </c>
      <c r="AB330" s="46">
        <f t="shared" si="29"/>
        <v>0</v>
      </c>
      <c r="AC330" s="44" t="s">
        <v>1542</v>
      </c>
      <c r="AD330" s="44" t="s">
        <v>1542</v>
      </c>
      <c r="AE330" s="44" t="s">
        <v>1542</v>
      </c>
      <c r="AF330" s="44" t="s">
        <v>1542</v>
      </c>
      <c r="AG330" s="44" t="s">
        <v>1542</v>
      </c>
      <c r="AH330" s="44" t="s">
        <v>1542</v>
      </c>
      <c r="AI330" s="44" t="s">
        <v>1542</v>
      </c>
      <c r="AJ330" s="44" t="s">
        <v>1542</v>
      </c>
      <c r="AK330" s="44" t="s">
        <v>1542</v>
      </c>
      <c r="AL330" s="44" t="s">
        <v>1542</v>
      </c>
      <c r="AM330" s="44" t="s">
        <v>1542</v>
      </c>
      <c r="AN330" s="44" t="s">
        <v>1542</v>
      </c>
      <c r="AO330" s="46">
        <f t="shared" si="25"/>
        <v>0</v>
      </c>
      <c r="AP330" s="43" t="s">
        <v>1542</v>
      </c>
      <c r="AQ330" s="43" t="s">
        <v>1542</v>
      </c>
      <c r="AR330" s="43" t="s">
        <v>1542</v>
      </c>
      <c r="AS330" s="43" t="s">
        <v>1542</v>
      </c>
      <c r="AT330" s="43" t="s">
        <v>1542</v>
      </c>
      <c r="AU330" s="43" t="s">
        <v>1542</v>
      </c>
      <c r="AV330" s="43" t="s">
        <v>1542</v>
      </c>
      <c r="AW330" s="43" t="s">
        <v>1542</v>
      </c>
      <c r="AX330" s="43" t="s">
        <v>1542</v>
      </c>
      <c r="AY330" s="43" t="s">
        <v>1542</v>
      </c>
      <c r="AZ330" s="43" t="s">
        <v>1542</v>
      </c>
      <c r="BA330" s="43" t="s">
        <v>1542</v>
      </c>
      <c r="BB330" s="46">
        <f t="shared" si="26"/>
        <v>0</v>
      </c>
      <c r="BC330" s="44" t="s">
        <v>1542</v>
      </c>
      <c r="BD330" s="44" t="s">
        <v>1542</v>
      </c>
      <c r="BE330" s="44" t="s">
        <v>1542</v>
      </c>
      <c r="BF330" s="44" t="s">
        <v>1542</v>
      </c>
      <c r="BG330" s="44" t="s">
        <v>1542</v>
      </c>
      <c r="BH330" s="44" t="s">
        <v>1542</v>
      </c>
      <c r="BI330" s="44" t="s">
        <v>1542</v>
      </c>
      <c r="BJ330" s="44" t="s">
        <v>1542</v>
      </c>
      <c r="BK330" s="44" t="s">
        <v>1542</v>
      </c>
      <c r="BL330" s="44" t="s">
        <v>1542</v>
      </c>
      <c r="BM330" s="44" t="s">
        <v>1542</v>
      </c>
      <c r="BN330" s="44" t="s">
        <v>1542</v>
      </c>
      <c r="BO330" s="46">
        <f t="shared" si="27"/>
        <v>0</v>
      </c>
      <c r="BP330" s="43" t="s">
        <v>1542</v>
      </c>
      <c r="BQ330" s="43" t="s">
        <v>1542</v>
      </c>
      <c r="BR330" s="43" t="s">
        <v>1542</v>
      </c>
      <c r="BS330" s="43" t="s">
        <v>1542</v>
      </c>
      <c r="BT330" s="43" t="s">
        <v>1542</v>
      </c>
      <c r="BU330" s="43" t="s">
        <v>1542</v>
      </c>
      <c r="BV330" s="43" t="s">
        <v>1542</v>
      </c>
      <c r="BW330" s="43" t="s">
        <v>1542</v>
      </c>
      <c r="BX330" s="43" t="s">
        <v>1542</v>
      </c>
      <c r="BY330" s="43" t="s">
        <v>1542</v>
      </c>
      <c r="BZ330" s="43" t="s">
        <v>1542</v>
      </c>
      <c r="CA330" s="43" t="s">
        <v>1542</v>
      </c>
    </row>
    <row r="331" spans="1:79">
      <c r="A331">
        <v>330</v>
      </c>
      <c r="B331">
        <v>1</v>
      </c>
      <c r="C331" t="s">
        <v>1532</v>
      </c>
      <c r="D331" t="s">
        <v>1533</v>
      </c>
      <c r="E331" t="s">
        <v>3025</v>
      </c>
      <c r="F331" t="s">
        <v>3026</v>
      </c>
      <c r="G331" t="s">
        <v>3045</v>
      </c>
      <c r="H331" t="s">
        <v>3045</v>
      </c>
      <c r="J331" t="s">
        <v>3046</v>
      </c>
      <c r="K331" t="s">
        <v>3047</v>
      </c>
      <c r="M331" s="1" t="s">
        <v>3048</v>
      </c>
      <c r="N331" t="s">
        <v>3049</v>
      </c>
      <c r="O331" s="46">
        <f t="shared" si="28"/>
        <v>0</v>
      </c>
      <c r="P331" s="43" t="s">
        <v>1542</v>
      </c>
      <c r="Q331" s="43" t="s">
        <v>1542</v>
      </c>
      <c r="R331" s="43" t="s">
        <v>1542</v>
      </c>
      <c r="S331" s="43" t="s">
        <v>1542</v>
      </c>
      <c r="T331" s="43" t="s">
        <v>1542</v>
      </c>
      <c r="U331" s="43" t="s">
        <v>1542</v>
      </c>
      <c r="V331" s="43" t="s">
        <v>1542</v>
      </c>
      <c r="W331" s="43" t="s">
        <v>1542</v>
      </c>
      <c r="X331" s="43" t="s">
        <v>1542</v>
      </c>
      <c r="Y331" s="43" t="s">
        <v>1542</v>
      </c>
      <c r="Z331" s="43" t="s">
        <v>1542</v>
      </c>
      <c r="AA331" s="43" t="s">
        <v>1542</v>
      </c>
      <c r="AB331" s="46">
        <f t="shared" si="29"/>
        <v>0</v>
      </c>
      <c r="AC331" s="44" t="s">
        <v>1542</v>
      </c>
      <c r="AD331" s="44" t="s">
        <v>1542</v>
      </c>
      <c r="AE331" s="44" t="s">
        <v>1542</v>
      </c>
      <c r="AF331" s="44" t="s">
        <v>1542</v>
      </c>
      <c r="AG331" s="44" t="s">
        <v>1542</v>
      </c>
      <c r="AH331" s="44" t="s">
        <v>1542</v>
      </c>
      <c r="AI331" s="44" t="s">
        <v>1542</v>
      </c>
      <c r="AJ331" s="44" t="s">
        <v>1542</v>
      </c>
      <c r="AK331" s="44" t="s">
        <v>1542</v>
      </c>
      <c r="AL331" s="44" t="s">
        <v>1542</v>
      </c>
      <c r="AM331" s="44" t="s">
        <v>1542</v>
      </c>
      <c r="AN331" s="44" t="s">
        <v>1542</v>
      </c>
      <c r="AO331" s="46">
        <f t="shared" si="25"/>
        <v>0</v>
      </c>
      <c r="AP331" s="43" t="s">
        <v>1542</v>
      </c>
      <c r="AQ331" s="43" t="s">
        <v>1542</v>
      </c>
      <c r="AR331" s="43" t="s">
        <v>1542</v>
      </c>
      <c r="AS331" s="43" t="s">
        <v>1542</v>
      </c>
      <c r="AT331" s="43" t="s">
        <v>1542</v>
      </c>
      <c r="AU331" s="43" t="s">
        <v>1542</v>
      </c>
      <c r="AV331" s="43" t="s">
        <v>1542</v>
      </c>
      <c r="AW331" s="43" t="s">
        <v>1542</v>
      </c>
      <c r="AX331" s="43" t="s">
        <v>1542</v>
      </c>
      <c r="AY331" s="43" t="s">
        <v>1542</v>
      </c>
      <c r="AZ331" s="43" t="s">
        <v>1542</v>
      </c>
      <c r="BA331" s="43" t="s">
        <v>1542</v>
      </c>
      <c r="BB331" s="46">
        <f t="shared" si="26"/>
        <v>0</v>
      </c>
      <c r="BC331" s="44" t="s">
        <v>1542</v>
      </c>
      <c r="BD331" s="44" t="s">
        <v>1542</v>
      </c>
      <c r="BE331" s="44" t="s">
        <v>1542</v>
      </c>
      <c r="BF331" s="44" t="s">
        <v>1542</v>
      </c>
      <c r="BG331" s="44" t="s">
        <v>1542</v>
      </c>
      <c r="BH331" s="44" t="s">
        <v>1542</v>
      </c>
      <c r="BI331" s="44" t="s">
        <v>1542</v>
      </c>
      <c r="BJ331" s="44" t="s">
        <v>1542</v>
      </c>
      <c r="BK331" s="44" t="s">
        <v>1542</v>
      </c>
      <c r="BL331" s="44" t="s">
        <v>1542</v>
      </c>
      <c r="BM331" s="44" t="s">
        <v>1542</v>
      </c>
      <c r="BN331" s="44" t="s">
        <v>1542</v>
      </c>
      <c r="BO331" s="46">
        <f t="shared" si="27"/>
        <v>0</v>
      </c>
      <c r="BP331" s="43" t="s">
        <v>1542</v>
      </c>
      <c r="BQ331" s="43" t="s">
        <v>1542</v>
      </c>
      <c r="BR331" s="43" t="s">
        <v>1542</v>
      </c>
      <c r="BS331" s="43" t="s">
        <v>1542</v>
      </c>
      <c r="BT331" s="43" t="s">
        <v>1542</v>
      </c>
      <c r="BU331" s="43" t="s">
        <v>1542</v>
      </c>
      <c r="BV331" s="43" t="s">
        <v>1542</v>
      </c>
      <c r="BW331" s="43" t="s">
        <v>1542</v>
      </c>
      <c r="BX331" s="43" t="s">
        <v>1542</v>
      </c>
      <c r="BY331" s="43" t="s">
        <v>1542</v>
      </c>
      <c r="BZ331" s="43" t="s">
        <v>1542</v>
      </c>
      <c r="CA331" s="43" t="s">
        <v>1542</v>
      </c>
    </row>
    <row r="332" spans="1:79">
      <c r="A332">
        <v>331</v>
      </c>
      <c r="B332">
        <v>1</v>
      </c>
      <c r="C332" t="s">
        <v>1532</v>
      </c>
      <c r="D332" t="s">
        <v>1533</v>
      </c>
      <c r="E332" t="s">
        <v>3025</v>
      </c>
      <c r="F332" t="s">
        <v>3026</v>
      </c>
      <c r="G332" t="s">
        <v>3050</v>
      </c>
      <c r="H332" t="s">
        <v>3050</v>
      </c>
      <c r="J332" t="s">
        <v>3051</v>
      </c>
      <c r="K332" t="s">
        <v>3052</v>
      </c>
      <c r="M332" s="1" t="s">
        <v>3053</v>
      </c>
      <c r="O332" s="46">
        <f t="shared" si="28"/>
        <v>0</v>
      </c>
      <c r="P332" s="43" t="s">
        <v>1542</v>
      </c>
      <c r="Q332" s="43" t="s">
        <v>1542</v>
      </c>
      <c r="R332" s="43" t="s">
        <v>1542</v>
      </c>
      <c r="S332" s="43" t="s">
        <v>1542</v>
      </c>
      <c r="T332" s="43" t="s">
        <v>1542</v>
      </c>
      <c r="U332" s="43" t="s">
        <v>1542</v>
      </c>
      <c r="V332" s="43" t="s">
        <v>1542</v>
      </c>
      <c r="W332" s="43" t="s">
        <v>1542</v>
      </c>
      <c r="X332" s="43" t="s">
        <v>1542</v>
      </c>
      <c r="Y332" s="43" t="s">
        <v>1542</v>
      </c>
      <c r="Z332" s="43" t="s">
        <v>1542</v>
      </c>
      <c r="AA332" s="43" t="s">
        <v>1542</v>
      </c>
      <c r="AB332" s="46">
        <f t="shared" si="29"/>
        <v>0</v>
      </c>
      <c r="AC332" s="44" t="s">
        <v>1542</v>
      </c>
      <c r="AD332" s="44" t="s">
        <v>1542</v>
      </c>
      <c r="AE332" s="44" t="s">
        <v>1542</v>
      </c>
      <c r="AF332" s="44" t="s">
        <v>1542</v>
      </c>
      <c r="AG332" s="44" t="s">
        <v>1542</v>
      </c>
      <c r="AH332" s="44" t="s">
        <v>1542</v>
      </c>
      <c r="AI332" s="44" t="s">
        <v>1542</v>
      </c>
      <c r="AJ332" s="44" t="s">
        <v>1542</v>
      </c>
      <c r="AK332" s="44" t="s">
        <v>1542</v>
      </c>
      <c r="AL332" s="44" t="s">
        <v>1542</v>
      </c>
      <c r="AM332" s="44" t="s">
        <v>1542</v>
      </c>
      <c r="AN332" s="44" t="s">
        <v>1542</v>
      </c>
      <c r="AO332" s="46">
        <f t="shared" si="25"/>
        <v>0</v>
      </c>
      <c r="AP332" s="43" t="s">
        <v>1542</v>
      </c>
      <c r="AQ332" s="43" t="s">
        <v>1542</v>
      </c>
      <c r="AR332" s="43" t="s">
        <v>1542</v>
      </c>
      <c r="AS332" s="43" t="s">
        <v>1542</v>
      </c>
      <c r="AT332" s="43" t="s">
        <v>1542</v>
      </c>
      <c r="AU332" s="43" t="s">
        <v>1542</v>
      </c>
      <c r="AV332" s="43" t="s">
        <v>1542</v>
      </c>
      <c r="AW332" s="43" t="s">
        <v>1542</v>
      </c>
      <c r="AX332" s="43" t="s">
        <v>1542</v>
      </c>
      <c r="AY332" s="43" t="s">
        <v>1542</v>
      </c>
      <c r="AZ332" s="43" t="s">
        <v>1542</v>
      </c>
      <c r="BA332" s="43" t="s">
        <v>1542</v>
      </c>
      <c r="BB332" s="46">
        <f t="shared" si="26"/>
        <v>0</v>
      </c>
      <c r="BC332" s="44" t="s">
        <v>1542</v>
      </c>
      <c r="BD332" s="44" t="s">
        <v>1542</v>
      </c>
      <c r="BE332" s="44" t="s">
        <v>1542</v>
      </c>
      <c r="BF332" s="44" t="s">
        <v>1542</v>
      </c>
      <c r="BG332" s="44" t="s">
        <v>1542</v>
      </c>
      <c r="BH332" s="44" t="s">
        <v>1542</v>
      </c>
      <c r="BI332" s="44" t="s">
        <v>1542</v>
      </c>
      <c r="BJ332" s="44" t="s">
        <v>1542</v>
      </c>
      <c r="BK332" s="44" t="s">
        <v>1542</v>
      </c>
      <c r="BL332" s="44" t="s">
        <v>1542</v>
      </c>
      <c r="BM332" s="44" t="s">
        <v>1542</v>
      </c>
      <c r="BN332" s="44" t="s">
        <v>1542</v>
      </c>
      <c r="BO332" s="46">
        <f t="shared" si="27"/>
        <v>0</v>
      </c>
      <c r="BP332" s="43" t="s">
        <v>1542</v>
      </c>
      <c r="BQ332" s="43" t="s">
        <v>1542</v>
      </c>
      <c r="BR332" s="43" t="s">
        <v>1542</v>
      </c>
      <c r="BS332" s="43" t="s">
        <v>1542</v>
      </c>
      <c r="BT332" s="43" t="s">
        <v>1542</v>
      </c>
      <c r="BU332" s="43" t="s">
        <v>1542</v>
      </c>
      <c r="BV332" s="43" t="s">
        <v>1542</v>
      </c>
      <c r="BW332" s="43" t="s">
        <v>1542</v>
      </c>
      <c r="BX332" s="43" t="s">
        <v>1542</v>
      </c>
      <c r="BY332" s="43" t="s">
        <v>1542</v>
      </c>
      <c r="BZ332" s="43" t="s">
        <v>1542</v>
      </c>
      <c r="CA332" s="43" t="s">
        <v>1542</v>
      </c>
    </row>
    <row r="333" spans="1:79">
      <c r="A333">
        <v>332</v>
      </c>
      <c r="B333">
        <v>1</v>
      </c>
      <c r="C333" t="s">
        <v>1532</v>
      </c>
      <c r="D333" t="s">
        <v>1533</v>
      </c>
      <c r="E333" t="s">
        <v>3025</v>
      </c>
      <c r="F333" t="s">
        <v>3026</v>
      </c>
      <c r="G333" t="s">
        <v>3054</v>
      </c>
      <c r="H333" t="s">
        <v>3054</v>
      </c>
      <c r="J333" t="s">
        <v>3055</v>
      </c>
      <c r="K333" t="s">
        <v>3056</v>
      </c>
      <c r="M333" s="1" t="s">
        <v>3057</v>
      </c>
      <c r="O333" s="46">
        <f t="shared" si="28"/>
        <v>0</v>
      </c>
      <c r="P333" s="43" t="s">
        <v>1542</v>
      </c>
      <c r="Q333" s="43" t="s">
        <v>1542</v>
      </c>
      <c r="R333" s="43" t="s">
        <v>1542</v>
      </c>
      <c r="S333" s="43" t="s">
        <v>1542</v>
      </c>
      <c r="T333" s="43" t="s">
        <v>1542</v>
      </c>
      <c r="U333" s="43" t="s">
        <v>1542</v>
      </c>
      <c r="V333" s="43" t="s">
        <v>1542</v>
      </c>
      <c r="W333" s="43" t="s">
        <v>1542</v>
      </c>
      <c r="X333" s="43" t="s">
        <v>1542</v>
      </c>
      <c r="Y333" s="43" t="s">
        <v>1542</v>
      </c>
      <c r="Z333" s="43" t="s">
        <v>1542</v>
      </c>
      <c r="AA333" s="43" t="s">
        <v>1542</v>
      </c>
      <c r="AB333" s="46">
        <f t="shared" si="29"/>
        <v>0</v>
      </c>
      <c r="AC333" s="44" t="s">
        <v>1542</v>
      </c>
      <c r="AD333" s="44" t="s">
        <v>1542</v>
      </c>
      <c r="AE333" s="44" t="s">
        <v>1542</v>
      </c>
      <c r="AF333" s="44" t="s">
        <v>1542</v>
      </c>
      <c r="AG333" s="44" t="s">
        <v>1542</v>
      </c>
      <c r="AH333" s="44" t="s">
        <v>1542</v>
      </c>
      <c r="AI333" s="44" t="s">
        <v>1542</v>
      </c>
      <c r="AJ333" s="44" t="s">
        <v>1542</v>
      </c>
      <c r="AK333" s="44" t="s">
        <v>1542</v>
      </c>
      <c r="AL333" s="44" t="s">
        <v>1542</v>
      </c>
      <c r="AM333" s="44" t="s">
        <v>1542</v>
      </c>
      <c r="AN333" s="44" t="s">
        <v>1542</v>
      </c>
      <c r="AO333" s="46">
        <f t="shared" si="25"/>
        <v>0</v>
      </c>
      <c r="AP333" s="43" t="s">
        <v>1542</v>
      </c>
      <c r="AQ333" s="43" t="s">
        <v>1542</v>
      </c>
      <c r="AR333" s="43" t="s">
        <v>1542</v>
      </c>
      <c r="AS333" s="43" t="s">
        <v>1542</v>
      </c>
      <c r="AT333" s="43" t="s">
        <v>1542</v>
      </c>
      <c r="AU333" s="43" t="s">
        <v>1542</v>
      </c>
      <c r="AV333" s="43" t="s">
        <v>1542</v>
      </c>
      <c r="AW333" s="43" t="s">
        <v>1542</v>
      </c>
      <c r="AX333" s="43" t="s">
        <v>1542</v>
      </c>
      <c r="AY333" s="43" t="s">
        <v>1542</v>
      </c>
      <c r="AZ333" s="43" t="s">
        <v>1542</v>
      </c>
      <c r="BA333" s="43" t="s">
        <v>1542</v>
      </c>
      <c r="BB333" s="46">
        <f t="shared" si="26"/>
        <v>0</v>
      </c>
      <c r="BC333" s="44" t="s">
        <v>1542</v>
      </c>
      <c r="BD333" s="44" t="s">
        <v>1542</v>
      </c>
      <c r="BE333" s="44" t="s">
        <v>1542</v>
      </c>
      <c r="BF333" s="44" t="s">
        <v>1542</v>
      </c>
      <c r="BG333" s="44" t="s">
        <v>1542</v>
      </c>
      <c r="BH333" s="44" t="s">
        <v>1542</v>
      </c>
      <c r="BI333" s="44" t="s">
        <v>1542</v>
      </c>
      <c r="BJ333" s="44" t="s">
        <v>1542</v>
      </c>
      <c r="BK333" s="44" t="s">
        <v>1542</v>
      </c>
      <c r="BL333" s="44" t="s">
        <v>1542</v>
      </c>
      <c r="BM333" s="44" t="s">
        <v>1542</v>
      </c>
      <c r="BN333" s="44" t="s">
        <v>1542</v>
      </c>
      <c r="BO333" s="46">
        <f t="shared" si="27"/>
        <v>0</v>
      </c>
      <c r="BP333" s="43" t="s">
        <v>1542</v>
      </c>
      <c r="BQ333" s="43" t="s">
        <v>1542</v>
      </c>
      <c r="BR333" s="43" t="s">
        <v>1542</v>
      </c>
      <c r="BS333" s="43" t="s">
        <v>1542</v>
      </c>
      <c r="BT333" s="43" t="s">
        <v>1542</v>
      </c>
      <c r="BU333" s="43" t="s">
        <v>1542</v>
      </c>
      <c r="BV333" s="43" t="s">
        <v>1542</v>
      </c>
      <c r="BW333" s="43" t="s">
        <v>1542</v>
      </c>
      <c r="BX333" s="43" t="s">
        <v>1542</v>
      </c>
      <c r="BY333" s="43" t="s">
        <v>1542</v>
      </c>
      <c r="BZ333" s="43" t="s">
        <v>1542</v>
      </c>
      <c r="CA333" s="43" t="s">
        <v>1542</v>
      </c>
    </row>
    <row r="334" spans="1:79">
      <c r="A334">
        <v>333</v>
      </c>
      <c r="B334">
        <v>1</v>
      </c>
      <c r="C334" t="s">
        <v>1532</v>
      </c>
      <c r="D334" t="s">
        <v>1533</v>
      </c>
      <c r="E334" t="s">
        <v>3025</v>
      </c>
      <c r="F334" t="s">
        <v>3026</v>
      </c>
      <c r="G334" t="s">
        <v>3058</v>
      </c>
      <c r="H334" t="s">
        <v>3058</v>
      </c>
      <c r="J334" t="s">
        <v>3059</v>
      </c>
      <c r="K334" t="s">
        <v>3060</v>
      </c>
      <c r="M334" s="1" t="s">
        <v>3061</v>
      </c>
      <c r="O334" s="46">
        <f t="shared" si="28"/>
        <v>0</v>
      </c>
      <c r="P334" s="43" t="s">
        <v>1542</v>
      </c>
      <c r="Q334" s="43" t="s">
        <v>1542</v>
      </c>
      <c r="R334" s="43" t="s">
        <v>1542</v>
      </c>
      <c r="S334" s="43" t="s">
        <v>1542</v>
      </c>
      <c r="T334" s="43" t="s">
        <v>1542</v>
      </c>
      <c r="U334" s="43" t="s">
        <v>1542</v>
      </c>
      <c r="V334" s="43" t="s">
        <v>1542</v>
      </c>
      <c r="W334" s="43" t="s">
        <v>1542</v>
      </c>
      <c r="X334" s="43" t="s">
        <v>1542</v>
      </c>
      <c r="Y334" s="43" t="s">
        <v>1542</v>
      </c>
      <c r="Z334" s="43" t="s">
        <v>1542</v>
      </c>
      <c r="AA334" s="43" t="s">
        <v>1542</v>
      </c>
      <c r="AB334" s="46">
        <f t="shared" si="29"/>
        <v>0</v>
      </c>
      <c r="AC334" s="44" t="s">
        <v>1542</v>
      </c>
      <c r="AD334" s="44" t="s">
        <v>1542</v>
      </c>
      <c r="AE334" s="44" t="s">
        <v>1542</v>
      </c>
      <c r="AF334" s="44" t="s">
        <v>1542</v>
      </c>
      <c r="AG334" s="44" t="s">
        <v>1542</v>
      </c>
      <c r="AH334" s="44" t="s">
        <v>1542</v>
      </c>
      <c r="AI334" s="44" t="s">
        <v>1542</v>
      </c>
      <c r="AJ334" s="44" t="s">
        <v>1542</v>
      </c>
      <c r="AK334" s="44" t="s">
        <v>1542</v>
      </c>
      <c r="AL334" s="44" t="s">
        <v>1542</v>
      </c>
      <c r="AM334" s="44" t="s">
        <v>1542</v>
      </c>
      <c r="AN334" s="44" t="s">
        <v>1542</v>
      </c>
      <c r="AO334" s="46">
        <f t="shared" si="25"/>
        <v>0</v>
      </c>
      <c r="AP334" s="43" t="s">
        <v>1542</v>
      </c>
      <c r="AQ334" s="43" t="s">
        <v>1542</v>
      </c>
      <c r="AR334" s="43" t="s">
        <v>1542</v>
      </c>
      <c r="AS334" s="43" t="s">
        <v>1542</v>
      </c>
      <c r="AT334" s="43" t="s">
        <v>1542</v>
      </c>
      <c r="AU334" s="43" t="s">
        <v>1542</v>
      </c>
      <c r="AV334" s="43" t="s">
        <v>1542</v>
      </c>
      <c r="AW334" s="43" t="s">
        <v>1542</v>
      </c>
      <c r="AX334" s="43" t="s">
        <v>1542</v>
      </c>
      <c r="AY334" s="43" t="s">
        <v>1542</v>
      </c>
      <c r="AZ334" s="43" t="s">
        <v>1542</v>
      </c>
      <c r="BA334" s="43" t="s">
        <v>1542</v>
      </c>
      <c r="BB334" s="46">
        <f t="shared" si="26"/>
        <v>0</v>
      </c>
      <c r="BC334" s="44" t="s">
        <v>1542</v>
      </c>
      <c r="BD334" s="44" t="s">
        <v>1542</v>
      </c>
      <c r="BE334" s="44" t="s">
        <v>1542</v>
      </c>
      <c r="BF334" s="44" t="s">
        <v>1542</v>
      </c>
      <c r="BG334" s="44" t="s">
        <v>1542</v>
      </c>
      <c r="BH334" s="44" t="s">
        <v>1542</v>
      </c>
      <c r="BI334" s="44" t="s">
        <v>1542</v>
      </c>
      <c r="BJ334" s="44" t="s">
        <v>1542</v>
      </c>
      <c r="BK334" s="44" t="s">
        <v>1542</v>
      </c>
      <c r="BL334" s="44" t="s">
        <v>1542</v>
      </c>
      <c r="BM334" s="44" t="s">
        <v>1542</v>
      </c>
      <c r="BN334" s="44" t="s">
        <v>1542</v>
      </c>
      <c r="BO334" s="46">
        <f t="shared" si="27"/>
        <v>0</v>
      </c>
      <c r="BP334" s="43" t="s">
        <v>1542</v>
      </c>
      <c r="BQ334" s="43" t="s">
        <v>1542</v>
      </c>
      <c r="BR334" s="43" t="s">
        <v>1542</v>
      </c>
      <c r="BS334" s="43" t="s">
        <v>1542</v>
      </c>
      <c r="BT334" s="43" t="s">
        <v>1542</v>
      </c>
      <c r="BU334" s="43" t="s">
        <v>1542</v>
      </c>
      <c r="BV334" s="43" t="s">
        <v>1542</v>
      </c>
      <c r="BW334" s="43" t="s">
        <v>1542</v>
      </c>
      <c r="BX334" s="43" t="s">
        <v>1542</v>
      </c>
      <c r="BY334" s="43" t="s">
        <v>1542</v>
      </c>
      <c r="BZ334" s="43" t="s">
        <v>1542</v>
      </c>
      <c r="CA334" s="43" t="s">
        <v>1542</v>
      </c>
    </row>
    <row r="335" spans="1:79">
      <c r="A335">
        <v>334</v>
      </c>
      <c r="B335">
        <v>1</v>
      </c>
      <c r="C335" t="s">
        <v>1532</v>
      </c>
      <c r="D335" t="s">
        <v>1533</v>
      </c>
      <c r="E335" t="s">
        <v>3025</v>
      </c>
      <c r="F335" t="s">
        <v>3026</v>
      </c>
      <c r="G335" t="s">
        <v>3062</v>
      </c>
      <c r="H335" t="s">
        <v>3062</v>
      </c>
      <c r="J335" t="s">
        <v>3063</v>
      </c>
      <c r="K335" t="s">
        <v>3064</v>
      </c>
      <c r="M335" s="1" t="s">
        <v>3065</v>
      </c>
      <c r="O335" s="46">
        <f t="shared" si="28"/>
        <v>0</v>
      </c>
      <c r="P335" s="43" t="s">
        <v>1542</v>
      </c>
      <c r="Q335" s="43" t="s">
        <v>1542</v>
      </c>
      <c r="R335" s="43" t="s">
        <v>1542</v>
      </c>
      <c r="S335" s="43" t="s">
        <v>1542</v>
      </c>
      <c r="T335" s="43" t="s">
        <v>1542</v>
      </c>
      <c r="U335" s="43" t="s">
        <v>1542</v>
      </c>
      <c r="V335" s="43" t="s">
        <v>1542</v>
      </c>
      <c r="W335" s="43" t="s">
        <v>1542</v>
      </c>
      <c r="X335" s="43" t="s">
        <v>1542</v>
      </c>
      <c r="Y335" s="43" t="s">
        <v>1542</v>
      </c>
      <c r="Z335" s="43" t="s">
        <v>1542</v>
      </c>
      <c r="AA335" s="43" t="s">
        <v>1542</v>
      </c>
      <c r="AB335" s="46">
        <f t="shared" si="29"/>
        <v>0</v>
      </c>
      <c r="AC335" s="44" t="s">
        <v>1542</v>
      </c>
      <c r="AD335" s="44" t="s">
        <v>1542</v>
      </c>
      <c r="AE335" s="44" t="s">
        <v>1542</v>
      </c>
      <c r="AF335" s="44" t="s">
        <v>1542</v>
      </c>
      <c r="AG335" s="44" t="s">
        <v>1542</v>
      </c>
      <c r="AH335" s="44" t="s">
        <v>1542</v>
      </c>
      <c r="AI335" s="44" t="s">
        <v>1542</v>
      </c>
      <c r="AJ335" s="44" t="s">
        <v>1542</v>
      </c>
      <c r="AK335" s="44" t="s">
        <v>1542</v>
      </c>
      <c r="AL335" s="44" t="s">
        <v>1542</v>
      </c>
      <c r="AM335" s="44" t="s">
        <v>1542</v>
      </c>
      <c r="AN335" s="44" t="s">
        <v>1542</v>
      </c>
      <c r="AO335" s="46">
        <f t="shared" si="25"/>
        <v>0</v>
      </c>
      <c r="AP335" s="43" t="s">
        <v>1542</v>
      </c>
      <c r="AQ335" s="43" t="s">
        <v>1542</v>
      </c>
      <c r="AR335" s="43" t="s">
        <v>1542</v>
      </c>
      <c r="AS335" s="43" t="s">
        <v>1542</v>
      </c>
      <c r="AT335" s="43" t="s">
        <v>1542</v>
      </c>
      <c r="AU335" s="43" t="s">
        <v>1542</v>
      </c>
      <c r="AV335" s="43" t="s">
        <v>1542</v>
      </c>
      <c r="AW335" s="43" t="s">
        <v>1542</v>
      </c>
      <c r="AX335" s="43" t="s">
        <v>1542</v>
      </c>
      <c r="AY335" s="43" t="s">
        <v>1542</v>
      </c>
      <c r="AZ335" s="43" t="s">
        <v>1542</v>
      </c>
      <c r="BA335" s="43" t="s">
        <v>1542</v>
      </c>
      <c r="BB335" s="46">
        <f t="shared" si="26"/>
        <v>0</v>
      </c>
      <c r="BC335" s="44" t="s">
        <v>1542</v>
      </c>
      <c r="BD335" s="44" t="s">
        <v>1542</v>
      </c>
      <c r="BE335" s="44" t="s">
        <v>1542</v>
      </c>
      <c r="BF335" s="44" t="s">
        <v>1542</v>
      </c>
      <c r="BG335" s="44" t="s">
        <v>1542</v>
      </c>
      <c r="BH335" s="44" t="s">
        <v>1542</v>
      </c>
      <c r="BI335" s="44" t="s">
        <v>1542</v>
      </c>
      <c r="BJ335" s="44" t="s">
        <v>1542</v>
      </c>
      <c r="BK335" s="44" t="s">
        <v>1542</v>
      </c>
      <c r="BL335" s="44" t="s">
        <v>1542</v>
      </c>
      <c r="BM335" s="44" t="s">
        <v>1542</v>
      </c>
      <c r="BN335" s="44" t="s">
        <v>1542</v>
      </c>
      <c r="BO335" s="46">
        <f t="shared" si="27"/>
        <v>0</v>
      </c>
      <c r="BP335" s="43" t="s">
        <v>1542</v>
      </c>
      <c r="BQ335" s="43" t="s">
        <v>1542</v>
      </c>
      <c r="BR335" s="43" t="s">
        <v>1542</v>
      </c>
      <c r="BS335" s="43" t="s">
        <v>1542</v>
      </c>
      <c r="BT335" s="43" t="s">
        <v>1542</v>
      </c>
      <c r="BU335" s="43" t="s">
        <v>1542</v>
      </c>
      <c r="BV335" s="43" t="s">
        <v>1542</v>
      </c>
      <c r="BW335" s="43" t="s">
        <v>1542</v>
      </c>
      <c r="BX335" s="43" t="s">
        <v>1542</v>
      </c>
      <c r="BY335" s="43" t="s">
        <v>1542</v>
      </c>
      <c r="BZ335" s="43" t="s">
        <v>1542</v>
      </c>
      <c r="CA335" s="43" t="s">
        <v>1542</v>
      </c>
    </row>
    <row r="336" spans="1:79">
      <c r="A336">
        <v>335</v>
      </c>
      <c r="B336">
        <v>1</v>
      </c>
      <c r="C336" t="s">
        <v>1532</v>
      </c>
      <c r="D336" t="s">
        <v>1533</v>
      </c>
      <c r="E336" t="s">
        <v>3025</v>
      </c>
      <c r="F336" t="s">
        <v>3026</v>
      </c>
      <c r="G336" t="s">
        <v>3066</v>
      </c>
      <c r="H336" t="s">
        <v>3066</v>
      </c>
      <c r="J336" t="s">
        <v>3067</v>
      </c>
      <c r="K336" t="s">
        <v>3068</v>
      </c>
      <c r="M336" s="1" t="s">
        <v>3069</v>
      </c>
      <c r="O336" s="46">
        <f t="shared" si="28"/>
        <v>0</v>
      </c>
      <c r="P336" s="43" t="s">
        <v>1542</v>
      </c>
      <c r="Q336" s="43" t="s">
        <v>1542</v>
      </c>
      <c r="R336" s="43" t="s">
        <v>1542</v>
      </c>
      <c r="S336" s="43" t="s">
        <v>1542</v>
      </c>
      <c r="T336" s="43" t="s">
        <v>1542</v>
      </c>
      <c r="U336" s="43" t="s">
        <v>1542</v>
      </c>
      <c r="V336" s="43" t="s">
        <v>1542</v>
      </c>
      <c r="W336" s="43" t="s">
        <v>1542</v>
      </c>
      <c r="X336" s="43" t="s">
        <v>1542</v>
      </c>
      <c r="Y336" s="43" t="s">
        <v>1542</v>
      </c>
      <c r="Z336" s="43" t="s">
        <v>1542</v>
      </c>
      <c r="AA336" s="43" t="s">
        <v>1542</v>
      </c>
      <c r="AB336" s="46">
        <f t="shared" si="29"/>
        <v>0</v>
      </c>
      <c r="AC336" s="44" t="s">
        <v>1542</v>
      </c>
      <c r="AD336" s="44" t="s">
        <v>1542</v>
      </c>
      <c r="AE336" s="44" t="s">
        <v>1542</v>
      </c>
      <c r="AF336" s="44" t="s">
        <v>1542</v>
      </c>
      <c r="AG336" s="44" t="s">
        <v>1542</v>
      </c>
      <c r="AH336" s="44" t="s">
        <v>1542</v>
      </c>
      <c r="AI336" s="44" t="s">
        <v>1542</v>
      </c>
      <c r="AJ336" s="44" t="s">
        <v>1542</v>
      </c>
      <c r="AK336" s="44" t="s">
        <v>1542</v>
      </c>
      <c r="AL336" s="44" t="s">
        <v>1542</v>
      </c>
      <c r="AM336" s="44" t="s">
        <v>1542</v>
      </c>
      <c r="AN336" s="44" t="s">
        <v>1542</v>
      </c>
      <c r="AO336" s="46">
        <f t="shared" si="25"/>
        <v>0</v>
      </c>
      <c r="AP336" s="43" t="s">
        <v>1542</v>
      </c>
      <c r="AQ336" s="43" t="s">
        <v>1542</v>
      </c>
      <c r="AR336" s="43" t="s">
        <v>1542</v>
      </c>
      <c r="AS336" s="43" t="s">
        <v>1542</v>
      </c>
      <c r="AT336" s="43" t="s">
        <v>1542</v>
      </c>
      <c r="AU336" s="43" t="s">
        <v>1542</v>
      </c>
      <c r="AV336" s="43" t="s">
        <v>1542</v>
      </c>
      <c r="AW336" s="43" t="s">
        <v>1542</v>
      </c>
      <c r="AX336" s="43" t="s">
        <v>1542</v>
      </c>
      <c r="AY336" s="43" t="s">
        <v>1542</v>
      </c>
      <c r="AZ336" s="43" t="s">
        <v>1542</v>
      </c>
      <c r="BA336" s="43" t="s">
        <v>1542</v>
      </c>
      <c r="BB336" s="46">
        <f t="shared" si="26"/>
        <v>0</v>
      </c>
      <c r="BC336" s="44" t="s">
        <v>1542</v>
      </c>
      <c r="BD336" s="44" t="s">
        <v>1542</v>
      </c>
      <c r="BE336" s="44" t="s">
        <v>1542</v>
      </c>
      <c r="BF336" s="44" t="s">
        <v>1542</v>
      </c>
      <c r="BG336" s="44" t="s">
        <v>1542</v>
      </c>
      <c r="BH336" s="44" t="s">
        <v>1542</v>
      </c>
      <c r="BI336" s="44" t="s">
        <v>1542</v>
      </c>
      <c r="BJ336" s="44" t="s">
        <v>1542</v>
      </c>
      <c r="BK336" s="44" t="s">
        <v>1542</v>
      </c>
      <c r="BL336" s="44" t="s">
        <v>1542</v>
      </c>
      <c r="BM336" s="44" t="s">
        <v>1542</v>
      </c>
      <c r="BN336" s="44" t="s">
        <v>1542</v>
      </c>
      <c r="BO336" s="46">
        <f t="shared" si="27"/>
        <v>0</v>
      </c>
      <c r="BP336" s="43" t="s">
        <v>1542</v>
      </c>
      <c r="BQ336" s="43" t="s">
        <v>1542</v>
      </c>
      <c r="BR336" s="43" t="s">
        <v>1542</v>
      </c>
      <c r="BS336" s="43" t="s">
        <v>1542</v>
      </c>
      <c r="BT336" s="43" t="s">
        <v>1542</v>
      </c>
      <c r="BU336" s="43" t="s">
        <v>1542</v>
      </c>
      <c r="BV336" s="43" t="s">
        <v>1542</v>
      </c>
      <c r="BW336" s="43" t="s">
        <v>1542</v>
      </c>
      <c r="BX336" s="43" t="s">
        <v>1542</v>
      </c>
      <c r="BY336" s="43" t="s">
        <v>1542</v>
      </c>
      <c r="BZ336" s="43" t="s">
        <v>1542</v>
      </c>
      <c r="CA336" s="43" t="s">
        <v>1542</v>
      </c>
    </row>
    <row r="337" spans="1:79">
      <c r="A337">
        <v>336</v>
      </c>
      <c r="B337">
        <v>1</v>
      </c>
      <c r="C337" t="s">
        <v>1532</v>
      </c>
      <c r="D337" t="s">
        <v>1533</v>
      </c>
      <c r="E337" t="s">
        <v>3025</v>
      </c>
      <c r="F337" t="s">
        <v>3026</v>
      </c>
      <c r="G337" t="s">
        <v>3070</v>
      </c>
      <c r="H337" t="s">
        <v>3070</v>
      </c>
      <c r="J337" t="s">
        <v>3071</v>
      </c>
      <c r="K337" t="s">
        <v>3072</v>
      </c>
      <c r="M337" s="1" t="s">
        <v>3073</v>
      </c>
      <c r="N337" t="s">
        <v>3074</v>
      </c>
      <c r="O337" s="46">
        <f t="shared" si="28"/>
        <v>0</v>
      </c>
      <c r="P337" s="43" t="s">
        <v>1542</v>
      </c>
      <c r="Q337" s="43" t="s">
        <v>1542</v>
      </c>
      <c r="R337" s="43" t="s">
        <v>1542</v>
      </c>
      <c r="S337" s="43" t="s">
        <v>1542</v>
      </c>
      <c r="T337" s="43" t="s">
        <v>1542</v>
      </c>
      <c r="U337" s="43" t="s">
        <v>1542</v>
      </c>
      <c r="V337" s="43" t="s">
        <v>1542</v>
      </c>
      <c r="W337" s="43" t="s">
        <v>1542</v>
      </c>
      <c r="X337" s="43" t="s">
        <v>1542</v>
      </c>
      <c r="Y337" s="43" t="s">
        <v>1542</v>
      </c>
      <c r="Z337" s="43" t="s">
        <v>1542</v>
      </c>
      <c r="AA337" s="43" t="s">
        <v>1542</v>
      </c>
      <c r="AB337" s="46">
        <f t="shared" si="29"/>
        <v>4</v>
      </c>
      <c r="AC337" s="44" t="s">
        <v>1542</v>
      </c>
      <c r="AD337" s="44" t="s">
        <v>1542</v>
      </c>
      <c r="AE337" s="44" t="s">
        <v>1542</v>
      </c>
      <c r="AF337" s="44" t="s">
        <v>1542</v>
      </c>
      <c r="AG337" s="44" t="s">
        <v>1542</v>
      </c>
      <c r="AH337" s="44" t="s">
        <v>1554</v>
      </c>
      <c r="AI337" s="44" t="s">
        <v>1554</v>
      </c>
      <c r="AJ337" s="44" t="s">
        <v>1554</v>
      </c>
      <c r="AK337" s="44" t="s">
        <v>1554</v>
      </c>
      <c r="AL337" s="44" t="s">
        <v>1542</v>
      </c>
      <c r="AM337" s="44" t="s">
        <v>1542</v>
      </c>
      <c r="AN337" s="44" t="s">
        <v>1542</v>
      </c>
      <c r="AO337" s="46">
        <f t="shared" si="25"/>
        <v>4</v>
      </c>
      <c r="AP337" s="43" t="s">
        <v>1542</v>
      </c>
      <c r="AQ337" s="43" t="s">
        <v>1542</v>
      </c>
      <c r="AR337" s="43" t="s">
        <v>1542</v>
      </c>
      <c r="AS337" s="43" t="s">
        <v>1542</v>
      </c>
      <c r="AT337" s="43" t="s">
        <v>1542</v>
      </c>
      <c r="AU337" s="43" t="s">
        <v>1542</v>
      </c>
      <c r="AV337" s="43" t="s">
        <v>1542</v>
      </c>
      <c r="AW337" s="43" t="s">
        <v>1542</v>
      </c>
      <c r="AX337" s="43" t="s">
        <v>1542</v>
      </c>
      <c r="AY337" s="43" t="s">
        <v>1542</v>
      </c>
      <c r="AZ337" s="43" t="s">
        <v>1542</v>
      </c>
      <c r="BA337" s="43" t="s">
        <v>1542</v>
      </c>
      <c r="BB337" s="46">
        <f t="shared" si="26"/>
        <v>0</v>
      </c>
      <c r="BC337" s="44" t="s">
        <v>1542</v>
      </c>
      <c r="BD337" s="44" t="s">
        <v>1542</v>
      </c>
      <c r="BE337" s="44" t="s">
        <v>1542</v>
      </c>
      <c r="BF337" s="44" t="s">
        <v>1542</v>
      </c>
      <c r="BG337" s="44" t="s">
        <v>1542</v>
      </c>
      <c r="BH337" s="44" t="s">
        <v>1542</v>
      </c>
      <c r="BI337" s="44" t="s">
        <v>1542</v>
      </c>
      <c r="BJ337" s="44" t="s">
        <v>1542</v>
      </c>
      <c r="BK337" s="44" t="s">
        <v>1542</v>
      </c>
      <c r="BL337" s="44" t="s">
        <v>1542</v>
      </c>
      <c r="BM337" s="44" t="s">
        <v>1542</v>
      </c>
      <c r="BN337" s="44" t="s">
        <v>1542</v>
      </c>
      <c r="BO337" s="46">
        <f t="shared" si="27"/>
        <v>0</v>
      </c>
      <c r="BP337" s="43" t="s">
        <v>1542</v>
      </c>
      <c r="BQ337" s="43" t="s">
        <v>1542</v>
      </c>
      <c r="BR337" s="43" t="s">
        <v>1542</v>
      </c>
      <c r="BS337" s="43" t="s">
        <v>1542</v>
      </c>
      <c r="BT337" s="43" t="s">
        <v>1542</v>
      </c>
      <c r="BU337" s="43" t="s">
        <v>1542</v>
      </c>
      <c r="BV337" s="43" t="s">
        <v>1542</v>
      </c>
      <c r="BW337" s="43" t="s">
        <v>1542</v>
      </c>
      <c r="BX337" s="43" t="s">
        <v>1542</v>
      </c>
      <c r="BY337" s="43" t="s">
        <v>1542</v>
      </c>
      <c r="BZ337" s="43" t="s">
        <v>1542</v>
      </c>
      <c r="CA337" s="43" t="s">
        <v>1542</v>
      </c>
    </row>
    <row r="338" spans="1:79">
      <c r="A338">
        <v>337</v>
      </c>
      <c r="B338" t="s">
        <v>1543</v>
      </c>
      <c r="C338" t="s">
        <v>1532</v>
      </c>
      <c r="D338" t="s">
        <v>1533</v>
      </c>
      <c r="E338" t="s">
        <v>3025</v>
      </c>
      <c r="F338" t="s">
        <v>3026</v>
      </c>
      <c r="G338" t="s">
        <v>3075</v>
      </c>
      <c r="H338" t="s">
        <v>3075</v>
      </c>
      <c r="J338" t="s">
        <v>3076</v>
      </c>
      <c r="K338" t="s">
        <v>3077</v>
      </c>
      <c r="M338" s="1" t="s">
        <v>3078</v>
      </c>
      <c r="N338" t="s">
        <v>3079</v>
      </c>
      <c r="O338" s="46">
        <f t="shared" si="28"/>
        <v>0</v>
      </c>
      <c r="P338" s="43"/>
      <c r="Q338" s="43"/>
      <c r="R338" s="43"/>
      <c r="S338" s="43"/>
      <c r="T338" s="43"/>
      <c r="U338" s="43"/>
      <c r="V338" s="43"/>
      <c r="W338" s="43"/>
      <c r="X338" s="43"/>
      <c r="Y338" s="43"/>
      <c r="Z338" s="43"/>
      <c r="AA338" s="43"/>
      <c r="AB338" s="46">
        <f t="shared" si="29"/>
        <v>0</v>
      </c>
      <c r="AC338" s="44"/>
      <c r="AD338" s="44"/>
      <c r="AE338" s="44"/>
      <c r="AF338" s="44"/>
      <c r="AG338" s="44"/>
      <c r="AH338" s="44"/>
      <c r="AI338" s="44"/>
      <c r="AJ338" s="44"/>
      <c r="AK338" s="44"/>
      <c r="AL338" s="44"/>
      <c r="AM338" s="44"/>
      <c r="AN338" s="44"/>
      <c r="AO338" s="46">
        <f t="shared" si="25"/>
        <v>0</v>
      </c>
      <c r="AP338" s="43"/>
      <c r="AQ338" s="43"/>
      <c r="AR338" s="43"/>
      <c r="AS338" s="43"/>
      <c r="AT338" s="43"/>
      <c r="AU338" s="43"/>
      <c r="AV338" s="43"/>
      <c r="AW338" s="43"/>
      <c r="AX338" s="43"/>
      <c r="AY338" s="43"/>
      <c r="AZ338" s="43"/>
      <c r="BA338" s="43"/>
      <c r="BB338" s="46">
        <f t="shared" si="26"/>
        <v>0</v>
      </c>
      <c r="BC338" s="44"/>
      <c r="BD338" s="44"/>
      <c r="BE338" s="44"/>
      <c r="BF338" s="44"/>
      <c r="BG338" s="44"/>
      <c r="BH338" s="44"/>
      <c r="BI338" s="44"/>
      <c r="BJ338" s="44"/>
      <c r="BK338" s="44"/>
      <c r="BL338" s="44"/>
      <c r="BM338" s="44"/>
      <c r="BN338" s="44"/>
      <c r="BO338" s="46">
        <f t="shared" si="27"/>
        <v>0</v>
      </c>
      <c r="BP338" s="43"/>
      <c r="BQ338" s="43"/>
      <c r="BR338" s="43"/>
      <c r="BS338" s="43"/>
      <c r="BT338" s="43"/>
      <c r="BU338" s="43"/>
      <c r="BV338" s="43"/>
      <c r="BW338" s="43"/>
      <c r="BX338" s="43"/>
      <c r="BY338" s="43"/>
      <c r="BZ338" s="43"/>
      <c r="CA338" s="43"/>
    </row>
    <row r="339" spans="1:79">
      <c r="A339">
        <v>338</v>
      </c>
      <c r="B339">
        <v>1</v>
      </c>
      <c r="C339" t="s">
        <v>1532</v>
      </c>
      <c r="D339" t="s">
        <v>1533</v>
      </c>
      <c r="E339" t="s">
        <v>3025</v>
      </c>
      <c r="F339" t="s">
        <v>3026</v>
      </c>
      <c r="G339" t="s">
        <v>3080</v>
      </c>
      <c r="H339" t="s">
        <v>3080</v>
      </c>
      <c r="J339" t="s">
        <v>3081</v>
      </c>
      <c r="K339" t="s">
        <v>3082</v>
      </c>
      <c r="M339" s="1" t="s">
        <v>3083</v>
      </c>
      <c r="O339" s="46">
        <f t="shared" si="28"/>
        <v>0</v>
      </c>
      <c r="P339" s="43" t="s">
        <v>1542</v>
      </c>
      <c r="Q339" s="43" t="s">
        <v>1542</v>
      </c>
      <c r="R339" s="43" t="s">
        <v>1542</v>
      </c>
      <c r="S339" s="43" t="s">
        <v>1542</v>
      </c>
      <c r="T339" s="43" t="s">
        <v>1542</v>
      </c>
      <c r="U339" s="43" t="s">
        <v>1542</v>
      </c>
      <c r="V339" s="43" t="s">
        <v>1542</v>
      </c>
      <c r="W339" s="43" t="s">
        <v>1542</v>
      </c>
      <c r="X339" s="43" t="s">
        <v>1542</v>
      </c>
      <c r="Y339" s="43" t="s">
        <v>1542</v>
      </c>
      <c r="Z339" s="43" t="s">
        <v>1542</v>
      </c>
      <c r="AA339" s="43" t="s">
        <v>1542</v>
      </c>
      <c r="AB339" s="46">
        <f t="shared" si="29"/>
        <v>0</v>
      </c>
      <c r="AC339" s="44" t="s">
        <v>1542</v>
      </c>
      <c r="AD339" s="44" t="s">
        <v>1542</v>
      </c>
      <c r="AE339" s="44" t="s">
        <v>1542</v>
      </c>
      <c r="AF339" s="44" t="s">
        <v>1542</v>
      </c>
      <c r="AG339" s="44" t="s">
        <v>1542</v>
      </c>
      <c r="AH339" s="44" t="s">
        <v>1542</v>
      </c>
      <c r="AI339" s="44" t="s">
        <v>1542</v>
      </c>
      <c r="AJ339" s="44" t="s">
        <v>1542</v>
      </c>
      <c r="AK339" s="44" t="s">
        <v>1542</v>
      </c>
      <c r="AL339" s="44" t="s">
        <v>1542</v>
      </c>
      <c r="AM339" s="44" t="s">
        <v>1542</v>
      </c>
      <c r="AN339" s="44" t="s">
        <v>1542</v>
      </c>
      <c r="AO339" s="46">
        <f t="shared" si="25"/>
        <v>0</v>
      </c>
      <c r="AP339" s="43" t="s">
        <v>1542</v>
      </c>
      <c r="AQ339" s="43" t="s">
        <v>1542</v>
      </c>
      <c r="AR339" s="43" t="s">
        <v>1542</v>
      </c>
      <c r="AS339" s="43" t="s">
        <v>1542</v>
      </c>
      <c r="AT339" s="43" t="s">
        <v>1542</v>
      </c>
      <c r="AU339" s="43" t="s">
        <v>1542</v>
      </c>
      <c r="AV339" s="43" t="s">
        <v>1542</v>
      </c>
      <c r="AW339" s="43" t="s">
        <v>1542</v>
      </c>
      <c r="AX339" s="43" t="s">
        <v>1542</v>
      </c>
      <c r="AY339" s="43" t="s">
        <v>1542</v>
      </c>
      <c r="AZ339" s="43" t="s">
        <v>1542</v>
      </c>
      <c r="BA339" s="43" t="s">
        <v>1542</v>
      </c>
      <c r="BB339" s="46">
        <f t="shared" si="26"/>
        <v>0</v>
      </c>
      <c r="BC339" s="44" t="s">
        <v>1542</v>
      </c>
      <c r="BD339" s="44" t="s">
        <v>1542</v>
      </c>
      <c r="BE339" s="44" t="s">
        <v>1542</v>
      </c>
      <c r="BF339" s="44" t="s">
        <v>1542</v>
      </c>
      <c r="BG339" s="44" t="s">
        <v>1542</v>
      </c>
      <c r="BH339" s="44" t="s">
        <v>1542</v>
      </c>
      <c r="BI339" s="44" t="s">
        <v>1542</v>
      </c>
      <c r="BJ339" s="44" t="s">
        <v>1542</v>
      </c>
      <c r="BK339" s="44" t="s">
        <v>1542</v>
      </c>
      <c r="BL339" s="44" t="s">
        <v>1542</v>
      </c>
      <c r="BM339" s="44" t="s">
        <v>1542</v>
      </c>
      <c r="BN339" s="44" t="s">
        <v>1542</v>
      </c>
      <c r="BO339" s="46">
        <f t="shared" si="27"/>
        <v>0</v>
      </c>
      <c r="BP339" s="43" t="s">
        <v>1542</v>
      </c>
      <c r="BQ339" s="43" t="s">
        <v>1542</v>
      </c>
      <c r="BR339" s="43" t="s">
        <v>1542</v>
      </c>
      <c r="BS339" s="43" t="s">
        <v>1542</v>
      </c>
      <c r="BT339" s="43" t="s">
        <v>1542</v>
      </c>
      <c r="BU339" s="43" t="s">
        <v>1542</v>
      </c>
      <c r="BV339" s="43" t="s">
        <v>1542</v>
      </c>
      <c r="BW339" s="43" t="s">
        <v>1542</v>
      </c>
      <c r="BX339" s="43" t="s">
        <v>1542</v>
      </c>
      <c r="BY339" s="43" t="s">
        <v>1542</v>
      </c>
      <c r="BZ339" s="43" t="s">
        <v>1542</v>
      </c>
      <c r="CA339" s="43" t="s">
        <v>1542</v>
      </c>
    </row>
    <row r="340" spans="1:79">
      <c r="A340">
        <v>339</v>
      </c>
      <c r="B340">
        <v>1</v>
      </c>
      <c r="C340" t="s">
        <v>1532</v>
      </c>
      <c r="D340" t="s">
        <v>1533</v>
      </c>
      <c r="E340" t="s">
        <v>3025</v>
      </c>
      <c r="F340" t="s">
        <v>3026</v>
      </c>
      <c r="G340" t="s">
        <v>3084</v>
      </c>
      <c r="H340" t="s">
        <v>3084</v>
      </c>
      <c r="J340" t="s">
        <v>3085</v>
      </c>
      <c r="K340" t="s">
        <v>3086</v>
      </c>
      <c r="M340" s="1" t="s">
        <v>3087</v>
      </c>
      <c r="N340" t="s">
        <v>3088</v>
      </c>
      <c r="O340" s="46">
        <f t="shared" si="28"/>
        <v>1</v>
      </c>
      <c r="P340" s="43" t="s">
        <v>1542</v>
      </c>
      <c r="Q340" s="43" t="s">
        <v>1542</v>
      </c>
      <c r="R340" s="43" t="s">
        <v>1542</v>
      </c>
      <c r="S340" s="43" t="s">
        <v>1542</v>
      </c>
      <c r="T340" s="43" t="s">
        <v>1542</v>
      </c>
      <c r="U340" s="43" t="s">
        <v>1542</v>
      </c>
      <c r="V340" s="43" t="s">
        <v>1542</v>
      </c>
      <c r="W340" s="43" t="s">
        <v>1542</v>
      </c>
      <c r="X340" s="43" t="s">
        <v>1542</v>
      </c>
      <c r="Y340" s="43" t="s">
        <v>1542</v>
      </c>
      <c r="Z340" s="43" t="s">
        <v>1542</v>
      </c>
      <c r="AA340" s="43" t="s">
        <v>1554</v>
      </c>
      <c r="AB340" s="46">
        <f t="shared" si="29"/>
        <v>0</v>
      </c>
      <c r="AC340" s="44" t="s">
        <v>1542</v>
      </c>
      <c r="AD340" s="44" t="s">
        <v>1542</v>
      </c>
      <c r="AE340" s="44" t="s">
        <v>1542</v>
      </c>
      <c r="AF340" s="44" t="s">
        <v>1542</v>
      </c>
      <c r="AG340" s="44" t="s">
        <v>1542</v>
      </c>
      <c r="AH340" s="44" t="s">
        <v>1542</v>
      </c>
      <c r="AI340" s="44" t="s">
        <v>1542</v>
      </c>
      <c r="AJ340" s="44" t="s">
        <v>1542</v>
      </c>
      <c r="AK340" s="44" t="s">
        <v>1542</v>
      </c>
      <c r="AL340" s="44" t="s">
        <v>1542</v>
      </c>
      <c r="AM340" s="44" t="s">
        <v>1542</v>
      </c>
      <c r="AN340" s="44" t="s">
        <v>1542</v>
      </c>
      <c r="AO340" s="46">
        <f t="shared" si="25"/>
        <v>0</v>
      </c>
      <c r="AP340" s="43" t="s">
        <v>1542</v>
      </c>
      <c r="AQ340" s="43" t="s">
        <v>1542</v>
      </c>
      <c r="AR340" s="43" t="s">
        <v>1542</v>
      </c>
      <c r="AS340" s="43" t="s">
        <v>1542</v>
      </c>
      <c r="AT340" s="43" t="s">
        <v>1542</v>
      </c>
      <c r="AU340" s="43" t="s">
        <v>1542</v>
      </c>
      <c r="AV340" s="43" t="s">
        <v>1542</v>
      </c>
      <c r="AW340" s="43" t="s">
        <v>1542</v>
      </c>
      <c r="AX340" s="43" t="s">
        <v>1542</v>
      </c>
      <c r="AY340" s="43" t="s">
        <v>1542</v>
      </c>
      <c r="AZ340" s="43" t="s">
        <v>1542</v>
      </c>
      <c r="BA340" s="43" t="s">
        <v>1542</v>
      </c>
      <c r="BB340" s="46">
        <f t="shared" si="26"/>
        <v>0</v>
      </c>
      <c r="BC340" s="44" t="s">
        <v>1542</v>
      </c>
      <c r="BD340" s="44" t="s">
        <v>1542</v>
      </c>
      <c r="BE340" s="44" t="s">
        <v>1542</v>
      </c>
      <c r="BF340" s="44" t="s">
        <v>1542</v>
      </c>
      <c r="BG340" s="44" t="s">
        <v>1542</v>
      </c>
      <c r="BH340" s="44" t="s">
        <v>1542</v>
      </c>
      <c r="BI340" s="44" t="s">
        <v>1542</v>
      </c>
      <c r="BJ340" s="44" t="s">
        <v>1542</v>
      </c>
      <c r="BK340" s="44" t="s">
        <v>1542</v>
      </c>
      <c r="BL340" s="44" t="s">
        <v>1542</v>
      </c>
      <c r="BM340" s="44" t="s">
        <v>1542</v>
      </c>
      <c r="BN340" s="44" t="s">
        <v>1542</v>
      </c>
      <c r="BO340" s="46">
        <f t="shared" si="27"/>
        <v>0</v>
      </c>
      <c r="BP340" s="43" t="s">
        <v>1542</v>
      </c>
      <c r="BQ340" s="43" t="s">
        <v>1542</v>
      </c>
      <c r="BR340" s="43" t="s">
        <v>1542</v>
      </c>
      <c r="BS340" s="43" t="s">
        <v>1542</v>
      </c>
      <c r="BT340" s="43" t="s">
        <v>1542</v>
      </c>
      <c r="BU340" s="43" t="s">
        <v>1542</v>
      </c>
      <c r="BV340" s="43" t="s">
        <v>1542</v>
      </c>
      <c r="BW340" s="43" t="s">
        <v>1542</v>
      </c>
      <c r="BX340" s="43" t="s">
        <v>1542</v>
      </c>
      <c r="BY340" s="43" t="s">
        <v>1542</v>
      </c>
      <c r="BZ340" s="43" t="s">
        <v>1542</v>
      </c>
      <c r="CA340" s="43" t="s">
        <v>1542</v>
      </c>
    </row>
    <row r="341" spans="1:79">
      <c r="A341">
        <v>340</v>
      </c>
      <c r="B341">
        <v>1</v>
      </c>
      <c r="C341" t="s">
        <v>1532</v>
      </c>
      <c r="D341" t="s">
        <v>1533</v>
      </c>
      <c r="E341" t="s">
        <v>3089</v>
      </c>
      <c r="F341" t="s">
        <v>3090</v>
      </c>
      <c r="G341" t="s">
        <v>3091</v>
      </c>
      <c r="H341" t="s">
        <v>3091</v>
      </c>
      <c r="J341" t="s">
        <v>3092</v>
      </c>
      <c r="K341" t="s">
        <v>3093</v>
      </c>
      <c r="M341" s="1" t="s">
        <v>3094</v>
      </c>
      <c r="O341" s="46">
        <f t="shared" si="28"/>
        <v>0</v>
      </c>
      <c r="P341" s="43" t="s">
        <v>1542</v>
      </c>
      <c r="Q341" s="43" t="s">
        <v>1542</v>
      </c>
      <c r="R341" s="43" t="s">
        <v>1542</v>
      </c>
      <c r="S341" s="43" t="s">
        <v>1542</v>
      </c>
      <c r="T341" s="43" t="s">
        <v>1542</v>
      </c>
      <c r="U341" s="43" t="s">
        <v>1542</v>
      </c>
      <c r="V341" s="43" t="s">
        <v>1542</v>
      </c>
      <c r="W341" s="43" t="s">
        <v>1542</v>
      </c>
      <c r="X341" s="43" t="s">
        <v>1542</v>
      </c>
      <c r="Y341" s="43" t="s">
        <v>1542</v>
      </c>
      <c r="Z341" s="43" t="s">
        <v>1542</v>
      </c>
      <c r="AA341" s="43" t="s">
        <v>1542</v>
      </c>
      <c r="AB341" s="46">
        <f t="shared" si="29"/>
        <v>0</v>
      </c>
      <c r="AC341" s="44" t="s">
        <v>1542</v>
      </c>
      <c r="AD341" s="44" t="s">
        <v>1542</v>
      </c>
      <c r="AE341" s="44" t="s">
        <v>1542</v>
      </c>
      <c r="AF341" s="44" t="s">
        <v>1542</v>
      </c>
      <c r="AG341" s="44" t="s">
        <v>1542</v>
      </c>
      <c r="AH341" s="44" t="s">
        <v>1542</v>
      </c>
      <c r="AI341" s="44" t="s">
        <v>1542</v>
      </c>
      <c r="AJ341" s="44" t="s">
        <v>1542</v>
      </c>
      <c r="AK341" s="44" t="s">
        <v>1542</v>
      </c>
      <c r="AL341" s="44" t="s">
        <v>1542</v>
      </c>
      <c r="AM341" s="44" t="s">
        <v>1542</v>
      </c>
      <c r="AN341" s="44" t="s">
        <v>1542</v>
      </c>
      <c r="AO341" s="46">
        <f t="shared" si="25"/>
        <v>0</v>
      </c>
      <c r="AP341" s="43" t="s">
        <v>1542</v>
      </c>
      <c r="AQ341" s="43" t="s">
        <v>1542</v>
      </c>
      <c r="AR341" s="43" t="s">
        <v>1542</v>
      </c>
      <c r="AS341" s="43" t="s">
        <v>1542</v>
      </c>
      <c r="AT341" s="43" t="s">
        <v>1542</v>
      </c>
      <c r="AU341" s="43" t="s">
        <v>1542</v>
      </c>
      <c r="AV341" s="43" t="s">
        <v>1542</v>
      </c>
      <c r="AW341" s="43" t="s">
        <v>1542</v>
      </c>
      <c r="AX341" s="43" t="s">
        <v>1542</v>
      </c>
      <c r="AY341" s="43" t="s">
        <v>1542</v>
      </c>
      <c r="AZ341" s="43" t="s">
        <v>1542</v>
      </c>
      <c r="BA341" s="43" t="s">
        <v>1542</v>
      </c>
      <c r="BB341" s="46">
        <f t="shared" si="26"/>
        <v>0</v>
      </c>
      <c r="BC341" s="44" t="s">
        <v>1542</v>
      </c>
      <c r="BD341" s="44" t="s">
        <v>1542</v>
      </c>
      <c r="BE341" s="44" t="s">
        <v>1542</v>
      </c>
      <c r="BF341" s="44" t="s">
        <v>1542</v>
      </c>
      <c r="BG341" s="44" t="s">
        <v>1542</v>
      </c>
      <c r="BH341" s="44" t="s">
        <v>1542</v>
      </c>
      <c r="BI341" s="44" t="s">
        <v>1542</v>
      </c>
      <c r="BJ341" s="44" t="s">
        <v>1542</v>
      </c>
      <c r="BK341" s="44" t="s">
        <v>1542</v>
      </c>
      <c r="BL341" s="44" t="s">
        <v>1542</v>
      </c>
      <c r="BM341" s="44" t="s">
        <v>1542</v>
      </c>
      <c r="BN341" s="44" t="s">
        <v>1542</v>
      </c>
      <c r="BO341" s="46">
        <f t="shared" si="27"/>
        <v>0</v>
      </c>
      <c r="BP341" s="43" t="s">
        <v>1542</v>
      </c>
      <c r="BQ341" s="43" t="s">
        <v>1542</v>
      </c>
      <c r="BR341" s="43" t="s">
        <v>1542</v>
      </c>
      <c r="BS341" s="43" t="s">
        <v>1542</v>
      </c>
      <c r="BT341" s="43" t="s">
        <v>1542</v>
      </c>
      <c r="BU341" s="43" t="s">
        <v>1542</v>
      </c>
      <c r="BV341" s="43" t="s">
        <v>1542</v>
      </c>
      <c r="BW341" s="43" t="s">
        <v>1542</v>
      </c>
      <c r="BX341" s="43" t="s">
        <v>1542</v>
      </c>
      <c r="BY341" s="43" t="s">
        <v>1542</v>
      </c>
      <c r="BZ341" s="43" t="s">
        <v>1542</v>
      </c>
      <c r="CA341" s="43" t="s">
        <v>1542</v>
      </c>
    </row>
    <row r="342" spans="1:79">
      <c r="A342">
        <v>341</v>
      </c>
      <c r="B342">
        <v>1</v>
      </c>
      <c r="C342" t="s">
        <v>1532</v>
      </c>
      <c r="D342" t="s">
        <v>1533</v>
      </c>
      <c r="E342" t="s">
        <v>3025</v>
      </c>
      <c r="F342" t="s">
        <v>3026</v>
      </c>
      <c r="G342" t="s">
        <v>3095</v>
      </c>
      <c r="H342" t="s">
        <v>3095</v>
      </c>
      <c r="J342" t="s">
        <v>3096</v>
      </c>
      <c r="K342" t="s">
        <v>3097</v>
      </c>
      <c r="L342" t="s">
        <v>1539</v>
      </c>
      <c r="M342" s="1" t="s">
        <v>3098</v>
      </c>
      <c r="N342" t="s">
        <v>3099</v>
      </c>
      <c r="O342" s="46">
        <f t="shared" si="28"/>
        <v>1</v>
      </c>
      <c r="P342" s="43" t="s">
        <v>1542</v>
      </c>
      <c r="Q342" s="43" t="s">
        <v>1542</v>
      </c>
      <c r="R342" s="43" t="s">
        <v>1542</v>
      </c>
      <c r="S342" s="43" t="s">
        <v>1542</v>
      </c>
      <c r="T342" s="43" t="s">
        <v>1542</v>
      </c>
      <c r="U342" s="43" t="s">
        <v>1542</v>
      </c>
      <c r="V342" s="43" t="s">
        <v>1542</v>
      </c>
      <c r="W342" s="43" t="s">
        <v>1542</v>
      </c>
      <c r="X342" s="43" t="s">
        <v>1542</v>
      </c>
      <c r="Y342" s="43" t="s">
        <v>1554</v>
      </c>
      <c r="Z342" s="43" t="s">
        <v>1542</v>
      </c>
      <c r="AA342" s="43" t="s">
        <v>1542</v>
      </c>
      <c r="AB342" s="46">
        <f t="shared" si="29"/>
        <v>0</v>
      </c>
      <c r="AC342" s="44" t="s">
        <v>1542</v>
      </c>
      <c r="AD342" s="44" t="s">
        <v>1542</v>
      </c>
      <c r="AE342" s="44" t="s">
        <v>1542</v>
      </c>
      <c r="AF342" s="44" t="s">
        <v>1542</v>
      </c>
      <c r="AG342" s="44" t="s">
        <v>1542</v>
      </c>
      <c r="AH342" s="44" t="s">
        <v>1542</v>
      </c>
      <c r="AI342" s="44" t="s">
        <v>1542</v>
      </c>
      <c r="AJ342" s="44" t="s">
        <v>1542</v>
      </c>
      <c r="AK342" s="44" t="s">
        <v>1542</v>
      </c>
      <c r="AL342" s="44" t="s">
        <v>1542</v>
      </c>
      <c r="AM342" s="44" t="s">
        <v>1542</v>
      </c>
      <c r="AN342" s="44" t="s">
        <v>1542</v>
      </c>
      <c r="AO342" s="46">
        <f t="shared" si="25"/>
        <v>0</v>
      </c>
      <c r="AP342" s="43" t="s">
        <v>1542</v>
      </c>
      <c r="AQ342" s="43" t="s">
        <v>1542</v>
      </c>
      <c r="AR342" s="43" t="s">
        <v>1542</v>
      </c>
      <c r="AS342" s="43" t="s">
        <v>1542</v>
      </c>
      <c r="AT342" s="43" t="s">
        <v>1542</v>
      </c>
      <c r="AU342" s="43" t="s">
        <v>1542</v>
      </c>
      <c r="AV342" s="43" t="s">
        <v>1542</v>
      </c>
      <c r="AW342" s="43" t="s">
        <v>1542</v>
      </c>
      <c r="AX342" s="43" t="s">
        <v>1542</v>
      </c>
      <c r="AY342" s="43" t="s">
        <v>1542</v>
      </c>
      <c r="AZ342" s="43" t="s">
        <v>1542</v>
      </c>
      <c r="BA342" s="43" t="s">
        <v>1542</v>
      </c>
      <c r="BB342" s="46">
        <f t="shared" si="26"/>
        <v>0</v>
      </c>
      <c r="BC342" s="44" t="s">
        <v>1554</v>
      </c>
      <c r="BD342" s="44" t="s">
        <v>1554</v>
      </c>
      <c r="BE342" s="44" t="s">
        <v>1554</v>
      </c>
      <c r="BF342" s="44" t="s">
        <v>1554</v>
      </c>
      <c r="BG342" s="44" t="s">
        <v>1542</v>
      </c>
      <c r="BH342" s="44" t="s">
        <v>1542</v>
      </c>
      <c r="BI342" s="44" t="s">
        <v>1542</v>
      </c>
      <c r="BJ342" s="44" t="s">
        <v>1542</v>
      </c>
      <c r="BK342" s="44" t="s">
        <v>1542</v>
      </c>
      <c r="BL342" s="44" t="s">
        <v>1542</v>
      </c>
      <c r="BM342" s="44" t="s">
        <v>1542</v>
      </c>
      <c r="BN342" s="44" t="s">
        <v>1542</v>
      </c>
      <c r="BO342" s="46">
        <f t="shared" si="27"/>
        <v>4</v>
      </c>
      <c r="BP342" s="43" t="s">
        <v>1542</v>
      </c>
      <c r="BQ342" s="43" t="s">
        <v>1542</v>
      </c>
      <c r="BR342" s="43" t="s">
        <v>1542</v>
      </c>
      <c r="BS342" s="43" t="s">
        <v>1542</v>
      </c>
      <c r="BT342" s="43" t="s">
        <v>1542</v>
      </c>
      <c r="BU342" s="43" t="s">
        <v>1542</v>
      </c>
      <c r="BV342" s="43" t="s">
        <v>1542</v>
      </c>
      <c r="BW342" s="43" t="s">
        <v>1542</v>
      </c>
      <c r="BX342" s="43" t="s">
        <v>1542</v>
      </c>
      <c r="BY342" s="43" t="s">
        <v>1542</v>
      </c>
      <c r="BZ342" s="43" t="s">
        <v>1542</v>
      </c>
      <c r="CA342" s="43" t="s">
        <v>1542</v>
      </c>
    </row>
    <row r="343" spans="1:79">
      <c r="A343">
        <v>342</v>
      </c>
      <c r="B343">
        <v>1</v>
      </c>
      <c r="C343" t="s">
        <v>1532</v>
      </c>
      <c r="D343" t="s">
        <v>1533</v>
      </c>
      <c r="E343" t="s">
        <v>3025</v>
      </c>
      <c r="F343" t="s">
        <v>3026</v>
      </c>
      <c r="G343" t="s">
        <v>3100</v>
      </c>
      <c r="H343" t="s">
        <v>3100</v>
      </c>
      <c r="J343" t="s">
        <v>3101</v>
      </c>
      <c r="K343" t="s">
        <v>3102</v>
      </c>
      <c r="M343" s="1" t="s">
        <v>3103</v>
      </c>
      <c r="N343" t="s">
        <v>3104</v>
      </c>
      <c r="O343" s="46">
        <f t="shared" si="28"/>
        <v>0</v>
      </c>
      <c r="P343" s="43" t="s">
        <v>1542</v>
      </c>
      <c r="Q343" s="43" t="s">
        <v>1542</v>
      </c>
      <c r="R343" s="43" t="s">
        <v>1542</v>
      </c>
      <c r="S343" s="43" t="s">
        <v>1542</v>
      </c>
      <c r="T343" s="43" t="s">
        <v>1542</v>
      </c>
      <c r="U343" s="43" t="s">
        <v>1542</v>
      </c>
      <c r="V343" s="43" t="s">
        <v>1542</v>
      </c>
      <c r="W343" s="43" t="s">
        <v>1542</v>
      </c>
      <c r="X343" s="43" t="s">
        <v>1542</v>
      </c>
      <c r="Y343" s="43" t="s">
        <v>1542</v>
      </c>
      <c r="Z343" s="43" t="s">
        <v>1542</v>
      </c>
      <c r="AA343" s="43" t="s">
        <v>1542</v>
      </c>
      <c r="AB343" s="46">
        <f t="shared" si="29"/>
        <v>0</v>
      </c>
      <c r="AC343" s="44" t="s">
        <v>1542</v>
      </c>
      <c r="AD343" s="44" t="s">
        <v>1542</v>
      </c>
      <c r="AE343" s="44" t="s">
        <v>1542</v>
      </c>
      <c r="AF343" s="44" t="s">
        <v>1542</v>
      </c>
      <c r="AG343" s="44" t="s">
        <v>1542</v>
      </c>
      <c r="AH343" s="44" t="s">
        <v>1542</v>
      </c>
      <c r="AI343" s="44" t="s">
        <v>1542</v>
      </c>
      <c r="AJ343" s="44" t="s">
        <v>1542</v>
      </c>
      <c r="AK343" s="44" t="s">
        <v>1542</v>
      </c>
      <c r="AL343" s="44" t="s">
        <v>1542</v>
      </c>
      <c r="AM343" s="44" t="s">
        <v>1542</v>
      </c>
      <c r="AN343" s="44" t="s">
        <v>1542</v>
      </c>
      <c r="AO343" s="46">
        <f t="shared" si="25"/>
        <v>0</v>
      </c>
      <c r="AP343" s="43" t="s">
        <v>1542</v>
      </c>
      <c r="AQ343" s="43" t="s">
        <v>1542</v>
      </c>
      <c r="AR343" s="43" t="s">
        <v>1542</v>
      </c>
      <c r="AS343" s="43" t="s">
        <v>1542</v>
      </c>
      <c r="AT343" s="43" t="s">
        <v>1542</v>
      </c>
      <c r="AU343" s="43" t="s">
        <v>1542</v>
      </c>
      <c r="AV343" s="43" t="s">
        <v>1542</v>
      </c>
      <c r="AW343" s="43" t="s">
        <v>1542</v>
      </c>
      <c r="AX343" s="43" t="s">
        <v>1542</v>
      </c>
      <c r="AY343" s="43" t="s">
        <v>1542</v>
      </c>
      <c r="AZ343" s="43" t="s">
        <v>1542</v>
      </c>
      <c r="BA343" s="43" t="s">
        <v>1542</v>
      </c>
      <c r="BB343" s="46">
        <f t="shared" si="26"/>
        <v>0</v>
      </c>
      <c r="BC343" s="44" t="s">
        <v>1542</v>
      </c>
      <c r="BD343" s="44" t="s">
        <v>1542</v>
      </c>
      <c r="BE343" s="44" t="s">
        <v>1542</v>
      </c>
      <c r="BF343" s="44" t="s">
        <v>1542</v>
      </c>
      <c r="BG343" s="44" t="s">
        <v>1542</v>
      </c>
      <c r="BH343" s="44" t="s">
        <v>1542</v>
      </c>
      <c r="BI343" s="44" t="s">
        <v>1542</v>
      </c>
      <c r="BJ343" s="44" t="s">
        <v>1542</v>
      </c>
      <c r="BK343" s="44" t="s">
        <v>1542</v>
      </c>
      <c r="BL343" s="44" t="s">
        <v>1542</v>
      </c>
      <c r="BM343" s="44" t="s">
        <v>1554</v>
      </c>
      <c r="BN343" s="44" t="s">
        <v>1554</v>
      </c>
      <c r="BO343" s="46">
        <f t="shared" si="27"/>
        <v>1</v>
      </c>
      <c r="BP343" s="43" t="s">
        <v>1542</v>
      </c>
      <c r="BQ343" s="43" t="s">
        <v>1542</v>
      </c>
      <c r="BR343" s="43" t="s">
        <v>1542</v>
      </c>
      <c r="BS343" s="43" t="s">
        <v>1542</v>
      </c>
      <c r="BT343" s="43" t="s">
        <v>1542</v>
      </c>
      <c r="BU343" s="43" t="s">
        <v>1542</v>
      </c>
      <c r="BV343" s="43" t="s">
        <v>1542</v>
      </c>
      <c r="BW343" s="43" t="s">
        <v>1542</v>
      </c>
      <c r="BX343" s="43" t="s">
        <v>1542</v>
      </c>
      <c r="BY343" s="43" t="s">
        <v>1542</v>
      </c>
      <c r="BZ343" s="43" t="s">
        <v>1542</v>
      </c>
      <c r="CA343" s="43" t="s">
        <v>1542</v>
      </c>
    </row>
    <row r="344" spans="1:79">
      <c r="A344">
        <v>343</v>
      </c>
      <c r="B344">
        <v>1</v>
      </c>
      <c r="C344" t="s">
        <v>1532</v>
      </c>
      <c r="D344" t="s">
        <v>1533</v>
      </c>
      <c r="E344" t="s">
        <v>3025</v>
      </c>
      <c r="F344" t="s">
        <v>3026</v>
      </c>
      <c r="G344" t="s">
        <v>3105</v>
      </c>
      <c r="H344" t="s">
        <v>3105</v>
      </c>
      <c r="J344" t="s">
        <v>3106</v>
      </c>
      <c r="K344" t="s">
        <v>3107</v>
      </c>
      <c r="M344" s="1" t="s">
        <v>3108</v>
      </c>
      <c r="O344" s="46">
        <f t="shared" si="28"/>
        <v>0</v>
      </c>
      <c r="P344" s="43" t="s">
        <v>1542</v>
      </c>
      <c r="Q344" s="43" t="s">
        <v>1542</v>
      </c>
      <c r="R344" s="43" t="s">
        <v>1542</v>
      </c>
      <c r="S344" s="43" t="s">
        <v>1542</v>
      </c>
      <c r="T344" s="43" t="s">
        <v>1542</v>
      </c>
      <c r="U344" s="43" t="s">
        <v>1542</v>
      </c>
      <c r="V344" s="43" t="s">
        <v>1542</v>
      </c>
      <c r="W344" s="43" t="s">
        <v>1542</v>
      </c>
      <c r="X344" s="43" t="s">
        <v>1542</v>
      </c>
      <c r="Y344" s="43" t="s">
        <v>1542</v>
      </c>
      <c r="Z344" s="43" t="s">
        <v>1542</v>
      </c>
      <c r="AA344" s="43" t="s">
        <v>1542</v>
      </c>
      <c r="AB344" s="46">
        <f t="shared" si="29"/>
        <v>0</v>
      </c>
      <c r="AC344" s="44" t="s">
        <v>1542</v>
      </c>
      <c r="AD344" s="44" t="s">
        <v>1542</v>
      </c>
      <c r="AE344" s="44" t="s">
        <v>1542</v>
      </c>
      <c r="AF344" s="44" t="s">
        <v>1542</v>
      </c>
      <c r="AG344" s="44" t="s">
        <v>1542</v>
      </c>
      <c r="AH344" s="44" t="s">
        <v>1542</v>
      </c>
      <c r="AI344" s="44" t="s">
        <v>1542</v>
      </c>
      <c r="AJ344" s="44" t="s">
        <v>1542</v>
      </c>
      <c r="AK344" s="44" t="s">
        <v>1542</v>
      </c>
      <c r="AL344" s="44" t="s">
        <v>1542</v>
      </c>
      <c r="AM344" s="44" t="s">
        <v>1542</v>
      </c>
      <c r="AN344" s="44" t="s">
        <v>1542</v>
      </c>
      <c r="AO344" s="46">
        <f t="shared" si="25"/>
        <v>0</v>
      </c>
      <c r="AP344" s="43" t="s">
        <v>1542</v>
      </c>
      <c r="AQ344" s="43" t="s">
        <v>1542</v>
      </c>
      <c r="AR344" s="43" t="s">
        <v>1542</v>
      </c>
      <c r="AS344" s="43" t="s">
        <v>1542</v>
      </c>
      <c r="AT344" s="43" t="s">
        <v>1542</v>
      </c>
      <c r="AU344" s="43" t="s">
        <v>1542</v>
      </c>
      <c r="AV344" s="43" t="s">
        <v>1542</v>
      </c>
      <c r="AW344" s="43" t="s">
        <v>1542</v>
      </c>
      <c r="AX344" s="43" t="s">
        <v>1542</v>
      </c>
      <c r="AY344" s="43" t="s">
        <v>1542</v>
      </c>
      <c r="AZ344" s="43" t="s">
        <v>1542</v>
      </c>
      <c r="BA344" s="43" t="s">
        <v>1542</v>
      </c>
      <c r="BB344" s="46">
        <f t="shared" si="26"/>
        <v>0</v>
      </c>
      <c r="BC344" s="44" t="s">
        <v>1542</v>
      </c>
      <c r="BD344" s="44" t="s">
        <v>1542</v>
      </c>
      <c r="BE344" s="44" t="s">
        <v>1542</v>
      </c>
      <c r="BF344" s="44" t="s">
        <v>1542</v>
      </c>
      <c r="BG344" s="44" t="s">
        <v>1542</v>
      </c>
      <c r="BH344" s="44" t="s">
        <v>1542</v>
      </c>
      <c r="BI344" s="44" t="s">
        <v>1542</v>
      </c>
      <c r="BJ344" s="44" t="s">
        <v>1542</v>
      </c>
      <c r="BK344" s="44" t="s">
        <v>1542</v>
      </c>
      <c r="BL344" s="44" t="s">
        <v>1542</v>
      </c>
      <c r="BM344" s="44" t="s">
        <v>1542</v>
      </c>
      <c r="BN344" s="44" t="s">
        <v>1542</v>
      </c>
      <c r="BO344" s="46">
        <f t="shared" si="27"/>
        <v>0</v>
      </c>
      <c r="BP344" s="43" t="s">
        <v>1542</v>
      </c>
      <c r="BQ344" s="43" t="s">
        <v>1542</v>
      </c>
      <c r="BR344" s="43" t="s">
        <v>1542</v>
      </c>
      <c r="BS344" s="43" t="s">
        <v>1542</v>
      </c>
      <c r="BT344" s="43" t="s">
        <v>1542</v>
      </c>
      <c r="BU344" s="43" t="s">
        <v>1542</v>
      </c>
      <c r="BV344" s="43" t="s">
        <v>1542</v>
      </c>
      <c r="BW344" s="43" t="s">
        <v>1542</v>
      </c>
      <c r="BX344" s="43" t="s">
        <v>1542</v>
      </c>
      <c r="BY344" s="43" t="s">
        <v>1542</v>
      </c>
      <c r="BZ344" s="43" t="s">
        <v>1542</v>
      </c>
      <c r="CA344" s="43" t="s">
        <v>1542</v>
      </c>
    </row>
    <row r="345" spans="1:79">
      <c r="A345">
        <v>344</v>
      </c>
      <c r="B345" t="s">
        <v>1543</v>
      </c>
      <c r="C345" t="s">
        <v>1532</v>
      </c>
      <c r="D345" t="s">
        <v>1533</v>
      </c>
      <c r="E345" t="s">
        <v>3025</v>
      </c>
      <c r="F345" t="s">
        <v>3026</v>
      </c>
      <c r="G345" t="s">
        <v>3109</v>
      </c>
      <c r="H345" t="s">
        <v>3109</v>
      </c>
      <c r="J345" t="s">
        <v>3110</v>
      </c>
      <c r="K345" t="s">
        <v>3111</v>
      </c>
      <c r="M345" s="1" t="s">
        <v>3112</v>
      </c>
      <c r="N345" t="s">
        <v>3113</v>
      </c>
      <c r="O345" s="46">
        <f t="shared" si="28"/>
        <v>0</v>
      </c>
      <c r="P345" s="43"/>
      <c r="Q345" s="43"/>
      <c r="R345" s="43"/>
      <c r="S345" s="43"/>
      <c r="T345" s="43"/>
      <c r="U345" s="43"/>
      <c r="V345" s="43"/>
      <c r="W345" s="43"/>
      <c r="X345" s="43"/>
      <c r="Y345" s="43"/>
      <c r="Z345" s="43"/>
      <c r="AA345" s="43"/>
      <c r="AB345" s="46">
        <f t="shared" si="29"/>
        <v>0</v>
      </c>
      <c r="AC345" s="44"/>
      <c r="AD345" s="44"/>
      <c r="AE345" s="44"/>
      <c r="AF345" s="44"/>
      <c r="AG345" s="44"/>
      <c r="AH345" s="44"/>
      <c r="AI345" s="44"/>
      <c r="AJ345" s="44"/>
      <c r="AK345" s="44"/>
      <c r="AL345" s="44"/>
      <c r="AM345" s="44"/>
      <c r="AN345" s="44"/>
      <c r="AO345" s="46">
        <f t="shared" si="25"/>
        <v>0</v>
      </c>
      <c r="AP345" s="43"/>
      <c r="AQ345" s="43"/>
      <c r="AR345" s="43"/>
      <c r="AS345" s="43"/>
      <c r="AT345" s="43"/>
      <c r="AU345" s="43"/>
      <c r="AV345" s="43"/>
      <c r="AW345" s="43"/>
      <c r="AX345" s="43"/>
      <c r="AY345" s="43"/>
      <c r="AZ345" s="43"/>
      <c r="BA345" s="43"/>
      <c r="BB345" s="46">
        <f t="shared" si="26"/>
        <v>0</v>
      </c>
      <c r="BC345" s="44"/>
      <c r="BD345" s="44"/>
      <c r="BE345" s="44"/>
      <c r="BF345" s="44"/>
      <c r="BG345" s="44"/>
      <c r="BH345" s="44"/>
      <c r="BI345" s="44"/>
      <c r="BJ345" s="44"/>
      <c r="BK345" s="44"/>
      <c r="BL345" s="44"/>
      <c r="BM345" s="44"/>
      <c r="BN345" s="44"/>
      <c r="BO345" s="46">
        <f t="shared" si="27"/>
        <v>0</v>
      </c>
      <c r="BP345" s="43"/>
      <c r="BQ345" s="43"/>
      <c r="BR345" s="43"/>
      <c r="BS345" s="43"/>
      <c r="BT345" s="43"/>
      <c r="BU345" s="43"/>
      <c r="BV345" s="43"/>
      <c r="BW345" s="43"/>
      <c r="BX345" s="43"/>
      <c r="BY345" s="43"/>
      <c r="BZ345" s="43"/>
      <c r="CA345" s="43"/>
    </row>
    <row r="346" spans="1:79">
      <c r="A346">
        <v>345</v>
      </c>
      <c r="B346">
        <v>1</v>
      </c>
      <c r="C346" t="s">
        <v>1532</v>
      </c>
      <c r="D346" t="s">
        <v>1533</v>
      </c>
      <c r="E346" t="s">
        <v>3025</v>
      </c>
      <c r="F346" t="s">
        <v>3026</v>
      </c>
      <c r="G346" t="s">
        <v>3114</v>
      </c>
      <c r="H346" t="s">
        <v>3114</v>
      </c>
      <c r="J346" t="s">
        <v>3115</v>
      </c>
      <c r="K346" t="s">
        <v>3116</v>
      </c>
      <c r="M346" s="1" t="s">
        <v>3117</v>
      </c>
      <c r="N346" t="s">
        <v>3118</v>
      </c>
      <c r="O346" s="46">
        <f t="shared" si="28"/>
        <v>0</v>
      </c>
      <c r="P346" s="43" t="s">
        <v>1542</v>
      </c>
      <c r="Q346" s="43" t="s">
        <v>1542</v>
      </c>
      <c r="R346" s="43" t="s">
        <v>1542</v>
      </c>
      <c r="S346" s="43" t="s">
        <v>1542</v>
      </c>
      <c r="T346" s="43" t="s">
        <v>1542</v>
      </c>
      <c r="U346" s="43" t="s">
        <v>1542</v>
      </c>
      <c r="V346" s="43" t="s">
        <v>1542</v>
      </c>
      <c r="W346" s="43" t="s">
        <v>1542</v>
      </c>
      <c r="X346" s="43" t="s">
        <v>1542</v>
      </c>
      <c r="Y346" s="43" t="s">
        <v>1542</v>
      </c>
      <c r="Z346" s="43" t="s">
        <v>1542</v>
      </c>
      <c r="AA346" s="43" t="s">
        <v>1542</v>
      </c>
      <c r="AB346" s="46">
        <f t="shared" si="29"/>
        <v>0</v>
      </c>
      <c r="AC346" s="44" t="s">
        <v>1542</v>
      </c>
      <c r="AD346" s="44" t="s">
        <v>1542</v>
      </c>
      <c r="AE346" s="44" t="s">
        <v>1542</v>
      </c>
      <c r="AF346" s="44" t="s">
        <v>1542</v>
      </c>
      <c r="AG346" s="44" t="s">
        <v>1542</v>
      </c>
      <c r="AH346" s="44" t="s">
        <v>1542</v>
      </c>
      <c r="AI346" s="44" t="s">
        <v>1542</v>
      </c>
      <c r="AJ346" s="44" t="s">
        <v>1542</v>
      </c>
      <c r="AK346" s="44" t="s">
        <v>1542</v>
      </c>
      <c r="AL346" s="44" t="s">
        <v>1542</v>
      </c>
      <c r="AM346" s="44" t="s">
        <v>1542</v>
      </c>
      <c r="AN346" s="44" t="s">
        <v>1542</v>
      </c>
      <c r="AO346" s="46">
        <f t="shared" si="25"/>
        <v>0</v>
      </c>
      <c r="AP346" s="43" t="s">
        <v>1542</v>
      </c>
      <c r="AQ346" s="43" t="s">
        <v>1542</v>
      </c>
      <c r="AR346" s="43" t="s">
        <v>1554</v>
      </c>
      <c r="AS346" s="43" t="s">
        <v>1554</v>
      </c>
      <c r="AT346" s="43" t="s">
        <v>1554</v>
      </c>
      <c r="AU346" s="43" t="s">
        <v>1554</v>
      </c>
      <c r="AV346" s="43" t="s">
        <v>1542</v>
      </c>
      <c r="AW346" s="43" t="s">
        <v>1542</v>
      </c>
      <c r="AX346" s="43" t="s">
        <v>1542</v>
      </c>
      <c r="AY346" s="43" t="s">
        <v>1542</v>
      </c>
      <c r="AZ346" s="43" t="s">
        <v>1542</v>
      </c>
      <c r="BA346" s="43" t="s">
        <v>1542</v>
      </c>
      <c r="BB346" s="46">
        <f t="shared" si="26"/>
        <v>4</v>
      </c>
      <c r="BC346" s="44" t="s">
        <v>1542</v>
      </c>
      <c r="BD346" s="44" t="s">
        <v>1542</v>
      </c>
      <c r="BE346" s="44" t="s">
        <v>1542</v>
      </c>
      <c r="BF346" s="44" t="s">
        <v>1542</v>
      </c>
      <c r="BG346" s="44" t="s">
        <v>1542</v>
      </c>
      <c r="BH346" s="44" t="s">
        <v>1542</v>
      </c>
      <c r="BI346" s="44" t="s">
        <v>1542</v>
      </c>
      <c r="BJ346" s="44" t="s">
        <v>1542</v>
      </c>
      <c r="BK346" s="44" t="s">
        <v>1542</v>
      </c>
      <c r="BL346" s="44" t="s">
        <v>1542</v>
      </c>
      <c r="BM346" s="44" t="s">
        <v>1542</v>
      </c>
      <c r="BN346" s="44" t="s">
        <v>1542</v>
      </c>
      <c r="BO346" s="46">
        <f t="shared" si="27"/>
        <v>0</v>
      </c>
      <c r="BP346" s="43" t="s">
        <v>1542</v>
      </c>
      <c r="BQ346" s="43" t="s">
        <v>1542</v>
      </c>
      <c r="BR346" s="43" t="s">
        <v>1542</v>
      </c>
      <c r="BS346" s="43" t="s">
        <v>1542</v>
      </c>
      <c r="BT346" s="43" t="s">
        <v>1542</v>
      </c>
      <c r="BU346" s="43" t="s">
        <v>1542</v>
      </c>
      <c r="BV346" s="43" t="s">
        <v>1542</v>
      </c>
      <c r="BW346" s="43" t="s">
        <v>1542</v>
      </c>
      <c r="BX346" s="43" t="s">
        <v>1542</v>
      </c>
      <c r="BY346" s="43" t="s">
        <v>1542</v>
      </c>
      <c r="BZ346" s="43" t="s">
        <v>1542</v>
      </c>
      <c r="CA346" s="43" t="s">
        <v>1542</v>
      </c>
    </row>
    <row r="347" spans="1:79">
      <c r="A347">
        <v>346</v>
      </c>
      <c r="C347" t="s">
        <v>1532</v>
      </c>
      <c r="D347" t="s">
        <v>1533</v>
      </c>
      <c r="E347" t="s">
        <v>3025</v>
      </c>
      <c r="F347" t="s">
        <v>3026</v>
      </c>
      <c r="G347" t="s">
        <v>3114</v>
      </c>
      <c r="H347" t="s">
        <v>3119</v>
      </c>
      <c r="I347" t="s">
        <v>3119</v>
      </c>
      <c r="J347" t="s">
        <v>3115</v>
      </c>
      <c r="K347" t="s">
        <v>3116</v>
      </c>
      <c r="M347" s="1" t="s">
        <v>3120</v>
      </c>
      <c r="N347" t="s">
        <v>3121</v>
      </c>
      <c r="O347" s="46">
        <f t="shared" si="28"/>
        <v>0</v>
      </c>
      <c r="P347" s="43"/>
      <c r="Q347" s="43"/>
      <c r="R347" s="43"/>
      <c r="S347" s="43"/>
      <c r="T347" s="43"/>
      <c r="U347" s="43"/>
      <c r="V347" s="43"/>
      <c r="W347" s="43"/>
      <c r="X347" s="43"/>
      <c r="Y347" s="43"/>
      <c r="Z347" s="43"/>
      <c r="AA347" s="43"/>
      <c r="AB347" s="46">
        <f t="shared" si="29"/>
        <v>1</v>
      </c>
      <c r="AC347" s="44" t="s">
        <v>1542</v>
      </c>
      <c r="AD347" s="44" t="s">
        <v>1542</v>
      </c>
      <c r="AE347" s="44" t="s">
        <v>1542</v>
      </c>
      <c r="AF347" s="44" t="s">
        <v>1542</v>
      </c>
      <c r="AG347" s="44" t="s">
        <v>1542</v>
      </c>
      <c r="AH347" s="44" t="s">
        <v>1542</v>
      </c>
      <c r="AI347" s="44" t="s">
        <v>1542</v>
      </c>
      <c r="AJ347" s="44" t="s">
        <v>1542</v>
      </c>
      <c r="AK347" s="44" t="s">
        <v>1554</v>
      </c>
      <c r="AL347" s="44"/>
      <c r="AM347" s="44"/>
      <c r="AN347" s="44"/>
      <c r="AO347" s="46">
        <f t="shared" si="25"/>
        <v>1</v>
      </c>
      <c r="AP347" s="43" t="s">
        <v>1542</v>
      </c>
      <c r="AQ347" s="43" t="s">
        <v>1542</v>
      </c>
      <c r="AR347" s="43" t="s">
        <v>1554</v>
      </c>
      <c r="AS347" s="43" t="s">
        <v>1554</v>
      </c>
      <c r="AT347" s="43" t="s">
        <v>1554</v>
      </c>
      <c r="AU347" s="43" t="s">
        <v>1554</v>
      </c>
      <c r="AV347" s="43" t="s">
        <v>1554</v>
      </c>
      <c r="AW347" s="43" t="s">
        <v>1554</v>
      </c>
      <c r="AX347" s="43" t="s">
        <v>1554</v>
      </c>
      <c r="AY347" s="43" t="s">
        <v>1542</v>
      </c>
      <c r="AZ347" s="43" t="s">
        <v>1542</v>
      </c>
      <c r="BA347" s="43" t="s">
        <v>1542</v>
      </c>
      <c r="BB347" s="46">
        <f t="shared" si="26"/>
        <v>7</v>
      </c>
      <c r="BC347" s="44" t="s">
        <v>1542</v>
      </c>
      <c r="BD347" s="44" t="s">
        <v>1542</v>
      </c>
      <c r="BE347" s="44" t="s">
        <v>1542</v>
      </c>
      <c r="BF347" s="44" t="s">
        <v>1542</v>
      </c>
      <c r="BG347" s="44" t="s">
        <v>1542</v>
      </c>
      <c r="BH347" s="44" t="s">
        <v>1542</v>
      </c>
      <c r="BI347" s="44" t="s">
        <v>1542</v>
      </c>
      <c r="BJ347" s="44" t="s">
        <v>1542</v>
      </c>
      <c r="BK347" s="44" t="s">
        <v>1542</v>
      </c>
      <c r="BL347" s="44" t="s">
        <v>1542</v>
      </c>
      <c r="BM347" s="44" t="s">
        <v>1542</v>
      </c>
      <c r="BN347" s="44" t="s">
        <v>1542</v>
      </c>
      <c r="BO347" s="46">
        <f t="shared" si="27"/>
        <v>0</v>
      </c>
      <c r="BP347" s="43" t="s">
        <v>1542</v>
      </c>
      <c r="BQ347" s="43" t="s">
        <v>1542</v>
      </c>
      <c r="BR347" s="43" t="s">
        <v>1542</v>
      </c>
      <c r="BS347" s="43" t="s">
        <v>1542</v>
      </c>
      <c r="BT347" s="43" t="s">
        <v>1542</v>
      </c>
      <c r="BU347" s="43" t="s">
        <v>1542</v>
      </c>
      <c r="BV347" s="43" t="s">
        <v>1542</v>
      </c>
      <c r="BW347" s="43" t="s">
        <v>1554</v>
      </c>
      <c r="BX347" s="43" t="s">
        <v>1542</v>
      </c>
      <c r="BY347" s="43" t="s">
        <v>1542</v>
      </c>
      <c r="BZ347" s="43" t="s">
        <v>1542</v>
      </c>
      <c r="CA347" s="43" t="s">
        <v>1542</v>
      </c>
    </row>
    <row r="348" spans="1:79">
      <c r="A348">
        <v>347</v>
      </c>
      <c r="B348">
        <v>1</v>
      </c>
      <c r="C348" t="s">
        <v>1532</v>
      </c>
      <c r="D348" t="s">
        <v>1533</v>
      </c>
      <c r="E348" t="s">
        <v>3025</v>
      </c>
      <c r="F348" t="s">
        <v>3026</v>
      </c>
      <c r="G348" t="s">
        <v>3122</v>
      </c>
      <c r="H348" t="s">
        <v>3122</v>
      </c>
      <c r="J348" t="s">
        <v>3123</v>
      </c>
      <c r="K348" t="s">
        <v>3124</v>
      </c>
      <c r="M348" s="1" t="s">
        <v>3125</v>
      </c>
      <c r="N348" t="s">
        <v>3126</v>
      </c>
      <c r="O348" s="46">
        <f t="shared" si="28"/>
        <v>0</v>
      </c>
      <c r="P348" s="43" t="s">
        <v>1542</v>
      </c>
      <c r="Q348" s="43" t="s">
        <v>1542</v>
      </c>
      <c r="R348" s="43" t="s">
        <v>1542</v>
      </c>
      <c r="S348" s="43" t="s">
        <v>1542</v>
      </c>
      <c r="T348" s="43" t="s">
        <v>1542</v>
      </c>
      <c r="U348" s="43" t="s">
        <v>1542</v>
      </c>
      <c r="V348" s="43" t="s">
        <v>1542</v>
      </c>
      <c r="W348" s="43" t="s">
        <v>1542</v>
      </c>
      <c r="X348" s="43" t="s">
        <v>1542</v>
      </c>
      <c r="Y348" s="43" t="s">
        <v>1542</v>
      </c>
      <c r="Z348" s="43" t="s">
        <v>1542</v>
      </c>
      <c r="AA348" s="43" t="s">
        <v>1542</v>
      </c>
      <c r="AB348" s="46">
        <f t="shared" si="29"/>
        <v>4</v>
      </c>
      <c r="AC348" s="44" t="s">
        <v>1542</v>
      </c>
      <c r="AD348" s="44" t="s">
        <v>1542</v>
      </c>
      <c r="AE348" s="44" t="s">
        <v>1542</v>
      </c>
      <c r="AF348" s="44" t="s">
        <v>1554</v>
      </c>
      <c r="AG348" s="44" t="s">
        <v>1554</v>
      </c>
      <c r="AH348" s="44" t="s">
        <v>1554</v>
      </c>
      <c r="AI348" s="44" t="s">
        <v>1554</v>
      </c>
      <c r="AJ348" s="44" t="s">
        <v>1542</v>
      </c>
      <c r="AK348" s="44" t="s">
        <v>1542</v>
      </c>
      <c r="AL348" s="44" t="s">
        <v>1542</v>
      </c>
      <c r="AM348" s="44" t="s">
        <v>1542</v>
      </c>
      <c r="AN348" s="44" t="s">
        <v>1542</v>
      </c>
      <c r="AO348" s="46">
        <f t="shared" si="25"/>
        <v>4</v>
      </c>
      <c r="AP348" s="43" t="s">
        <v>1542</v>
      </c>
      <c r="AQ348" s="43" t="s">
        <v>1542</v>
      </c>
      <c r="AR348" s="43" t="s">
        <v>1542</v>
      </c>
      <c r="AS348" s="43" t="s">
        <v>1542</v>
      </c>
      <c r="AT348" s="43" t="s">
        <v>1542</v>
      </c>
      <c r="AU348" s="43" t="s">
        <v>1542</v>
      </c>
      <c r="AV348" s="43" t="s">
        <v>1542</v>
      </c>
      <c r="AW348" s="43" t="s">
        <v>1542</v>
      </c>
      <c r="AX348" s="43" t="s">
        <v>1542</v>
      </c>
      <c r="AY348" s="43" t="s">
        <v>1542</v>
      </c>
      <c r="AZ348" s="43" t="s">
        <v>1542</v>
      </c>
      <c r="BA348" s="43" t="s">
        <v>1542</v>
      </c>
      <c r="BB348" s="46">
        <f t="shared" si="26"/>
        <v>0</v>
      </c>
      <c r="BC348" s="44" t="s">
        <v>1542</v>
      </c>
      <c r="BD348" s="44" t="s">
        <v>1542</v>
      </c>
      <c r="BE348" s="44" t="s">
        <v>1542</v>
      </c>
      <c r="BF348" s="44" t="s">
        <v>1542</v>
      </c>
      <c r="BG348" s="44" t="s">
        <v>1542</v>
      </c>
      <c r="BH348" s="44" t="s">
        <v>1542</v>
      </c>
      <c r="BI348" s="44" t="s">
        <v>1542</v>
      </c>
      <c r="BJ348" s="44" t="s">
        <v>1542</v>
      </c>
      <c r="BK348" s="44" t="s">
        <v>1542</v>
      </c>
      <c r="BL348" s="44" t="s">
        <v>1542</v>
      </c>
      <c r="BM348" s="44" t="s">
        <v>1542</v>
      </c>
      <c r="BN348" s="44" t="s">
        <v>1542</v>
      </c>
      <c r="BO348" s="46">
        <f t="shared" si="27"/>
        <v>0</v>
      </c>
      <c r="BP348" s="43" t="s">
        <v>1542</v>
      </c>
      <c r="BQ348" s="43" t="s">
        <v>1542</v>
      </c>
      <c r="BR348" s="43" t="s">
        <v>1542</v>
      </c>
      <c r="BS348" s="43" t="s">
        <v>1542</v>
      </c>
      <c r="BT348" s="43" t="s">
        <v>1542</v>
      </c>
      <c r="BU348" s="43" t="s">
        <v>1542</v>
      </c>
      <c r="BV348" s="43" t="s">
        <v>1542</v>
      </c>
      <c r="BW348" s="43" t="s">
        <v>1542</v>
      </c>
      <c r="BX348" s="43" t="s">
        <v>1542</v>
      </c>
      <c r="BY348" s="43" t="s">
        <v>1542</v>
      </c>
      <c r="BZ348" s="43" t="s">
        <v>1542</v>
      </c>
      <c r="CA348" s="43" t="s">
        <v>1542</v>
      </c>
    </row>
    <row r="349" spans="1:79">
      <c r="A349">
        <v>348</v>
      </c>
      <c r="B349">
        <v>1</v>
      </c>
      <c r="C349" t="s">
        <v>1532</v>
      </c>
      <c r="D349" t="s">
        <v>1533</v>
      </c>
      <c r="E349" t="s">
        <v>3089</v>
      </c>
      <c r="F349" t="s">
        <v>3090</v>
      </c>
      <c r="G349" t="s">
        <v>3127</v>
      </c>
      <c r="H349" t="s">
        <v>3127</v>
      </c>
      <c r="I349" t="s">
        <v>3128</v>
      </c>
      <c r="J349" t="s">
        <v>3129</v>
      </c>
      <c r="K349" t="s">
        <v>3130</v>
      </c>
      <c r="M349" s="1" t="s">
        <v>3131</v>
      </c>
      <c r="O349" s="46">
        <f t="shared" si="28"/>
        <v>0</v>
      </c>
      <c r="P349" s="43" t="s">
        <v>1542</v>
      </c>
      <c r="Q349" s="43" t="s">
        <v>1542</v>
      </c>
      <c r="R349" s="43" t="s">
        <v>1542</v>
      </c>
      <c r="S349" s="43" t="s">
        <v>1542</v>
      </c>
      <c r="T349" s="43" t="s">
        <v>1542</v>
      </c>
      <c r="U349" s="43" t="s">
        <v>1542</v>
      </c>
      <c r="V349" s="43" t="s">
        <v>1542</v>
      </c>
      <c r="W349" s="43" t="s">
        <v>1542</v>
      </c>
      <c r="X349" s="43" t="s">
        <v>1542</v>
      </c>
      <c r="Y349" s="43" t="s">
        <v>1542</v>
      </c>
      <c r="Z349" s="43" t="s">
        <v>1542</v>
      </c>
      <c r="AA349" s="43" t="s">
        <v>1542</v>
      </c>
      <c r="AB349" s="46">
        <f t="shared" si="29"/>
        <v>0</v>
      </c>
      <c r="AC349" s="44" t="s">
        <v>1542</v>
      </c>
      <c r="AD349" s="44" t="s">
        <v>1542</v>
      </c>
      <c r="AE349" s="44" t="s">
        <v>1542</v>
      </c>
      <c r="AF349" s="44" t="s">
        <v>1542</v>
      </c>
      <c r="AG349" s="44" t="s">
        <v>1542</v>
      </c>
      <c r="AH349" s="44" t="s">
        <v>1542</v>
      </c>
      <c r="AI349" s="44" t="s">
        <v>1542</v>
      </c>
      <c r="AJ349" s="44" t="s">
        <v>1542</v>
      </c>
      <c r="AK349" s="44" t="s">
        <v>1542</v>
      </c>
      <c r="AL349" s="44" t="s">
        <v>1542</v>
      </c>
      <c r="AM349" s="44" t="s">
        <v>1542</v>
      </c>
      <c r="AN349" s="44" t="s">
        <v>1542</v>
      </c>
      <c r="AO349" s="46">
        <f t="shared" si="25"/>
        <v>0</v>
      </c>
      <c r="AP349" s="43" t="s">
        <v>1542</v>
      </c>
      <c r="AQ349" s="43" t="s">
        <v>1542</v>
      </c>
      <c r="AR349" s="43" t="s">
        <v>1542</v>
      </c>
      <c r="AS349" s="43" t="s">
        <v>1542</v>
      </c>
      <c r="AT349" s="43" t="s">
        <v>1542</v>
      </c>
      <c r="AU349" s="43" t="s">
        <v>1542</v>
      </c>
      <c r="AV349" s="43" t="s">
        <v>1542</v>
      </c>
      <c r="AW349" s="43" t="s">
        <v>1542</v>
      </c>
      <c r="AX349" s="43" t="s">
        <v>1542</v>
      </c>
      <c r="AY349" s="43" t="s">
        <v>1542</v>
      </c>
      <c r="AZ349" s="43" t="s">
        <v>1542</v>
      </c>
      <c r="BA349" s="43" t="s">
        <v>1542</v>
      </c>
      <c r="BB349" s="46">
        <f t="shared" si="26"/>
        <v>0</v>
      </c>
      <c r="BC349" s="44" t="s">
        <v>1542</v>
      </c>
      <c r="BD349" s="44" t="s">
        <v>1542</v>
      </c>
      <c r="BE349" s="44" t="s">
        <v>1542</v>
      </c>
      <c r="BF349" s="44" t="s">
        <v>1542</v>
      </c>
      <c r="BG349" s="44" t="s">
        <v>1542</v>
      </c>
      <c r="BH349" s="44" t="s">
        <v>1542</v>
      </c>
      <c r="BI349" s="44" t="s">
        <v>1542</v>
      </c>
      <c r="BJ349" s="44" t="s">
        <v>1542</v>
      </c>
      <c r="BK349" s="44" t="s">
        <v>1542</v>
      </c>
      <c r="BL349" s="44" t="s">
        <v>1542</v>
      </c>
      <c r="BM349" s="44" t="s">
        <v>1542</v>
      </c>
      <c r="BN349" s="44" t="s">
        <v>1542</v>
      </c>
      <c r="BO349" s="46">
        <f t="shared" si="27"/>
        <v>0</v>
      </c>
      <c r="BP349" s="43" t="s">
        <v>1542</v>
      </c>
      <c r="BQ349" s="43" t="s">
        <v>1542</v>
      </c>
      <c r="BR349" s="43" t="s">
        <v>1542</v>
      </c>
      <c r="BS349" s="43" t="s">
        <v>1542</v>
      </c>
      <c r="BT349" s="43" t="s">
        <v>1542</v>
      </c>
      <c r="BU349" s="43" t="s">
        <v>1542</v>
      </c>
      <c r="BV349" s="43" t="s">
        <v>1542</v>
      </c>
      <c r="BW349" s="43" t="s">
        <v>1542</v>
      </c>
      <c r="BX349" s="43" t="s">
        <v>1542</v>
      </c>
      <c r="BY349" s="43" t="s">
        <v>1542</v>
      </c>
      <c r="BZ349" s="43" t="s">
        <v>1542</v>
      </c>
      <c r="CA349" s="43" t="s">
        <v>1542</v>
      </c>
    </row>
    <row r="350" spans="1:79">
      <c r="A350">
        <v>349</v>
      </c>
      <c r="B350">
        <v>1</v>
      </c>
      <c r="C350" t="s">
        <v>1532</v>
      </c>
      <c r="D350" t="s">
        <v>1533</v>
      </c>
      <c r="E350" t="s">
        <v>3089</v>
      </c>
      <c r="F350" t="s">
        <v>3090</v>
      </c>
      <c r="G350" t="s">
        <v>3132</v>
      </c>
      <c r="H350" t="s">
        <v>3132</v>
      </c>
      <c r="J350" t="s">
        <v>3133</v>
      </c>
      <c r="K350" t="s">
        <v>3134</v>
      </c>
      <c r="M350" s="1" t="s">
        <v>3135</v>
      </c>
      <c r="O350" s="46">
        <f t="shared" si="28"/>
        <v>0</v>
      </c>
      <c r="P350" s="43" t="s">
        <v>1542</v>
      </c>
      <c r="Q350" s="43" t="s">
        <v>1542</v>
      </c>
      <c r="R350" s="43" t="s">
        <v>1542</v>
      </c>
      <c r="S350" s="43" t="s">
        <v>1542</v>
      </c>
      <c r="T350" s="43" t="s">
        <v>1542</v>
      </c>
      <c r="U350" s="43" t="s">
        <v>1542</v>
      </c>
      <c r="V350" s="43" t="s">
        <v>1542</v>
      </c>
      <c r="W350" s="43" t="s">
        <v>1542</v>
      </c>
      <c r="X350" s="43" t="s">
        <v>1542</v>
      </c>
      <c r="Y350" s="43" t="s">
        <v>1542</v>
      </c>
      <c r="Z350" s="43" t="s">
        <v>1542</v>
      </c>
      <c r="AA350" s="43" t="s">
        <v>1542</v>
      </c>
      <c r="AB350" s="46">
        <f t="shared" si="29"/>
        <v>0</v>
      </c>
      <c r="AC350" s="44" t="s">
        <v>1542</v>
      </c>
      <c r="AD350" s="44" t="s">
        <v>1542</v>
      </c>
      <c r="AE350" s="44" t="s">
        <v>1542</v>
      </c>
      <c r="AF350" s="44" t="s">
        <v>1542</v>
      </c>
      <c r="AG350" s="44" t="s">
        <v>1542</v>
      </c>
      <c r="AH350" s="44" t="s">
        <v>1542</v>
      </c>
      <c r="AI350" s="44" t="s">
        <v>1542</v>
      </c>
      <c r="AJ350" s="44" t="s">
        <v>1542</v>
      </c>
      <c r="AK350" s="44" t="s">
        <v>1542</v>
      </c>
      <c r="AL350" s="44" t="s">
        <v>1542</v>
      </c>
      <c r="AM350" s="44" t="s">
        <v>1542</v>
      </c>
      <c r="AN350" s="44" t="s">
        <v>1542</v>
      </c>
      <c r="AO350" s="46">
        <f t="shared" si="25"/>
        <v>0</v>
      </c>
      <c r="AP350" s="43" t="s">
        <v>1542</v>
      </c>
      <c r="AQ350" s="43" t="s">
        <v>1542</v>
      </c>
      <c r="AR350" s="43" t="s">
        <v>1542</v>
      </c>
      <c r="AS350" s="43" t="s">
        <v>1542</v>
      </c>
      <c r="AT350" s="43" t="s">
        <v>1542</v>
      </c>
      <c r="AU350" s="43" t="s">
        <v>1542</v>
      </c>
      <c r="AV350" s="43" t="s">
        <v>1542</v>
      </c>
      <c r="AW350" s="43" t="s">
        <v>1542</v>
      </c>
      <c r="AX350" s="43" t="s">
        <v>1542</v>
      </c>
      <c r="AY350" s="43" t="s">
        <v>1542</v>
      </c>
      <c r="AZ350" s="43" t="s">
        <v>1542</v>
      </c>
      <c r="BA350" s="43" t="s">
        <v>1542</v>
      </c>
      <c r="BB350" s="46">
        <f t="shared" si="26"/>
        <v>0</v>
      </c>
      <c r="BC350" s="44" t="s">
        <v>1542</v>
      </c>
      <c r="BD350" s="44" t="s">
        <v>1542</v>
      </c>
      <c r="BE350" s="44" t="s">
        <v>1542</v>
      </c>
      <c r="BF350" s="44" t="s">
        <v>1542</v>
      </c>
      <c r="BG350" s="44" t="s">
        <v>1542</v>
      </c>
      <c r="BH350" s="44" t="s">
        <v>1542</v>
      </c>
      <c r="BI350" s="44" t="s">
        <v>1542</v>
      </c>
      <c r="BJ350" s="44" t="s">
        <v>1542</v>
      </c>
      <c r="BK350" s="44" t="s">
        <v>1542</v>
      </c>
      <c r="BL350" s="44" t="s">
        <v>1542</v>
      </c>
      <c r="BM350" s="44" t="s">
        <v>1542</v>
      </c>
      <c r="BN350" s="44" t="s">
        <v>1542</v>
      </c>
      <c r="BO350" s="46">
        <f t="shared" si="27"/>
        <v>0</v>
      </c>
      <c r="BP350" s="43" t="s">
        <v>1542</v>
      </c>
      <c r="BQ350" s="43" t="s">
        <v>1542</v>
      </c>
      <c r="BR350" s="43" t="s">
        <v>1542</v>
      </c>
      <c r="BS350" s="43" t="s">
        <v>1542</v>
      </c>
      <c r="BT350" s="43" t="s">
        <v>1542</v>
      </c>
      <c r="BU350" s="43" t="s">
        <v>1542</v>
      </c>
      <c r="BV350" s="43" t="s">
        <v>1542</v>
      </c>
      <c r="BW350" s="43" t="s">
        <v>1542</v>
      </c>
      <c r="BX350" s="43" t="s">
        <v>1542</v>
      </c>
      <c r="BY350" s="43" t="s">
        <v>1542</v>
      </c>
      <c r="BZ350" s="43" t="s">
        <v>1542</v>
      </c>
      <c r="CA350" s="43" t="s">
        <v>1542</v>
      </c>
    </row>
    <row r="351" spans="1:79">
      <c r="A351">
        <v>350</v>
      </c>
      <c r="C351" t="s">
        <v>1532</v>
      </c>
      <c r="D351" t="s">
        <v>1533</v>
      </c>
      <c r="E351" t="s">
        <v>3089</v>
      </c>
      <c r="F351" t="s">
        <v>3090</v>
      </c>
      <c r="G351" t="s">
        <v>3132</v>
      </c>
      <c r="H351" t="s">
        <v>3136</v>
      </c>
      <c r="I351" t="s">
        <v>3136</v>
      </c>
      <c r="J351" t="s">
        <v>3133</v>
      </c>
      <c r="K351" t="s">
        <v>3134</v>
      </c>
      <c r="M351" s="1" t="s">
        <v>3137</v>
      </c>
      <c r="N351" t="s">
        <v>3138</v>
      </c>
      <c r="O351" s="46">
        <f t="shared" si="28"/>
        <v>0</v>
      </c>
      <c r="P351" s="43"/>
      <c r="Q351" s="43"/>
      <c r="R351" s="43"/>
      <c r="S351" s="43"/>
      <c r="T351" s="43"/>
      <c r="U351" s="43"/>
      <c r="V351" s="43"/>
      <c r="W351" s="43"/>
      <c r="X351" s="43"/>
      <c r="Y351" s="43"/>
      <c r="Z351" s="43"/>
      <c r="AA351" s="43"/>
      <c r="AB351" s="46">
        <f t="shared" si="29"/>
        <v>0</v>
      </c>
      <c r="AC351" s="44" t="s">
        <v>1542</v>
      </c>
      <c r="AD351" s="44" t="s">
        <v>1542</v>
      </c>
      <c r="AE351" s="44" t="s">
        <v>1542</v>
      </c>
      <c r="AF351" s="44" t="s">
        <v>1542</v>
      </c>
      <c r="AG351" s="44" t="s">
        <v>1542</v>
      </c>
      <c r="AH351" s="44" t="s">
        <v>1542</v>
      </c>
      <c r="AI351" s="44" t="s">
        <v>1542</v>
      </c>
      <c r="AJ351" s="44"/>
      <c r="AK351" s="44"/>
      <c r="AL351" s="44"/>
      <c r="AM351" s="44"/>
      <c r="AN351" s="44"/>
      <c r="AO351" s="46">
        <f t="shared" si="25"/>
        <v>0</v>
      </c>
      <c r="AP351" s="43" t="s">
        <v>1542</v>
      </c>
      <c r="AQ351" s="43" t="s">
        <v>1542</v>
      </c>
      <c r="AR351" s="43" t="s">
        <v>1542</v>
      </c>
      <c r="AS351" s="43" t="s">
        <v>1542</v>
      </c>
      <c r="AT351" s="43" t="s">
        <v>1542</v>
      </c>
      <c r="AU351" s="43" t="s">
        <v>1542</v>
      </c>
      <c r="AV351" s="43" t="s">
        <v>1542</v>
      </c>
      <c r="AW351" s="43" t="s">
        <v>1542</v>
      </c>
      <c r="AX351" s="43" t="s">
        <v>1542</v>
      </c>
      <c r="AY351" s="43" t="s">
        <v>1542</v>
      </c>
      <c r="AZ351" s="43" t="s">
        <v>1542</v>
      </c>
      <c r="BA351" s="43" t="s">
        <v>1542</v>
      </c>
      <c r="BB351" s="46">
        <f t="shared" si="26"/>
        <v>0</v>
      </c>
      <c r="BC351" s="44" t="s">
        <v>1542</v>
      </c>
      <c r="BD351" s="44" t="s">
        <v>1542</v>
      </c>
      <c r="BE351" s="44" t="s">
        <v>1542</v>
      </c>
      <c r="BF351" s="44" t="s">
        <v>1542</v>
      </c>
      <c r="BG351" s="44" t="s">
        <v>1554</v>
      </c>
      <c r="BH351" s="44" t="s">
        <v>1554</v>
      </c>
      <c r="BI351" s="44" t="s">
        <v>1542</v>
      </c>
      <c r="BJ351" s="44" t="s">
        <v>1542</v>
      </c>
      <c r="BK351" s="44" t="s">
        <v>1542</v>
      </c>
      <c r="BL351" s="44" t="s">
        <v>1542</v>
      </c>
      <c r="BM351" s="44" t="s">
        <v>1542</v>
      </c>
      <c r="BN351" s="44" t="s">
        <v>1542</v>
      </c>
      <c r="BO351" s="46">
        <f t="shared" si="27"/>
        <v>2</v>
      </c>
      <c r="BP351" s="43" t="s">
        <v>1542</v>
      </c>
      <c r="BQ351" s="43" t="s">
        <v>1542</v>
      </c>
      <c r="BR351" s="43" t="s">
        <v>1542</v>
      </c>
      <c r="BS351" s="43" t="s">
        <v>1542</v>
      </c>
      <c r="BT351" s="43" t="s">
        <v>1542</v>
      </c>
      <c r="BU351" s="43" t="s">
        <v>1542</v>
      </c>
      <c r="BV351" s="43" t="s">
        <v>1542</v>
      </c>
      <c r="BW351" s="43" t="s">
        <v>1542</v>
      </c>
      <c r="BX351" s="43" t="s">
        <v>1542</v>
      </c>
      <c r="BY351" s="43" t="s">
        <v>1542</v>
      </c>
      <c r="BZ351" s="43" t="s">
        <v>1542</v>
      </c>
      <c r="CA351" s="43" t="s">
        <v>1542</v>
      </c>
    </row>
    <row r="352" spans="1:79">
      <c r="A352">
        <v>351</v>
      </c>
      <c r="B352">
        <v>1</v>
      </c>
      <c r="C352" t="s">
        <v>1532</v>
      </c>
      <c r="D352" t="s">
        <v>1533</v>
      </c>
      <c r="E352" t="s">
        <v>3089</v>
      </c>
      <c r="F352" t="s">
        <v>3090</v>
      </c>
      <c r="G352" t="s">
        <v>3139</v>
      </c>
      <c r="H352" t="s">
        <v>3139</v>
      </c>
      <c r="J352" t="s">
        <v>3140</v>
      </c>
      <c r="K352" t="s">
        <v>3141</v>
      </c>
      <c r="M352" s="1" t="s">
        <v>3142</v>
      </c>
      <c r="O352" s="46">
        <f t="shared" si="28"/>
        <v>0</v>
      </c>
      <c r="P352" s="43" t="s">
        <v>1542</v>
      </c>
      <c r="Q352" s="43" t="s">
        <v>1542</v>
      </c>
      <c r="R352" s="43" t="s">
        <v>1542</v>
      </c>
      <c r="S352" s="43" t="s">
        <v>1542</v>
      </c>
      <c r="T352" s="43" t="s">
        <v>1542</v>
      </c>
      <c r="U352" s="43" t="s">
        <v>1542</v>
      </c>
      <c r="V352" s="43" t="s">
        <v>1542</v>
      </c>
      <c r="W352" s="43" t="s">
        <v>1542</v>
      </c>
      <c r="X352" s="43" t="s">
        <v>1542</v>
      </c>
      <c r="Y352" s="43" t="s">
        <v>1542</v>
      </c>
      <c r="Z352" s="43" t="s">
        <v>1542</v>
      </c>
      <c r="AA352" s="43" t="s">
        <v>1542</v>
      </c>
      <c r="AB352" s="46">
        <f t="shared" si="29"/>
        <v>0</v>
      </c>
      <c r="AC352" s="44" t="s">
        <v>1542</v>
      </c>
      <c r="AD352" s="44" t="s">
        <v>1542</v>
      </c>
      <c r="AE352" s="44" t="s">
        <v>1542</v>
      </c>
      <c r="AF352" s="44" t="s">
        <v>1542</v>
      </c>
      <c r="AG352" s="44" t="s">
        <v>1542</v>
      </c>
      <c r="AH352" s="44" t="s">
        <v>1542</v>
      </c>
      <c r="AI352" s="44" t="s">
        <v>1542</v>
      </c>
      <c r="AJ352" s="44" t="s">
        <v>1542</v>
      </c>
      <c r="AK352" s="44" t="s">
        <v>1542</v>
      </c>
      <c r="AL352" s="44" t="s">
        <v>1542</v>
      </c>
      <c r="AM352" s="44" t="s">
        <v>1542</v>
      </c>
      <c r="AN352" s="44" t="s">
        <v>1542</v>
      </c>
      <c r="AO352" s="46">
        <f t="shared" si="25"/>
        <v>0</v>
      </c>
      <c r="AP352" s="43" t="s">
        <v>1542</v>
      </c>
      <c r="AQ352" s="43" t="s">
        <v>1542</v>
      </c>
      <c r="AR352" s="43" t="s">
        <v>1542</v>
      </c>
      <c r="AS352" s="43" t="s">
        <v>1542</v>
      </c>
      <c r="AT352" s="43" t="s">
        <v>1542</v>
      </c>
      <c r="AU352" s="43" t="s">
        <v>1542</v>
      </c>
      <c r="AV352" s="43" t="s">
        <v>1542</v>
      </c>
      <c r="AW352" s="43" t="s">
        <v>1542</v>
      </c>
      <c r="AX352" s="43" t="s">
        <v>1542</v>
      </c>
      <c r="AY352" s="43" t="s">
        <v>1542</v>
      </c>
      <c r="AZ352" s="43" t="s">
        <v>1542</v>
      </c>
      <c r="BA352" s="43" t="s">
        <v>1542</v>
      </c>
      <c r="BB352" s="46">
        <f t="shared" si="26"/>
        <v>0</v>
      </c>
      <c r="BC352" s="44" t="s">
        <v>1542</v>
      </c>
      <c r="BD352" s="44" t="s">
        <v>1542</v>
      </c>
      <c r="BE352" s="44" t="s">
        <v>1542</v>
      </c>
      <c r="BF352" s="44" t="s">
        <v>1542</v>
      </c>
      <c r="BG352" s="44" t="s">
        <v>1542</v>
      </c>
      <c r="BH352" s="44" t="s">
        <v>1542</v>
      </c>
      <c r="BI352" s="44" t="s">
        <v>1542</v>
      </c>
      <c r="BJ352" s="44" t="s">
        <v>1542</v>
      </c>
      <c r="BK352" s="44" t="s">
        <v>1542</v>
      </c>
      <c r="BL352" s="44" t="s">
        <v>1542</v>
      </c>
      <c r="BM352" s="44" t="s">
        <v>1542</v>
      </c>
      <c r="BN352" s="44" t="s">
        <v>1542</v>
      </c>
      <c r="BO352" s="46">
        <f t="shared" si="27"/>
        <v>0</v>
      </c>
      <c r="BP352" s="43" t="s">
        <v>1542</v>
      </c>
      <c r="BQ352" s="43" t="s">
        <v>1542</v>
      </c>
      <c r="BR352" s="43" t="s">
        <v>1542</v>
      </c>
      <c r="BS352" s="43" t="s">
        <v>1542</v>
      </c>
      <c r="BT352" s="43" t="s">
        <v>1542</v>
      </c>
      <c r="BU352" s="43" t="s">
        <v>1542</v>
      </c>
      <c r="BV352" s="43" t="s">
        <v>1542</v>
      </c>
      <c r="BW352" s="43" t="s">
        <v>1542</v>
      </c>
      <c r="BX352" s="43" t="s">
        <v>1542</v>
      </c>
      <c r="BY352" s="43" t="s">
        <v>1542</v>
      </c>
      <c r="BZ352" s="43" t="s">
        <v>1542</v>
      </c>
      <c r="CA352" s="43" t="s">
        <v>1542</v>
      </c>
    </row>
    <row r="353" spans="1:79">
      <c r="A353">
        <v>352</v>
      </c>
      <c r="C353" t="s">
        <v>1532</v>
      </c>
      <c r="D353" t="s">
        <v>1533</v>
      </c>
      <c r="E353" t="s">
        <v>3089</v>
      </c>
      <c r="F353" t="s">
        <v>3090</v>
      </c>
      <c r="G353" t="s">
        <v>3139</v>
      </c>
      <c r="H353" t="s">
        <v>3143</v>
      </c>
      <c r="I353" t="s">
        <v>3143</v>
      </c>
      <c r="J353" t="s">
        <v>3140</v>
      </c>
      <c r="K353" t="s">
        <v>3141</v>
      </c>
      <c r="M353" s="1" t="s">
        <v>3144</v>
      </c>
      <c r="N353" t="s">
        <v>3145</v>
      </c>
      <c r="O353" s="46">
        <f t="shared" si="28"/>
        <v>0</v>
      </c>
      <c r="P353" s="43"/>
      <c r="Q353" s="43"/>
      <c r="R353" s="43"/>
      <c r="S353" s="43"/>
      <c r="T353" s="43"/>
      <c r="U353" s="43"/>
      <c r="V353" s="43"/>
      <c r="W353" s="43"/>
      <c r="X353" s="43"/>
      <c r="Y353" s="43"/>
      <c r="Z353" s="43"/>
      <c r="AA353" s="43"/>
      <c r="AB353" s="46">
        <f t="shared" si="29"/>
        <v>0</v>
      </c>
      <c r="AC353" s="44" t="s">
        <v>1542</v>
      </c>
      <c r="AD353" s="44" t="s">
        <v>1542</v>
      </c>
      <c r="AE353" s="44" t="s">
        <v>1542</v>
      </c>
      <c r="AF353" s="44" t="s">
        <v>1542</v>
      </c>
      <c r="AG353" s="44" t="s">
        <v>1542</v>
      </c>
      <c r="AH353" s="44" t="s">
        <v>1542</v>
      </c>
      <c r="AI353" s="44" t="s">
        <v>1542</v>
      </c>
      <c r="AJ353" s="44"/>
      <c r="AK353" s="44"/>
      <c r="AL353" s="44"/>
      <c r="AM353" s="44"/>
      <c r="AN353" s="44"/>
      <c r="AO353" s="46">
        <f t="shared" si="25"/>
        <v>0</v>
      </c>
      <c r="AP353" s="43" t="s">
        <v>1542</v>
      </c>
      <c r="AQ353" s="43" t="s">
        <v>1542</v>
      </c>
      <c r="AR353" s="43" t="s">
        <v>1542</v>
      </c>
      <c r="AS353" s="43" t="s">
        <v>1542</v>
      </c>
      <c r="AT353" s="43" t="s">
        <v>1542</v>
      </c>
      <c r="AU353" s="43" t="s">
        <v>1542</v>
      </c>
      <c r="AV353" s="43" t="s">
        <v>1542</v>
      </c>
      <c r="AW353" s="43" t="s">
        <v>1542</v>
      </c>
      <c r="AX353" s="43" t="s">
        <v>1542</v>
      </c>
      <c r="AY353" s="43" t="s">
        <v>1542</v>
      </c>
      <c r="AZ353" s="43" t="s">
        <v>1542</v>
      </c>
      <c r="BA353" s="43" t="s">
        <v>1542</v>
      </c>
      <c r="BB353" s="46">
        <f t="shared" si="26"/>
        <v>0</v>
      </c>
      <c r="BC353" s="44" t="s">
        <v>1542</v>
      </c>
      <c r="BD353" s="44" t="s">
        <v>1554</v>
      </c>
      <c r="BE353" s="44" t="s">
        <v>1554</v>
      </c>
      <c r="BF353" s="44" t="s">
        <v>1554</v>
      </c>
      <c r="BG353" s="44" t="s">
        <v>1542</v>
      </c>
      <c r="BH353" s="44" t="s">
        <v>1542</v>
      </c>
      <c r="BI353" s="44" t="s">
        <v>1542</v>
      </c>
      <c r="BJ353" s="44" t="s">
        <v>1542</v>
      </c>
      <c r="BK353" s="44" t="s">
        <v>1542</v>
      </c>
      <c r="BL353" s="44" t="s">
        <v>1542</v>
      </c>
      <c r="BM353" s="44" t="s">
        <v>1542</v>
      </c>
      <c r="BN353" s="44" t="s">
        <v>1542</v>
      </c>
      <c r="BO353" s="46">
        <f t="shared" si="27"/>
        <v>3</v>
      </c>
      <c r="BP353" s="43" t="s">
        <v>1542</v>
      </c>
      <c r="BQ353" s="43" t="s">
        <v>1542</v>
      </c>
      <c r="BR353" s="43" t="s">
        <v>1542</v>
      </c>
      <c r="BS353" s="43" t="s">
        <v>1542</v>
      </c>
      <c r="BT353" s="43" t="s">
        <v>1542</v>
      </c>
      <c r="BU353" s="43" t="s">
        <v>1542</v>
      </c>
      <c r="BV353" s="43" t="s">
        <v>1542</v>
      </c>
      <c r="BW353" s="43" t="s">
        <v>1542</v>
      </c>
      <c r="BX353" s="43" t="s">
        <v>1542</v>
      </c>
      <c r="BY353" s="43" t="s">
        <v>1542</v>
      </c>
      <c r="BZ353" s="43" t="s">
        <v>1542</v>
      </c>
      <c r="CA353" s="43" t="s">
        <v>1542</v>
      </c>
    </row>
    <row r="354" spans="1:79">
      <c r="A354">
        <v>353</v>
      </c>
      <c r="B354">
        <v>1</v>
      </c>
      <c r="C354" t="s">
        <v>1532</v>
      </c>
      <c r="D354" t="s">
        <v>1533</v>
      </c>
      <c r="E354" t="s">
        <v>2843</v>
      </c>
      <c r="F354" t="s">
        <v>2844</v>
      </c>
      <c r="G354" t="s">
        <v>3146</v>
      </c>
      <c r="H354" t="s">
        <v>3146</v>
      </c>
      <c r="J354" t="s">
        <v>3147</v>
      </c>
      <c r="K354" t="s">
        <v>3148</v>
      </c>
      <c r="M354" s="1" t="s">
        <v>3149</v>
      </c>
      <c r="O354" s="46">
        <f t="shared" si="28"/>
        <v>0</v>
      </c>
      <c r="P354" s="43" t="s">
        <v>1542</v>
      </c>
      <c r="Q354" s="43" t="s">
        <v>1542</v>
      </c>
      <c r="R354" s="43" t="s">
        <v>1542</v>
      </c>
      <c r="S354" s="43" t="s">
        <v>1542</v>
      </c>
      <c r="T354" s="43" t="s">
        <v>1542</v>
      </c>
      <c r="U354" s="43" t="s">
        <v>1542</v>
      </c>
      <c r="V354" s="43" t="s">
        <v>1542</v>
      </c>
      <c r="W354" s="43" t="s">
        <v>1542</v>
      </c>
      <c r="X354" s="43" t="s">
        <v>1542</v>
      </c>
      <c r="Y354" s="43" t="s">
        <v>1542</v>
      </c>
      <c r="Z354" s="43" t="s">
        <v>1542</v>
      </c>
      <c r="AA354" s="43" t="s">
        <v>1542</v>
      </c>
      <c r="AB354" s="46">
        <f t="shared" si="29"/>
        <v>0</v>
      </c>
      <c r="AC354" s="44" t="s">
        <v>1542</v>
      </c>
      <c r="AD354" s="44" t="s">
        <v>1542</v>
      </c>
      <c r="AE354" s="44" t="s">
        <v>1542</v>
      </c>
      <c r="AF354" s="44" t="s">
        <v>1542</v>
      </c>
      <c r="AG354" s="44" t="s">
        <v>1542</v>
      </c>
      <c r="AH354" s="44" t="s">
        <v>1542</v>
      </c>
      <c r="AI354" s="44" t="s">
        <v>1542</v>
      </c>
      <c r="AJ354" s="44" t="s">
        <v>1542</v>
      </c>
      <c r="AK354" s="44" t="s">
        <v>1542</v>
      </c>
      <c r="AL354" s="44" t="s">
        <v>1542</v>
      </c>
      <c r="AM354" s="44" t="s">
        <v>1542</v>
      </c>
      <c r="AN354" s="44" t="s">
        <v>1542</v>
      </c>
      <c r="AO354" s="46">
        <f t="shared" si="25"/>
        <v>0</v>
      </c>
      <c r="AP354" s="43" t="s">
        <v>1542</v>
      </c>
      <c r="AQ354" s="43" t="s">
        <v>1542</v>
      </c>
      <c r="AR354" s="43" t="s">
        <v>1542</v>
      </c>
      <c r="AS354" s="43" t="s">
        <v>1542</v>
      </c>
      <c r="AT354" s="43" t="s">
        <v>1542</v>
      </c>
      <c r="AU354" s="43" t="s">
        <v>1542</v>
      </c>
      <c r="AV354" s="43" t="s">
        <v>1542</v>
      </c>
      <c r="AW354" s="43" t="s">
        <v>1542</v>
      </c>
      <c r="AX354" s="43" t="s">
        <v>1542</v>
      </c>
      <c r="AY354" s="43" t="s">
        <v>1542</v>
      </c>
      <c r="AZ354" s="43" t="s">
        <v>1542</v>
      </c>
      <c r="BA354" s="43" t="s">
        <v>1542</v>
      </c>
      <c r="BB354" s="46">
        <f t="shared" si="26"/>
        <v>0</v>
      </c>
      <c r="BC354" s="44" t="s">
        <v>1542</v>
      </c>
      <c r="BD354" s="44" t="s">
        <v>1542</v>
      </c>
      <c r="BE354" s="44" t="s">
        <v>1542</v>
      </c>
      <c r="BF354" s="44" t="s">
        <v>1542</v>
      </c>
      <c r="BG354" s="44" t="s">
        <v>1542</v>
      </c>
      <c r="BH354" s="44" t="s">
        <v>1542</v>
      </c>
      <c r="BI354" s="44" t="s">
        <v>1542</v>
      </c>
      <c r="BJ354" s="44" t="s">
        <v>1542</v>
      </c>
      <c r="BK354" s="44" t="s">
        <v>1542</v>
      </c>
      <c r="BL354" s="44" t="s">
        <v>1542</v>
      </c>
      <c r="BM354" s="44" t="s">
        <v>1542</v>
      </c>
      <c r="BN354" s="44" t="s">
        <v>1542</v>
      </c>
      <c r="BO354" s="46">
        <f t="shared" si="27"/>
        <v>0</v>
      </c>
      <c r="BP354" s="43" t="s">
        <v>1542</v>
      </c>
      <c r="BQ354" s="43" t="s">
        <v>1542</v>
      </c>
      <c r="BR354" s="43" t="s">
        <v>1542</v>
      </c>
      <c r="BS354" s="43" t="s">
        <v>1542</v>
      </c>
      <c r="BT354" s="43" t="s">
        <v>1542</v>
      </c>
      <c r="BU354" s="43" t="s">
        <v>1542</v>
      </c>
      <c r="BV354" s="43" t="s">
        <v>1542</v>
      </c>
      <c r="BW354" s="43" t="s">
        <v>1542</v>
      </c>
      <c r="BX354" s="43" t="s">
        <v>1542</v>
      </c>
      <c r="BY354" s="43" t="s">
        <v>1542</v>
      </c>
      <c r="BZ354" s="43" t="s">
        <v>1542</v>
      </c>
      <c r="CA354" s="43" t="s">
        <v>1542</v>
      </c>
    </row>
    <row r="355" spans="1:79">
      <c r="A355">
        <v>354</v>
      </c>
      <c r="B355">
        <v>1</v>
      </c>
      <c r="C355" t="s">
        <v>1532</v>
      </c>
      <c r="D355" t="s">
        <v>1533</v>
      </c>
      <c r="E355" t="s">
        <v>2843</v>
      </c>
      <c r="F355" t="s">
        <v>2844</v>
      </c>
      <c r="G355" t="s">
        <v>3150</v>
      </c>
      <c r="H355" t="s">
        <v>3150</v>
      </c>
      <c r="J355" t="s">
        <v>3151</v>
      </c>
      <c r="K355" t="s">
        <v>3152</v>
      </c>
      <c r="M355" s="1" t="s">
        <v>3153</v>
      </c>
      <c r="N355" t="s">
        <v>3154</v>
      </c>
      <c r="O355" s="46">
        <f t="shared" si="28"/>
        <v>0</v>
      </c>
      <c r="P355" s="43" t="s">
        <v>1542</v>
      </c>
      <c r="Q355" s="43" t="s">
        <v>1542</v>
      </c>
      <c r="R355" s="43" t="s">
        <v>1542</v>
      </c>
      <c r="S355" s="43" t="s">
        <v>1542</v>
      </c>
      <c r="T355" s="43" t="s">
        <v>1542</v>
      </c>
      <c r="U355" s="43" t="s">
        <v>1542</v>
      </c>
      <c r="V355" s="43" t="s">
        <v>1542</v>
      </c>
      <c r="W355" s="43" t="s">
        <v>1542</v>
      </c>
      <c r="X355" s="43" t="s">
        <v>1542</v>
      </c>
      <c r="Y355" s="43" t="s">
        <v>1542</v>
      </c>
      <c r="Z355" s="43" t="s">
        <v>1542</v>
      </c>
      <c r="AA355" s="43" t="s">
        <v>1542</v>
      </c>
      <c r="AB355" s="46">
        <f t="shared" si="29"/>
        <v>0</v>
      </c>
      <c r="AC355" s="44" t="s">
        <v>1542</v>
      </c>
      <c r="AD355" s="44" t="s">
        <v>1542</v>
      </c>
      <c r="AE355" s="44" t="s">
        <v>1542</v>
      </c>
      <c r="AF355" s="44" t="s">
        <v>1542</v>
      </c>
      <c r="AG355" s="44" t="s">
        <v>1542</v>
      </c>
      <c r="AH355" s="44" t="s">
        <v>1542</v>
      </c>
      <c r="AI355" s="44" t="s">
        <v>1542</v>
      </c>
      <c r="AJ355" s="44" t="s">
        <v>1542</v>
      </c>
      <c r="AK355" s="44" t="s">
        <v>1542</v>
      </c>
      <c r="AL355" s="44" t="s">
        <v>1542</v>
      </c>
      <c r="AM355" s="44" t="s">
        <v>1542</v>
      </c>
      <c r="AN355" s="44" t="s">
        <v>1542</v>
      </c>
      <c r="AO355" s="46">
        <f t="shared" si="25"/>
        <v>0</v>
      </c>
      <c r="AP355" s="43" t="s">
        <v>1542</v>
      </c>
      <c r="AQ355" s="43" t="s">
        <v>1542</v>
      </c>
      <c r="AR355" s="43" t="s">
        <v>1542</v>
      </c>
      <c r="AS355" s="43" t="s">
        <v>1542</v>
      </c>
      <c r="AT355" s="43" t="s">
        <v>1542</v>
      </c>
      <c r="AU355" s="43" t="s">
        <v>1542</v>
      </c>
      <c r="AV355" s="43" t="s">
        <v>1542</v>
      </c>
      <c r="AW355" s="43" t="s">
        <v>1542</v>
      </c>
      <c r="AX355" s="43" t="s">
        <v>1542</v>
      </c>
      <c r="AY355" s="43" t="s">
        <v>1542</v>
      </c>
      <c r="AZ355" s="43" t="s">
        <v>1542</v>
      </c>
      <c r="BA355" s="43" t="s">
        <v>1542</v>
      </c>
      <c r="BB355" s="46">
        <f t="shared" si="26"/>
        <v>0</v>
      </c>
      <c r="BC355" s="44" t="s">
        <v>1542</v>
      </c>
      <c r="BD355" s="44" t="s">
        <v>1542</v>
      </c>
      <c r="BE355" s="44" t="s">
        <v>1542</v>
      </c>
      <c r="BF355" s="44" t="s">
        <v>1542</v>
      </c>
      <c r="BG355" s="44" t="s">
        <v>1542</v>
      </c>
      <c r="BH355" s="44" t="s">
        <v>1542</v>
      </c>
      <c r="BI355" s="44" t="s">
        <v>1542</v>
      </c>
      <c r="BJ355" s="44" t="s">
        <v>1542</v>
      </c>
      <c r="BK355" s="44" t="s">
        <v>1542</v>
      </c>
      <c r="BL355" s="44" t="s">
        <v>1542</v>
      </c>
      <c r="BM355" s="44" t="s">
        <v>1542</v>
      </c>
      <c r="BN355" s="44" t="s">
        <v>1542</v>
      </c>
      <c r="BO355" s="46">
        <f t="shared" si="27"/>
        <v>0</v>
      </c>
      <c r="BP355" s="43" t="s">
        <v>1542</v>
      </c>
      <c r="BQ355" s="43" t="s">
        <v>1542</v>
      </c>
      <c r="BR355" s="43" t="s">
        <v>1542</v>
      </c>
      <c r="BS355" s="43" t="s">
        <v>1542</v>
      </c>
      <c r="BT355" s="43" t="s">
        <v>1542</v>
      </c>
      <c r="BU355" s="43" t="s">
        <v>1542</v>
      </c>
      <c r="BV355" s="43" t="s">
        <v>1542</v>
      </c>
      <c r="BW355" s="43" t="s">
        <v>1542</v>
      </c>
      <c r="BX355" s="43" t="s">
        <v>1542</v>
      </c>
      <c r="BY355" s="43" t="s">
        <v>1542</v>
      </c>
      <c r="BZ355" s="43" t="s">
        <v>1542</v>
      </c>
      <c r="CA355" s="43" t="s">
        <v>1542</v>
      </c>
    </row>
    <row r="356" spans="1:79">
      <c r="A356">
        <v>355</v>
      </c>
      <c r="B356">
        <v>1</v>
      </c>
      <c r="C356" t="s">
        <v>1532</v>
      </c>
      <c r="D356" t="s">
        <v>1533</v>
      </c>
      <c r="E356" t="s">
        <v>3089</v>
      </c>
      <c r="F356" t="s">
        <v>3090</v>
      </c>
      <c r="G356" t="s">
        <v>3155</v>
      </c>
      <c r="H356" t="s">
        <v>3155</v>
      </c>
      <c r="J356" t="s">
        <v>3156</v>
      </c>
      <c r="K356" t="s">
        <v>3157</v>
      </c>
      <c r="M356" s="1" t="s">
        <v>3158</v>
      </c>
      <c r="O356" s="46">
        <f t="shared" si="28"/>
        <v>0</v>
      </c>
      <c r="P356" s="43" t="s">
        <v>1542</v>
      </c>
      <c r="Q356" s="43" t="s">
        <v>1542</v>
      </c>
      <c r="R356" s="43" t="s">
        <v>1542</v>
      </c>
      <c r="S356" s="43" t="s">
        <v>1542</v>
      </c>
      <c r="T356" s="43" t="s">
        <v>1542</v>
      </c>
      <c r="U356" s="43" t="s">
        <v>1542</v>
      </c>
      <c r="V356" s="43" t="s">
        <v>1542</v>
      </c>
      <c r="W356" s="43" t="s">
        <v>1542</v>
      </c>
      <c r="X356" s="43" t="s">
        <v>1542</v>
      </c>
      <c r="Y356" s="43" t="s">
        <v>1542</v>
      </c>
      <c r="Z356" s="43" t="s">
        <v>1542</v>
      </c>
      <c r="AA356" s="43" t="s">
        <v>1542</v>
      </c>
      <c r="AB356" s="46">
        <f t="shared" si="29"/>
        <v>0</v>
      </c>
      <c r="AC356" s="44" t="s">
        <v>1542</v>
      </c>
      <c r="AD356" s="44" t="s">
        <v>1542</v>
      </c>
      <c r="AE356" s="44" t="s">
        <v>1542</v>
      </c>
      <c r="AF356" s="44" t="s">
        <v>1542</v>
      </c>
      <c r="AG356" s="44" t="s">
        <v>1542</v>
      </c>
      <c r="AH356" s="44" t="s">
        <v>1542</v>
      </c>
      <c r="AI356" s="44" t="s">
        <v>1542</v>
      </c>
      <c r="AJ356" s="44" t="s">
        <v>1542</v>
      </c>
      <c r="AK356" s="44" t="s">
        <v>1542</v>
      </c>
      <c r="AL356" s="44" t="s">
        <v>1542</v>
      </c>
      <c r="AM356" s="44" t="s">
        <v>1542</v>
      </c>
      <c r="AN356" s="44" t="s">
        <v>1542</v>
      </c>
      <c r="AO356" s="46">
        <f t="shared" si="25"/>
        <v>0</v>
      </c>
      <c r="AP356" s="43" t="s">
        <v>1542</v>
      </c>
      <c r="AQ356" s="43" t="s">
        <v>1542</v>
      </c>
      <c r="AR356" s="43" t="s">
        <v>1542</v>
      </c>
      <c r="AS356" s="43" t="s">
        <v>1542</v>
      </c>
      <c r="AT356" s="43" t="s">
        <v>1542</v>
      </c>
      <c r="AU356" s="43" t="s">
        <v>1542</v>
      </c>
      <c r="AV356" s="43" t="s">
        <v>1542</v>
      </c>
      <c r="AW356" s="43" t="s">
        <v>1542</v>
      </c>
      <c r="AX356" s="43" t="s">
        <v>1542</v>
      </c>
      <c r="AY356" s="43" t="s">
        <v>1542</v>
      </c>
      <c r="AZ356" s="43" t="s">
        <v>1542</v>
      </c>
      <c r="BA356" s="43" t="s">
        <v>1542</v>
      </c>
      <c r="BB356" s="46">
        <f t="shared" si="26"/>
        <v>0</v>
      </c>
      <c r="BC356" s="44" t="s">
        <v>1542</v>
      </c>
      <c r="BD356" s="44" t="s">
        <v>1542</v>
      </c>
      <c r="BE356" s="44" t="s">
        <v>1542</v>
      </c>
      <c r="BF356" s="44" t="s">
        <v>1542</v>
      </c>
      <c r="BG356" s="44" t="s">
        <v>1542</v>
      </c>
      <c r="BH356" s="44" t="s">
        <v>1542</v>
      </c>
      <c r="BI356" s="44" t="s">
        <v>1542</v>
      </c>
      <c r="BJ356" s="44" t="s">
        <v>1542</v>
      </c>
      <c r="BK356" s="44" t="s">
        <v>1542</v>
      </c>
      <c r="BL356" s="44" t="s">
        <v>1542</v>
      </c>
      <c r="BM356" s="44" t="s">
        <v>1542</v>
      </c>
      <c r="BN356" s="44" t="s">
        <v>1542</v>
      </c>
      <c r="BO356" s="46">
        <f t="shared" si="27"/>
        <v>0</v>
      </c>
      <c r="BP356" s="43" t="s">
        <v>1542</v>
      </c>
      <c r="BQ356" s="43" t="s">
        <v>1542</v>
      </c>
      <c r="BR356" s="43" t="s">
        <v>1542</v>
      </c>
      <c r="BS356" s="43" t="s">
        <v>1542</v>
      </c>
      <c r="BT356" s="43" t="s">
        <v>1542</v>
      </c>
      <c r="BU356" s="43" t="s">
        <v>1542</v>
      </c>
      <c r="BV356" s="43" t="s">
        <v>1542</v>
      </c>
      <c r="BW356" s="43" t="s">
        <v>1542</v>
      </c>
      <c r="BX356" s="43" t="s">
        <v>1542</v>
      </c>
      <c r="BY356" s="43" t="s">
        <v>1542</v>
      </c>
      <c r="BZ356" s="43" t="s">
        <v>1542</v>
      </c>
      <c r="CA356" s="43" t="s">
        <v>1542</v>
      </c>
    </row>
    <row r="357" spans="1:79">
      <c r="A357">
        <v>356</v>
      </c>
      <c r="B357">
        <v>1</v>
      </c>
      <c r="C357" t="s">
        <v>1532</v>
      </c>
      <c r="D357" t="s">
        <v>1533</v>
      </c>
      <c r="E357" t="s">
        <v>3089</v>
      </c>
      <c r="F357" t="s">
        <v>3090</v>
      </c>
      <c r="G357" t="s">
        <v>3159</v>
      </c>
      <c r="H357" t="s">
        <v>3159</v>
      </c>
      <c r="J357" t="s">
        <v>3160</v>
      </c>
      <c r="K357" t="s">
        <v>3161</v>
      </c>
      <c r="M357" s="1" t="s">
        <v>3162</v>
      </c>
      <c r="O357" s="46">
        <f t="shared" si="28"/>
        <v>0</v>
      </c>
      <c r="P357" s="43" t="s">
        <v>1542</v>
      </c>
      <c r="Q357" s="43" t="s">
        <v>1542</v>
      </c>
      <c r="R357" s="43" t="s">
        <v>1542</v>
      </c>
      <c r="S357" s="43" t="s">
        <v>1542</v>
      </c>
      <c r="T357" s="43" t="s">
        <v>1542</v>
      </c>
      <c r="U357" s="43" t="s">
        <v>1542</v>
      </c>
      <c r="V357" s="43" t="s">
        <v>1542</v>
      </c>
      <c r="W357" s="43" t="s">
        <v>1542</v>
      </c>
      <c r="X357" s="43" t="s">
        <v>1542</v>
      </c>
      <c r="Y357" s="43" t="s">
        <v>1542</v>
      </c>
      <c r="Z357" s="43" t="s">
        <v>1542</v>
      </c>
      <c r="AA357" s="43" t="s">
        <v>1542</v>
      </c>
      <c r="AB357" s="46">
        <f t="shared" si="29"/>
        <v>0</v>
      </c>
      <c r="AC357" s="44" t="s">
        <v>1542</v>
      </c>
      <c r="AD357" s="44" t="s">
        <v>1542</v>
      </c>
      <c r="AE357" s="44" t="s">
        <v>1542</v>
      </c>
      <c r="AF357" s="44" t="s">
        <v>1542</v>
      </c>
      <c r="AG357" s="44" t="s">
        <v>1542</v>
      </c>
      <c r="AH357" s="44" t="s">
        <v>1542</v>
      </c>
      <c r="AI357" s="44" t="s">
        <v>1542</v>
      </c>
      <c r="AJ357" s="44" t="s">
        <v>1542</v>
      </c>
      <c r="AK357" s="44" t="s">
        <v>1542</v>
      </c>
      <c r="AL357" s="44" t="s">
        <v>1542</v>
      </c>
      <c r="AM357" s="44" t="s">
        <v>1542</v>
      </c>
      <c r="AN357" s="44" t="s">
        <v>1542</v>
      </c>
      <c r="AO357" s="46">
        <f t="shared" si="25"/>
        <v>0</v>
      </c>
      <c r="AP357" s="43" t="s">
        <v>1542</v>
      </c>
      <c r="AQ357" s="43" t="s">
        <v>1542</v>
      </c>
      <c r="AR357" s="43" t="s">
        <v>1542</v>
      </c>
      <c r="AS357" s="43" t="s">
        <v>1542</v>
      </c>
      <c r="AT357" s="43" t="s">
        <v>1542</v>
      </c>
      <c r="AU357" s="43" t="s">
        <v>1542</v>
      </c>
      <c r="AV357" s="43" t="s">
        <v>1542</v>
      </c>
      <c r="AW357" s="43" t="s">
        <v>1542</v>
      </c>
      <c r="AX357" s="43" t="s">
        <v>1542</v>
      </c>
      <c r="AY357" s="43" t="s">
        <v>1542</v>
      </c>
      <c r="AZ357" s="43" t="s">
        <v>1542</v>
      </c>
      <c r="BA357" s="43" t="s">
        <v>1542</v>
      </c>
      <c r="BB357" s="46">
        <f t="shared" si="26"/>
        <v>0</v>
      </c>
      <c r="BC357" s="44" t="s">
        <v>1542</v>
      </c>
      <c r="BD357" s="44" t="s">
        <v>1542</v>
      </c>
      <c r="BE357" s="44" t="s">
        <v>1542</v>
      </c>
      <c r="BF357" s="44" t="s">
        <v>1542</v>
      </c>
      <c r="BG357" s="44" t="s">
        <v>1542</v>
      </c>
      <c r="BH357" s="44" t="s">
        <v>1542</v>
      </c>
      <c r="BI357" s="44" t="s">
        <v>1542</v>
      </c>
      <c r="BJ357" s="44" t="s">
        <v>1542</v>
      </c>
      <c r="BK357" s="44" t="s">
        <v>1542</v>
      </c>
      <c r="BL357" s="44" t="s">
        <v>1542</v>
      </c>
      <c r="BM357" s="44" t="s">
        <v>1542</v>
      </c>
      <c r="BN357" s="44" t="s">
        <v>1542</v>
      </c>
      <c r="BO357" s="46">
        <f t="shared" si="27"/>
        <v>0</v>
      </c>
      <c r="BP357" s="43" t="s">
        <v>1542</v>
      </c>
      <c r="BQ357" s="43" t="s">
        <v>1542</v>
      </c>
      <c r="BR357" s="43" t="s">
        <v>1542</v>
      </c>
      <c r="BS357" s="43" t="s">
        <v>1542</v>
      </c>
      <c r="BT357" s="43" t="s">
        <v>1542</v>
      </c>
      <c r="BU357" s="43" t="s">
        <v>1542</v>
      </c>
      <c r="BV357" s="43" t="s">
        <v>1542</v>
      </c>
      <c r="BW357" s="43" t="s">
        <v>1542</v>
      </c>
      <c r="BX357" s="43" t="s">
        <v>1542</v>
      </c>
      <c r="BY357" s="43" t="s">
        <v>1542</v>
      </c>
      <c r="BZ357" s="43" t="s">
        <v>1542</v>
      </c>
      <c r="CA357" s="43" t="s">
        <v>1542</v>
      </c>
    </row>
    <row r="358" spans="1:79">
      <c r="A358">
        <v>357</v>
      </c>
      <c r="B358">
        <v>1</v>
      </c>
      <c r="C358" t="s">
        <v>1532</v>
      </c>
      <c r="D358" t="s">
        <v>1533</v>
      </c>
      <c r="E358" t="s">
        <v>3089</v>
      </c>
      <c r="F358" t="s">
        <v>3090</v>
      </c>
      <c r="G358" t="s">
        <v>3163</v>
      </c>
      <c r="H358" t="s">
        <v>3163</v>
      </c>
      <c r="J358" t="s">
        <v>3164</v>
      </c>
      <c r="K358" t="s">
        <v>3165</v>
      </c>
      <c r="M358" s="1" t="s">
        <v>3166</v>
      </c>
      <c r="O358" s="46">
        <f t="shared" si="28"/>
        <v>0</v>
      </c>
      <c r="P358" s="43" t="s">
        <v>1542</v>
      </c>
      <c r="Q358" s="43" t="s">
        <v>1542</v>
      </c>
      <c r="R358" s="43" t="s">
        <v>1542</v>
      </c>
      <c r="S358" s="43" t="s">
        <v>1542</v>
      </c>
      <c r="T358" s="43" t="s">
        <v>1542</v>
      </c>
      <c r="U358" s="43" t="s">
        <v>1542</v>
      </c>
      <c r="V358" s="43" t="s">
        <v>1542</v>
      </c>
      <c r="W358" s="43" t="s">
        <v>1542</v>
      </c>
      <c r="X358" s="43" t="s">
        <v>1542</v>
      </c>
      <c r="Y358" s="43" t="s">
        <v>1542</v>
      </c>
      <c r="Z358" s="43" t="s">
        <v>1542</v>
      </c>
      <c r="AA358" s="43" t="s">
        <v>1542</v>
      </c>
      <c r="AB358" s="46">
        <f t="shared" si="29"/>
        <v>0</v>
      </c>
      <c r="AC358" s="44" t="s">
        <v>1542</v>
      </c>
      <c r="AD358" s="44" t="s">
        <v>1542</v>
      </c>
      <c r="AE358" s="44" t="s">
        <v>1542</v>
      </c>
      <c r="AF358" s="44" t="s">
        <v>1542</v>
      </c>
      <c r="AG358" s="44" t="s">
        <v>1542</v>
      </c>
      <c r="AH358" s="44" t="s">
        <v>1542</v>
      </c>
      <c r="AI358" s="44" t="s">
        <v>1542</v>
      </c>
      <c r="AJ358" s="44" t="s">
        <v>1542</v>
      </c>
      <c r="AK358" s="44" t="s">
        <v>1542</v>
      </c>
      <c r="AL358" s="44" t="s">
        <v>1542</v>
      </c>
      <c r="AM358" s="44" t="s">
        <v>1542</v>
      </c>
      <c r="AN358" s="44" t="s">
        <v>1542</v>
      </c>
      <c r="AO358" s="46">
        <f t="shared" si="25"/>
        <v>0</v>
      </c>
      <c r="AP358" s="43" t="s">
        <v>1542</v>
      </c>
      <c r="AQ358" s="43" t="s">
        <v>1542</v>
      </c>
      <c r="AR358" s="43" t="s">
        <v>1542</v>
      </c>
      <c r="AS358" s="43" t="s">
        <v>1542</v>
      </c>
      <c r="AT358" s="43" t="s">
        <v>1542</v>
      </c>
      <c r="AU358" s="43" t="s">
        <v>1542</v>
      </c>
      <c r="AV358" s="43" t="s">
        <v>1542</v>
      </c>
      <c r="AW358" s="43" t="s">
        <v>1542</v>
      </c>
      <c r="AX358" s="43" t="s">
        <v>1542</v>
      </c>
      <c r="AY358" s="43" t="s">
        <v>1542</v>
      </c>
      <c r="AZ358" s="43" t="s">
        <v>1542</v>
      </c>
      <c r="BA358" s="43" t="s">
        <v>1542</v>
      </c>
      <c r="BB358" s="46">
        <f t="shared" si="26"/>
        <v>0</v>
      </c>
      <c r="BC358" s="44" t="s">
        <v>1542</v>
      </c>
      <c r="BD358" s="44" t="s">
        <v>1542</v>
      </c>
      <c r="BE358" s="44" t="s">
        <v>1542</v>
      </c>
      <c r="BF358" s="44" t="s">
        <v>1542</v>
      </c>
      <c r="BG358" s="44" t="s">
        <v>1542</v>
      </c>
      <c r="BH358" s="44" t="s">
        <v>1542</v>
      </c>
      <c r="BI358" s="44" t="s">
        <v>1542</v>
      </c>
      <c r="BJ358" s="44" t="s">
        <v>1542</v>
      </c>
      <c r="BK358" s="44" t="s">
        <v>1542</v>
      </c>
      <c r="BL358" s="44" t="s">
        <v>1542</v>
      </c>
      <c r="BM358" s="44" t="s">
        <v>1542</v>
      </c>
      <c r="BN358" s="44" t="s">
        <v>1542</v>
      </c>
      <c r="BO358" s="46">
        <f t="shared" si="27"/>
        <v>0</v>
      </c>
      <c r="BP358" s="43" t="s">
        <v>1542</v>
      </c>
      <c r="BQ358" s="43" t="s">
        <v>1542</v>
      </c>
      <c r="BR358" s="43" t="s">
        <v>1542</v>
      </c>
      <c r="BS358" s="43" t="s">
        <v>1542</v>
      </c>
      <c r="BT358" s="43" t="s">
        <v>1542</v>
      </c>
      <c r="BU358" s="43" t="s">
        <v>1542</v>
      </c>
      <c r="BV358" s="43" t="s">
        <v>1542</v>
      </c>
      <c r="BW358" s="43" t="s">
        <v>1542</v>
      </c>
      <c r="BX358" s="43" t="s">
        <v>1542</v>
      </c>
      <c r="BY358" s="43" t="s">
        <v>1542</v>
      </c>
      <c r="BZ358" s="43" t="s">
        <v>1542</v>
      </c>
      <c r="CA358" s="43" t="s">
        <v>1542</v>
      </c>
    </row>
    <row r="359" spans="1:79">
      <c r="A359">
        <v>358</v>
      </c>
      <c r="B359">
        <v>1</v>
      </c>
      <c r="C359" t="s">
        <v>1532</v>
      </c>
      <c r="D359" t="s">
        <v>1533</v>
      </c>
      <c r="E359" t="s">
        <v>3089</v>
      </c>
      <c r="F359" t="s">
        <v>3090</v>
      </c>
      <c r="G359" t="s">
        <v>3167</v>
      </c>
      <c r="H359" t="s">
        <v>3167</v>
      </c>
      <c r="J359" t="s">
        <v>3168</v>
      </c>
      <c r="K359" t="s">
        <v>3169</v>
      </c>
      <c r="M359" s="1" t="s">
        <v>3170</v>
      </c>
      <c r="O359" s="46">
        <f t="shared" si="28"/>
        <v>0</v>
      </c>
      <c r="P359" s="43" t="s">
        <v>1542</v>
      </c>
      <c r="Q359" s="43" t="s">
        <v>1542</v>
      </c>
      <c r="R359" s="43" t="s">
        <v>1542</v>
      </c>
      <c r="S359" s="43" t="s">
        <v>1542</v>
      </c>
      <c r="T359" s="43" t="s">
        <v>1542</v>
      </c>
      <c r="U359" s="43" t="s">
        <v>1542</v>
      </c>
      <c r="V359" s="43" t="s">
        <v>1542</v>
      </c>
      <c r="W359" s="43" t="s">
        <v>1542</v>
      </c>
      <c r="X359" s="43" t="s">
        <v>1542</v>
      </c>
      <c r="Y359" s="43" t="s">
        <v>1542</v>
      </c>
      <c r="Z359" s="43" t="s">
        <v>1542</v>
      </c>
      <c r="AA359" s="43" t="s">
        <v>1542</v>
      </c>
      <c r="AB359" s="46">
        <f t="shared" si="29"/>
        <v>0</v>
      </c>
      <c r="AC359" s="44" t="s">
        <v>1542</v>
      </c>
      <c r="AD359" s="44" t="s">
        <v>1542</v>
      </c>
      <c r="AE359" s="44" t="s">
        <v>1542</v>
      </c>
      <c r="AF359" s="44" t="s">
        <v>1542</v>
      </c>
      <c r="AG359" s="44" t="s">
        <v>1542</v>
      </c>
      <c r="AH359" s="44" t="s">
        <v>1542</v>
      </c>
      <c r="AI359" s="44" t="s">
        <v>1542</v>
      </c>
      <c r="AJ359" s="44" t="s">
        <v>1542</v>
      </c>
      <c r="AK359" s="44" t="s">
        <v>1542</v>
      </c>
      <c r="AL359" s="44" t="s">
        <v>1542</v>
      </c>
      <c r="AM359" s="44" t="s">
        <v>1542</v>
      </c>
      <c r="AN359" s="44" t="s">
        <v>1542</v>
      </c>
      <c r="AO359" s="46">
        <f t="shared" si="25"/>
        <v>0</v>
      </c>
      <c r="AP359" s="43" t="s">
        <v>1542</v>
      </c>
      <c r="AQ359" s="43" t="s">
        <v>1542</v>
      </c>
      <c r="AR359" s="43" t="s">
        <v>1542</v>
      </c>
      <c r="AS359" s="43" t="s">
        <v>1542</v>
      </c>
      <c r="AT359" s="43" t="s">
        <v>1542</v>
      </c>
      <c r="AU359" s="43" t="s">
        <v>1542</v>
      </c>
      <c r="AV359" s="43" t="s">
        <v>1542</v>
      </c>
      <c r="AW359" s="43" t="s">
        <v>1542</v>
      </c>
      <c r="AX359" s="43" t="s">
        <v>1542</v>
      </c>
      <c r="AY359" s="43" t="s">
        <v>1542</v>
      </c>
      <c r="AZ359" s="43" t="s">
        <v>1542</v>
      </c>
      <c r="BA359" s="43" t="s">
        <v>1542</v>
      </c>
      <c r="BB359" s="46">
        <f t="shared" si="26"/>
        <v>0</v>
      </c>
      <c r="BC359" s="44" t="s">
        <v>1542</v>
      </c>
      <c r="BD359" s="44" t="s">
        <v>1542</v>
      </c>
      <c r="BE359" s="44" t="s">
        <v>1542</v>
      </c>
      <c r="BF359" s="44" t="s">
        <v>1542</v>
      </c>
      <c r="BG359" s="44" t="s">
        <v>1542</v>
      </c>
      <c r="BH359" s="44" t="s">
        <v>1542</v>
      </c>
      <c r="BI359" s="44" t="s">
        <v>1542</v>
      </c>
      <c r="BJ359" s="44" t="s">
        <v>1542</v>
      </c>
      <c r="BK359" s="44" t="s">
        <v>1542</v>
      </c>
      <c r="BL359" s="44" t="s">
        <v>1542</v>
      </c>
      <c r="BM359" s="44" t="s">
        <v>1542</v>
      </c>
      <c r="BN359" s="44" t="s">
        <v>1542</v>
      </c>
      <c r="BO359" s="46">
        <f t="shared" si="27"/>
        <v>0</v>
      </c>
      <c r="BP359" s="43" t="s">
        <v>1542</v>
      </c>
      <c r="BQ359" s="43" t="s">
        <v>1542</v>
      </c>
      <c r="BR359" s="43" t="s">
        <v>1542</v>
      </c>
      <c r="BS359" s="43" t="s">
        <v>1542</v>
      </c>
      <c r="BT359" s="43" t="s">
        <v>1542</v>
      </c>
      <c r="BU359" s="43" t="s">
        <v>1542</v>
      </c>
      <c r="BV359" s="43" t="s">
        <v>1542</v>
      </c>
      <c r="BW359" s="43" t="s">
        <v>1542</v>
      </c>
      <c r="BX359" s="43" t="s">
        <v>1542</v>
      </c>
      <c r="BY359" s="43" t="s">
        <v>1542</v>
      </c>
      <c r="BZ359" s="43" t="s">
        <v>1542</v>
      </c>
      <c r="CA359" s="43" t="s">
        <v>1542</v>
      </c>
    </row>
    <row r="360" spans="1:79">
      <c r="A360">
        <v>359</v>
      </c>
      <c r="B360">
        <v>1</v>
      </c>
      <c r="C360" t="s">
        <v>1532</v>
      </c>
      <c r="D360" t="s">
        <v>1533</v>
      </c>
      <c r="E360" t="s">
        <v>3089</v>
      </c>
      <c r="F360" t="s">
        <v>3090</v>
      </c>
      <c r="G360" t="s">
        <v>3171</v>
      </c>
      <c r="H360" t="s">
        <v>3171</v>
      </c>
      <c r="J360" t="s">
        <v>3172</v>
      </c>
      <c r="K360" t="s">
        <v>3173</v>
      </c>
      <c r="M360" s="1" t="s">
        <v>3174</v>
      </c>
      <c r="N360" t="s">
        <v>3175</v>
      </c>
      <c r="O360" s="46">
        <f t="shared" si="28"/>
        <v>0</v>
      </c>
      <c r="P360" s="43" t="s">
        <v>1542</v>
      </c>
      <c r="Q360" s="43" t="s">
        <v>1542</v>
      </c>
      <c r="R360" s="43" t="s">
        <v>1542</v>
      </c>
      <c r="S360" s="43" t="s">
        <v>1542</v>
      </c>
      <c r="T360" s="43" t="s">
        <v>1542</v>
      </c>
      <c r="U360" s="43" t="s">
        <v>1542</v>
      </c>
      <c r="V360" s="43" t="s">
        <v>1542</v>
      </c>
      <c r="W360" s="43" t="s">
        <v>1542</v>
      </c>
      <c r="X360" s="43" t="s">
        <v>1542</v>
      </c>
      <c r="Y360" s="43" t="s">
        <v>1542</v>
      </c>
      <c r="Z360" s="43" t="s">
        <v>1542</v>
      </c>
      <c r="AA360" s="43" t="s">
        <v>1542</v>
      </c>
      <c r="AB360" s="46">
        <f t="shared" si="29"/>
        <v>0</v>
      </c>
      <c r="AC360" s="44" t="s">
        <v>1542</v>
      </c>
      <c r="AD360" s="44" t="s">
        <v>1542</v>
      </c>
      <c r="AE360" s="44" t="s">
        <v>1542</v>
      </c>
      <c r="AF360" s="44" t="s">
        <v>1542</v>
      </c>
      <c r="AG360" s="44" t="s">
        <v>1542</v>
      </c>
      <c r="AH360" s="44" t="s">
        <v>1542</v>
      </c>
      <c r="AI360" s="44" t="s">
        <v>1542</v>
      </c>
      <c r="AJ360" s="44" t="s">
        <v>1542</v>
      </c>
      <c r="AK360" s="44" t="s">
        <v>1542</v>
      </c>
      <c r="AL360" s="44" t="s">
        <v>1542</v>
      </c>
      <c r="AM360" s="44" t="s">
        <v>1542</v>
      </c>
      <c r="AN360" s="44" t="s">
        <v>1542</v>
      </c>
      <c r="AO360" s="46">
        <f t="shared" si="25"/>
        <v>0</v>
      </c>
      <c r="AP360" s="43" t="s">
        <v>1542</v>
      </c>
      <c r="AQ360" s="43" t="s">
        <v>1542</v>
      </c>
      <c r="AR360" s="43" t="s">
        <v>1542</v>
      </c>
      <c r="AS360" s="43" t="s">
        <v>1542</v>
      </c>
      <c r="AT360" s="43" t="s">
        <v>1542</v>
      </c>
      <c r="AU360" s="43" t="s">
        <v>1542</v>
      </c>
      <c r="AV360" s="43" t="s">
        <v>1542</v>
      </c>
      <c r="AW360" s="43" t="s">
        <v>1542</v>
      </c>
      <c r="AX360" s="43" t="s">
        <v>1542</v>
      </c>
      <c r="AY360" s="43" t="s">
        <v>1542</v>
      </c>
      <c r="AZ360" s="43" t="s">
        <v>1542</v>
      </c>
      <c r="BA360" s="43" t="s">
        <v>1542</v>
      </c>
      <c r="BB360" s="46">
        <f t="shared" si="26"/>
        <v>0</v>
      </c>
      <c r="BC360" s="44" t="s">
        <v>1542</v>
      </c>
      <c r="BD360" s="44" t="s">
        <v>1542</v>
      </c>
      <c r="BE360" s="44" t="s">
        <v>1542</v>
      </c>
      <c r="BF360" s="44" t="s">
        <v>1542</v>
      </c>
      <c r="BG360" s="44" t="s">
        <v>1542</v>
      </c>
      <c r="BH360" s="44" t="s">
        <v>1542</v>
      </c>
      <c r="BI360" s="44" t="s">
        <v>1542</v>
      </c>
      <c r="BJ360" s="44" t="s">
        <v>1542</v>
      </c>
      <c r="BK360" s="44" t="s">
        <v>1542</v>
      </c>
      <c r="BL360" s="44" t="s">
        <v>1542</v>
      </c>
      <c r="BM360" s="44" t="s">
        <v>1542</v>
      </c>
      <c r="BN360" s="44" t="s">
        <v>1542</v>
      </c>
      <c r="BO360" s="46">
        <f t="shared" si="27"/>
        <v>0</v>
      </c>
      <c r="BP360" s="43" t="s">
        <v>1542</v>
      </c>
      <c r="BQ360" s="43" t="s">
        <v>1542</v>
      </c>
      <c r="BR360" s="43" t="s">
        <v>1542</v>
      </c>
      <c r="BS360" s="43" t="s">
        <v>1542</v>
      </c>
      <c r="BT360" s="43" t="s">
        <v>1542</v>
      </c>
      <c r="BU360" s="43" t="s">
        <v>1542</v>
      </c>
      <c r="BV360" s="43" t="s">
        <v>1542</v>
      </c>
      <c r="BW360" s="43" t="s">
        <v>1542</v>
      </c>
      <c r="BX360" s="43" t="s">
        <v>1542</v>
      </c>
      <c r="BY360" s="43" t="s">
        <v>1542</v>
      </c>
      <c r="BZ360" s="43" t="s">
        <v>1542</v>
      </c>
      <c r="CA360" s="43" t="s">
        <v>1542</v>
      </c>
    </row>
    <row r="361" spans="1:79">
      <c r="A361">
        <v>360</v>
      </c>
      <c r="B361">
        <v>1</v>
      </c>
      <c r="C361" t="s">
        <v>1532</v>
      </c>
      <c r="D361" t="s">
        <v>1533</v>
      </c>
      <c r="E361" t="s">
        <v>2843</v>
      </c>
      <c r="F361" t="s">
        <v>2844</v>
      </c>
      <c r="G361" t="s">
        <v>3176</v>
      </c>
      <c r="H361" t="s">
        <v>3176</v>
      </c>
      <c r="J361" t="s">
        <v>3177</v>
      </c>
      <c r="K361" t="s">
        <v>3178</v>
      </c>
      <c r="M361" s="1" t="s">
        <v>3179</v>
      </c>
      <c r="O361" s="46">
        <f t="shared" si="28"/>
        <v>0</v>
      </c>
      <c r="P361" s="43" t="s">
        <v>1542</v>
      </c>
      <c r="Q361" s="43" t="s">
        <v>1542</v>
      </c>
      <c r="R361" s="43" t="s">
        <v>1542</v>
      </c>
      <c r="S361" s="43" t="s">
        <v>1542</v>
      </c>
      <c r="T361" s="43" t="s">
        <v>1542</v>
      </c>
      <c r="U361" s="43" t="s">
        <v>1542</v>
      </c>
      <c r="V361" s="43" t="s">
        <v>1542</v>
      </c>
      <c r="W361" s="43" t="s">
        <v>1542</v>
      </c>
      <c r="X361" s="43" t="s">
        <v>1542</v>
      </c>
      <c r="Y361" s="43" t="s">
        <v>1542</v>
      </c>
      <c r="Z361" s="43" t="s">
        <v>1542</v>
      </c>
      <c r="AA361" s="43" t="s">
        <v>1542</v>
      </c>
      <c r="AB361" s="46">
        <f t="shared" si="29"/>
        <v>0</v>
      </c>
      <c r="AC361" s="44" t="s">
        <v>1542</v>
      </c>
      <c r="AD361" s="44" t="s">
        <v>1542</v>
      </c>
      <c r="AE361" s="44" t="s">
        <v>1542</v>
      </c>
      <c r="AF361" s="44" t="s">
        <v>1542</v>
      </c>
      <c r="AG361" s="44" t="s">
        <v>1542</v>
      </c>
      <c r="AH361" s="44" t="s">
        <v>1542</v>
      </c>
      <c r="AI361" s="44" t="s">
        <v>1542</v>
      </c>
      <c r="AJ361" s="44" t="s">
        <v>1542</v>
      </c>
      <c r="AK361" s="44" t="s">
        <v>1542</v>
      </c>
      <c r="AL361" s="44" t="s">
        <v>1542</v>
      </c>
      <c r="AM361" s="44" t="s">
        <v>1542</v>
      </c>
      <c r="AN361" s="44" t="s">
        <v>1542</v>
      </c>
      <c r="AO361" s="46">
        <f t="shared" si="25"/>
        <v>0</v>
      </c>
      <c r="AP361" s="43" t="s">
        <v>1542</v>
      </c>
      <c r="AQ361" s="43" t="s">
        <v>1542</v>
      </c>
      <c r="AR361" s="43" t="s">
        <v>1542</v>
      </c>
      <c r="AS361" s="43" t="s">
        <v>1542</v>
      </c>
      <c r="AT361" s="43" t="s">
        <v>1542</v>
      </c>
      <c r="AU361" s="43" t="s">
        <v>1542</v>
      </c>
      <c r="AV361" s="43" t="s">
        <v>1542</v>
      </c>
      <c r="AW361" s="43" t="s">
        <v>1542</v>
      </c>
      <c r="AX361" s="43" t="s">
        <v>1542</v>
      </c>
      <c r="AY361" s="43" t="s">
        <v>1542</v>
      </c>
      <c r="AZ361" s="43" t="s">
        <v>1542</v>
      </c>
      <c r="BA361" s="43" t="s">
        <v>1542</v>
      </c>
      <c r="BB361" s="46">
        <f t="shared" si="26"/>
        <v>0</v>
      </c>
      <c r="BC361" s="44" t="s">
        <v>1542</v>
      </c>
      <c r="BD361" s="44" t="s">
        <v>1542</v>
      </c>
      <c r="BE361" s="44" t="s">
        <v>1542</v>
      </c>
      <c r="BF361" s="44" t="s">
        <v>1542</v>
      </c>
      <c r="BG361" s="44" t="s">
        <v>1542</v>
      </c>
      <c r="BH361" s="44" t="s">
        <v>1542</v>
      </c>
      <c r="BI361" s="44" t="s">
        <v>1542</v>
      </c>
      <c r="BJ361" s="44" t="s">
        <v>1542</v>
      </c>
      <c r="BK361" s="44" t="s">
        <v>1542</v>
      </c>
      <c r="BL361" s="44" t="s">
        <v>1542</v>
      </c>
      <c r="BM361" s="44" t="s">
        <v>1542</v>
      </c>
      <c r="BN361" s="44" t="s">
        <v>1542</v>
      </c>
      <c r="BO361" s="46">
        <f t="shared" si="27"/>
        <v>0</v>
      </c>
      <c r="BP361" s="43" t="s">
        <v>1542</v>
      </c>
      <c r="BQ361" s="43" t="s">
        <v>1542</v>
      </c>
      <c r="BR361" s="43" t="s">
        <v>1542</v>
      </c>
      <c r="BS361" s="43" t="s">
        <v>1542</v>
      </c>
      <c r="BT361" s="43" t="s">
        <v>1542</v>
      </c>
      <c r="BU361" s="43" t="s">
        <v>1542</v>
      </c>
      <c r="BV361" s="43" t="s">
        <v>1542</v>
      </c>
      <c r="BW361" s="43" t="s">
        <v>1542</v>
      </c>
      <c r="BX361" s="43" t="s">
        <v>1542</v>
      </c>
      <c r="BY361" s="43" t="s">
        <v>1542</v>
      </c>
      <c r="BZ361" s="43" t="s">
        <v>1542</v>
      </c>
      <c r="CA361" s="43" t="s">
        <v>1542</v>
      </c>
    </row>
    <row r="362" spans="1:79">
      <c r="A362">
        <v>361</v>
      </c>
      <c r="B362">
        <v>1</v>
      </c>
      <c r="C362" t="s">
        <v>1532</v>
      </c>
      <c r="D362" t="s">
        <v>1533</v>
      </c>
      <c r="E362" t="s">
        <v>2843</v>
      </c>
      <c r="F362" t="s">
        <v>2844</v>
      </c>
      <c r="G362" t="s">
        <v>3180</v>
      </c>
      <c r="H362" t="s">
        <v>3180</v>
      </c>
      <c r="J362" t="s">
        <v>3181</v>
      </c>
      <c r="K362" t="s">
        <v>3182</v>
      </c>
      <c r="M362" s="1" t="s">
        <v>3183</v>
      </c>
      <c r="O362" s="46">
        <f t="shared" si="28"/>
        <v>0</v>
      </c>
      <c r="P362" s="43" t="s">
        <v>1542</v>
      </c>
      <c r="Q362" s="43" t="s">
        <v>1542</v>
      </c>
      <c r="R362" s="43" t="s">
        <v>1542</v>
      </c>
      <c r="S362" s="43" t="s">
        <v>1542</v>
      </c>
      <c r="T362" s="43" t="s">
        <v>1542</v>
      </c>
      <c r="U362" s="43" t="s">
        <v>1542</v>
      </c>
      <c r="V362" s="43" t="s">
        <v>1542</v>
      </c>
      <c r="W362" s="43" t="s">
        <v>1542</v>
      </c>
      <c r="X362" s="43" t="s">
        <v>1542</v>
      </c>
      <c r="Y362" s="43" t="s">
        <v>1542</v>
      </c>
      <c r="Z362" s="43" t="s">
        <v>1542</v>
      </c>
      <c r="AA362" s="43" t="s">
        <v>1542</v>
      </c>
      <c r="AB362" s="46">
        <f t="shared" si="29"/>
        <v>0</v>
      </c>
      <c r="AC362" s="44" t="s">
        <v>1542</v>
      </c>
      <c r="AD362" s="44" t="s">
        <v>1542</v>
      </c>
      <c r="AE362" s="44" t="s">
        <v>1542</v>
      </c>
      <c r="AF362" s="44" t="s">
        <v>1542</v>
      </c>
      <c r="AG362" s="44" t="s">
        <v>1542</v>
      </c>
      <c r="AH362" s="44" t="s">
        <v>1542</v>
      </c>
      <c r="AI362" s="44" t="s">
        <v>1542</v>
      </c>
      <c r="AJ362" s="44" t="s">
        <v>1542</v>
      </c>
      <c r="AK362" s="44" t="s">
        <v>1542</v>
      </c>
      <c r="AL362" s="44" t="s">
        <v>1542</v>
      </c>
      <c r="AM362" s="44" t="s">
        <v>1542</v>
      </c>
      <c r="AN362" s="44" t="s">
        <v>1542</v>
      </c>
      <c r="AO362" s="46">
        <f t="shared" si="25"/>
        <v>0</v>
      </c>
      <c r="AP362" s="43" t="s">
        <v>1542</v>
      </c>
      <c r="AQ362" s="43" t="s">
        <v>1542</v>
      </c>
      <c r="AR362" s="43" t="s">
        <v>1542</v>
      </c>
      <c r="AS362" s="43" t="s">
        <v>1542</v>
      </c>
      <c r="AT362" s="43" t="s">
        <v>1542</v>
      </c>
      <c r="AU362" s="43" t="s">
        <v>1542</v>
      </c>
      <c r="AV362" s="43" t="s">
        <v>1542</v>
      </c>
      <c r="AW362" s="43" t="s">
        <v>1542</v>
      </c>
      <c r="AX362" s="43" t="s">
        <v>1542</v>
      </c>
      <c r="AY362" s="43" t="s">
        <v>1542</v>
      </c>
      <c r="AZ362" s="43" t="s">
        <v>1542</v>
      </c>
      <c r="BA362" s="43" t="s">
        <v>1542</v>
      </c>
      <c r="BB362" s="46">
        <f t="shared" si="26"/>
        <v>0</v>
      </c>
      <c r="BC362" s="44" t="s">
        <v>1542</v>
      </c>
      <c r="BD362" s="44" t="s">
        <v>1542</v>
      </c>
      <c r="BE362" s="44" t="s">
        <v>1542</v>
      </c>
      <c r="BF362" s="44" t="s">
        <v>1542</v>
      </c>
      <c r="BG362" s="44" t="s">
        <v>1542</v>
      </c>
      <c r="BH362" s="44" t="s">
        <v>1542</v>
      </c>
      <c r="BI362" s="44" t="s">
        <v>1542</v>
      </c>
      <c r="BJ362" s="44" t="s">
        <v>1542</v>
      </c>
      <c r="BK362" s="44" t="s">
        <v>1542</v>
      </c>
      <c r="BL362" s="44" t="s">
        <v>1542</v>
      </c>
      <c r="BM362" s="44" t="s">
        <v>1542</v>
      </c>
      <c r="BN362" s="44" t="s">
        <v>1542</v>
      </c>
      <c r="BO362" s="46">
        <f t="shared" si="27"/>
        <v>0</v>
      </c>
      <c r="BP362" s="43" t="s">
        <v>1542</v>
      </c>
      <c r="BQ362" s="43" t="s">
        <v>1542</v>
      </c>
      <c r="BR362" s="43" t="s">
        <v>1542</v>
      </c>
      <c r="BS362" s="43" t="s">
        <v>1542</v>
      </c>
      <c r="BT362" s="43" t="s">
        <v>1542</v>
      </c>
      <c r="BU362" s="43" t="s">
        <v>1542</v>
      </c>
      <c r="BV362" s="43" t="s">
        <v>1542</v>
      </c>
      <c r="BW362" s="43" t="s">
        <v>1542</v>
      </c>
      <c r="BX362" s="43" t="s">
        <v>1542</v>
      </c>
      <c r="BY362" s="43" t="s">
        <v>1542</v>
      </c>
      <c r="BZ362" s="43" t="s">
        <v>1542</v>
      </c>
      <c r="CA362" s="43" t="s">
        <v>1542</v>
      </c>
    </row>
    <row r="363" spans="1:79">
      <c r="A363">
        <v>362</v>
      </c>
      <c r="B363">
        <v>1</v>
      </c>
      <c r="C363" t="s">
        <v>1532</v>
      </c>
      <c r="D363" t="s">
        <v>1533</v>
      </c>
      <c r="E363" t="s">
        <v>3089</v>
      </c>
      <c r="F363" t="s">
        <v>3090</v>
      </c>
      <c r="G363" t="s">
        <v>3184</v>
      </c>
      <c r="H363" t="s">
        <v>3184</v>
      </c>
      <c r="J363" t="s">
        <v>3185</v>
      </c>
      <c r="K363" t="s">
        <v>3186</v>
      </c>
      <c r="M363" s="1" t="s">
        <v>3187</v>
      </c>
      <c r="O363" s="46">
        <f t="shared" si="28"/>
        <v>0</v>
      </c>
      <c r="P363" s="43" t="s">
        <v>1542</v>
      </c>
      <c r="Q363" s="43" t="s">
        <v>1542</v>
      </c>
      <c r="R363" s="43" t="s">
        <v>1542</v>
      </c>
      <c r="S363" s="43" t="s">
        <v>1542</v>
      </c>
      <c r="T363" s="43" t="s">
        <v>1542</v>
      </c>
      <c r="U363" s="43" t="s">
        <v>1542</v>
      </c>
      <c r="V363" s="43" t="s">
        <v>1542</v>
      </c>
      <c r="W363" s="43" t="s">
        <v>1542</v>
      </c>
      <c r="X363" s="43" t="s">
        <v>1542</v>
      </c>
      <c r="Y363" s="43" t="s">
        <v>1542</v>
      </c>
      <c r="Z363" s="43" t="s">
        <v>1542</v>
      </c>
      <c r="AA363" s="43" t="s">
        <v>1542</v>
      </c>
      <c r="AB363" s="46">
        <f t="shared" si="29"/>
        <v>0</v>
      </c>
      <c r="AC363" s="44" t="s">
        <v>1542</v>
      </c>
      <c r="AD363" s="44" t="s">
        <v>1542</v>
      </c>
      <c r="AE363" s="44" t="s">
        <v>1542</v>
      </c>
      <c r="AF363" s="44" t="s">
        <v>1542</v>
      </c>
      <c r="AG363" s="44" t="s">
        <v>1542</v>
      </c>
      <c r="AH363" s="44" t="s">
        <v>1542</v>
      </c>
      <c r="AI363" s="44" t="s">
        <v>1542</v>
      </c>
      <c r="AJ363" s="44" t="s">
        <v>1542</v>
      </c>
      <c r="AK363" s="44" t="s">
        <v>1542</v>
      </c>
      <c r="AL363" s="44" t="s">
        <v>1542</v>
      </c>
      <c r="AM363" s="44" t="s">
        <v>1542</v>
      </c>
      <c r="AN363" s="44" t="s">
        <v>1542</v>
      </c>
      <c r="AO363" s="46">
        <f t="shared" si="25"/>
        <v>0</v>
      </c>
      <c r="AP363" s="43" t="s">
        <v>1542</v>
      </c>
      <c r="AQ363" s="43" t="s">
        <v>1542</v>
      </c>
      <c r="AR363" s="43" t="s">
        <v>1542</v>
      </c>
      <c r="AS363" s="43" t="s">
        <v>1542</v>
      </c>
      <c r="AT363" s="43" t="s">
        <v>1542</v>
      </c>
      <c r="AU363" s="43" t="s">
        <v>1542</v>
      </c>
      <c r="AV363" s="43" t="s">
        <v>1542</v>
      </c>
      <c r="AW363" s="43" t="s">
        <v>1542</v>
      </c>
      <c r="AX363" s="43" t="s">
        <v>1542</v>
      </c>
      <c r="AY363" s="43" t="s">
        <v>1542</v>
      </c>
      <c r="AZ363" s="43" t="s">
        <v>1542</v>
      </c>
      <c r="BA363" s="43" t="s">
        <v>1542</v>
      </c>
      <c r="BB363" s="46">
        <f t="shared" si="26"/>
        <v>0</v>
      </c>
      <c r="BC363" s="44" t="s">
        <v>1542</v>
      </c>
      <c r="BD363" s="44" t="s">
        <v>1542</v>
      </c>
      <c r="BE363" s="44" t="s">
        <v>1542</v>
      </c>
      <c r="BF363" s="44" t="s">
        <v>1542</v>
      </c>
      <c r="BG363" s="44" t="s">
        <v>1542</v>
      </c>
      <c r="BH363" s="44" t="s">
        <v>1542</v>
      </c>
      <c r="BI363" s="44" t="s">
        <v>1542</v>
      </c>
      <c r="BJ363" s="44" t="s">
        <v>1542</v>
      </c>
      <c r="BK363" s="44" t="s">
        <v>1542</v>
      </c>
      <c r="BL363" s="44" t="s">
        <v>1542</v>
      </c>
      <c r="BM363" s="44" t="s">
        <v>1542</v>
      </c>
      <c r="BN363" s="44" t="s">
        <v>1542</v>
      </c>
      <c r="BO363" s="46">
        <f t="shared" si="27"/>
        <v>0</v>
      </c>
      <c r="BP363" s="43" t="s">
        <v>1542</v>
      </c>
      <c r="BQ363" s="43" t="s">
        <v>1542</v>
      </c>
      <c r="BR363" s="43" t="s">
        <v>1542</v>
      </c>
      <c r="BS363" s="43" t="s">
        <v>1542</v>
      </c>
      <c r="BT363" s="43" t="s">
        <v>1542</v>
      </c>
      <c r="BU363" s="43" t="s">
        <v>1542</v>
      </c>
      <c r="BV363" s="43" t="s">
        <v>1542</v>
      </c>
      <c r="BW363" s="43" t="s">
        <v>1542</v>
      </c>
      <c r="BX363" s="43" t="s">
        <v>1542</v>
      </c>
      <c r="BY363" s="43" t="s">
        <v>1542</v>
      </c>
      <c r="BZ363" s="43" t="s">
        <v>1542</v>
      </c>
      <c r="CA363" s="43" t="s">
        <v>1542</v>
      </c>
    </row>
    <row r="364" spans="1:79">
      <c r="A364">
        <v>363</v>
      </c>
      <c r="B364">
        <v>1</v>
      </c>
      <c r="C364" t="s">
        <v>1532</v>
      </c>
      <c r="D364" t="s">
        <v>1533</v>
      </c>
      <c r="E364" t="s">
        <v>3089</v>
      </c>
      <c r="F364" t="s">
        <v>3090</v>
      </c>
      <c r="G364" t="s">
        <v>3188</v>
      </c>
      <c r="H364" t="s">
        <v>3188</v>
      </c>
      <c r="J364" t="s">
        <v>3189</v>
      </c>
      <c r="K364" t="s">
        <v>3190</v>
      </c>
      <c r="M364" s="1" t="s">
        <v>3191</v>
      </c>
      <c r="N364" t="s">
        <v>3192</v>
      </c>
      <c r="O364" s="46">
        <f t="shared" si="28"/>
        <v>0</v>
      </c>
      <c r="P364" s="43" t="s">
        <v>1542</v>
      </c>
      <c r="Q364" s="43" t="s">
        <v>1542</v>
      </c>
      <c r="R364" s="43" t="s">
        <v>1542</v>
      </c>
      <c r="S364" s="43" t="s">
        <v>1542</v>
      </c>
      <c r="T364" s="43" t="s">
        <v>1542</v>
      </c>
      <c r="U364" s="43" t="s">
        <v>1542</v>
      </c>
      <c r="V364" s="43" t="s">
        <v>1542</v>
      </c>
      <c r="W364" s="43" t="s">
        <v>1542</v>
      </c>
      <c r="X364" s="43" t="s">
        <v>1542</v>
      </c>
      <c r="Y364" s="43" t="s">
        <v>1542</v>
      </c>
      <c r="Z364" s="43" t="s">
        <v>1542</v>
      </c>
      <c r="AA364" s="43" t="s">
        <v>1542</v>
      </c>
      <c r="AB364" s="46">
        <f t="shared" si="29"/>
        <v>1</v>
      </c>
      <c r="AC364" s="44"/>
      <c r="AD364" s="44"/>
      <c r="AE364" s="44"/>
      <c r="AF364" s="44"/>
      <c r="AG364" s="44"/>
      <c r="AH364" s="44"/>
      <c r="AI364" s="44" t="s">
        <v>1554</v>
      </c>
      <c r="AJ364" s="44" t="s">
        <v>1542</v>
      </c>
      <c r="AK364" s="44" t="s">
        <v>1542</v>
      </c>
      <c r="AL364" s="44" t="s">
        <v>1542</v>
      </c>
      <c r="AM364" s="44" t="s">
        <v>1542</v>
      </c>
      <c r="AN364" s="44" t="s">
        <v>1542</v>
      </c>
      <c r="AO364" s="46">
        <f t="shared" si="25"/>
        <v>1</v>
      </c>
      <c r="AP364" s="43"/>
      <c r="AQ364" s="43"/>
      <c r="AR364" s="43"/>
      <c r="AS364" s="43"/>
      <c r="AT364" s="43"/>
      <c r="AU364" s="43"/>
      <c r="AV364" s="43"/>
      <c r="AW364" s="43"/>
      <c r="AX364" s="43"/>
      <c r="AY364" s="43"/>
      <c r="AZ364" s="43"/>
      <c r="BA364" s="43"/>
      <c r="BB364" s="46">
        <f t="shared" si="26"/>
        <v>0</v>
      </c>
      <c r="BC364" s="44"/>
      <c r="BD364" s="44"/>
      <c r="BE364" s="44"/>
      <c r="BF364" s="44"/>
      <c r="BG364" s="44"/>
      <c r="BH364" s="44"/>
      <c r="BI364" s="44"/>
      <c r="BJ364" s="44"/>
      <c r="BK364" s="44"/>
      <c r="BL364" s="44"/>
      <c r="BM364" s="44"/>
      <c r="BN364" s="44"/>
      <c r="BO364" s="46">
        <f t="shared" si="27"/>
        <v>0</v>
      </c>
      <c r="BP364" s="43"/>
      <c r="BQ364" s="43"/>
      <c r="BR364" s="43"/>
      <c r="BS364" s="43"/>
      <c r="BT364" s="43"/>
      <c r="BU364" s="43"/>
      <c r="BV364" s="43"/>
      <c r="BW364" s="43"/>
      <c r="BX364" s="43"/>
      <c r="BY364" s="43"/>
      <c r="BZ364" s="43"/>
      <c r="CA364" s="43"/>
    </row>
    <row r="365" spans="1:79">
      <c r="A365">
        <v>364</v>
      </c>
      <c r="B365">
        <v>1</v>
      </c>
      <c r="C365" t="s">
        <v>1532</v>
      </c>
      <c r="D365" t="s">
        <v>1533</v>
      </c>
      <c r="E365" t="s">
        <v>3089</v>
      </c>
      <c r="F365" t="s">
        <v>3090</v>
      </c>
      <c r="G365" t="s">
        <v>3193</v>
      </c>
      <c r="H365" t="s">
        <v>3193</v>
      </c>
      <c r="J365" t="s">
        <v>3194</v>
      </c>
      <c r="K365" t="s">
        <v>3195</v>
      </c>
      <c r="L365" t="s">
        <v>1539</v>
      </c>
      <c r="M365" s="1" t="s">
        <v>3196</v>
      </c>
      <c r="N365" t="s">
        <v>3197</v>
      </c>
      <c r="O365" s="46">
        <f t="shared" si="28"/>
        <v>3</v>
      </c>
      <c r="P365" s="43" t="s">
        <v>1542</v>
      </c>
      <c r="Q365" s="43" t="s">
        <v>1542</v>
      </c>
      <c r="R365" s="43" t="s">
        <v>1542</v>
      </c>
      <c r="S365" s="43" t="s">
        <v>1542</v>
      </c>
      <c r="T365" s="43" t="s">
        <v>1542</v>
      </c>
      <c r="U365" s="43" t="s">
        <v>1542</v>
      </c>
      <c r="V365" s="43" t="s">
        <v>1542</v>
      </c>
      <c r="W365" s="43" t="s">
        <v>1554</v>
      </c>
      <c r="X365" s="43" t="s">
        <v>1554</v>
      </c>
      <c r="Y365" s="43" t="s">
        <v>1554</v>
      </c>
      <c r="Z365" s="43" t="s">
        <v>1542</v>
      </c>
      <c r="AA365" s="43" t="s">
        <v>1542</v>
      </c>
      <c r="AB365" s="46">
        <f t="shared" si="29"/>
        <v>0</v>
      </c>
      <c r="AC365" s="44" t="s">
        <v>1542</v>
      </c>
      <c r="AD365" s="44" t="s">
        <v>1542</v>
      </c>
      <c r="AE365" s="44" t="s">
        <v>1542</v>
      </c>
      <c r="AF365" s="44" t="s">
        <v>1542</v>
      </c>
      <c r="AG365" s="44" t="s">
        <v>1542</v>
      </c>
      <c r="AH365" s="44" t="s">
        <v>1542</v>
      </c>
      <c r="AI365" s="44" t="s">
        <v>1542</v>
      </c>
      <c r="AJ365" s="44" t="s">
        <v>1542</v>
      </c>
      <c r="AK365" s="44" t="s">
        <v>1542</v>
      </c>
      <c r="AL365" s="44" t="s">
        <v>1542</v>
      </c>
      <c r="AM365" s="44" t="s">
        <v>1542</v>
      </c>
      <c r="AN365" s="44" t="s">
        <v>1542</v>
      </c>
      <c r="AO365" s="46">
        <f t="shared" si="25"/>
        <v>0</v>
      </c>
      <c r="AP365" s="43" t="s">
        <v>1542</v>
      </c>
      <c r="AQ365" s="43" t="s">
        <v>1542</v>
      </c>
      <c r="AR365" s="43" t="s">
        <v>1542</v>
      </c>
      <c r="AS365" s="43" t="s">
        <v>1542</v>
      </c>
      <c r="AT365" s="43" t="s">
        <v>1542</v>
      </c>
      <c r="AU365" s="43" t="s">
        <v>1542</v>
      </c>
      <c r="AV365" s="43" t="s">
        <v>1542</v>
      </c>
      <c r="AW365" s="43" t="s">
        <v>1542</v>
      </c>
      <c r="AX365" s="43" t="s">
        <v>1542</v>
      </c>
      <c r="AY365" s="43" t="s">
        <v>1542</v>
      </c>
      <c r="AZ365" s="43" t="s">
        <v>1542</v>
      </c>
      <c r="BA365" s="43" t="s">
        <v>1542</v>
      </c>
      <c r="BB365" s="46">
        <f t="shared" si="26"/>
        <v>0</v>
      </c>
      <c r="BC365" s="44" t="s">
        <v>1554</v>
      </c>
      <c r="BD365" s="44" t="s">
        <v>1542</v>
      </c>
      <c r="BE365" s="44" t="s">
        <v>1542</v>
      </c>
      <c r="BF365" s="44" t="s">
        <v>1542</v>
      </c>
      <c r="BG365" s="44" t="s">
        <v>1542</v>
      </c>
      <c r="BH365" s="44" t="s">
        <v>1542</v>
      </c>
      <c r="BI365" s="44" t="s">
        <v>1542</v>
      </c>
      <c r="BJ365" s="44" t="s">
        <v>1542</v>
      </c>
      <c r="BK365" s="44" t="s">
        <v>1542</v>
      </c>
      <c r="BL365" s="44" t="s">
        <v>1542</v>
      </c>
      <c r="BM365" s="44" t="s">
        <v>1542</v>
      </c>
      <c r="BN365" s="44" t="s">
        <v>1542</v>
      </c>
      <c r="BO365" s="46">
        <f t="shared" si="27"/>
        <v>1</v>
      </c>
      <c r="BP365" s="43" t="s">
        <v>1542</v>
      </c>
      <c r="BQ365" s="43" t="s">
        <v>1542</v>
      </c>
      <c r="BR365" s="43" t="s">
        <v>1542</v>
      </c>
      <c r="BS365" s="43" t="s">
        <v>1542</v>
      </c>
      <c r="BT365" s="43" t="s">
        <v>1542</v>
      </c>
      <c r="BU365" s="43" t="s">
        <v>1542</v>
      </c>
      <c r="BV365" s="43" t="s">
        <v>1542</v>
      </c>
      <c r="BW365" s="43" t="s">
        <v>1542</v>
      </c>
      <c r="BX365" s="43" t="s">
        <v>1542</v>
      </c>
      <c r="BY365" s="43" t="s">
        <v>1542</v>
      </c>
      <c r="BZ365" s="43" t="s">
        <v>1542</v>
      </c>
      <c r="CA365" s="43" t="s">
        <v>1542</v>
      </c>
    </row>
    <row r="366" spans="1:79">
      <c r="A366">
        <v>365</v>
      </c>
      <c r="B366">
        <v>1</v>
      </c>
      <c r="C366" t="s">
        <v>1532</v>
      </c>
      <c r="D366" t="s">
        <v>1533</v>
      </c>
      <c r="E366" t="s">
        <v>3089</v>
      </c>
      <c r="F366" t="s">
        <v>3090</v>
      </c>
      <c r="G366" t="s">
        <v>3198</v>
      </c>
      <c r="H366" t="s">
        <v>3198</v>
      </c>
      <c r="I366" t="s">
        <v>3199</v>
      </c>
      <c r="J366" t="s">
        <v>3200</v>
      </c>
      <c r="K366" t="s">
        <v>3201</v>
      </c>
      <c r="M366" s="1" t="s">
        <v>3202</v>
      </c>
      <c r="O366" s="46">
        <f t="shared" si="28"/>
        <v>0</v>
      </c>
      <c r="P366" s="43" t="s">
        <v>1542</v>
      </c>
      <c r="Q366" s="43" t="s">
        <v>1542</v>
      </c>
      <c r="R366" s="43" t="s">
        <v>1542</v>
      </c>
      <c r="S366" s="43" t="s">
        <v>1542</v>
      </c>
      <c r="T366" s="43" t="s">
        <v>1542</v>
      </c>
      <c r="U366" s="43" t="s">
        <v>1542</v>
      </c>
      <c r="V366" s="43" t="s">
        <v>1542</v>
      </c>
      <c r="W366" s="43" t="s">
        <v>1542</v>
      </c>
      <c r="X366" s="43" t="s">
        <v>1542</v>
      </c>
      <c r="Y366" s="43" t="s">
        <v>1542</v>
      </c>
      <c r="Z366" s="43" t="s">
        <v>1542</v>
      </c>
      <c r="AA366" s="43" t="s">
        <v>1542</v>
      </c>
      <c r="AB366" s="46">
        <f t="shared" si="29"/>
        <v>0</v>
      </c>
      <c r="AC366" s="44" t="s">
        <v>1542</v>
      </c>
      <c r="AD366" s="44" t="s">
        <v>1542</v>
      </c>
      <c r="AE366" s="44" t="s">
        <v>1542</v>
      </c>
      <c r="AF366" s="44" t="s">
        <v>1542</v>
      </c>
      <c r="AG366" s="44" t="s">
        <v>1542</v>
      </c>
      <c r="AH366" s="44" t="s">
        <v>1542</v>
      </c>
      <c r="AI366" s="44" t="s">
        <v>1542</v>
      </c>
      <c r="AJ366" s="44" t="s">
        <v>1542</v>
      </c>
      <c r="AK366" s="44" t="s">
        <v>1542</v>
      </c>
      <c r="AL366" s="44" t="s">
        <v>1542</v>
      </c>
      <c r="AM366" s="44" t="s">
        <v>1542</v>
      </c>
      <c r="AN366" s="44" t="s">
        <v>1542</v>
      </c>
      <c r="AO366" s="46">
        <f t="shared" si="25"/>
        <v>0</v>
      </c>
      <c r="AP366" s="43" t="s">
        <v>1542</v>
      </c>
      <c r="AQ366" s="43" t="s">
        <v>1542</v>
      </c>
      <c r="AR366" s="43" t="s">
        <v>1542</v>
      </c>
      <c r="AS366" s="43" t="s">
        <v>1542</v>
      </c>
      <c r="AT366" s="43" t="s">
        <v>1542</v>
      </c>
      <c r="AU366" s="43" t="s">
        <v>1542</v>
      </c>
      <c r="AV366" s="43" t="s">
        <v>1542</v>
      </c>
      <c r="AW366" s="43" t="s">
        <v>1542</v>
      </c>
      <c r="AX366" s="43" t="s">
        <v>1542</v>
      </c>
      <c r="AY366" s="43" t="s">
        <v>1542</v>
      </c>
      <c r="AZ366" s="43" t="s">
        <v>1542</v>
      </c>
      <c r="BA366" s="43" t="s">
        <v>1542</v>
      </c>
      <c r="BB366" s="46">
        <f t="shared" si="26"/>
        <v>0</v>
      </c>
      <c r="BC366" s="44" t="s">
        <v>1542</v>
      </c>
      <c r="BD366" s="44" t="s">
        <v>1542</v>
      </c>
      <c r="BE366" s="44" t="s">
        <v>1542</v>
      </c>
      <c r="BF366" s="44" t="s">
        <v>1542</v>
      </c>
      <c r="BG366" s="44" t="s">
        <v>1542</v>
      </c>
      <c r="BH366" s="44" t="s">
        <v>1542</v>
      </c>
      <c r="BI366" s="44" t="s">
        <v>1542</v>
      </c>
      <c r="BJ366" s="44" t="s">
        <v>1542</v>
      </c>
      <c r="BK366" s="44" t="s">
        <v>1542</v>
      </c>
      <c r="BL366" s="44" t="s">
        <v>1542</v>
      </c>
      <c r="BM366" s="44" t="s">
        <v>1542</v>
      </c>
      <c r="BN366" s="44" t="s">
        <v>1542</v>
      </c>
      <c r="BO366" s="46">
        <f t="shared" si="27"/>
        <v>0</v>
      </c>
      <c r="BP366" s="43" t="s">
        <v>1542</v>
      </c>
      <c r="BQ366" s="43" t="s">
        <v>1542</v>
      </c>
      <c r="BR366" s="43" t="s">
        <v>1542</v>
      </c>
      <c r="BS366" s="43" t="s">
        <v>1542</v>
      </c>
      <c r="BT366" s="43" t="s">
        <v>1542</v>
      </c>
      <c r="BU366" s="43" t="s">
        <v>1542</v>
      </c>
      <c r="BV366" s="43" t="s">
        <v>1542</v>
      </c>
      <c r="BW366" s="43" t="s">
        <v>1542</v>
      </c>
      <c r="BX366" s="43" t="s">
        <v>1542</v>
      </c>
      <c r="BY366" s="43" t="s">
        <v>1542</v>
      </c>
      <c r="BZ366" s="43" t="s">
        <v>1542</v>
      </c>
      <c r="CA366" s="43" t="s">
        <v>1542</v>
      </c>
    </row>
    <row r="367" spans="1:79">
      <c r="A367">
        <v>366</v>
      </c>
      <c r="B367">
        <v>1</v>
      </c>
      <c r="C367" t="s">
        <v>1532</v>
      </c>
      <c r="D367" t="s">
        <v>1533</v>
      </c>
      <c r="E367" t="s">
        <v>3089</v>
      </c>
      <c r="F367" t="s">
        <v>3090</v>
      </c>
      <c r="G367" t="s">
        <v>3203</v>
      </c>
      <c r="H367" t="s">
        <v>3203</v>
      </c>
      <c r="J367" t="s">
        <v>3204</v>
      </c>
      <c r="K367" t="s">
        <v>3205</v>
      </c>
      <c r="L367" t="s">
        <v>1539</v>
      </c>
      <c r="M367" s="1" t="s">
        <v>3206</v>
      </c>
      <c r="N367" t="s">
        <v>3207</v>
      </c>
      <c r="O367" s="46">
        <f t="shared" si="28"/>
        <v>0</v>
      </c>
      <c r="P367" s="43" t="s">
        <v>1542</v>
      </c>
      <c r="Q367" s="43" t="s">
        <v>1542</v>
      </c>
      <c r="R367" s="43" t="s">
        <v>1542</v>
      </c>
      <c r="S367" s="43" t="s">
        <v>1542</v>
      </c>
      <c r="T367" s="43" t="s">
        <v>1542</v>
      </c>
      <c r="U367" s="43" t="s">
        <v>1542</v>
      </c>
      <c r="V367" s="43" t="s">
        <v>1542</v>
      </c>
      <c r="W367" s="43" t="s">
        <v>1542</v>
      </c>
      <c r="X367" s="43" t="s">
        <v>1542</v>
      </c>
      <c r="Y367" s="43" t="s">
        <v>1542</v>
      </c>
      <c r="Z367" s="43" t="s">
        <v>1542</v>
      </c>
      <c r="AA367" s="43" t="s">
        <v>1542</v>
      </c>
      <c r="AB367" s="46">
        <f t="shared" si="29"/>
        <v>0</v>
      </c>
      <c r="AC367" s="44" t="s">
        <v>1542</v>
      </c>
      <c r="AD367" s="44" t="s">
        <v>1542</v>
      </c>
      <c r="AE367" s="44" t="s">
        <v>1542</v>
      </c>
      <c r="AF367" s="44" t="s">
        <v>1542</v>
      </c>
      <c r="AG367" s="44" t="s">
        <v>1542</v>
      </c>
      <c r="AH367" s="44" t="s">
        <v>1542</v>
      </c>
      <c r="AI367" s="44" t="s">
        <v>1542</v>
      </c>
      <c r="AJ367" s="44" t="s">
        <v>1542</v>
      </c>
      <c r="AK367" s="44" t="s">
        <v>1542</v>
      </c>
      <c r="AL367" s="44" t="s">
        <v>1542</v>
      </c>
      <c r="AM367" s="44" t="s">
        <v>1542</v>
      </c>
      <c r="AN367" s="44" t="s">
        <v>1542</v>
      </c>
      <c r="AO367" s="46">
        <f t="shared" si="25"/>
        <v>0</v>
      </c>
      <c r="AP367" s="43" t="s">
        <v>1542</v>
      </c>
      <c r="AQ367" s="43" t="s">
        <v>1542</v>
      </c>
      <c r="AR367" s="43" t="s">
        <v>1542</v>
      </c>
      <c r="AS367" s="43" t="s">
        <v>1542</v>
      </c>
      <c r="AT367" s="43" t="s">
        <v>1542</v>
      </c>
      <c r="AU367" s="43" t="s">
        <v>1542</v>
      </c>
      <c r="AV367" s="43" t="s">
        <v>1542</v>
      </c>
      <c r="AW367" s="43" t="s">
        <v>1542</v>
      </c>
      <c r="AX367" s="43" t="s">
        <v>1542</v>
      </c>
      <c r="AY367" s="43" t="s">
        <v>1542</v>
      </c>
      <c r="AZ367" s="43" t="s">
        <v>1542</v>
      </c>
      <c r="BA367" s="43" t="s">
        <v>1542</v>
      </c>
      <c r="BB367" s="46">
        <f t="shared" si="26"/>
        <v>0</v>
      </c>
      <c r="BC367" s="44" t="s">
        <v>1554</v>
      </c>
      <c r="BD367" s="44" t="s">
        <v>1542</v>
      </c>
      <c r="BE367" s="44" t="s">
        <v>1542</v>
      </c>
      <c r="BF367" s="44" t="s">
        <v>1542</v>
      </c>
      <c r="BG367" s="44" t="s">
        <v>1542</v>
      </c>
      <c r="BH367" s="44" t="s">
        <v>1542</v>
      </c>
      <c r="BI367" s="44" t="s">
        <v>1542</v>
      </c>
      <c r="BJ367" s="44" t="s">
        <v>1542</v>
      </c>
      <c r="BK367" s="44" t="s">
        <v>1542</v>
      </c>
      <c r="BL367" s="44" t="s">
        <v>1542</v>
      </c>
      <c r="BM367" s="44" t="s">
        <v>1542</v>
      </c>
      <c r="BN367" s="44" t="s">
        <v>1542</v>
      </c>
      <c r="BO367" s="46">
        <f t="shared" si="27"/>
        <v>1</v>
      </c>
      <c r="BP367" s="43" t="s">
        <v>1542</v>
      </c>
      <c r="BQ367" s="43" t="s">
        <v>1542</v>
      </c>
      <c r="BR367" s="43" t="s">
        <v>1542</v>
      </c>
      <c r="BS367" s="43" t="s">
        <v>1542</v>
      </c>
      <c r="BT367" s="43" t="s">
        <v>1542</v>
      </c>
      <c r="BU367" s="43" t="s">
        <v>1542</v>
      </c>
      <c r="BV367" s="43" t="s">
        <v>1542</v>
      </c>
      <c r="BW367" s="43" t="s">
        <v>1542</v>
      </c>
      <c r="BX367" s="43" t="s">
        <v>1542</v>
      </c>
      <c r="BY367" s="43" t="s">
        <v>1542</v>
      </c>
      <c r="BZ367" s="43" t="s">
        <v>1542</v>
      </c>
      <c r="CA367" s="43" t="s">
        <v>1542</v>
      </c>
    </row>
    <row r="368" spans="1:79">
      <c r="A368">
        <v>367</v>
      </c>
      <c r="B368">
        <v>1</v>
      </c>
      <c r="C368" t="s">
        <v>1532</v>
      </c>
      <c r="D368" t="s">
        <v>1533</v>
      </c>
      <c r="E368" t="s">
        <v>3089</v>
      </c>
      <c r="F368" t="s">
        <v>3090</v>
      </c>
      <c r="G368" t="s">
        <v>3208</v>
      </c>
      <c r="H368" t="s">
        <v>3208</v>
      </c>
      <c r="J368" t="s">
        <v>3209</v>
      </c>
      <c r="K368" t="s">
        <v>3210</v>
      </c>
      <c r="M368" s="1" t="s">
        <v>3211</v>
      </c>
      <c r="N368" t="s">
        <v>3212</v>
      </c>
      <c r="O368" s="46">
        <f t="shared" si="28"/>
        <v>0</v>
      </c>
      <c r="P368" s="43" t="s">
        <v>1542</v>
      </c>
      <c r="Q368" s="43" t="s">
        <v>1542</v>
      </c>
      <c r="R368" s="43" t="s">
        <v>1542</v>
      </c>
      <c r="S368" s="43" t="s">
        <v>1542</v>
      </c>
      <c r="T368" s="43" t="s">
        <v>1542</v>
      </c>
      <c r="U368" s="43" t="s">
        <v>1542</v>
      </c>
      <c r="V368" s="43" t="s">
        <v>1542</v>
      </c>
      <c r="W368" s="43" t="s">
        <v>1542</v>
      </c>
      <c r="X368" s="43" t="s">
        <v>1542</v>
      </c>
      <c r="Y368" s="43" t="s">
        <v>1542</v>
      </c>
      <c r="Z368" s="43" t="s">
        <v>1542</v>
      </c>
      <c r="AA368" s="43" t="s">
        <v>1542</v>
      </c>
      <c r="AB368" s="46">
        <f t="shared" si="29"/>
        <v>0</v>
      </c>
      <c r="AC368" s="44" t="s">
        <v>1542</v>
      </c>
      <c r="AD368" s="44" t="s">
        <v>1542</v>
      </c>
      <c r="AE368" s="44" t="s">
        <v>1542</v>
      </c>
      <c r="AF368" s="44" t="s">
        <v>1542</v>
      </c>
      <c r="AG368" s="44" t="s">
        <v>1542</v>
      </c>
      <c r="AH368" s="44" t="s">
        <v>1542</v>
      </c>
      <c r="AI368" s="44" t="s">
        <v>1542</v>
      </c>
      <c r="AJ368" s="44" t="s">
        <v>1542</v>
      </c>
      <c r="AK368" s="44" t="s">
        <v>1542</v>
      </c>
      <c r="AL368" s="44" t="s">
        <v>1542</v>
      </c>
      <c r="AM368" s="44" t="s">
        <v>1542</v>
      </c>
      <c r="AN368" s="44" t="s">
        <v>1542</v>
      </c>
      <c r="AO368" s="46">
        <f t="shared" si="25"/>
        <v>0</v>
      </c>
      <c r="AP368" s="43" t="s">
        <v>1542</v>
      </c>
      <c r="AQ368" s="43" t="s">
        <v>1542</v>
      </c>
      <c r="AR368" s="43" t="s">
        <v>1542</v>
      </c>
      <c r="AS368" s="43" t="s">
        <v>1542</v>
      </c>
      <c r="AT368" s="43" t="s">
        <v>1542</v>
      </c>
      <c r="AU368" s="43" t="s">
        <v>1542</v>
      </c>
      <c r="AV368" s="43" t="s">
        <v>1542</v>
      </c>
      <c r="AW368" s="43" t="s">
        <v>1542</v>
      </c>
      <c r="AX368" s="43" t="s">
        <v>1542</v>
      </c>
      <c r="AY368" s="43" t="s">
        <v>1542</v>
      </c>
      <c r="AZ368" s="43" t="s">
        <v>1542</v>
      </c>
      <c r="BA368" s="43" t="s">
        <v>1542</v>
      </c>
      <c r="BB368" s="46">
        <f t="shared" si="26"/>
        <v>0</v>
      </c>
      <c r="BC368" s="44" t="s">
        <v>1542</v>
      </c>
      <c r="BD368" s="44" t="s">
        <v>1542</v>
      </c>
      <c r="BE368" s="44" t="s">
        <v>1542</v>
      </c>
      <c r="BF368" s="44" t="s">
        <v>1542</v>
      </c>
      <c r="BG368" s="44" t="s">
        <v>1554</v>
      </c>
      <c r="BH368" s="44" t="s">
        <v>1542</v>
      </c>
      <c r="BI368" s="44" t="s">
        <v>1542</v>
      </c>
      <c r="BJ368" s="44" t="s">
        <v>1542</v>
      </c>
      <c r="BK368" s="44" t="s">
        <v>1542</v>
      </c>
      <c r="BL368" s="44" t="s">
        <v>1542</v>
      </c>
      <c r="BM368" s="44" t="s">
        <v>1542</v>
      </c>
      <c r="BN368" s="44" t="s">
        <v>1542</v>
      </c>
      <c r="BO368" s="46">
        <f t="shared" si="27"/>
        <v>1</v>
      </c>
      <c r="BP368" s="43" t="s">
        <v>1542</v>
      </c>
      <c r="BQ368" s="43" t="s">
        <v>1542</v>
      </c>
      <c r="BR368" s="43" t="s">
        <v>1542</v>
      </c>
      <c r="BS368" s="43" t="s">
        <v>1542</v>
      </c>
      <c r="BT368" s="43" t="s">
        <v>1542</v>
      </c>
      <c r="BU368" s="43" t="s">
        <v>1542</v>
      </c>
      <c r="BV368" s="43" t="s">
        <v>1542</v>
      </c>
      <c r="BW368" s="43" t="s">
        <v>1542</v>
      </c>
      <c r="BX368" s="43" t="s">
        <v>1542</v>
      </c>
      <c r="BY368" s="43" t="s">
        <v>1542</v>
      </c>
      <c r="BZ368" s="43" t="s">
        <v>1542</v>
      </c>
      <c r="CA368" s="43" t="s">
        <v>1542</v>
      </c>
    </row>
    <row r="369" spans="1:79">
      <c r="A369">
        <v>368</v>
      </c>
      <c r="B369">
        <v>1</v>
      </c>
      <c r="C369" t="s">
        <v>1532</v>
      </c>
      <c r="D369" t="s">
        <v>1533</v>
      </c>
      <c r="E369" t="s">
        <v>3089</v>
      </c>
      <c r="F369" t="s">
        <v>3090</v>
      </c>
      <c r="G369" t="s">
        <v>3213</v>
      </c>
      <c r="H369" t="s">
        <v>3213</v>
      </c>
      <c r="J369" t="s">
        <v>3214</v>
      </c>
      <c r="K369" t="s">
        <v>3215</v>
      </c>
      <c r="M369" s="1" t="s">
        <v>3216</v>
      </c>
      <c r="O369" s="46">
        <f t="shared" si="28"/>
        <v>0</v>
      </c>
      <c r="P369" s="43" t="s">
        <v>1542</v>
      </c>
      <c r="Q369" s="43" t="s">
        <v>1542</v>
      </c>
      <c r="R369" s="43" t="s">
        <v>1542</v>
      </c>
      <c r="S369" s="43" t="s">
        <v>1542</v>
      </c>
      <c r="T369" s="43" t="s">
        <v>1542</v>
      </c>
      <c r="U369" s="43" t="s">
        <v>1542</v>
      </c>
      <c r="V369" s="43" t="s">
        <v>1542</v>
      </c>
      <c r="W369" s="43" t="s">
        <v>1542</v>
      </c>
      <c r="X369" s="43" t="s">
        <v>1542</v>
      </c>
      <c r="Y369" s="43" t="s">
        <v>1542</v>
      </c>
      <c r="Z369" s="43" t="s">
        <v>1542</v>
      </c>
      <c r="AA369" s="43" t="s">
        <v>1542</v>
      </c>
      <c r="AB369" s="46">
        <f t="shared" si="29"/>
        <v>0</v>
      </c>
      <c r="AC369" s="44" t="s">
        <v>1542</v>
      </c>
      <c r="AD369" s="44" t="s">
        <v>1542</v>
      </c>
      <c r="AE369" s="44" t="s">
        <v>1542</v>
      </c>
      <c r="AF369" s="44" t="s">
        <v>1542</v>
      </c>
      <c r="AG369" s="44" t="s">
        <v>1542</v>
      </c>
      <c r="AH369" s="44" t="s">
        <v>1542</v>
      </c>
      <c r="AI369" s="44" t="s">
        <v>1542</v>
      </c>
      <c r="AJ369" s="44" t="s">
        <v>1542</v>
      </c>
      <c r="AK369" s="44" t="s">
        <v>1542</v>
      </c>
      <c r="AL369" s="44" t="s">
        <v>1542</v>
      </c>
      <c r="AM369" s="44" t="s">
        <v>1542</v>
      </c>
      <c r="AN369" s="44" t="s">
        <v>1542</v>
      </c>
      <c r="AO369" s="46">
        <f t="shared" si="25"/>
        <v>0</v>
      </c>
      <c r="AP369" s="43" t="s">
        <v>1542</v>
      </c>
      <c r="AQ369" s="43" t="s">
        <v>1542</v>
      </c>
      <c r="AR369" s="43" t="s">
        <v>1542</v>
      </c>
      <c r="AS369" s="43" t="s">
        <v>1542</v>
      </c>
      <c r="AT369" s="43" t="s">
        <v>1542</v>
      </c>
      <c r="AU369" s="43" t="s">
        <v>1542</v>
      </c>
      <c r="AV369" s="43" t="s">
        <v>1542</v>
      </c>
      <c r="AW369" s="43" t="s">
        <v>1542</v>
      </c>
      <c r="AX369" s="43" t="s">
        <v>1542</v>
      </c>
      <c r="AY369" s="43" t="s">
        <v>1542</v>
      </c>
      <c r="AZ369" s="43" t="s">
        <v>1542</v>
      </c>
      <c r="BA369" s="43" t="s">
        <v>1542</v>
      </c>
      <c r="BB369" s="46">
        <f t="shared" si="26"/>
        <v>0</v>
      </c>
      <c r="BC369" s="44" t="s">
        <v>1542</v>
      </c>
      <c r="BD369" s="44" t="s">
        <v>1542</v>
      </c>
      <c r="BE369" s="44" t="s">
        <v>1542</v>
      </c>
      <c r="BF369" s="44" t="s">
        <v>1542</v>
      </c>
      <c r="BG369" s="44" t="s">
        <v>1542</v>
      </c>
      <c r="BH369" s="44" t="s">
        <v>1542</v>
      </c>
      <c r="BI369" s="44" t="s">
        <v>1542</v>
      </c>
      <c r="BJ369" s="44" t="s">
        <v>1542</v>
      </c>
      <c r="BK369" s="44" t="s">
        <v>1542</v>
      </c>
      <c r="BL369" s="44" t="s">
        <v>1542</v>
      </c>
      <c r="BM369" s="44" t="s">
        <v>1542</v>
      </c>
      <c r="BN369" s="44" t="s">
        <v>1542</v>
      </c>
      <c r="BO369" s="46">
        <f t="shared" si="27"/>
        <v>0</v>
      </c>
      <c r="BP369" s="43" t="s">
        <v>1542</v>
      </c>
      <c r="BQ369" s="43" t="s">
        <v>1542</v>
      </c>
      <c r="BR369" s="43" t="s">
        <v>1542</v>
      </c>
      <c r="BS369" s="43" t="s">
        <v>1542</v>
      </c>
      <c r="BT369" s="43" t="s">
        <v>1542</v>
      </c>
      <c r="BU369" s="43" t="s">
        <v>1542</v>
      </c>
      <c r="BV369" s="43" t="s">
        <v>1542</v>
      </c>
      <c r="BW369" s="43" t="s">
        <v>1542</v>
      </c>
      <c r="BX369" s="43" t="s">
        <v>1542</v>
      </c>
      <c r="BY369" s="43" t="s">
        <v>1542</v>
      </c>
      <c r="BZ369" s="43" t="s">
        <v>1542</v>
      </c>
      <c r="CA369" s="43" t="s">
        <v>1542</v>
      </c>
    </row>
    <row r="370" spans="1:79">
      <c r="A370">
        <v>369</v>
      </c>
      <c r="B370">
        <v>1</v>
      </c>
      <c r="C370" t="s">
        <v>1532</v>
      </c>
      <c r="D370" t="s">
        <v>1533</v>
      </c>
      <c r="E370" t="s">
        <v>3089</v>
      </c>
      <c r="F370" t="s">
        <v>3090</v>
      </c>
      <c r="G370" t="s">
        <v>3217</v>
      </c>
      <c r="H370" t="s">
        <v>3217</v>
      </c>
      <c r="J370" t="s">
        <v>3218</v>
      </c>
      <c r="K370" t="s">
        <v>3219</v>
      </c>
      <c r="M370" s="1" t="s">
        <v>3220</v>
      </c>
      <c r="O370" s="46">
        <f t="shared" si="28"/>
        <v>0</v>
      </c>
      <c r="P370" s="43" t="s">
        <v>1542</v>
      </c>
      <c r="Q370" s="43" t="s">
        <v>1542</v>
      </c>
      <c r="R370" s="43" t="s">
        <v>1542</v>
      </c>
      <c r="S370" s="43" t="s">
        <v>1542</v>
      </c>
      <c r="T370" s="43" t="s">
        <v>1542</v>
      </c>
      <c r="U370" s="43" t="s">
        <v>1542</v>
      </c>
      <c r="V370" s="43" t="s">
        <v>1542</v>
      </c>
      <c r="W370" s="43" t="s">
        <v>1542</v>
      </c>
      <c r="X370" s="43" t="s">
        <v>1542</v>
      </c>
      <c r="Y370" s="43" t="s">
        <v>1542</v>
      </c>
      <c r="Z370" s="43" t="s">
        <v>1542</v>
      </c>
      <c r="AA370" s="43" t="s">
        <v>1542</v>
      </c>
      <c r="AB370" s="46">
        <f t="shared" si="29"/>
        <v>0</v>
      </c>
      <c r="AC370" s="44" t="s">
        <v>1542</v>
      </c>
      <c r="AD370" s="44" t="s">
        <v>1542</v>
      </c>
      <c r="AE370" s="44" t="s">
        <v>1542</v>
      </c>
      <c r="AF370" s="44" t="s">
        <v>1542</v>
      </c>
      <c r="AG370" s="44" t="s">
        <v>1542</v>
      </c>
      <c r="AH370" s="44" t="s">
        <v>1542</v>
      </c>
      <c r="AI370" s="44" t="s">
        <v>1542</v>
      </c>
      <c r="AJ370" s="44" t="s">
        <v>1542</v>
      </c>
      <c r="AK370" s="44" t="s">
        <v>1542</v>
      </c>
      <c r="AL370" s="44" t="s">
        <v>1542</v>
      </c>
      <c r="AM370" s="44" t="s">
        <v>1542</v>
      </c>
      <c r="AN370" s="44" t="s">
        <v>1542</v>
      </c>
      <c r="AO370" s="46">
        <f t="shared" si="25"/>
        <v>0</v>
      </c>
      <c r="AP370" s="43" t="s">
        <v>1542</v>
      </c>
      <c r="AQ370" s="43" t="s">
        <v>1542</v>
      </c>
      <c r="AR370" s="43" t="s">
        <v>1542</v>
      </c>
      <c r="AS370" s="43" t="s">
        <v>1542</v>
      </c>
      <c r="AT370" s="43" t="s">
        <v>1542</v>
      </c>
      <c r="AU370" s="43" t="s">
        <v>1542</v>
      </c>
      <c r="AV370" s="43" t="s">
        <v>1542</v>
      </c>
      <c r="AW370" s="43" t="s">
        <v>1542</v>
      </c>
      <c r="AX370" s="43" t="s">
        <v>1542</v>
      </c>
      <c r="AY370" s="43" t="s">
        <v>1542</v>
      </c>
      <c r="AZ370" s="43" t="s">
        <v>1542</v>
      </c>
      <c r="BA370" s="43" t="s">
        <v>1542</v>
      </c>
      <c r="BB370" s="46">
        <f t="shared" si="26"/>
        <v>0</v>
      </c>
      <c r="BC370" s="44" t="s">
        <v>1542</v>
      </c>
      <c r="BD370" s="44" t="s">
        <v>1542</v>
      </c>
      <c r="BE370" s="44" t="s">
        <v>1542</v>
      </c>
      <c r="BF370" s="44" t="s">
        <v>1542</v>
      </c>
      <c r="BG370" s="44" t="s">
        <v>1542</v>
      </c>
      <c r="BH370" s="44" t="s">
        <v>1542</v>
      </c>
      <c r="BI370" s="44" t="s">
        <v>1542</v>
      </c>
      <c r="BJ370" s="44" t="s">
        <v>1542</v>
      </c>
      <c r="BK370" s="44" t="s">
        <v>1542</v>
      </c>
      <c r="BL370" s="44" t="s">
        <v>1542</v>
      </c>
      <c r="BM370" s="44" t="s">
        <v>1542</v>
      </c>
      <c r="BN370" s="44" t="s">
        <v>1542</v>
      </c>
      <c r="BO370" s="46">
        <f t="shared" si="27"/>
        <v>0</v>
      </c>
      <c r="BP370" s="43" t="s">
        <v>1542</v>
      </c>
      <c r="BQ370" s="43" t="s">
        <v>1542</v>
      </c>
      <c r="BR370" s="43" t="s">
        <v>1542</v>
      </c>
      <c r="BS370" s="43" t="s">
        <v>1542</v>
      </c>
      <c r="BT370" s="43" t="s">
        <v>1542</v>
      </c>
      <c r="BU370" s="43" t="s">
        <v>1542</v>
      </c>
      <c r="BV370" s="43" t="s">
        <v>1542</v>
      </c>
      <c r="BW370" s="43" t="s">
        <v>1542</v>
      </c>
      <c r="BX370" s="43" t="s">
        <v>1542</v>
      </c>
      <c r="BY370" s="43" t="s">
        <v>1542</v>
      </c>
      <c r="BZ370" s="43" t="s">
        <v>1542</v>
      </c>
      <c r="CA370" s="43" t="s">
        <v>1542</v>
      </c>
    </row>
    <row r="371" spans="1:79">
      <c r="A371">
        <v>370</v>
      </c>
      <c r="B371">
        <v>1</v>
      </c>
      <c r="C371" t="s">
        <v>2935</v>
      </c>
      <c r="D371" t="s">
        <v>2936</v>
      </c>
      <c r="E371" t="s">
        <v>3221</v>
      </c>
      <c r="F371" t="s">
        <v>3222</v>
      </c>
      <c r="G371" t="s">
        <v>3223</v>
      </c>
      <c r="H371" t="s">
        <v>3223</v>
      </c>
      <c r="J371" t="s">
        <v>3224</v>
      </c>
      <c r="K371" t="s">
        <v>3225</v>
      </c>
      <c r="M371" s="1" t="s">
        <v>3226</v>
      </c>
      <c r="O371" s="46">
        <f t="shared" si="28"/>
        <v>0</v>
      </c>
      <c r="P371" s="43" t="s">
        <v>1542</v>
      </c>
      <c r="Q371" s="43" t="s">
        <v>1542</v>
      </c>
      <c r="R371" s="43" t="s">
        <v>1542</v>
      </c>
      <c r="S371" s="43" t="s">
        <v>1542</v>
      </c>
      <c r="T371" s="43" t="s">
        <v>1542</v>
      </c>
      <c r="U371" s="43" t="s">
        <v>1542</v>
      </c>
      <c r="V371" s="43" t="s">
        <v>1542</v>
      </c>
      <c r="W371" s="43" t="s">
        <v>1542</v>
      </c>
      <c r="X371" s="43" t="s">
        <v>1542</v>
      </c>
      <c r="Y371" s="43" t="s">
        <v>1542</v>
      </c>
      <c r="Z371" s="43" t="s">
        <v>1542</v>
      </c>
      <c r="AA371" s="43" t="s">
        <v>1542</v>
      </c>
      <c r="AB371" s="46">
        <f t="shared" si="29"/>
        <v>0</v>
      </c>
      <c r="AC371" s="44" t="s">
        <v>1542</v>
      </c>
      <c r="AD371" s="44" t="s">
        <v>1542</v>
      </c>
      <c r="AE371" s="44" t="s">
        <v>1542</v>
      </c>
      <c r="AF371" s="44" t="s">
        <v>1542</v>
      </c>
      <c r="AG371" s="44" t="s">
        <v>1542</v>
      </c>
      <c r="AH371" s="44" t="s">
        <v>1542</v>
      </c>
      <c r="AI371" s="44" t="s">
        <v>1542</v>
      </c>
      <c r="AJ371" s="44" t="s">
        <v>1542</v>
      </c>
      <c r="AK371" s="44" t="s">
        <v>1542</v>
      </c>
      <c r="AL371" s="44" t="s">
        <v>1542</v>
      </c>
      <c r="AM371" s="44" t="s">
        <v>1542</v>
      </c>
      <c r="AN371" s="44" t="s">
        <v>1542</v>
      </c>
      <c r="AO371" s="46">
        <f t="shared" si="25"/>
        <v>0</v>
      </c>
      <c r="AP371" s="43" t="s">
        <v>1542</v>
      </c>
      <c r="AQ371" s="43" t="s">
        <v>1542</v>
      </c>
      <c r="AR371" s="43" t="s">
        <v>1542</v>
      </c>
      <c r="AS371" s="43" t="s">
        <v>1542</v>
      </c>
      <c r="AT371" s="43" t="s">
        <v>1542</v>
      </c>
      <c r="AU371" s="43" t="s">
        <v>1542</v>
      </c>
      <c r="AV371" s="43" t="s">
        <v>1542</v>
      </c>
      <c r="AW371" s="43" t="s">
        <v>1542</v>
      </c>
      <c r="AX371" s="43" t="s">
        <v>1542</v>
      </c>
      <c r="AY371" s="43" t="s">
        <v>1542</v>
      </c>
      <c r="AZ371" s="43" t="s">
        <v>1542</v>
      </c>
      <c r="BA371" s="43" t="s">
        <v>1542</v>
      </c>
      <c r="BB371" s="46">
        <f t="shared" si="26"/>
        <v>0</v>
      </c>
      <c r="BC371" s="44" t="s">
        <v>1542</v>
      </c>
      <c r="BD371" s="44" t="s">
        <v>1542</v>
      </c>
      <c r="BE371" s="44" t="s">
        <v>1542</v>
      </c>
      <c r="BF371" s="44" t="s">
        <v>1542</v>
      </c>
      <c r="BG371" s="44" t="s">
        <v>1542</v>
      </c>
      <c r="BH371" s="44" t="s">
        <v>1542</v>
      </c>
      <c r="BI371" s="44" t="s">
        <v>1542</v>
      </c>
      <c r="BJ371" s="44" t="s">
        <v>1542</v>
      </c>
      <c r="BK371" s="44" t="s">
        <v>1542</v>
      </c>
      <c r="BL371" s="44" t="s">
        <v>1542</v>
      </c>
      <c r="BM371" s="44" t="s">
        <v>1542</v>
      </c>
      <c r="BN371" s="44" t="s">
        <v>1542</v>
      </c>
      <c r="BO371" s="46">
        <f t="shared" si="27"/>
        <v>0</v>
      </c>
      <c r="BP371" s="43" t="s">
        <v>1542</v>
      </c>
      <c r="BQ371" s="43" t="s">
        <v>1542</v>
      </c>
      <c r="BR371" s="43" t="s">
        <v>1542</v>
      </c>
      <c r="BS371" s="43" t="s">
        <v>1542</v>
      </c>
      <c r="BT371" s="43" t="s">
        <v>1542</v>
      </c>
      <c r="BU371" s="43" t="s">
        <v>1542</v>
      </c>
      <c r="BV371" s="43" t="s">
        <v>1542</v>
      </c>
      <c r="BW371" s="43" t="s">
        <v>1542</v>
      </c>
      <c r="BX371" s="43" t="s">
        <v>1542</v>
      </c>
      <c r="BY371" s="43" t="s">
        <v>1542</v>
      </c>
      <c r="BZ371" s="43" t="s">
        <v>1542</v>
      </c>
      <c r="CA371" s="43" t="s">
        <v>1542</v>
      </c>
    </row>
    <row r="372" spans="1:79">
      <c r="A372">
        <v>371</v>
      </c>
      <c r="B372" t="s">
        <v>1543</v>
      </c>
      <c r="C372" t="s">
        <v>2935</v>
      </c>
      <c r="D372" t="s">
        <v>2936</v>
      </c>
      <c r="E372" t="s">
        <v>3221</v>
      </c>
      <c r="F372" t="s">
        <v>3222</v>
      </c>
      <c r="G372" t="s">
        <v>3227</v>
      </c>
      <c r="H372" t="s">
        <v>3227</v>
      </c>
      <c r="J372" t="s">
        <v>3228</v>
      </c>
      <c r="K372" t="s">
        <v>3229</v>
      </c>
      <c r="M372" s="1" t="s">
        <v>3230</v>
      </c>
      <c r="N372" t="s">
        <v>3231</v>
      </c>
      <c r="O372" s="46">
        <f t="shared" si="28"/>
        <v>0</v>
      </c>
      <c r="P372" s="43"/>
      <c r="Q372" s="43"/>
      <c r="R372" s="43"/>
      <c r="S372" s="43"/>
      <c r="T372" s="43"/>
      <c r="U372" s="43"/>
      <c r="V372" s="43"/>
      <c r="W372" s="43"/>
      <c r="X372" s="43"/>
      <c r="Y372" s="43"/>
      <c r="Z372" s="43"/>
      <c r="AA372" s="43"/>
      <c r="AB372" s="46">
        <f t="shared" si="29"/>
        <v>0</v>
      </c>
      <c r="AC372" s="44" t="s">
        <v>1542</v>
      </c>
      <c r="AD372" s="44" t="s">
        <v>1542</v>
      </c>
      <c r="AE372" s="44" t="s">
        <v>1542</v>
      </c>
      <c r="AF372" s="44" t="s">
        <v>1542</v>
      </c>
      <c r="AG372" s="44"/>
      <c r="AH372" s="44"/>
      <c r="AI372" s="44"/>
      <c r="AJ372" s="44"/>
      <c r="AK372" s="44"/>
      <c r="AL372" s="44"/>
      <c r="AM372" s="44"/>
      <c r="AN372" s="44"/>
      <c r="AO372" s="46">
        <f t="shared" si="25"/>
        <v>0</v>
      </c>
      <c r="AP372" s="43" t="s">
        <v>1542</v>
      </c>
      <c r="AQ372" s="43" t="s">
        <v>1542</v>
      </c>
      <c r="AR372" s="43" t="s">
        <v>1542</v>
      </c>
      <c r="AS372" s="43" t="s">
        <v>1542</v>
      </c>
      <c r="AT372" s="43" t="s">
        <v>1542</v>
      </c>
      <c r="AU372" s="43" t="s">
        <v>1542</v>
      </c>
      <c r="AV372" s="43" t="s">
        <v>1542</v>
      </c>
      <c r="AW372" s="43" t="s">
        <v>1542</v>
      </c>
      <c r="AX372" s="43" t="s">
        <v>1542</v>
      </c>
      <c r="AY372" s="43" t="s">
        <v>1542</v>
      </c>
      <c r="AZ372" s="43" t="s">
        <v>1542</v>
      </c>
      <c r="BA372" s="43" t="s">
        <v>1542</v>
      </c>
      <c r="BB372" s="46">
        <f t="shared" si="26"/>
        <v>0</v>
      </c>
      <c r="BC372" s="44" t="s">
        <v>1542</v>
      </c>
      <c r="BD372" s="44" t="s">
        <v>1542</v>
      </c>
      <c r="BE372" s="44" t="s">
        <v>1542</v>
      </c>
      <c r="BF372" s="44" t="s">
        <v>1542</v>
      </c>
      <c r="BG372" s="44" t="s">
        <v>1542</v>
      </c>
      <c r="BH372" s="44" t="s">
        <v>1542</v>
      </c>
      <c r="BI372" s="44" t="s">
        <v>1542</v>
      </c>
      <c r="BJ372" s="44" t="s">
        <v>1542</v>
      </c>
      <c r="BK372" s="44" t="s">
        <v>1542</v>
      </c>
      <c r="BL372" s="44" t="s">
        <v>1542</v>
      </c>
      <c r="BM372" s="44" t="s">
        <v>1542</v>
      </c>
      <c r="BN372" s="44" t="s">
        <v>1542</v>
      </c>
      <c r="BO372" s="46">
        <f t="shared" si="27"/>
        <v>0</v>
      </c>
      <c r="BP372" s="43" t="s">
        <v>1542</v>
      </c>
      <c r="BQ372" s="43" t="s">
        <v>1542</v>
      </c>
      <c r="BR372" s="43" t="s">
        <v>1542</v>
      </c>
      <c r="BS372" s="43" t="s">
        <v>1542</v>
      </c>
      <c r="BT372" s="43" t="s">
        <v>1542</v>
      </c>
      <c r="BU372" s="43" t="s">
        <v>1542</v>
      </c>
      <c r="BV372" s="43" t="s">
        <v>1542</v>
      </c>
      <c r="BW372" s="43" t="s">
        <v>1542</v>
      </c>
      <c r="BX372" s="43" t="s">
        <v>1554</v>
      </c>
      <c r="BY372" s="43" t="s">
        <v>1554</v>
      </c>
      <c r="BZ372" s="43" t="s">
        <v>1542</v>
      </c>
      <c r="CA372" s="43" t="s">
        <v>1542</v>
      </c>
    </row>
    <row r="373" spans="1:79">
      <c r="A373">
        <v>372</v>
      </c>
      <c r="B373">
        <v>1</v>
      </c>
      <c r="C373" t="s">
        <v>2935</v>
      </c>
      <c r="D373" t="s">
        <v>2936</v>
      </c>
      <c r="E373" t="s">
        <v>3221</v>
      </c>
      <c r="F373" t="s">
        <v>3222</v>
      </c>
      <c r="G373" t="s">
        <v>3232</v>
      </c>
      <c r="H373" t="s">
        <v>3232</v>
      </c>
      <c r="J373" t="s">
        <v>3233</v>
      </c>
      <c r="K373" t="s">
        <v>3234</v>
      </c>
      <c r="M373" s="1" t="s">
        <v>3235</v>
      </c>
      <c r="N373" t="s">
        <v>2878</v>
      </c>
      <c r="O373" s="46">
        <f t="shared" si="28"/>
        <v>0</v>
      </c>
      <c r="P373" s="43" t="s">
        <v>1542</v>
      </c>
      <c r="Q373" s="43" t="s">
        <v>1542</v>
      </c>
      <c r="R373" s="43" t="s">
        <v>1542</v>
      </c>
      <c r="S373" s="43" t="s">
        <v>1542</v>
      </c>
      <c r="T373" s="43" t="s">
        <v>1542</v>
      </c>
      <c r="U373" s="43" t="s">
        <v>1542</v>
      </c>
      <c r="V373" s="43" t="s">
        <v>1542</v>
      </c>
      <c r="W373" s="43" t="s">
        <v>1542</v>
      </c>
      <c r="X373" s="43" t="s">
        <v>1542</v>
      </c>
      <c r="Y373" s="43" t="s">
        <v>1542</v>
      </c>
      <c r="Z373" s="43" t="s">
        <v>1542</v>
      </c>
      <c r="AA373" s="43" t="s">
        <v>1542</v>
      </c>
      <c r="AB373" s="46">
        <f t="shared" si="29"/>
        <v>0</v>
      </c>
      <c r="AC373" s="44" t="s">
        <v>1542</v>
      </c>
      <c r="AD373" s="44" t="s">
        <v>1542</v>
      </c>
      <c r="AE373" s="44" t="s">
        <v>1542</v>
      </c>
      <c r="AF373" s="44" t="s">
        <v>1542</v>
      </c>
      <c r="AG373" s="44" t="s">
        <v>1542</v>
      </c>
      <c r="AH373" s="44" t="s">
        <v>1542</v>
      </c>
      <c r="AI373" s="44" t="s">
        <v>1542</v>
      </c>
      <c r="AJ373" s="44" t="s">
        <v>1542</v>
      </c>
      <c r="AK373" s="44" t="s">
        <v>1542</v>
      </c>
      <c r="AL373" s="44" t="s">
        <v>1542</v>
      </c>
      <c r="AM373" s="44" t="s">
        <v>1542</v>
      </c>
      <c r="AN373" s="44" t="s">
        <v>1542</v>
      </c>
      <c r="AO373" s="46">
        <f t="shared" si="25"/>
        <v>0</v>
      </c>
      <c r="AP373" s="43" t="s">
        <v>1542</v>
      </c>
      <c r="AQ373" s="43" t="s">
        <v>1542</v>
      </c>
      <c r="AR373" s="43" t="s">
        <v>1542</v>
      </c>
      <c r="AS373" s="43" t="s">
        <v>1542</v>
      </c>
      <c r="AT373" s="43" t="s">
        <v>1542</v>
      </c>
      <c r="AU373" s="43" t="s">
        <v>1542</v>
      </c>
      <c r="AV373" s="43" t="s">
        <v>1542</v>
      </c>
      <c r="AW373" s="43" t="s">
        <v>1542</v>
      </c>
      <c r="AX373" s="43" t="s">
        <v>1542</v>
      </c>
      <c r="AY373" s="43" t="s">
        <v>1542</v>
      </c>
      <c r="AZ373" s="43" t="s">
        <v>1542</v>
      </c>
      <c r="BA373" s="43" t="s">
        <v>1542</v>
      </c>
      <c r="BB373" s="46">
        <f t="shared" si="26"/>
        <v>0</v>
      </c>
      <c r="BC373" s="44" t="s">
        <v>1542</v>
      </c>
      <c r="BD373" s="44" t="s">
        <v>1542</v>
      </c>
      <c r="BE373" s="44" t="s">
        <v>1542</v>
      </c>
      <c r="BF373" s="44" t="s">
        <v>1542</v>
      </c>
      <c r="BG373" s="44" t="s">
        <v>1542</v>
      </c>
      <c r="BH373" s="44" t="s">
        <v>1542</v>
      </c>
      <c r="BI373" s="44" t="s">
        <v>1542</v>
      </c>
      <c r="BJ373" s="44" t="s">
        <v>1542</v>
      </c>
      <c r="BK373" s="44" t="s">
        <v>1542</v>
      </c>
      <c r="BL373" s="44" t="s">
        <v>1542</v>
      </c>
      <c r="BM373" s="44" t="s">
        <v>1542</v>
      </c>
      <c r="BN373" s="44" t="s">
        <v>1542</v>
      </c>
      <c r="BO373" s="46">
        <f t="shared" si="27"/>
        <v>0</v>
      </c>
      <c r="BP373" s="43" t="s">
        <v>1542</v>
      </c>
      <c r="BQ373" s="43" t="s">
        <v>1542</v>
      </c>
      <c r="BR373" s="43" t="s">
        <v>1542</v>
      </c>
      <c r="BS373" s="43" t="s">
        <v>1542</v>
      </c>
      <c r="BT373" s="43" t="s">
        <v>1542</v>
      </c>
      <c r="BU373" s="43" t="s">
        <v>1542</v>
      </c>
      <c r="BV373" s="43" t="s">
        <v>1542</v>
      </c>
      <c r="BW373" s="43" t="s">
        <v>1542</v>
      </c>
      <c r="BX373" s="43" t="s">
        <v>1542</v>
      </c>
      <c r="BY373" s="43" t="s">
        <v>1542</v>
      </c>
      <c r="BZ373" s="43" t="s">
        <v>1542</v>
      </c>
      <c r="CA373" s="43" t="s">
        <v>1542</v>
      </c>
    </row>
    <row r="374" spans="1:79">
      <c r="A374">
        <v>373</v>
      </c>
      <c r="B374">
        <v>1</v>
      </c>
      <c r="C374" t="s">
        <v>2935</v>
      </c>
      <c r="D374" t="s">
        <v>2936</v>
      </c>
      <c r="E374" t="s">
        <v>3221</v>
      </c>
      <c r="F374" t="s">
        <v>3222</v>
      </c>
      <c r="G374" t="s">
        <v>3236</v>
      </c>
      <c r="H374" t="s">
        <v>3236</v>
      </c>
      <c r="J374" t="s">
        <v>3237</v>
      </c>
      <c r="K374" t="s">
        <v>3238</v>
      </c>
      <c r="M374" s="1" t="s">
        <v>3239</v>
      </c>
      <c r="N374" t="s">
        <v>3240</v>
      </c>
      <c r="O374" s="46">
        <f t="shared" si="28"/>
        <v>0</v>
      </c>
      <c r="P374" s="43" t="s">
        <v>1542</v>
      </c>
      <c r="Q374" s="43" t="s">
        <v>1542</v>
      </c>
      <c r="R374" s="43" t="s">
        <v>1542</v>
      </c>
      <c r="S374" s="43" t="s">
        <v>1542</v>
      </c>
      <c r="T374" s="43" t="s">
        <v>1542</v>
      </c>
      <c r="U374" s="43" t="s">
        <v>1542</v>
      </c>
      <c r="V374" s="43" t="s">
        <v>1542</v>
      </c>
      <c r="W374" s="43" t="s">
        <v>1542</v>
      </c>
      <c r="X374" s="43" t="s">
        <v>1542</v>
      </c>
      <c r="Y374" s="43" t="s">
        <v>1542</v>
      </c>
      <c r="Z374" s="43" t="s">
        <v>1542</v>
      </c>
      <c r="AA374" s="43" t="s">
        <v>1542</v>
      </c>
      <c r="AB374" s="46">
        <f t="shared" si="29"/>
        <v>1</v>
      </c>
      <c r="AC374" s="44" t="s">
        <v>1542</v>
      </c>
      <c r="AD374" s="44" t="s">
        <v>1542</v>
      </c>
      <c r="AE374" s="44" t="s">
        <v>1554</v>
      </c>
      <c r="AF374" s="44" t="s">
        <v>1542</v>
      </c>
      <c r="AG374" s="44" t="s">
        <v>1542</v>
      </c>
      <c r="AH374" s="44" t="s">
        <v>1542</v>
      </c>
      <c r="AI374" s="44" t="s">
        <v>1542</v>
      </c>
      <c r="AJ374" s="44" t="s">
        <v>1542</v>
      </c>
      <c r="AK374" s="44" t="s">
        <v>1542</v>
      </c>
      <c r="AL374" s="44" t="s">
        <v>1542</v>
      </c>
      <c r="AM374" s="44" t="s">
        <v>1542</v>
      </c>
      <c r="AN374" s="44" t="s">
        <v>1542</v>
      </c>
      <c r="AO374" s="46">
        <f t="shared" si="25"/>
        <v>1</v>
      </c>
      <c r="AP374" s="43" t="s">
        <v>1542</v>
      </c>
      <c r="AQ374" s="43" t="s">
        <v>1542</v>
      </c>
      <c r="AR374" s="43" t="s">
        <v>1542</v>
      </c>
      <c r="AS374" s="43" t="s">
        <v>1542</v>
      </c>
      <c r="AT374" s="43" t="s">
        <v>1542</v>
      </c>
      <c r="AU374" s="43" t="s">
        <v>1542</v>
      </c>
      <c r="AV374" s="43" t="s">
        <v>1542</v>
      </c>
      <c r="AW374" s="43" t="s">
        <v>1542</v>
      </c>
      <c r="AX374" s="43" t="s">
        <v>1542</v>
      </c>
      <c r="AY374" s="43" t="s">
        <v>1542</v>
      </c>
      <c r="AZ374" s="43" t="s">
        <v>1542</v>
      </c>
      <c r="BA374" s="43" t="s">
        <v>1542</v>
      </c>
      <c r="BB374" s="46">
        <f t="shared" si="26"/>
        <v>0</v>
      </c>
      <c r="BC374" s="44" t="s">
        <v>1554</v>
      </c>
      <c r="BD374" s="44" t="s">
        <v>1554</v>
      </c>
      <c r="BE374" s="44" t="s">
        <v>1554</v>
      </c>
      <c r="BF374" s="44" t="s">
        <v>1554</v>
      </c>
      <c r="BG374" s="44" t="s">
        <v>1554</v>
      </c>
      <c r="BH374" s="44" t="s">
        <v>1554</v>
      </c>
      <c r="BI374" s="44" t="s">
        <v>1542</v>
      </c>
      <c r="BJ374" s="44" t="s">
        <v>1542</v>
      </c>
      <c r="BK374" s="44" t="s">
        <v>1542</v>
      </c>
      <c r="BL374" s="44" t="s">
        <v>1542</v>
      </c>
      <c r="BM374" s="44" t="s">
        <v>1542</v>
      </c>
      <c r="BN374" s="44" t="s">
        <v>1542</v>
      </c>
      <c r="BO374" s="46">
        <f t="shared" si="27"/>
        <v>6</v>
      </c>
      <c r="BP374" s="43" t="s">
        <v>1542</v>
      </c>
      <c r="BQ374" s="43" t="s">
        <v>1542</v>
      </c>
      <c r="BR374" s="43" t="s">
        <v>1554</v>
      </c>
      <c r="BS374" s="43" t="s">
        <v>1554</v>
      </c>
      <c r="BT374" s="43" t="s">
        <v>1554</v>
      </c>
      <c r="BU374" s="43" t="s">
        <v>1554</v>
      </c>
      <c r="BV374" s="43" t="s">
        <v>1554</v>
      </c>
      <c r="BW374" s="43" t="s">
        <v>1554</v>
      </c>
      <c r="BX374" s="43" t="s">
        <v>1554</v>
      </c>
      <c r="BY374" s="43" t="s">
        <v>1554</v>
      </c>
      <c r="BZ374" s="43" t="s">
        <v>1554</v>
      </c>
      <c r="CA374" s="43" t="s">
        <v>1554</v>
      </c>
    </row>
    <row r="375" spans="1:79">
      <c r="A375">
        <v>374</v>
      </c>
      <c r="B375">
        <v>1</v>
      </c>
      <c r="C375" t="s">
        <v>2935</v>
      </c>
      <c r="D375" t="s">
        <v>2936</v>
      </c>
      <c r="E375" t="s">
        <v>3221</v>
      </c>
      <c r="F375" t="s">
        <v>3222</v>
      </c>
      <c r="G375" t="s">
        <v>3241</v>
      </c>
      <c r="H375" t="s">
        <v>3241</v>
      </c>
      <c r="I375" t="s">
        <v>3242</v>
      </c>
      <c r="J375" t="s">
        <v>3243</v>
      </c>
      <c r="K375" t="s">
        <v>3244</v>
      </c>
      <c r="M375" s="1" t="s">
        <v>3245</v>
      </c>
      <c r="O375" s="46">
        <f t="shared" si="28"/>
        <v>0</v>
      </c>
      <c r="P375" s="43" t="s">
        <v>1542</v>
      </c>
      <c r="Q375" s="43" t="s">
        <v>1542</v>
      </c>
      <c r="R375" s="43" t="s">
        <v>1542</v>
      </c>
      <c r="S375" s="43" t="s">
        <v>1542</v>
      </c>
      <c r="T375" s="43" t="s">
        <v>1542</v>
      </c>
      <c r="U375" s="43" t="s">
        <v>1542</v>
      </c>
      <c r="V375" s="43" t="s">
        <v>1542</v>
      </c>
      <c r="W375" s="43" t="s">
        <v>1542</v>
      </c>
      <c r="X375" s="43" t="s">
        <v>1542</v>
      </c>
      <c r="Y375" s="43" t="s">
        <v>1542</v>
      </c>
      <c r="Z375" s="43" t="s">
        <v>1542</v>
      </c>
      <c r="AA375" s="43" t="s">
        <v>1542</v>
      </c>
      <c r="AB375" s="46">
        <f t="shared" si="29"/>
        <v>0</v>
      </c>
      <c r="AC375" s="44" t="s">
        <v>1542</v>
      </c>
      <c r="AD375" s="44" t="s">
        <v>1542</v>
      </c>
      <c r="AE375" s="44" t="s">
        <v>1542</v>
      </c>
      <c r="AF375" s="44" t="s">
        <v>1542</v>
      </c>
      <c r="AG375" s="44" t="s">
        <v>1542</v>
      </c>
      <c r="AH375" s="44" t="s">
        <v>1542</v>
      </c>
      <c r="AI375" s="44" t="s">
        <v>1542</v>
      </c>
      <c r="AJ375" s="44" t="s">
        <v>1542</v>
      </c>
      <c r="AK375" s="44" t="s">
        <v>1542</v>
      </c>
      <c r="AL375" s="44" t="s">
        <v>1542</v>
      </c>
      <c r="AM375" s="44" t="s">
        <v>1542</v>
      </c>
      <c r="AN375" s="44" t="s">
        <v>1542</v>
      </c>
      <c r="AO375" s="46">
        <f t="shared" si="25"/>
        <v>0</v>
      </c>
      <c r="AP375" s="43" t="s">
        <v>1542</v>
      </c>
      <c r="AQ375" s="43" t="s">
        <v>1542</v>
      </c>
      <c r="AR375" s="43" t="s">
        <v>1542</v>
      </c>
      <c r="AS375" s="43" t="s">
        <v>1542</v>
      </c>
      <c r="AT375" s="43" t="s">
        <v>1542</v>
      </c>
      <c r="AU375" s="43" t="s">
        <v>1542</v>
      </c>
      <c r="AV375" s="43" t="s">
        <v>1542</v>
      </c>
      <c r="AW375" s="43" t="s">
        <v>1542</v>
      </c>
      <c r="AX375" s="43" t="s">
        <v>1542</v>
      </c>
      <c r="AY375" s="43" t="s">
        <v>1542</v>
      </c>
      <c r="AZ375" s="43" t="s">
        <v>1542</v>
      </c>
      <c r="BA375" s="43" t="s">
        <v>1542</v>
      </c>
      <c r="BB375" s="46">
        <f t="shared" si="26"/>
        <v>0</v>
      </c>
      <c r="BC375" s="44" t="s">
        <v>1542</v>
      </c>
      <c r="BD375" s="44" t="s">
        <v>1542</v>
      </c>
      <c r="BE375" s="44" t="s">
        <v>1542</v>
      </c>
      <c r="BF375" s="44" t="s">
        <v>1542</v>
      </c>
      <c r="BG375" s="44" t="s">
        <v>1542</v>
      </c>
      <c r="BH375" s="44" t="s">
        <v>1542</v>
      </c>
      <c r="BI375" s="44" t="s">
        <v>1542</v>
      </c>
      <c r="BJ375" s="44" t="s">
        <v>1542</v>
      </c>
      <c r="BK375" s="44" t="s">
        <v>1542</v>
      </c>
      <c r="BL375" s="44" t="s">
        <v>1542</v>
      </c>
      <c r="BM375" s="44" t="s">
        <v>1542</v>
      </c>
      <c r="BN375" s="44" t="s">
        <v>1542</v>
      </c>
      <c r="BO375" s="46">
        <f t="shared" si="27"/>
        <v>0</v>
      </c>
      <c r="BP375" s="43" t="s">
        <v>1542</v>
      </c>
      <c r="BQ375" s="43" t="s">
        <v>1542</v>
      </c>
      <c r="BR375" s="43" t="s">
        <v>1542</v>
      </c>
      <c r="BS375" s="43" t="s">
        <v>1542</v>
      </c>
      <c r="BT375" s="43" t="s">
        <v>1542</v>
      </c>
      <c r="BU375" s="43" t="s">
        <v>1542</v>
      </c>
      <c r="BV375" s="43" t="s">
        <v>1542</v>
      </c>
      <c r="BW375" s="43" t="s">
        <v>1542</v>
      </c>
      <c r="BX375" s="43" t="s">
        <v>1542</v>
      </c>
      <c r="BY375" s="43" t="s">
        <v>1542</v>
      </c>
      <c r="BZ375" s="43" t="s">
        <v>1542</v>
      </c>
      <c r="CA375" s="43" t="s">
        <v>1542</v>
      </c>
    </row>
    <row r="376" spans="1:79">
      <c r="A376">
        <v>375</v>
      </c>
      <c r="B376">
        <v>1</v>
      </c>
      <c r="C376" t="s">
        <v>2935</v>
      </c>
      <c r="D376" t="s">
        <v>2936</v>
      </c>
      <c r="E376" t="s">
        <v>3221</v>
      </c>
      <c r="F376" t="s">
        <v>3222</v>
      </c>
      <c r="G376" t="s">
        <v>3246</v>
      </c>
      <c r="H376" t="s">
        <v>3246</v>
      </c>
      <c r="J376" t="s">
        <v>3247</v>
      </c>
      <c r="K376" t="s">
        <v>3248</v>
      </c>
      <c r="M376" s="1" t="s">
        <v>3249</v>
      </c>
      <c r="O376" s="46">
        <f t="shared" si="28"/>
        <v>0</v>
      </c>
      <c r="P376" s="43" t="s">
        <v>1542</v>
      </c>
      <c r="Q376" s="43" t="s">
        <v>1542</v>
      </c>
      <c r="R376" s="43" t="s">
        <v>1542</v>
      </c>
      <c r="S376" s="43" t="s">
        <v>1542</v>
      </c>
      <c r="T376" s="43" t="s">
        <v>1542</v>
      </c>
      <c r="U376" s="43" t="s">
        <v>1542</v>
      </c>
      <c r="V376" s="43" t="s">
        <v>1542</v>
      </c>
      <c r="W376" s="43" t="s">
        <v>1542</v>
      </c>
      <c r="X376" s="43" t="s">
        <v>1542</v>
      </c>
      <c r="Y376" s="43" t="s">
        <v>1542</v>
      </c>
      <c r="Z376" s="43" t="s">
        <v>1542</v>
      </c>
      <c r="AA376" s="43" t="s">
        <v>1542</v>
      </c>
      <c r="AB376" s="46">
        <f t="shared" si="29"/>
        <v>0</v>
      </c>
      <c r="AC376" s="44" t="s">
        <v>1542</v>
      </c>
      <c r="AD376" s="44" t="s">
        <v>1542</v>
      </c>
      <c r="AE376" s="44" t="s">
        <v>1542</v>
      </c>
      <c r="AF376" s="44" t="s">
        <v>1542</v>
      </c>
      <c r="AG376" s="44" t="s">
        <v>1542</v>
      </c>
      <c r="AH376" s="44" t="s">
        <v>1542</v>
      </c>
      <c r="AI376" s="44" t="s">
        <v>1542</v>
      </c>
      <c r="AJ376" s="44" t="s">
        <v>1542</v>
      </c>
      <c r="AK376" s="44" t="s">
        <v>1542</v>
      </c>
      <c r="AL376" s="44" t="s">
        <v>1542</v>
      </c>
      <c r="AM376" s="44" t="s">
        <v>1542</v>
      </c>
      <c r="AN376" s="44" t="s">
        <v>1542</v>
      </c>
      <c r="AO376" s="46">
        <f t="shared" si="25"/>
        <v>0</v>
      </c>
      <c r="AP376" s="43" t="s">
        <v>1542</v>
      </c>
      <c r="AQ376" s="43" t="s">
        <v>1542</v>
      </c>
      <c r="AR376" s="43" t="s">
        <v>1542</v>
      </c>
      <c r="AS376" s="43" t="s">
        <v>1542</v>
      </c>
      <c r="AT376" s="43" t="s">
        <v>1542</v>
      </c>
      <c r="AU376" s="43" t="s">
        <v>1542</v>
      </c>
      <c r="AV376" s="43" t="s">
        <v>1542</v>
      </c>
      <c r="AW376" s="43" t="s">
        <v>1542</v>
      </c>
      <c r="AX376" s="43" t="s">
        <v>1542</v>
      </c>
      <c r="AY376" s="43" t="s">
        <v>1542</v>
      </c>
      <c r="AZ376" s="43" t="s">
        <v>1542</v>
      </c>
      <c r="BA376" s="43" t="s">
        <v>1542</v>
      </c>
      <c r="BB376" s="46">
        <f t="shared" si="26"/>
        <v>0</v>
      </c>
      <c r="BC376" s="44" t="s">
        <v>1542</v>
      </c>
      <c r="BD376" s="44" t="s">
        <v>1542</v>
      </c>
      <c r="BE376" s="44" t="s">
        <v>1542</v>
      </c>
      <c r="BF376" s="44" t="s">
        <v>1542</v>
      </c>
      <c r="BG376" s="44" t="s">
        <v>1542</v>
      </c>
      <c r="BH376" s="44" t="s">
        <v>1542</v>
      </c>
      <c r="BI376" s="44" t="s">
        <v>1542</v>
      </c>
      <c r="BJ376" s="44" t="s">
        <v>1542</v>
      </c>
      <c r="BK376" s="44" t="s">
        <v>1542</v>
      </c>
      <c r="BL376" s="44" t="s">
        <v>1542</v>
      </c>
      <c r="BM376" s="44" t="s">
        <v>1542</v>
      </c>
      <c r="BN376" s="44" t="s">
        <v>1542</v>
      </c>
      <c r="BO376" s="46">
        <f t="shared" si="27"/>
        <v>0</v>
      </c>
      <c r="BP376" s="43" t="s">
        <v>1542</v>
      </c>
      <c r="BQ376" s="43" t="s">
        <v>1542</v>
      </c>
      <c r="BR376" s="43" t="s">
        <v>1542</v>
      </c>
      <c r="BS376" s="43" t="s">
        <v>1542</v>
      </c>
      <c r="BT376" s="43" t="s">
        <v>1542</v>
      </c>
      <c r="BU376" s="43" t="s">
        <v>1542</v>
      </c>
      <c r="BV376" s="43" t="s">
        <v>1542</v>
      </c>
      <c r="BW376" s="43" t="s">
        <v>1542</v>
      </c>
      <c r="BX376" s="43" t="s">
        <v>1542</v>
      </c>
      <c r="BY376" s="43" t="s">
        <v>1542</v>
      </c>
      <c r="BZ376" s="43" t="s">
        <v>1542</v>
      </c>
      <c r="CA376" s="43" t="s">
        <v>1542</v>
      </c>
    </row>
    <row r="377" spans="1:79">
      <c r="A377">
        <v>376</v>
      </c>
      <c r="B377">
        <v>1</v>
      </c>
      <c r="C377" t="s">
        <v>2935</v>
      </c>
      <c r="D377" t="s">
        <v>2936</v>
      </c>
      <c r="E377" t="s">
        <v>3221</v>
      </c>
      <c r="F377" t="s">
        <v>3222</v>
      </c>
      <c r="G377" t="s">
        <v>3250</v>
      </c>
      <c r="H377" t="s">
        <v>3250</v>
      </c>
      <c r="J377" t="s">
        <v>3251</v>
      </c>
      <c r="K377" t="s">
        <v>3252</v>
      </c>
      <c r="M377" s="1" t="s">
        <v>3253</v>
      </c>
      <c r="N377" t="s">
        <v>3254</v>
      </c>
      <c r="O377" s="46">
        <f t="shared" si="28"/>
        <v>0</v>
      </c>
      <c r="P377" s="43" t="s">
        <v>1542</v>
      </c>
      <c r="Q377" s="43" t="s">
        <v>1542</v>
      </c>
      <c r="R377" s="43" t="s">
        <v>1542</v>
      </c>
      <c r="S377" s="43" t="s">
        <v>1542</v>
      </c>
      <c r="T377" s="43" t="s">
        <v>1542</v>
      </c>
      <c r="U377" s="43" t="s">
        <v>1542</v>
      </c>
      <c r="V377" s="43" t="s">
        <v>1542</v>
      </c>
      <c r="W377" s="43" t="s">
        <v>1542</v>
      </c>
      <c r="X377" s="43" t="s">
        <v>1542</v>
      </c>
      <c r="Y377" s="43" t="s">
        <v>1542</v>
      </c>
      <c r="Z377" s="43" t="s">
        <v>1542</v>
      </c>
      <c r="AA377" s="43" t="s">
        <v>1542</v>
      </c>
      <c r="AB377" s="46">
        <f t="shared" si="29"/>
        <v>0</v>
      </c>
      <c r="AC377" s="44" t="s">
        <v>1542</v>
      </c>
      <c r="AD377" s="44" t="s">
        <v>1542</v>
      </c>
      <c r="AE377" s="44" t="s">
        <v>1542</v>
      </c>
      <c r="AF377" s="44" t="s">
        <v>1542</v>
      </c>
      <c r="AG377" s="44" t="s">
        <v>1542</v>
      </c>
      <c r="AH377" s="44" t="s">
        <v>1542</v>
      </c>
      <c r="AI377" s="44" t="s">
        <v>1542</v>
      </c>
      <c r="AJ377" s="44" t="s">
        <v>1542</v>
      </c>
      <c r="AK377" s="44" t="s">
        <v>1542</v>
      </c>
      <c r="AL377" s="44" t="s">
        <v>1542</v>
      </c>
      <c r="AM377" s="44" t="s">
        <v>1542</v>
      </c>
      <c r="AN377" s="44" t="s">
        <v>1542</v>
      </c>
      <c r="AO377" s="46">
        <f t="shared" si="25"/>
        <v>0</v>
      </c>
      <c r="AP377" s="43" t="s">
        <v>1542</v>
      </c>
      <c r="AQ377" s="43" t="s">
        <v>1542</v>
      </c>
      <c r="AR377" s="43" t="s">
        <v>1554</v>
      </c>
      <c r="AS377" s="43" t="s">
        <v>1554</v>
      </c>
      <c r="AT377" s="43" t="s">
        <v>1542</v>
      </c>
      <c r="AU377" s="43" t="s">
        <v>1542</v>
      </c>
      <c r="AV377" s="43" t="s">
        <v>1542</v>
      </c>
      <c r="AW377" s="43" t="s">
        <v>1542</v>
      </c>
      <c r="AX377" s="43" t="s">
        <v>1542</v>
      </c>
      <c r="AY377" s="43" t="s">
        <v>1542</v>
      </c>
      <c r="AZ377" s="43" t="s">
        <v>1542</v>
      </c>
      <c r="BA377" s="43" t="s">
        <v>1542</v>
      </c>
      <c r="BB377" s="46">
        <f t="shared" si="26"/>
        <v>2</v>
      </c>
      <c r="BC377" s="44" t="s">
        <v>1542</v>
      </c>
      <c r="BD377" s="44" t="s">
        <v>1542</v>
      </c>
      <c r="BE377" s="44" t="s">
        <v>1542</v>
      </c>
      <c r="BF377" s="44" t="s">
        <v>1542</v>
      </c>
      <c r="BG377" s="44" t="s">
        <v>1542</v>
      </c>
      <c r="BH377" s="44" t="s">
        <v>1542</v>
      </c>
      <c r="BI377" s="44" t="s">
        <v>1542</v>
      </c>
      <c r="BJ377" s="44" t="s">
        <v>1542</v>
      </c>
      <c r="BK377" s="44" t="s">
        <v>1542</v>
      </c>
      <c r="BL377" s="44" t="s">
        <v>1542</v>
      </c>
      <c r="BM377" s="44" t="s">
        <v>1542</v>
      </c>
      <c r="BN377" s="44" t="s">
        <v>1542</v>
      </c>
      <c r="BO377" s="46">
        <f t="shared" si="27"/>
        <v>0</v>
      </c>
      <c r="BP377" s="43" t="s">
        <v>1542</v>
      </c>
      <c r="BQ377" s="43" t="s">
        <v>1542</v>
      </c>
      <c r="BR377" s="43" t="s">
        <v>1542</v>
      </c>
      <c r="BS377" s="43" t="s">
        <v>1542</v>
      </c>
      <c r="BT377" s="43" t="s">
        <v>1542</v>
      </c>
      <c r="BU377" s="43" t="s">
        <v>1542</v>
      </c>
      <c r="BV377" s="43" t="s">
        <v>1542</v>
      </c>
      <c r="BW377" s="43" t="s">
        <v>1542</v>
      </c>
      <c r="BX377" s="43" t="s">
        <v>1542</v>
      </c>
      <c r="BY377" s="43" t="s">
        <v>1542</v>
      </c>
      <c r="BZ377" s="43" t="s">
        <v>1542</v>
      </c>
      <c r="CA377" s="43" t="s">
        <v>1542</v>
      </c>
    </row>
    <row r="378" spans="1:79">
      <c r="A378">
        <v>377</v>
      </c>
      <c r="B378">
        <v>1</v>
      </c>
      <c r="C378" t="s">
        <v>2935</v>
      </c>
      <c r="D378" t="s">
        <v>2936</v>
      </c>
      <c r="E378" t="s">
        <v>3221</v>
      </c>
      <c r="F378" t="s">
        <v>3222</v>
      </c>
      <c r="G378" t="s">
        <v>3255</v>
      </c>
      <c r="H378" t="s">
        <v>3255</v>
      </c>
      <c r="I378" t="s">
        <v>3256</v>
      </c>
      <c r="J378" t="s">
        <v>3257</v>
      </c>
      <c r="K378" t="s">
        <v>3258</v>
      </c>
      <c r="M378" s="1" t="s">
        <v>3259</v>
      </c>
      <c r="O378" s="46">
        <f t="shared" si="28"/>
        <v>0</v>
      </c>
      <c r="P378" s="43" t="s">
        <v>1542</v>
      </c>
      <c r="Q378" s="43" t="s">
        <v>1542</v>
      </c>
      <c r="R378" s="43" t="s">
        <v>1542</v>
      </c>
      <c r="S378" s="43" t="s">
        <v>1542</v>
      </c>
      <c r="T378" s="43" t="s">
        <v>1542</v>
      </c>
      <c r="U378" s="43" t="s">
        <v>1542</v>
      </c>
      <c r="V378" s="43" t="s">
        <v>1542</v>
      </c>
      <c r="W378" s="43" t="s">
        <v>1542</v>
      </c>
      <c r="X378" s="43" t="s">
        <v>1542</v>
      </c>
      <c r="Y378" s="43" t="s">
        <v>1542</v>
      </c>
      <c r="Z378" s="43" t="s">
        <v>1542</v>
      </c>
      <c r="AA378" s="43" t="s">
        <v>1542</v>
      </c>
      <c r="AB378" s="46">
        <f t="shared" si="29"/>
        <v>0</v>
      </c>
      <c r="AC378" s="44" t="s">
        <v>1542</v>
      </c>
      <c r="AD378" s="44" t="s">
        <v>1542</v>
      </c>
      <c r="AE378" s="44" t="s">
        <v>1542</v>
      </c>
      <c r="AF378" s="44" t="s">
        <v>1542</v>
      </c>
      <c r="AG378" s="44" t="s">
        <v>1542</v>
      </c>
      <c r="AH378" s="44" t="s">
        <v>1542</v>
      </c>
      <c r="AI378" s="44" t="s">
        <v>1542</v>
      </c>
      <c r="AJ378" s="44" t="s">
        <v>1542</v>
      </c>
      <c r="AK378" s="44" t="s">
        <v>1542</v>
      </c>
      <c r="AL378" s="44" t="s">
        <v>1542</v>
      </c>
      <c r="AM378" s="44" t="s">
        <v>1542</v>
      </c>
      <c r="AN378" s="44" t="s">
        <v>1542</v>
      </c>
      <c r="AO378" s="46">
        <f t="shared" si="25"/>
        <v>0</v>
      </c>
      <c r="AP378" s="43" t="s">
        <v>1542</v>
      </c>
      <c r="AQ378" s="43" t="s">
        <v>1542</v>
      </c>
      <c r="AR378" s="43" t="s">
        <v>1542</v>
      </c>
      <c r="AS378" s="43" t="s">
        <v>1542</v>
      </c>
      <c r="AT378" s="43" t="s">
        <v>1542</v>
      </c>
      <c r="AU378" s="43" t="s">
        <v>1542</v>
      </c>
      <c r="AV378" s="43" t="s">
        <v>1542</v>
      </c>
      <c r="AW378" s="43" t="s">
        <v>1542</v>
      </c>
      <c r="AX378" s="43" t="s">
        <v>1542</v>
      </c>
      <c r="AY378" s="43" t="s">
        <v>1542</v>
      </c>
      <c r="AZ378" s="43" t="s">
        <v>1542</v>
      </c>
      <c r="BA378" s="43" t="s">
        <v>1542</v>
      </c>
      <c r="BB378" s="46">
        <f t="shared" si="26"/>
        <v>0</v>
      </c>
      <c r="BC378" s="44" t="s">
        <v>1542</v>
      </c>
      <c r="BD378" s="44" t="s">
        <v>1542</v>
      </c>
      <c r="BE378" s="44" t="s">
        <v>1542</v>
      </c>
      <c r="BF378" s="44" t="s">
        <v>1542</v>
      </c>
      <c r="BG378" s="44" t="s">
        <v>1542</v>
      </c>
      <c r="BH378" s="44" t="s">
        <v>1542</v>
      </c>
      <c r="BI378" s="44" t="s">
        <v>1542</v>
      </c>
      <c r="BJ378" s="44" t="s">
        <v>1542</v>
      </c>
      <c r="BK378" s="44" t="s">
        <v>1542</v>
      </c>
      <c r="BL378" s="44" t="s">
        <v>1542</v>
      </c>
      <c r="BM378" s="44" t="s">
        <v>1542</v>
      </c>
      <c r="BN378" s="44" t="s">
        <v>1542</v>
      </c>
      <c r="BO378" s="46">
        <f t="shared" si="27"/>
        <v>0</v>
      </c>
      <c r="BP378" s="43" t="s">
        <v>1542</v>
      </c>
      <c r="BQ378" s="43" t="s">
        <v>1542</v>
      </c>
      <c r="BR378" s="43" t="s">
        <v>1542</v>
      </c>
      <c r="BS378" s="43" t="s">
        <v>1542</v>
      </c>
      <c r="BT378" s="43" t="s">
        <v>1542</v>
      </c>
      <c r="BU378" s="43" t="s">
        <v>1542</v>
      </c>
      <c r="BV378" s="43" t="s">
        <v>1542</v>
      </c>
      <c r="BW378" s="43" t="s">
        <v>1542</v>
      </c>
      <c r="BX378" s="43" t="s">
        <v>1542</v>
      </c>
      <c r="BY378" s="43" t="s">
        <v>1542</v>
      </c>
      <c r="BZ378" s="43" t="s">
        <v>1542</v>
      </c>
      <c r="CA378" s="43" t="s">
        <v>1542</v>
      </c>
    </row>
    <row r="379" spans="1:79">
      <c r="A379">
        <v>378</v>
      </c>
      <c r="B379">
        <v>1</v>
      </c>
      <c r="C379" t="s">
        <v>2935</v>
      </c>
      <c r="D379" t="s">
        <v>2936</v>
      </c>
      <c r="E379" t="s">
        <v>3221</v>
      </c>
      <c r="F379" t="s">
        <v>3222</v>
      </c>
      <c r="G379" t="s">
        <v>3260</v>
      </c>
      <c r="H379" t="s">
        <v>3260</v>
      </c>
      <c r="J379" t="s">
        <v>3261</v>
      </c>
      <c r="K379" t="s">
        <v>3262</v>
      </c>
      <c r="M379" s="1" t="s">
        <v>3263</v>
      </c>
      <c r="O379" s="46">
        <f t="shared" si="28"/>
        <v>0</v>
      </c>
      <c r="P379" s="43" t="s">
        <v>1542</v>
      </c>
      <c r="Q379" s="43" t="s">
        <v>1542</v>
      </c>
      <c r="R379" s="43" t="s">
        <v>1542</v>
      </c>
      <c r="S379" s="43" t="s">
        <v>1542</v>
      </c>
      <c r="T379" s="43" t="s">
        <v>1542</v>
      </c>
      <c r="U379" s="43" t="s">
        <v>1542</v>
      </c>
      <c r="V379" s="43" t="s">
        <v>1542</v>
      </c>
      <c r="W379" s="43" t="s">
        <v>1542</v>
      </c>
      <c r="X379" s="43" t="s">
        <v>1542</v>
      </c>
      <c r="Y379" s="43" t="s">
        <v>1542</v>
      </c>
      <c r="Z379" s="43" t="s">
        <v>1542</v>
      </c>
      <c r="AA379" s="43" t="s">
        <v>1542</v>
      </c>
      <c r="AB379" s="46">
        <f t="shared" si="29"/>
        <v>0</v>
      </c>
      <c r="AC379" s="44" t="s">
        <v>1542</v>
      </c>
      <c r="AD379" s="44" t="s">
        <v>1542</v>
      </c>
      <c r="AE379" s="44" t="s">
        <v>1542</v>
      </c>
      <c r="AF379" s="44" t="s">
        <v>1542</v>
      </c>
      <c r="AG379" s="44" t="s">
        <v>1542</v>
      </c>
      <c r="AH379" s="44" t="s">
        <v>1542</v>
      </c>
      <c r="AI379" s="44" t="s">
        <v>1542</v>
      </c>
      <c r="AJ379" s="44" t="s">
        <v>1542</v>
      </c>
      <c r="AK379" s="44" t="s">
        <v>1542</v>
      </c>
      <c r="AL379" s="44" t="s">
        <v>1542</v>
      </c>
      <c r="AM379" s="44" t="s">
        <v>1542</v>
      </c>
      <c r="AN379" s="44" t="s">
        <v>1542</v>
      </c>
      <c r="AO379" s="46">
        <f t="shared" si="25"/>
        <v>0</v>
      </c>
      <c r="AP379" s="43" t="s">
        <v>1542</v>
      </c>
      <c r="AQ379" s="43" t="s">
        <v>1542</v>
      </c>
      <c r="AR379" s="43" t="s">
        <v>1542</v>
      </c>
      <c r="AS379" s="43" t="s">
        <v>1542</v>
      </c>
      <c r="AT379" s="43" t="s">
        <v>1542</v>
      </c>
      <c r="AU379" s="43" t="s">
        <v>1542</v>
      </c>
      <c r="AV379" s="43" t="s">
        <v>1542</v>
      </c>
      <c r="AW379" s="43" t="s">
        <v>1542</v>
      </c>
      <c r="AX379" s="43" t="s">
        <v>1542</v>
      </c>
      <c r="AY379" s="43" t="s">
        <v>1542</v>
      </c>
      <c r="AZ379" s="43" t="s">
        <v>1542</v>
      </c>
      <c r="BA379" s="43" t="s">
        <v>1542</v>
      </c>
      <c r="BB379" s="46">
        <f t="shared" si="26"/>
        <v>0</v>
      </c>
      <c r="BC379" s="44" t="s">
        <v>1542</v>
      </c>
      <c r="BD379" s="44" t="s">
        <v>1542</v>
      </c>
      <c r="BE379" s="44" t="s">
        <v>1542</v>
      </c>
      <c r="BF379" s="44" t="s">
        <v>1542</v>
      </c>
      <c r="BG379" s="44" t="s">
        <v>1542</v>
      </c>
      <c r="BH379" s="44" t="s">
        <v>1542</v>
      </c>
      <c r="BI379" s="44" t="s">
        <v>1542</v>
      </c>
      <c r="BJ379" s="44" t="s">
        <v>1542</v>
      </c>
      <c r="BK379" s="44" t="s">
        <v>1542</v>
      </c>
      <c r="BL379" s="44" t="s">
        <v>1542</v>
      </c>
      <c r="BM379" s="44" t="s">
        <v>1542</v>
      </c>
      <c r="BN379" s="44" t="s">
        <v>1542</v>
      </c>
      <c r="BO379" s="46">
        <f t="shared" si="27"/>
        <v>0</v>
      </c>
      <c r="BP379" s="43" t="s">
        <v>1542</v>
      </c>
      <c r="BQ379" s="43" t="s">
        <v>1542</v>
      </c>
      <c r="BR379" s="43" t="s">
        <v>1542</v>
      </c>
      <c r="BS379" s="43" t="s">
        <v>1542</v>
      </c>
      <c r="BT379" s="43" t="s">
        <v>1542</v>
      </c>
      <c r="BU379" s="43" t="s">
        <v>1542</v>
      </c>
      <c r="BV379" s="43" t="s">
        <v>1542</v>
      </c>
      <c r="BW379" s="43" t="s">
        <v>1542</v>
      </c>
      <c r="BX379" s="43" t="s">
        <v>1542</v>
      </c>
      <c r="BY379" s="43" t="s">
        <v>1542</v>
      </c>
      <c r="BZ379" s="43" t="s">
        <v>1542</v>
      </c>
      <c r="CA379" s="43" t="s">
        <v>1542</v>
      </c>
    </row>
    <row r="380" spans="1:79">
      <c r="A380">
        <v>379</v>
      </c>
      <c r="C380" t="s">
        <v>2935</v>
      </c>
      <c r="D380" t="s">
        <v>2936</v>
      </c>
      <c r="E380" t="s">
        <v>3221</v>
      </c>
      <c r="F380" t="s">
        <v>3222</v>
      </c>
      <c r="G380" t="s">
        <v>3260</v>
      </c>
      <c r="H380" t="s">
        <v>3264</v>
      </c>
      <c r="I380" t="s">
        <v>3264</v>
      </c>
      <c r="J380" t="s">
        <v>3265</v>
      </c>
      <c r="K380" t="s">
        <v>3262</v>
      </c>
      <c r="M380" s="1" t="s">
        <v>3266</v>
      </c>
      <c r="N380" t="s">
        <v>3267</v>
      </c>
      <c r="O380" s="46">
        <f t="shared" si="28"/>
        <v>0</v>
      </c>
      <c r="P380" s="43"/>
      <c r="Q380" s="43"/>
      <c r="R380" s="43"/>
      <c r="S380" s="43"/>
      <c r="T380" s="43"/>
      <c r="U380" s="43"/>
      <c r="V380" s="43"/>
      <c r="W380" s="43"/>
      <c r="X380" s="43"/>
      <c r="Y380" s="43"/>
      <c r="Z380" s="43"/>
      <c r="AA380" s="43"/>
      <c r="AB380" s="46">
        <f t="shared" si="29"/>
        <v>0</v>
      </c>
      <c r="AC380" s="44"/>
      <c r="AD380" s="44"/>
      <c r="AE380" s="44"/>
      <c r="AF380" s="44"/>
      <c r="AG380" s="44"/>
      <c r="AH380" s="44"/>
      <c r="AI380" s="44"/>
      <c r="AJ380" s="44"/>
      <c r="AK380" s="44"/>
      <c r="AL380" s="44"/>
      <c r="AM380" s="44"/>
      <c r="AN380" s="44"/>
      <c r="AO380" s="46">
        <f t="shared" si="25"/>
        <v>0</v>
      </c>
      <c r="AP380" s="43"/>
      <c r="AQ380" s="43"/>
      <c r="AR380" s="43"/>
      <c r="AS380" s="43"/>
      <c r="AT380" s="43"/>
      <c r="AU380" s="43"/>
      <c r="AV380" s="43"/>
      <c r="AW380" s="43"/>
      <c r="AX380" s="43"/>
      <c r="AY380" s="43"/>
      <c r="AZ380" s="43"/>
      <c r="BA380" s="43"/>
      <c r="BB380" s="46">
        <f t="shared" si="26"/>
        <v>0</v>
      </c>
      <c r="BC380" s="44"/>
      <c r="BD380" s="44"/>
      <c r="BE380" s="44"/>
      <c r="BF380" s="44"/>
      <c r="BG380" s="44"/>
      <c r="BH380" s="44"/>
      <c r="BI380" s="44"/>
      <c r="BJ380" s="44"/>
      <c r="BK380" s="44"/>
      <c r="BL380" s="44"/>
      <c r="BM380" s="44"/>
      <c r="BN380" s="44"/>
      <c r="BO380" s="46">
        <f t="shared" si="27"/>
        <v>0</v>
      </c>
      <c r="BP380" s="43"/>
      <c r="BQ380" s="43"/>
      <c r="BR380" s="43"/>
      <c r="BS380" s="43"/>
      <c r="BT380" s="43"/>
      <c r="BU380" s="43"/>
      <c r="BV380" s="43"/>
      <c r="BW380" s="43"/>
      <c r="BX380" s="43"/>
      <c r="BY380" s="43"/>
      <c r="BZ380" s="43"/>
      <c r="CA380" s="43"/>
    </row>
    <row r="381" spans="1:79">
      <c r="A381">
        <v>380</v>
      </c>
      <c r="B381">
        <v>1</v>
      </c>
      <c r="C381" t="s">
        <v>2935</v>
      </c>
      <c r="D381" t="s">
        <v>2936</v>
      </c>
      <c r="E381" t="s">
        <v>3221</v>
      </c>
      <c r="F381" t="s">
        <v>3222</v>
      </c>
      <c r="G381" t="s">
        <v>3268</v>
      </c>
      <c r="H381" t="s">
        <v>3268</v>
      </c>
      <c r="I381" t="s">
        <v>3269</v>
      </c>
      <c r="J381" t="s">
        <v>3270</v>
      </c>
      <c r="K381" t="s">
        <v>3271</v>
      </c>
      <c r="M381" s="1" t="s">
        <v>3272</v>
      </c>
      <c r="N381" t="s">
        <v>3273</v>
      </c>
      <c r="O381" s="46">
        <f t="shared" si="28"/>
        <v>1</v>
      </c>
      <c r="P381" s="43" t="s">
        <v>1542</v>
      </c>
      <c r="Q381" s="43" t="s">
        <v>1542</v>
      </c>
      <c r="R381" s="43" t="s">
        <v>1542</v>
      </c>
      <c r="S381" s="43" t="s">
        <v>1542</v>
      </c>
      <c r="T381" s="43" t="s">
        <v>1542</v>
      </c>
      <c r="U381" s="43" t="s">
        <v>1554</v>
      </c>
      <c r="V381" s="43" t="s">
        <v>1542</v>
      </c>
      <c r="W381" s="43" t="s">
        <v>1542</v>
      </c>
      <c r="X381" s="43" t="s">
        <v>1542</v>
      </c>
      <c r="Y381" s="43" t="s">
        <v>1542</v>
      </c>
      <c r="Z381" s="43" t="s">
        <v>1542</v>
      </c>
      <c r="AA381" s="43" t="s">
        <v>1542</v>
      </c>
      <c r="AB381" s="46">
        <f t="shared" si="29"/>
        <v>0</v>
      </c>
      <c r="AC381" s="44" t="s">
        <v>1542</v>
      </c>
      <c r="AD381" s="44" t="s">
        <v>1542</v>
      </c>
      <c r="AE381" s="44" t="s">
        <v>1542</v>
      </c>
      <c r="AF381" s="44" t="s">
        <v>1542</v>
      </c>
      <c r="AG381" s="44" t="s">
        <v>1542</v>
      </c>
      <c r="AH381" s="44" t="s">
        <v>1542</v>
      </c>
      <c r="AI381" s="44" t="s">
        <v>1542</v>
      </c>
      <c r="AJ381" s="44" t="s">
        <v>1542</v>
      </c>
      <c r="AK381" s="44" t="s">
        <v>1542</v>
      </c>
      <c r="AL381" s="44" t="s">
        <v>1542</v>
      </c>
      <c r="AM381" s="44" t="s">
        <v>1542</v>
      </c>
      <c r="AN381" s="44" t="s">
        <v>1542</v>
      </c>
      <c r="AO381" s="46">
        <f t="shared" si="25"/>
        <v>0</v>
      </c>
      <c r="AP381" s="43" t="s">
        <v>1542</v>
      </c>
      <c r="AQ381" s="43" t="s">
        <v>1542</v>
      </c>
      <c r="AR381" s="43" t="s">
        <v>1542</v>
      </c>
      <c r="AS381" s="43" t="s">
        <v>1542</v>
      </c>
      <c r="AT381" s="43" t="s">
        <v>1542</v>
      </c>
      <c r="AU381" s="43" t="s">
        <v>1542</v>
      </c>
      <c r="AV381" s="43" t="s">
        <v>1542</v>
      </c>
      <c r="AW381" s="43" t="s">
        <v>1542</v>
      </c>
      <c r="AX381" s="43" t="s">
        <v>1542</v>
      </c>
      <c r="AY381" s="43" t="s">
        <v>1542</v>
      </c>
      <c r="AZ381" s="43" t="s">
        <v>1542</v>
      </c>
      <c r="BA381" s="43" t="s">
        <v>1542</v>
      </c>
      <c r="BB381" s="46">
        <f t="shared" si="26"/>
        <v>0</v>
      </c>
      <c r="BC381" s="44" t="s">
        <v>1542</v>
      </c>
      <c r="BD381" s="44" t="s">
        <v>1542</v>
      </c>
      <c r="BE381" s="44" t="s">
        <v>1542</v>
      </c>
      <c r="BF381" s="44" t="s">
        <v>1542</v>
      </c>
      <c r="BG381" s="44" t="s">
        <v>1542</v>
      </c>
      <c r="BH381" s="44" t="s">
        <v>1542</v>
      </c>
      <c r="BI381" s="44" t="s">
        <v>1542</v>
      </c>
      <c r="BJ381" s="44" t="s">
        <v>1542</v>
      </c>
      <c r="BK381" s="44" t="s">
        <v>1542</v>
      </c>
      <c r="BL381" s="44" t="s">
        <v>1542</v>
      </c>
      <c r="BM381" s="44" t="s">
        <v>1542</v>
      </c>
      <c r="BN381" s="44" t="s">
        <v>1542</v>
      </c>
      <c r="BO381" s="46">
        <f t="shared" si="27"/>
        <v>0</v>
      </c>
      <c r="BP381" s="43" t="s">
        <v>1542</v>
      </c>
      <c r="BQ381" s="43" t="s">
        <v>1542</v>
      </c>
      <c r="BR381" s="43" t="s">
        <v>1542</v>
      </c>
      <c r="BS381" s="43" t="s">
        <v>1542</v>
      </c>
      <c r="BT381" s="43" t="s">
        <v>1542</v>
      </c>
      <c r="BU381" s="43" t="s">
        <v>1542</v>
      </c>
      <c r="BV381" s="43" t="s">
        <v>1542</v>
      </c>
      <c r="BW381" s="43" t="s">
        <v>1542</v>
      </c>
      <c r="BX381" s="43" t="s">
        <v>1542</v>
      </c>
      <c r="BY381" s="43" t="s">
        <v>1542</v>
      </c>
      <c r="BZ381" s="43" t="s">
        <v>1542</v>
      </c>
      <c r="CA381" s="43" t="s">
        <v>1542</v>
      </c>
    </row>
    <row r="382" spans="1:79">
      <c r="A382">
        <v>381</v>
      </c>
      <c r="B382">
        <v>1</v>
      </c>
      <c r="C382" t="s">
        <v>2935</v>
      </c>
      <c r="D382" t="s">
        <v>2936</v>
      </c>
      <c r="E382" t="s">
        <v>3221</v>
      </c>
      <c r="F382" t="s">
        <v>3222</v>
      </c>
      <c r="G382" t="s">
        <v>3274</v>
      </c>
      <c r="H382" t="s">
        <v>3274</v>
      </c>
      <c r="J382" t="s">
        <v>3275</v>
      </c>
      <c r="K382" t="s">
        <v>3276</v>
      </c>
      <c r="M382" s="1" t="s">
        <v>3277</v>
      </c>
      <c r="O382" s="46">
        <f t="shared" si="28"/>
        <v>0</v>
      </c>
      <c r="P382" s="43" t="s">
        <v>1542</v>
      </c>
      <c r="Q382" s="43" t="s">
        <v>1542</v>
      </c>
      <c r="R382" s="43" t="s">
        <v>1542</v>
      </c>
      <c r="S382" s="43" t="s">
        <v>1542</v>
      </c>
      <c r="T382" s="43" t="s">
        <v>1542</v>
      </c>
      <c r="U382" s="43" t="s">
        <v>1542</v>
      </c>
      <c r="V382" s="43" t="s">
        <v>1542</v>
      </c>
      <c r="W382" s="43" t="s">
        <v>1542</v>
      </c>
      <c r="X382" s="43" t="s">
        <v>1542</v>
      </c>
      <c r="Y382" s="43" t="s">
        <v>1542</v>
      </c>
      <c r="Z382" s="43" t="s">
        <v>1542</v>
      </c>
      <c r="AA382" s="43" t="s">
        <v>1542</v>
      </c>
      <c r="AB382" s="46">
        <f t="shared" si="29"/>
        <v>0</v>
      </c>
      <c r="AC382" s="44" t="s">
        <v>1542</v>
      </c>
      <c r="AD382" s="44" t="s">
        <v>1542</v>
      </c>
      <c r="AE382" s="44" t="s">
        <v>1542</v>
      </c>
      <c r="AF382" s="44" t="s">
        <v>1542</v>
      </c>
      <c r="AG382" s="44" t="s">
        <v>1542</v>
      </c>
      <c r="AH382" s="44" t="s">
        <v>1542</v>
      </c>
      <c r="AI382" s="44" t="s">
        <v>1542</v>
      </c>
      <c r="AJ382" s="44" t="s">
        <v>1542</v>
      </c>
      <c r="AK382" s="44" t="s">
        <v>1542</v>
      </c>
      <c r="AL382" s="44" t="s">
        <v>1542</v>
      </c>
      <c r="AM382" s="44" t="s">
        <v>1542</v>
      </c>
      <c r="AN382" s="44" t="s">
        <v>1542</v>
      </c>
      <c r="AO382" s="46">
        <f t="shared" si="25"/>
        <v>0</v>
      </c>
      <c r="AP382" s="43" t="s">
        <v>1542</v>
      </c>
      <c r="AQ382" s="43" t="s">
        <v>1542</v>
      </c>
      <c r="AR382" s="43" t="s">
        <v>1542</v>
      </c>
      <c r="AS382" s="43" t="s">
        <v>1542</v>
      </c>
      <c r="AT382" s="43" t="s">
        <v>1542</v>
      </c>
      <c r="AU382" s="43" t="s">
        <v>1542</v>
      </c>
      <c r="AV382" s="43" t="s">
        <v>1542</v>
      </c>
      <c r="AW382" s="43" t="s">
        <v>1542</v>
      </c>
      <c r="AX382" s="43" t="s">
        <v>1542</v>
      </c>
      <c r="AY382" s="43" t="s">
        <v>1542</v>
      </c>
      <c r="AZ382" s="43" t="s">
        <v>1542</v>
      </c>
      <c r="BA382" s="43" t="s">
        <v>1542</v>
      </c>
      <c r="BB382" s="46">
        <f t="shared" si="26"/>
        <v>0</v>
      </c>
      <c r="BC382" s="44" t="s">
        <v>1542</v>
      </c>
      <c r="BD382" s="44" t="s">
        <v>1542</v>
      </c>
      <c r="BE382" s="44" t="s">
        <v>1542</v>
      </c>
      <c r="BF382" s="44" t="s">
        <v>1542</v>
      </c>
      <c r="BG382" s="44" t="s">
        <v>1542</v>
      </c>
      <c r="BH382" s="44" t="s">
        <v>1542</v>
      </c>
      <c r="BI382" s="44" t="s">
        <v>1542</v>
      </c>
      <c r="BJ382" s="44" t="s">
        <v>1542</v>
      </c>
      <c r="BK382" s="44" t="s">
        <v>1542</v>
      </c>
      <c r="BL382" s="44" t="s">
        <v>1542</v>
      </c>
      <c r="BM382" s="44" t="s">
        <v>1542</v>
      </c>
      <c r="BN382" s="44" t="s">
        <v>1542</v>
      </c>
      <c r="BO382" s="46">
        <f t="shared" si="27"/>
        <v>0</v>
      </c>
      <c r="BP382" s="43" t="s">
        <v>1542</v>
      </c>
      <c r="BQ382" s="43" t="s">
        <v>1542</v>
      </c>
      <c r="BR382" s="43" t="s">
        <v>1542</v>
      </c>
      <c r="BS382" s="43" t="s">
        <v>1542</v>
      </c>
      <c r="BT382" s="43" t="s">
        <v>1542</v>
      </c>
      <c r="BU382" s="43" t="s">
        <v>1542</v>
      </c>
      <c r="BV382" s="43" t="s">
        <v>1542</v>
      </c>
      <c r="BW382" s="43" t="s">
        <v>1542</v>
      </c>
      <c r="BX382" s="43" t="s">
        <v>1542</v>
      </c>
      <c r="BY382" s="43" t="s">
        <v>1542</v>
      </c>
      <c r="BZ382" s="43" t="s">
        <v>1542</v>
      </c>
      <c r="CA382" s="43" t="s">
        <v>1542</v>
      </c>
    </row>
    <row r="383" spans="1:79">
      <c r="A383">
        <v>382</v>
      </c>
      <c r="B383">
        <v>1</v>
      </c>
      <c r="C383" t="s">
        <v>2935</v>
      </c>
      <c r="D383" t="s">
        <v>2936</v>
      </c>
      <c r="E383" t="s">
        <v>3221</v>
      </c>
      <c r="F383" t="s">
        <v>3222</v>
      </c>
      <c r="G383" t="s">
        <v>3278</v>
      </c>
      <c r="H383" t="s">
        <v>3278</v>
      </c>
      <c r="J383" t="s">
        <v>3279</v>
      </c>
      <c r="K383" t="s">
        <v>3280</v>
      </c>
      <c r="M383" s="1" t="s">
        <v>3281</v>
      </c>
      <c r="O383" s="46">
        <f t="shared" si="28"/>
        <v>0</v>
      </c>
      <c r="P383" s="43" t="s">
        <v>1542</v>
      </c>
      <c r="Q383" s="43" t="s">
        <v>1542</v>
      </c>
      <c r="R383" s="43" t="s">
        <v>1542</v>
      </c>
      <c r="S383" s="43" t="s">
        <v>1542</v>
      </c>
      <c r="T383" s="43" t="s">
        <v>1542</v>
      </c>
      <c r="U383" s="43" t="s">
        <v>1542</v>
      </c>
      <c r="V383" s="43" t="s">
        <v>1542</v>
      </c>
      <c r="W383" s="43" t="s">
        <v>1542</v>
      </c>
      <c r="X383" s="43" t="s">
        <v>1542</v>
      </c>
      <c r="Y383" s="43" t="s">
        <v>1542</v>
      </c>
      <c r="Z383" s="43" t="s">
        <v>1542</v>
      </c>
      <c r="AA383" s="43" t="s">
        <v>1542</v>
      </c>
      <c r="AB383" s="46">
        <f t="shared" si="29"/>
        <v>0</v>
      </c>
      <c r="AC383" s="44" t="s">
        <v>1542</v>
      </c>
      <c r="AD383" s="44" t="s">
        <v>1542</v>
      </c>
      <c r="AE383" s="44" t="s">
        <v>1542</v>
      </c>
      <c r="AF383" s="44" t="s">
        <v>1542</v>
      </c>
      <c r="AG383" s="44" t="s">
        <v>1542</v>
      </c>
      <c r="AH383" s="44" t="s">
        <v>1542</v>
      </c>
      <c r="AI383" s="44" t="s">
        <v>1542</v>
      </c>
      <c r="AJ383" s="44" t="s">
        <v>1542</v>
      </c>
      <c r="AK383" s="44" t="s">
        <v>1542</v>
      </c>
      <c r="AL383" s="44" t="s">
        <v>1542</v>
      </c>
      <c r="AM383" s="44" t="s">
        <v>1542</v>
      </c>
      <c r="AN383" s="44" t="s">
        <v>1542</v>
      </c>
      <c r="AO383" s="46">
        <f t="shared" si="25"/>
        <v>0</v>
      </c>
      <c r="AP383" s="43" t="s">
        <v>1542</v>
      </c>
      <c r="AQ383" s="43" t="s">
        <v>1542</v>
      </c>
      <c r="AR383" s="43" t="s">
        <v>1542</v>
      </c>
      <c r="AS383" s="43" t="s">
        <v>1542</v>
      </c>
      <c r="AT383" s="43" t="s">
        <v>1542</v>
      </c>
      <c r="AU383" s="43" t="s">
        <v>1542</v>
      </c>
      <c r="AV383" s="43" t="s">
        <v>1542</v>
      </c>
      <c r="AW383" s="43" t="s">
        <v>1542</v>
      </c>
      <c r="AX383" s="43" t="s">
        <v>1542</v>
      </c>
      <c r="AY383" s="43" t="s">
        <v>1542</v>
      </c>
      <c r="AZ383" s="43" t="s">
        <v>1542</v>
      </c>
      <c r="BA383" s="43" t="s">
        <v>1542</v>
      </c>
      <c r="BB383" s="46">
        <f t="shared" si="26"/>
        <v>0</v>
      </c>
      <c r="BC383" s="44" t="s">
        <v>1542</v>
      </c>
      <c r="BD383" s="44" t="s">
        <v>1542</v>
      </c>
      <c r="BE383" s="44" t="s">
        <v>1542</v>
      </c>
      <c r="BF383" s="44" t="s">
        <v>1542</v>
      </c>
      <c r="BG383" s="44" t="s">
        <v>1542</v>
      </c>
      <c r="BH383" s="44" t="s">
        <v>1542</v>
      </c>
      <c r="BI383" s="44" t="s">
        <v>1542</v>
      </c>
      <c r="BJ383" s="44" t="s">
        <v>1542</v>
      </c>
      <c r="BK383" s="44" t="s">
        <v>1542</v>
      </c>
      <c r="BL383" s="44" t="s">
        <v>1542</v>
      </c>
      <c r="BM383" s="44" t="s">
        <v>1542</v>
      </c>
      <c r="BN383" s="44" t="s">
        <v>1542</v>
      </c>
      <c r="BO383" s="46">
        <f t="shared" si="27"/>
        <v>0</v>
      </c>
      <c r="BP383" s="43" t="s">
        <v>1542</v>
      </c>
      <c r="BQ383" s="43" t="s">
        <v>1542</v>
      </c>
      <c r="BR383" s="43" t="s">
        <v>1542</v>
      </c>
      <c r="BS383" s="43" t="s">
        <v>1542</v>
      </c>
      <c r="BT383" s="43" t="s">
        <v>1542</v>
      </c>
      <c r="BU383" s="43" t="s">
        <v>1542</v>
      </c>
      <c r="BV383" s="43" t="s">
        <v>1542</v>
      </c>
      <c r="BW383" s="43" t="s">
        <v>1542</v>
      </c>
      <c r="BX383" s="43" t="s">
        <v>1542</v>
      </c>
      <c r="BY383" s="43" t="s">
        <v>1542</v>
      </c>
      <c r="BZ383" s="43" t="s">
        <v>1542</v>
      </c>
      <c r="CA383" s="43" t="s">
        <v>1542</v>
      </c>
    </row>
    <row r="384" spans="1:79">
      <c r="A384">
        <v>383</v>
      </c>
      <c r="B384">
        <v>1</v>
      </c>
      <c r="C384" t="s">
        <v>2935</v>
      </c>
      <c r="D384" t="s">
        <v>2936</v>
      </c>
      <c r="E384" t="s">
        <v>3221</v>
      </c>
      <c r="F384" t="s">
        <v>3222</v>
      </c>
      <c r="G384" t="s">
        <v>3282</v>
      </c>
      <c r="H384" t="s">
        <v>3282</v>
      </c>
      <c r="J384" t="s">
        <v>3283</v>
      </c>
      <c r="K384" t="s">
        <v>3284</v>
      </c>
      <c r="M384" s="1" t="s">
        <v>3285</v>
      </c>
      <c r="O384" s="46">
        <f t="shared" si="28"/>
        <v>0</v>
      </c>
      <c r="P384" s="43" t="s">
        <v>1542</v>
      </c>
      <c r="Q384" s="43" t="s">
        <v>1542</v>
      </c>
      <c r="R384" s="43" t="s">
        <v>1542</v>
      </c>
      <c r="S384" s="43" t="s">
        <v>1542</v>
      </c>
      <c r="T384" s="43" t="s">
        <v>1542</v>
      </c>
      <c r="U384" s="43" t="s">
        <v>1542</v>
      </c>
      <c r="V384" s="43" t="s">
        <v>1542</v>
      </c>
      <c r="W384" s="43" t="s">
        <v>1542</v>
      </c>
      <c r="X384" s="43" t="s">
        <v>1542</v>
      </c>
      <c r="Y384" s="43" t="s">
        <v>1542</v>
      </c>
      <c r="Z384" s="43" t="s">
        <v>1542</v>
      </c>
      <c r="AA384" s="43" t="s">
        <v>1542</v>
      </c>
      <c r="AB384" s="46">
        <f t="shared" si="29"/>
        <v>0</v>
      </c>
      <c r="AC384" s="44" t="s">
        <v>1542</v>
      </c>
      <c r="AD384" s="44" t="s">
        <v>1542</v>
      </c>
      <c r="AE384" s="44" t="s">
        <v>1542</v>
      </c>
      <c r="AF384" s="44" t="s">
        <v>1542</v>
      </c>
      <c r="AG384" s="44" t="s">
        <v>1542</v>
      </c>
      <c r="AH384" s="44" t="s">
        <v>1542</v>
      </c>
      <c r="AI384" s="44" t="s">
        <v>1542</v>
      </c>
      <c r="AJ384" s="44" t="s">
        <v>1542</v>
      </c>
      <c r="AK384" s="44" t="s">
        <v>1542</v>
      </c>
      <c r="AL384" s="44" t="s">
        <v>1542</v>
      </c>
      <c r="AM384" s="44" t="s">
        <v>1542</v>
      </c>
      <c r="AN384" s="44" t="s">
        <v>1542</v>
      </c>
      <c r="AO384" s="46">
        <f t="shared" si="25"/>
        <v>0</v>
      </c>
      <c r="AP384" s="43" t="s">
        <v>1542</v>
      </c>
      <c r="AQ384" s="43" t="s">
        <v>1542</v>
      </c>
      <c r="AR384" s="43" t="s">
        <v>1542</v>
      </c>
      <c r="AS384" s="43" t="s">
        <v>1542</v>
      </c>
      <c r="AT384" s="43" t="s">
        <v>1542</v>
      </c>
      <c r="AU384" s="43" t="s">
        <v>1542</v>
      </c>
      <c r="AV384" s="43" t="s">
        <v>1542</v>
      </c>
      <c r="AW384" s="43" t="s">
        <v>1542</v>
      </c>
      <c r="AX384" s="43" t="s">
        <v>1542</v>
      </c>
      <c r="AY384" s="43" t="s">
        <v>1542</v>
      </c>
      <c r="AZ384" s="43" t="s">
        <v>1542</v>
      </c>
      <c r="BA384" s="43" t="s">
        <v>1542</v>
      </c>
      <c r="BB384" s="46">
        <f t="shared" si="26"/>
        <v>0</v>
      </c>
      <c r="BC384" s="44" t="s">
        <v>1542</v>
      </c>
      <c r="BD384" s="44" t="s">
        <v>1542</v>
      </c>
      <c r="BE384" s="44" t="s">
        <v>1542</v>
      </c>
      <c r="BF384" s="44" t="s">
        <v>1542</v>
      </c>
      <c r="BG384" s="44" t="s">
        <v>1542</v>
      </c>
      <c r="BH384" s="44" t="s">
        <v>1542</v>
      </c>
      <c r="BI384" s="44" t="s">
        <v>1542</v>
      </c>
      <c r="BJ384" s="44" t="s">
        <v>1542</v>
      </c>
      <c r="BK384" s="44" t="s">
        <v>1542</v>
      </c>
      <c r="BL384" s="44" t="s">
        <v>1542</v>
      </c>
      <c r="BM384" s="44" t="s">
        <v>1542</v>
      </c>
      <c r="BN384" s="44" t="s">
        <v>1542</v>
      </c>
      <c r="BO384" s="46">
        <f t="shared" si="27"/>
        <v>0</v>
      </c>
      <c r="BP384" s="43" t="s">
        <v>1542</v>
      </c>
      <c r="BQ384" s="43" t="s">
        <v>1542</v>
      </c>
      <c r="BR384" s="43" t="s">
        <v>1542</v>
      </c>
      <c r="BS384" s="43" t="s">
        <v>1542</v>
      </c>
      <c r="BT384" s="43" t="s">
        <v>1542</v>
      </c>
      <c r="BU384" s="43" t="s">
        <v>1542</v>
      </c>
      <c r="BV384" s="43" t="s">
        <v>1542</v>
      </c>
      <c r="BW384" s="43" t="s">
        <v>1542</v>
      </c>
      <c r="BX384" s="43" t="s">
        <v>1542</v>
      </c>
      <c r="BY384" s="43" t="s">
        <v>1542</v>
      </c>
      <c r="BZ384" s="43" t="s">
        <v>1542</v>
      </c>
      <c r="CA384" s="43" t="s">
        <v>1542</v>
      </c>
    </row>
    <row r="385" spans="1:79">
      <c r="A385">
        <v>384</v>
      </c>
      <c r="B385">
        <v>1</v>
      </c>
      <c r="C385" t="s">
        <v>2935</v>
      </c>
      <c r="D385" t="s">
        <v>2936</v>
      </c>
      <c r="E385" t="s">
        <v>3286</v>
      </c>
      <c r="F385" t="s">
        <v>3287</v>
      </c>
      <c r="G385" t="s">
        <v>3288</v>
      </c>
      <c r="H385" t="s">
        <v>3288</v>
      </c>
      <c r="J385" t="s">
        <v>3289</v>
      </c>
      <c r="K385" t="s">
        <v>3290</v>
      </c>
      <c r="M385" s="1" t="s">
        <v>3291</v>
      </c>
      <c r="O385" s="46">
        <f t="shared" si="28"/>
        <v>0</v>
      </c>
      <c r="P385" s="43" t="s">
        <v>1542</v>
      </c>
      <c r="Q385" s="43" t="s">
        <v>1542</v>
      </c>
      <c r="R385" s="43" t="s">
        <v>1542</v>
      </c>
      <c r="S385" s="43" t="s">
        <v>1542</v>
      </c>
      <c r="T385" s="43" t="s">
        <v>1542</v>
      </c>
      <c r="U385" s="43" t="s">
        <v>1542</v>
      </c>
      <c r="V385" s="43" t="s">
        <v>1542</v>
      </c>
      <c r="W385" s="43" t="s">
        <v>1542</v>
      </c>
      <c r="X385" s="43" t="s">
        <v>1542</v>
      </c>
      <c r="Y385" s="43" t="s">
        <v>1542</v>
      </c>
      <c r="Z385" s="43" t="s">
        <v>1542</v>
      </c>
      <c r="AA385" s="43" t="s">
        <v>1542</v>
      </c>
      <c r="AB385" s="46">
        <f t="shared" si="29"/>
        <v>0</v>
      </c>
      <c r="AC385" s="44" t="s">
        <v>1542</v>
      </c>
      <c r="AD385" s="44" t="s">
        <v>1542</v>
      </c>
      <c r="AE385" s="44" t="s">
        <v>1542</v>
      </c>
      <c r="AF385" s="44" t="s">
        <v>1542</v>
      </c>
      <c r="AG385" s="44" t="s">
        <v>1542</v>
      </c>
      <c r="AH385" s="44" t="s">
        <v>1542</v>
      </c>
      <c r="AI385" s="44" t="s">
        <v>1542</v>
      </c>
      <c r="AJ385" s="44" t="s">
        <v>1542</v>
      </c>
      <c r="AK385" s="44" t="s">
        <v>1542</v>
      </c>
      <c r="AL385" s="44" t="s">
        <v>1542</v>
      </c>
      <c r="AM385" s="44" t="s">
        <v>1542</v>
      </c>
      <c r="AN385" s="44" t="s">
        <v>1542</v>
      </c>
      <c r="AO385" s="46">
        <f t="shared" si="25"/>
        <v>0</v>
      </c>
      <c r="AP385" s="43" t="s">
        <v>1542</v>
      </c>
      <c r="AQ385" s="43" t="s">
        <v>1542</v>
      </c>
      <c r="AR385" s="43" t="s">
        <v>1542</v>
      </c>
      <c r="AS385" s="43" t="s">
        <v>1542</v>
      </c>
      <c r="AT385" s="43" t="s">
        <v>1542</v>
      </c>
      <c r="AU385" s="43" t="s">
        <v>1542</v>
      </c>
      <c r="AV385" s="43" t="s">
        <v>1542</v>
      </c>
      <c r="AW385" s="43" t="s">
        <v>1542</v>
      </c>
      <c r="AX385" s="43" t="s">
        <v>1542</v>
      </c>
      <c r="AY385" s="43" t="s">
        <v>1542</v>
      </c>
      <c r="AZ385" s="43" t="s">
        <v>1542</v>
      </c>
      <c r="BA385" s="43" t="s">
        <v>1542</v>
      </c>
      <c r="BB385" s="46">
        <f t="shared" si="26"/>
        <v>0</v>
      </c>
      <c r="BC385" s="44" t="s">
        <v>1542</v>
      </c>
      <c r="BD385" s="44" t="s">
        <v>1542</v>
      </c>
      <c r="BE385" s="44" t="s">
        <v>1542</v>
      </c>
      <c r="BF385" s="44" t="s">
        <v>1542</v>
      </c>
      <c r="BG385" s="44" t="s">
        <v>1542</v>
      </c>
      <c r="BH385" s="44" t="s">
        <v>1542</v>
      </c>
      <c r="BI385" s="44" t="s">
        <v>1542</v>
      </c>
      <c r="BJ385" s="44" t="s">
        <v>1542</v>
      </c>
      <c r="BK385" s="44" t="s">
        <v>1542</v>
      </c>
      <c r="BL385" s="44" t="s">
        <v>1542</v>
      </c>
      <c r="BM385" s="44" t="s">
        <v>1542</v>
      </c>
      <c r="BN385" s="44" t="s">
        <v>1542</v>
      </c>
      <c r="BO385" s="46">
        <f t="shared" si="27"/>
        <v>0</v>
      </c>
      <c r="BP385" s="43" t="s">
        <v>1542</v>
      </c>
      <c r="BQ385" s="43" t="s">
        <v>1542</v>
      </c>
      <c r="BR385" s="43" t="s">
        <v>1542</v>
      </c>
      <c r="BS385" s="43" t="s">
        <v>1542</v>
      </c>
      <c r="BT385" s="43" t="s">
        <v>1542</v>
      </c>
      <c r="BU385" s="43" t="s">
        <v>1542</v>
      </c>
      <c r="BV385" s="43" t="s">
        <v>1542</v>
      </c>
      <c r="BW385" s="43" t="s">
        <v>1542</v>
      </c>
      <c r="BX385" s="43" t="s">
        <v>1542</v>
      </c>
      <c r="BY385" s="43" t="s">
        <v>1542</v>
      </c>
      <c r="BZ385" s="43" t="s">
        <v>1542</v>
      </c>
      <c r="CA385" s="43" t="s">
        <v>1542</v>
      </c>
    </row>
    <row r="386" spans="1:79">
      <c r="A386">
        <v>385</v>
      </c>
      <c r="B386">
        <v>1</v>
      </c>
      <c r="C386" t="s">
        <v>2935</v>
      </c>
      <c r="D386" t="s">
        <v>2936</v>
      </c>
      <c r="E386" t="s">
        <v>3286</v>
      </c>
      <c r="F386" t="s">
        <v>3287</v>
      </c>
      <c r="G386" t="s">
        <v>3292</v>
      </c>
      <c r="H386" t="s">
        <v>3292</v>
      </c>
      <c r="J386" t="s">
        <v>3293</v>
      </c>
      <c r="K386" t="s">
        <v>3294</v>
      </c>
      <c r="M386" s="1" t="s">
        <v>3295</v>
      </c>
      <c r="O386" s="46">
        <f t="shared" si="28"/>
        <v>0</v>
      </c>
      <c r="P386" s="43" t="s">
        <v>1542</v>
      </c>
      <c r="Q386" s="43" t="s">
        <v>1542</v>
      </c>
      <c r="R386" s="43" t="s">
        <v>1542</v>
      </c>
      <c r="S386" s="43" t="s">
        <v>1542</v>
      </c>
      <c r="T386" s="43" t="s">
        <v>1542</v>
      </c>
      <c r="U386" s="43" t="s">
        <v>1542</v>
      </c>
      <c r="V386" s="43" t="s">
        <v>1542</v>
      </c>
      <c r="W386" s="43" t="s">
        <v>1542</v>
      </c>
      <c r="X386" s="43" t="s">
        <v>1542</v>
      </c>
      <c r="Y386" s="43" t="s">
        <v>1542</v>
      </c>
      <c r="Z386" s="43" t="s">
        <v>1542</v>
      </c>
      <c r="AA386" s="43" t="s">
        <v>1542</v>
      </c>
      <c r="AB386" s="46">
        <f t="shared" si="29"/>
        <v>0</v>
      </c>
      <c r="AC386" s="44" t="s">
        <v>1542</v>
      </c>
      <c r="AD386" s="44" t="s">
        <v>1542</v>
      </c>
      <c r="AE386" s="44" t="s">
        <v>1542</v>
      </c>
      <c r="AF386" s="44" t="s">
        <v>1542</v>
      </c>
      <c r="AG386" s="44" t="s">
        <v>1542</v>
      </c>
      <c r="AH386" s="44" t="s">
        <v>1542</v>
      </c>
      <c r="AI386" s="44" t="s">
        <v>1542</v>
      </c>
      <c r="AJ386" s="44" t="s">
        <v>1542</v>
      </c>
      <c r="AK386" s="44" t="s">
        <v>1542</v>
      </c>
      <c r="AL386" s="44" t="s">
        <v>1542</v>
      </c>
      <c r="AM386" s="44" t="s">
        <v>1542</v>
      </c>
      <c r="AN386" s="44" t="s">
        <v>1542</v>
      </c>
      <c r="AO386" s="46">
        <f t="shared" ref="AO386:AO449" si="30">COUNTIF(AC386:AM386,"NE")</f>
        <v>0</v>
      </c>
      <c r="AP386" s="43" t="s">
        <v>1542</v>
      </c>
      <c r="AQ386" s="43" t="s">
        <v>1542</v>
      </c>
      <c r="AR386" s="43" t="s">
        <v>1542</v>
      </c>
      <c r="AS386" s="43" t="s">
        <v>1542</v>
      </c>
      <c r="AT386" s="43" t="s">
        <v>1542</v>
      </c>
      <c r="AU386" s="43" t="s">
        <v>1542</v>
      </c>
      <c r="AV386" s="43" t="s">
        <v>1542</v>
      </c>
      <c r="AW386" s="43" t="s">
        <v>1542</v>
      </c>
      <c r="AX386" s="43" t="s">
        <v>1542</v>
      </c>
      <c r="AY386" s="43" t="s">
        <v>1542</v>
      </c>
      <c r="AZ386" s="43" t="s">
        <v>1542</v>
      </c>
      <c r="BA386" s="43" t="s">
        <v>1542</v>
      </c>
      <c r="BB386" s="46">
        <f t="shared" ref="BB386:BB449" si="31">COUNTIF(AP386:AZ386,"NE")</f>
        <v>0</v>
      </c>
      <c r="BC386" s="44" t="s">
        <v>1542</v>
      </c>
      <c r="BD386" s="44" t="s">
        <v>1542</v>
      </c>
      <c r="BE386" s="44" t="s">
        <v>1542</v>
      </c>
      <c r="BF386" s="44" t="s">
        <v>1542</v>
      </c>
      <c r="BG386" s="44" t="s">
        <v>1542</v>
      </c>
      <c r="BH386" s="44" t="s">
        <v>1542</v>
      </c>
      <c r="BI386" s="44" t="s">
        <v>1542</v>
      </c>
      <c r="BJ386" s="44" t="s">
        <v>1542</v>
      </c>
      <c r="BK386" s="44" t="s">
        <v>1542</v>
      </c>
      <c r="BL386" s="44" t="s">
        <v>1542</v>
      </c>
      <c r="BM386" s="44" t="s">
        <v>1542</v>
      </c>
      <c r="BN386" s="44" t="s">
        <v>1542</v>
      </c>
      <c r="BO386" s="46">
        <f t="shared" ref="BO386:BO449" si="32">COUNTIF(BC386:BM386,"NE")</f>
        <v>0</v>
      </c>
      <c r="BP386" s="43" t="s">
        <v>1542</v>
      </c>
      <c r="BQ386" s="43" t="s">
        <v>1542</v>
      </c>
      <c r="BR386" s="43" t="s">
        <v>1542</v>
      </c>
      <c r="BS386" s="43" t="s">
        <v>1542</v>
      </c>
      <c r="BT386" s="43" t="s">
        <v>1542</v>
      </c>
      <c r="BU386" s="43" t="s">
        <v>1542</v>
      </c>
      <c r="BV386" s="43" t="s">
        <v>1542</v>
      </c>
      <c r="BW386" s="43" t="s">
        <v>1542</v>
      </c>
      <c r="BX386" s="43" t="s">
        <v>1542</v>
      </c>
      <c r="BY386" s="43" t="s">
        <v>1542</v>
      </c>
      <c r="BZ386" s="43" t="s">
        <v>1542</v>
      </c>
      <c r="CA386" s="43" t="s">
        <v>1542</v>
      </c>
    </row>
    <row r="387" spans="1:79">
      <c r="A387">
        <v>386</v>
      </c>
      <c r="B387">
        <v>1</v>
      </c>
      <c r="C387" t="s">
        <v>2935</v>
      </c>
      <c r="D387" t="s">
        <v>2936</v>
      </c>
      <c r="E387" t="s">
        <v>3286</v>
      </c>
      <c r="F387" t="s">
        <v>3287</v>
      </c>
      <c r="G387" t="s">
        <v>3296</v>
      </c>
      <c r="H387" t="s">
        <v>3296</v>
      </c>
      <c r="J387" t="s">
        <v>3297</v>
      </c>
      <c r="K387" t="s">
        <v>3298</v>
      </c>
      <c r="M387" s="1" t="s">
        <v>3299</v>
      </c>
      <c r="O387" s="46">
        <f t="shared" ref="O387:O450" si="33">COUNTIF(P387:AA387,"NE")</f>
        <v>0</v>
      </c>
      <c r="P387" s="43" t="s">
        <v>1542</v>
      </c>
      <c r="Q387" s="43" t="s">
        <v>1542</v>
      </c>
      <c r="R387" s="43" t="s">
        <v>1542</v>
      </c>
      <c r="S387" s="43" t="s">
        <v>1542</v>
      </c>
      <c r="T387" s="43" t="s">
        <v>1542</v>
      </c>
      <c r="U387" s="43" t="s">
        <v>1542</v>
      </c>
      <c r="V387" s="43" t="s">
        <v>1542</v>
      </c>
      <c r="W387" s="43" t="s">
        <v>1542</v>
      </c>
      <c r="X387" s="43" t="s">
        <v>1542</v>
      </c>
      <c r="Y387" s="43" t="s">
        <v>1542</v>
      </c>
      <c r="Z387" s="43" t="s">
        <v>1542</v>
      </c>
      <c r="AA387" s="43" t="s">
        <v>1542</v>
      </c>
      <c r="AB387" s="46">
        <f t="shared" ref="AB387:AB450" si="34">COUNTIF(AC387:AN387,"NE")</f>
        <v>0</v>
      </c>
      <c r="AC387" s="44" t="s">
        <v>1542</v>
      </c>
      <c r="AD387" s="44" t="s">
        <v>1542</v>
      </c>
      <c r="AE387" s="44" t="s">
        <v>1542</v>
      </c>
      <c r="AF387" s="44" t="s">
        <v>1542</v>
      </c>
      <c r="AG387" s="44" t="s">
        <v>1542</v>
      </c>
      <c r="AH387" s="44" t="s">
        <v>1542</v>
      </c>
      <c r="AI387" s="44" t="s">
        <v>1542</v>
      </c>
      <c r="AJ387" s="44" t="s">
        <v>1542</v>
      </c>
      <c r="AK387" s="44" t="s">
        <v>1542</v>
      </c>
      <c r="AL387" s="44" t="s">
        <v>1542</v>
      </c>
      <c r="AM387" s="44" t="s">
        <v>1542</v>
      </c>
      <c r="AN387" s="44" t="s">
        <v>1542</v>
      </c>
      <c r="AO387" s="46">
        <f t="shared" si="30"/>
        <v>0</v>
      </c>
      <c r="AP387" s="43" t="s">
        <v>1542</v>
      </c>
      <c r="AQ387" s="43" t="s">
        <v>1542</v>
      </c>
      <c r="AR387" s="43" t="s">
        <v>1542</v>
      </c>
      <c r="AS387" s="43" t="s">
        <v>1542</v>
      </c>
      <c r="AT387" s="43" t="s">
        <v>1542</v>
      </c>
      <c r="AU387" s="43" t="s">
        <v>1542</v>
      </c>
      <c r="AV387" s="43" t="s">
        <v>1542</v>
      </c>
      <c r="AW387" s="43" t="s">
        <v>1542</v>
      </c>
      <c r="AX387" s="43" t="s">
        <v>1542</v>
      </c>
      <c r="AY387" s="43" t="s">
        <v>1542</v>
      </c>
      <c r="AZ387" s="43" t="s">
        <v>1542</v>
      </c>
      <c r="BA387" s="43" t="s">
        <v>1542</v>
      </c>
      <c r="BB387" s="46">
        <f t="shared" si="31"/>
        <v>0</v>
      </c>
      <c r="BC387" s="44" t="s">
        <v>1542</v>
      </c>
      <c r="BD387" s="44" t="s">
        <v>1542</v>
      </c>
      <c r="BE387" s="44" t="s">
        <v>1542</v>
      </c>
      <c r="BF387" s="44" t="s">
        <v>1542</v>
      </c>
      <c r="BG387" s="44" t="s">
        <v>1542</v>
      </c>
      <c r="BH387" s="44" t="s">
        <v>1542</v>
      </c>
      <c r="BI387" s="44" t="s">
        <v>1542</v>
      </c>
      <c r="BJ387" s="44" t="s">
        <v>1542</v>
      </c>
      <c r="BK387" s="44" t="s">
        <v>1542</v>
      </c>
      <c r="BL387" s="44" t="s">
        <v>1542</v>
      </c>
      <c r="BM387" s="44" t="s">
        <v>1542</v>
      </c>
      <c r="BN387" s="44" t="s">
        <v>1542</v>
      </c>
      <c r="BO387" s="46">
        <f t="shared" si="32"/>
        <v>0</v>
      </c>
      <c r="BP387" s="43" t="s">
        <v>1542</v>
      </c>
      <c r="BQ387" s="43" t="s">
        <v>1542</v>
      </c>
      <c r="BR387" s="43" t="s">
        <v>1542</v>
      </c>
      <c r="BS387" s="43" t="s">
        <v>1542</v>
      </c>
      <c r="BT387" s="43" t="s">
        <v>1542</v>
      </c>
      <c r="BU387" s="43" t="s">
        <v>1542</v>
      </c>
      <c r="BV387" s="43" t="s">
        <v>1542</v>
      </c>
      <c r="BW387" s="43" t="s">
        <v>1542</v>
      </c>
      <c r="BX387" s="43" t="s">
        <v>1542</v>
      </c>
      <c r="BY387" s="43" t="s">
        <v>1542</v>
      </c>
      <c r="BZ387" s="43" t="s">
        <v>1542</v>
      </c>
      <c r="CA387" s="43" t="s">
        <v>1542</v>
      </c>
    </row>
    <row r="388" spans="1:79">
      <c r="A388">
        <v>387</v>
      </c>
      <c r="B388">
        <v>1</v>
      </c>
      <c r="C388" t="s">
        <v>2935</v>
      </c>
      <c r="D388" t="s">
        <v>2936</v>
      </c>
      <c r="E388" t="s">
        <v>3286</v>
      </c>
      <c r="F388" t="s">
        <v>3287</v>
      </c>
      <c r="G388" t="s">
        <v>3300</v>
      </c>
      <c r="H388" t="s">
        <v>3300</v>
      </c>
      <c r="J388" t="s">
        <v>3301</v>
      </c>
      <c r="K388" t="s">
        <v>3302</v>
      </c>
      <c r="M388" s="1" t="s">
        <v>3303</v>
      </c>
      <c r="O388" s="46">
        <f t="shared" si="33"/>
        <v>0</v>
      </c>
      <c r="P388" s="43" t="s">
        <v>1542</v>
      </c>
      <c r="Q388" s="43" t="s">
        <v>1542</v>
      </c>
      <c r="R388" s="43" t="s">
        <v>1542</v>
      </c>
      <c r="S388" s="43" t="s">
        <v>1542</v>
      </c>
      <c r="T388" s="43" t="s">
        <v>1542</v>
      </c>
      <c r="U388" s="43" t="s">
        <v>1542</v>
      </c>
      <c r="V388" s="43" t="s">
        <v>1542</v>
      </c>
      <c r="W388" s="43" t="s">
        <v>1542</v>
      </c>
      <c r="X388" s="43" t="s">
        <v>1542</v>
      </c>
      <c r="Y388" s="43" t="s">
        <v>1542</v>
      </c>
      <c r="Z388" s="43" t="s">
        <v>1542</v>
      </c>
      <c r="AA388" s="43" t="s">
        <v>1542</v>
      </c>
      <c r="AB388" s="46">
        <f t="shared" si="34"/>
        <v>0</v>
      </c>
      <c r="AC388" s="44" t="s">
        <v>1542</v>
      </c>
      <c r="AD388" s="44" t="s">
        <v>1542</v>
      </c>
      <c r="AE388" s="44" t="s">
        <v>1542</v>
      </c>
      <c r="AF388" s="44" t="s">
        <v>1542</v>
      </c>
      <c r="AG388" s="44" t="s">
        <v>1542</v>
      </c>
      <c r="AH388" s="44" t="s">
        <v>1542</v>
      </c>
      <c r="AI388" s="44" t="s">
        <v>1542</v>
      </c>
      <c r="AJ388" s="44" t="s">
        <v>1542</v>
      </c>
      <c r="AK388" s="44" t="s">
        <v>1542</v>
      </c>
      <c r="AL388" s="44" t="s">
        <v>1542</v>
      </c>
      <c r="AM388" s="44" t="s">
        <v>1542</v>
      </c>
      <c r="AN388" s="44" t="s">
        <v>1542</v>
      </c>
      <c r="AO388" s="46">
        <f t="shared" si="30"/>
        <v>0</v>
      </c>
      <c r="AP388" s="43" t="s">
        <v>1542</v>
      </c>
      <c r="AQ388" s="43" t="s">
        <v>1542</v>
      </c>
      <c r="AR388" s="43" t="s">
        <v>1542</v>
      </c>
      <c r="AS388" s="43" t="s">
        <v>1542</v>
      </c>
      <c r="AT388" s="43" t="s">
        <v>1542</v>
      </c>
      <c r="AU388" s="43" t="s">
        <v>1542</v>
      </c>
      <c r="AV388" s="43" t="s">
        <v>1542</v>
      </c>
      <c r="AW388" s="43" t="s">
        <v>1542</v>
      </c>
      <c r="AX388" s="43" t="s">
        <v>1542</v>
      </c>
      <c r="AY388" s="43" t="s">
        <v>1542</v>
      </c>
      <c r="AZ388" s="43" t="s">
        <v>1542</v>
      </c>
      <c r="BA388" s="43" t="s">
        <v>1542</v>
      </c>
      <c r="BB388" s="46">
        <f t="shared" si="31"/>
        <v>0</v>
      </c>
      <c r="BC388" s="44" t="s">
        <v>1542</v>
      </c>
      <c r="BD388" s="44" t="s">
        <v>1542</v>
      </c>
      <c r="BE388" s="44" t="s">
        <v>1542</v>
      </c>
      <c r="BF388" s="44" t="s">
        <v>1542</v>
      </c>
      <c r="BG388" s="44" t="s">
        <v>1542</v>
      </c>
      <c r="BH388" s="44" t="s">
        <v>1542</v>
      </c>
      <c r="BI388" s="44" t="s">
        <v>1542</v>
      </c>
      <c r="BJ388" s="44" t="s">
        <v>1542</v>
      </c>
      <c r="BK388" s="44" t="s">
        <v>1542</v>
      </c>
      <c r="BL388" s="44" t="s">
        <v>1542</v>
      </c>
      <c r="BM388" s="44" t="s">
        <v>1542</v>
      </c>
      <c r="BN388" s="44" t="s">
        <v>1542</v>
      </c>
      <c r="BO388" s="46">
        <f t="shared" si="32"/>
        <v>0</v>
      </c>
      <c r="BP388" s="43" t="s">
        <v>1542</v>
      </c>
      <c r="BQ388" s="43" t="s">
        <v>1542</v>
      </c>
      <c r="BR388" s="43" t="s">
        <v>1542</v>
      </c>
      <c r="BS388" s="43" t="s">
        <v>1542</v>
      </c>
      <c r="BT388" s="43" t="s">
        <v>1542</v>
      </c>
      <c r="BU388" s="43" t="s">
        <v>1542</v>
      </c>
      <c r="BV388" s="43" t="s">
        <v>1542</v>
      </c>
      <c r="BW388" s="43" t="s">
        <v>1542</v>
      </c>
      <c r="BX388" s="43" t="s">
        <v>1542</v>
      </c>
      <c r="BY388" s="43" t="s">
        <v>1542</v>
      </c>
      <c r="BZ388" s="43" t="s">
        <v>1542</v>
      </c>
      <c r="CA388" s="43" t="s">
        <v>1542</v>
      </c>
    </row>
    <row r="389" spans="1:79">
      <c r="A389">
        <v>388</v>
      </c>
      <c r="B389">
        <v>1</v>
      </c>
      <c r="C389" t="s">
        <v>2935</v>
      </c>
      <c r="D389" t="s">
        <v>2936</v>
      </c>
      <c r="E389" t="s">
        <v>3286</v>
      </c>
      <c r="F389" t="s">
        <v>3287</v>
      </c>
      <c r="G389" t="s">
        <v>3304</v>
      </c>
      <c r="H389" t="s">
        <v>3304</v>
      </c>
      <c r="J389" t="s">
        <v>3305</v>
      </c>
      <c r="K389" t="s">
        <v>3306</v>
      </c>
      <c r="M389" s="1" t="s">
        <v>3307</v>
      </c>
      <c r="O389" s="46">
        <f t="shared" si="33"/>
        <v>0</v>
      </c>
      <c r="P389" s="43" t="s">
        <v>1542</v>
      </c>
      <c r="Q389" s="43" t="s">
        <v>1542</v>
      </c>
      <c r="R389" s="43" t="s">
        <v>1542</v>
      </c>
      <c r="S389" s="43" t="s">
        <v>1542</v>
      </c>
      <c r="T389" s="43" t="s">
        <v>1542</v>
      </c>
      <c r="U389" s="43" t="s">
        <v>1542</v>
      </c>
      <c r="V389" s="43" t="s">
        <v>1542</v>
      </c>
      <c r="W389" s="43" t="s">
        <v>1542</v>
      </c>
      <c r="X389" s="43" t="s">
        <v>1542</v>
      </c>
      <c r="Y389" s="43" t="s">
        <v>1542</v>
      </c>
      <c r="Z389" s="43" t="s">
        <v>1542</v>
      </c>
      <c r="AA389" s="43" t="s">
        <v>1542</v>
      </c>
      <c r="AB389" s="46">
        <f t="shared" si="34"/>
        <v>0</v>
      </c>
      <c r="AC389" s="44" t="s">
        <v>1542</v>
      </c>
      <c r="AD389" s="44" t="s">
        <v>1542</v>
      </c>
      <c r="AE389" s="44" t="s">
        <v>1542</v>
      </c>
      <c r="AF389" s="44" t="s">
        <v>1542</v>
      </c>
      <c r="AG389" s="44" t="s">
        <v>1542</v>
      </c>
      <c r="AH389" s="44" t="s">
        <v>1542</v>
      </c>
      <c r="AI389" s="44" t="s">
        <v>1542</v>
      </c>
      <c r="AJ389" s="44" t="s">
        <v>1542</v>
      </c>
      <c r="AK389" s="44" t="s">
        <v>1542</v>
      </c>
      <c r="AL389" s="44" t="s">
        <v>1542</v>
      </c>
      <c r="AM389" s="44" t="s">
        <v>1542</v>
      </c>
      <c r="AN389" s="44" t="s">
        <v>1542</v>
      </c>
      <c r="AO389" s="46">
        <f t="shared" si="30"/>
        <v>0</v>
      </c>
      <c r="AP389" s="43" t="s">
        <v>1542</v>
      </c>
      <c r="AQ389" s="43" t="s">
        <v>1542</v>
      </c>
      <c r="AR389" s="43" t="s">
        <v>1542</v>
      </c>
      <c r="AS389" s="43" t="s">
        <v>1542</v>
      </c>
      <c r="AT389" s="43" t="s">
        <v>1542</v>
      </c>
      <c r="AU389" s="43" t="s">
        <v>1542</v>
      </c>
      <c r="AV389" s="43" t="s">
        <v>1542</v>
      </c>
      <c r="AW389" s="43" t="s">
        <v>1542</v>
      </c>
      <c r="AX389" s="43" t="s">
        <v>1542</v>
      </c>
      <c r="AY389" s="43" t="s">
        <v>1542</v>
      </c>
      <c r="AZ389" s="43" t="s">
        <v>1542</v>
      </c>
      <c r="BA389" s="43" t="s">
        <v>1542</v>
      </c>
      <c r="BB389" s="46">
        <f t="shared" si="31"/>
        <v>0</v>
      </c>
      <c r="BC389" s="44" t="s">
        <v>1542</v>
      </c>
      <c r="BD389" s="44" t="s">
        <v>1542</v>
      </c>
      <c r="BE389" s="44" t="s">
        <v>1542</v>
      </c>
      <c r="BF389" s="44" t="s">
        <v>1542</v>
      </c>
      <c r="BG389" s="44" t="s">
        <v>1542</v>
      </c>
      <c r="BH389" s="44" t="s">
        <v>1542</v>
      </c>
      <c r="BI389" s="44" t="s">
        <v>1542</v>
      </c>
      <c r="BJ389" s="44" t="s">
        <v>1542</v>
      </c>
      <c r="BK389" s="44" t="s">
        <v>1542</v>
      </c>
      <c r="BL389" s="44" t="s">
        <v>1542</v>
      </c>
      <c r="BM389" s="44" t="s">
        <v>1542</v>
      </c>
      <c r="BN389" s="44" t="s">
        <v>1542</v>
      </c>
      <c r="BO389" s="46">
        <f t="shared" si="32"/>
        <v>0</v>
      </c>
      <c r="BP389" s="43" t="s">
        <v>1542</v>
      </c>
      <c r="BQ389" s="43" t="s">
        <v>1542</v>
      </c>
      <c r="BR389" s="43" t="s">
        <v>1542</v>
      </c>
      <c r="BS389" s="43" t="s">
        <v>1542</v>
      </c>
      <c r="BT389" s="43" t="s">
        <v>1542</v>
      </c>
      <c r="BU389" s="43" t="s">
        <v>1542</v>
      </c>
      <c r="BV389" s="43" t="s">
        <v>1542</v>
      </c>
      <c r="BW389" s="43" t="s">
        <v>1542</v>
      </c>
      <c r="BX389" s="43" t="s">
        <v>1542</v>
      </c>
      <c r="BY389" s="43" t="s">
        <v>1542</v>
      </c>
      <c r="BZ389" s="43" t="s">
        <v>1542</v>
      </c>
      <c r="CA389" s="43" t="s">
        <v>1542</v>
      </c>
    </row>
    <row r="390" spans="1:79">
      <c r="A390">
        <v>389</v>
      </c>
      <c r="B390">
        <v>1</v>
      </c>
      <c r="C390" t="s">
        <v>2935</v>
      </c>
      <c r="D390" t="s">
        <v>2936</v>
      </c>
      <c r="E390" t="s">
        <v>3286</v>
      </c>
      <c r="F390" t="s">
        <v>3287</v>
      </c>
      <c r="G390" t="s">
        <v>3308</v>
      </c>
      <c r="H390" t="s">
        <v>3308</v>
      </c>
      <c r="J390" t="s">
        <v>3309</v>
      </c>
      <c r="K390" t="s">
        <v>3310</v>
      </c>
      <c r="M390" s="1" t="s">
        <v>3311</v>
      </c>
      <c r="N390" t="s">
        <v>3312</v>
      </c>
      <c r="O390" s="46">
        <f t="shared" si="33"/>
        <v>0</v>
      </c>
      <c r="P390" s="43" t="s">
        <v>1542</v>
      </c>
      <c r="Q390" s="43" t="s">
        <v>1542</v>
      </c>
      <c r="R390" s="43" t="s">
        <v>1542</v>
      </c>
      <c r="S390" s="43" t="s">
        <v>1542</v>
      </c>
      <c r="T390" s="43" t="s">
        <v>1542</v>
      </c>
      <c r="U390" s="43" t="s">
        <v>1542</v>
      </c>
      <c r="V390" s="43" t="s">
        <v>1542</v>
      </c>
      <c r="W390" s="43" t="s">
        <v>1542</v>
      </c>
      <c r="X390" s="43" t="s">
        <v>1542</v>
      </c>
      <c r="Y390" s="43" t="s">
        <v>1542</v>
      </c>
      <c r="Z390" s="43" t="s">
        <v>1542</v>
      </c>
      <c r="AA390" s="43" t="s">
        <v>1542</v>
      </c>
      <c r="AB390" s="46">
        <f t="shared" si="34"/>
        <v>0</v>
      </c>
      <c r="AC390" s="44" t="s">
        <v>1542</v>
      </c>
      <c r="AD390" s="44" t="s">
        <v>1542</v>
      </c>
      <c r="AE390" s="44" t="s">
        <v>1542</v>
      </c>
      <c r="AF390" s="44" t="s">
        <v>1542</v>
      </c>
      <c r="AG390" s="44" t="s">
        <v>1542</v>
      </c>
      <c r="AH390" s="44" t="s">
        <v>1542</v>
      </c>
      <c r="AI390" s="44" t="s">
        <v>1542</v>
      </c>
      <c r="AJ390" s="44" t="s">
        <v>1542</v>
      </c>
      <c r="AK390" s="44" t="s">
        <v>1542</v>
      </c>
      <c r="AL390" s="44" t="s">
        <v>1542</v>
      </c>
      <c r="AM390" s="44" t="s">
        <v>1542</v>
      </c>
      <c r="AN390" s="44" t="s">
        <v>1542</v>
      </c>
      <c r="AO390" s="46">
        <f t="shared" si="30"/>
        <v>0</v>
      </c>
      <c r="AP390" s="43" t="s">
        <v>1542</v>
      </c>
      <c r="AQ390" s="43" t="s">
        <v>1542</v>
      </c>
      <c r="AR390" s="43" t="s">
        <v>1542</v>
      </c>
      <c r="AS390" s="43" t="s">
        <v>1542</v>
      </c>
      <c r="AT390" s="43" t="s">
        <v>1542</v>
      </c>
      <c r="AU390" s="43" t="s">
        <v>1542</v>
      </c>
      <c r="AV390" s="43" t="s">
        <v>1542</v>
      </c>
      <c r="AW390" s="43" t="s">
        <v>1542</v>
      </c>
      <c r="AX390" s="43" t="s">
        <v>1542</v>
      </c>
      <c r="AY390" s="43" t="s">
        <v>1542</v>
      </c>
      <c r="AZ390" s="43" t="s">
        <v>1542</v>
      </c>
      <c r="BA390" s="43" t="s">
        <v>1542</v>
      </c>
      <c r="BB390" s="46">
        <f t="shared" si="31"/>
        <v>0</v>
      </c>
      <c r="BC390" s="44" t="s">
        <v>1542</v>
      </c>
      <c r="BD390" s="44" t="s">
        <v>1542</v>
      </c>
      <c r="BE390" s="44" t="s">
        <v>1542</v>
      </c>
      <c r="BF390" s="44" t="s">
        <v>1554</v>
      </c>
      <c r="BG390" s="44" t="s">
        <v>1542</v>
      </c>
      <c r="BH390" s="44" t="s">
        <v>1542</v>
      </c>
      <c r="BI390" s="44" t="s">
        <v>1542</v>
      </c>
      <c r="BJ390" s="44" t="s">
        <v>1542</v>
      </c>
      <c r="BK390" s="44" t="s">
        <v>1542</v>
      </c>
      <c r="BL390" s="44" t="s">
        <v>1542</v>
      </c>
      <c r="BM390" s="44" t="s">
        <v>1542</v>
      </c>
      <c r="BN390" s="44" t="s">
        <v>1542</v>
      </c>
      <c r="BO390" s="46">
        <f t="shared" si="32"/>
        <v>1</v>
      </c>
      <c r="BP390" s="43" t="s">
        <v>1542</v>
      </c>
      <c r="BQ390" s="43" t="s">
        <v>1542</v>
      </c>
      <c r="BR390" s="43" t="s">
        <v>1542</v>
      </c>
      <c r="BS390" s="43" t="s">
        <v>1542</v>
      </c>
      <c r="BT390" s="43" t="s">
        <v>1542</v>
      </c>
      <c r="BU390" s="43" t="s">
        <v>1542</v>
      </c>
      <c r="BV390" s="43" t="s">
        <v>1542</v>
      </c>
      <c r="BW390" s="43" t="s">
        <v>1542</v>
      </c>
      <c r="BX390" s="43" t="s">
        <v>1542</v>
      </c>
      <c r="BY390" s="43" t="s">
        <v>1542</v>
      </c>
      <c r="BZ390" s="43" t="s">
        <v>1542</v>
      </c>
      <c r="CA390" s="43" t="s">
        <v>1542</v>
      </c>
    </row>
    <row r="391" spans="1:79">
      <c r="A391">
        <v>390</v>
      </c>
      <c r="B391">
        <v>1</v>
      </c>
      <c r="C391" t="s">
        <v>2935</v>
      </c>
      <c r="D391" t="s">
        <v>2936</v>
      </c>
      <c r="E391" t="s">
        <v>3286</v>
      </c>
      <c r="F391" t="s">
        <v>3287</v>
      </c>
      <c r="G391" t="s">
        <v>3313</v>
      </c>
      <c r="H391" t="s">
        <v>3313</v>
      </c>
      <c r="J391" t="s">
        <v>3314</v>
      </c>
      <c r="K391" t="s">
        <v>3315</v>
      </c>
      <c r="M391" s="1" t="s">
        <v>3316</v>
      </c>
      <c r="N391" t="s">
        <v>2878</v>
      </c>
      <c r="O391" s="46">
        <f t="shared" si="33"/>
        <v>0</v>
      </c>
      <c r="P391" s="43" t="s">
        <v>1542</v>
      </c>
      <c r="Q391" s="43" t="s">
        <v>1542</v>
      </c>
      <c r="R391" s="43" t="s">
        <v>1542</v>
      </c>
      <c r="S391" s="43" t="s">
        <v>1542</v>
      </c>
      <c r="T391" s="43" t="s">
        <v>1542</v>
      </c>
      <c r="U391" s="43" t="s">
        <v>1542</v>
      </c>
      <c r="V391" s="43" t="s">
        <v>1542</v>
      </c>
      <c r="W391" s="43" t="s">
        <v>1542</v>
      </c>
      <c r="X391" s="43" t="s">
        <v>1542</v>
      </c>
      <c r="Y391" s="43" t="s">
        <v>1542</v>
      </c>
      <c r="Z391" s="43" t="s">
        <v>1542</v>
      </c>
      <c r="AA391" s="43" t="s">
        <v>1542</v>
      </c>
      <c r="AB391" s="46">
        <f t="shared" si="34"/>
        <v>0</v>
      </c>
      <c r="AC391" s="44" t="s">
        <v>1542</v>
      </c>
      <c r="AD391" s="44" t="s">
        <v>1542</v>
      </c>
      <c r="AE391" s="44" t="s">
        <v>1542</v>
      </c>
      <c r="AF391" s="44" t="s">
        <v>1542</v>
      </c>
      <c r="AG391" s="44" t="s">
        <v>1542</v>
      </c>
      <c r="AH391" s="44" t="s">
        <v>1542</v>
      </c>
      <c r="AI391" s="44" t="s">
        <v>1542</v>
      </c>
      <c r="AJ391" s="44" t="s">
        <v>1542</v>
      </c>
      <c r="AK391" s="44" t="s">
        <v>1542</v>
      </c>
      <c r="AL391" s="44" t="s">
        <v>1542</v>
      </c>
      <c r="AM391" s="44" t="s">
        <v>1542</v>
      </c>
      <c r="AN391" s="44" t="s">
        <v>1542</v>
      </c>
      <c r="AO391" s="46">
        <f t="shared" si="30"/>
        <v>0</v>
      </c>
      <c r="AP391" s="43" t="s">
        <v>1542</v>
      </c>
      <c r="AQ391" s="43" t="s">
        <v>1542</v>
      </c>
      <c r="AR391" s="43" t="s">
        <v>1542</v>
      </c>
      <c r="AS391" s="43" t="s">
        <v>1542</v>
      </c>
      <c r="AT391" s="43" t="s">
        <v>1542</v>
      </c>
      <c r="AU391" s="43" t="s">
        <v>1542</v>
      </c>
      <c r="AV391" s="43" t="s">
        <v>1542</v>
      </c>
      <c r="AW391" s="43" t="s">
        <v>1542</v>
      </c>
      <c r="AX391" s="43" t="s">
        <v>1542</v>
      </c>
      <c r="AY391" s="43" t="s">
        <v>1542</v>
      </c>
      <c r="AZ391" s="43" t="s">
        <v>1542</v>
      </c>
      <c r="BA391" s="43" t="s">
        <v>1542</v>
      </c>
      <c r="BB391" s="46">
        <f t="shared" si="31"/>
        <v>0</v>
      </c>
      <c r="BC391" s="44" t="s">
        <v>1542</v>
      </c>
      <c r="BD391" s="44" t="s">
        <v>1542</v>
      </c>
      <c r="BE391" s="44" t="s">
        <v>1542</v>
      </c>
      <c r="BF391" s="44" t="s">
        <v>1542</v>
      </c>
      <c r="BG391" s="44" t="s">
        <v>1542</v>
      </c>
      <c r="BH391" s="44" t="s">
        <v>1542</v>
      </c>
      <c r="BI391" s="44" t="s">
        <v>1542</v>
      </c>
      <c r="BJ391" s="44" t="s">
        <v>1542</v>
      </c>
      <c r="BK391" s="44" t="s">
        <v>1542</v>
      </c>
      <c r="BL391" s="44" t="s">
        <v>1542</v>
      </c>
      <c r="BM391" s="44" t="s">
        <v>1542</v>
      </c>
      <c r="BN391" s="44" t="s">
        <v>1542</v>
      </c>
      <c r="BO391" s="46">
        <f t="shared" si="32"/>
        <v>0</v>
      </c>
      <c r="BP391" s="43" t="s">
        <v>1542</v>
      </c>
      <c r="BQ391" s="43" t="s">
        <v>1542</v>
      </c>
      <c r="BR391" s="43" t="s">
        <v>1542</v>
      </c>
      <c r="BS391" s="43" t="s">
        <v>1542</v>
      </c>
      <c r="BT391" s="43" t="s">
        <v>1542</v>
      </c>
      <c r="BU391" s="43" t="s">
        <v>1542</v>
      </c>
      <c r="BV391" s="43" t="s">
        <v>1542</v>
      </c>
      <c r="BW391" s="43" t="s">
        <v>1542</v>
      </c>
      <c r="BX391" s="43" t="s">
        <v>1542</v>
      </c>
      <c r="BY391" s="43" t="s">
        <v>1542</v>
      </c>
      <c r="BZ391" s="43" t="s">
        <v>1542</v>
      </c>
      <c r="CA391" s="43" t="s">
        <v>1542</v>
      </c>
    </row>
    <row r="392" spans="1:79">
      <c r="A392">
        <v>391</v>
      </c>
      <c r="B392">
        <v>1</v>
      </c>
      <c r="C392" t="s">
        <v>2935</v>
      </c>
      <c r="D392" t="s">
        <v>2936</v>
      </c>
      <c r="E392" t="s">
        <v>3286</v>
      </c>
      <c r="F392" t="s">
        <v>3287</v>
      </c>
      <c r="G392" t="s">
        <v>3317</v>
      </c>
      <c r="H392" t="s">
        <v>3317</v>
      </c>
      <c r="J392" t="s">
        <v>3318</v>
      </c>
      <c r="K392" t="s">
        <v>3319</v>
      </c>
      <c r="M392" s="1" t="s">
        <v>3320</v>
      </c>
      <c r="N392" t="s">
        <v>3321</v>
      </c>
      <c r="O392" s="46">
        <f t="shared" si="33"/>
        <v>0</v>
      </c>
      <c r="P392" s="43" t="s">
        <v>1542</v>
      </c>
      <c r="Q392" s="43" t="s">
        <v>1542</v>
      </c>
      <c r="R392" s="43" t="s">
        <v>1542</v>
      </c>
      <c r="S392" s="43" t="s">
        <v>1542</v>
      </c>
      <c r="T392" s="43" t="s">
        <v>1542</v>
      </c>
      <c r="U392" s="43" t="s">
        <v>1542</v>
      </c>
      <c r="V392" s="43" t="s">
        <v>1542</v>
      </c>
      <c r="W392" s="43" t="s">
        <v>1542</v>
      </c>
      <c r="X392" s="43" t="s">
        <v>1542</v>
      </c>
      <c r="Y392" s="43" t="s">
        <v>1542</v>
      </c>
      <c r="Z392" s="43" t="s">
        <v>1542</v>
      </c>
      <c r="AA392" s="43" t="s">
        <v>1542</v>
      </c>
      <c r="AB392" s="46">
        <f t="shared" si="34"/>
        <v>2</v>
      </c>
      <c r="AC392" s="44" t="s">
        <v>1554</v>
      </c>
      <c r="AD392" s="44" t="s">
        <v>1554</v>
      </c>
      <c r="AE392" s="44" t="s">
        <v>1542</v>
      </c>
      <c r="AF392" s="44" t="s">
        <v>1542</v>
      </c>
      <c r="AG392" s="44" t="s">
        <v>1542</v>
      </c>
      <c r="AH392" s="44" t="s">
        <v>1542</v>
      </c>
      <c r="AI392" s="44" t="s">
        <v>1542</v>
      </c>
      <c r="AJ392" s="44" t="s">
        <v>1542</v>
      </c>
      <c r="AK392" s="44" t="s">
        <v>1542</v>
      </c>
      <c r="AL392" s="44" t="s">
        <v>1542</v>
      </c>
      <c r="AM392" s="44" t="s">
        <v>1542</v>
      </c>
      <c r="AN392" s="44" t="s">
        <v>1542</v>
      </c>
      <c r="AO392" s="46">
        <f t="shared" si="30"/>
        <v>2</v>
      </c>
      <c r="AP392" s="43" t="s">
        <v>1542</v>
      </c>
      <c r="AQ392" s="43" t="s">
        <v>1542</v>
      </c>
      <c r="AR392" s="43" t="s">
        <v>1542</v>
      </c>
      <c r="AS392" s="43" t="s">
        <v>1542</v>
      </c>
      <c r="AT392" s="43" t="s">
        <v>1542</v>
      </c>
      <c r="AU392" s="43" t="s">
        <v>1542</v>
      </c>
      <c r="AV392" s="43" t="s">
        <v>1542</v>
      </c>
      <c r="AW392" s="43" t="s">
        <v>1542</v>
      </c>
      <c r="AX392" s="43" t="s">
        <v>1542</v>
      </c>
      <c r="AY392" s="43" t="s">
        <v>1542</v>
      </c>
      <c r="AZ392" s="43" t="s">
        <v>1554</v>
      </c>
      <c r="BA392" s="43" t="s">
        <v>1554</v>
      </c>
      <c r="BB392" s="46">
        <f t="shared" si="31"/>
        <v>1</v>
      </c>
      <c r="BC392" s="44" t="s">
        <v>1542</v>
      </c>
      <c r="BD392" s="44" t="s">
        <v>1542</v>
      </c>
      <c r="BE392" s="44" t="s">
        <v>1542</v>
      </c>
      <c r="BF392" s="44" t="s">
        <v>1542</v>
      </c>
      <c r="BG392" s="44" t="s">
        <v>1542</v>
      </c>
      <c r="BH392" s="44" t="s">
        <v>1542</v>
      </c>
      <c r="BI392" s="44" t="s">
        <v>1542</v>
      </c>
      <c r="BJ392" s="44" t="s">
        <v>1542</v>
      </c>
      <c r="BK392" s="44" t="s">
        <v>1542</v>
      </c>
      <c r="BL392" s="44" t="s">
        <v>1542</v>
      </c>
      <c r="BM392" s="44" t="s">
        <v>1542</v>
      </c>
      <c r="BN392" s="44" t="s">
        <v>1542</v>
      </c>
      <c r="BO392" s="46">
        <f t="shared" si="32"/>
        <v>0</v>
      </c>
      <c r="BP392" s="43" t="s">
        <v>1542</v>
      </c>
      <c r="BQ392" s="43" t="s">
        <v>1542</v>
      </c>
      <c r="BR392" s="43" t="s">
        <v>1542</v>
      </c>
      <c r="BS392" s="43" t="s">
        <v>1542</v>
      </c>
      <c r="BT392" s="43" t="s">
        <v>1542</v>
      </c>
      <c r="BU392" s="43" t="s">
        <v>1542</v>
      </c>
      <c r="BV392" s="43" t="s">
        <v>1542</v>
      </c>
      <c r="BW392" s="43" t="s">
        <v>1542</v>
      </c>
      <c r="BX392" s="43" t="s">
        <v>1542</v>
      </c>
      <c r="BY392" s="43" t="s">
        <v>1542</v>
      </c>
      <c r="BZ392" s="43" t="s">
        <v>1542</v>
      </c>
      <c r="CA392" s="43" t="s">
        <v>1542</v>
      </c>
    </row>
    <row r="393" spans="1:79">
      <c r="A393">
        <v>392</v>
      </c>
      <c r="B393">
        <v>1</v>
      </c>
      <c r="C393" t="s">
        <v>2935</v>
      </c>
      <c r="D393" t="s">
        <v>2936</v>
      </c>
      <c r="E393" t="s">
        <v>3286</v>
      </c>
      <c r="F393" t="s">
        <v>3287</v>
      </c>
      <c r="G393" t="s">
        <v>3322</v>
      </c>
      <c r="H393" t="s">
        <v>3322</v>
      </c>
      <c r="J393" t="s">
        <v>3323</v>
      </c>
      <c r="K393" t="s">
        <v>3324</v>
      </c>
      <c r="M393" s="1" t="s">
        <v>3325</v>
      </c>
      <c r="N393" t="s">
        <v>3326</v>
      </c>
      <c r="O393" s="46">
        <f t="shared" si="33"/>
        <v>0</v>
      </c>
      <c r="P393" s="43" t="s">
        <v>1542</v>
      </c>
      <c r="Q393" s="43" t="s">
        <v>1542</v>
      </c>
      <c r="R393" s="43" t="s">
        <v>1542</v>
      </c>
      <c r="S393" s="43" t="s">
        <v>1542</v>
      </c>
      <c r="T393" s="43" t="s">
        <v>1542</v>
      </c>
      <c r="U393" s="43" t="s">
        <v>1542</v>
      </c>
      <c r="V393" s="43" t="s">
        <v>1542</v>
      </c>
      <c r="W393" s="43" t="s">
        <v>1542</v>
      </c>
      <c r="X393" s="43" t="s">
        <v>1542</v>
      </c>
      <c r="Y393" s="43" t="s">
        <v>1542</v>
      </c>
      <c r="Z393" s="43" t="s">
        <v>1542</v>
      </c>
      <c r="AA393" s="43" t="s">
        <v>1542</v>
      </c>
      <c r="AB393" s="46">
        <f t="shared" si="34"/>
        <v>0</v>
      </c>
      <c r="AC393" s="44" t="s">
        <v>1542</v>
      </c>
      <c r="AD393" s="44" t="s">
        <v>1542</v>
      </c>
      <c r="AE393" s="44" t="s">
        <v>1542</v>
      </c>
      <c r="AF393" s="44" t="s">
        <v>1542</v>
      </c>
      <c r="AG393" s="44" t="s">
        <v>1542</v>
      </c>
      <c r="AH393" s="44" t="s">
        <v>1542</v>
      </c>
      <c r="AI393" s="44" t="s">
        <v>1542</v>
      </c>
      <c r="AJ393" s="44" t="s">
        <v>1542</v>
      </c>
      <c r="AK393" s="44" t="s">
        <v>1542</v>
      </c>
      <c r="AL393" s="44" t="s">
        <v>1542</v>
      </c>
      <c r="AM393" s="44" t="s">
        <v>1542</v>
      </c>
      <c r="AN393" s="44" t="s">
        <v>1542</v>
      </c>
      <c r="AO393" s="46">
        <f t="shared" si="30"/>
        <v>0</v>
      </c>
      <c r="AP393" s="43" t="s">
        <v>1542</v>
      </c>
      <c r="AQ393" s="43" t="s">
        <v>1542</v>
      </c>
      <c r="AR393" s="43" t="s">
        <v>1542</v>
      </c>
      <c r="AS393" s="43" t="s">
        <v>1542</v>
      </c>
      <c r="AT393" s="43" t="s">
        <v>1542</v>
      </c>
      <c r="AU393" s="43" t="s">
        <v>1542</v>
      </c>
      <c r="AV393" s="43" t="s">
        <v>1542</v>
      </c>
      <c r="AW393" s="43" t="s">
        <v>1542</v>
      </c>
      <c r="AX393" s="43" t="s">
        <v>1542</v>
      </c>
      <c r="AY393" s="43" t="s">
        <v>1542</v>
      </c>
      <c r="AZ393" s="43" t="s">
        <v>1542</v>
      </c>
      <c r="BA393" s="43" t="s">
        <v>1542</v>
      </c>
      <c r="BB393" s="46">
        <f t="shared" si="31"/>
        <v>0</v>
      </c>
      <c r="BC393" s="44" t="s">
        <v>1542</v>
      </c>
      <c r="BD393" s="44" t="s">
        <v>1542</v>
      </c>
      <c r="BE393" s="44" t="s">
        <v>1542</v>
      </c>
      <c r="BF393" s="44" t="s">
        <v>1542</v>
      </c>
      <c r="BG393" s="44" t="s">
        <v>1542</v>
      </c>
      <c r="BH393" s="44" t="s">
        <v>1542</v>
      </c>
      <c r="BI393" s="44" t="s">
        <v>1542</v>
      </c>
      <c r="BJ393" s="44" t="s">
        <v>1542</v>
      </c>
      <c r="BK393" s="44" t="s">
        <v>1542</v>
      </c>
      <c r="BL393" s="44" t="s">
        <v>1542</v>
      </c>
      <c r="BM393" s="44" t="s">
        <v>1542</v>
      </c>
      <c r="BN393" s="44" t="s">
        <v>1542</v>
      </c>
      <c r="BO393" s="46">
        <f t="shared" si="32"/>
        <v>0</v>
      </c>
      <c r="BP393" s="43" t="s">
        <v>1554</v>
      </c>
      <c r="BQ393" s="43" t="s">
        <v>1554</v>
      </c>
      <c r="BR393" s="43" t="s">
        <v>1554</v>
      </c>
      <c r="BS393" s="43" t="s">
        <v>1554</v>
      </c>
      <c r="BT393" s="43" t="s">
        <v>1554</v>
      </c>
      <c r="BU393" s="43" t="s">
        <v>1554</v>
      </c>
      <c r="BV393" s="43" t="s">
        <v>1542</v>
      </c>
      <c r="BW393" s="43" t="s">
        <v>1542</v>
      </c>
      <c r="BX393" s="43" t="s">
        <v>1542</v>
      </c>
      <c r="BY393" s="43" t="s">
        <v>1542</v>
      </c>
      <c r="BZ393" s="43" t="s">
        <v>1542</v>
      </c>
      <c r="CA393" s="43" t="s">
        <v>1542</v>
      </c>
    </row>
    <row r="394" spans="1:79">
      <c r="A394">
        <v>393</v>
      </c>
      <c r="B394">
        <v>1</v>
      </c>
      <c r="C394" t="s">
        <v>2935</v>
      </c>
      <c r="D394" t="s">
        <v>2936</v>
      </c>
      <c r="E394" t="s">
        <v>3286</v>
      </c>
      <c r="F394" t="s">
        <v>3287</v>
      </c>
      <c r="G394" t="s">
        <v>3327</v>
      </c>
      <c r="H394" t="s">
        <v>3327</v>
      </c>
      <c r="J394" t="s">
        <v>3328</v>
      </c>
      <c r="K394" t="s">
        <v>3329</v>
      </c>
      <c r="M394" s="1" t="s">
        <v>3330</v>
      </c>
      <c r="O394" s="46">
        <f t="shared" si="33"/>
        <v>0</v>
      </c>
      <c r="P394" s="43" t="s">
        <v>1542</v>
      </c>
      <c r="Q394" s="43" t="s">
        <v>1542</v>
      </c>
      <c r="R394" s="43" t="s">
        <v>1542</v>
      </c>
      <c r="S394" s="43" t="s">
        <v>1542</v>
      </c>
      <c r="T394" s="43" t="s">
        <v>1542</v>
      </c>
      <c r="U394" s="43" t="s">
        <v>1542</v>
      </c>
      <c r="V394" s="43" t="s">
        <v>1542</v>
      </c>
      <c r="W394" s="43" t="s">
        <v>1542</v>
      </c>
      <c r="X394" s="43" t="s">
        <v>1542</v>
      </c>
      <c r="Y394" s="43" t="s">
        <v>1542</v>
      </c>
      <c r="Z394" s="43" t="s">
        <v>1542</v>
      </c>
      <c r="AA394" s="43" t="s">
        <v>1542</v>
      </c>
      <c r="AB394" s="46">
        <f t="shared" si="34"/>
        <v>0</v>
      </c>
      <c r="AC394" s="44" t="s">
        <v>1542</v>
      </c>
      <c r="AD394" s="44" t="s">
        <v>1542</v>
      </c>
      <c r="AE394" s="44" t="s">
        <v>1542</v>
      </c>
      <c r="AF394" s="44" t="s">
        <v>1542</v>
      </c>
      <c r="AG394" s="44" t="s">
        <v>1542</v>
      </c>
      <c r="AH394" s="44" t="s">
        <v>1542</v>
      </c>
      <c r="AI394" s="44" t="s">
        <v>1542</v>
      </c>
      <c r="AJ394" s="44" t="s">
        <v>1542</v>
      </c>
      <c r="AK394" s="44" t="s">
        <v>1542</v>
      </c>
      <c r="AL394" s="44" t="s">
        <v>1542</v>
      </c>
      <c r="AM394" s="44" t="s">
        <v>1542</v>
      </c>
      <c r="AN394" s="44" t="s">
        <v>1542</v>
      </c>
      <c r="AO394" s="46">
        <f t="shared" si="30"/>
        <v>0</v>
      </c>
      <c r="AP394" s="43" t="s">
        <v>1542</v>
      </c>
      <c r="AQ394" s="43" t="s">
        <v>1542</v>
      </c>
      <c r="AR394" s="43" t="s">
        <v>1542</v>
      </c>
      <c r="AS394" s="43" t="s">
        <v>1542</v>
      </c>
      <c r="AT394" s="43" t="s">
        <v>1542</v>
      </c>
      <c r="AU394" s="43" t="s">
        <v>1542</v>
      </c>
      <c r="AV394" s="43" t="s">
        <v>1542</v>
      </c>
      <c r="AW394" s="43" t="s">
        <v>1542</v>
      </c>
      <c r="AX394" s="43" t="s">
        <v>1542</v>
      </c>
      <c r="AY394" s="43" t="s">
        <v>1542</v>
      </c>
      <c r="AZ394" s="43" t="s">
        <v>1542</v>
      </c>
      <c r="BA394" s="43" t="s">
        <v>1542</v>
      </c>
      <c r="BB394" s="46">
        <f t="shared" si="31"/>
        <v>0</v>
      </c>
      <c r="BC394" s="44" t="s">
        <v>1542</v>
      </c>
      <c r="BD394" s="44" t="s">
        <v>1542</v>
      </c>
      <c r="BE394" s="44" t="s">
        <v>1542</v>
      </c>
      <c r="BF394" s="44" t="s">
        <v>1542</v>
      </c>
      <c r="BG394" s="44" t="s">
        <v>1542</v>
      </c>
      <c r="BH394" s="44" t="s">
        <v>1542</v>
      </c>
      <c r="BI394" s="44" t="s">
        <v>1542</v>
      </c>
      <c r="BJ394" s="44" t="s">
        <v>1542</v>
      </c>
      <c r="BK394" s="44" t="s">
        <v>1542</v>
      </c>
      <c r="BL394" s="44" t="s">
        <v>1542</v>
      </c>
      <c r="BM394" s="44" t="s">
        <v>1542</v>
      </c>
      <c r="BN394" s="44" t="s">
        <v>1542</v>
      </c>
      <c r="BO394" s="46">
        <f t="shared" si="32"/>
        <v>0</v>
      </c>
      <c r="BP394" s="43" t="s">
        <v>1542</v>
      </c>
      <c r="BQ394" s="43" t="s">
        <v>1542</v>
      </c>
      <c r="BR394" s="43" t="s">
        <v>1542</v>
      </c>
      <c r="BS394" s="43" t="s">
        <v>1542</v>
      </c>
      <c r="BT394" s="43" t="s">
        <v>1542</v>
      </c>
      <c r="BU394" s="43" t="s">
        <v>1542</v>
      </c>
      <c r="BV394" s="43" t="s">
        <v>1542</v>
      </c>
      <c r="BW394" s="43" t="s">
        <v>1542</v>
      </c>
      <c r="BX394" s="43" t="s">
        <v>1542</v>
      </c>
      <c r="BY394" s="43" t="s">
        <v>1542</v>
      </c>
      <c r="BZ394" s="43" t="s">
        <v>1542</v>
      </c>
      <c r="CA394" s="43" t="s">
        <v>1542</v>
      </c>
    </row>
    <row r="395" spans="1:79">
      <c r="A395">
        <v>394</v>
      </c>
      <c r="B395">
        <v>1</v>
      </c>
      <c r="C395" t="s">
        <v>2935</v>
      </c>
      <c r="D395" t="s">
        <v>2936</v>
      </c>
      <c r="E395" t="s">
        <v>3286</v>
      </c>
      <c r="F395" t="s">
        <v>3287</v>
      </c>
      <c r="G395" t="s">
        <v>3331</v>
      </c>
      <c r="H395" t="s">
        <v>3331</v>
      </c>
      <c r="J395" t="s">
        <v>3332</v>
      </c>
      <c r="K395" t="s">
        <v>3333</v>
      </c>
      <c r="M395" s="1" t="s">
        <v>3334</v>
      </c>
      <c r="O395" s="46">
        <f t="shared" si="33"/>
        <v>0</v>
      </c>
      <c r="P395" s="43" t="s">
        <v>1542</v>
      </c>
      <c r="Q395" s="43" t="s">
        <v>1542</v>
      </c>
      <c r="R395" s="43" t="s">
        <v>1542</v>
      </c>
      <c r="S395" s="43" t="s">
        <v>1542</v>
      </c>
      <c r="T395" s="43" t="s">
        <v>1542</v>
      </c>
      <c r="U395" s="43" t="s">
        <v>1542</v>
      </c>
      <c r="V395" s="43" t="s">
        <v>1542</v>
      </c>
      <c r="W395" s="43" t="s">
        <v>1542</v>
      </c>
      <c r="X395" s="43" t="s">
        <v>1542</v>
      </c>
      <c r="Y395" s="43" t="s">
        <v>1542</v>
      </c>
      <c r="Z395" s="43" t="s">
        <v>1542</v>
      </c>
      <c r="AA395" s="43" t="s">
        <v>1542</v>
      </c>
      <c r="AB395" s="46">
        <f t="shared" si="34"/>
        <v>0</v>
      </c>
      <c r="AC395" s="44" t="s">
        <v>1542</v>
      </c>
      <c r="AD395" s="44" t="s">
        <v>1542</v>
      </c>
      <c r="AE395" s="44" t="s">
        <v>1542</v>
      </c>
      <c r="AF395" s="44" t="s">
        <v>1542</v>
      </c>
      <c r="AG395" s="44" t="s">
        <v>1542</v>
      </c>
      <c r="AH395" s="44" t="s">
        <v>1542</v>
      </c>
      <c r="AI395" s="44" t="s">
        <v>1542</v>
      </c>
      <c r="AJ395" s="44" t="s">
        <v>1542</v>
      </c>
      <c r="AK395" s="44" t="s">
        <v>1542</v>
      </c>
      <c r="AL395" s="44" t="s">
        <v>1542</v>
      </c>
      <c r="AM395" s="44" t="s">
        <v>1542</v>
      </c>
      <c r="AN395" s="44" t="s">
        <v>1542</v>
      </c>
      <c r="AO395" s="46">
        <f t="shared" si="30"/>
        <v>0</v>
      </c>
      <c r="AP395" s="43" t="s">
        <v>1542</v>
      </c>
      <c r="AQ395" s="43" t="s">
        <v>1542</v>
      </c>
      <c r="AR395" s="43" t="s">
        <v>1542</v>
      </c>
      <c r="AS395" s="43" t="s">
        <v>1542</v>
      </c>
      <c r="AT395" s="43" t="s">
        <v>1542</v>
      </c>
      <c r="AU395" s="43" t="s">
        <v>1542</v>
      </c>
      <c r="AV395" s="43" t="s">
        <v>1542</v>
      </c>
      <c r="AW395" s="43" t="s">
        <v>1542</v>
      </c>
      <c r="AX395" s="43" t="s">
        <v>1542</v>
      </c>
      <c r="AY395" s="43" t="s">
        <v>1542</v>
      </c>
      <c r="AZ395" s="43" t="s">
        <v>1542</v>
      </c>
      <c r="BA395" s="43" t="s">
        <v>1542</v>
      </c>
      <c r="BB395" s="46">
        <f t="shared" si="31"/>
        <v>0</v>
      </c>
      <c r="BC395" s="44" t="s">
        <v>1542</v>
      </c>
      <c r="BD395" s="44" t="s">
        <v>1542</v>
      </c>
      <c r="BE395" s="44" t="s">
        <v>1542</v>
      </c>
      <c r="BF395" s="44" t="s">
        <v>1542</v>
      </c>
      <c r="BG395" s="44" t="s">
        <v>1542</v>
      </c>
      <c r="BH395" s="44" t="s">
        <v>1542</v>
      </c>
      <c r="BI395" s="44" t="s">
        <v>1542</v>
      </c>
      <c r="BJ395" s="44" t="s">
        <v>1542</v>
      </c>
      <c r="BK395" s="44" t="s">
        <v>1542</v>
      </c>
      <c r="BL395" s="44" t="s">
        <v>1542</v>
      </c>
      <c r="BM395" s="44" t="s">
        <v>1542</v>
      </c>
      <c r="BN395" s="44" t="s">
        <v>1542</v>
      </c>
      <c r="BO395" s="46">
        <f t="shared" si="32"/>
        <v>0</v>
      </c>
      <c r="BP395" s="43" t="s">
        <v>1542</v>
      </c>
      <c r="BQ395" s="43" t="s">
        <v>1542</v>
      </c>
      <c r="BR395" s="43" t="s">
        <v>1542</v>
      </c>
      <c r="BS395" s="43" t="s">
        <v>1542</v>
      </c>
      <c r="BT395" s="43" t="s">
        <v>1542</v>
      </c>
      <c r="BU395" s="43" t="s">
        <v>1542</v>
      </c>
      <c r="BV395" s="43" t="s">
        <v>1542</v>
      </c>
      <c r="BW395" s="43" t="s">
        <v>1542</v>
      </c>
      <c r="BX395" s="43" t="s">
        <v>1542</v>
      </c>
      <c r="BY395" s="43" t="s">
        <v>1542</v>
      </c>
      <c r="BZ395" s="43" t="s">
        <v>1542</v>
      </c>
      <c r="CA395" s="43" t="s">
        <v>1542</v>
      </c>
    </row>
    <row r="396" spans="1:79">
      <c r="A396">
        <v>395</v>
      </c>
      <c r="B396">
        <v>1</v>
      </c>
      <c r="C396" t="s">
        <v>2935</v>
      </c>
      <c r="D396" t="s">
        <v>2936</v>
      </c>
      <c r="E396" t="s">
        <v>3286</v>
      </c>
      <c r="F396" t="s">
        <v>3287</v>
      </c>
      <c r="G396" t="s">
        <v>3335</v>
      </c>
      <c r="H396" t="s">
        <v>3335</v>
      </c>
      <c r="J396" t="s">
        <v>3336</v>
      </c>
      <c r="K396" t="s">
        <v>3337</v>
      </c>
      <c r="M396" s="1" t="s">
        <v>3338</v>
      </c>
      <c r="O396" s="46">
        <f t="shared" si="33"/>
        <v>0</v>
      </c>
      <c r="P396" s="43" t="s">
        <v>1542</v>
      </c>
      <c r="Q396" s="43" t="s">
        <v>1542</v>
      </c>
      <c r="R396" s="43" t="s">
        <v>1542</v>
      </c>
      <c r="S396" s="43" t="s">
        <v>1542</v>
      </c>
      <c r="T396" s="43" t="s">
        <v>1542</v>
      </c>
      <c r="U396" s="43" t="s">
        <v>1542</v>
      </c>
      <c r="V396" s="43" t="s">
        <v>1542</v>
      </c>
      <c r="W396" s="43" t="s">
        <v>1542</v>
      </c>
      <c r="X396" s="43" t="s">
        <v>1542</v>
      </c>
      <c r="Y396" s="43" t="s">
        <v>1542</v>
      </c>
      <c r="Z396" s="43" t="s">
        <v>1542</v>
      </c>
      <c r="AA396" s="43" t="s">
        <v>1542</v>
      </c>
      <c r="AB396" s="46">
        <f t="shared" si="34"/>
        <v>0</v>
      </c>
      <c r="AC396" s="44" t="s">
        <v>1542</v>
      </c>
      <c r="AD396" s="44" t="s">
        <v>1542</v>
      </c>
      <c r="AE396" s="44" t="s">
        <v>1542</v>
      </c>
      <c r="AF396" s="44" t="s">
        <v>1542</v>
      </c>
      <c r="AG396" s="44" t="s">
        <v>1542</v>
      </c>
      <c r="AH396" s="44" t="s">
        <v>1542</v>
      </c>
      <c r="AI396" s="44" t="s">
        <v>1542</v>
      </c>
      <c r="AJ396" s="44" t="s">
        <v>1542</v>
      </c>
      <c r="AK396" s="44" t="s">
        <v>1542</v>
      </c>
      <c r="AL396" s="44" t="s">
        <v>1542</v>
      </c>
      <c r="AM396" s="44" t="s">
        <v>1542</v>
      </c>
      <c r="AN396" s="44" t="s">
        <v>1542</v>
      </c>
      <c r="AO396" s="46">
        <f t="shared" si="30"/>
        <v>0</v>
      </c>
      <c r="AP396" s="43" t="s">
        <v>1542</v>
      </c>
      <c r="AQ396" s="43" t="s">
        <v>1542</v>
      </c>
      <c r="AR396" s="43" t="s">
        <v>1542</v>
      </c>
      <c r="AS396" s="43" t="s">
        <v>1542</v>
      </c>
      <c r="AT396" s="43" t="s">
        <v>1542</v>
      </c>
      <c r="AU396" s="43" t="s">
        <v>1542</v>
      </c>
      <c r="AV396" s="43" t="s">
        <v>1542</v>
      </c>
      <c r="AW396" s="43" t="s">
        <v>1542</v>
      </c>
      <c r="AX396" s="43" t="s">
        <v>1542</v>
      </c>
      <c r="AY396" s="43" t="s">
        <v>1542</v>
      </c>
      <c r="AZ396" s="43" t="s">
        <v>1542</v>
      </c>
      <c r="BA396" s="43" t="s">
        <v>1542</v>
      </c>
      <c r="BB396" s="46">
        <f t="shared" si="31"/>
        <v>0</v>
      </c>
      <c r="BC396" s="44" t="s">
        <v>1542</v>
      </c>
      <c r="BD396" s="44" t="s">
        <v>1542</v>
      </c>
      <c r="BE396" s="44" t="s">
        <v>1542</v>
      </c>
      <c r="BF396" s="44" t="s">
        <v>1542</v>
      </c>
      <c r="BG396" s="44" t="s">
        <v>1542</v>
      </c>
      <c r="BH396" s="44" t="s">
        <v>1542</v>
      </c>
      <c r="BI396" s="44" t="s">
        <v>1542</v>
      </c>
      <c r="BJ396" s="44" t="s">
        <v>1542</v>
      </c>
      <c r="BK396" s="44" t="s">
        <v>1542</v>
      </c>
      <c r="BL396" s="44" t="s">
        <v>1542</v>
      </c>
      <c r="BM396" s="44" t="s">
        <v>1542</v>
      </c>
      <c r="BN396" s="44" t="s">
        <v>1542</v>
      </c>
      <c r="BO396" s="46">
        <f t="shared" si="32"/>
        <v>0</v>
      </c>
      <c r="BP396" s="43" t="s">
        <v>1542</v>
      </c>
      <c r="BQ396" s="43" t="s">
        <v>1542</v>
      </c>
      <c r="BR396" s="43" t="s">
        <v>1542</v>
      </c>
      <c r="BS396" s="43" t="s">
        <v>1542</v>
      </c>
      <c r="BT396" s="43" t="s">
        <v>1542</v>
      </c>
      <c r="BU396" s="43" t="s">
        <v>1542</v>
      </c>
      <c r="BV396" s="43" t="s">
        <v>1542</v>
      </c>
      <c r="BW396" s="43" t="s">
        <v>1542</v>
      </c>
      <c r="BX396" s="43" t="s">
        <v>1542</v>
      </c>
      <c r="BY396" s="43" t="s">
        <v>1542</v>
      </c>
      <c r="BZ396" s="43" t="s">
        <v>1542</v>
      </c>
      <c r="CA396" s="43" t="s">
        <v>1542</v>
      </c>
    </row>
    <row r="397" spans="1:79">
      <c r="A397">
        <v>396</v>
      </c>
      <c r="B397">
        <v>1</v>
      </c>
      <c r="C397" t="s">
        <v>2935</v>
      </c>
      <c r="D397" t="s">
        <v>2936</v>
      </c>
      <c r="E397" t="s">
        <v>3286</v>
      </c>
      <c r="F397" t="s">
        <v>3287</v>
      </c>
      <c r="G397" t="s">
        <v>3339</v>
      </c>
      <c r="H397" t="s">
        <v>3339</v>
      </c>
      <c r="J397" t="s">
        <v>3340</v>
      </c>
      <c r="K397" t="s">
        <v>3341</v>
      </c>
      <c r="M397" s="1" t="s">
        <v>3342</v>
      </c>
      <c r="O397" s="46">
        <f t="shared" si="33"/>
        <v>0</v>
      </c>
      <c r="P397" s="43" t="s">
        <v>1542</v>
      </c>
      <c r="Q397" s="43" t="s">
        <v>1542</v>
      </c>
      <c r="R397" s="43" t="s">
        <v>1542</v>
      </c>
      <c r="S397" s="43" t="s">
        <v>1542</v>
      </c>
      <c r="T397" s="43" t="s">
        <v>1542</v>
      </c>
      <c r="U397" s="43" t="s">
        <v>1542</v>
      </c>
      <c r="V397" s="43" t="s">
        <v>1542</v>
      </c>
      <c r="W397" s="43" t="s">
        <v>1542</v>
      </c>
      <c r="X397" s="43" t="s">
        <v>1542</v>
      </c>
      <c r="Y397" s="43" t="s">
        <v>1542</v>
      </c>
      <c r="Z397" s="43" t="s">
        <v>1542</v>
      </c>
      <c r="AA397" s="43" t="s">
        <v>1542</v>
      </c>
      <c r="AB397" s="46">
        <f t="shared" si="34"/>
        <v>0</v>
      </c>
      <c r="AC397" s="44" t="s">
        <v>1542</v>
      </c>
      <c r="AD397" s="44" t="s">
        <v>1542</v>
      </c>
      <c r="AE397" s="44" t="s">
        <v>1542</v>
      </c>
      <c r="AF397" s="44" t="s">
        <v>1542</v>
      </c>
      <c r="AG397" s="44" t="s">
        <v>1542</v>
      </c>
      <c r="AH397" s="44" t="s">
        <v>1542</v>
      </c>
      <c r="AI397" s="44" t="s">
        <v>1542</v>
      </c>
      <c r="AJ397" s="44" t="s">
        <v>1542</v>
      </c>
      <c r="AK397" s="44" t="s">
        <v>1542</v>
      </c>
      <c r="AL397" s="44" t="s">
        <v>1542</v>
      </c>
      <c r="AM397" s="44" t="s">
        <v>1542</v>
      </c>
      <c r="AN397" s="44" t="s">
        <v>1542</v>
      </c>
      <c r="AO397" s="46">
        <f t="shared" si="30"/>
        <v>0</v>
      </c>
      <c r="AP397" s="43" t="s">
        <v>1542</v>
      </c>
      <c r="AQ397" s="43" t="s">
        <v>1542</v>
      </c>
      <c r="AR397" s="43" t="s">
        <v>1542</v>
      </c>
      <c r="AS397" s="43" t="s">
        <v>1542</v>
      </c>
      <c r="AT397" s="43" t="s">
        <v>1542</v>
      </c>
      <c r="AU397" s="43" t="s">
        <v>1542</v>
      </c>
      <c r="AV397" s="43" t="s">
        <v>1542</v>
      </c>
      <c r="AW397" s="43" t="s">
        <v>1542</v>
      </c>
      <c r="AX397" s="43" t="s">
        <v>1542</v>
      </c>
      <c r="AY397" s="43" t="s">
        <v>1542</v>
      </c>
      <c r="AZ397" s="43" t="s">
        <v>1542</v>
      </c>
      <c r="BA397" s="43" t="s">
        <v>1542</v>
      </c>
      <c r="BB397" s="46">
        <f t="shared" si="31"/>
        <v>0</v>
      </c>
      <c r="BC397" s="44" t="s">
        <v>1542</v>
      </c>
      <c r="BD397" s="44" t="s">
        <v>1542</v>
      </c>
      <c r="BE397" s="44" t="s">
        <v>1542</v>
      </c>
      <c r="BF397" s="44" t="s">
        <v>1542</v>
      </c>
      <c r="BG397" s="44" t="s">
        <v>1542</v>
      </c>
      <c r="BH397" s="44" t="s">
        <v>1542</v>
      </c>
      <c r="BI397" s="44" t="s">
        <v>1542</v>
      </c>
      <c r="BJ397" s="44" t="s">
        <v>1542</v>
      </c>
      <c r="BK397" s="44" t="s">
        <v>1542</v>
      </c>
      <c r="BL397" s="44" t="s">
        <v>1542</v>
      </c>
      <c r="BM397" s="44" t="s">
        <v>1542</v>
      </c>
      <c r="BN397" s="44" t="s">
        <v>1542</v>
      </c>
      <c r="BO397" s="46">
        <f t="shared" si="32"/>
        <v>0</v>
      </c>
      <c r="BP397" s="43" t="s">
        <v>1542</v>
      </c>
      <c r="BQ397" s="43" t="s">
        <v>1542</v>
      </c>
      <c r="BR397" s="43" t="s">
        <v>1542</v>
      </c>
      <c r="BS397" s="43" t="s">
        <v>1542</v>
      </c>
      <c r="BT397" s="43" t="s">
        <v>1542</v>
      </c>
      <c r="BU397" s="43" t="s">
        <v>1542</v>
      </c>
      <c r="BV397" s="43" t="s">
        <v>1542</v>
      </c>
      <c r="BW397" s="43" t="s">
        <v>1542</v>
      </c>
      <c r="BX397" s="43" t="s">
        <v>1542</v>
      </c>
      <c r="BY397" s="43" t="s">
        <v>1542</v>
      </c>
      <c r="BZ397" s="43" t="s">
        <v>1542</v>
      </c>
      <c r="CA397" s="43" t="s">
        <v>1542</v>
      </c>
    </row>
    <row r="398" spans="1:79">
      <c r="A398">
        <v>397</v>
      </c>
      <c r="B398">
        <v>1</v>
      </c>
      <c r="C398" t="s">
        <v>2935</v>
      </c>
      <c r="D398" t="s">
        <v>2936</v>
      </c>
      <c r="E398" t="s">
        <v>3286</v>
      </c>
      <c r="F398" t="s">
        <v>3287</v>
      </c>
      <c r="G398" t="s">
        <v>3343</v>
      </c>
      <c r="H398" t="s">
        <v>3343</v>
      </c>
      <c r="J398" t="s">
        <v>3344</v>
      </c>
      <c r="K398" t="s">
        <v>3345</v>
      </c>
      <c r="M398" s="1" t="s">
        <v>3346</v>
      </c>
      <c r="N398" t="s">
        <v>3347</v>
      </c>
      <c r="O398" s="46">
        <f t="shared" si="33"/>
        <v>0</v>
      </c>
      <c r="P398" s="43" t="s">
        <v>1542</v>
      </c>
      <c r="Q398" s="43" t="s">
        <v>1542</v>
      </c>
      <c r="R398" s="43" t="s">
        <v>1542</v>
      </c>
      <c r="S398" s="43" t="s">
        <v>1542</v>
      </c>
      <c r="T398" s="43" t="s">
        <v>1542</v>
      </c>
      <c r="U398" s="43" t="s">
        <v>1542</v>
      </c>
      <c r="V398" s="43" t="s">
        <v>1542</v>
      </c>
      <c r="W398" s="43" t="s">
        <v>1542</v>
      </c>
      <c r="X398" s="43" t="s">
        <v>1542</v>
      </c>
      <c r="Y398" s="43" t="s">
        <v>1542</v>
      </c>
      <c r="Z398" s="43" t="s">
        <v>1542</v>
      </c>
      <c r="AA398" s="43" t="s">
        <v>1542</v>
      </c>
      <c r="AB398" s="46">
        <f t="shared" si="34"/>
        <v>0</v>
      </c>
      <c r="AC398" s="44" t="s">
        <v>1542</v>
      </c>
      <c r="AD398" s="44" t="s">
        <v>1542</v>
      </c>
      <c r="AE398" s="44" t="s">
        <v>1542</v>
      </c>
      <c r="AF398" s="44" t="s">
        <v>1542</v>
      </c>
      <c r="AG398" s="44" t="s">
        <v>1542</v>
      </c>
      <c r="AH398" s="44" t="s">
        <v>1542</v>
      </c>
      <c r="AI398" s="44" t="s">
        <v>1542</v>
      </c>
      <c r="AJ398" s="44" t="s">
        <v>1542</v>
      </c>
      <c r="AK398" s="44" t="s">
        <v>1542</v>
      </c>
      <c r="AL398" s="44" t="s">
        <v>1542</v>
      </c>
      <c r="AM398" s="44" t="s">
        <v>1542</v>
      </c>
      <c r="AN398" s="44" t="s">
        <v>1542</v>
      </c>
      <c r="AO398" s="46">
        <f t="shared" si="30"/>
        <v>0</v>
      </c>
      <c r="AP398" s="43" t="s">
        <v>1542</v>
      </c>
      <c r="AQ398" s="43" t="s">
        <v>1542</v>
      </c>
      <c r="AR398" s="43" t="s">
        <v>1542</v>
      </c>
      <c r="AS398" s="43" t="s">
        <v>1542</v>
      </c>
      <c r="AT398" s="43" t="s">
        <v>1542</v>
      </c>
      <c r="AU398" s="43" t="s">
        <v>1542</v>
      </c>
      <c r="AV398" s="43" t="s">
        <v>1542</v>
      </c>
      <c r="AW398" s="43" t="s">
        <v>1542</v>
      </c>
      <c r="AX398" s="43" t="s">
        <v>1542</v>
      </c>
      <c r="AY398" s="43" t="s">
        <v>1542</v>
      </c>
      <c r="AZ398" s="43" t="s">
        <v>1542</v>
      </c>
      <c r="BA398" s="43" t="s">
        <v>1542</v>
      </c>
      <c r="BB398" s="46">
        <f t="shared" si="31"/>
        <v>0</v>
      </c>
      <c r="BC398" s="44" t="s">
        <v>1542</v>
      </c>
      <c r="BD398" s="44" t="s">
        <v>1542</v>
      </c>
      <c r="BE398" s="44" t="s">
        <v>1542</v>
      </c>
      <c r="BF398" s="44" t="s">
        <v>1542</v>
      </c>
      <c r="BG398" s="44" t="s">
        <v>1542</v>
      </c>
      <c r="BH398" s="44" t="s">
        <v>1542</v>
      </c>
      <c r="BI398" s="44" t="s">
        <v>1542</v>
      </c>
      <c r="BJ398" s="44" t="s">
        <v>1542</v>
      </c>
      <c r="BK398" s="44" t="s">
        <v>1542</v>
      </c>
      <c r="BL398" s="44" t="s">
        <v>1542</v>
      </c>
      <c r="BM398" s="44" t="s">
        <v>1542</v>
      </c>
      <c r="BN398" s="44" t="s">
        <v>1542</v>
      </c>
      <c r="BO398" s="46">
        <f t="shared" si="32"/>
        <v>0</v>
      </c>
      <c r="BP398" s="43" t="s">
        <v>1542</v>
      </c>
      <c r="BQ398" s="43" t="s">
        <v>1542</v>
      </c>
      <c r="BR398" s="43" t="s">
        <v>1542</v>
      </c>
      <c r="BS398" s="43" t="s">
        <v>1542</v>
      </c>
      <c r="BT398" s="43" t="s">
        <v>1542</v>
      </c>
      <c r="BU398" s="43" t="s">
        <v>1542</v>
      </c>
      <c r="BV398" s="43" t="s">
        <v>1542</v>
      </c>
      <c r="BW398" s="43" t="s">
        <v>1542</v>
      </c>
      <c r="BX398" s="43" t="s">
        <v>1542</v>
      </c>
      <c r="BY398" s="43" t="s">
        <v>1542</v>
      </c>
      <c r="BZ398" s="43" t="s">
        <v>1542</v>
      </c>
      <c r="CA398" s="43" t="s">
        <v>1542</v>
      </c>
    </row>
    <row r="399" spans="1:79">
      <c r="A399">
        <v>398</v>
      </c>
      <c r="C399" t="s">
        <v>2935</v>
      </c>
      <c r="D399" t="s">
        <v>2936</v>
      </c>
      <c r="E399" t="s">
        <v>3286</v>
      </c>
      <c r="F399" t="s">
        <v>3287</v>
      </c>
      <c r="G399" t="s">
        <v>3343</v>
      </c>
      <c r="H399" t="s">
        <v>3348</v>
      </c>
      <c r="I399" t="s">
        <v>3348</v>
      </c>
      <c r="J399" t="s">
        <v>3344</v>
      </c>
      <c r="K399" t="s">
        <v>3345</v>
      </c>
      <c r="M399" s="1" t="s">
        <v>3349</v>
      </c>
      <c r="N399" t="s">
        <v>3350</v>
      </c>
      <c r="O399" s="46">
        <f t="shared" si="33"/>
        <v>0</v>
      </c>
      <c r="P399" s="43"/>
      <c r="Q399" s="43"/>
      <c r="R399" s="43"/>
      <c r="S399" s="43"/>
      <c r="T399" s="43"/>
      <c r="U399" s="43"/>
      <c r="V399" s="43"/>
      <c r="W399" s="43"/>
      <c r="X399" s="43"/>
      <c r="Y399" s="43"/>
      <c r="Z399" s="43"/>
      <c r="AA399" s="43"/>
      <c r="AB399" s="46">
        <f t="shared" si="34"/>
        <v>1</v>
      </c>
      <c r="AC399" s="44" t="s">
        <v>1542</v>
      </c>
      <c r="AD399" s="44" t="s">
        <v>1542</v>
      </c>
      <c r="AE399" s="44" t="s">
        <v>1542</v>
      </c>
      <c r="AF399" s="44" t="s">
        <v>1542</v>
      </c>
      <c r="AG399" s="44" t="s">
        <v>1542</v>
      </c>
      <c r="AH399" s="44" t="s">
        <v>1542</v>
      </c>
      <c r="AI399" s="44" t="s">
        <v>1542</v>
      </c>
      <c r="AJ399" s="44" t="s">
        <v>1542</v>
      </c>
      <c r="AK399" s="44" t="s">
        <v>1554</v>
      </c>
      <c r="AL399" s="44"/>
      <c r="AM399" s="44"/>
      <c r="AN399" s="44"/>
      <c r="AO399" s="46">
        <f t="shared" si="30"/>
        <v>1</v>
      </c>
      <c r="AP399" s="43" t="s">
        <v>1542</v>
      </c>
      <c r="AQ399" s="43" t="s">
        <v>1542</v>
      </c>
      <c r="AR399" s="43" t="s">
        <v>1542</v>
      </c>
      <c r="AS399" s="43" t="s">
        <v>1542</v>
      </c>
      <c r="AT399" s="43" t="s">
        <v>1542</v>
      </c>
      <c r="AU399" s="43" t="s">
        <v>1542</v>
      </c>
      <c r="AV399" s="43" t="s">
        <v>1542</v>
      </c>
      <c r="AW399" s="43" t="s">
        <v>1542</v>
      </c>
      <c r="AX399" s="43" t="s">
        <v>1542</v>
      </c>
      <c r="AY399" s="43" t="s">
        <v>1542</v>
      </c>
      <c r="AZ399" s="43" t="s">
        <v>1542</v>
      </c>
      <c r="BA399" s="43" t="s">
        <v>1542</v>
      </c>
      <c r="BB399" s="46">
        <f t="shared" si="31"/>
        <v>0</v>
      </c>
      <c r="BC399" s="44" t="s">
        <v>1542</v>
      </c>
      <c r="BD399" s="44" t="s">
        <v>1542</v>
      </c>
      <c r="BE399" s="44" t="s">
        <v>1542</v>
      </c>
      <c r="BF399" s="44" t="s">
        <v>1542</v>
      </c>
      <c r="BG399" s="44" t="s">
        <v>1542</v>
      </c>
      <c r="BH399" s="44" t="s">
        <v>1542</v>
      </c>
      <c r="BI399" s="44" t="s">
        <v>1542</v>
      </c>
      <c r="BJ399" s="44" t="s">
        <v>1542</v>
      </c>
      <c r="BK399" s="44" t="s">
        <v>1542</v>
      </c>
      <c r="BL399" s="44" t="s">
        <v>1542</v>
      </c>
      <c r="BM399" s="44" t="s">
        <v>1542</v>
      </c>
      <c r="BN399" s="44" t="s">
        <v>1542</v>
      </c>
      <c r="BO399" s="46">
        <f t="shared" si="32"/>
        <v>0</v>
      </c>
      <c r="BP399" s="43" t="s">
        <v>1542</v>
      </c>
      <c r="BQ399" s="43" t="s">
        <v>1542</v>
      </c>
      <c r="BR399" s="43" t="s">
        <v>1542</v>
      </c>
      <c r="BS399" s="43" t="s">
        <v>1542</v>
      </c>
      <c r="BT399" s="43" t="s">
        <v>1542</v>
      </c>
      <c r="BU399" s="43" t="s">
        <v>1542</v>
      </c>
      <c r="BV399" s="43" t="s">
        <v>1542</v>
      </c>
      <c r="BW399" s="43" t="s">
        <v>1542</v>
      </c>
      <c r="BX399" s="43" t="s">
        <v>1542</v>
      </c>
      <c r="BY399" s="43" t="s">
        <v>1542</v>
      </c>
      <c r="BZ399" s="43" t="s">
        <v>1542</v>
      </c>
      <c r="CA399" s="43" t="s">
        <v>1542</v>
      </c>
    </row>
    <row r="400" spans="1:79">
      <c r="A400">
        <v>399</v>
      </c>
      <c r="B400">
        <v>1</v>
      </c>
      <c r="C400" t="s">
        <v>2935</v>
      </c>
      <c r="D400" t="s">
        <v>2936</v>
      </c>
      <c r="E400" t="s">
        <v>3351</v>
      </c>
      <c r="F400" t="s">
        <v>3352</v>
      </c>
      <c r="G400" t="s">
        <v>3353</v>
      </c>
      <c r="H400" t="s">
        <v>3353</v>
      </c>
      <c r="J400" t="s">
        <v>3354</v>
      </c>
      <c r="K400" t="s">
        <v>3355</v>
      </c>
      <c r="M400" s="1" t="s">
        <v>3356</v>
      </c>
      <c r="N400" t="s">
        <v>3357</v>
      </c>
      <c r="O400" s="46">
        <f t="shared" si="33"/>
        <v>0</v>
      </c>
      <c r="P400" s="43" t="s">
        <v>1542</v>
      </c>
      <c r="Q400" s="43" t="s">
        <v>1542</v>
      </c>
      <c r="R400" s="43" t="s">
        <v>1542</v>
      </c>
      <c r="S400" s="43" t="s">
        <v>1542</v>
      </c>
      <c r="T400" s="43" t="s">
        <v>1542</v>
      </c>
      <c r="U400" s="43" t="s">
        <v>1542</v>
      </c>
      <c r="V400" s="43" t="s">
        <v>1542</v>
      </c>
      <c r="W400" s="43" t="s">
        <v>1542</v>
      </c>
      <c r="X400" s="43" t="s">
        <v>1542</v>
      </c>
      <c r="Y400" s="43" t="s">
        <v>1542</v>
      </c>
      <c r="Z400" s="43" t="s">
        <v>1542</v>
      </c>
      <c r="AA400" s="43" t="s">
        <v>1542</v>
      </c>
      <c r="AB400" s="46">
        <f t="shared" si="34"/>
        <v>0</v>
      </c>
      <c r="AC400" s="44" t="s">
        <v>1542</v>
      </c>
      <c r="AD400" s="44" t="s">
        <v>1542</v>
      </c>
      <c r="AE400" s="44" t="s">
        <v>1542</v>
      </c>
      <c r="AF400" s="44" t="s">
        <v>1542</v>
      </c>
      <c r="AG400" s="44" t="s">
        <v>1542</v>
      </c>
      <c r="AH400" s="44" t="s">
        <v>1542</v>
      </c>
      <c r="AI400" s="44" t="s">
        <v>1542</v>
      </c>
      <c r="AJ400" s="44" t="s">
        <v>1542</v>
      </c>
      <c r="AK400" s="44" t="s">
        <v>1542</v>
      </c>
      <c r="AL400" s="44" t="s">
        <v>1542</v>
      </c>
      <c r="AM400" s="44" t="s">
        <v>1542</v>
      </c>
      <c r="AN400" s="44" t="s">
        <v>1542</v>
      </c>
      <c r="AO400" s="46">
        <f t="shared" si="30"/>
        <v>0</v>
      </c>
      <c r="AP400" s="43" t="s">
        <v>1542</v>
      </c>
      <c r="AQ400" s="43" t="s">
        <v>1542</v>
      </c>
      <c r="AR400" s="43" t="s">
        <v>1542</v>
      </c>
      <c r="AS400" s="43" t="s">
        <v>1542</v>
      </c>
      <c r="AT400" s="43" t="s">
        <v>1542</v>
      </c>
      <c r="AU400" s="43" t="s">
        <v>1542</v>
      </c>
      <c r="AV400" s="43" t="s">
        <v>1542</v>
      </c>
      <c r="AW400" s="43" t="s">
        <v>1542</v>
      </c>
      <c r="AX400" s="43" t="s">
        <v>1542</v>
      </c>
      <c r="AY400" s="43" t="s">
        <v>1542</v>
      </c>
      <c r="AZ400" s="43" t="s">
        <v>1542</v>
      </c>
      <c r="BA400" s="43" t="s">
        <v>1542</v>
      </c>
      <c r="BB400" s="46">
        <f t="shared" si="31"/>
        <v>0</v>
      </c>
      <c r="BC400" s="44" t="s">
        <v>1554</v>
      </c>
      <c r="BD400" s="44" t="s">
        <v>1554</v>
      </c>
      <c r="BE400" s="44" t="s">
        <v>1554</v>
      </c>
      <c r="BF400" s="44" t="s">
        <v>1542</v>
      </c>
      <c r="BG400" s="44" t="s">
        <v>1542</v>
      </c>
      <c r="BH400" s="44" t="s">
        <v>1542</v>
      </c>
      <c r="BI400" s="44" t="s">
        <v>1542</v>
      </c>
      <c r="BJ400" s="44" t="s">
        <v>1542</v>
      </c>
      <c r="BK400" s="44" t="s">
        <v>1542</v>
      </c>
      <c r="BL400" s="44" t="s">
        <v>1542</v>
      </c>
      <c r="BM400" s="44" t="s">
        <v>1542</v>
      </c>
      <c r="BN400" s="44" t="s">
        <v>1542</v>
      </c>
      <c r="BO400" s="46">
        <f t="shared" si="32"/>
        <v>3</v>
      </c>
      <c r="BP400" s="43" t="s">
        <v>1542</v>
      </c>
      <c r="BQ400" s="43" t="s">
        <v>1542</v>
      </c>
      <c r="BR400" s="43" t="s">
        <v>1542</v>
      </c>
      <c r="BS400" s="43" t="s">
        <v>1542</v>
      </c>
      <c r="BT400" s="43" t="s">
        <v>1542</v>
      </c>
      <c r="BU400" s="43" t="s">
        <v>1542</v>
      </c>
      <c r="BV400" s="43" t="s">
        <v>1542</v>
      </c>
      <c r="BW400" s="43" t="s">
        <v>1542</v>
      </c>
      <c r="BX400" s="43" t="s">
        <v>1542</v>
      </c>
      <c r="BY400" s="43" t="s">
        <v>1542</v>
      </c>
      <c r="BZ400" s="43" t="s">
        <v>1542</v>
      </c>
      <c r="CA400" s="43" t="s">
        <v>1542</v>
      </c>
    </row>
    <row r="401" spans="1:79">
      <c r="A401">
        <v>400</v>
      </c>
      <c r="B401">
        <v>1</v>
      </c>
      <c r="C401" t="s">
        <v>2935</v>
      </c>
      <c r="D401" t="s">
        <v>2936</v>
      </c>
      <c r="E401" t="s">
        <v>3351</v>
      </c>
      <c r="F401" t="s">
        <v>3352</v>
      </c>
      <c r="G401" t="s">
        <v>3358</v>
      </c>
      <c r="H401" t="s">
        <v>3358</v>
      </c>
      <c r="J401" t="s">
        <v>3359</v>
      </c>
      <c r="K401" t="s">
        <v>3360</v>
      </c>
      <c r="M401" s="1" t="s">
        <v>3361</v>
      </c>
      <c r="O401" s="46">
        <f t="shared" si="33"/>
        <v>0</v>
      </c>
      <c r="P401" s="43" t="s">
        <v>1542</v>
      </c>
      <c r="Q401" s="43" t="s">
        <v>1542</v>
      </c>
      <c r="R401" s="43" t="s">
        <v>1542</v>
      </c>
      <c r="S401" s="43" t="s">
        <v>1542</v>
      </c>
      <c r="T401" s="43" t="s">
        <v>1542</v>
      </c>
      <c r="U401" s="43" t="s">
        <v>1542</v>
      </c>
      <c r="V401" s="43" t="s">
        <v>1542</v>
      </c>
      <c r="W401" s="43" t="s">
        <v>1542</v>
      </c>
      <c r="X401" s="43" t="s">
        <v>1542</v>
      </c>
      <c r="Y401" s="43" t="s">
        <v>1542</v>
      </c>
      <c r="Z401" s="43" t="s">
        <v>1542</v>
      </c>
      <c r="AA401" s="43" t="s">
        <v>1542</v>
      </c>
      <c r="AB401" s="46">
        <f t="shared" si="34"/>
        <v>0</v>
      </c>
      <c r="AC401" s="44" t="s">
        <v>1542</v>
      </c>
      <c r="AD401" s="44" t="s">
        <v>1542</v>
      </c>
      <c r="AE401" s="44" t="s">
        <v>1542</v>
      </c>
      <c r="AF401" s="44" t="s">
        <v>1542</v>
      </c>
      <c r="AG401" s="44" t="s">
        <v>1542</v>
      </c>
      <c r="AH401" s="44" t="s">
        <v>1542</v>
      </c>
      <c r="AI401" s="44" t="s">
        <v>1542</v>
      </c>
      <c r="AJ401" s="44" t="s">
        <v>1542</v>
      </c>
      <c r="AK401" s="44" t="s">
        <v>1542</v>
      </c>
      <c r="AL401" s="44" t="s">
        <v>1542</v>
      </c>
      <c r="AM401" s="44" t="s">
        <v>1542</v>
      </c>
      <c r="AN401" s="44" t="s">
        <v>1542</v>
      </c>
      <c r="AO401" s="46">
        <f t="shared" si="30"/>
        <v>0</v>
      </c>
      <c r="AP401" s="43" t="s">
        <v>1542</v>
      </c>
      <c r="AQ401" s="43" t="s">
        <v>1542</v>
      </c>
      <c r="AR401" s="43" t="s">
        <v>1542</v>
      </c>
      <c r="AS401" s="43" t="s">
        <v>1542</v>
      </c>
      <c r="AT401" s="43" t="s">
        <v>1542</v>
      </c>
      <c r="AU401" s="43" t="s">
        <v>1542</v>
      </c>
      <c r="AV401" s="43" t="s">
        <v>1542</v>
      </c>
      <c r="AW401" s="43" t="s">
        <v>1542</v>
      </c>
      <c r="AX401" s="43" t="s">
        <v>1542</v>
      </c>
      <c r="AY401" s="43" t="s">
        <v>1542</v>
      </c>
      <c r="AZ401" s="43" t="s">
        <v>1542</v>
      </c>
      <c r="BA401" s="43" t="s">
        <v>1542</v>
      </c>
      <c r="BB401" s="46">
        <f t="shared" si="31"/>
        <v>0</v>
      </c>
      <c r="BC401" s="44" t="s">
        <v>1542</v>
      </c>
      <c r="BD401" s="44" t="s">
        <v>1542</v>
      </c>
      <c r="BE401" s="44" t="s">
        <v>1542</v>
      </c>
      <c r="BF401" s="44" t="s">
        <v>1542</v>
      </c>
      <c r="BG401" s="44" t="s">
        <v>1542</v>
      </c>
      <c r="BH401" s="44" t="s">
        <v>1542</v>
      </c>
      <c r="BI401" s="44" t="s">
        <v>1542</v>
      </c>
      <c r="BJ401" s="44" t="s">
        <v>1542</v>
      </c>
      <c r="BK401" s="44" t="s">
        <v>1542</v>
      </c>
      <c r="BL401" s="44" t="s">
        <v>1542</v>
      </c>
      <c r="BM401" s="44" t="s">
        <v>1542</v>
      </c>
      <c r="BN401" s="44" t="s">
        <v>1542</v>
      </c>
      <c r="BO401" s="46">
        <f t="shared" si="32"/>
        <v>0</v>
      </c>
      <c r="BP401" s="43" t="s">
        <v>1542</v>
      </c>
      <c r="BQ401" s="43" t="s">
        <v>1542</v>
      </c>
      <c r="BR401" s="43" t="s">
        <v>1542</v>
      </c>
      <c r="BS401" s="43" t="s">
        <v>1542</v>
      </c>
      <c r="BT401" s="43" t="s">
        <v>1542</v>
      </c>
      <c r="BU401" s="43" t="s">
        <v>1542</v>
      </c>
      <c r="BV401" s="43" t="s">
        <v>1542</v>
      </c>
      <c r="BW401" s="43" t="s">
        <v>1542</v>
      </c>
      <c r="BX401" s="43" t="s">
        <v>1542</v>
      </c>
      <c r="BY401" s="43" t="s">
        <v>1542</v>
      </c>
      <c r="BZ401" s="43" t="s">
        <v>1542</v>
      </c>
      <c r="CA401" s="43" t="s">
        <v>1542</v>
      </c>
    </row>
    <row r="402" spans="1:79">
      <c r="A402">
        <v>401</v>
      </c>
      <c r="B402" t="s">
        <v>1543</v>
      </c>
      <c r="C402" t="s">
        <v>2935</v>
      </c>
      <c r="D402" t="s">
        <v>2936</v>
      </c>
      <c r="E402" t="s">
        <v>3351</v>
      </c>
      <c r="F402" t="s">
        <v>3352</v>
      </c>
      <c r="G402" t="s">
        <v>3362</v>
      </c>
      <c r="H402" t="s">
        <v>3362</v>
      </c>
      <c r="J402" t="s">
        <v>3363</v>
      </c>
      <c r="K402" t="s">
        <v>3364</v>
      </c>
      <c r="M402" s="1" t="s">
        <v>3365</v>
      </c>
      <c r="N402" t="s">
        <v>3366</v>
      </c>
      <c r="O402" s="46">
        <f t="shared" si="33"/>
        <v>0</v>
      </c>
      <c r="P402" s="43"/>
      <c r="Q402" s="43"/>
      <c r="R402" s="43"/>
      <c r="S402" s="43"/>
      <c r="T402" s="43"/>
      <c r="U402" s="43"/>
      <c r="V402" s="43"/>
      <c r="W402" s="43"/>
      <c r="X402" s="43"/>
      <c r="Y402" s="43"/>
      <c r="Z402" s="43"/>
      <c r="AA402" s="43"/>
      <c r="AB402" s="46">
        <f t="shared" si="34"/>
        <v>1</v>
      </c>
      <c r="AC402" s="44" t="s">
        <v>1542</v>
      </c>
      <c r="AD402" s="44" t="s">
        <v>1542</v>
      </c>
      <c r="AE402" s="44" t="s">
        <v>1542</v>
      </c>
      <c r="AF402" s="44" t="s">
        <v>1542</v>
      </c>
      <c r="AG402" s="44" t="s">
        <v>1542</v>
      </c>
      <c r="AH402" s="44" t="s">
        <v>1542</v>
      </c>
      <c r="AI402" s="44" t="s">
        <v>1542</v>
      </c>
      <c r="AJ402" s="44" t="s">
        <v>1542</v>
      </c>
      <c r="AK402" s="44" t="s">
        <v>1554</v>
      </c>
      <c r="AL402" s="44"/>
      <c r="AM402" s="44"/>
      <c r="AN402" s="44"/>
      <c r="AO402" s="46">
        <f t="shared" si="30"/>
        <v>1</v>
      </c>
      <c r="AP402" s="43" t="s">
        <v>1542</v>
      </c>
      <c r="AQ402" s="43" t="s">
        <v>1542</v>
      </c>
      <c r="AR402" s="43" t="s">
        <v>1542</v>
      </c>
      <c r="AS402" s="43" t="s">
        <v>1542</v>
      </c>
      <c r="AT402" s="43" t="s">
        <v>1542</v>
      </c>
      <c r="AU402" s="43" t="s">
        <v>1542</v>
      </c>
      <c r="AV402" s="43" t="s">
        <v>1542</v>
      </c>
      <c r="AW402" s="43" t="s">
        <v>1542</v>
      </c>
      <c r="AX402" s="43" t="s">
        <v>1542</v>
      </c>
      <c r="AY402" s="43" t="s">
        <v>1542</v>
      </c>
      <c r="AZ402" s="43" t="s">
        <v>1542</v>
      </c>
      <c r="BA402" s="43" t="s">
        <v>1542</v>
      </c>
      <c r="BB402" s="46">
        <f t="shared" si="31"/>
        <v>0</v>
      </c>
      <c r="BC402" s="44" t="s">
        <v>1542</v>
      </c>
      <c r="BD402" s="44" t="s">
        <v>1542</v>
      </c>
      <c r="BE402" s="44" t="s">
        <v>1542</v>
      </c>
      <c r="BF402" s="44" t="s">
        <v>1542</v>
      </c>
      <c r="BG402" s="44" t="s">
        <v>1542</v>
      </c>
      <c r="BH402" s="44" t="s">
        <v>1542</v>
      </c>
      <c r="BI402" s="44" t="s">
        <v>1542</v>
      </c>
      <c r="BJ402" s="44" t="s">
        <v>1542</v>
      </c>
      <c r="BK402" s="44" t="s">
        <v>1542</v>
      </c>
      <c r="BL402" s="44" t="s">
        <v>1542</v>
      </c>
      <c r="BM402" s="44" t="s">
        <v>1542</v>
      </c>
      <c r="BN402" s="44" t="s">
        <v>1542</v>
      </c>
      <c r="BO402" s="46">
        <f t="shared" si="32"/>
        <v>0</v>
      </c>
      <c r="BP402" s="43" t="s">
        <v>1542</v>
      </c>
      <c r="BQ402" s="43" t="s">
        <v>1542</v>
      </c>
      <c r="BR402" s="43" t="s">
        <v>1542</v>
      </c>
      <c r="BS402" s="43" t="s">
        <v>1542</v>
      </c>
      <c r="BT402" s="43" t="s">
        <v>1542</v>
      </c>
      <c r="BU402" s="43" t="s">
        <v>1542</v>
      </c>
      <c r="BV402" s="43" t="s">
        <v>1542</v>
      </c>
      <c r="BW402" s="43" t="s">
        <v>1542</v>
      </c>
      <c r="BX402" s="43" t="s">
        <v>1542</v>
      </c>
      <c r="BY402" s="43" t="s">
        <v>1542</v>
      </c>
      <c r="BZ402" s="43" t="s">
        <v>1542</v>
      </c>
      <c r="CA402" s="43" t="s">
        <v>1542</v>
      </c>
    </row>
    <row r="403" spans="1:79">
      <c r="A403">
        <v>402</v>
      </c>
      <c r="B403">
        <v>1</v>
      </c>
      <c r="C403" t="s">
        <v>2935</v>
      </c>
      <c r="D403" t="s">
        <v>2936</v>
      </c>
      <c r="E403" t="s">
        <v>3351</v>
      </c>
      <c r="F403" t="s">
        <v>3352</v>
      </c>
      <c r="G403" t="s">
        <v>3367</v>
      </c>
      <c r="H403" t="s">
        <v>3367</v>
      </c>
      <c r="J403" t="s">
        <v>3368</v>
      </c>
      <c r="K403" t="s">
        <v>3369</v>
      </c>
      <c r="M403" s="1" t="s">
        <v>3370</v>
      </c>
      <c r="N403" t="s">
        <v>3371</v>
      </c>
      <c r="O403" s="46">
        <f t="shared" si="33"/>
        <v>0</v>
      </c>
      <c r="P403" s="43" t="s">
        <v>1542</v>
      </c>
      <c r="Q403" s="43" t="s">
        <v>1542</v>
      </c>
      <c r="R403" s="43" t="s">
        <v>1542</v>
      </c>
      <c r="S403" s="43" t="s">
        <v>1542</v>
      </c>
      <c r="T403" s="43" t="s">
        <v>1542</v>
      </c>
      <c r="U403" s="43" t="s">
        <v>1542</v>
      </c>
      <c r="V403" s="43" t="s">
        <v>1542</v>
      </c>
      <c r="W403" s="43" t="s">
        <v>1542</v>
      </c>
      <c r="X403" s="43" t="s">
        <v>1542</v>
      </c>
      <c r="Y403" s="43" t="s">
        <v>1542</v>
      </c>
      <c r="Z403" s="43" t="s">
        <v>1542</v>
      </c>
      <c r="AA403" s="43" t="s">
        <v>1542</v>
      </c>
      <c r="AB403" s="46">
        <f t="shared" si="34"/>
        <v>3</v>
      </c>
      <c r="AC403" s="44"/>
      <c r="AD403" s="44"/>
      <c r="AE403" s="44"/>
      <c r="AF403" s="44"/>
      <c r="AG403" s="44"/>
      <c r="AH403" s="44"/>
      <c r="AI403" s="44" t="s">
        <v>1554</v>
      </c>
      <c r="AJ403" s="44" t="s">
        <v>1554</v>
      </c>
      <c r="AK403" s="44" t="s">
        <v>1554</v>
      </c>
      <c r="AL403" s="44" t="s">
        <v>1542</v>
      </c>
      <c r="AM403" s="44" t="s">
        <v>1542</v>
      </c>
      <c r="AN403" s="44" t="s">
        <v>1542</v>
      </c>
      <c r="AO403" s="46">
        <f t="shared" si="30"/>
        <v>3</v>
      </c>
      <c r="AP403" s="43"/>
      <c r="AQ403" s="43"/>
      <c r="AR403" s="43"/>
      <c r="AS403" s="43"/>
      <c r="AT403" s="43"/>
      <c r="AU403" s="43"/>
      <c r="AV403" s="43"/>
      <c r="AW403" s="43"/>
      <c r="AX403" s="43"/>
      <c r="AY403" s="43"/>
      <c r="AZ403" s="43"/>
      <c r="BA403" s="43"/>
      <c r="BB403" s="46">
        <f t="shared" si="31"/>
        <v>0</v>
      </c>
      <c r="BC403" s="44"/>
      <c r="BD403" s="44"/>
      <c r="BE403" s="44"/>
      <c r="BF403" s="44"/>
      <c r="BG403" s="44"/>
      <c r="BH403" s="44"/>
      <c r="BI403" s="44"/>
      <c r="BJ403" s="44"/>
      <c r="BK403" s="44"/>
      <c r="BL403" s="44"/>
      <c r="BM403" s="44"/>
      <c r="BN403" s="44"/>
      <c r="BO403" s="46">
        <f t="shared" si="32"/>
        <v>0</v>
      </c>
      <c r="BP403" s="43"/>
      <c r="BQ403" s="43"/>
      <c r="BR403" s="43"/>
      <c r="BS403" s="43"/>
      <c r="BT403" s="43"/>
      <c r="BU403" s="43"/>
      <c r="BV403" s="43"/>
      <c r="BW403" s="43"/>
      <c r="BX403" s="43"/>
      <c r="BY403" s="43"/>
      <c r="BZ403" s="43"/>
      <c r="CA403" s="43"/>
    </row>
    <row r="404" spans="1:79">
      <c r="A404">
        <v>403</v>
      </c>
      <c r="B404">
        <v>1</v>
      </c>
      <c r="C404" t="s">
        <v>2935</v>
      </c>
      <c r="D404" t="s">
        <v>2936</v>
      </c>
      <c r="E404" t="s">
        <v>3351</v>
      </c>
      <c r="F404" t="s">
        <v>3352</v>
      </c>
      <c r="G404" t="s">
        <v>3372</v>
      </c>
      <c r="H404" t="s">
        <v>3372</v>
      </c>
      <c r="J404" t="s">
        <v>3373</v>
      </c>
      <c r="K404" t="s">
        <v>3374</v>
      </c>
      <c r="M404" s="1" t="s">
        <v>3375</v>
      </c>
      <c r="O404" s="46">
        <f t="shared" si="33"/>
        <v>0</v>
      </c>
      <c r="P404" s="43" t="s">
        <v>1542</v>
      </c>
      <c r="Q404" s="43" t="s">
        <v>1542</v>
      </c>
      <c r="R404" s="43" t="s">
        <v>1542</v>
      </c>
      <c r="S404" s="43" t="s">
        <v>1542</v>
      </c>
      <c r="T404" s="43" t="s">
        <v>1542</v>
      </c>
      <c r="U404" s="43" t="s">
        <v>1542</v>
      </c>
      <c r="V404" s="43" t="s">
        <v>1542</v>
      </c>
      <c r="W404" s="43" t="s">
        <v>1542</v>
      </c>
      <c r="X404" s="43" t="s">
        <v>1542</v>
      </c>
      <c r="Y404" s="43" t="s">
        <v>1542</v>
      </c>
      <c r="Z404" s="43" t="s">
        <v>1542</v>
      </c>
      <c r="AA404" s="43" t="s">
        <v>1542</v>
      </c>
      <c r="AB404" s="46">
        <f t="shared" si="34"/>
        <v>0</v>
      </c>
      <c r="AC404" s="44" t="s">
        <v>1542</v>
      </c>
      <c r="AD404" s="44" t="s">
        <v>1542</v>
      </c>
      <c r="AE404" s="44" t="s">
        <v>1542</v>
      </c>
      <c r="AF404" s="44" t="s">
        <v>1542</v>
      </c>
      <c r="AG404" s="44" t="s">
        <v>1542</v>
      </c>
      <c r="AH404" s="44" t="s">
        <v>1542</v>
      </c>
      <c r="AI404" s="44" t="s">
        <v>1542</v>
      </c>
      <c r="AJ404" s="44" t="s">
        <v>1542</v>
      </c>
      <c r="AK404" s="44" t="s">
        <v>1542</v>
      </c>
      <c r="AL404" s="44" t="s">
        <v>1542</v>
      </c>
      <c r="AM404" s="44" t="s">
        <v>1542</v>
      </c>
      <c r="AN404" s="44" t="s">
        <v>1542</v>
      </c>
      <c r="AO404" s="46">
        <f t="shared" si="30"/>
        <v>0</v>
      </c>
      <c r="AP404" s="43" t="s">
        <v>1542</v>
      </c>
      <c r="AQ404" s="43" t="s">
        <v>1542</v>
      </c>
      <c r="AR404" s="43" t="s">
        <v>1542</v>
      </c>
      <c r="AS404" s="43" t="s">
        <v>1542</v>
      </c>
      <c r="AT404" s="43" t="s">
        <v>1542</v>
      </c>
      <c r="AU404" s="43" t="s">
        <v>1542</v>
      </c>
      <c r="AV404" s="43" t="s">
        <v>1542</v>
      </c>
      <c r="AW404" s="43" t="s">
        <v>1542</v>
      </c>
      <c r="AX404" s="43" t="s">
        <v>1542</v>
      </c>
      <c r="AY404" s="43" t="s">
        <v>1542</v>
      </c>
      <c r="AZ404" s="43" t="s">
        <v>1542</v>
      </c>
      <c r="BA404" s="43" t="s">
        <v>1542</v>
      </c>
      <c r="BB404" s="46">
        <f t="shared" si="31"/>
        <v>0</v>
      </c>
      <c r="BC404" s="44" t="s">
        <v>1542</v>
      </c>
      <c r="BD404" s="44" t="s">
        <v>1542</v>
      </c>
      <c r="BE404" s="44" t="s">
        <v>1542</v>
      </c>
      <c r="BF404" s="44" t="s">
        <v>1542</v>
      </c>
      <c r="BG404" s="44" t="s">
        <v>1542</v>
      </c>
      <c r="BH404" s="44" t="s">
        <v>1542</v>
      </c>
      <c r="BI404" s="44" t="s">
        <v>1542</v>
      </c>
      <c r="BJ404" s="44" t="s">
        <v>1542</v>
      </c>
      <c r="BK404" s="44" t="s">
        <v>1542</v>
      </c>
      <c r="BL404" s="44" t="s">
        <v>1542</v>
      </c>
      <c r="BM404" s="44" t="s">
        <v>1542</v>
      </c>
      <c r="BN404" s="44" t="s">
        <v>1542</v>
      </c>
      <c r="BO404" s="46">
        <f t="shared" si="32"/>
        <v>0</v>
      </c>
      <c r="BP404" s="43" t="s">
        <v>1542</v>
      </c>
      <c r="BQ404" s="43" t="s">
        <v>1542</v>
      </c>
      <c r="BR404" s="43" t="s">
        <v>1542</v>
      </c>
      <c r="BS404" s="43" t="s">
        <v>1542</v>
      </c>
      <c r="BT404" s="43" t="s">
        <v>1542</v>
      </c>
      <c r="BU404" s="43" t="s">
        <v>1542</v>
      </c>
      <c r="BV404" s="43" t="s">
        <v>1542</v>
      </c>
      <c r="BW404" s="43" t="s">
        <v>1542</v>
      </c>
      <c r="BX404" s="43" t="s">
        <v>1542</v>
      </c>
      <c r="BY404" s="43" t="s">
        <v>1542</v>
      </c>
      <c r="BZ404" s="43" t="s">
        <v>1542</v>
      </c>
      <c r="CA404" s="43" t="s">
        <v>1542</v>
      </c>
    </row>
    <row r="405" spans="1:79">
      <c r="A405">
        <v>404</v>
      </c>
      <c r="B405">
        <v>1</v>
      </c>
      <c r="C405" t="s">
        <v>2935</v>
      </c>
      <c r="D405" t="s">
        <v>2936</v>
      </c>
      <c r="E405" t="s">
        <v>3351</v>
      </c>
      <c r="F405" t="s">
        <v>3352</v>
      </c>
      <c r="G405" t="s">
        <v>3376</v>
      </c>
      <c r="H405" t="s">
        <v>3376</v>
      </c>
      <c r="J405" t="s">
        <v>3377</v>
      </c>
      <c r="K405" t="s">
        <v>3378</v>
      </c>
      <c r="M405" s="1" t="s">
        <v>3379</v>
      </c>
      <c r="O405" s="46">
        <f t="shared" si="33"/>
        <v>0</v>
      </c>
      <c r="P405" s="43" t="s">
        <v>1542</v>
      </c>
      <c r="Q405" s="43" t="s">
        <v>1542</v>
      </c>
      <c r="R405" s="43" t="s">
        <v>1542</v>
      </c>
      <c r="S405" s="43" t="s">
        <v>1542</v>
      </c>
      <c r="T405" s="43" t="s">
        <v>1542</v>
      </c>
      <c r="U405" s="43" t="s">
        <v>1542</v>
      </c>
      <c r="V405" s="43" t="s">
        <v>1542</v>
      </c>
      <c r="W405" s="43" t="s">
        <v>1542</v>
      </c>
      <c r="X405" s="43" t="s">
        <v>1542</v>
      </c>
      <c r="Y405" s="43" t="s">
        <v>1542</v>
      </c>
      <c r="Z405" s="43" t="s">
        <v>1542</v>
      </c>
      <c r="AA405" s="43" t="s">
        <v>1542</v>
      </c>
      <c r="AB405" s="46">
        <f t="shared" si="34"/>
        <v>0</v>
      </c>
      <c r="AC405" s="44" t="s">
        <v>1542</v>
      </c>
      <c r="AD405" s="44" t="s">
        <v>1542</v>
      </c>
      <c r="AE405" s="44" t="s">
        <v>1542</v>
      </c>
      <c r="AF405" s="44" t="s">
        <v>1542</v>
      </c>
      <c r="AG405" s="44" t="s">
        <v>1542</v>
      </c>
      <c r="AH405" s="44" t="s">
        <v>1542</v>
      </c>
      <c r="AI405" s="44" t="s">
        <v>1542</v>
      </c>
      <c r="AJ405" s="44" t="s">
        <v>1542</v>
      </c>
      <c r="AK405" s="44" t="s">
        <v>1542</v>
      </c>
      <c r="AL405" s="44" t="s">
        <v>1542</v>
      </c>
      <c r="AM405" s="44" t="s">
        <v>1542</v>
      </c>
      <c r="AN405" s="44" t="s">
        <v>1542</v>
      </c>
      <c r="AO405" s="46">
        <f t="shared" si="30"/>
        <v>0</v>
      </c>
      <c r="AP405" s="43" t="s">
        <v>1542</v>
      </c>
      <c r="AQ405" s="43" t="s">
        <v>1542</v>
      </c>
      <c r="AR405" s="43" t="s">
        <v>1542</v>
      </c>
      <c r="AS405" s="43" t="s">
        <v>1542</v>
      </c>
      <c r="AT405" s="43" t="s">
        <v>1542</v>
      </c>
      <c r="AU405" s="43" t="s">
        <v>1542</v>
      </c>
      <c r="AV405" s="43" t="s">
        <v>1542</v>
      </c>
      <c r="AW405" s="43" t="s">
        <v>1542</v>
      </c>
      <c r="AX405" s="43" t="s">
        <v>1542</v>
      </c>
      <c r="AY405" s="43" t="s">
        <v>1542</v>
      </c>
      <c r="AZ405" s="43" t="s">
        <v>1542</v>
      </c>
      <c r="BA405" s="43" t="s">
        <v>1542</v>
      </c>
      <c r="BB405" s="46">
        <f t="shared" si="31"/>
        <v>0</v>
      </c>
      <c r="BC405" s="44" t="s">
        <v>1542</v>
      </c>
      <c r="BD405" s="44" t="s">
        <v>1542</v>
      </c>
      <c r="BE405" s="44" t="s">
        <v>1542</v>
      </c>
      <c r="BF405" s="44" t="s">
        <v>1542</v>
      </c>
      <c r="BG405" s="44" t="s">
        <v>1542</v>
      </c>
      <c r="BH405" s="44" t="s">
        <v>1542</v>
      </c>
      <c r="BI405" s="44" t="s">
        <v>1542</v>
      </c>
      <c r="BJ405" s="44" t="s">
        <v>1542</v>
      </c>
      <c r="BK405" s="44" t="s">
        <v>1542</v>
      </c>
      <c r="BL405" s="44" t="s">
        <v>1542</v>
      </c>
      <c r="BM405" s="44" t="s">
        <v>1542</v>
      </c>
      <c r="BN405" s="44" t="s">
        <v>1542</v>
      </c>
      <c r="BO405" s="46">
        <f t="shared" si="32"/>
        <v>0</v>
      </c>
      <c r="BP405" s="43" t="s">
        <v>1542</v>
      </c>
      <c r="BQ405" s="43" t="s">
        <v>1542</v>
      </c>
      <c r="BR405" s="43" t="s">
        <v>1542</v>
      </c>
      <c r="BS405" s="43" t="s">
        <v>1542</v>
      </c>
      <c r="BT405" s="43" t="s">
        <v>1542</v>
      </c>
      <c r="BU405" s="43" t="s">
        <v>1542</v>
      </c>
      <c r="BV405" s="43" t="s">
        <v>1542</v>
      </c>
      <c r="BW405" s="43" t="s">
        <v>1542</v>
      </c>
      <c r="BX405" s="43" t="s">
        <v>1542</v>
      </c>
      <c r="BY405" s="43" t="s">
        <v>1542</v>
      </c>
      <c r="BZ405" s="43" t="s">
        <v>1542</v>
      </c>
      <c r="CA405" s="43" t="s">
        <v>1542</v>
      </c>
    </row>
    <row r="406" spans="1:79">
      <c r="A406">
        <v>405</v>
      </c>
      <c r="B406">
        <v>1</v>
      </c>
      <c r="C406" t="s">
        <v>2935</v>
      </c>
      <c r="D406" t="s">
        <v>2936</v>
      </c>
      <c r="E406" t="s">
        <v>3351</v>
      </c>
      <c r="F406" t="s">
        <v>3352</v>
      </c>
      <c r="G406" t="s">
        <v>3380</v>
      </c>
      <c r="H406" t="s">
        <v>3380</v>
      </c>
      <c r="J406" t="s">
        <v>3381</v>
      </c>
      <c r="K406" t="s">
        <v>3382</v>
      </c>
      <c r="M406" s="1" t="s">
        <v>3383</v>
      </c>
      <c r="O406" s="46">
        <f t="shared" si="33"/>
        <v>0</v>
      </c>
      <c r="P406" s="43" t="s">
        <v>1542</v>
      </c>
      <c r="Q406" s="43" t="s">
        <v>1542</v>
      </c>
      <c r="R406" s="43" t="s">
        <v>1542</v>
      </c>
      <c r="S406" s="43" t="s">
        <v>1542</v>
      </c>
      <c r="T406" s="43" t="s">
        <v>1542</v>
      </c>
      <c r="U406" s="43" t="s">
        <v>1542</v>
      </c>
      <c r="V406" s="43" t="s">
        <v>1542</v>
      </c>
      <c r="W406" s="43" t="s">
        <v>1542</v>
      </c>
      <c r="X406" s="43" t="s">
        <v>1542</v>
      </c>
      <c r="Y406" s="43" t="s">
        <v>1542</v>
      </c>
      <c r="Z406" s="43" t="s">
        <v>1542</v>
      </c>
      <c r="AA406" s="43" t="s">
        <v>1542</v>
      </c>
      <c r="AB406" s="46">
        <f t="shared" si="34"/>
        <v>0</v>
      </c>
      <c r="AC406" s="44" t="s">
        <v>1542</v>
      </c>
      <c r="AD406" s="44" t="s">
        <v>1542</v>
      </c>
      <c r="AE406" s="44" t="s">
        <v>1542</v>
      </c>
      <c r="AF406" s="44" t="s">
        <v>1542</v>
      </c>
      <c r="AG406" s="44" t="s">
        <v>1542</v>
      </c>
      <c r="AH406" s="44" t="s">
        <v>1542</v>
      </c>
      <c r="AI406" s="44" t="s">
        <v>1542</v>
      </c>
      <c r="AJ406" s="44" t="s">
        <v>1542</v>
      </c>
      <c r="AK406" s="44" t="s">
        <v>1542</v>
      </c>
      <c r="AL406" s="44" t="s">
        <v>1542</v>
      </c>
      <c r="AM406" s="44" t="s">
        <v>1542</v>
      </c>
      <c r="AN406" s="44" t="s">
        <v>1542</v>
      </c>
      <c r="AO406" s="46">
        <f t="shared" si="30"/>
        <v>0</v>
      </c>
      <c r="AP406" s="43" t="s">
        <v>1542</v>
      </c>
      <c r="AQ406" s="43" t="s">
        <v>1542</v>
      </c>
      <c r="AR406" s="43" t="s">
        <v>1542</v>
      </c>
      <c r="AS406" s="43" t="s">
        <v>1542</v>
      </c>
      <c r="AT406" s="43" t="s">
        <v>1542</v>
      </c>
      <c r="AU406" s="43" t="s">
        <v>1542</v>
      </c>
      <c r="AV406" s="43" t="s">
        <v>1542</v>
      </c>
      <c r="AW406" s="43" t="s">
        <v>1542</v>
      </c>
      <c r="AX406" s="43" t="s">
        <v>1542</v>
      </c>
      <c r="AY406" s="43" t="s">
        <v>1542</v>
      </c>
      <c r="AZ406" s="43" t="s">
        <v>1542</v>
      </c>
      <c r="BA406" s="43" t="s">
        <v>1542</v>
      </c>
      <c r="BB406" s="46">
        <f t="shared" si="31"/>
        <v>0</v>
      </c>
      <c r="BC406" s="44" t="s">
        <v>1542</v>
      </c>
      <c r="BD406" s="44" t="s">
        <v>1542</v>
      </c>
      <c r="BE406" s="44" t="s">
        <v>1542</v>
      </c>
      <c r="BF406" s="44" t="s">
        <v>1542</v>
      </c>
      <c r="BG406" s="44" t="s">
        <v>1542</v>
      </c>
      <c r="BH406" s="44" t="s">
        <v>1542</v>
      </c>
      <c r="BI406" s="44" t="s">
        <v>1542</v>
      </c>
      <c r="BJ406" s="44" t="s">
        <v>1542</v>
      </c>
      <c r="BK406" s="44" t="s">
        <v>1542</v>
      </c>
      <c r="BL406" s="44" t="s">
        <v>1542</v>
      </c>
      <c r="BM406" s="44" t="s">
        <v>1542</v>
      </c>
      <c r="BN406" s="44" t="s">
        <v>1542</v>
      </c>
      <c r="BO406" s="46">
        <f t="shared" si="32"/>
        <v>0</v>
      </c>
      <c r="BP406" s="43" t="s">
        <v>1542</v>
      </c>
      <c r="BQ406" s="43" t="s">
        <v>1542</v>
      </c>
      <c r="BR406" s="43" t="s">
        <v>1542</v>
      </c>
      <c r="BS406" s="43" t="s">
        <v>1542</v>
      </c>
      <c r="BT406" s="43" t="s">
        <v>1542</v>
      </c>
      <c r="BU406" s="43" t="s">
        <v>1542</v>
      </c>
      <c r="BV406" s="43" t="s">
        <v>1542</v>
      </c>
      <c r="BW406" s="43" t="s">
        <v>1542</v>
      </c>
      <c r="BX406" s="43" t="s">
        <v>1542</v>
      </c>
      <c r="BY406" s="43" t="s">
        <v>1542</v>
      </c>
      <c r="BZ406" s="43" t="s">
        <v>1542</v>
      </c>
      <c r="CA406" s="43" t="s">
        <v>1542</v>
      </c>
    </row>
    <row r="407" spans="1:79">
      <c r="A407">
        <v>406</v>
      </c>
      <c r="B407">
        <v>1</v>
      </c>
      <c r="C407" t="s">
        <v>2935</v>
      </c>
      <c r="D407" t="s">
        <v>2936</v>
      </c>
      <c r="E407" t="s">
        <v>3351</v>
      </c>
      <c r="F407" t="s">
        <v>3352</v>
      </c>
      <c r="G407" t="s">
        <v>3384</v>
      </c>
      <c r="H407" t="s">
        <v>3384</v>
      </c>
      <c r="J407" t="s">
        <v>3385</v>
      </c>
      <c r="K407" t="s">
        <v>3386</v>
      </c>
      <c r="M407" s="1" t="s">
        <v>3387</v>
      </c>
      <c r="O407" s="46">
        <f t="shared" si="33"/>
        <v>0</v>
      </c>
      <c r="P407" s="43" t="s">
        <v>1542</v>
      </c>
      <c r="Q407" s="43" t="s">
        <v>1542</v>
      </c>
      <c r="R407" s="43" t="s">
        <v>1542</v>
      </c>
      <c r="S407" s="43" t="s">
        <v>1542</v>
      </c>
      <c r="T407" s="43" t="s">
        <v>1542</v>
      </c>
      <c r="U407" s="43" t="s">
        <v>1542</v>
      </c>
      <c r="V407" s="43" t="s">
        <v>1542</v>
      </c>
      <c r="W407" s="43" t="s">
        <v>1542</v>
      </c>
      <c r="X407" s="43" t="s">
        <v>1542</v>
      </c>
      <c r="Y407" s="43" t="s">
        <v>1542</v>
      </c>
      <c r="Z407" s="43" t="s">
        <v>1542</v>
      </c>
      <c r="AA407" s="43" t="s">
        <v>1542</v>
      </c>
      <c r="AB407" s="46">
        <f t="shared" si="34"/>
        <v>0</v>
      </c>
      <c r="AC407" s="44" t="s">
        <v>1542</v>
      </c>
      <c r="AD407" s="44" t="s">
        <v>1542</v>
      </c>
      <c r="AE407" s="44" t="s">
        <v>1542</v>
      </c>
      <c r="AF407" s="44" t="s">
        <v>1542</v>
      </c>
      <c r="AG407" s="44" t="s">
        <v>1542</v>
      </c>
      <c r="AH407" s="44" t="s">
        <v>1542</v>
      </c>
      <c r="AI407" s="44" t="s">
        <v>1542</v>
      </c>
      <c r="AJ407" s="44" t="s">
        <v>1542</v>
      </c>
      <c r="AK407" s="44" t="s">
        <v>1542</v>
      </c>
      <c r="AL407" s="44" t="s">
        <v>1542</v>
      </c>
      <c r="AM407" s="44" t="s">
        <v>1542</v>
      </c>
      <c r="AN407" s="44" t="s">
        <v>1542</v>
      </c>
      <c r="AO407" s="46">
        <f t="shared" si="30"/>
        <v>0</v>
      </c>
      <c r="AP407" s="43" t="s">
        <v>1542</v>
      </c>
      <c r="AQ407" s="43" t="s">
        <v>1542</v>
      </c>
      <c r="AR407" s="43" t="s">
        <v>1542</v>
      </c>
      <c r="AS407" s="43" t="s">
        <v>1542</v>
      </c>
      <c r="AT407" s="43" t="s">
        <v>1542</v>
      </c>
      <c r="AU407" s="43" t="s">
        <v>1542</v>
      </c>
      <c r="AV407" s="43" t="s">
        <v>1542</v>
      </c>
      <c r="AW407" s="43" t="s">
        <v>1542</v>
      </c>
      <c r="AX407" s="43" t="s">
        <v>1542</v>
      </c>
      <c r="AY407" s="43" t="s">
        <v>1542</v>
      </c>
      <c r="AZ407" s="43" t="s">
        <v>1542</v>
      </c>
      <c r="BA407" s="43" t="s">
        <v>1542</v>
      </c>
      <c r="BB407" s="46">
        <f t="shared" si="31"/>
        <v>0</v>
      </c>
      <c r="BC407" s="44" t="s">
        <v>1542</v>
      </c>
      <c r="BD407" s="44" t="s">
        <v>1542</v>
      </c>
      <c r="BE407" s="44" t="s">
        <v>1542</v>
      </c>
      <c r="BF407" s="44" t="s">
        <v>1542</v>
      </c>
      <c r="BG407" s="44" t="s">
        <v>1542</v>
      </c>
      <c r="BH407" s="44" t="s">
        <v>1542</v>
      </c>
      <c r="BI407" s="44" t="s">
        <v>1542</v>
      </c>
      <c r="BJ407" s="44" t="s">
        <v>1542</v>
      </c>
      <c r="BK407" s="44" t="s">
        <v>1542</v>
      </c>
      <c r="BL407" s="44" t="s">
        <v>1542</v>
      </c>
      <c r="BM407" s="44" t="s">
        <v>1542</v>
      </c>
      <c r="BN407" s="44" t="s">
        <v>1542</v>
      </c>
      <c r="BO407" s="46">
        <f t="shared" si="32"/>
        <v>0</v>
      </c>
      <c r="BP407" s="43" t="s">
        <v>1542</v>
      </c>
      <c r="BQ407" s="43" t="s">
        <v>1542</v>
      </c>
      <c r="BR407" s="43" t="s">
        <v>1542</v>
      </c>
      <c r="BS407" s="43" t="s">
        <v>1542</v>
      </c>
      <c r="BT407" s="43" t="s">
        <v>1542</v>
      </c>
      <c r="BU407" s="43" t="s">
        <v>1542</v>
      </c>
      <c r="BV407" s="43" t="s">
        <v>1542</v>
      </c>
      <c r="BW407" s="43" t="s">
        <v>1542</v>
      </c>
      <c r="BX407" s="43" t="s">
        <v>1542</v>
      </c>
      <c r="BY407" s="43" t="s">
        <v>1542</v>
      </c>
      <c r="BZ407" s="43" t="s">
        <v>1542</v>
      </c>
      <c r="CA407" s="43" t="s">
        <v>1542</v>
      </c>
    </row>
    <row r="408" spans="1:79">
      <c r="A408">
        <v>407</v>
      </c>
      <c r="B408">
        <v>1</v>
      </c>
      <c r="C408" t="s">
        <v>2935</v>
      </c>
      <c r="D408" t="s">
        <v>2936</v>
      </c>
      <c r="E408" t="s">
        <v>3351</v>
      </c>
      <c r="F408" t="s">
        <v>3352</v>
      </c>
      <c r="G408" t="s">
        <v>3388</v>
      </c>
      <c r="H408" t="s">
        <v>3388</v>
      </c>
      <c r="J408" t="s">
        <v>3389</v>
      </c>
      <c r="K408" t="s">
        <v>3390</v>
      </c>
      <c r="M408" s="1" t="s">
        <v>3391</v>
      </c>
      <c r="N408" t="s">
        <v>3392</v>
      </c>
      <c r="O408" s="46">
        <f t="shared" si="33"/>
        <v>1</v>
      </c>
      <c r="P408" s="43" t="s">
        <v>1542</v>
      </c>
      <c r="Q408" s="43" t="s">
        <v>1554</v>
      </c>
      <c r="R408" s="43" t="s">
        <v>1542</v>
      </c>
      <c r="S408" s="43" t="s">
        <v>1542</v>
      </c>
      <c r="T408" s="43" t="s">
        <v>1542</v>
      </c>
      <c r="U408" s="43" t="s">
        <v>1542</v>
      </c>
      <c r="V408" s="43" t="s">
        <v>1542</v>
      </c>
      <c r="W408" s="43" t="s">
        <v>1542</v>
      </c>
      <c r="X408" s="43" t="s">
        <v>1542</v>
      </c>
      <c r="Y408" s="43" t="s">
        <v>1542</v>
      </c>
      <c r="Z408" s="43" t="s">
        <v>1542</v>
      </c>
      <c r="AA408" s="43" t="s">
        <v>1542</v>
      </c>
      <c r="AB408" s="46">
        <f t="shared" si="34"/>
        <v>0</v>
      </c>
      <c r="AC408" s="44" t="s">
        <v>1542</v>
      </c>
      <c r="AD408" s="44" t="s">
        <v>1542</v>
      </c>
      <c r="AE408" s="44" t="s">
        <v>1542</v>
      </c>
      <c r="AF408" s="44" t="s">
        <v>1542</v>
      </c>
      <c r="AG408" s="44" t="s">
        <v>1542</v>
      </c>
      <c r="AH408" s="44" t="s">
        <v>1542</v>
      </c>
      <c r="AI408" s="44" t="s">
        <v>1542</v>
      </c>
      <c r="AJ408" s="44" t="s">
        <v>1542</v>
      </c>
      <c r="AK408" s="44" t="s">
        <v>1542</v>
      </c>
      <c r="AL408" s="44" t="s">
        <v>1542</v>
      </c>
      <c r="AM408" s="44" t="s">
        <v>1542</v>
      </c>
      <c r="AN408" s="44" t="s">
        <v>1542</v>
      </c>
      <c r="AO408" s="46">
        <f t="shared" si="30"/>
        <v>0</v>
      </c>
      <c r="AP408" s="43" t="s">
        <v>1542</v>
      </c>
      <c r="AQ408" s="43" t="s">
        <v>1542</v>
      </c>
      <c r="AR408" s="43" t="s">
        <v>1542</v>
      </c>
      <c r="AS408" s="43" t="s">
        <v>1542</v>
      </c>
      <c r="AT408" s="43" t="s">
        <v>1542</v>
      </c>
      <c r="AU408" s="43" t="s">
        <v>1542</v>
      </c>
      <c r="AV408" s="43" t="s">
        <v>1542</v>
      </c>
      <c r="AW408" s="43" t="s">
        <v>1542</v>
      </c>
      <c r="AX408" s="43" t="s">
        <v>1542</v>
      </c>
      <c r="AY408" s="43" t="s">
        <v>1542</v>
      </c>
      <c r="AZ408" s="43" t="s">
        <v>1542</v>
      </c>
      <c r="BA408" s="43" t="s">
        <v>1542</v>
      </c>
      <c r="BB408" s="46">
        <f t="shared" si="31"/>
        <v>0</v>
      </c>
      <c r="BC408" s="44" t="s">
        <v>1542</v>
      </c>
      <c r="BD408" s="44" t="s">
        <v>1542</v>
      </c>
      <c r="BE408" s="44" t="s">
        <v>1542</v>
      </c>
      <c r="BF408" s="44" t="s">
        <v>1542</v>
      </c>
      <c r="BG408" s="44" t="s">
        <v>1542</v>
      </c>
      <c r="BH408" s="44" t="s">
        <v>1542</v>
      </c>
      <c r="BI408" s="44" t="s">
        <v>1542</v>
      </c>
      <c r="BJ408" s="44" t="s">
        <v>1542</v>
      </c>
      <c r="BK408" s="44" t="s">
        <v>1542</v>
      </c>
      <c r="BL408" s="44" t="s">
        <v>1542</v>
      </c>
      <c r="BM408" s="44" t="s">
        <v>1542</v>
      </c>
      <c r="BN408" s="44" t="s">
        <v>1542</v>
      </c>
      <c r="BO408" s="46">
        <f t="shared" si="32"/>
        <v>0</v>
      </c>
      <c r="BP408" s="43" t="s">
        <v>1542</v>
      </c>
      <c r="BQ408" s="43" t="s">
        <v>1542</v>
      </c>
      <c r="BR408" s="43" t="s">
        <v>1542</v>
      </c>
      <c r="BS408" s="43" t="s">
        <v>1542</v>
      </c>
      <c r="BT408" s="43" t="s">
        <v>1542</v>
      </c>
      <c r="BU408" s="43" t="s">
        <v>1542</v>
      </c>
      <c r="BV408" s="43" t="s">
        <v>1542</v>
      </c>
      <c r="BW408" s="43" t="s">
        <v>1542</v>
      </c>
      <c r="BX408" s="43" t="s">
        <v>1542</v>
      </c>
      <c r="BY408" s="43" t="s">
        <v>1542</v>
      </c>
      <c r="BZ408" s="43" t="s">
        <v>1542</v>
      </c>
      <c r="CA408" s="43" t="s">
        <v>1542</v>
      </c>
    </row>
    <row r="409" spans="1:79">
      <c r="A409">
        <v>408</v>
      </c>
      <c r="B409">
        <v>1</v>
      </c>
      <c r="C409" t="s">
        <v>2935</v>
      </c>
      <c r="D409" t="s">
        <v>2936</v>
      </c>
      <c r="E409" t="s">
        <v>3351</v>
      </c>
      <c r="F409" t="s">
        <v>3352</v>
      </c>
      <c r="G409" t="s">
        <v>3393</v>
      </c>
      <c r="H409" t="s">
        <v>3393</v>
      </c>
      <c r="J409" t="s">
        <v>3394</v>
      </c>
      <c r="K409" t="s">
        <v>3395</v>
      </c>
      <c r="M409" s="1" t="s">
        <v>3396</v>
      </c>
      <c r="N409" t="s">
        <v>3397</v>
      </c>
      <c r="O409" s="46">
        <f t="shared" si="33"/>
        <v>1</v>
      </c>
      <c r="P409" s="43" t="s">
        <v>1542</v>
      </c>
      <c r="Q409" s="43" t="s">
        <v>1542</v>
      </c>
      <c r="R409" s="43" t="s">
        <v>1542</v>
      </c>
      <c r="S409" s="43" t="s">
        <v>1542</v>
      </c>
      <c r="T409" s="43" t="s">
        <v>1542</v>
      </c>
      <c r="U409" s="43" t="s">
        <v>1542</v>
      </c>
      <c r="V409" s="43" t="s">
        <v>1542</v>
      </c>
      <c r="W409" s="43" t="s">
        <v>1542</v>
      </c>
      <c r="X409" s="43" t="s">
        <v>1542</v>
      </c>
      <c r="Y409" s="43" t="s">
        <v>1542</v>
      </c>
      <c r="Z409" s="43" t="s">
        <v>1542</v>
      </c>
      <c r="AA409" s="43" t="s">
        <v>1554</v>
      </c>
      <c r="AB409" s="46">
        <f t="shared" si="34"/>
        <v>0</v>
      </c>
      <c r="AC409" s="44" t="s">
        <v>1542</v>
      </c>
      <c r="AD409" s="44" t="s">
        <v>1542</v>
      </c>
      <c r="AE409" s="44" t="s">
        <v>1542</v>
      </c>
      <c r="AF409" s="44" t="s">
        <v>1542</v>
      </c>
      <c r="AG409" s="44" t="s">
        <v>1542</v>
      </c>
      <c r="AH409" s="44" t="s">
        <v>1542</v>
      </c>
      <c r="AI409" s="44" t="s">
        <v>1542</v>
      </c>
      <c r="AJ409" s="44" t="s">
        <v>1542</v>
      </c>
      <c r="AK409" s="44" t="s">
        <v>1542</v>
      </c>
      <c r="AL409" s="44" t="s">
        <v>1542</v>
      </c>
      <c r="AM409" s="44" t="s">
        <v>1542</v>
      </c>
      <c r="AN409" s="44" t="s">
        <v>1542</v>
      </c>
      <c r="AO409" s="46">
        <f t="shared" si="30"/>
        <v>0</v>
      </c>
      <c r="AP409" s="43" t="s">
        <v>1542</v>
      </c>
      <c r="AQ409" s="43" t="s">
        <v>1542</v>
      </c>
      <c r="AR409" s="43" t="s">
        <v>1542</v>
      </c>
      <c r="AS409" s="43" t="s">
        <v>1542</v>
      </c>
      <c r="AT409" s="43" t="s">
        <v>1542</v>
      </c>
      <c r="AU409" s="43" t="s">
        <v>1542</v>
      </c>
      <c r="AV409" s="43" t="s">
        <v>1542</v>
      </c>
      <c r="AW409" s="43" t="s">
        <v>1542</v>
      </c>
      <c r="AX409" s="43" t="s">
        <v>1542</v>
      </c>
      <c r="AY409" s="43" t="s">
        <v>1542</v>
      </c>
      <c r="AZ409" s="43" t="s">
        <v>1542</v>
      </c>
      <c r="BA409" s="43" t="s">
        <v>1542</v>
      </c>
      <c r="BB409" s="46">
        <f t="shared" si="31"/>
        <v>0</v>
      </c>
      <c r="BC409" s="44" t="s">
        <v>1542</v>
      </c>
      <c r="BD409" s="44" t="s">
        <v>1542</v>
      </c>
      <c r="BE409" s="44" t="s">
        <v>1542</v>
      </c>
      <c r="BF409" s="44" t="s">
        <v>1542</v>
      </c>
      <c r="BG409" s="44" t="s">
        <v>1542</v>
      </c>
      <c r="BH409" s="44" t="s">
        <v>1542</v>
      </c>
      <c r="BI409" s="44" t="s">
        <v>1542</v>
      </c>
      <c r="BJ409" s="44" t="s">
        <v>1542</v>
      </c>
      <c r="BK409" s="44" t="s">
        <v>1542</v>
      </c>
      <c r="BL409" s="44" t="s">
        <v>1542</v>
      </c>
      <c r="BM409" s="44" t="s">
        <v>1542</v>
      </c>
      <c r="BN409" s="44" t="s">
        <v>1542</v>
      </c>
      <c r="BO409" s="46">
        <f t="shared" si="32"/>
        <v>0</v>
      </c>
      <c r="BP409" s="43" t="s">
        <v>1542</v>
      </c>
      <c r="BQ409" s="43" t="s">
        <v>1542</v>
      </c>
      <c r="BR409" s="43" t="s">
        <v>1542</v>
      </c>
      <c r="BS409" s="43" t="s">
        <v>1542</v>
      </c>
      <c r="BT409" s="43" t="s">
        <v>1542</v>
      </c>
      <c r="BU409" s="43" t="s">
        <v>1542</v>
      </c>
      <c r="BV409" s="43" t="s">
        <v>1542</v>
      </c>
      <c r="BW409" s="43" t="s">
        <v>1542</v>
      </c>
      <c r="BX409" s="43" t="s">
        <v>1542</v>
      </c>
      <c r="BY409" s="43" t="s">
        <v>1542</v>
      </c>
      <c r="BZ409" s="43" t="s">
        <v>1542</v>
      </c>
      <c r="CA409" s="43" t="s">
        <v>1542</v>
      </c>
    </row>
    <row r="410" spans="1:79">
      <c r="A410">
        <v>409</v>
      </c>
      <c r="B410">
        <v>1</v>
      </c>
      <c r="C410" t="s">
        <v>2935</v>
      </c>
      <c r="D410" t="s">
        <v>2936</v>
      </c>
      <c r="E410" t="s">
        <v>3351</v>
      </c>
      <c r="F410" t="s">
        <v>3352</v>
      </c>
      <c r="G410" t="s">
        <v>3398</v>
      </c>
      <c r="H410" t="s">
        <v>3398</v>
      </c>
      <c r="J410" t="s">
        <v>3399</v>
      </c>
      <c r="K410" t="s">
        <v>3400</v>
      </c>
      <c r="M410" s="1" t="s">
        <v>3401</v>
      </c>
      <c r="N410" t="s">
        <v>3402</v>
      </c>
      <c r="O410" s="46">
        <f t="shared" si="33"/>
        <v>2</v>
      </c>
      <c r="P410" s="43" t="s">
        <v>1554</v>
      </c>
      <c r="Q410" s="43" t="s">
        <v>1554</v>
      </c>
      <c r="R410" s="43" t="s">
        <v>1542</v>
      </c>
      <c r="S410" s="43" t="s">
        <v>1542</v>
      </c>
      <c r="T410" s="43" t="s">
        <v>1542</v>
      </c>
      <c r="U410" s="43" t="s">
        <v>1542</v>
      </c>
      <c r="V410" s="43" t="s">
        <v>1542</v>
      </c>
      <c r="W410" s="43" t="s">
        <v>1542</v>
      </c>
      <c r="X410" s="43" t="s">
        <v>1542</v>
      </c>
      <c r="Y410" s="43" t="s">
        <v>1542</v>
      </c>
      <c r="Z410" s="43" t="s">
        <v>1542</v>
      </c>
      <c r="AA410" s="43" t="s">
        <v>1542</v>
      </c>
      <c r="AB410" s="46">
        <f t="shared" si="34"/>
        <v>0</v>
      </c>
      <c r="AC410" s="44" t="s">
        <v>1542</v>
      </c>
      <c r="AD410" s="44" t="s">
        <v>1542</v>
      </c>
      <c r="AE410" s="44" t="s">
        <v>1542</v>
      </c>
      <c r="AF410" s="44" t="s">
        <v>1542</v>
      </c>
      <c r="AG410" s="44" t="s">
        <v>1542</v>
      </c>
      <c r="AH410" s="44" t="s">
        <v>1542</v>
      </c>
      <c r="AI410" s="44" t="s">
        <v>1542</v>
      </c>
      <c r="AJ410" s="44" t="s">
        <v>1542</v>
      </c>
      <c r="AK410" s="44" t="s">
        <v>1542</v>
      </c>
      <c r="AL410" s="44" t="s">
        <v>1542</v>
      </c>
      <c r="AM410" s="44" t="s">
        <v>1542</v>
      </c>
      <c r="AN410" s="44" t="s">
        <v>1542</v>
      </c>
      <c r="AO410" s="46">
        <f t="shared" si="30"/>
        <v>0</v>
      </c>
      <c r="AP410" s="43" t="s">
        <v>1542</v>
      </c>
      <c r="AQ410" s="43" t="s">
        <v>1542</v>
      </c>
      <c r="AR410" s="43" t="s">
        <v>1542</v>
      </c>
      <c r="AS410" s="43" t="s">
        <v>1542</v>
      </c>
      <c r="AT410" s="43" t="s">
        <v>1542</v>
      </c>
      <c r="AU410" s="43" t="s">
        <v>1542</v>
      </c>
      <c r="AV410" s="43" t="s">
        <v>1542</v>
      </c>
      <c r="AW410" s="43" t="s">
        <v>1542</v>
      </c>
      <c r="AX410" s="43" t="s">
        <v>1542</v>
      </c>
      <c r="AY410" s="43" t="s">
        <v>1542</v>
      </c>
      <c r="AZ410" s="43" t="s">
        <v>1542</v>
      </c>
      <c r="BA410" s="43" t="s">
        <v>1542</v>
      </c>
      <c r="BB410" s="46">
        <f t="shared" si="31"/>
        <v>0</v>
      </c>
      <c r="BC410" s="44" t="s">
        <v>1542</v>
      </c>
      <c r="BD410" s="44" t="s">
        <v>1542</v>
      </c>
      <c r="BE410" s="44" t="s">
        <v>1542</v>
      </c>
      <c r="BF410" s="44" t="s">
        <v>1542</v>
      </c>
      <c r="BG410" s="44" t="s">
        <v>1542</v>
      </c>
      <c r="BH410" s="44" t="s">
        <v>1542</v>
      </c>
      <c r="BI410" s="44" t="s">
        <v>1542</v>
      </c>
      <c r="BJ410" s="44" t="s">
        <v>1542</v>
      </c>
      <c r="BK410" s="44" t="s">
        <v>1542</v>
      </c>
      <c r="BL410" s="44" t="s">
        <v>1542</v>
      </c>
      <c r="BM410" s="44" t="s">
        <v>1542</v>
      </c>
      <c r="BN410" s="44" t="s">
        <v>1542</v>
      </c>
      <c r="BO410" s="46">
        <f t="shared" si="32"/>
        <v>0</v>
      </c>
      <c r="BP410" s="43" t="s">
        <v>1542</v>
      </c>
      <c r="BQ410" s="43" t="s">
        <v>1542</v>
      </c>
      <c r="BR410" s="43" t="s">
        <v>1542</v>
      </c>
      <c r="BS410" s="43" t="s">
        <v>1542</v>
      </c>
      <c r="BT410" s="43" t="s">
        <v>1542</v>
      </c>
      <c r="BU410" s="43" t="s">
        <v>1542</v>
      </c>
      <c r="BV410" s="43" t="s">
        <v>1542</v>
      </c>
      <c r="BW410" s="43" t="s">
        <v>1542</v>
      </c>
      <c r="BX410" s="43" t="s">
        <v>1542</v>
      </c>
      <c r="BY410" s="43" t="s">
        <v>1542</v>
      </c>
      <c r="BZ410" s="43" t="s">
        <v>1542</v>
      </c>
      <c r="CA410" s="43" t="s">
        <v>1542</v>
      </c>
    </row>
    <row r="411" spans="1:79">
      <c r="A411">
        <v>410</v>
      </c>
      <c r="B411">
        <v>1</v>
      </c>
      <c r="C411" t="s">
        <v>2935</v>
      </c>
      <c r="D411" t="s">
        <v>2936</v>
      </c>
      <c r="E411" t="s">
        <v>3351</v>
      </c>
      <c r="F411" t="s">
        <v>3352</v>
      </c>
      <c r="G411" t="s">
        <v>3403</v>
      </c>
      <c r="H411" t="s">
        <v>3403</v>
      </c>
      <c r="J411" t="s">
        <v>3404</v>
      </c>
      <c r="K411" t="s">
        <v>3405</v>
      </c>
      <c r="M411" s="1" t="s">
        <v>3406</v>
      </c>
      <c r="O411" s="46">
        <f t="shared" si="33"/>
        <v>0</v>
      </c>
      <c r="P411" s="43" t="s">
        <v>1542</v>
      </c>
      <c r="Q411" s="43" t="s">
        <v>1542</v>
      </c>
      <c r="R411" s="43" t="s">
        <v>1542</v>
      </c>
      <c r="S411" s="43" t="s">
        <v>1542</v>
      </c>
      <c r="T411" s="43" t="s">
        <v>1542</v>
      </c>
      <c r="U411" s="43" t="s">
        <v>1542</v>
      </c>
      <c r="V411" s="43" t="s">
        <v>1542</v>
      </c>
      <c r="W411" s="43" t="s">
        <v>1542</v>
      </c>
      <c r="X411" s="43" t="s">
        <v>1542</v>
      </c>
      <c r="Y411" s="43" t="s">
        <v>1542</v>
      </c>
      <c r="Z411" s="43" t="s">
        <v>1542</v>
      </c>
      <c r="AA411" s="43" t="s">
        <v>1542</v>
      </c>
      <c r="AB411" s="46">
        <f t="shared" si="34"/>
        <v>0</v>
      </c>
      <c r="AC411" s="44" t="s">
        <v>1542</v>
      </c>
      <c r="AD411" s="44" t="s">
        <v>1542</v>
      </c>
      <c r="AE411" s="44" t="s">
        <v>1542</v>
      </c>
      <c r="AF411" s="44" t="s">
        <v>1542</v>
      </c>
      <c r="AG411" s="44" t="s">
        <v>1542</v>
      </c>
      <c r="AH411" s="44" t="s">
        <v>1542</v>
      </c>
      <c r="AI411" s="44" t="s">
        <v>1542</v>
      </c>
      <c r="AJ411" s="44" t="s">
        <v>1542</v>
      </c>
      <c r="AK411" s="44" t="s">
        <v>1542</v>
      </c>
      <c r="AL411" s="44" t="s">
        <v>1542</v>
      </c>
      <c r="AM411" s="44" t="s">
        <v>1542</v>
      </c>
      <c r="AN411" s="44" t="s">
        <v>1542</v>
      </c>
      <c r="AO411" s="46">
        <f t="shared" si="30"/>
        <v>0</v>
      </c>
      <c r="AP411" s="43" t="s">
        <v>1542</v>
      </c>
      <c r="AQ411" s="43" t="s">
        <v>1542</v>
      </c>
      <c r="AR411" s="43" t="s">
        <v>1542</v>
      </c>
      <c r="AS411" s="43" t="s">
        <v>1542</v>
      </c>
      <c r="AT411" s="43" t="s">
        <v>1542</v>
      </c>
      <c r="AU411" s="43" t="s">
        <v>1542</v>
      </c>
      <c r="AV411" s="43" t="s">
        <v>1542</v>
      </c>
      <c r="AW411" s="43" t="s">
        <v>1542</v>
      </c>
      <c r="AX411" s="43" t="s">
        <v>1542</v>
      </c>
      <c r="AY411" s="43" t="s">
        <v>1542</v>
      </c>
      <c r="AZ411" s="43" t="s">
        <v>1542</v>
      </c>
      <c r="BA411" s="43" t="s">
        <v>1542</v>
      </c>
      <c r="BB411" s="46">
        <f t="shared" si="31"/>
        <v>0</v>
      </c>
      <c r="BC411" s="44" t="s">
        <v>1542</v>
      </c>
      <c r="BD411" s="44" t="s">
        <v>1542</v>
      </c>
      <c r="BE411" s="44" t="s">
        <v>1542</v>
      </c>
      <c r="BF411" s="44" t="s">
        <v>1542</v>
      </c>
      <c r="BG411" s="44" t="s">
        <v>1542</v>
      </c>
      <c r="BH411" s="44" t="s">
        <v>1542</v>
      </c>
      <c r="BI411" s="44" t="s">
        <v>1542</v>
      </c>
      <c r="BJ411" s="44" t="s">
        <v>1542</v>
      </c>
      <c r="BK411" s="44" t="s">
        <v>1542</v>
      </c>
      <c r="BL411" s="44" t="s">
        <v>1542</v>
      </c>
      <c r="BM411" s="44" t="s">
        <v>1542</v>
      </c>
      <c r="BN411" s="44" t="s">
        <v>1542</v>
      </c>
      <c r="BO411" s="46">
        <f t="shared" si="32"/>
        <v>0</v>
      </c>
      <c r="BP411" s="43" t="s">
        <v>1542</v>
      </c>
      <c r="BQ411" s="43" t="s">
        <v>1542</v>
      </c>
      <c r="BR411" s="43" t="s">
        <v>1542</v>
      </c>
      <c r="BS411" s="43" t="s">
        <v>1542</v>
      </c>
      <c r="BT411" s="43" t="s">
        <v>1542</v>
      </c>
      <c r="BU411" s="43" t="s">
        <v>1542</v>
      </c>
      <c r="BV411" s="43" t="s">
        <v>1542</v>
      </c>
      <c r="BW411" s="43" t="s">
        <v>1542</v>
      </c>
      <c r="BX411" s="43" t="s">
        <v>1542</v>
      </c>
      <c r="BY411" s="43" t="s">
        <v>1542</v>
      </c>
      <c r="BZ411" s="43" t="s">
        <v>1542</v>
      </c>
      <c r="CA411" s="43" t="s">
        <v>1542</v>
      </c>
    </row>
    <row r="412" spans="1:79">
      <c r="A412">
        <v>411</v>
      </c>
      <c r="B412">
        <v>1</v>
      </c>
      <c r="C412" t="s">
        <v>2935</v>
      </c>
      <c r="D412" t="s">
        <v>2936</v>
      </c>
      <c r="E412" t="s">
        <v>3351</v>
      </c>
      <c r="F412" t="s">
        <v>3352</v>
      </c>
      <c r="G412" t="s">
        <v>3407</v>
      </c>
      <c r="H412" t="s">
        <v>3407</v>
      </c>
      <c r="J412" t="s">
        <v>3408</v>
      </c>
      <c r="K412" t="s">
        <v>3409</v>
      </c>
      <c r="M412" s="1" t="s">
        <v>3410</v>
      </c>
      <c r="O412" s="46">
        <f t="shared" si="33"/>
        <v>0</v>
      </c>
      <c r="P412" s="43" t="s">
        <v>1542</v>
      </c>
      <c r="Q412" s="43" t="s">
        <v>1542</v>
      </c>
      <c r="R412" s="43" t="s">
        <v>1542</v>
      </c>
      <c r="S412" s="43" t="s">
        <v>1542</v>
      </c>
      <c r="T412" s="43" t="s">
        <v>1542</v>
      </c>
      <c r="U412" s="43" t="s">
        <v>1542</v>
      </c>
      <c r="V412" s="43" t="s">
        <v>1542</v>
      </c>
      <c r="W412" s="43" t="s">
        <v>1542</v>
      </c>
      <c r="X412" s="43" t="s">
        <v>1542</v>
      </c>
      <c r="Y412" s="43" t="s">
        <v>1542</v>
      </c>
      <c r="Z412" s="43" t="s">
        <v>1542</v>
      </c>
      <c r="AA412" s="43" t="s">
        <v>1542</v>
      </c>
      <c r="AB412" s="46">
        <f t="shared" si="34"/>
        <v>0</v>
      </c>
      <c r="AC412" s="44" t="s">
        <v>1542</v>
      </c>
      <c r="AD412" s="44" t="s">
        <v>1542</v>
      </c>
      <c r="AE412" s="44" t="s">
        <v>1542</v>
      </c>
      <c r="AF412" s="44" t="s">
        <v>1542</v>
      </c>
      <c r="AG412" s="44" t="s">
        <v>1542</v>
      </c>
      <c r="AH412" s="44" t="s">
        <v>1542</v>
      </c>
      <c r="AI412" s="44" t="s">
        <v>1542</v>
      </c>
      <c r="AJ412" s="44" t="s">
        <v>1542</v>
      </c>
      <c r="AK412" s="44" t="s">
        <v>1542</v>
      </c>
      <c r="AL412" s="44" t="s">
        <v>1542</v>
      </c>
      <c r="AM412" s="44" t="s">
        <v>1542</v>
      </c>
      <c r="AN412" s="44" t="s">
        <v>1542</v>
      </c>
      <c r="AO412" s="46">
        <f t="shared" si="30"/>
        <v>0</v>
      </c>
      <c r="AP412" s="43" t="s">
        <v>1542</v>
      </c>
      <c r="AQ412" s="43" t="s">
        <v>1542</v>
      </c>
      <c r="AR412" s="43" t="s">
        <v>1542</v>
      </c>
      <c r="AS412" s="43" t="s">
        <v>1542</v>
      </c>
      <c r="AT412" s="43" t="s">
        <v>1542</v>
      </c>
      <c r="AU412" s="43" t="s">
        <v>1542</v>
      </c>
      <c r="AV412" s="43" t="s">
        <v>1542</v>
      </c>
      <c r="AW412" s="43" t="s">
        <v>1542</v>
      </c>
      <c r="AX412" s="43" t="s">
        <v>1542</v>
      </c>
      <c r="AY412" s="43" t="s">
        <v>1542</v>
      </c>
      <c r="AZ412" s="43" t="s">
        <v>1542</v>
      </c>
      <c r="BA412" s="43" t="s">
        <v>1542</v>
      </c>
      <c r="BB412" s="46">
        <f t="shared" si="31"/>
        <v>0</v>
      </c>
      <c r="BC412" s="44" t="s">
        <v>1542</v>
      </c>
      <c r="BD412" s="44" t="s">
        <v>1542</v>
      </c>
      <c r="BE412" s="44" t="s">
        <v>1542</v>
      </c>
      <c r="BF412" s="44" t="s">
        <v>1542</v>
      </c>
      <c r="BG412" s="44" t="s">
        <v>1542</v>
      </c>
      <c r="BH412" s="44" t="s">
        <v>1542</v>
      </c>
      <c r="BI412" s="44" t="s">
        <v>1542</v>
      </c>
      <c r="BJ412" s="44" t="s">
        <v>1542</v>
      </c>
      <c r="BK412" s="44" t="s">
        <v>1542</v>
      </c>
      <c r="BL412" s="44" t="s">
        <v>1542</v>
      </c>
      <c r="BM412" s="44" t="s">
        <v>1542</v>
      </c>
      <c r="BN412" s="44" t="s">
        <v>1542</v>
      </c>
      <c r="BO412" s="46">
        <f t="shared" si="32"/>
        <v>0</v>
      </c>
      <c r="BP412" s="43" t="s">
        <v>1542</v>
      </c>
      <c r="BQ412" s="43" t="s">
        <v>1542</v>
      </c>
      <c r="BR412" s="43" t="s">
        <v>1542</v>
      </c>
      <c r="BS412" s="43" t="s">
        <v>1542</v>
      </c>
      <c r="BT412" s="43" t="s">
        <v>1542</v>
      </c>
      <c r="BU412" s="43" t="s">
        <v>1542</v>
      </c>
      <c r="BV412" s="43" t="s">
        <v>1542</v>
      </c>
      <c r="BW412" s="43" t="s">
        <v>1542</v>
      </c>
      <c r="BX412" s="43" t="s">
        <v>1542</v>
      </c>
      <c r="BY412" s="43" t="s">
        <v>1542</v>
      </c>
      <c r="BZ412" s="43" t="s">
        <v>1542</v>
      </c>
      <c r="CA412" s="43" t="s">
        <v>1542</v>
      </c>
    </row>
    <row r="413" spans="1:79">
      <c r="A413">
        <v>412</v>
      </c>
      <c r="B413" t="s">
        <v>1543</v>
      </c>
      <c r="C413" t="s">
        <v>2935</v>
      </c>
      <c r="D413" t="s">
        <v>2936</v>
      </c>
      <c r="E413" t="s">
        <v>3351</v>
      </c>
      <c r="F413" t="s">
        <v>3352</v>
      </c>
      <c r="G413" t="s">
        <v>3411</v>
      </c>
      <c r="H413" t="s">
        <v>3411</v>
      </c>
      <c r="J413" t="s">
        <v>3412</v>
      </c>
      <c r="K413" t="s">
        <v>3413</v>
      </c>
      <c r="M413" s="1" t="s">
        <v>3414</v>
      </c>
      <c r="N413" t="s">
        <v>3415</v>
      </c>
      <c r="O413" s="46">
        <f t="shared" si="33"/>
        <v>0</v>
      </c>
      <c r="P413" s="43"/>
      <c r="Q413" s="43"/>
      <c r="R413" s="43"/>
      <c r="S413" s="43"/>
      <c r="T413" s="43"/>
      <c r="U413" s="43"/>
      <c r="V413" s="43"/>
      <c r="W413" s="43"/>
      <c r="X413" s="43"/>
      <c r="Y413" s="43"/>
      <c r="Z413" s="43"/>
      <c r="AA413" s="43"/>
      <c r="AB413" s="46">
        <f t="shared" si="34"/>
        <v>0</v>
      </c>
      <c r="AC413" s="44"/>
      <c r="AD413" s="44"/>
      <c r="AE413" s="44"/>
      <c r="AF413" s="44"/>
      <c r="AG413" s="44"/>
      <c r="AH413" s="44"/>
      <c r="AI413" s="44"/>
      <c r="AJ413" s="44"/>
      <c r="AK413" s="44"/>
      <c r="AL413" s="44"/>
      <c r="AM413" s="44"/>
      <c r="AN413" s="44"/>
      <c r="AO413" s="46">
        <f t="shared" si="30"/>
        <v>0</v>
      </c>
      <c r="AP413" s="43" t="s">
        <v>1542</v>
      </c>
      <c r="AQ413" s="43" t="s">
        <v>1542</v>
      </c>
      <c r="AR413" s="43" t="s">
        <v>1542</v>
      </c>
      <c r="AS413" s="43" t="s">
        <v>1542</v>
      </c>
      <c r="AT413" s="43" t="s">
        <v>1542</v>
      </c>
      <c r="AU413" s="43" t="s">
        <v>1542</v>
      </c>
      <c r="AV413" s="43" t="s">
        <v>1542</v>
      </c>
      <c r="AW413" s="43" t="s">
        <v>1542</v>
      </c>
      <c r="AX413" s="43" t="s">
        <v>1542</v>
      </c>
      <c r="AY413" s="43" t="s">
        <v>1542</v>
      </c>
      <c r="AZ413" s="43" t="s">
        <v>1554</v>
      </c>
      <c r="BA413" s="43"/>
      <c r="BB413" s="46">
        <f t="shared" si="31"/>
        <v>1</v>
      </c>
      <c r="BC413" s="44" t="s">
        <v>1542</v>
      </c>
      <c r="BD413" s="44" t="s">
        <v>1542</v>
      </c>
      <c r="BE413" s="44" t="s">
        <v>1542</v>
      </c>
      <c r="BF413" s="44" t="s">
        <v>1542</v>
      </c>
      <c r="BG413" s="44" t="s">
        <v>1542</v>
      </c>
      <c r="BH413" s="44" t="s">
        <v>1542</v>
      </c>
      <c r="BI413" s="44" t="s">
        <v>1542</v>
      </c>
      <c r="BJ413" s="44" t="s">
        <v>1542</v>
      </c>
      <c r="BK413" s="44" t="s">
        <v>1542</v>
      </c>
      <c r="BL413" s="44" t="s">
        <v>1542</v>
      </c>
      <c r="BM413" s="44" t="s">
        <v>1542</v>
      </c>
      <c r="BN413" s="44" t="s">
        <v>1542</v>
      </c>
      <c r="BO413" s="46">
        <f t="shared" si="32"/>
        <v>0</v>
      </c>
      <c r="BP413" s="43" t="s">
        <v>1542</v>
      </c>
      <c r="BQ413" s="43" t="s">
        <v>1542</v>
      </c>
      <c r="BR413" s="43" t="s">
        <v>1542</v>
      </c>
      <c r="BS413" s="43" t="s">
        <v>1542</v>
      </c>
      <c r="BT413" s="43" t="s">
        <v>1542</v>
      </c>
      <c r="BU413" s="43" t="s">
        <v>1542</v>
      </c>
      <c r="BV413" s="43" t="s">
        <v>1542</v>
      </c>
      <c r="BW413" s="43" t="s">
        <v>1542</v>
      </c>
      <c r="BX413" s="43" t="s">
        <v>1542</v>
      </c>
      <c r="BY413" s="43" t="s">
        <v>1542</v>
      </c>
      <c r="BZ413" s="43" t="s">
        <v>1542</v>
      </c>
      <c r="CA413" s="43" t="s">
        <v>1542</v>
      </c>
    </row>
    <row r="414" spans="1:79">
      <c r="A414">
        <v>413</v>
      </c>
      <c r="B414">
        <v>1</v>
      </c>
      <c r="C414" t="s">
        <v>2935</v>
      </c>
      <c r="D414" t="s">
        <v>2936</v>
      </c>
      <c r="E414" t="s">
        <v>3351</v>
      </c>
      <c r="F414" t="s">
        <v>3352</v>
      </c>
      <c r="G414" t="s">
        <v>3416</v>
      </c>
      <c r="H414" t="s">
        <v>3416</v>
      </c>
      <c r="J414" t="s">
        <v>3417</v>
      </c>
      <c r="K414" t="s">
        <v>3418</v>
      </c>
      <c r="M414" s="1" t="s">
        <v>3419</v>
      </c>
      <c r="N414" t="s">
        <v>3420</v>
      </c>
      <c r="O414" s="46">
        <f t="shared" si="33"/>
        <v>0</v>
      </c>
      <c r="P414" s="43" t="s">
        <v>1542</v>
      </c>
      <c r="Q414" s="43" t="s">
        <v>1542</v>
      </c>
      <c r="R414" s="43" t="s">
        <v>1542</v>
      </c>
      <c r="S414" s="43" t="s">
        <v>1542</v>
      </c>
      <c r="T414" s="43" t="s">
        <v>1542</v>
      </c>
      <c r="U414" s="43" t="s">
        <v>1542</v>
      </c>
      <c r="V414" s="43" t="s">
        <v>1542</v>
      </c>
      <c r="W414" s="43" t="s">
        <v>1542</v>
      </c>
      <c r="X414" s="43" t="s">
        <v>1542</v>
      </c>
      <c r="Y414" s="43" t="s">
        <v>1542</v>
      </c>
      <c r="Z414" s="43" t="s">
        <v>1542</v>
      </c>
      <c r="AA414" s="43" t="s">
        <v>1542</v>
      </c>
      <c r="AB414" s="46">
        <f t="shared" si="34"/>
        <v>0</v>
      </c>
      <c r="AC414" s="44" t="s">
        <v>1542</v>
      </c>
      <c r="AD414" s="44" t="s">
        <v>1542</v>
      </c>
      <c r="AE414" s="44" t="s">
        <v>1542</v>
      </c>
      <c r="AF414" s="44" t="s">
        <v>1542</v>
      </c>
      <c r="AG414" s="44" t="s">
        <v>1542</v>
      </c>
      <c r="AH414" s="44" t="s">
        <v>1542</v>
      </c>
      <c r="AI414" s="44" t="s">
        <v>1542</v>
      </c>
      <c r="AJ414" s="44" t="s">
        <v>1542</v>
      </c>
      <c r="AK414" s="44" t="s">
        <v>1542</v>
      </c>
      <c r="AL414" s="44" t="s">
        <v>1542</v>
      </c>
      <c r="AM414" s="44" t="s">
        <v>1542</v>
      </c>
      <c r="AN414" s="44" t="s">
        <v>1542</v>
      </c>
      <c r="AO414" s="46">
        <f t="shared" si="30"/>
        <v>0</v>
      </c>
      <c r="AP414" s="43"/>
      <c r="AQ414" s="43"/>
      <c r="AR414" s="43"/>
      <c r="AS414" s="43"/>
      <c r="AT414" s="43"/>
      <c r="AU414" s="43"/>
      <c r="AV414" s="43" t="s">
        <v>1554</v>
      </c>
      <c r="AW414" s="43" t="s">
        <v>1554</v>
      </c>
      <c r="AX414" s="43" t="s">
        <v>1554</v>
      </c>
      <c r="AY414" s="43" t="s">
        <v>1554</v>
      </c>
      <c r="AZ414" s="43" t="s">
        <v>1554</v>
      </c>
      <c r="BA414" s="43" t="s">
        <v>1542</v>
      </c>
      <c r="BB414" s="46">
        <f t="shared" si="31"/>
        <v>5</v>
      </c>
      <c r="BC414" s="44"/>
      <c r="BD414" s="44"/>
      <c r="BE414" s="44"/>
      <c r="BF414" s="44"/>
      <c r="BG414" s="44"/>
      <c r="BH414" s="44"/>
      <c r="BI414" s="44"/>
      <c r="BJ414" s="44"/>
      <c r="BK414" s="44"/>
      <c r="BL414" s="44"/>
      <c r="BM414" s="44"/>
      <c r="BN414" s="44"/>
      <c r="BO414" s="46">
        <f t="shared" si="32"/>
        <v>0</v>
      </c>
      <c r="BP414" s="43"/>
      <c r="BQ414" s="43"/>
      <c r="BR414" s="43"/>
      <c r="BS414" s="43"/>
      <c r="BT414" s="43"/>
      <c r="BU414" s="43"/>
      <c r="BV414" s="43"/>
      <c r="BW414" s="43"/>
      <c r="BX414" s="43"/>
      <c r="BY414" s="43"/>
      <c r="BZ414" s="43"/>
      <c r="CA414" s="43"/>
    </row>
    <row r="415" spans="1:79">
      <c r="A415">
        <v>414</v>
      </c>
      <c r="B415">
        <v>1</v>
      </c>
      <c r="C415" t="s">
        <v>2935</v>
      </c>
      <c r="D415" t="s">
        <v>2936</v>
      </c>
      <c r="E415" t="s">
        <v>3351</v>
      </c>
      <c r="F415" t="s">
        <v>3352</v>
      </c>
      <c r="G415" t="s">
        <v>3421</v>
      </c>
      <c r="H415" t="s">
        <v>3421</v>
      </c>
      <c r="J415" t="s">
        <v>3422</v>
      </c>
      <c r="K415" t="s">
        <v>3423</v>
      </c>
      <c r="M415" s="1" t="s">
        <v>3424</v>
      </c>
      <c r="O415" s="46">
        <f t="shared" si="33"/>
        <v>0</v>
      </c>
      <c r="P415" s="43" t="s">
        <v>1542</v>
      </c>
      <c r="Q415" s="43" t="s">
        <v>1542</v>
      </c>
      <c r="R415" s="43" t="s">
        <v>1542</v>
      </c>
      <c r="S415" s="43" t="s">
        <v>1542</v>
      </c>
      <c r="T415" s="43" t="s">
        <v>1542</v>
      </c>
      <c r="U415" s="43" t="s">
        <v>1542</v>
      </c>
      <c r="V415" s="43" t="s">
        <v>1542</v>
      </c>
      <c r="W415" s="43" t="s">
        <v>1542</v>
      </c>
      <c r="X415" s="43" t="s">
        <v>1542</v>
      </c>
      <c r="Y415" s="43" t="s">
        <v>1542</v>
      </c>
      <c r="Z415" s="43" t="s">
        <v>1542</v>
      </c>
      <c r="AA415" s="43" t="s">
        <v>1542</v>
      </c>
      <c r="AB415" s="46">
        <f t="shared" si="34"/>
        <v>0</v>
      </c>
      <c r="AC415" s="44" t="s">
        <v>1542</v>
      </c>
      <c r="AD415" s="44" t="s">
        <v>1542</v>
      </c>
      <c r="AE415" s="44" t="s">
        <v>1542</v>
      </c>
      <c r="AF415" s="44" t="s">
        <v>1542</v>
      </c>
      <c r="AG415" s="44" t="s">
        <v>1542</v>
      </c>
      <c r="AH415" s="44" t="s">
        <v>1542</v>
      </c>
      <c r="AI415" s="44" t="s">
        <v>1542</v>
      </c>
      <c r="AJ415" s="44" t="s">
        <v>1542</v>
      </c>
      <c r="AK415" s="44" t="s">
        <v>1542</v>
      </c>
      <c r="AL415" s="44" t="s">
        <v>1542</v>
      </c>
      <c r="AM415" s="44" t="s">
        <v>1542</v>
      </c>
      <c r="AN415" s="44" t="s">
        <v>1542</v>
      </c>
      <c r="AO415" s="46">
        <f t="shared" si="30"/>
        <v>0</v>
      </c>
      <c r="AP415" s="43" t="s">
        <v>1542</v>
      </c>
      <c r="AQ415" s="43" t="s">
        <v>1542</v>
      </c>
      <c r="AR415" s="43" t="s">
        <v>1542</v>
      </c>
      <c r="AS415" s="43" t="s">
        <v>1542</v>
      </c>
      <c r="AT415" s="43" t="s">
        <v>1542</v>
      </c>
      <c r="AU415" s="43" t="s">
        <v>1542</v>
      </c>
      <c r="AV415" s="43" t="s">
        <v>1542</v>
      </c>
      <c r="AW415" s="43" t="s">
        <v>1542</v>
      </c>
      <c r="AX415" s="43" t="s">
        <v>1542</v>
      </c>
      <c r="AY415" s="43" t="s">
        <v>1542</v>
      </c>
      <c r="AZ415" s="43" t="s">
        <v>1542</v>
      </c>
      <c r="BA415" s="43" t="s">
        <v>1542</v>
      </c>
      <c r="BB415" s="46">
        <f t="shared" si="31"/>
        <v>0</v>
      </c>
      <c r="BC415" s="44" t="s">
        <v>1542</v>
      </c>
      <c r="BD415" s="44" t="s">
        <v>1542</v>
      </c>
      <c r="BE415" s="44" t="s">
        <v>1542</v>
      </c>
      <c r="BF415" s="44" t="s">
        <v>1542</v>
      </c>
      <c r="BG415" s="44" t="s">
        <v>1542</v>
      </c>
      <c r="BH415" s="44" t="s">
        <v>1542</v>
      </c>
      <c r="BI415" s="44" t="s">
        <v>1542</v>
      </c>
      <c r="BJ415" s="44" t="s">
        <v>1542</v>
      </c>
      <c r="BK415" s="44" t="s">
        <v>1542</v>
      </c>
      <c r="BL415" s="44" t="s">
        <v>1542</v>
      </c>
      <c r="BM415" s="44" t="s">
        <v>1542</v>
      </c>
      <c r="BN415" s="44" t="s">
        <v>1542</v>
      </c>
      <c r="BO415" s="46">
        <f t="shared" si="32"/>
        <v>0</v>
      </c>
      <c r="BP415" s="43" t="s">
        <v>1542</v>
      </c>
      <c r="BQ415" s="43" t="s">
        <v>1542</v>
      </c>
      <c r="BR415" s="43" t="s">
        <v>1542</v>
      </c>
      <c r="BS415" s="43" t="s">
        <v>1542</v>
      </c>
      <c r="BT415" s="43" t="s">
        <v>1542</v>
      </c>
      <c r="BU415" s="43" t="s">
        <v>1542</v>
      </c>
      <c r="BV415" s="43" t="s">
        <v>1542</v>
      </c>
      <c r="BW415" s="43" t="s">
        <v>1542</v>
      </c>
      <c r="BX415" s="43" t="s">
        <v>1542</v>
      </c>
      <c r="BY415" s="43" t="s">
        <v>1542</v>
      </c>
      <c r="BZ415" s="43" t="s">
        <v>1542</v>
      </c>
      <c r="CA415" s="43" t="s">
        <v>1542</v>
      </c>
    </row>
    <row r="416" spans="1:79">
      <c r="A416">
        <v>415</v>
      </c>
      <c r="B416">
        <v>1</v>
      </c>
      <c r="C416" t="s">
        <v>2935</v>
      </c>
      <c r="D416" t="s">
        <v>2936</v>
      </c>
      <c r="E416" t="s">
        <v>3351</v>
      </c>
      <c r="F416" t="s">
        <v>3352</v>
      </c>
      <c r="G416" t="s">
        <v>3425</v>
      </c>
      <c r="H416" t="s">
        <v>3425</v>
      </c>
      <c r="J416" t="s">
        <v>3426</v>
      </c>
      <c r="K416" t="s">
        <v>3427</v>
      </c>
      <c r="M416" s="1" t="s">
        <v>3428</v>
      </c>
      <c r="O416" s="46">
        <f t="shared" si="33"/>
        <v>0</v>
      </c>
      <c r="P416" s="43" t="s">
        <v>1542</v>
      </c>
      <c r="Q416" s="43" t="s">
        <v>1542</v>
      </c>
      <c r="R416" s="43" t="s">
        <v>1542</v>
      </c>
      <c r="S416" s="43" t="s">
        <v>1542</v>
      </c>
      <c r="T416" s="43" t="s">
        <v>1542</v>
      </c>
      <c r="U416" s="43" t="s">
        <v>1542</v>
      </c>
      <c r="V416" s="43" t="s">
        <v>1542</v>
      </c>
      <c r="W416" s="43" t="s">
        <v>1542</v>
      </c>
      <c r="X416" s="43" t="s">
        <v>1542</v>
      </c>
      <c r="Y416" s="43" t="s">
        <v>1542</v>
      </c>
      <c r="Z416" s="43" t="s">
        <v>1542</v>
      </c>
      <c r="AA416" s="43" t="s">
        <v>1542</v>
      </c>
      <c r="AB416" s="46">
        <f t="shared" si="34"/>
        <v>0</v>
      </c>
      <c r="AC416" s="44" t="s">
        <v>1542</v>
      </c>
      <c r="AD416" s="44" t="s">
        <v>1542</v>
      </c>
      <c r="AE416" s="44" t="s">
        <v>1542</v>
      </c>
      <c r="AF416" s="44" t="s">
        <v>1542</v>
      </c>
      <c r="AG416" s="44" t="s">
        <v>1542</v>
      </c>
      <c r="AH416" s="44" t="s">
        <v>1542</v>
      </c>
      <c r="AI416" s="44" t="s">
        <v>1542</v>
      </c>
      <c r="AJ416" s="44" t="s">
        <v>1542</v>
      </c>
      <c r="AK416" s="44" t="s">
        <v>1542</v>
      </c>
      <c r="AL416" s="44" t="s">
        <v>1542</v>
      </c>
      <c r="AM416" s="44" t="s">
        <v>1542</v>
      </c>
      <c r="AN416" s="44" t="s">
        <v>1542</v>
      </c>
      <c r="AO416" s="46">
        <f t="shared" si="30"/>
        <v>0</v>
      </c>
      <c r="AP416" s="43" t="s">
        <v>1542</v>
      </c>
      <c r="AQ416" s="43" t="s">
        <v>1542</v>
      </c>
      <c r="AR416" s="43" t="s">
        <v>1542</v>
      </c>
      <c r="AS416" s="43" t="s">
        <v>1542</v>
      </c>
      <c r="AT416" s="43" t="s">
        <v>1542</v>
      </c>
      <c r="AU416" s="43" t="s">
        <v>1542</v>
      </c>
      <c r="AV416" s="43" t="s">
        <v>1542</v>
      </c>
      <c r="AW416" s="43" t="s">
        <v>1542</v>
      </c>
      <c r="AX416" s="43" t="s">
        <v>1542</v>
      </c>
      <c r="AY416" s="43" t="s">
        <v>1542</v>
      </c>
      <c r="AZ416" s="43" t="s">
        <v>1542</v>
      </c>
      <c r="BA416" s="43" t="s">
        <v>1542</v>
      </c>
      <c r="BB416" s="46">
        <f t="shared" si="31"/>
        <v>0</v>
      </c>
      <c r="BC416" s="44" t="s">
        <v>1542</v>
      </c>
      <c r="BD416" s="44" t="s">
        <v>1542</v>
      </c>
      <c r="BE416" s="44" t="s">
        <v>1542</v>
      </c>
      <c r="BF416" s="44" t="s">
        <v>1542</v>
      </c>
      <c r="BG416" s="44" t="s">
        <v>1542</v>
      </c>
      <c r="BH416" s="44" t="s">
        <v>1542</v>
      </c>
      <c r="BI416" s="44" t="s">
        <v>1542</v>
      </c>
      <c r="BJ416" s="44" t="s">
        <v>1542</v>
      </c>
      <c r="BK416" s="44" t="s">
        <v>1542</v>
      </c>
      <c r="BL416" s="44" t="s">
        <v>1542</v>
      </c>
      <c r="BM416" s="44" t="s">
        <v>1542</v>
      </c>
      <c r="BN416" s="44" t="s">
        <v>1542</v>
      </c>
      <c r="BO416" s="46">
        <f t="shared" si="32"/>
        <v>0</v>
      </c>
      <c r="BP416" s="43" t="s">
        <v>1542</v>
      </c>
      <c r="BQ416" s="43" t="s">
        <v>1542</v>
      </c>
      <c r="BR416" s="43" t="s">
        <v>1542</v>
      </c>
      <c r="BS416" s="43" t="s">
        <v>1542</v>
      </c>
      <c r="BT416" s="43" t="s">
        <v>1542</v>
      </c>
      <c r="BU416" s="43" t="s">
        <v>1542</v>
      </c>
      <c r="BV416" s="43" t="s">
        <v>1542</v>
      </c>
      <c r="BW416" s="43" t="s">
        <v>1542</v>
      </c>
      <c r="BX416" s="43" t="s">
        <v>1542</v>
      </c>
      <c r="BY416" s="43" t="s">
        <v>1542</v>
      </c>
      <c r="BZ416" s="43" t="s">
        <v>1542</v>
      </c>
      <c r="CA416" s="43" t="s">
        <v>1542</v>
      </c>
    </row>
    <row r="417" spans="1:79">
      <c r="A417">
        <v>416</v>
      </c>
      <c r="B417">
        <v>1</v>
      </c>
      <c r="C417" t="s">
        <v>2935</v>
      </c>
      <c r="D417" t="s">
        <v>2936</v>
      </c>
      <c r="E417" t="s">
        <v>3429</v>
      </c>
      <c r="F417" t="s">
        <v>3430</v>
      </c>
      <c r="G417" t="s">
        <v>3431</v>
      </c>
      <c r="H417" t="s">
        <v>3431</v>
      </c>
      <c r="J417" t="s">
        <v>3432</v>
      </c>
      <c r="K417" t="s">
        <v>3433</v>
      </c>
      <c r="M417" s="1" t="s">
        <v>3434</v>
      </c>
      <c r="N417" t="s">
        <v>3435</v>
      </c>
      <c r="O417" s="46">
        <f t="shared" si="33"/>
        <v>0</v>
      </c>
      <c r="P417" s="43" t="s">
        <v>1542</v>
      </c>
      <c r="Q417" s="43" t="s">
        <v>1542</v>
      </c>
      <c r="R417" s="43" t="s">
        <v>1542</v>
      </c>
      <c r="S417" s="43" t="s">
        <v>1542</v>
      </c>
      <c r="T417" s="43" t="s">
        <v>1542</v>
      </c>
      <c r="U417" s="43" t="s">
        <v>1542</v>
      </c>
      <c r="V417" s="43" t="s">
        <v>1542</v>
      </c>
      <c r="W417" s="43" t="s">
        <v>1542</v>
      </c>
      <c r="X417" s="43" t="s">
        <v>1542</v>
      </c>
      <c r="Y417" s="43" t="s">
        <v>1542</v>
      </c>
      <c r="Z417" s="43" t="s">
        <v>1542</v>
      </c>
      <c r="AA417" s="43" t="s">
        <v>1542</v>
      </c>
      <c r="AB417" s="46">
        <f t="shared" si="34"/>
        <v>0</v>
      </c>
      <c r="AC417" s="44" t="s">
        <v>1542</v>
      </c>
      <c r="AD417" s="44" t="s">
        <v>1542</v>
      </c>
      <c r="AE417" s="44" t="s">
        <v>1542</v>
      </c>
      <c r="AF417" s="44" t="s">
        <v>1542</v>
      </c>
      <c r="AG417" s="44" t="s">
        <v>1542</v>
      </c>
      <c r="AH417" s="44" t="s">
        <v>1542</v>
      </c>
      <c r="AI417" s="44" t="s">
        <v>1542</v>
      </c>
      <c r="AJ417" s="44" t="s">
        <v>1542</v>
      </c>
      <c r="AK417" s="44" t="s">
        <v>1542</v>
      </c>
      <c r="AL417" s="44" t="s">
        <v>1542</v>
      </c>
      <c r="AM417" s="44" t="s">
        <v>1542</v>
      </c>
      <c r="AN417" s="44" t="s">
        <v>1542</v>
      </c>
      <c r="AO417" s="46">
        <f t="shared" si="30"/>
        <v>0</v>
      </c>
      <c r="AP417" s="43" t="s">
        <v>1542</v>
      </c>
      <c r="AQ417" s="43" t="s">
        <v>1542</v>
      </c>
      <c r="AR417" s="43" t="s">
        <v>1542</v>
      </c>
      <c r="AS417" s="43" t="s">
        <v>1542</v>
      </c>
      <c r="AT417" s="43" t="s">
        <v>1542</v>
      </c>
      <c r="AU417" s="43" t="s">
        <v>1542</v>
      </c>
      <c r="AV417" s="43" t="s">
        <v>1542</v>
      </c>
      <c r="AW417" s="43" t="s">
        <v>1542</v>
      </c>
      <c r="AX417" s="43" t="s">
        <v>1542</v>
      </c>
      <c r="AY417" s="43" t="s">
        <v>1542</v>
      </c>
      <c r="AZ417" s="43" t="s">
        <v>1542</v>
      </c>
      <c r="BA417" s="43" t="s">
        <v>1542</v>
      </c>
      <c r="BB417" s="46">
        <f t="shared" si="31"/>
        <v>0</v>
      </c>
      <c r="BC417" s="44" t="s">
        <v>1542</v>
      </c>
      <c r="BD417" s="44" t="s">
        <v>1542</v>
      </c>
      <c r="BE417" s="44" t="s">
        <v>1542</v>
      </c>
      <c r="BF417" s="44" t="s">
        <v>1542</v>
      </c>
      <c r="BG417" s="44" t="s">
        <v>1542</v>
      </c>
      <c r="BH417" s="44" t="s">
        <v>1542</v>
      </c>
      <c r="BI417" s="44" t="s">
        <v>1542</v>
      </c>
      <c r="BJ417" s="44" t="s">
        <v>1542</v>
      </c>
      <c r="BK417" s="44" t="s">
        <v>1542</v>
      </c>
      <c r="BL417" s="44" t="s">
        <v>1542</v>
      </c>
      <c r="BM417" s="44" t="s">
        <v>1542</v>
      </c>
      <c r="BN417" s="44" t="s">
        <v>1542</v>
      </c>
      <c r="BO417" s="46">
        <f t="shared" si="32"/>
        <v>0</v>
      </c>
      <c r="BP417" s="43" t="s">
        <v>1542</v>
      </c>
      <c r="BQ417" s="43" t="s">
        <v>1542</v>
      </c>
      <c r="BR417" s="43" t="s">
        <v>1542</v>
      </c>
      <c r="BS417" s="43" t="s">
        <v>1542</v>
      </c>
      <c r="BT417" s="43" t="s">
        <v>1542</v>
      </c>
      <c r="BU417" s="43" t="s">
        <v>1542</v>
      </c>
      <c r="BV417" s="43" t="s">
        <v>1542</v>
      </c>
      <c r="BW417" s="43" t="s">
        <v>1542</v>
      </c>
      <c r="BX417" s="43" t="s">
        <v>1542</v>
      </c>
      <c r="BY417" s="43" t="s">
        <v>1542</v>
      </c>
      <c r="BZ417" s="43" t="s">
        <v>1542</v>
      </c>
      <c r="CA417" s="43" t="s">
        <v>1542</v>
      </c>
    </row>
    <row r="418" spans="1:79">
      <c r="A418">
        <v>417</v>
      </c>
      <c r="B418">
        <v>1</v>
      </c>
      <c r="C418" t="s">
        <v>2935</v>
      </c>
      <c r="D418" t="s">
        <v>2936</v>
      </c>
      <c r="E418" t="s">
        <v>3429</v>
      </c>
      <c r="F418" t="s">
        <v>3430</v>
      </c>
      <c r="G418" t="s">
        <v>3436</v>
      </c>
      <c r="H418" t="s">
        <v>3436</v>
      </c>
      <c r="J418" t="s">
        <v>3437</v>
      </c>
      <c r="K418" t="s">
        <v>3438</v>
      </c>
      <c r="M418" s="1" t="s">
        <v>3439</v>
      </c>
      <c r="N418" t="s">
        <v>3440</v>
      </c>
      <c r="O418" s="46">
        <f t="shared" si="33"/>
        <v>0</v>
      </c>
      <c r="P418" s="43" t="s">
        <v>1542</v>
      </c>
      <c r="Q418" s="43" t="s">
        <v>1542</v>
      </c>
      <c r="R418" s="43" t="s">
        <v>1542</v>
      </c>
      <c r="S418" s="43" t="s">
        <v>1542</v>
      </c>
      <c r="T418" s="43" t="s">
        <v>1542</v>
      </c>
      <c r="U418" s="43" t="s">
        <v>1542</v>
      </c>
      <c r="V418" s="43" t="s">
        <v>1542</v>
      </c>
      <c r="W418" s="43" t="s">
        <v>1542</v>
      </c>
      <c r="X418" s="43" t="s">
        <v>1542</v>
      </c>
      <c r="Y418" s="43" t="s">
        <v>1542</v>
      </c>
      <c r="Z418" s="43" t="s">
        <v>1542</v>
      </c>
      <c r="AA418" s="43" t="s">
        <v>1542</v>
      </c>
      <c r="AB418" s="46">
        <f t="shared" si="34"/>
        <v>0</v>
      </c>
      <c r="AC418" s="44" t="s">
        <v>1542</v>
      </c>
      <c r="AD418" s="44" t="s">
        <v>1542</v>
      </c>
      <c r="AE418" s="44" t="s">
        <v>1542</v>
      </c>
      <c r="AF418" s="44" t="s">
        <v>1542</v>
      </c>
      <c r="AG418" s="44" t="s">
        <v>1542</v>
      </c>
      <c r="AH418" s="44" t="s">
        <v>1542</v>
      </c>
      <c r="AI418" s="44" t="s">
        <v>1542</v>
      </c>
      <c r="AJ418" s="44" t="s">
        <v>1542</v>
      </c>
      <c r="AK418" s="44" t="s">
        <v>1542</v>
      </c>
      <c r="AL418" s="44" t="s">
        <v>1542</v>
      </c>
      <c r="AM418" s="44" t="s">
        <v>1542</v>
      </c>
      <c r="AN418" s="44" t="s">
        <v>1542</v>
      </c>
      <c r="AO418" s="46">
        <f t="shared" si="30"/>
        <v>0</v>
      </c>
      <c r="AP418" s="43" t="s">
        <v>1542</v>
      </c>
      <c r="AQ418" s="43" t="s">
        <v>1542</v>
      </c>
      <c r="AR418" s="43" t="s">
        <v>1542</v>
      </c>
      <c r="AS418" s="43" t="s">
        <v>1542</v>
      </c>
      <c r="AT418" s="43" t="s">
        <v>1542</v>
      </c>
      <c r="AU418" s="43" t="s">
        <v>1542</v>
      </c>
      <c r="AV418" s="43" t="s">
        <v>1542</v>
      </c>
      <c r="AW418" s="43" t="s">
        <v>1542</v>
      </c>
      <c r="AX418" s="43" t="s">
        <v>1542</v>
      </c>
      <c r="AY418" s="43" t="s">
        <v>1542</v>
      </c>
      <c r="AZ418" s="43" t="s">
        <v>1542</v>
      </c>
      <c r="BA418" s="43" t="s">
        <v>1542</v>
      </c>
      <c r="BB418" s="46">
        <f t="shared" si="31"/>
        <v>0</v>
      </c>
      <c r="BC418" s="44" t="s">
        <v>1542</v>
      </c>
      <c r="BD418" s="44" t="s">
        <v>1554</v>
      </c>
      <c r="BE418" s="44" t="s">
        <v>1542</v>
      </c>
      <c r="BF418" s="44" t="s">
        <v>1542</v>
      </c>
      <c r="BG418" s="44" t="s">
        <v>1542</v>
      </c>
      <c r="BH418" s="44" t="s">
        <v>1542</v>
      </c>
      <c r="BI418" s="44" t="s">
        <v>1542</v>
      </c>
      <c r="BJ418" s="44" t="s">
        <v>1542</v>
      </c>
      <c r="BK418" s="44" t="s">
        <v>1542</v>
      </c>
      <c r="BL418" s="44" t="s">
        <v>1542</v>
      </c>
      <c r="BM418" s="44" t="s">
        <v>1542</v>
      </c>
      <c r="BN418" s="44" t="s">
        <v>1542</v>
      </c>
      <c r="BO418" s="46">
        <f t="shared" si="32"/>
        <v>1</v>
      </c>
      <c r="BP418" s="43" t="s">
        <v>1542</v>
      </c>
      <c r="BQ418" s="43" t="s">
        <v>1542</v>
      </c>
      <c r="BR418" s="43" t="s">
        <v>1542</v>
      </c>
      <c r="BS418" s="43" t="s">
        <v>1542</v>
      </c>
      <c r="BT418" s="43" t="s">
        <v>1542</v>
      </c>
      <c r="BU418" s="43" t="s">
        <v>1542</v>
      </c>
      <c r="BV418" s="43" t="s">
        <v>1542</v>
      </c>
      <c r="BW418" s="43" t="s">
        <v>1542</v>
      </c>
      <c r="BX418" s="43" t="s">
        <v>1542</v>
      </c>
      <c r="BY418" s="43" t="s">
        <v>1542</v>
      </c>
      <c r="BZ418" s="43" t="s">
        <v>1542</v>
      </c>
      <c r="CA418" s="43" t="s">
        <v>1542</v>
      </c>
    </row>
    <row r="419" spans="1:79">
      <c r="A419">
        <v>418</v>
      </c>
      <c r="B419">
        <v>1</v>
      </c>
      <c r="C419" t="s">
        <v>2935</v>
      </c>
      <c r="D419" t="s">
        <v>2936</v>
      </c>
      <c r="E419" t="s">
        <v>3429</v>
      </c>
      <c r="F419" t="s">
        <v>3430</v>
      </c>
      <c r="G419" t="s">
        <v>3441</v>
      </c>
      <c r="H419" t="s">
        <v>3441</v>
      </c>
      <c r="J419" t="s">
        <v>3442</v>
      </c>
      <c r="K419" t="s">
        <v>3443</v>
      </c>
      <c r="M419" s="1" t="s">
        <v>3444</v>
      </c>
      <c r="O419" s="46">
        <f t="shared" si="33"/>
        <v>0</v>
      </c>
      <c r="P419" s="43" t="s">
        <v>1542</v>
      </c>
      <c r="Q419" s="43" t="s">
        <v>1542</v>
      </c>
      <c r="R419" s="43" t="s">
        <v>1542</v>
      </c>
      <c r="S419" s="43" t="s">
        <v>1542</v>
      </c>
      <c r="T419" s="43" t="s">
        <v>1542</v>
      </c>
      <c r="U419" s="43" t="s">
        <v>1542</v>
      </c>
      <c r="V419" s="43" t="s">
        <v>1542</v>
      </c>
      <c r="W419" s="43" t="s">
        <v>1542</v>
      </c>
      <c r="X419" s="43" t="s">
        <v>1542</v>
      </c>
      <c r="Y419" s="43" t="s">
        <v>1542</v>
      </c>
      <c r="Z419" s="43" t="s">
        <v>1542</v>
      </c>
      <c r="AA419" s="43" t="s">
        <v>1542</v>
      </c>
      <c r="AB419" s="46">
        <f t="shared" si="34"/>
        <v>0</v>
      </c>
      <c r="AC419" s="44" t="s">
        <v>1542</v>
      </c>
      <c r="AD419" s="44" t="s">
        <v>1542</v>
      </c>
      <c r="AE419" s="44" t="s">
        <v>1542</v>
      </c>
      <c r="AF419" s="44" t="s">
        <v>1542</v>
      </c>
      <c r="AG419" s="44" t="s">
        <v>1542</v>
      </c>
      <c r="AH419" s="44" t="s">
        <v>1542</v>
      </c>
      <c r="AI419" s="44" t="s">
        <v>1542</v>
      </c>
      <c r="AJ419" s="44" t="s">
        <v>1542</v>
      </c>
      <c r="AK419" s="44" t="s">
        <v>1542</v>
      </c>
      <c r="AL419" s="44" t="s">
        <v>1542</v>
      </c>
      <c r="AM419" s="44" t="s">
        <v>1542</v>
      </c>
      <c r="AN419" s="44" t="s">
        <v>1542</v>
      </c>
      <c r="AO419" s="46">
        <f t="shared" si="30"/>
        <v>0</v>
      </c>
      <c r="AP419" s="43" t="s">
        <v>1542</v>
      </c>
      <c r="AQ419" s="43" t="s">
        <v>1542</v>
      </c>
      <c r="AR419" s="43" t="s">
        <v>1542</v>
      </c>
      <c r="AS419" s="43" t="s">
        <v>1542</v>
      </c>
      <c r="AT419" s="43" t="s">
        <v>1542</v>
      </c>
      <c r="AU419" s="43" t="s">
        <v>1542</v>
      </c>
      <c r="AV419" s="43" t="s">
        <v>1542</v>
      </c>
      <c r="AW419" s="43" t="s">
        <v>1542</v>
      </c>
      <c r="AX419" s="43" t="s">
        <v>1542</v>
      </c>
      <c r="AY419" s="43" t="s">
        <v>1542</v>
      </c>
      <c r="AZ419" s="43" t="s">
        <v>1542</v>
      </c>
      <c r="BA419" s="43" t="s">
        <v>1542</v>
      </c>
      <c r="BB419" s="46">
        <f t="shared" si="31"/>
        <v>0</v>
      </c>
      <c r="BC419" s="44" t="s">
        <v>1542</v>
      </c>
      <c r="BD419" s="44" t="s">
        <v>1542</v>
      </c>
      <c r="BE419" s="44" t="s">
        <v>1542</v>
      </c>
      <c r="BF419" s="44" t="s">
        <v>1542</v>
      </c>
      <c r="BG419" s="44" t="s">
        <v>1542</v>
      </c>
      <c r="BH419" s="44" t="s">
        <v>1542</v>
      </c>
      <c r="BI419" s="44" t="s">
        <v>1542</v>
      </c>
      <c r="BJ419" s="44" t="s">
        <v>1542</v>
      </c>
      <c r="BK419" s="44" t="s">
        <v>1542</v>
      </c>
      <c r="BL419" s="44" t="s">
        <v>1542</v>
      </c>
      <c r="BM419" s="44" t="s">
        <v>1542</v>
      </c>
      <c r="BN419" s="44" t="s">
        <v>1542</v>
      </c>
      <c r="BO419" s="46">
        <f t="shared" si="32"/>
        <v>0</v>
      </c>
      <c r="BP419" s="43" t="s">
        <v>1542</v>
      </c>
      <c r="BQ419" s="43" t="s">
        <v>1542</v>
      </c>
      <c r="BR419" s="43" t="s">
        <v>1542</v>
      </c>
      <c r="BS419" s="43" t="s">
        <v>1542</v>
      </c>
      <c r="BT419" s="43" t="s">
        <v>1542</v>
      </c>
      <c r="BU419" s="43" t="s">
        <v>1542</v>
      </c>
      <c r="BV419" s="43" t="s">
        <v>1542</v>
      </c>
      <c r="BW419" s="43" t="s">
        <v>1542</v>
      </c>
      <c r="BX419" s="43" t="s">
        <v>1542</v>
      </c>
      <c r="BY419" s="43" t="s">
        <v>1542</v>
      </c>
      <c r="BZ419" s="43" t="s">
        <v>1542</v>
      </c>
      <c r="CA419" s="43" t="s">
        <v>1542</v>
      </c>
    </row>
    <row r="420" spans="1:79">
      <c r="A420">
        <v>419</v>
      </c>
      <c r="C420" t="s">
        <v>2935</v>
      </c>
      <c r="D420" t="s">
        <v>2936</v>
      </c>
      <c r="E420" t="s">
        <v>3429</v>
      </c>
      <c r="F420" t="s">
        <v>3430</v>
      </c>
      <c r="G420" t="s">
        <v>3441</v>
      </c>
      <c r="H420" t="s">
        <v>3445</v>
      </c>
      <c r="I420" t="s">
        <v>3445</v>
      </c>
      <c r="J420" t="s">
        <v>3442</v>
      </c>
      <c r="K420" t="s">
        <v>3443</v>
      </c>
      <c r="M420" s="1" t="s">
        <v>3446</v>
      </c>
      <c r="N420" t="s">
        <v>3447</v>
      </c>
      <c r="O420" s="46">
        <f t="shared" si="33"/>
        <v>0</v>
      </c>
      <c r="P420" s="43"/>
      <c r="Q420" s="43"/>
      <c r="R420" s="43"/>
      <c r="S420" s="43"/>
      <c r="T420" s="43"/>
      <c r="U420" s="43"/>
      <c r="V420" s="43"/>
      <c r="W420" s="43"/>
      <c r="X420" s="43"/>
      <c r="Y420" s="43"/>
      <c r="Z420" s="43"/>
      <c r="AA420" s="43"/>
      <c r="AB420" s="46">
        <f t="shared" si="34"/>
        <v>1</v>
      </c>
      <c r="AC420" s="44" t="s">
        <v>1542</v>
      </c>
      <c r="AD420" s="44" t="s">
        <v>1542</v>
      </c>
      <c r="AE420" s="44" t="s">
        <v>1542</v>
      </c>
      <c r="AF420" s="44" t="s">
        <v>1542</v>
      </c>
      <c r="AG420" s="44" t="s">
        <v>1542</v>
      </c>
      <c r="AH420" s="44" t="s">
        <v>1542</v>
      </c>
      <c r="AI420" s="44" t="s">
        <v>1542</v>
      </c>
      <c r="AJ420" s="44" t="s">
        <v>1542</v>
      </c>
      <c r="AK420" s="44" t="s">
        <v>1554</v>
      </c>
      <c r="AL420" s="44"/>
      <c r="AM420" s="44"/>
      <c r="AN420" s="44"/>
      <c r="AO420" s="46">
        <f t="shared" si="30"/>
        <v>1</v>
      </c>
      <c r="AP420" s="43" t="s">
        <v>1542</v>
      </c>
      <c r="AQ420" s="43" t="s">
        <v>1542</v>
      </c>
      <c r="AR420" s="43" t="s">
        <v>1542</v>
      </c>
      <c r="AS420" s="43" t="s">
        <v>1542</v>
      </c>
      <c r="AT420" s="43" t="s">
        <v>1542</v>
      </c>
      <c r="AU420" s="43" t="s">
        <v>1542</v>
      </c>
      <c r="AV420" s="43" t="s">
        <v>1542</v>
      </c>
      <c r="AW420" s="43" t="s">
        <v>1542</v>
      </c>
      <c r="AX420" s="43" t="s">
        <v>1542</v>
      </c>
      <c r="AY420" s="43" t="s">
        <v>1542</v>
      </c>
      <c r="AZ420" s="43" t="s">
        <v>1542</v>
      </c>
      <c r="BA420" s="43" t="s">
        <v>1542</v>
      </c>
      <c r="BB420" s="46">
        <f t="shared" si="31"/>
        <v>0</v>
      </c>
      <c r="BC420" s="44" t="s">
        <v>1542</v>
      </c>
      <c r="BD420" s="44" t="s">
        <v>1554</v>
      </c>
      <c r="BE420" s="44" t="s">
        <v>1554</v>
      </c>
      <c r="BF420" s="44" t="s">
        <v>1554</v>
      </c>
      <c r="BG420" s="44" t="s">
        <v>1542</v>
      </c>
      <c r="BH420" s="44" t="s">
        <v>1542</v>
      </c>
      <c r="BI420" s="44" t="s">
        <v>1542</v>
      </c>
      <c r="BJ420" s="44" t="s">
        <v>1542</v>
      </c>
      <c r="BK420" s="44" t="s">
        <v>1542</v>
      </c>
      <c r="BL420" s="44" t="s">
        <v>1542</v>
      </c>
      <c r="BM420" s="44" t="s">
        <v>1542</v>
      </c>
      <c r="BN420" s="44" t="s">
        <v>1542</v>
      </c>
      <c r="BO420" s="46">
        <f t="shared" si="32"/>
        <v>3</v>
      </c>
      <c r="BP420" s="43" t="s">
        <v>1542</v>
      </c>
      <c r="BQ420" s="43" t="s">
        <v>1542</v>
      </c>
      <c r="BR420" s="43" t="s">
        <v>1542</v>
      </c>
      <c r="BS420" s="43" t="s">
        <v>1542</v>
      </c>
      <c r="BT420" s="43" t="s">
        <v>1542</v>
      </c>
      <c r="BU420" s="43" t="s">
        <v>1542</v>
      </c>
      <c r="BV420" s="43" t="s">
        <v>1542</v>
      </c>
      <c r="BW420" s="43" t="s">
        <v>1542</v>
      </c>
      <c r="BX420" s="43" t="s">
        <v>1542</v>
      </c>
      <c r="BY420" s="43" t="s">
        <v>1542</v>
      </c>
      <c r="BZ420" s="43" t="s">
        <v>1542</v>
      </c>
      <c r="CA420" s="43" t="s">
        <v>1542</v>
      </c>
    </row>
    <row r="421" spans="1:79">
      <c r="A421">
        <v>420</v>
      </c>
      <c r="B421">
        <v>1</v>
      </c>
      <c r="C421" t="s">
        <v>2935</v>
      </c>
      <c r="D421" t="s">
        <v>2936</v>
      </c>
      <c r="E421" t="s">
        <v>3429</v>
      </c>
      <c r="F421" t="s">
        <v>3430</v>
      </c>
      <c r="G421" t="s">
        <v>3448</v>
      </c>
      <c r="H421" t="s">
        <v>3448</v>
      </c>
      <c r="J421" t="s">
        <v>3449</v>
      </c>
      <c r="K421" t="s">
        <v>3450</v>
      </c>
      <c r="M421" s="1" t="s">
        <v>3451</v>
      </c>
      <c r="O421" s="46">
        <f t="shared" si="33"/>
        <v>0</v>
      </c>
      <c r="P421" s="43" t="s">
        <v>1542</v>
      </c>
      <c r="Q421" s="43" t="s">
        <v>1542</v>
      </c>
      <c r="R421" s="43" t="s">
        <v>1542</v>
      </c>
      <c r="S421" s="43" t="s">
        <v>1542</v>
      </c>
      <c r="T421" s="43" t="s">
        <v>1542</v>
      </c>
      <c r="U421" s="43" t="s">
        <v>1542</v>
      </c>
      <c r="V421" s="43" t="s">
        <v>1542</v>
      </c>
      <c r="W421" s="43" t="s">
        <v>1542</v>
      </c>
      <c r="X421" s="43" t="s">
        <v>1542</v>
      </c>
      <c r="Y421" s="43" t="s">
        <v>1542</v>
      </c>
      <c r="Z421" s="43" t="s">
        <v>1542</v>
      </c>
      <c r="AA421" s="43" t="s">
        <v>1542</v>
      </c>
      <c r="AB421" s="46">
        <f t="shared" si="34"/>
        <v>0</v>
      </c>
      <c r="AC421" s="44" t="s">
        <v>1542</v>
      </c>
      <c r="AD421" s="44" t="s">
        <v>1542</v>
      </c>
      <c r="AE421" s="44" t="s">
        <v>1542</v>
      </c>
      <c r="AF421" s="44" t="s">
        <v>1542</v>
      </c>
      <c r="AG421" s="44" t="s">
        <v>1542</v>
      </c>
      <c r="AH421" s="44" t="s">
        <v>1542</v>
      </c>
      <c r="AI421" s="44" t="s">
        <v>1542</v>
      </c>
      <c r="AJ421" s="44" t="s">
        <v>1542</v>
      </c>
      <c r="AK421" s="44" t="s">
        <v>1542</v>
      </c>
      <c r="AL421" s="44" t="s">
        <v>1542</v>
      </c>
      <c r="AM421" s="44" t="s">
        <v>1542</v>
      </c>
      <c r="AN421" s="44" t="s">
        <v>1542</v>
      </c>
      <c r="AO421" s="46">
        <f t="shared" si="30"/>
        <v>0</v>
      </c>
      <c r="AP421" s="43" t="s">
        <v>1542</v>
      </c>
      <c r="AQ421" s="43" t="s">
        <v>1542</v>
      </c>
      <c r="AR421" s="43" t="s">
        <v>1542</v>
      </c>
      <c r="AS421" s="43" t="s">
        <v>1542</v>
      </c>
      <c r="AT421" s="43" t="s">
        <v>1542</v>
      </c>
      <c r="AU421" s="43" t="s">
        <v>1542</v>
      </c>
      <c r="AV421" s="43" t="s">
        <v>1542</v>
      </c>
      <c r="AW421" s="43" t="s">
        <v>1542</v>
      </c>
      <c r="AX421" s="43" t="s">
        <v>1542</v>
      </c>
      <c r="AY421" s="43" t="s">
        <v>1542</v>
      </c>
      <c r="AZ421" s="43" t="s">
        <v>1542</v>
      </c>
      <c r="BA421" s="43" t="s">
        <v>1542</v>
      </c>
      <c r="BB421" s="46">
        <f t="shared" si="31"/>
        <v>0</v>
      </c>
      <c r="BC421" s="44" t="s">
        <v>1542</v>
      </c>
      <c r="BD421" s="44" t="s">
        <v>1542</v>
      </c>
      <c r="BE421" s="44" t="s">
        <v>1542</v>
      </c>
      <c r="BF421" s="44" t="s">
        <v>1542</v>
      </c>
      <c r="BG421" s="44" t="s">
        <v>1542</v>
      </c>
      <c r="BH421" s="44" t="s">
        <v>1542</v>
      </c>
      <c r="BI421" s="44" t="s">
        <v>1542</v>
      </c>
      <c r="BJ421" s="44" t="s">
        <v>1542</v>
      </c>
      <c r="BK421" s="44" t="s">
        <v>1542</v>
      </c>
      <c r="BL421" s="44" t="s">
        <v>1542</v>
      </c>
      <c r="BM421" s="44" t="s">
        <v>1542</v>
      </c>
      <c r="BN421" s="44" t="s">
        <v>1542</v>
      </c>
      <c r="BO421" s="46">
        <f t="shared" si="32"/>
        <v>0</v>
      </c>
      <c r="BP421" s="43" t="s">
        <v>1542</v>
      </c>
      <c r="BQ421" s="43" t="s">
        <v>1542</v>
      </c>
      <c r="BR421" s="43" t="s">
        <v>1542</v>
      </c>
      <c r="BS421" s="43" t="s">
        <v>1542</v>
      </c>
      <c r="BT421" s="43" t="s">
        <v>1542</v>
      </c>
      <c r="BU421" s="43" t="s">
        <v>1542</v>
      </c>
      <c r="BV421" s="43" t="s">
        <v>1542</v>
      </c>
      <c r="BW421" s="43" t="s">
        <v>1542</v>
      </c>
      <c r="BX421" s="43" t="s">
        <v>1542</v>
      </c>
      <c r="BY421" s="43" t="s">
        <v>1542</v>
      </c>
      <c r="BZ421" s="43" t="s">
        <v>1542</v>
      </c>
      <c r="CA421" s="43" t="s">
        <v>1542</v>
      </c>
    </row>
    <row r="422" spans="1:79">
      <c r="A422">
        <v>421</v>
      </c>
      <c r="C422" t="s">
        <v>2935</v>
      </c>
      <c r="D422" t="s">
        <v>2936</v>
      </c>
      <c r="E422" t="s">
        <v>3429</v>
      </c>
      <c r="F422" t="s">
        <v>3430</v>
      </c>
      <c r="G422" t="s">
        <v>3448</v>
      </c>
      <c r="H422" t="s">
        <v>3452</v>
      </c>
      <c r="I422" t="s">
        <v>3452</v>
      </c>
      <c r="J422" t="s">
        <v>3449</v>
      </c>
      <c r="K422" t="s">
        <v>3450</v>
      </c>
      <c r="M422" s="1" t="s">
        <v>3453</v>
      </c>
      <c r="N422" t="s">
        <v>3454</v>
      </c>
      <c r="O422" s="46">
        <f t="shared" si="33"/>
        <v>0</v>
      </c>
      <c r="P422" s="43"/>
      <c r="Q422" s="43"/>
      <c r="R422" s="43"/>
      <c r="S422" s="43"/>
      <c r="T422" s="43"/>
      <c r="U422" s="43"/>
      <c r="V422" s="43"/>
      <c r="W422" s="43"/>
      <c r="X422" s="43"/>
      <c r="Y422" s="43"/>
      <c r="Z422" s="43"/>
      <c r="AA422" s="43"/>
      <c r="AB422" s="46">
        <f t="shared" si="34"/>
        <v>2</v>
      </c>
      <c r="AC422" s="44" t="s">
        <v>1542</v>
      </c>
      <c r="AD422" s="44" t="s">
        <v>1554</v>
      </c>
      <c r="AE422" s="44" t="s">
        <v>1542</v>
      </c>
      <c r="AF422" s="44" t="s">
        <v>1542</v>
      </c>
      <c r="AG422" s="44" t="s">
        <v>1542</v>
      </c>
      <c r="AH422" s="44" t="s">
        <v>1542</v>
      </c>
      <c r="AI422" s="44" t="s">
        <v>1542</v>
      </c>
      <c r="AJ422" s="44" t="s">
        <v>1542</v>
      </c>
      <c r="AK422" s="44" t="s">
        <v>1554</v>
      </c>
      <c r="AL422" s="44"/>
      <c r="AM422" s="44"/>
      <c r="AN422" s="44"/>
      <c r="AO422" s="46">
        <f t="shared" si="30"/>
        <v>2</v>
      </c>
      <c r="AP422" s="43" t="s">
        <v>1542</v>
      </c>
      <c r="AQ422" s="43" t="s">
        <v>1542</v>
      </c>
      <c r="AR422" s="43" t="s">
        <v>1542</v>
      </c>
      <c r="AS422" s="43" t="s">
        <v>1542</v>
      </c>
      <c r="AT422" s="43" t="s">
        <v>1542</v>
      </c>
      <c r="AU422" s="43" t="s">
        <v>1542</v>
      </c>
      <c r="AV422" s="43" t="s">
        <v>1542</v>
      </c>
      <c r="AW422" s="43" t="s">
        <v>1542</v>
      </c>
      <c r="AX422" s="43" t="s">
        <v>1542</v>
      </c>
      <c r="AY422" s="43" t="s">
        <v>1542</v>
      </c>
      <c r="AZ422" s="43" t="s">
        <v>1542</v>
      </c>
      <c r="BA422" s="43" t="s">
        <v>1542</v>
      </c>
      <c r="BB422" s="46">
        <f t="shared" si="31"/>
        <v>0</v>
      </c>
      <c r="BC422" s="44" t="s">
        <v>1542</v>
      </c>
      <c r="BD422" s="44" t="s">
        <v>1542</v>
      </c>
      <c r="BE422" s="44" t="s">
        <v>1542</v>
      </c>
      <c r="BF422" s="44" t="s">
        <v>1554</v>
      </c>
      <c r="BG422" s="44" t="s">
        <v>1554</v>
      </c>
      <c r="BH422" s="44" t="s">
        <v>1554</v>
      </c>
      <c r="BI422" s="44" t="s">
        <v>1542</v>
      </c>
      <c r="BJ422" s="44" t="s">
        <v>1542</v>
      </c>
      <c r="BK422" s="44" t="s">
        <v>1542</v>
      </c>
      <c r="BL422" s="44" t="s">
        <v>1542</v>
      </c>
      <c r="BM422" s="44" t="s">
        <v>1542</v>
      </c>
      <c r="BN422" s="44" t="s">
        <v>1542</v>
      </c>
      <c r="BO422" s="46">
        <f t="shared" si="32"/>
        <v>3</v>
      </c>
      <c r="BP422" s="43" t="s">
        <v>1542</v>
      </c>
      <c r="BQ422" s="43" t="s">
        <v>1542</v>
      </c>
      <c r="BR422" s="43" t="s">
        <v>1542</v>
      </c>
      <c r="BS422" s="43" t="s">
        <v>1542</v>
      </c>
      <c r="BT422" s="43" t="s">
        <v>1542</v>
      </c>
      <c r="BU422" s="43" t="s">
        <v>1542</v>
      </c>
      <c r="BV422" s="43" t="s">
        <v>1542</v>
      </c>
      <c r="BW422" s="43" t="s">
        <v>1542</v>
      </c>
      <c r="BX422" s="43" t="s">
        <v>1542</v>
      </c>
      <c r="BY422" s="43" t="s">
        <v>1542</v>
      </c>
      <c r="BZ422" s="43" t="s">
        <v>1542</v>
      </c>
      <c r="CA422" s="43" t="s">
        <v>1542</v>
      </c>
    </row>
    <row r="423" spans="1:79">
      <c r="A423">
        <v>422</v>
      </c>
      <c r="B423">
        <v>1</v>
      </c>
      <c r="C423" t="s">
        <v>2935</v>
      </c>
      <c r="D423" t="s">
        <v>2936</v>
      </c>
      <c r="E423" t="s">
        <v>3429</v>
      </c>
      <c r="F423" t="s">
        <v>3430</v>
      </c>
      <c r="G423" t="s">
        <v>3455</v>
      </c>
      <c r="H423" t="s">
        <v>3455</v>
      </c>
      <c r="J423" t="s">
        <v>3456</v>
      </c>
      <c r="K423" t="s">
        <v>3457</v>
      </c>
      <c r="M423" s="1" t="s">
        <v>3458</v>
      </c>
      <c r="O423" s="46">
        <f t="shared" si="33"/>
        <v>0</v>
      </c>
      <c r="P423" s="43" t="s">
        <v>1542</v>
      </c>
      <c r="Q423" s="43" t="s">
        <v>1542</v>
      </c>
      <c r="R423" s="43" t="s">
        <v>1542</v>
      </c>
      <c r="S423" s="43" t="s">
        <v>1542</v>
      </c>
      <c r="T423" s="43" t="s">
        <v>1542</v>
      </c>
      <c r="U423" s="43" t="s">
        <v>1542</v>
      </c>
      <c r="V423" s="43" t="s">
        <v>1542</v>
      </c>
      <c r="W423" s="43" t="s">
        <v>1542</v>
      </c>
      <c r="X423" s="43" t="s">
        <v>1542</v>
      </c>
      <c r="Y423" s="43" t="s">
        <v>1542</v>
      </c>
      <c r="Z423" s="43" t="s">
        <v>1542</v>
      </c>
      <c r="AA423" s="43" t="s">
        <v>1542</v>
      </c>
      <c r="AB423" s="46">
        <f t="shared" si="34"/>
        <v>0</v>
      </c>
      <c r="AC423" s="44" t="s">
        <v>1542</v>
      </c>
      <c r="AD423" s="44" t="s">
        <v>1542</v>
      </c>
      <c r="AE423" s="44" t="s">
        <v>1542</v>
      </c>
      <c r="AF423" s="44" t="s">
        <v>1542</v>
      </c>
      <c r="AG423" s="44" t="s">
        <v>1542</v>
      </c>
      <c r="AH423" s="44" t="s">
        <v>1542</v>
      </c>
      <c r="AI423" s="44" t="s">
        <v>1542</v>
      </c>
      <c r="AJ423" s="44" t="s">
        <v>1542</v>
      </c>
      <c r="AK423" s="44" t="s">
        <v>1542</v>
      </c>
      <c r="AL423" s="44" t="s">
        <v>1542</v>
      </c>
      <c r="AM423" s="44" t="s">
        <v>1542</v>
      </c>
      <c r="AN423" s="44" t="s">
        <v>1542</v>
      </c>
      <c r="AO423" s="46">
        <f t="shared" si="30"/>
        <v>0</v>
      </c>
      <c r="AP423" s="43" t="s">
        <v>1542</v>
      </c>
      <c r="AQ423" s="43" t="s">
        <v>1542</v>
      </c>
      <c r="AR423" s="43" t="s">
        <v>1542</v>
      </c>
      <c r="AS423" s="43" t="s">
        <v>1542</v>
      </c>
      <c r="AT423" s="43" t="s">
        <v>1542</v>
      </c>
      <c r="AU423" s="43" t="s">
        <v>1542</v>
      </c>
      <c r="AV423" s="43" t="s">
        <v>1542</v>
      </c>
      <c r="AW423" s="43" t="s">
        <v>1542</v>
      </c>
      <c r="AX423" s="43" t="s">
        <v>1542</v>
      </c>
      <c r="AY423" s="43" t="s">
        <v>1542</v>
      </c>
      <c r="AZ423" s="43" t="s">
        <v>1542</v>
      </c>
      <c r="BA423" s="43" t="s">
        <v>1542</v>
      </c>
      <c r="BB423" s="46">
        <f t="shared" si="31"/>
        <v>0</v>
      </c>
      <c r="BC423" s="44" t="s">
        <v>1542</v>
      </c>
      <c r="BD423" s="44" t="s">
        <v>1542</v>
      </c>
      <c r="BE423" s="44" t="s">
        <v>1542</v>
      </c>
      <c r="BF423" s="44" t="s">
        <v>1542</v>
      </c>
      <c r="BG423" s="44" t="s">
        <v>1542</v>
      </c>
      <c r="BH423" s="44" t="s">
        <v>1542</v>
      </c>
      <c r="BI423" s="44" t="s">
        <v>1542</v>
      </c>
      <c r="BJ423" s="44" t="s">
        <v>1542</v>
      </c>
      <c r="BK423" s="44" t="s">
        <v>1542</v>
      </c>
      <c r="BL423" s="44" t="s">
        <v>1542</v>
      </c>
      <c r="BM423" s="44" t="s">
        <v>1542</v>
      </c>
      <c r="BN423" s="44" t="s">
        <v>1542</v>
      </c>
      <c r="BO423" s="46">
        <f t="shared" si="32"/>
        <v>0</v>
      </c>
      <c r="BP423" s="43" t="s">
        <v>1542</v>
      </c>
      <c r="BQ423" s="43" t="s">
        <v>1542</v>
      </c>
      <c r="BR423" s="43" t="s">
        <v>1542</v>
      </c>
      <c r="BS423" s="43" t="s">
        <v>1542</v>
      </c>
      <c r="BT423" s="43" t="s">
        <v>1542</v>
      </c>
      <c r="BU423" s="43" t="s">
        <v>1542</v>
      </c>
      <c r="BV423" s="43" t="s">
        <v>1542</v>
      </c>
      <c r="BW423" s="43" t="s">
        <v>1542</v>
      </c>
      <c r="BX423" s="43" t="s">
        <v>1542</v>
      </c>
      <c r="BY423" s="43" t="s">
        <v>1542</v>
      </c>
      <c r="BZ423" s="43" t="s">
        <v>1542</v>
      </c>
      <c r="CA423" s="43" t="s">
        <v>1542</v>
      </c>
    </row>
    <row r="424" spans="1:79">
      <c r="A424">
        <v>423</v>
      </c>
      <c r="B424">
        <v>1</v>
      </c>
      <c r="C424" t="s">
        <v>2935</v>
      </c>
      <c r="D424" t="s">
        <v>2936</v>
      </c>
      <c r="E424" t="s">
        <v>3429</v>
      </c>
      <c r="F424" t="s">
        <v>3430</v>
      </c>
      <c r="G424" t="s">
        <v>3459</v>
      </c>
      <c r="H424" t="s">
        <v>3459</v>
      </c>
      <c r="J424" t="s">
        <v>3460</v>
      </c>
      <c r="K424" t="s">
        <v>3461</v>
      </c>
      <c r="M424" s="1" t="s">
        <v>3462</v>
      </c>
      <c r="O424" s="46">
        <f t="shared" si="33"/>
        <v>0</v>
      </c>
      <c r="P424" s="43" t="s">
        <v>1542</v>
      </c>
      <c r="Q424" s="43" t="s">
        <v>1542</v>
      </c>
      <c r="R424" s="43" t="s">
        <v>1542</v>
      </c>
      <c r="S424" s="43" t="s">
        <v>1542</v>
      </c>
      <c r="T424" s="43" t="s">
        <v>1542</v>
      </c>
      <c r="U424" s="43" t="s">
        <v>1542</v>
      </c>
      <c r="V424" s="43" t="s">
        <v>1542</v>
      </c>
      <c r="W424" s="43" t="s">
        <v>1542</v>
      </c>
      <c r="X424" s="43" t="s">
        <v>1542</v>
      </c>
      <c r="Y424" s="43" t="s">
        <v>1542</v>
      </c>
      <c r="Z424" s="43" t="s">
        <v>1542</v>
      </c>
      <c r="AA424" s="43" t="s">
        <v>1542</v>
      </c>
      <c r="AB424" s="46">
        <f t="shared" si="34"/>
        <v>0</v>
      </c>
      <c r="AC424" s="44" t="s">
        <v>1542</v>
      </c>
      <c r="AD424" s="44" t="s">
        <v>1542</v>
      </c>
      <c r="AE424" s="44" t="s">
        <v>1542</v>
      </c>
      <c r="AF424" s="44" t="s">
        <v>1542</v>
      </c>
      <c r="AG424" s="44" t="s">
        <v>1542</v>
      </c>
      <c r="AH424" s="44" t="s">
        <v>1542</v>
      </c>
      <c r="AI424" s="44" t="s">
        <v>1542</v>
      </c>
      <c r="AJ424" s="44" t="s">
        <v>1542</v>
      </c>
      <c r="AK424" s="44" t="s">
        <v>1542</v>
      </c>
      <c r="AL424" s="44" t="s">
        <v>1542</v>
      </c>
      <c r="AM424" s="44" t="s">
        <v>1542</v>
      </c>
      <c r="AN424" s="44" t="s">
        <v>1542</v>
      </c>
      <c r="AO424" s="46">
        <f t="shared" si="30"/>
        <v>0</v>
      </c>
      <c r="AP424" s="43" t="s">
        <v>1542</v>
      </c>
      <c r="AQ424" s="43" t="s">
        <v>1542</v>
      </c>
      <c r="AR424" s="43" t="s">
        <v>1542</v>
      </c>
      <c r="AS424" s="43" t="s">
        <v>1542</v>
      </c>
      <c r="AT424" s="43" t="s">
        <v>1542</v>
      </c>
      <c r="AU424" s="43" t="s">
        <v>1542</v>
      </c>
      <c r="AV424" s="43" t="s">
        <v>1542</v>
      </c>
      <c r="AW424" s="43" t="s">
        <v>1542</v>
      </c>
      <c r="AX424" s="43" t="s">
        <v>1542</v>
      </c>
      <c r="AY424" s="43" t="s">
        <v>1542</v>
      </c>
      <c r="AZ424" s="43" t="s">
        <v>1542</v>
      </c>
      <c r="BA424" s="43" t="s">
        <v>1542</v>
      </c>
      <c r="BB424" s="46">
        <f t="shared" si="31"/>
        <v>0</v>
      </c>
      <c r="BC424" s="44" t="s">
        <v>1542</v>
      </c>
      <c r="BD424" s="44" t="s">
        <v>1542</v>
      </c>
      <c r="BE424" s="44" t="s">
        <v>1542</v>
      </c>
      <c r="BF424" s="44" t="s">
        <v>1542</v>
      </c>
      <c r="BG424" s="44" t="s">
        <v>1542</v>
      </c>
      <c r="BH424" s="44" t="s">
        <v>1542</v>
      </c>
      <c r="BI424" s="44" t="s">
        <v>1542</v>
      </c>
      <c r="BJ424" s="44" t="s">
        <v>1542</v>
      </c>
      <c r="BK424" s="44" t="s">
        <v>1542</v>
      </c>
      <c r="BL424" s="44" t="s">
        <v>1542</v>
      </c>
      <c r="BM424" s="44" t="s">
        <v>1542</v>
      </c>
      <c r="BN424" s="44" t="s">
        <v>1542</v>
      </c>
      <c r="BO424" s="46">
        <f t="shared" si="32"/>
        <v>0</v>
      </c>
      <c r="BP424" s="43" t="s">
        <v>1542</v>
      </c>
      <c r="BQ424" s="43" t="s">
        <v>1542</v>
      </c>
      <c r="BR424" s="43" t="s">
        <v>1542</v>
      </c>
      <c r="BS424" s="43" t="s">
        <v>1542</v>
      </c>
      <c r="BT424" s="43" t="s">
        <v>1542</v>
      </c>
      <c r="BU424" s="43" t="s">
        <v>1542</v>
      </c>
      <c r="BV424" s="43" t="s">
        <v>1542</v>
      </c>
      <c r="BW424" s="43" t="s">
        <v>1542</v>
      </c>
      <c r="BX424" s="43" t="s">
        <v>1542</v>
      </c>
      <c r="BY424" s="43" t="s">
        <v>1542</v>
      </c>
      <c r="BZ424" s="43" t="s">
        <v>1542</v>
      </c>
      <c r="CA424" s="43" t="s">
        <v>1542</v>
      </c>
    </row>
    <row r="425" spans="1:79">
      <c r="A425">
        <v>424</v>
      </c>
      <c r="C425" t="s">
        <v>2935</v>
      </c>
      <c r="D425" t="s">
        <v>2936</v>
      </c>
      <c r="E425" t="s">
        <v>3429</v>
      </c>
      <c r="F425" t="s">
        <v>3430</v>
      </c>
      <c r="G425" t="s">
        <v>3459</v>
      </c>
      <c r="H425" t="s">
        <v>3463</v>
      </c>
      <c r="I425" t="s">
        <v>3463</v>
      </c>
      <c r="J425" t="s">
        <v>3464</v>
      </c>
      <c r="K425" t="s">
        <v>3461</v>
      </c>
      <c r="M425" s="1" t="s">
        <v>3465</v>
      </c>
      <c r="N425" t="s">
        <v>3466</v>
      </c>
      <c r="O425" s="46">
        <f t="shared" si="33"/>
        <v>0</v>
      </c>
      <c r="P425" s="43"/>
      <c r="Q425" s="43"/>
      <c r="R425" s="43"/>
      <c r="S425" s="43"/>
      <c r="T425" s="43"/>
      <c r="U425" s="43"/>
      <c r="V425" s="43"/>
      <c r="W425" s="43"/>
      <c r="X425" s="43"/>
      <c r="Y425" s="43"/>
      <c r="Z425" s="43"/>
      <c r="AA425" s="43"/>
      <c r="AB425" s="46">
        <f t="shared" si="34"/>
        <v>0</v>
      </c>
      <c r="AC425" s="44"/>
      <c r="AD425" s="44"/>
      <c r="AE425" s="44"/>
      <c r="AF425" s="44"/>
      <c r="AG425" s="44"/>
      <c r="AH425" s="44"/>
      <c r="AI425" s="44"/>
      <c r="AJ425" s="44"/>
      <c r="AK425" s="44"/>
      <c r="AL425" s="44"/>
      <c r="AM425" s="44"/>
      <c r="AN425" s="44"/>
      <c r="AO425" s="46">
        <f t="shared" si="30"/>
        <v>0</v>
      </c>
      <c r="AP425" s="43"/>
      <c r="AQ425" s="43"/>
      <c r="AR425" s="43"/>
      <c r="AS425" s="43"/>
      <c r="AT425" s="43"/>
      <c r="AU425" s="43"/>
      <c r="AV425" s="43"/>
      <c r="AW425" s="43"/>
      <c r="AX425" s="43"/>
      <c r="AY425" s="43"/>
      <c r="AZ425" s="43"/>
      <c r="BA425" s="43"/>
      <c r="BB425" s="46">
        <f t="shared" si="31"/>
        <v>0</v>
      </c>
      <c r="BC425" s="44"/>
      <c r="BD425" s="44"/>
      <c r="BE425" s="44"/>
      <c r="BF425" s="44"/>
      <c r="BG425" s="44"/>
      <c r="BH425" s="44"/>
      <c r="BI425" s="44"/>
      <c r="BJ425" s="44"/>
      <c r="BK425" s="44"/>
      <c r="BL425" s="44"/>
      <c r="BM425" s="44"/>
      <c r="BN425" s="44"/>
      <c r="BO425" s="46">
        <f t="shared" si="32"/>
        <v>0</v>
      </c>
      <c r="BP425" s="43"/>
      <c r="BQ425" s="43"/>
      <c r="BR425" s="43"/>
      <c r="BS425" s="43"/>
      <c r="BT425" s="43"/>
      <c r="BU425" s="43"/>
      <c r="BV425" s="43"/>
      <c r="BW425" s="43"/>
      <c r="BX425" s="43"/>
      <c r="BY425" s="43"/>
      <c r="BZ425" s="43"/>
      <c r="CA425" s="43"/>
    </row>
    <row r="426" spans="1:79">
      <c r="A426">
        <v>425</v>
      </c>
      <c r="B426">
        <v>1</v>
      </c>
      <c r="C426" t="s">
        <v>2935</v>
      </c>
      <c r="D426" t="s">
        <v>2936</v>
      </c>
      <c r="E426" t="s">
        <v>3429</v>
      </c>
      <c r="F426" t="s">
        <v>3430</v>
      </c>
      <c r="G426" t="s">
        <v>3467</v>
      </c>
      <c r="H426" t="s">
        <v>3467</v>
      </c>
      <c r="J426" t="s">
        <v>3468</v>
      </c>
      <c r="K426" t="s">
        <v>3469</v>
      </c>
      <c r="M426" s="1" t="s">
        <v>3470</v>
      </c>
      <c r="O426" s="46">
        <f t="shared" si="33"/>
        <v>0</v>
      </c>
      <c r="P426" s="43" t="s">
        <v>1542</v>
      </c>
      <c r="Q426" s="43" t="s">
        <v>1542</v>
      </c>
      <c r="R426" s="43" t="s">
        <v>1542</v>
      </c>
      <c r="S426" s="43" t="s">
        <v>1542</v>
      </c>
      <c r="T426" s="43" t="s">
        <v>1542</v>
      </c>
      <c r="U426" s="43" t="s">
        <v>1542</v>
      </c>
      <c r="V426" s="43" t="s">
        <v>1542</v>
      </c>
      <c r="W426" s="43" t="s">
        <v>1542</v>
      </c>
      <c r="X426" s="43" t="s">
        <v>1542</v>
      </c>
      <c r="Y426" s="43" t="s">
        <v>1542</v>
      </c>
      <c r="Z426" s="43" t="s">
        <v>1542</v>
      </c>
      <c r="AA426" s="43" t="s">
        <v>1542</v>
      </c>
      <c r="AB426" s="46">
        <f t="shared" si="34"/>
        <v>0</v>
      </c>
      <c r="AC426" s="44" t="s">
        <v>1542</v>
      </c>
      <c r="AD426" s="44" t="s">
        <v>1542</v>
      </c>
      <c r="AE426" s="44" t="s">
        <v>1542</v>
      </c>
      <c r="AF426" s="44" t="s">
        <v>1542</v>
      </c>
      <c r="AG426" s="44" t="s">
        <v>1542</v>
      </c>
      <c r="AH426" s="44" t="s">
        <v>1542</v>
      </c>
      <c r="AI426" s="44" t="s">
        <v>1542</v>
      </c>
      <c r="AJ426" s="44" t="s">
        <v>1542</v>
      </c>
      <c r="AK426" s="44" t="s">
        <v>1542</v>
      </c>
      <c r="AL426" s="44" t="s">
        <v>1542</v>
      </c>
      <c r="AM426" s="44" t="s">
        <v>1542</v>
      </c>
      <c r="AN426" s="44" t="s">
        <v>1542</v>
      </c>
      <c r="AO426" s="46">
        <f t="shared" si="30"/>
        <v>0</v>
      </c>
      <c r="AP426" s="43" t="s">
        <v>1542</v>
      </c>
      <c r="AQ426" s="43" t="s">
        <v>1542</v>
      </c>
      <c r="AR426" s="43" t="s">
        <v>1542</v>
      </c>
      <c r="AS426" s="43" t="s">
        <v>1542</v>
      </c>
      <c r="AT426" s="43" t="s">
        <v>1542</v>
      </c>
      <c r="AU426" s="43" t="s">
        <v>1542</v>
      </c>
      <c r="AV426" s="43" t="s">
        <v>1542</v>
      </c>
      <c r="AW426" s="43" t="s">
        <v>1542</v>
      </c>
      <c r="AX426" s="43" t="s">
        <v>1542</v>
      </c>
      <c r="AY426" s="43" t="s">
        <v>1542</v>
      </c>
      <c r="AZ426" s="43" t="s">
        <v>1542</v>
      </c>
      <c r="BA426" s="43" t="s">
        <v>1542</v>
      </c>
      <c r="BB426" s="46">
        <f t="shared" si="31"/>
        <v>0</v>
      </c>
      <c r="BC426" s="44" t="s">
        <v>1542</v>
      </c>
      <c r="BD426" s="44" t="s">
        <v>1542</v>
      </c>
      <c r="BE426" s="44" t="s">
        <v>1542</v>
      </c>
      <c r="BF426" s="44" t="s">
        <v>1542</v>
      </c>
      <c r="BG426" s="44" t="s">
        <v>1542</v>
      </c>
      <c r="BH426" s="44" t="s">
        <v>1542</v>
      </c>
      <c r="BI426" s="44" t="s">
        <v>1542</v>
      </c>
      <c r="BJ426" s="44" t="s">
        <v>1542</v>
      </c>
      <c r="BK426" s="44" t="s">
        <v>1542</v>
      </c>
      <c r="BL426" s="44" t="s">
        <v>1542</v>
      </c>
      <c r="BM426" s="44" t="s">
        <v>1542</v>
      </c>
      <c r="BN426" s="44" t="s">
        <v>1542</v>
      </c>
      <c r="BO426" s="46">
        <f t="shared" si="32"/>
        <v>0</v>
      </c>
      <c r="BP426" s="43" t="s">
        <v>1542</v>
      </c>
      <c r="BQ426" s="43" t="s">
        <v>1542</v>
      </c>
      <c r="BR426" s="43" t="s">
        <v>1542</v>
      </c>
      <c r="BS426" s="43" t="s">
        <v>1542</v>
      </c>
      <c r="BT426" s="43" t="s">
        <v>1542</v>
      </c>
      <c r="BU426" s="43" t="s">
        <v>1542</v>
      </c>
      <c r="BV426" s="43" t="s">
        <v>1542</v>
      </c>
      <c r="BW426" s="43" t="s">
        <v>1542</v>
      </c>
      <c r="BX426" s="43" t="s">
        <v>1542</v>
      </c>
      <c r="BY426" s="43" t="s">
        <v>1542</v>
      </c>
      <c r="BZ426" s="43" t="s">
        <v>1542</v>
      </c>
      <c r="CA426" s="43" t="s">
        <v>1542</v>
      </c>
    </row>
    <row r="427" spans="1:79">
      <c r="A427">
        <v>426</v>
      </c>
      <c r="B427">
        <v>1</v>
      </c>
      <c r="C427" t="s">
        <v>2935</v>
      </c>
      <c r="D427" t="s">
        <v>2936</v>
      </c>
      <c r="E427" t="s">
        <v>3429</v>
      </c>
      <c r="F427" t="s">
        <v>3430</v>
      </c>
      <c r="G427" t="s">
        <v>3471</v>
      </c>
      <c r="H427" t="s">
        <v>3471</v>
      </c>
      <c r="I427" t="s">
        <v>3472</v>
      </c>
      <c r="J427" t="s">
        <v>3473</v>
      </c>
      <c r="K427" t="s">
        <v>3474</v>
      </c>
      <c r="M427" s="1" t="s">
        <v>3475</v>
      </c>
      <c r="O427" s="46">
        <f t="shared" si="33"/>
        <v>0</v>
      </c>
      <c r="P427" s="43" t="s">
        <v>1542</v>
      </c>
      <c r="Q427" s="43" t="s">
        <v>1542</v>
      </c>
      <c r="R427" s="43" t="s">
        <v>1542</v>
      </c>
      <c r="S427" s="43" t="s">
        <v>1542</v>
      </c>
      <c r="T427" s="43" t="s">
        <v>1542</v>
      </c>
      <c r="U427" s="43" t="s">
        <v>1542</v>
      </c>
      <c r="V427" s="43" t="s">
        <v>1542</v>
      </c>
      <c r="W427" s="43" t="s">
        <v>1542</v>
      </c>
      <c r="X427" s="43" t="s">
        <v>1542</v>
      </c>
      <c r="Y427" s="43" t="s">
        <v>1542</v>
      </c>
      <c r="Z427" s="43" t="s">
        <v>1542</v>
      </c>
      <c r="AA427" s="43" t="s">
        <v>1542</v>
      </c>
      <c r="AB427" s="46">
        <f t="shared" si="34"/>
        <v>0</v>
      </c>
      <c r="AC427" s="44" t="s">
        <v>1542</v>
      </c>
      <c r="AD427" s="44" t="s">
        <v>1542</v>
      </c>
      <c r="AE427" s="44" t="s">
        <v>1542</v>
      </c>
      <c r="AF427" s="44" t="s">
        <v>1542</v>
      </c>
      <c r="AG427" s="44" t="s">
        <v>1542</v>
      </c>
      <c r="AH427" s="44" t="s">
        <v>1542</v>
      </c>
      <c r="AI427" s="44" t="s">
        <v>1542</v>
      </c>
      <c r="AJ427" s="44" t="s">
        <v>1542</v>
      </c>
      <c r="AK427" s="44" t="s">
        <v>1542</v>
      </c>
      <c r="AL427" s="44" t="s">
        <v>1542</v>
      </c>
      <c r="AM427" s="44" t="s">
        <v>1542</v>
      </c>
      <c r="AN427" s="44" t="s">
        <v>1542</v>
      </c>
      <c r="AO427" s="46">
        <f t="shared" si="30"/>
        <v>0</v>
      </c>
      <c r="AP427" s="43" t="s">
        <v>1542</v>
      </c>
      <c r="AQ427" s="43" t="s">
        <v>1542</v>
      </c>
      <c r="AR427" s="43" t="s">
        <v>1542</v>
      </c>
      <c r="AS427" s="43" t="s">
        <v>1542</v>
      </c>
      <c r="AT427" s="43" t="s">
        <v>1542</v>
      </c>
      <c r="AU427" s="43" t="s">
        <v>1542</v>
      </c>
      <c r="AV427" s="43" t="s">
        <v>1542</v>
      </c>
      <c r="AW427" s="43" t="s">
        <v>1542</v>
      </c>
      <c r="AX427" s="43" t="s">
        <v>1542</v>
      </c>
      <c r="AY427" s="43" t="s">
        <v>1542</v>
      </c>
      <c r="AZ427" s="43" t="s">
        <v>1542</v>
      </c>
      <c r="BA427" s="43" t="s">
        <v>1542</v>
      </c>
      <c r="BB427" s="46">
        <f t="shared" si="31"/>
        <v>0</v>
      </c>
      <c r="BC427" s="44" t="s">
        <v>1542</v>
      </c>
      <c r="BD427" s="44" t="s">
        <v>1542</v>
      </c>
      <c r="BE427" s="44" t="s">
        <v>1542</v>
      </c>
      <c r="BF427" s="44" t="s">
        <v>1542</v>
      </c>
      <c r="BG427" s="44" t="s">
        <v>1542</v>
      </c>
      <c r="BH427" s="44" t="s">
        <v>1542</v>
      </c>
      <c r="BI427" s="44" t="s">
        <v>1542</v>
      </c>
      <c r="BJ427" s="44" t="s">
        <v>1542</v>
      </c>
      <c r="BK427" s="44" t="s">
        <v>1542</v>
      </c>
      <c r="BL427" s="44" t="s">
        <v>1542</v>
      </c>
      <c r="BM427" s="44" t="s">
        <v>1542</v>
      </c>
      <c r="BN427" s="44" t="s">
        <v>1542</v>
      </c>
      <c r="BO427" s="46">
        <f t="shared" si="32"/>
        <v>0</v>
      </c>
      <c r="BP427" s="43" t="s">
        <v>1542</v>
      </c>
      <c r="BQ427" s="43" t="s">
        <v>1542</v>
      </c>
      <c r="BR427" s="43" t="s">
        <v>1542</v>
      </c>
      <c r="BS427" s="43" t="s">
        <v>1542</v>
      </c>
      <c r="BT427" s="43" t="s">
        <v>1542</v>
      </c>
      <c r="BU427" s="43" t="s">
        <v>1542</v>
      </c>
      <c r="BV427" s="43" t="s">
        <v>1542</v>
      </c>
      <c r="BW427" s="43" t="s">
        <v>1542</v>
      </c>
      <c r="BX427" s="43" t="s">
        <v>1542</v>
      </c>
      <c r="BY427" s="43" t="s">
        <v>1542</v>
      </c>
      <c r="BZ427" s="43" t="s">
        <v>1542</v>
      </c>
      <c r="CA427" s="43" t="s">
        <v>1542</v>
      </c>
    </row>
    <row r="428" spans="1:79">
      <c r="A428">
        <v>427</v>
      </c>
      <c r="B428">
        <v>1</v>
      </c>
      <c r="C428" t="s">
        <v>2935</v>
      </c>
      <c r="D428" t="s">
        <v>2936</v>
      </c>
      <c r="E428" t="s">
        <v>3429</v>
      </c>
      <c r="F428" t="s">
        <v>3430</v>
      </c>
      <c r="G428" t="s">
        <v>3476</v>
      </c>
      <c r="H428" t="s">
        <v>3476</v>
      </c>
      <c r="J428" t="s">
        <v>3477</v>
      </c>
      <c r="K428" t="s">
        <v>3478</v>
      </c>
      <c r="M428" s="1" t="s">
        <v>3479</v>
      </c>
      <c r="N428" t="s">
        <v>3480</v>
      </c>
      <c r="O428" s="46">
        <f t="shared" si="33"/>
        <v>0</v>
      </c>
      <c r="P428" s="43" t="s">
        <v>1542</v>
      </c>
      <c r="Q428" s="43" t="s">
        <v>1542</v>
      </c>
      <c r="R428" s="43" t="s">
        <v>1542</v>
      </c>
      <c r="S428" s="43" t="s">
        <v>1542</v>
      </c>
      <c r="T428" s="43" t="s">
        <v>1542</v>
      </c>
      <c r="U428" s="43" t="s">
        <v>1542</v>
      </c>
      <c r="V428" s="43" t="s">
        <v>1542</v>
      </c>
      <c r="W428" s="43" t="s">
        <v>1542</v>
      </c>
      <c r="X428" s="43" t="s">
        <v>1542</v>
      </c>
      <c r="Y428" s="43" t="s">
        <v>1542</v>
      </c>
      <c r="Z428" s="43" t="s">
        <v>1542</v>
      </c>
      <c r="AA428" s="43" t="s">
        <v>1542</v>
      </c>
      <c r="AB428" s="46">
        <f t="shared" si="34"/>
        <v>0</v>
      </c>
      <c r="AC428" s="44" t="s">
        <v>1542</v>
      </c>
      <c r="AD428" s="44" t="s">
        <v>1542</v>
      </c>
      <c r="AE428" s="44" t="s">
        <v>1542</v>
      </c>
      <c r="AF428" s="44" t="s">
        <v>1542</v>
      </c>
      <c r="AG428" s="44" t="s">
        <v>1542</v>
      </c>
      <c r="AH428" s="44" t="s">
        <v>1542</v>
      </c>
      <c r="AI428" s="44" t="s">
        <v>1542</v>
      </c>
      <c r="AJ428" s="44" t="s">
        <v>1542</v>
      </c>
      <c r="AK428" s="44" t="s">
        <v>1542</v>
      </c>
      <c r="AL428" s="44" t="s">
        <v>1542</v>
      </c>
      <c r="AM428" s="44" t="s">
        <v>1542</v>
      </c>
      <c r="AN428" s="44" t="s">
        <v>1542</v>
      </c>
      <c r="AO428" s="46">
        <f t="shared" si="30"/>
        <v>0</v>
      </c>
      <c r="AP428" s="43" t="s">
        <v>1542</v>
      </c>
      <c r="AQ428" s="43" t="s">
        <v>1542</v>
      </c>
      <c r="AR428" s="43" t="s">
        <v>1542</v>
      </c>
      <c r="AS428" s="43" t="s">
        <v>1542</v>
      </c>
      <c r="AT428" s="43" t="s">
        <v>1542</v>
      </c>
      <c r="AU428" s="43" t="s">
        <v>1542</v>
      </c>
      <c r="AV428" s="43" t="s">
        <v>1542</v>
      </c>
      <c r="AW428" s="43" t="s">
        <v>1542</v>
      </c>
      <c r="AX428" s="43" t="s">
        <v>1542</v>
      </c>
      <c r="AY428" s="43" t="s">
        <v>1542</v>
      </c>
      <c r="AZ428" s="43" t="s">
        <v>1542</v>
      </c>
      <c r="BA428" s="43" t="s">
        <v>1542</v>
      </c>
      <c r="BB428" s="46">
        <f t="shared" si="31"/>
        <v>0</v>
      </c>
      <c r="BC428" s="44" t="s">
        <v>1542</v>
      </c>
      <c r="BD428" s="44" t="s">
        <v>1542</v>
      </c>
      <c r="BE428" s="44" t="s">
        <v>1542</v>
      </c>
      <c r="BF428" s="44" t="s">
        <v>1542</v>
      </c>
      <c r="BG428" s="44" t="s">
        <v>1542</v>
      </c>
      <c r="BH428" s="44" t="s">
        <v>1542</v>
      </c>
      <c r="BI428" s="44" t="s">
        <v>1542</v>
      </c>
      <c r="BJ428" s="44" t="s">
        <v>1542</v>
      </c>
      <c r="BK428" s="44" t="s">
        <v>1542</v>
      </c>
      <c r="BL428" s="44" t="s">
        <v>1542</v>
      </c>
      <c r="BM428" s="44" t="s">
        <v>1542</v>
      </c>
      <c r="BN428" s="44" t="s">
        <v>1542</v>
      </c>
      <c r="BO428" s="46">
        <f t="shared" si="32"/>
        <v>0</v>
      </c>
      <c r="BP428" s="43" t="s">
        <v>1542</v>
      </c>
      <c r="BQ428" s="43" t="s">
        <v>1542</v>
      </c>
      <c r="BR428" s="43" t="s">
        <v>1542</v>
      </c>
      <c r="BS428" s="43" t="s">
        <v>1542</v>
      </c>
      <c r="BT428" s="43" t="s">
        <v>1542</v>
      </c>
      <c r="BU428" s="43" t="s">
        <v>1542</v>
      </c>
      <c r="BV428" s="43" t="s">
        <v>1542</v>
      </c>
      <c r="BW428" s="43" t="s">
        <v>1542</v>
      </c>
      <c r="BX428" s="43" t="s">
        <v>1542</v>
      </c>
      <c r="BY428" s="43" t="s">
        <v>1542</v>
      </c>
      <c r="BZ428" s="43" t="s">
        <v>1554</v>
      </c>
      <c r="CA428" s="43" t="s">
        <v>1542</v>
      </c>
    </row>
    <row r="429" spans="1:79">
      <c r="A429">
        <v>428</v>
      </c>
      <c r="B429">
        <v>1</v>
      </c>
      <c r="C429" t="s">
        <v>2935</v>
      </c>
      <c r="D429" t="s">
        <v>2936</v>
      </c>
      <c r="E429" t="s">
        <v>3429</v>
      </c>
      <c r="F429" t="s">
        <v>3430</v>
      </c>
      <c r="G429" t="s">
        <v>3481</v>
      </c>
      <c r="H429" t="s">
        <v>3481</v>
      </c>
      <c r="J429" t="s">
        <v>3482</v>
      </c>
      <c r="K429" t="s">
        <v>3483</v>
      </c>
      <c r="M429" s="1" t="s">
        <v>3484</v>
      </c>
      <c r="O429" s="46">
        <f t="shared" si="33"/>
        <v>0</v>
      </c>
      <c r="P429" s="43" t="s">
        <v>1542</v>
      </c>
      <c r="Q429" s="43" t="s">
        <v>1542</v>
      </c>
      <c r="R429" s="43" t="s">
        <v>1542</v>
      </c>
      <c r="S429" s="43" t="s">
        <v>1542</v>
      </c>
      <c r="T429" s="43" t="s">
        <v>1542</v>
      </c>
      <c r="U429" s="43" t="s">
        <v>1542</v>
      </c>
      <c r="V429" s="43" t="s">
        <v>1542</v>
      </c>
      <c r="W429" s="43" t="s">
        <v>1542</v>
      </c>
      <c r="X429" s="43" t="s">
        <v>1542</v>
      </c>
      <c r="Y429" s="43" t="s">
        <v>1542</v>
      </c>
      <c r="Z429" s="43" t="s">
        <v>1542</v>
      </c>
      <c r="AA429" s="43" t="s">
        <v>1542</v>
      </c>
      <c r="AB429" s="46">
        <f t="shared" si="34"/>
        <v>0</v>
      </c>
      <c r="AC429" s="44" t="s">
        <v>1542</v>
      </c>
      <c r="AD429" s="44" t="s">
        <v>1542</v>
      </c>
      <c r="AE429" s="44" t="s">
        <v>1542</v>
      </c>
      <c r="AF429" s="44" t="s">
        <v>1542</v>
      </c>
      <c r="AG429" s="44" t="s">
        <v>1542</v>
      </c>
      <c r="AH429" s="44" t="s">
        <v>1542</v>
      </c>
      <c r="AI429" s="44" t="s">
        <v>1542</v>
      </c>
      <c r="AJ429" s="44" t="s">
        <v>1542</v>
      </c>
      <c r="AK429" s="44" t="s">
        <v>1542</v>
      </c>
      <c r="AL429" s="44" t="s">
        <v>1542</v>
      </c>
      <c r="AM429" s="44" t="s">
        <v>1542</v>
      </c>
      <c r="AN429" s="44" t="s">
        <v>1542</v>
      </c>
      <c r="AO429" s="46">
        <f t="shared" si="30"/>
        <v>0</v>
      </c>
      <c r="AP429" s="43" t="s">
        <v>1542</v>
      </c>
      <c r="AQ429" s="43" t="s">
        <v>1542</v>
      </c>
      <c r="AR429" s="43" t="s">
        <v>1542</v>
      </c>
      <c r="AS429" s="43" t="s">
        <v>1542</v>
      </c>
      <c r="AT429" s="43" t="s">
        <v>1542</v>
      </c>
      <c r="AU429" s="43" t="s">
        <v>1542</v>
      </c>
      <c r="AV429" s="43" t="s">
        <v>1542</v>
      </c>
      <c r="AW429" s="43" t="s">
        <v>1542</v>
      </c>
      <c r="AX429" s="43" t="s">
        <v>1542</v>
      </c>
      <c r="AY429" s="43" t="s">
        <v>1542</v>
      </c>
      <c r="AZ429" s="43" t="s">
        <v>1542</v>
      </c>
      <c r="BA429" s="43" t="s">
        <v>1542</v>
      </c>
      <c r="BB429" s="46">
        <f t="shared" si="31"/>
        <v>0</v>
      </c>
      <c r="BC429" s="44" t="s">
        <v>1542</v>
      </c>
      <c r="BD429" s="44" t="s">
        <v>1542</v>
      </c>
      <c r="BE429" s="44" t="s">
        <v>1542</v>
      </c>
      <c r="BF429" s="44" t="s">
        <v>1542</v>
      </c>
      <c r="BG429" s="44" t="s">
        <v>1542</v>
      </c>
      <c r="BH429" s="44" t="s">
        <v>1542</v>
      </c>
      <c r="BI429" s="44" t="s">
        <v>1542</v>
      </c>
      <c r="BJ429" s="44" t="s">
        <v>1542</v>
      </c>
      <c r="BK429" s="44" t="s">
        <v>1542</v>
      </c>
      <c r="BL429" s="44" t="s">
        <v>1542</v>
      </c>
      <c r="BM429" s="44" t="s">
        <v>1542</v>
      </c>
      <c r="BN429" s="44" t="s">
        <v>1542</v>
      </c>
      <c r="BO429" s="46">
        <f t="shared" si="32"/>
        <v>0</v>
      </c>
      <c r="BP429" s="43" t="s">
        <v>1542</v>
      </c>
      <c r="BQ429" s="43" t="s">
        <v>1542</v>
      </c>
      <c r="BR429" s="43" t="s">
        <v>1542</v>
      </c>
      <c r="BS429" s="43" t="s">
        <v>1542</v>
      </c>
      <c r="BT429" s="43" t="s">
        <v>1542</v>
      </c>
      <c r="BU429" s="43" t="s">
        <v>1542</v>
      </c>
      <c r="BV429" s="43" t="s">
        <v>1542</v>
      </c>
      <c r="BW429" s="43" t="s">
        <v>1542</v>
      </c>
      <c r="BX429" s="43" t="s">
        <v>1542</v>
      </c>
      <c r="BY429" s="43" t="s">
        <v>1542</v>
      </c>
      <c r="BZ429" s="43" t="s">
        <v>1542</v>
      </c>
      <c r="CA429" s="43" t="s">
        <v>1542</v>
      </c>
    </row>
    <row r="430" spans="1:79">
      <c r="A430">
        <v>429</v>
      </c>
      <c r="B430">
        <v>1</v>
      </c>
      <c r="C430" t="s">
        <v>2935</v>
      </c>
      <c r="D430" t="s">
        <v>2936</v>
      </c>
      <c r="E430" t="s">
        <v>3429</v>
      </c>
      <c r="F430" t="s">
        <v>3430</v>
      </c>
      <c r="G430" t="s">
        <v>3485</v>
      </c>
      <c r="H430" t="s">
        <v>3485</v>
      </c>
      <c r="J430" t="s">
        <v>3486</v>
      </c>
      <c r="K430" t="s">
        <v>3487</v>
      </c>
      <c r="M430" s="1" t="s">
        <v>3488</v>
      </c>
      <c r="N430" t="s">
        <v>3489</v>
      </c>
      <c r="O430" s="46">
        <f t="shared" si="33"/>
        <v>0</v>
      </c>
      <c r="P430" s="43" t="s">
        <v>1542</v>
      </c>
      <c r="Q430" s="43" t="s">
        <v>1542</v>
      </c>
      <c r="R430" s="43" t="s">
        <v>1542</v>
      </c>
      <c r="S430" s="43" t="s">
        <v>1542</v>
      </c>
      <c r="T430" s="43" t="s">
        <v>1542</v>
      </c>
      <c r="U430" s="43" t="s">
        <v>1542</v>
      </c>
      <c r="V430" s="43" t="s">
        <v>1542</v>
      </c>
      <c r="W430" s="43" t="s">
        <v>1542</v>
      </c>
      <c r="X430" s="43" t="s">
        <v>1542</v>
      </c>
      <c r="Y430" s="43" t="s">
        <v>1542</v>
      </c>
      <c r="Z430" s="43" t="s">
        <v>1542</v>
      </c>
      <c r="AA430" s="43" t="s">
        <v>1542</v>
      </c>
      <c r="AB430" s="46">
        <f t="shared" si="34"/>
        <v>0</v>
      </c>
      <c r="AC430" s="44" t="s">
        <v>1542</v>
      </c>
      <c r="AD430" s="44" t="s">
        <v>1542</v>
      </c>
      <c r="AE430" s="44" t="s">
        <v>1542</v>
      </c>
      <c r="AF430" s="44" t="s">
        <v>1542</v>
      </c>
      <c r="AG430" s="44" t="s">
        <v>1542</v>
      </c>
      <c r="AH430" s="44" t="s">
        <v>1542</v>
      </c>
      <c r="AI430" s="44" t="s">
        <v>1542</v>
      </c>
      <c r="AJ430" s="44" t="s">
        <v>1542</v>
      </c>
      <c r="AK430" s="44" t="s">
        <v>1542</v>
      </c>
      <c r="AL430" s="44" t="s">
        <v>1542</v>
      </c>
      <c r="AM430" s="44" t="s">
        <v>1542</v>
      </c>
      <c r="AN430" s="44" t="s">
        <v>1542</v>
      </c>
      <c r="AO430" s="46">
        <f t="shared" si="30"/>
        <v>0</v>
      </c>
      <c r="AP430" s="43" t="s">
        <v>1542</v>
      </c>
      <c r="AQ430" s="43" t="s">
        <v>1542</v>
      </c>
      <c r="AR430" s="43" t="s">
        <v>1542</v>
      </c>
      <c r="AS430" s="43" t="s">
        <v>1542</v>
      </c>
      <c r="AT430" s="43" t="s">
        <v>1542</v>
      </c>
      <c r="AU430" s="43" t="s">
        <v>1542</v>
      </c>
      <c r="AV430" s="43" t="s">
        <v>1542</v>
      </c>
      <c r="AW430" s="43" t="s">
        <v>1542</v>
      </c>
      <c r="AX430" s="43" t="s">
        <v>1542</v>
      </c>
      <c r="AY430" s="43" t="s">
        <v>1542</v>
      </c>
      <c r="AZ430" s="43" t="s">
        <v>1542</v>
      </c>
      <c r="BA430" s="43" t="s">
        <v>1542</v>
      </c>
      <c r="BB430" s="46">
        <f t="shared" si="31"/>
        <v>0</v>
      </c>
      <c r="BC430" s="44" t="s">
        <v>1542</v>
      </c>
      <c r="BD430" s="44" t="s">
        <v>1542</v>
      </c>
      <c r="BE430" s="44" t="s">
        <v>1542</v>
      </c>
      <c r="BF430" s="44" t="s">
        <v>1542</v>
      </c>
      <c r="BG430" s="44" t="s">
        <v>1542</v>
      </c>
      <c r="BH430" s="44" t="s">
        <v>1542</v>
      </c>
      <c r="BI430" s="44" t="s">
        <v>1542</v>
      </c>
      <c r="BJ430" s="44" t="s">
        <v>1542</v>
      </c>
      <c r="BK430" s="44" t="s">
        <v>1542</v>
      </c>
      <c r="BL430" s="44" t="s">
        <v>1542</v>
      </c>
      <c r="BM430" s="44" t="s">
        <v>1542</v>
      </c>
      <c r="BN430" s="44" t="s">
        <v>1542</v>
      </c>
      <c r="BO430" s="46">
        <f t="shared" si="32"/>
        <v>0</v>
      </c>
      <c r="BP430" s="43" t="s">
        <v>1542</v>
      </c>
      <c r="BQ430" s="43" t="s">
        <v>1542</v>
      </c>
      <c r="BR430" s="43" t="s">
        <v>1542</v>
      </c>
      <c r="BS430" s="43" t="s">
        <v>1542</v>
      </c>
      <c r="BT430" s="43" t="s">
        <v>1542</v>
      </c>
      <c r="BU430" s="43" t="s">
        <v>1542</v>
      </c>
      <c r="BV430" s="43" t="s">
        <v>1542</v>
      </c>
      <c r="BW430" s="43" t="s">
        <v>1542</v>
      </c>
      <c r="BX430" s="43" t="s">
        <v>1542</v>
      </c>
      <c r="BY430" s="43" t="s">
        <v>1542</v>
      </c>
      <c r="BZ430" s="43" t="s">
        <v>1542</v>
      </c>
      <c r="CA430" s="43" t="s">
        <v>1542</v>
      </c>
    </row>
    <row r="431" spans="1:79">
      <c r="A431">
        <v>430</v>
      </c>
      <c r="B431">
        <v>1</v>
      </c>
      <c r="C431" t="s">
        <v>2935</v>
      </c>
      <c r="D431" t="s">
        <v>2936</v>
      </c>
      <c r="E431" t="s">
        <v>3429</v>
      </c>
      <c r="F431" t="s">
        <v>3430</v>
      </c>
      <c r="G431" t="s">
        <v>3490</v>
      </c>
      <c r="H431" t="s">
        <v>3490</v>
      </c>
      <c r="J431" t="s">
        <v>3491</v>
      </c>
      <c r="K431" t="s">
        <v>3492</v>
      </c>
      <c r="M431" s="1" t="s">
        <v>3493</v>
      </c>
      <c r="O431" s="46">
        <f t="shared" si="33"/>
        <v>0</v>
      </c>
      <c r="P431" s="43" t="s">
        <v>1542</v>
      </c>
      <c r="Q431" s="43" t="s">
        <v>1542</v>
      </c>
      <c r="R431" s="43" t="s">
        <v>1542</v>
      </c>
      <c r="S431" s="43" t="s">
        <v>1542</v>
      </c>
      <c r="T431" s="43" t="s">
        <v>1542</v>
      </c>
      <c r="U431" s="43" t="s">
        <v>1542</v>
      </c>
      <c r="V431" s="43" t="s">
        <v>1542</v>
      </c>
      <c r="W431" s="43" t="s">
        <v>1542</v>
      </c>
      <c r="X431" s="43" t="s">
        <v>1542</v>
      </c>
      <c r="Y431" s="43" t="s">
        <v>1542</v>
      </c>
      <c r="Z431" s="43" t="s">
        <v>1542</v>
      </c>
      <c r="AA431" s="43" t="s">
        <v>1542</v>
      </c>
      <c r="AB431" s="46">
        <f t="shared" si="34"/>
        <v>0</v>
      </c>
      <c r="AC431" s="44" t="s">
        <v>1542</v>
      </c>
      <c r="AD431" s="44" t="s">
        <v>1542</v>
      </c>
      <c r="AE431" s="44" t="s">
        <v>1542</v>
      </c>
      <c r="AF431" s="44" t="s">
        <v>1542</v>
      </c>
      <c r="AG431" s="44" t="s">
        <v>1542</v>
      </c>
      <c r="AH431" s="44" t="s">
        <v>1542</v>
      </c>
      <c r="AI431" s="44" t="s">
        <v>1542</v>
      </c>
      <c r="AJ431" s="44" t="s">
        <v>1542</v>
      </c>
      <c r="AK431" s="44" t="s">
        <v>1542</v>
      </c>
      <c r="AL431" s="44" t="s">
        <v>1542</v>
      </c>
      <c r="AM431" s="44" t="s">
        <v>1542</v>
      </c>
      <c r="AN431" s="44" t="s">
        <v>1542</v>
      </c>
      <c r="AO431" s="46">
        <f t="shared" si="30"/>
        <v>0</v>
      </c>
      <c r="AP431" s="43" t="s">
        <v>1542</v>
      </c>
      <c r="AQ431" s="43" t="s">
        <v>1542</v>
      </c>
      <c r="AR431" s="43" t="s">
        <v>1542</v>
      </c>
      <c r="AS431" s="43" t="s">
        <v>1542</v>
      </c>
      <c r="AT431" s="43" t="s">
        <v>1542</v>
      </c>
      <c r="AU431" s="43" t="s">
        <v>1542</v>
      </c>
      <c r="AV431" s="43" t="s">
        <v>1542</v>
      </c>
      <c r="AW431" s="43" t="s">
        <v>1542</v>
      </c>
      <c r="AX431" s="43" t="s">
        <v>1542</v>
      </c>
      <c r="AY431" s="43" t="s">
        <v>1542</v>
      </c>
      <c r="AZ431" s="43" t="s">
        <v>1542</v>
      </c>
      <c r="BA431" s="43" t="s">
        <v>1542</v>
      </c>
      <c r="BB431" s="46">
        <f t="shared" si="31"/>
        <v>0</v>
      </c>
      <c r="BC431" s="44" t="s">
        <v>1542</v>
      </c>
      <c r="BD431" s="44" t="s">
        <v>1542</v>
      </c>
      <c r="BE431" s="44" t="s">
        <v>1542</v>
      </c>
      <c r="BF431" s="44" t="s">
        <v>1542</v>
      </c>
      <c r="BG431" s="44" t="s">
        <v>1542</v>
      </c>
      <c r="BH431" s="44" t="s">
        <v>1542</v>
      </c>
      <c r="BI431" s="44" t="s">
        <v>1542</v>
      </c>
      <c r="BJ431" s="44" t="s">
        <v>1542</v>
      </c>
      <c r="BK431" s="44" t="s">
        <v>1542</v>
      </c>
      <c r="BL431" s="44" t="s">
        <v>1542</v>
      </c>
      <c r="BM431" s="44" t="s">
        <v>1542</v>
      </c>
      <c r="BN431" s="44" t="s">
        <v>1542</v>
      </c>
      <c r="BO431" s="46">
        <f t="shared" si="32"/>
        <v>0</v>
      </c>
      <c r="BP431" s="43" t="s">
        <v>1542</v>
      </c>
      <c r="BQ431" s="43" t="s">
        <v>1542</v>
      </c>
      <c r="BR431" s="43" t="s">
        <v>1542</v>
      </c>
      <c r="BS431" s="43" t="s">
        <v>1542</v>
      </c>
      <c r="BT431" s="43" t="s">
        <v>1542</v>
      </c>
      <c r="BU431" s="43" t="s">
        <v>1542</v>
      </c>
      <c r="BV431" s="43" t="s">
        <v>1542</v>
      </c>
      <c r="BW431" s="43" t="s">
        <v>1542</v>
      </c>
      <c r="BX431" s="43" t="s">
        <v>1542</v>
      </c>
      <c r="BY431" s="43" t="s">
        <v>1542</v>
      </c>
      <c r="BZ431" s="43" t="s">
        <v>1542</v>
      </c>
      <c r="CA431" s="43" t="s">
        <v>1542</v>
      </c>
    </row>
    <row r="432" spans="1:79">
      <c r="A432">
        <v>431</v>
      </c>
      <c r="B432">
        <v>1</v>
      </c>
      <c r="C432" t="s">
        <v>2935</v>
      </c>
      <c r="D432" t="s">
        <v>2936</v>
      </c>
      <c r="E432" t="s">
        <v>3429</v>
      </c>
      <c r="F432" t="s">
        <v>3430</v>
      </c>
      <c r="G432" t="s">
        <v>3494</v>
      </c>
      <c r="H432" t="s">
        <v>3494</v>
      </c>
      <c r="J432" t="s">
        <v>3495</v>
      </c>
      <c r="K432" t="s">
        <v>3496</v>
      </c>
      <c r="M432" s="1" t="s">
        <v>3497</v>
      </c>
      <c r="O432" s="46">
        <f t="shared" si="33"/>
        <v>0</v>
      </c>
      <c r="P432" s="43" t="s">
        <v>1542</v>
      </c>
      <c r="Q432" s="43" t="s">
        <v>1542</v>
      </c>
      <c r="R432" s="43" t="s">
        <v>1542</v>
      </c>
      <c r="S432" s="43" t="s">
        <v>1542</v>
      </c>
      <c r="T432" s="43" t="s">
        <v>1542</v>
      </c>
      <c r="U432" s="43" t="s">
        <v>1542</v>
      </c>
      <c r="V432" s="43" t="s">
        <v>1542</v>
      </c>
      <c r="W432" s="43" t="s">
        <v>1542</v>
      </c>
      <c r="X432" s="43" t="s">
        <v>1542</v>
      </c>
      <c r="Y432" s="43" t="s">
        <v>1542</v>
      </c>
      <c r="Z432" s="43" t="s">
        <v>1542</v>
      </c>
      <c r="AA432" s="43" t="s">
        <v>1542</v>
      </c>
      <c r="AB432" s="46">
        <f t="shared" si="34"/>
        <v>0</v>
      </c>
      <c r="AC432" s="44" t="s">
        <v>1542</v>
      </c>
      <c r="AD432" s="44" t="s">
        <v>1542</v>
      </c>
      <c r="AE432" s="44" t="s">
        <v>1542</v>
      </c>
      <c r="AF432" s="44" t="s">
        <v>1542</v>
      </c>
      <c r="AG432" s="44" t="s">
        <v>1542</v>
      </c>
      <c r="AH432" s="44" t="s">
        <v>1542</v>
      </c>
      <c r="AI432" s="44" t="s">
        <v>1542</v>
      </c>
      <c r="AJ432" s="44" t="s">
        <v>1542</v>
      </c>
      <c r="AK432" s="44" t="s">
        <v>1542</v>
      </c>
      <c r="AL432" s="44" t="s">
        <v>1542</v>
      </c>
      <c r="AM432" s="44" t="s">
        <v>1542</v>
      </c>
      <c r="AN432" s="44" t="s">
        <v>1542</v>
      </c>
      <c r="AO432" s="46">
        <f t="shared" si="30"/>
        <v>0</v>
      </c>
      <c r="AP432" s="43" t="s">
        <v>1542</v>
      </c>
      <c r="AQ432" s="43" t="s">
        <v>1542</v>
      </c>
      <c r="AR432" s="43" t="s">
        <v>1542</v>
      </c>
      <c r="AS432" s="43" t="s">
        <v>1542</v>
      </c>
      <c r="AT432" s="43" t="s">
        <v>1542</v>
      </c>
      <c r="AU432" s="43" t="s">
        <v>1542</v>
      </c>
      <c r="AV432" s="43" t="s">
        <v>1542</v>
      </c>
      <c r="AW432" s="43" t="s">
        <v>1542</v>
      </c>
      <c r="AX432" s="43" t="s">
        <v>1542</v>
      </c>
      <c r="AY432" s="43" t="s">
        <v>1542</v>
      </c>
      <c r="AZ432" s="43" t="s">
        <v>1542</v>
      </c>
      <c r="BA432" s="43" t="s">
        <v>1542</v>
      </c>
      <c r="BB432" s="46">
        <f t="shared" si="31"/>
        <v>0</v>
      </c>
      <c r="BC432" s="44" t="s">
        <v>1542</v>
      </c>
      <c r="BD432" s="44" t="s">
        <v>1542</v>
      </c>
      <c r="BE432" s="44" t="s">
        <v>1542</v>
      </c>
      <c r="BF432" s="44" t="s">
        <v>1542</v>
      </c>
      <c r="BG432" s="44" t="s">
        <v>1542</v>
      </c>
      <c r="BH432" s="44" t="s">
        <v>1542</v>
      </c>
      <c r="BI432" s="44" t="s">
        <v>1542</v>
      </c>
      <c r="BJ432" s="44" t="s">
        <v>1542</v>
      </c>
      <c r="BK432" s="44" t="s">
        <v>1542</v>
      </c>
      <c r="BL432" s="44" t="s">
        <v>1542</v>
      </c>
      <c r="BM432" s="44" t="s">
        <v>1542</v>
      </c>
      <c r="BN432" s="44" t="s">
        <v>1542</v>
      </c>
      <c r="BO432" s="46">
        <f t="shared" si="32"/>
        <v>0</v>
      </c>
      <c r="BP432" s="43" t="s">
        <v>1542</v>
      </c>
      <c r="BQ432" s="43" t="s">
        <v>1542</v>
      </c>
      <c r="BR432" s="43" t="s">
        <v>1542</v>
      </c>
      <c r="BS432" s="43" t="s">
        <v>1542</v>
      </c>
      <c r="BT432" s="43" t="s">
        <v>1542</v>
      </c>
      <c r="BU432" s="43" t="s">
        <v>1542</v>
      </c>
      <c r="BV432" s="43" t="s">
        <v>1542</v>
      </c>
      <c r="BW432" s="43" t="s">
        <v>1542</v>
      </c>
      <c r="BX432" s="43" t="s">
        <v>1542</v>
      </c>
      <c r="BY432" s="43" t="s">
        <v>1542</v>
      </c>
      <c r="BZ432" s="43" t="s">
        <v>1542</v>
      </c>
      <c r="CA432" s="43" t="s">
        <v>1542</v>
      </c>
    </row>
    <row r="433" spans="1:79">
      <c r="A433">
        <v>432</v>
      </c>
      <c r="B433">
        <v>1</v>
      </c>
      <c r="C433" t="s">
        <v>2935</v>
      </c>
      <c r="D433" t="s">
        <v>2936</v>
      </c>
      <c r="E433" t="s">
        <v>3498</v>
      </c>
      <c r="F433" t="s">
        <v>3499</v>
      </c>
      <c r="G433" t="s">
        <v>3500</v>
      </c>
      <c r="H433" t="s">
        <v>3500</v>
      </c>
      <c r="J433" t="s">
        <v>3501</v>
      </c>
      <c r="K433" t="s">
        <v>3502</v>
      </c>
      <c r="M433" s="1" t="s">
        <v>3503</v>
      </c>
      <c r="O433" s="46">
        <f t="shared" si="33"/>
        <v>0</v>
      </c>
      <c r="P433" s="43" t="s">
        <v>1542</v>
      </c>
      <c r="Q433" s="43" t="s">
        <v>1542</v>
      </c>
      <c r="R433" s="43" t="s">
        <v>1542</v>
      </c>
      <c r="S433" s="43" t="s">
        <v>1542</v>
      </c>
      <c r="T433" s="43" t="s">
        <v>1542</v>
      </c>
      <c r="U433" s="43" t="s">
        <v>1542</v>
      </c>
      <c r="V433" s="43" t="s">
        <v>1542</v>
      </c>
      <c r="W433" s="43" t="s">
        <v>1542</v>
      </c>
      <c r="X433" s="43" t="s">
        <v>1542</v>
      </c>
      <c r="Y433" s="43" t="s">
        <v>1542</v>
      </c>
      <c r="Z433" s="43" t="s">
        <v>1542</v>
      </c>
      <c r="AA433" s="43" t="s">
        <v>1542</v>
      </c>
      <c r="AB433" s="46">
        <f t="shared" si="34"/>
        <v>0</v>
      </c>
      <c r="AC433" s="44" t="s">
        <v>1542</v>
      </c>
      <c r="AD433" s="44" t="s">
        <v>1542</v>
      </c>
      <c r="AE433" s="44" t="s">
        <v>1542</v>
      </c>
      <c r="AF433" s="44" t="s">
        <v>1542</v>
      </c>
      <c r="AG433" s="44" t="s">
        <v>1542</v>
      </c>
      <c r="AH433" s="44" t="s">
        <v>1542</v>
      </c>
      <c r="AI433" s="44" t="s">
        <v>1542</v>
      </c>
      <c r="AJ433" s="44" t="s">
        <v>1542</v>
      </c>
      <c r="AK433" s="44" t="s">
        <v>1542</v>
      </c>
      <c r="AL433" s="44" t="s">
        <v>1542</v>
      </c>
      <c r="AM433" s="44" t="s">
        <v>1542</v>
      </c>
      <c r="AN433" s="44" t="s">
        <v>1542</v>
      </c>
      <c r="AO433" s="46">
        <f t="shared" si="30"/>
        <v>0</v>
      </c>
      <c r="AP433" s="43" t="s">
        <v>1542</v>
      </c>
      <c r="AQ433" s="43" t="s">
        <v>1542</v>
      </c>
      <c r="AR433" s="43" t="s">
        <v>1542</v>
      </c>
      <c r="AS433" s="43" t="s">
        <v>1542</v>
      </c>
      <c r="AT433" s="43" t="s">
        <v>1542</v>
      </c>
      <c r="AU433" s="43" t="s">
        <v>1542</v>
      </c>
      <c r="AV433" s="43" t="s">
        <v>1542</v>
      </c>
      <c r="AW433" s="43" t="s">
        <v>1542</v>
      </c>
      <c r="AX433" s="43" t="s">
        <v>1542</v>
      </c>
      <c r="AY433" s="43" t="s">
        <v>1542</v>
      </c>
      <c r="AZ433" s="43" t="s">
        <v>1542</v>
      </c>
      <c r="BA433" s="43" t="s">
        <v>1542</v>
      </c>
      <c r="BB433" s="46">
        <f t="shared" si="31"/>
        <v>0</v>
      </c>
      <c r="BC433" s="44" t="s">
        <v>1542</v>
      </c>
      <c r="BD433" s="44" t="s">
        <v>1542</v>
      </c>
      <c r="BE433" s="44" t="s">
        <v>1542</v>
      </c>
      <c r="BF433" s="44" t="s">
        <v>1542</v>
      </c>
      <c r="BG433" s="44" t="s">
        <v>1542</v>
      </c>
      <c r="BH433" s="44" t="s">
        <v>1542</v>
      </c>
      <c r="BI433" s="44" t="s">
        <v>1542</v>
      </c>
      <c r="BJ433" s="44" t="s">
        <v>1542</v>
      </c>
      <c r="BK433" s="44" t="s">
        <v>1542</v>
      </c>
      <c r="BL433" s="44" t="s">
        <v>1542</v>
      </c>
      <c r="BM433" s="44" t="s">
        <v>1542</v>
      </c>
      <c r="BN433" s="44" t="s">
        <v>1542</v>
      </c>
      <c r="BO433" s="46">
        <f t="shared" si="32"/>
        <v>0</v>
      </c>
      <c r="BP433" s="43" t="s">
        <v>1542</v>
      </c>
      <c r="BQ433" s="43" t="s">
        <v>1542</v>
      </c>
      <c r="BR433" s="43" t="s">
        <v>1542</v>
      </c>
      <c r="BS433" s="43" t="s">
        <v>1542</v>
      </c>
      <c r="BT433" s="43" t="s">
        <v>1542</v>
      </c>
      <c r="BU433" s="43" t="s">
        <v>1542</v>
      </c>
      <c r="BV433" s="43" t="s">
        <v>1542</v>
      </c>
      <c r="BW433" s="43" t="s">
        <v>1542</v>
      </c>
      <c r="BX433" s="43" t="s">
        <v>1542</v>
      </c>
      <c r="BY433" s="43" t="s">
        <v>1542</v>
      </c>
      <c r="BZ433" s="43" t="s">
        <v>1542</v>
      </c>
      <c r="CA433" s="43" t="s">
        <v>1542</v>
      </c>
    </row>
    <row r="434" spans="1:79">
      <c r="A434">
        <v>433</v>
      </c>
      <c r="B434">
        <v>1</v>
      </c>
      <c r="C434" t="s">
        <v>2935</v>
      </c>
      <c r="D434" t="s">
        <v>2936</v>
      </c>
      <c r="E434" t="s">
        <v>3498</v>
      </c>
      <c r="F434" t="s">
        <v>3499</v>
      </c>
      <c r="G434" t="s">
        <v>3504</v>
      </c>
      <c r="H434" t="s">
        <v>3504</v>
      </c>
      <c r="J434" t="s">
        <v>3505</v>
      </c>
      <c r="K434" t="s">
        <v>3506</v>
      </c>
      <c r="M434" s="1" t="s">
        <v>3507</v>
      </c>
      <c r="O434" s="46">
        <f t="shared" si="33"/>
        <v>0</v>
      </c>
      <c r="P434" s="43" t="s">
        <v>1542</v>
      </c>
      <c r="Q434" s="43" t="s">
        <v>1542</v>
      </c>
      <c r="R434" s="43" t="s">
        <v>1542</v>
      </c>
      <c r="S434" s="43" t="s">
        <v>1542</v>
      </c>
      <c r="T434" s="43" t="s">
        <v>1542</v>
      </c>
      <c r="U434" s="43" t="s">
        <v>1542</v>
      </c>
      <c r="V434" s="43" t="s">
        <v>1542</v>
      </c>
      <c r="W434" s="43" t="s">
        <v>1542</v>
      </c>
      <c r="X434" s="43" t="s">
        <v>1542</v>
      </c>
      <c r="Y434" s="43" t="s">
        <v>1542</v>
      </c>
      <c r="Z434" s="43" t="s">
        <v>1542</v>
      </c>
      <c r="AA434" s="43" t="s">
        <v>1542</v>
      </c>
      <c r="AB434" s="46">
        <f t="shared" si="34"/>
        <v>0</v>
      </c>
      <c r="AC434" s="44" t="s">
        <v>1542</v>
      </c>
      <c r="AD434" s="44" t="s">
        <v>1542</v>
      </c>
      <c r="AE434" s="44" t="s">
        <v>1542</v>
      </c>
      <c r="AF434" s="44" t="s">
        <v>1542</v>
      </c>
      <c r="AG434" s="44" t="s">
        <v>1542</v>
      </c>
      <c r="AH434" s="44" t="s">
        <v>1542</v>
      </c>
      <c r="AI434" s="44" t="s">
        <v>1542</v>
      </c>
      <c r="AJ434" s="44" t="s">
        <v>1542</v>
      </c>
      <c r="AK434" s="44" t="s">
        <v>1542</v>
      </c>
      <c r="AL434" s="44" t="s">
        <v>1542</v>
      </c>
      <c r="AM434" s="44" t="s">
        <v>1542</v>
      </c>
      <c r="AN434" s="44" t="s">
        <v>1542</v>
      </c>
      <c r="AO434" s="46">
        <f t="shared" si="30"/>
        <v>0</v>
      </c>
      <c r="AP434" s="43" t="s">
        <v>1542</v>
      </c>
      <c r="AQ434" s="43" t="s">
        <v>1542</v>
      </c>
      <c r="AR434" s="43" t="s">
        <v>1542</v>
      </c>
      <c r="AS434" s="43" t="s">
        <v>1542</v>
      </c>
      <c r="AT434" s="43" t="s">
        <v>1542</v>
      </c>
      <c r="AU434" s="43" t="s">
        <v>1542</v>
      </c>
      <c r="AV434" s="43" t="s">
        <v>1542</v>
      </c>
      <c r="AW434" s="43" t="s">
        <v>1542</v>
      </c>
      <c r="AX434" s="43" t="s">
        <v>1542</v>
      </c>
      <c r="AY434" s="43" t="s">
        <v>1542</v>
      </c>
      <c r="AZ434" s="43" t="s">
        <v>1542</v>
      </c>
      <c r="BA434" s="43" t="s">
        <v>1542</v>
      </c>
      <c r="BB434" s="46">
        <f t="shared" si="31"/>
        <v>0</v>
      </c>
      <c r="BC434" s="44" t="s">
        <v>1542</v>
      </c>
      <c r="BD434" s="44" t="s">
        <v>1542</v>
      </c>
      <c r="BE434" s="44" t="s">
        <v>1542</v>
      </c>
      <c r="BF434" s="44" t="s">
        <v>1542</v>
      </c>
      <c r="BG434" s="44" t="s">
        <v>1542</v>
      </c>
      <c r="BH434" s="44" t="s">
        <v>1542</v>
      </c>
      <c r="BI434" s="44" t="s">
        <v>1542</v>
      </c>
      <c r="BJ434" s="44" t="s">
        <v>1542</v>
      </c>
      <c r="BK434" s="44" t="s">
        <v>1542</v>
      </c>
      <c r="BL434" s="44" t="s">
        <v>1542</v>
      </c>
      <c r="BM434" s="44" t="s">
        <v>1542</v>
      </c>
      <c r="BN434" s="44" t="s">
        <v>1542</v>
      </c>
      <c r="BO434" s="46">
        <f t="shared" si="32"/>
        <v>0</v>
      </c>
      <c r="BP434" s="43" t="s">
        <v>1542</v>
      </c>
      <c r="BQ434" s="43" t="s">
        <v>1542</v>
      </c>
      <c r="BR434" s="43" t="s">
        <v>1542</v>
      </c>
      <c r="BS434" s="43" t="s">
        <v>1542</v>
      </c>
      <c r="BT434" s="43" t="s">
        <v>1542</v>
      </c>
      <c r="BU434" s="43" t="s">
        <v>1542</v>
      </c>
      <c r="BV434" s="43" t="s">
        <v>1542</v>
      </c>
      <c r="BW434" s="43" t="s">
        <v>1542</v>
      </c>
      <c r="BX434" s="43" t="s">
        <v>1542</v>
      </c>
      <c r="BY434" s="43" t="s">
        <v>1542</v>
      </c>
      <c r="BZ434" s="43" t="s">
        <v>1542</v>
      </c>
      <c r="CA434" s="43" t="s">
        <v>1542</v>
      </c>
    </row>
    <row r="435" spans="1:79">
      <c r="A435">
        <v>434</v>
      </c>
      <c r="B435">
        <v>1</v>
      </c>
      <c r="C435" t="s">
        <v>2935</v>
      </c>
      <c r="D435" t="s">
        <v>2936</v>
      </c>
      <c r="E435" t="s">
        <v>3498</v>
      </c>
      <c r="F435" t="s">
        <v>3499</v>
      </c>
      <c r="G435" t="s">
        <v>3508</v>
      </c>
      <c r="H435" t="s">
        <v>3508</v>
      </c>
      <c r="J435" t="s">
        <v>3509</v>
      </c>
      <c r="K435" t="s">
        <v>3510</v>
      </c>
      <c r="M435" s="1" t="s">
        <v>3511</v>
      </c>
      <c r="N435" t="s">
        <v>3512</v>
      </c>
      <c r="O435" s="46">
        <f t="shared" si="33"/>
        <v>0</v>
      </c>
      <c r="P435" s="43" t="s">
        <v>1542</v>
      </c>
      <c r="Q435" s="43" t="s">
        <v>1542</v>
      </c>
      <c r="R435" s="43" t="s">
        <v>1542</v>
      </c>
      <c r="S435" s="43" t="s">
        <v>1542</v>
      </c>
      <c r="T435" s="43" t="s">
        <v>1542</v>
      </c>
      <c r="U435" s="43" t="s">
        <v>1542</v>
      </c>
      <c r="V435" s="43" t="s">
        <v>1542</v>
      </c>
      <c r="W435" s="43" t="s">
        <v>1542</v>
      </c>
      <c r="X435" s="43" t="s">
        <v>1542</v>
      </c>
      <c r="Y435" s="43" t="s">
        <v>1542</v>
      </c>
      <c r="Z435" s="43" t="s">
        <v>1542</v>
      </c>
      <c r="AA435" s="43" t="s">
        <v>1542</v>
      </c>
      <c r="AB435" s="46">
        <f t="shared" si="34"/>
        <v>1</v>
      </c>
      <c r="AC435" s="44" t="s">
        <v>1542</v>
      </c>
      <c r="AD435" s="44" t="s">
        <v>1542</v>
      </c>
      <c r="AE435" s="44" t="s">
        <v>1542</v>
      </c>
      <c r="AF435" s="44" t="s">
        <v>1542</v>
      </c>
      <c r="AG435" s="44" t="s">
        <v>1542</v>
      </c>
      <c r="AH435" s="44" t="s">
        <v>1542</v>
      </c>
      <c r="AI435" s="44" t="s">
        <v>1542</v>
      </c>
      <c r="AJ435" s="44" t="s">
        <v>1542</v>
      </c>
      <c r="AK435" s="44" t="s">
        <v>1542</v>
      </c>
      <c r="AL435" s="44" t="s">
        <v>1542</v>
      </c>
      <c r="AM435" s="44" t="s">
        <v>1542</v>
      </c>
      <c r="AN435" s="44" t="s">
        <v>1554</v>
      </c>
      <c r="AO435" s="46">
        <f t="shared" si="30"/>
        <v>0</v>
      </c>
      <c r="AP435" s="43" t="s">
        <v>1542</v>
      </c>
      <c r="AQ435" s="43" t="s">
        <v>1542</v>
      </c>
      <c r="AR435" s="43" t="s">
        <v>1542</v>
      </c>
      <c r="AS435" s="43" t="s">
        <v>1542</v>
      </c>
      <c r="AT435" s="43" t="s">
        <v>1542</v>
      </c>
      <c r="AU435" s="43" t="s">
        <v>1542</v>
      </c>
      <c r="AV435" s="43" t="s">
        <v>1542</v>
      </c>
      <c r="AW435" s="43" t="s">
        <v>1542</v>
      </c>
      <c r="AX435" s="43" t="s">
        <v>1542</v>
      </c>
      <c r="AY435" s="43" t="s">
        <v>1542</v>
      </c>
      <c r="AZ435" s="43" t="s">
        <v>1542</v>
      </c>
      <c r="BA435" s="43" t="s">
        <v>1542</v>
      </c>
      <c r="BB435" s="46">
        <f t="shared" si="31"/>
        <v>0</v>
      </c>
      <c r="BC435" s="44" t="s">
        <v>1542</v>
      </c>
      <c r="BD435" s="44" t="s">
        <v>1542</v>
      </c>
      <c r="BE435" s="44" t="s">
        <v>1542</v>
      </c>
      <c r="BF435" s="44" t="s">
        <v>1542</v>
      </c>
      <c r="BG435" s="44" t="s">
        <v>1542</v>
      </c>
      <c r="BH435" s="44" t="s">
        <v>1542</v>
      </c>
      <c r="BI435" s="44" t="s">
        <v>1542</v>
      </c>
      <c r="BJ435" s="44" t="s">
        <v>1542</v>
      </c>
      <c r="BK435" s="44" t="s">
        <v>1542</v>
      </c>
      <c r="BL435" s="44" t="s">
        <v>1542</v>
      </c>
      <c r="BM435" s="44" t="s">
        <v>1542</v>
      </c>
      <c r="BN435" s="44" t="s">
        <v>1542</v>
      </c>
      <c r="BO435" s="46">
        <f t="shared" si="32"/>
        <v>0</v>
      </c>
      <c r="BP435" s="43" t="s">
        <v>1542</v>
      </c>
      <c r="BQ435" s="43" t="s">
        <v>1542</v>
      </c>
      <c r="BR435" s="43" t="s">
        <v>1542</v>
      </c>
      <c r="BS435" s="43" t="s">
        <v>1542</v>
      </c>
      <c r="BT435" s="43" t="s">
        <v>1542</v>
      </c>
      <c r="BU435" s="43" t="s">
        <v>1542</v>
      </c>
      <c r="BV435" s="43" t="s">
        <v>1542</v>
      </c>
      <c r="BW435" s="43" t="s">
        <v>1542</v>
      </c>
      <c r="BX435" s="43" t="s">
        <v>1542</v>
      </c>
      <c r="BY435" s="43" t="s">
        <v>1542</v>
      </c>
      <c r="BZ435" s="43" t="s">
        <v>1542</v>
      </c>
      <c r="CA435" s="43" t="s">
        <v>1542</v>
      </c>
    </row>
    <row r="436" spans="1:79">
      <c r="A436">
        <v>435</v>
      </c>
      <c r="B436">
        <v>1</v>
      </c>
      <c r="C436" t="s">
        <v>2935</v>
      </c>
      <c r="D436" t="s">
        <v>2936</v>
      </c>
      <c r="E436" t="s">
        <v>3498</v>
      </c>
      <c r="F436" t="s">
        <v>3499</v>
      </c>
      <c r="G436" t="s">
        <v>3513</v>
      </c>
      <c r="H436" t="s">
        <v>3513</v>
      </c>
      <c r="J436" t="s">
        <v>3514</v>
      </c>
      <c r="K436" t="s">
        <v>3515</v>
      </c>
      <c r="M436" s="1" t="s">
        <v>3516</v>
      </c>
      <c r="O436" s="46">
        <f t="shared" si="33"/>
        <v>0</v>
      </c>
      <c r="P436" s="43" t="s">
        <v>1542</v>
      </c>
      <c r="Q436" s="43" t="s">
        <v>1542</v>
      </c>
      <c r="R436" s="43" t="s">
        <v>1542</v>
      </c>
      <c r="S436" s="43" t="s">
        <v>1542</v>
      </c>
      <c r="T436" s="43" t="s">
        <v>1542</v>
      </c>
      <c r="U436" s="43" t="s">
        <v>1542</v>
      </c>
      <c r="V436" s="43" t="s">
        <v>1542</v>
      </c>
      <c r="W436" s="43" t="s">
        <v>1542</v>
      </c>
      <c r="X436" s="43" t="s">
        <v>1542</v>
      </c>
      <c r="Y436" s="43" t="s">
        <v>1542</v>
      </c>
      <c r="Z436" s="43" t="s">
        <v>1542</v>
      </c>
      <c r="AA436" s="43" t="s">
        <v>1542</v>
      </c>
      <c r="AB436" s="46">
        <f t="shared" si="34"/>
        <v>0</v>
      </c>
      <c r="AC436" s="44" t="s">
        <v>1542</v>
      </c>
      <c r="AD436" s="44" t="s">
        <v>1542</v>
      </c>
      <c r="AE436" s="44" t="s">
        <v>1542</v>
      </c>
      <c r="AF436" s="44" t="s">
        <v>1542</v>
      </c>
      <c r="AG436" s="44" t="s">
        <v>1542</v>
      </c>
      <c r="AH436" s="44" t="s">
        <v>1542</v>
      </c>
      <c r="AI436" s="44" t="s">
        <v>1542</v>
      </c>
      <c r="AJ436" s="44" t="s">
        <v>1542</v>
      </c>
      <c r="AK436" s="44" t="s">
        <v>1542</v>
      </c>
      <c r="AL436" s="44" t="s">
        <v>1542</v>
      </c>
      <c r="AM436" s="44" t="s">
        <v>1542</v>
      </c>
      <c r="AN436" s="44" t="s">
        <v>1542</v>
      </c>
      <c r="AO436" s="46">
        <f t="shared" si="30"/>
        <v>0</v>
      </c>
      <c r="AP436" s="43" t="s">
        <v>1542</v>
      </c>
      <c r="AQ436" s="43" t="s">
        <v>1542</v>
      </c>
      <c r="AR436" s="43" t="s">
        <v>1542</v>
      </c>
      <c r="AS436" s="43" t="s">
        <v>1542</v>
      </c>
      <c r="AT436" s="43" t="s">
        <v>1542</v>
      </c>
      <c r="AU436" s="43" t="s">
        <v>1542</v>
      </c>
      <c r="AV436" s="43" t="s">
        <v>1542</v>
      </c>
      <c r="AW436" s="43" t="s">
        <v>1542</v>
      </c>
      <c r="AX436" s="43" t="s">
        <v>1542</v>
      </c>
      <c r="AY436" s="43" t="s">
        <v>1542</v>
      </c>
      <c r="AZ436" s="43" t="s">
        <v>1542</v>
      </c>
      <c r="BA436" s="43" t="s">
        <v>1542</v>
      </c>
      <c r="BB436" s="46">
        <f t="shared" si="31"/>
        <v>0</v>
      </c>
      <c r="BC436" s="44" t="s">
        <v>1542</v>
      </c>
      <c r="BD436" s="44" t="s">
        <v>1542</v>
      </c>
      <c r="BE436" s="44" t="s">
        <v>1542</v>
      </c>
      <c r="BF436" s="44" t="s">
        <v>1542</v>
      </c>
      <c r="BG436" s="44" t="s">
        <v>1542</v>
      </c>
      <c r="BH436" s="44" t="s">
        <v>1542</v>
      </c>
      <c r="BI436" s="44" t="s">
        <v>1542</v>
      </c>
      <c r="BJ436" s="44" t="s">
        <v>1542</v>
      </c>
      <c r="BK436" s="44" t="s">
        <v>1542</v>
      </c>
      <c r="BL436" s="44" t="s">
        <v>1542</v>
      </c>
      <c r="BM436" s="44" t="s">
        <v>1542</v>
      </c>
      <c r="BN436" s="44" t="s">
        <v>1542</v>
      </c>
      <c r="BO436" s="46">
        <f t="shared" si="32"/>
        <v>0</v>
      </c>
      <c r="BP436" s="43" t="s">
        <v>1542</v>
      </c>
      <c r="BQ436" s="43" t="s">
        <v>1542</v>
      </c>
      <c r="BR436" s="43" t="s">
        <v>1542</v>
      </c>
      <c r="BS436" s="43" t="s">
        <v>1542</v>
      </c>
      <c r="BT436" s="43" t="s">
        <v>1542</v>
      </c>
      <c r="BU436" s="43" t="s">
        <v>1542</v>
      </c>
      <c r="BV436" s="43" t="s">
        <v>1542</v>
      </c>
      <c r="BW436" s="43" t="s">
        <v>1542</v>
      </c>
      <c r="BX436" s="43" t="s">
        <v>1542</v>
      </c>
      <c r="BY436" s="43" t="s">
        <v>1542</v>
      </c>
      <c r="BZ436" s="43" t="s">
        <v>1542</v>
      </c>
      <c r="CA436" s="43" t="s">
        <v>1542</v>
      </c>
    </row>
    <row r="437" spans="1:79">
      <c r="A437">
        <v>436</v>
      </c>
      <c r="B437">
        <v>1</v>
      </c>
      <c r="C437" t="s">
        <v>2935</v>
      </c>
      <c r="D437" t="s">
        <v>2936</v>
      </c>
      <c r="E437" t="s">
        <v>3498</v>
      </c>
      <c r="F437" t="s">
        <v>3499</v>
      </c>
      <c r="G437" t="s">
        <v>3517</v>
      </c>
      <c r="H437" t="s">
        <v>3517</v>
      </c>
      <c r="J437" t="s">
        <v>3518</v>
      </c>
      <c r="K437" t="s">
        <v>3519</v>
      </c>
      <c r="M437" s="1" t="s">
        <v>3520</v>
      </c>
      <c r="O437" s="46">
        <f t="shared" si="33"/>
        <v>0</v>
      </c>
      <c r="P437" s="43" t="s">
        <v>1542</v>
      </c>
      <c r="Q437" s="43" t="s">
        <v>1542</v>
      </c>
      <c r="R437" s="43" t="s">
        <v>1542</v>
      </c>
      <c r="S437" s="43" t="s">
        <v>1542</v>
      </c>
      <c r="T437" s="43" t="s">
        <v>1542</v>
      </c>
      <c r="U437" s="43" t="s">
        <v>1542</v>
      </c>
      <c r="V437" s="43" t="s">
        <v>1542</v>
      </c>
      <c r="W437" s="43" t="s">
        <v>1542</v>
      </c>
      <c r="X437" s="43" t="s">
        <v>1542</v>
      </c>
      <c r="Y437" s="43" t="s">
        <v>1542</v>
      </c>
      <c r="Z437" s="43" t="s">
        <v>1542</v>
      </c>
      <c r="AA437" s="43" t="s">
        <v>1542</v>
      </c>
      <c r="AB437" s="46">
        <f t="shared" si="34"/>
        <v>0</v>
      </c>
      <c r="AC437" s="44" t="s">
        <v>1542</v>
      </c>
      <c r="AD437" s="44" t="s">
        <v>1542</v>
      </c>
      <c r="AE437" s="44" t="s">
        <v>1542</v>
      </c>
      <c r="AF437" s="44" t="s">
        <v>1542</v>
      </c>
      <c r="AG437" s="44" t="s">
        <v>1542</v>
      </c>
      <c r="AH437" s="44" t="s">
        <v>1542</v>
      </c>
      <c r="AI437" s="44" t="s">
        <v>1542</v>
      </c>
      <c r="AJ437" s="44" t="s">
        <v>1542</v>
      </c>
      <c r="AK437" s="44" t="s">
        <v>1542</v>
      </c>
      <c r="AL437" s="44" t="s">
        <v>1542</v>
      </c>
      <c r="AM437" s="44" t="s">
        <v>1542</v>
      </c>
      <c r="AN437" s="44" t="s">
        <v>1542</v>
      </c>
      <c r="AO437" s="46">
        <f t="shared" si="30"/>
        <v>0</v>
      </c>
      <c r="AP437" s="43" t="s">
        <v>1542</v>
      </c>
      <c r="AQ437" s="43" t="s">
        <v>1542</v>
      </c>
      <c r="AR437" s="43" t="s">
        <v>1542</v>
      </c>
      <c r="AS437" s="43" t="s">
        <v>1542</v>
      </c>
      <c r="AT437" s="43" t="s">
        <v>1542</v>
      </c>
      <c r="AU437" s="43" t="s">
        <v>1542</v>
      </c>
      <c r="AV437" s="43" t="s">
        <v>1542</v>
      </c>
      <c r="AW437" s="43" t="s">
        <v>1542</v>
      </c>
      <c r="AX437" s="43" t="s">
        <v>1542</v>
      </c>
      <c r="AY437" s="43" t="s">
        <v>1542</v>
      </c>
      <c r="AZ437" s="43" t="s">
        <v>1542</v>
      </c>
      <c r="BA437" s="43" t="s">
        <v>1542</v>
      </c>
      <c r="BB437" s="46">
        <f t="shared" si="31"/>
        <v>0</v>
      </c>
      <c r="BC437" s="44" t="s">
        <v>1542</v>
      </c>
      <c r="BD437" s="44" t="s">
        <v>1542</v>
      </c>
      <c r="BE437" s="44" t="s">
        <v>1542</v>
      </c>
      <c r="BF437" s="44" t="s">
        <v>1542</v>
      </c>
      <c r="BG437" s="44" t="s">
        <v>1542</v>
      </c>
      <c r="BH437" s="44" t="s">
        <v>1542</v>
      </c>
      <c r="BI437" s="44" t="s">
        <v>1542</v>
      </c>
      <c r="BJ437" s="44" t="s">
        <v>1542</v>
      </c>
      <c r="BK437" s="44" t="s">
        <v>1542</v>
      </c>
      <c r="BL437" s="44" t="s">
        <v>1542</v>
      </c>
      <c r="BM437" s="44" t="s">
        <v>1542</v>
      </c>
      <c r="BN437" s="44" t="s">
        <v>1542</v>
      </c>
      <c r="BO437" s="46">
        <f t="shared" si="32"/>
        <v>0</v>
      </c>
      <c r="BP437" s="43" t="s">
        <v>1542</v>
      </c>
      <c r="BQ437" s="43" t="s">
        <v>1542</v>
      </c>
      <c r="BR437" s="43" t="s">
        <v>1542</v>
      </c>
      <c r="BS437" s="43" t="s">
        <v>1542</v>
      </c>
      <c r="BT437" s="43" t="s">
        <v>1542</v>
      </c>
      <c r="BU437" s="43" t="s">
        <v>1542</v>
      </c>
      <c r="BV437" s="43" t="s">
        <v>1542</v>
      </c>
      <c r="BW437" s="43" t="s">
        <v>1542</v>
      </c>
      <c r="BX437" s="43" t="s">
        <v>1542</v>
      </c>
      <c r="BY437" s="43" t="s">
        <v>1542</v>
      </c>
      <c r="BZ437" s="43" t="s">
        <v>1542</v>
      </c>
      <c r="CA437" s="43" t="s">
        <v>1542</v>
      </c>
    </row>
    <row r="438" spans="1:79">
      <c r="A438">
        <v>437</v>
      </c>
      <c r="B438">
        <v>1</v>
      </c>
      <c r="C438" t="s">
        <v>2935</v>
      </c>
      <c r="D438" t="s">
        <v>2936</v>
      </c>
      <c r="E438" t="s">
        <v>3498</v>
      </c>
      <c r="F438" t="s">
        <v>3499</v>
      </c>
      <c r="G438" t="s">
        <v>3521</v>
      </c>
      <c r="H438" t="s">
        <v>3521</v>
      </c>
      <c r="J438" t="s">
        <v>3522</v>
      </c>
      <c r="K438" t="s">
        <v>3523</v>
      </c>
      <c r="M438" s="1" t="s">
        <v>3524</v>
      </c>
      <c r="O438" s="46">
        <f t="shared" si="33"/>
        <v>0</v>
      </c>
      <c r="P438" s="43" t="s">
        <v>1542</v>
      </c>
      <c r="Q438" s="43" t="s">
        <v>1542</v>
      </c>
      <c r="R438" s="43" t="s">
        <v>1542</v>
      </c>
      <c r="S438" s="43" t="s">
        <v>1542</v>
      </c>
      <c r="T438" s="43" t="s">
        <v>1542</v>
      </c>
      <c r="U438" s="43" t="s">
        <v>1542</v>
      </c>
      <c r="V438" s="43" t="s">
        <v>1542</v>
      </c>
      <c r="W438" s="43" t="s">
        <v>1542</v>
      </c>
      <c r="X438" s="43" t="s">
        <v>1542</v>
      </c>
      <c r="Y438" s="43" t="s">
        <v>1542</v>
      </c>
      <c r="Z438" s="43" t="s">
        <v>1542</v>
      </c>
      <c r="AA438" s="43" t="s">
        <v>1542</v>
      </c>
      <c r="AB438" s="46">
        <f t="shared" si="34"/>
        <v>0</v>
      </c>
      <c r="AC438" s="44" t="s">
        <v>1542</v>
      </c>
      <c r="AD438" s="44" t="s">
        <v>1542</v>
      </c>
      <c r="AE438" s="44" t="s">
        <v>1542</v>
      </c>
      <c r="AF438" s="44" t="s">
        <v>1542</v>
      </c>
      <c r="AG438" s="44" t="s">
        <v>1542</v>
      </c>
      <c r="AH438" s="44" t="s">
        <v>1542</v>
      </c>
      <c r="AI438" s="44" t="s">
        <v>1542</v>
      </c>
      <c r="AJ438" s="44" t="s">
        <v>1542</v>
      </c>
      <c r="AK438" s="44" t="s">
        <v>1542</v>
      </c>
      <c r="AL438" s="44" t="s">
        <v>1542</v>
      </c>
      <c r="AM438" s="44" t="s">
        <v>1542</v>
      </c>
      <c r="AN438" s="44" t="s">
        <v>1542</v>
      </c>
      <c r="AO438" s="46">
        <f t="shared" si="30"/>
        <v>0</v>
      </c>
      <c r="AP438" s="43" t="s">
        <v>1542</v>
      </c>
      <c r="AQ438" s="43" t="s">
        <v>1542</v>
      </c>
      <c r="AR438" s="43" t="s">
        <v>1542</v>
      </c>
      <c r="AS438" s="43" t="s">
        <v>1542</v>
      </c>
      <c r="AT438" s="43" t="s">
        <v>1542</v>
      </c>
      <c r="AU438" s="43" t="s">
        <v>1542</v>
      </c>
      <c r="AV438" s="43" t="s">
        <v>1542</v>
      </c>
      <c r="AW438" s="43" t="s">
        <v>1542</v>
      </c>
      <c r="AX438" s="43" t="s">
        <v>1542</v>
      </c>
      <c r="AY438" s="43" t="s">
        <v>1542</v>
      </c>
      <c r="AZ438" s="43" t="s">
        <v>1542</v>
      </c>
      <c r="BA438" s="43" t="s">
        <v>1542</v>
      </c>
      <c r="BB438" s="46">
        <f t="shared" si="31"/>
        <v>0</v>
      </c>
      <c r="BC438" s="44" t="s">
        <v>1542</v>
      </c>
      <c r="BD438" s="44" t="s">
        <v>1542</v>
      </c>
      <c r="BE438" s="44" t="s">
        <v>1542</v>
      </c>
      <c r="BF438" s="44" t="s">
        <v>1542</v>
      </c>
      <c r="BG438" s="44" t="s">
        <v>1542</v>
      </c>
      <c r="BH438" s="44" t="s">
        <v>1542</v>
      </c>
      <c r="BI438" s="44" t="s">
        <v>1542</v>
      </c>
      <c r="BJ438" s="44" t="s">
        <v>1542</v>
      </c>
      <c r="BK438" s="44" t="s">
        <v>1542</v>
      </c>
      <c r="BL438" s="44" t="s">
        <v>1542</v>
      </c>
      <c r="BM438" s="44" t="s">
        <v>1542</v>
      </c>
      <c r="BN438" s="44" t="s">
        <v>1542</v>
      </c>
      <c r="BO438" s="46">
        <f t="shared" si="32"/>
        <v>0</v>
      </c>
      <c r="BP438" s="43" t="s">
        <v>1542</v>
      </c>
      <c r="BQ438" s="43" t="s">
        <v>1542</v>
      </c>
      <c r="BR438" s="43" t="s">
        <v>1542</v>
      </c>
      <c r="BS438" s="43" t="s">
        <v>1542</v>
      </c>
      <c r="BT438" s="43" t="s">
        <v>1542</v>
      </c>
      <c r="BU438" s="43" t="s">
        <v>1542</v>
      </c>
      <c r="BV438" s="43" t="s">
        <v>1542</v>
      </c>
      <c r="BW438" s="43" t="s">
        <v>1542</v>
      </c>
      <c r="BX438" s="43" t="s">
        <v>1542</v>
      </c>
      <c r="BY438" s="43" t="s">
        <v>1542</v>
      </c>
      <c r="BZ438" s="43" t="s">
        <v>1542</v>
      </c>
      <c r="CA438" s="43" t="s">
        <v>1542</v>
      </c>
    </row>
    <row r="439" spans="1:79">
      <c r="A439">
        <v>438</v>
      </c>
      <c r="B439">
        <v>1</v>
      </c>
      <c r="C439" t="s">
        <v>2935</v>
      </c>
      <c r="D439" t="s">
        <v>2936</v>
      </c>
      <c r="E439" t="s">
        <v>3498</v>
      </c>
      <c r="F439" t="s">
        <v>3499</v>
      </c>
      <c r="G439" t="s">
        <v>3525</v>
      </c>
      <c r="H439" t="s">
        <v>3525</v>
      </c>
      <c r="J439" t="s">
        <v>3526</v>
      </c>
      <c r="K439" t="s">
        <v>3527</v>
      </c>
      <c r="M439" s="1" t="s">
        <v>3528</v>
      </c>
      <c r="N439" t="s">
        <v>3529</v>
      </c>
      <c r="O439" s="46">
        <f t="shared" si="33"/>
        <v>0</v>
      </c>
      <c r="P439" s="43" t="s">
        <v>1542</v>
      </c>
      <c r="Q439" s="43" t="s">
        <v>1542</v>
      </c>
      <c r="R439" s="43" t="s">
        <v>1542</v>
      </c>
      <c r="S439" s="43" t="s">
        <v>1542</v>
      </c>
      <c r="T439" s="43" t="s">
        <v>1542</v>
      </c>
      <c r="U439" s="43" t="s">
        <v>1542</v>
      </c>
      <c r="V439" s="43" t="s">
        <v>1542</v>
      </c>
      <c r="W439" s="43" t="s">
        <v>1542</v>
      </c>
      <c r="X439" s="43" t="s">
        <v>1542</v>
      </c>
      <c r="Y439" s="43" t="s">
        <v>1542</v>
      </c>
      <c r="Z439" s="43" t="s">
        <v>1542</v>
      </c>
      <c r="AA439" s="43" t="s">
        <v>1542</v>
      </c>
      <c r="AB439" s="46">
        <f t="shared" si="34"/>
        <v>0</v>
      </c>
      <c r="AC439" s="44" t="s">
        <v>1542</v>
      </c>
      <c r="AD439" s="44" t="s">
        <v>1542</v>
      </c>
      <c r="AE439" s="44" t="s">
        <v>1542</v>
      </c>
      <c r="AF439" s="44" t="s">
        <v>1542</v>
      </c>
      <c r="AG439" s="44" t="s">
        <v>1542</v>
      </c>
      <c r="AH439" s="44" t="s">
        <v>1542</v>
      </c>
      <c r="AI439" s="44" t="s">
        <v>1542</v>
      </c>
      <c r="AJ439" s="44" t="s">
        <v>1542</v>
      </c>
      <c r="AK439" s="44" t="s">
        <v>1542</v>
      </c>
      <c r="AL439" s="44" t="s">
        <v>1542</v>
      </c>
      <c r="AM439" s="44" t="s">
        <v>1542</v>
      </c>
      <c r="AN439" s="44" t="s">
        <v>1542</v>
      </c>
      <c r="AO439" s="46">
        <f t="shared" si="30"/>
        <v>0</v>
      </c>
      <c r="AP439" s="43" t="s">
        <v>1542</v>
      </c>
      <c r="AQ439" s="43" t="s">
        <v>1542</v>
      </c>
      <c r="AR439" s="43" t="s">
        <v>1542</v>
      </c>
      <c r="AS439" s="43" t="s">
        <v>1542</v>
      </c>
      <c r="AT439" s="43" t="s">
        <v>1542</v>
      </c>
      <c r="AU439" s="43" t="s">
        <v>1542</v>
      </c>
      <c r="AV439" s="43" t="s">
        <v>1542</v>
      </c>
      <c r="AW439" s="43" t="s">
        <v>1542</v>
      </c>
      <c r="AX439" s="43" t="s">
        <v>1542</v>
      </c>
      <c r="AY439" s="43" t="s">
        <v>1542</v>
      </c>
      <c r="AZ439" s="43" t="s">
        <v>1542</v>
      </c>
      <c r="BA439" s="43" t="s">
        <v>1542</v>
      </c>
      <c r="BB439" s="46">
        <f t="shared" si="31"/>
        <v>0</v>
      </c>
      <c r="BC439" s="44" t="s">
        <v>1542</v>
      </c>
      <c r="BD439" s="44" t="s">
        <v>1542</v>
      </c>
      <c r="BE439" s="44" t="s">
        <v>1542</v>
      </c>
      <c r="BF439" s="44" t="s">
        <v>1542</v>
      </c>
      <c r="BG439" s="44" t="s">
        <v>1542</v>
      </c>
      <c r="BH439" s="44" t="s">
        <v>1542</v>
      </c>
      <c r="BI439" s="44" t="s">
        <v>1542</v>
      </c>
      <c r="BJ439" s="44" t="s">
        <v>1542</v>
      </c>
      <c r="BK439" s="44" t="s">
        <v>1542</v>
      </c>
      <c r="BL439" s="44" t="s">
        <v>1542</v>
      </c>
      <c r="BM439" s="44" t="s">
        <v>1542</v>
      </c>
      <c r="BN439" s="44" t="s">
        <v>1542</v>
      </c>
      <c r="BO439" s="46">
        <f t="shared" si="32"/>
        <v>0</v>
      </c>
      <c r="BP439" s="43" t="s">
        <v>1542</v>
      </c>
      <c r="BQ439" s="43" t="s">
        <v>1542</v>
      </c>
      <c r="BR439" s="43" t="s">
        <v>1542</v>
      </c>
      <c r="BS439" s="43" t="s">
        <v>1542</v>
      </c>
      <c r="BT439" s="43" t="s">
        <v>1542</v>
      </c>
      <c r="BU439" s="43" t="s">
        <v>1542</v>
      </c>
      <c r="BV439" s="43" t="s">
        <v>1542</v>
      </c>
      <c r="BW439" s="43" t="s">
        <v>1542</v>
      </c>
      <c r="BX439" s="43" t="s">
        <v>1542</v>
      </c>
      <c r="BY439" s="43" t="s">
        <v>1542</v>
      </c>
      <c r="BZ439" s="43" t="s">
        <v>1542</v>
      </c>
      <c r="CA439" s="43" t="s">
        <v>1542</v>
      </c>
    </row>
    <row r="440" spans="1:79">
      <c r="A440">
        <v>439</v>
      </c>
      <c r="C440" t="s">
        <v>2935</v>
      </c>
      <c r="D440" t="s">
        <v>2936</v>
      </c>
      <c r="E440" t="s">
        <v>3498</v>
      </c>
      <c r="F440" t="s">
        <v>3499</v>
      </c>
      <c r="G440" t="s">
        <v>3525</v>
      </c>
      <c r="H440" t="s">
        <v>3530</v>
      </c>
      <c r="I440" t="s">
        <v>3530</v>
      </c>
      <c r="J440" t="s">
        <v>3526</v>
      </c>
      <c r="K440" t="s">
        <v>3527</v>
      </c>
      <c r="M440" s="1" t="s">
        <v>3531</v>
      </c>
      <c r="N440" t="s">
        <v>3532</v>
      </c>
      <c r="O440" s="46">
        <f t="shared" si="33"/>
        <v>0</v>
      </c>
      <c r="P440" s="43"/>
      <c r="Q440" s="43"/>
      <c r="R440" s="43"/>
      <c r="S440" s="43"/>
      <c r="T440" s="43"/>
      <c r="U440" s="43"/>
      <c r="V440" s="43"/>
      <c r="W440" s="43"/>
      <c r="X440" s="43"/>
      <c r="Y440" s="43"/>
      <c r="Z440" s="43"/>
      <c r="AA440" s="43"/>
      <c r="AB440" s="46">
        <f t="shared" si="34"/>
        <v>3</v>
      </c>
      <c r="AC440" s="44" t="s">
        <v>1554</v>
      </c>
      <c r="AD440" s="44" t="s">
        <v>1554</v>
      </c>
      <c r="AE440" s="44" t="s">
        <v>1542</v>
      </c>
      <c r="AF440" s="44" t="s">
        <v>1542</v>
      </c>
      <c r="AG440" s="44" t="s">
        <v>1542</v>
      </c>
      <c r="AH440" s="44" t="s">
        <v>1542</v>
      </c>
      <c r="AI440" s="44" t="s">
        <v>1542</v>
      </c>
      <c r="AJ440" s="44" t="s">
        <v>1542</v>
      </c>
      <c r="AK440" s="44" t="s">
        <v>1554</v>
      </c>
      <c r="AL440" s="44"/>
      <c r="AM440" s="44"/>
      <c r="AN440" s="44"/>
      <c r="AO440" s="46">
        <f t="shared" si="30"/>
        <v>3</v>
      </c>
      <c r="AP440" s="43" t="s">
        <v>1542</v>
      </c>
      <c r="AQ440" s="43" t="s">
        <v>1542</v>
      </c>
      <c r="AR440" s="43" t="s">
        <v>1542</v>
      </c>
      <c r="AS440" s="43" t="s">
        <v>1542</v>
      </c>
      <c r="AT440" s="43" t="s">
        <v>1542</v>
      </c>
      <c r="AU440" s="43" t="s">
        <v>1542</v>
      </c>
      <c r="AV440" s="43" t="s">
        <v>1542</v>
      </c>
      <c r="AW440" s="43" t="s">
        <v>1542</v>
      </c>
      <c r="AX440" s="43" t="s">
        <v>1542</v>
      </c>
      <c r="AY440" s="43" t="s">
        <v>1542</v>
      </c>
      <c r="AZ440" s="43" t="s">
        <v>1542</v>
      </c>
      <c r="BA440" s="43" t="s">
        <v>1554</v>
      </c>
      <c r="BB440" s="46">
        <f t="shared" si="31"/>
        <v>0</v>
      </c>
      <c r="BC440" s="44" t="s">
        <v>1542</v>
      </c>
      <c r="BD440" s="44" t="s">
        <v>1542</v>
      </c>
      <c r="BE440" s="44" t="s">
        <v>1542</v>
      </c>
      <c r="BF440" s="44" t="s">
        <v>1542</v>
      </c>
      <c r="BG440" s="44" t="s">
        <v>1542</v>
      </c>
      <c r="BH440" s="44" t="s">
        <v>1542</v>
      </c>
      <c r="BI440" s="44" t="s">
        <v>1542</v>
      </c>
      <c r="BJ440" s="44" t="s">
        <v>1542</v>
      </c>
      <c r="BK440" s="44" t="s">
        <v>1542</v>
      </c>
      <c r="BL440" s="44" t="s">
        <v>1542</v>
      </c>
      <c r="BM440" s="44" t="s">
        <v>1542</v>
      </c>
      <c r="BN440" s="44" t="s">
        <v>1542</v>
      </c>
      <c r="BO440" s="46">
        <f t="shared" si="32"/>
        <v>0</v>
      </c>
      <c r="BP440" s="43" t="s">
        <v>1542</v>
      </c>
      <c r="BQ440" s="43" t="s">
        <v>1542</v>
      </c>
      <c r="BR440" s="43" t="s">
        <v>1542</v>
      </c>
      <c r="BS440" s="43" t="s">
        <v>1542</v>
      </c>
      <c r="BT440" s="43" t="s">
        <v>1542</v>
      </c>
      <c r="BU440" s="43" t="s">
        <v>1542</v>
      </c>
      <c r="BV440" s="43" t="s">
        <v>1542</v>
      </c>
      <c r="BW440" s="43" t="s">
        <v>1542</v>
      </c>
      <c r="BX440" s="43" t="s">
        <v>1542</v>
      </c>
      <c r="BY440" s="43" t="s">
        <v>1542</v>
      </c>
      <c r="BZ440" s="43" t="s">
        <v>1542</v>
      </c>
      <c r="CA440" s="43" t="s">
        <v>1542</v>
      </c>
    </row>
    <row r="441" spans="1:79">
      <c r="A441">
        <v>440</v>
      </c>
      <c r="B441">
        <v>1</v>
      </c>
      <c r="C441" t="s">
        <v>2935</v>
      </c>
      <c r="D441" t="s">
        <v>2936</v>
      </c>
      <c r="E441" t="s">
        <v>3498</v>
      </c>
      <c r="F441" t="s">
        <v>3499</v>
      </c>
      <c r="G441" t="s">
        <v>3533</v>
      </c>
      <c r="H441" t="s">
        <v>3533</v>
      </c>
      <c r="J441" t="s">
        <v>3534</v>
      </c>
      <c r="K441" t="s">
        <v>3535</v>
      </c>
      <c r="M441" s="1" t="s">
        <v>3536</v>
      </c>
      <c r="N441" t="s">
        <v>3537</v>
      </c>
      <c r="O441" s="46">
        <f t="shared" si="33"/>
        <v>0</v>
      </c>
      <c r="P441" s="43" t="s">
        <v>1542</v>
      </c>
      <c r="Q441" s="43" t="s">
        <v>1542</v>
      </c>
      <c r="R441" s="43" t="s">
        <v>1542</v>
      </c>
      <c r="S441" s="43" t="s">
        <v>1542</v>
      </c>
      <c r="T441" s="43" t="s">
        <v>1542</v>
      </c>
      <c r="U441" s="43" t="s">
        <v>1542</v>
      </c>
      <c r="V441" s="43" t="s">
        <v>1542</v>
      </c>
      <c r="W441" s="43" t="s">
        <v>1542</v>
      </c>
      <c r="X441" s="43" t="s">
        <v>1542</v>
      </c>
      <c r="Y441" s="43" t="s">
        <v>1542</v>
      </c>
      <c r="Z441" s="43" t="s">
        <v>1542</v>
      </c>
      <c r="AA441" s="43" t="s">
        <v>1542</v>
      </c>
      <c r="AB441" s="46">
        <f t="shared" si="34"/>
        <v>0</v>
      </c>
      <c r="AC441" s="44" t="s">
        <v>1542</v>
      </c>
      <c r="AD441" s="44" t="s">
        <v>1542</v>
      </c>
      <c r="AE441" s="44" t="s">
        <v>1542</v>
      </c>
      <c r="AF441" s="44" t="s">
        <v>1542</v>
      </c>
      <c r="AG441" s="44" t="s">
        <v>1542</v>
      </c>
      <c r="AH441" s="44" t="s">
        <v>1542</v>
      </c>
      <c r="AI441" s="44" t="s">
        <v>1542</v>
      </c>
      <c r="AJ441" s="44" t="s">
        <v>1542</v>
      </c>
      <c r="AK441" s="44" t="s">
        <v>1542</v>
      </c>
      <c r="AL441" s="44" t="s">
        <v>1542</v>
      </c>
      <c r="AM441" s="44" t="s">
        <v>1542</v>
      </c>
      <c r="AN441" s="44" t="s">
        <v>1542</v>
      </c>
      <c r="AO441" s="46">
        <f t="shared" si="30"/>
        <v>0</v>
      </c>
      <c r="AP441" s="43" t="s">
        <v>1542</v>
      </c>
      <c r="AQ441" s="43" t="s">
        <v>1542</v>
      </c>
      <c r="AR441" s="43" t="s">
        <v>1542</v>
      </c>
      <c r="AS441" s="43" t="s">
        <v>1542</v>
      </c>
      <c r="AT441" s="43" t="s">
        <v>1542</v>
      </c>
      <c r="AU441" s="43" t="s">
        <v>1542</v>
      </c>
      <c r="AV441" s="43" t="s">
        <v>1542</v>
      </c>
      <c r="AW441" s="43" t="s">
        <v>1542</v>
      </c>
      <c r="AX441" s="43" t="s">
        <v>1542</v>
      </c>
      <c r="AY441" s="43" t="s">
        <v>1542</v>
      </c>
      <c r="AZ441" s="43" t="s">
        <v>1542</v>
      </c>
      <c r="BA441" s="43" t="s">
        <v>1542</v>
      </c>
      <c r="BB441" s="46">
        <f t="shared" si="31"/>
        <v>0</v>
      </c>
      <c r="BC441" s="44" t="s">
        <v>1542</v>
      </c>
      <c r="BD441" s="44" t="s">
        <v>1542</v>
      </c>
      <c r="BE441" s="44" t="s">
        <v>1542</v>
      </c>
      <c r="BF441" s="44" t="s">
        <v>1542</v>
      </c>
      <c r="BG441" s="44" t="s">
        <v>1542</v>
      </c>
      <c r="BH441" s="44" t="s">
        <v>1542</v>
      </c>
      <c r="BI441" s="44" t="s">
        <v>1542</v>
      </c>
      <c r="BJ441" s="44" t="s">
        <v>1542</v>
      </c>
      <c r="BK441" s="44" t="s">
        <v>1542</v>
      </c>
      <c r="BL441" s="44" t="s">
        <v>1542</v>
      </c>
      <c r="BM441" s="44" t="s">
        <v>1542</v>
      </c>
      <c r="BN441" s="44" t="s">
        <v>1542</v>
      </c>
      <c r="BO441" s="46">
        <f t="shared" si="32"/>
        <v>0</v>
      </c>
      <c r="BP441" s="43" t="s">
        <v>1542</v>
      </c>
      <c r="BQ441" s="43" t="s">
        <v>1542</v>
      </c>
      <c r="BR441" s="43" t="s">
        <v>1542</v>
      </c>
      <c r="BS441" s="43" t="s">
        <v>1542</v>
      </c>
      <c r="BT441" s="43" t="s">
        <v>1542</v>
      </c>
      <c r="BU441" s="43" t="s">
        <v>1542</v>
      </c>
      <c r="BV441" s="43" t="s">
        <v>1542</v>
      </c>
      <c r="BW441" s="43" t="s">
        <v>1542</v>
      </c>
      <c r="BX441" s="43" t="s">
        <v>1542</v>
      </c>
      <c r="BY441" s="43" t="s">
        <v>1542</v>
      </c>
      <c r="BZ441" s="43" t="s">
        <v>1542</v>
      </c>
      <c r="CA441" s="43" t="s">
        <v>1542</v>
      </c>
    </row>
    <row r="442" spans="1:79">
      <c r="A442">
        <v>441</v>
      </c>
      <c r="C442" t="s">
        <v>2935</v>
      </c>
      <c r="D442" t="s">
        <v>2936</v>
      </c>
      <c r="E442" t="s">
        <v>3498</v>
      </c>
      <c r="F442" t="s">
        <v>3499</v>
      </c>
      <c r="G442" t="s">
        <v>3533</v>
      </c>
      <c r="H442" t="s">
        <v>3538</v>
      </c>
      <c r="I442" t="s">
        <v>3538</v>
      </c>
      <c r="J442" t="s">
        <v>3534</v>
      </c>
      <c r="K442" t="s">
        <v>3535</v>
      </c>
      <c r="M442" s="1" t="s">
        <v>3539</v>
      </c>
      <c r="N442" t="s">
        <v>3540</v>
      </c>
      <c r="O442" s="46">
        <f t="shared" si="33"/>
        <v>0</v>
      </c>
      <c r="P442" s="43"/>
      <c r="Q442" s="43"/>
      <c r="R442" s="43"/>
      <c r="S442" s="43"/>
      <c r="T442" s="43"/>
      <c r="U442" s="43"/>
      <c r="V442" s="43"/>
      <c r="W442" s="43"/>
      <c r="X442" s="43"/>
      <c r="Y442" s="43"/>
      <c r="Z442" s="43"/>
      <c r="AA442" s="43"/>
      <c r="AB442" s="46">
        <f t="shared" si="34"/>
        <v>3</v>
      </c>
      <c r="AC442" s="44" t="s">
        <v>1554</v>
      </c>
      <c r="AD442" s="44" t="s">
        <v>1554</v>
      </c>
      <c r="AE442" s="44" t="s">
        <v>1542</v>
      </c>
      <c r="AF442" s="44" t="s">
        <v>1542</v>
      </c>
      <c r="AG442" s="44" t="s">
        <v>1542</v>
      </c>
      <c r="AH442" s="44" t="s">
        <v>1542</v>
      </c>
      <c r="AI442" s="44" t="s">
        <v>1542</v>
      </c>
      <c r="AJ442" s="44" t="s">
        <v>1542</v>
      </c>
      <c r="AK442" s="44" t="s">
        <v>1554</v>
      </c>
      <c r="AL442" s="44"/>
      <c r="AM442" s="44"/>
      <c r="AN442" s="44"/>
      <c r="AO442" s="46">
        <f t="shared" si="30"/>
        <v>3</v>
      </c>
      <c r="AP442" s="43" t="s">
        <v>1542</v>
      </c>
      <c r="AQ442" s="43" t="s">
        <v>1542</v>
      </c>
      <c r="AR442" s="43" t="s">
        <v>1542</v>
      </c>
      <c r="AS442" s="43" t="s">
        <v>1542</v>
      </c>
      <c r="AT442" s="43" t="s">
        <v>1542</v>
      </c>
      <c r="AU442" s="43" t="s">
        <v>1542</v>
      </c>
      <c r="AV442" s="43" t="s">
        <v>1542</v>
      </c>
      <c r="AW442" s="43" t="s">
        <v>1542</v>
      </c>
      <c r="AX442" s="43" t="s">
        <v>1542</v>
      </c>
      <c r="AY442" s="43" t="s">
        <v>1542</v>
      </c>
      <c r="AZ442" s="43" t="s">
        <v>1542</v>
      </c>
      <c r="BA442" s="43" t="s">
        <v>1554</v>
      </c>
      <c r="BB442" s="46">
        <f t="shared" si="31"/>
        <v>0</v>
      </c>
      <c r="BC442" s="44" t="s">
        <v>1542</v>
      </c>
      <c r="BD442" s="44" t="s">
        <v>1542</v>
      </c>
      <c r="BE442" s="44" t="s">
        <v>1542</v>
      </c>
      <c r="BF442" s="44" t="s">
        <v>1542</v>
      </c>
      <c r="BG442" s="44" t="s">
        <v>1542</v>
      </c>
      <c r="BH442" s="44" t="s">
        <v>1542</v>
      </c>
      <c r="BI442" s="44" t="s">
        <v>1542</v>
      </c>
      <c r="BJ442" s="44" t="s">
        <v>1542</v>
      </c>
      <c r="BK442" s="44" t="s">
        <v>1542</v>
      </c>
      <c r="BL442" s="44" t="s">
        <v>1542</v>
      </c>
      <c r="BM442" s="44" t="s">
        <v>1542</v>
      </c>
      <c r="BN442" s="44" t="s">
        <v>1542</v>
      </c>
      <c r="BO442" s="46">
        <f t="shared" si="32"/>
        <v>0</v>
      </c>
      <c r="BP442" s="43" t="s">
        <v>1542</v>
      </c>
      <c r="BQ442" s="43" t="s">
        <v>1542</v>
      </c>
      <c r="BR442" s="43" t="s">
        <v>1542</v>
      </c>
      <c r="BS442" s="43" t="s">
        <v>1542</v>
      </c>
      <c r="BT442" s="43" t="s">
        <v>1542</v>
      </c>
      <c r="BU442" s="43" t="s">
        <v>1542</v>
      </c>
      <c r="BV442" s="43" t="s">
        <v>1542</v>
      </c>
      <c r="BW442" s="43" t="s">
        <v>1542</v>
      </c>
      <c r="BX442" s="43" t="s">
        <v>1542</v>
      </c>
      <c r="BY442" s="43" t="s">
        <v>1542</v>
      </c>
      <c r="BZ442" s="43" t="s">
        <v>1542</v>
      </c>
      <c r="CA442" s="43" t="s">
        <v>1542</v>
      </c>
    </row>
    <row r="443" spans="1:79">
      <c r="A443">
        <v>442</v>
      </c>
      <c r="B443" t="s">
        <v>1543</v>
      </c>
      <c r="C443" t="s">
        <v>2935</v>
      </c>
      <c r="D443" t="s">
        <v>2936</v>
      </c>
      <c r="E443" t="s">
        <v>3498</v>
      </c>
      <c r="F443" t="s">
        <v>3499</v>
      </c>
      <c r="G443" t="s">
        <v>3541</v>
      </c>
      <c r="H443" t="s">
        <v>3541</v>
      </c>
      <c r="J443" t="s">
        <v>3542</v>
      </c>
      <c r="K443" t="s">
        <v>3543</v>
      </c>
      <c r="M443" s="1" t="s">
        <v>3544</v>
      </c>
      <c r="N443" t="s">
        <v>3545</v>
      </c>
      <c r="O443" s="46">
        <f t="shared" si="33"/>
        <v>0</v>
      </c>
      <c r="P443" s="43"/>
      <c r="Q443" s="43"/>
      <c r="R443" s="43"/>
      <c r="S443" s="43"/>
      <c r="T443" s="43"/>
      <c r="U443" s="43"/>
      <c r="V443" s="43"/>
      <c r="W443" s="43"/>
      <c r="X443" s="43"/>
      <c r="Y443" s="43"/>
      <c r="Z443" s="43"/>
      <c r="AA443" s="43"/>
      <c r="AB443" s="46">
        <f t="shared" si="34"/>
        <v>0</v>
      </c>
      <c r="AC443" s="44"/>
      <c r="AD443" s="44"/>
      <c r="AE443" s="44"/>
      <c r="AF443" s="44"/>
      <c r="AG443" s="44"/>
      <c r="AH443" s="44"/>
      <c r="AI443" s="44"/>
      <c r="AJ443" s="44"/>
      <c r="AK443" s="44"/>
      <c r="AL443" s="44"/>
      <c r="AM443" s="44"/>
      <c r="AN443" s="44"/>
      <c r="AO443" s="46">
        <f t="shared" si="30"/>
        <v>0</v>
      </c>
      <c r="AP443" s="43" t="s">
        <v>1542</v>
      </c>
      <c r="AQ443" s="43" t="s">
        <v>1542</v>
      </c>
      <c r="AR443" s="43" t="s">
        <v>1554</v>
      </c>
      <c r="AS443" s="43" t="s">
        <v>1554</v>
      </c>
      <c r="AT443" s="43" t="s">
        <v>1554</v>
      </c>
      <c r="AU443" s="43"/>
      <c r="AV443" s="43"/>
      <c r="AW443" s="43"/>
      <c r="AX443" s="43"/>
      <c r="AY443" s="43"/>
      <c r="AZ443" s="43"/>
      <c r="BA443" s="43"/>
      <c r="BB443" s="46">
        <f t="shared" si="31"/>
        <v>3</v>
      </c>
      <c r="BC443" s="44" t="s">
        <v>1542</v>
      </c>
      <c r="BD443" s="44" t="s">
        <v>1542</v>
      </c>
      <c r="BE443" s="44" t="s">
        <v>1542</v>
      </c>
      <c r="BF443" s="44" t="s">
        <v>1542</v>
      </c>
      <c r="BG443" s="44" t="s">
        <v>1542</v>
      </c>
      <c r="BH443" s="44" t="s">
        <v>1542</v>
      </c>
      <c r="BI443" s="44" t="s">
        <v>1542</v>
      </c>
      <c r="BJ443" s="44" t="s">
        <v>1542</v>
      </c>
      <c r="BK443" s="44" t="s">
        <v>1542</v>
      </c>
      <c r="BL443" s="44" t="s">
        <v>1542</v>
      </c>
      <c r="BM443" s="44" t="s">
        <v>1542</v>
      </c>
      <c r="BN443" s="44" t="s">
        <v>1542</v>
      </c>
      <c r="BO443" s="46">
        <f t="shared" si="32"/>
        <v>0</v>
      </c>
      <c r="BP443" s="43" t="s">
        <v>1542</v>
      </c>
      <c r="BQ443" s="43" t="s">
        <v>1542</v>
      </c>
      <c r="BR443" s="43" t="s">
        <v>1542</v>
      </c>
      <c r="BS443" s="43" t="s">
        <v>1542</v>
      </c>
      <c r="BT443" s="43" t="s">
        <v>1542</v>
      </c>
      <c r="BU443" s="43" t="s">
        <v>1542</v>
      </c>
      <c r="BV443" s="43" t="s">
        <v>1542</v>
      </c>
      <c r="BW443" s="43" t="s">
        <v>1542</v>
      </c>
      <c r="BX443" s="43" t="s">
        <v>1542</v>
      </c>
      <c r="BY443" s="43" t="s">
        <v>1542</v>
      </c>
      <c r="BZ443" s="43" t="s">
        <v>1542</v>
      </c>
      <c r="CA443" s="43" t="s">
        <v>1542</v>
      </c>
    </row>
    <row r="444" spans="1:79">
      <c r="A444">
        <v>443</v>
      </c>
      <c r="B444">
        <v>1</v>
      </c>
      <c r="C444" t="s">
        <v>2935</v>
      </c>
      <c r="D444" t="s">
        <v>2936</v>
      </c>
      <c r="E444" t="s">
        <v>3498</v>
      </c>
      <c r="F444" t="s">
        <v>3499</v>
      </c>
      <c r="G444" t="s">
        <v>3546</v>
      </c>
      <c r="H444" t="s">
        <v>3546</v>
      </c>
      <c r="J444" t="s">
        <v>3547</v>
      </c>
      <c r="K444" t="s">
        <v>3548</v>
      </c>
      <c r="M444" s="1" t="s">
        <v>3549</v>
      </c>
      <c r="N444" t="s">
        <v>3550</v>
      </c>
      <c r="O444" s="46">
        <f t="shared" si="33"/>
        <v>0</v>
      </c>
      <c r="P444" s="43" t="s">
        <v>1542</v>
      </c>
      <c r="Q444" s="43" t="s">
        <v>1542</v>
      </c>
      <c r="R444" s="43" t="s">
        <v>1542</v>
      </c>
      <c r="S444" s="43" t="s">
        <v>1542</v>
      </c>
      <c r="T444" s="43" t="s">
        <v>1542</v>
      </c>
      <c r="U444" s="43" t="s">
        <v>1542</v>
      </c>
      <c r="V444" s="43" t="s">
        <v>1542</v>
      </c>
      <c r="W444" s="43" t="s">
        <v>1542</v>
      </c>
      <c r="X444" s="43" t="s">
        <v>1542</v>
      </c>
      <c r="Y444" s="43" t="s">
        <v>1542</v>
      </c>
      <c r="Z444" s="43" t="s">
        <v>1542</v>
      </c>
      <c r="AA444" s="43" t="s">
        <v>1542</v>
      </c>
      <c r="AB444" s="46">
        <f t="shared" si="34"/>
        <v>1</v>
      </c>
      <c r="AC444" s="44" t="s">
        <v>1542</v>
      </c>
      <c r="AD444" s="44" t="s">
        <v>1542</v>
      </c>
      <c r="AE444" s="44" t="s">
        <v>1542</v>
      </c>
      <c r="AF444" s="44" t="s">
        <v>1542</v>
      </c>
      <c r="AG444" s="44" t="s">
        <v>1554</v>
      </c>
      <c r="AH444" s="44" t="s">
        <v>1542</v>
      </c>
      <c r="AI444" s="44" t="s">
        <v>1542</v>
      </c>
      <c r="AJ444" s="44" t="s">
        <v>1542</v>
      </c>
      <c r="AK444" s="44" t="s">
        <v>1542</v>
      </c>
      <c r="AL444" s="44" t="s">
        <v>1542</v>
      </c>
      <c r="AM444" s="44" t="s">
        <v>1542</v>
      </c>
      <c r="AN444" s="44" t="s">
        <v>1542</v>
      </c>
      <c r="AO444" s="46">
        <f t="shared" si="30"/>
        <v>1</v>
      </c>
      <c r="AP444" s="43" t="s">
        <v>1542</v>
      </c>
      <c r="AQ444" s="43" t="s">
        <v>1542</v>
      </c>
      <c r="AR444" s="43" t="s">
        <v>1542</v>
      </c>
      <c r="AS444" s="43" t="s">
        <v>1542</v>
      </c>
      <c r="AT444" s="43" t="s">
        <v>1542</v>
      </c>
      <c r="AU444" s="43" t="s">
        <v>1542</v>
      </c>
      <c r="AV444" s="43" t="s">
        <v>1542</v>
      </c>
      <c r="AW444" s="43" t="s">
        <v>1542</v>
      </c>
      <c r="AX444" s="43" t="s">
        <v>1542</v>
      </c>
      <c r="AY444" s="43" t="s">
        <v>1542</v>
      </c>
      <c r="AZ444" s="43" t="s">
        <v>1542</v>
      </c>
      <c r="BA444" s="43" t="s">
        <v>1542</v>
      </c>
      <c r="BB444" s="46">
        <f t="shared" si="31"/>
        <v>0</v>
      </c>
      <c r="BC444" s="44" t="s">
        <v>1542</v>
      </c>
      <c r="BD444" s="44" t="s">
        <v>1542</v>
      </c>
      <c r="BE444" s="44" t="s">
        <v>1542</v>
      </c>
      <c r="BF444" s="44" t="s">
        <v>1542</v>
      </c>
      <c r="BG444" s="44" t="s">
        <v>1542</v>
      </c>
      <c r="BH444" s="44" t="s">
        <v>1542</v>
      </c>
      <c r="BI444" s="44" t="s">
        <v>1542</v>
      </c>
      <c r="BJ444" s="44" t="s">
        <v>1542</v>
      </c>
      <c r="BK444" s="44" t="s">
        <v>1542</v>
      </c>
      <c r="BL444" s="44" t="s">
        <v>1542</v>
      </c>
      <c r="BM444" s="44" t="s">
        <v>1542</v>
      </c>
      <c r="BN444" s="44" t="s">
        <v>1542</v>
      </c>
      <c r="BO444" s="46">
        <f t="shared" si="32"/>
        <v>0</v>
      </c>
      <c r="BP444" s="43" t="s">
        <v>1542</v>
      </c>
      <c r="BQ444" s="43" t="s">
        <v>1542</v>
      </c>
      <c r="BR444" s="43" t="s">
        <v>1542</v>
      </c>
      <c r="BS444" s="43" t="s">
        <v>1542</v>
      </c>
      <c r="BT444" s="43" t="s">
        <v>1542</v>
      </c>
      <c r="BU444" s="43" t="s">
        <v>1542</v>
      </c>
      <c r="BV444" s="43" t="s">
        <v>1542</v>
      </c>
      <c r="BW444" s="43" t="s">
        <v>1542</v>
      </c>
      <c r="BX444" s="43" t="s">
        <v>1542</v>
      </c>
      <c r="BY444" s="43" t="s">
        <v>1542</v>
      </c>
      <c r="BZ444" s="43" t="s">
        <v>1542</v>
      </c>
      <c r="CA444" s="43" t="s">
        <v>1542</v>
      </c>
    </row>
    <row r="445" spans="1:79">
      <c r="A445">
        <v>444</v>
      </c>
      <c r="B445">
        <v>1</v>
      </c>
      <c r="C445" t="s">
        <v>2935</v>
      </c>
      <c r="D445" t="s">
        <v>2936</v>
      </c>
      <c r="E445" t="s">
        <v>3498</v>
      </c>
      <c r="F445" t="s">
        <v>3499</v>
      </c>
      <c r="G445" t="s">
        <v>3551</v>
      </c>
      <c r="H445" t="s">
        <v>3551</v>
      </c>
      <c r="J445" t="s">
        <v>3552</v>
      </c>
      <c r="K445" t="s">
        <v>3553</v>
      </c>
      <c r="M445" s="1" t="s">
        <v>3554</v>
      </c>
      <c r="N445" t="s">
        <v>3555</v>
      </c>
      <c r="O445" s="46">
        <f t="shared" si="33"/>
        <v>1</v>
      </c>
      <c r="P445" s="43" t="s">
        <v>1542</v>
      </c>
      <c r="Q445" s="43" t="s">
        <v>1542</v>
      </c>
      <c r="R445" s="43" t="s">
        <v>1542</v>
      </c>
      <c r="S445" s="43" t="s">
        <v>1542</v>
      </c>
      <c r="T445" s="43" t="s">
        <v>1542</v>
      </c>
      <c r="U445" s="43" t="s">
        <v>1542</v>
      </c>
      <c r="V445" s="43" t="s">
        <v>1542</v>
      </c>
      <c r="W445" s="43" t="s">
        <v>1542</v>
      </c>
      <c r="X445" s="43" t="s">
        <v>1542</v>
      </c>
      <c r="Y445" s="43" t="s">
        <v>1542</v>
      </c>
      <c r="Z445" s="43" t="s">
        <v>1542</v>
      </c>
      <c r="AA445" s="43" t="s">
        <v>1554</v>
      </c>
      <c r="AB445" s="46">
        <f t="shared" si="34"/>
        <v>0</v>
      </c>
      <c r="AC445" s="44" t="s">
        <v>1542</v>
      </c>
      <c r="AD445" s="44" t="s">
        <v>1542</v>
      </c>
      <c r="AE445" s="44" t="s">
        <v>1542</v>
      </c>
      <c r="AF445" s="44" t="s">
        <v>1542</v>
      </c>
      <c r="AG445" s="44" t="s">
        <v>1542</v>
      </c>
      <c r="AH445" s="44" t="s">
        <v>1542</v>
      </c>
      <c r="AI445" s="44" t="s">
        <v>1542</v>
      </c>
      <c r="AJ445" s="44" t="s">
        <v>1542</v>
      </c>
      <c r="AK445" s="44" t="s">
        <v>1542</v>
      </c>
      <c r="AL445" s="44" t="s">
        <v>1542</v>
      </c>
      <c r="AM445" s="44" t="s">
        <v>1542</v>
      </c>
      <c r="AN445" s="44" t="s">
        <v>1542</v>
      </c>
      <c r="AO445" s="46">
        <f t="shared" si="30"/>
        <v>0</v>
      </c>
      <c r="AP445" s="43" t="s">
        <v>1542</v>
      </c>
      <c r="AQ445" s="43" t="s">
        <v>1542</v>
      </c>
      <c r="AR445" s="43" t="s">
        <v>1542</v>
      </c>
      <c r="AS445" s="43" t="s">
        <v>1542</v>
      </c>
      <c r="AT445" s="43" t="s">
        <v>1542</v>
      </c>
      <c r="AU445" s="43" t="s">
        <v>1542</v>
      </c>
      <c r="AV445" s="43" t="s">
        <v>1542</v>
      </c>
      <c r="AW445" s="43" t="s">
        <v>1542</v>
      </c>
      <c r="AX445" s="43" t="s">
        <v>1542</v>
      </c>
      <c r="AY445" s="43" t="s">
        <v>1542</v>
      </c>
      <c r="AZ445" s="43" t="s">
        <v>1542</v>
      </c>
      <c r="BA445" s="43" t="s">
        <v>1542</v>
      </c>
      <c r="BB445" s="46">
        <f t="shared" si="31"/>
        <v>0</v>
      </c>
      <c r="BC445" s="44" t="s">
        <v>1542</v>
      </c>
      <c r="BD445" s="44" t="s">
        <v>1542</v>
      </c>
      <c r="BE445" s="44" t="s">
        <v>1542</v>
      </c>
      <c r="BF445" s="44" t="s">
        <v>1542</v>
      </c>
      <c r="BG445" s="44" t="s">
        <v>1542</v>
      </c>
      <c r="BH445" s="44" t="s">
        <v>1542</v>
      </c>
      <c r="BI445" s="44" t="s">
        <v>1542</v>
      </c>
      <c r="BJ445" s="44" t="s">
        <v>1542</v>
      </c>
      <c r="BK445" s="44" t="s">
        <v>1542</v>
      </c>
      <c r="BL445" s="44" t="s">
        <v>1542</v>
      </c>
      <c r="BM445" s="44" t="s">
        <v>1542</v>
      </c>
      <c r="BN445" s="44" t="s">
        <v>1542</v>
      </c>
      <c r="BO445" s="46">
        <f t="shared" si="32"/>
        <v>0</v>
      </c>
      <c r="BP445" s="43" t="s">
        <v>1542</v>
      </c>
      <c r="BQ445" s="43" t="s">
        <v>1542</v>
      </c>
      <c r="BR445" s="43" t="s">
        <v>1542</v>
      </c>
      <c r="BS445" s="43" t="s">
        <v>1542</v>
      </c>
      <c r="BT445" s="43" t="s">
        <v>1542</v>
      </c>
      <c r="BU445" s="43" t="s">
        <v>1542</v>
      </c>
      <c r="BV445" s="43" t="s">
        <v>1542</v>
      </c>
      <c r="BW445" s="43" t="s">
        <v>1542</v>
      </c>
      <c r="BX445" s="43" t="s">
        <v>1542</v>
      </c>
      <c r="BY445" s="43" t="s">
        <v>1542</v>
      </c>
      <c r="BZ445" s="43" t="s">
        <v>1542</v>
      </c>
      <c r="CA445" s="43" t="s">
        <v>1542</v>
      </c>
    </row>
    <row r="446" spans="1:79">
      <c r="A446">
        <v>445</v>
      </c>
      <c r="B446">
        <v>1</v>
      </c>
      <c r="C446" t="s">
        <v>2935</v>
      </c>
      <c r="D446" t="s">
        <v>2936</v>
      </c>
      <c r="E446" t="s">
        <v>3498</v>
      </c>
      <c r="F446" t="s">
        <v>3499</v>
      </c>
      <c r="G446" t="s">
        <v>3556</v>
      </c>
      <c r="H446" t="s">
        <v>3556</v>
      </c>
      <c r="J446" t="s">
        <v>3557</v>
      </c>
      <c r="K446" t="s">
        <v>3558</v>
      </c>
      <c r="L446" t="s">
        <v>1539</v>
      </c>
      <c r="M446" s="1" t="s">
        <v>3559</v>
      </c>
      <c r="N446" t="s">
        <v>3560</v>
      </c>
      <c r="O446" s="46">
        <f t="shared" si="33"/>
        <v>0</v>
      </c>
      <c r="P446" s="43" t="s">
        <v>1542</v>
      </c>
      <c r="Q446" s="43" t="s">
        <v>1542</v>
      </c>
      <c r="R446" s="43" t="s">
        <v>1542</v>
      </c>
      <c r="S446" s="43" t="s">
        <v>1542</v>
      </c>
      <c r="T446" s="43" t="s">
        <v>1542</v>
      </c>
      <c r="U446" s="43" t="s">
        <v>1542</v>
      </c>
      <c r="V446" s="43" t="s">
        <v>1542</v>
      </c>
      <c r="W446" s="43" t="s">
        <v>1542</v>
      </c>
      <c r="X446" s="43" t="s">
        <v>1542</v>
      </c>
      <c r="Y446" s="43" t="s">
        <v>1542</v>
      </c>
      <c r="Z446" s="43" t="s">
        <v>1542</v>
      </c>
      <c r="AA446" s="43" t="s">
        <v>1542</v>
      </c>
      <c r="AB446" s="46">
        <f t="shared" si="34"/>
        <v>0</v>
      </c>
      <c r="AC446" s="44" t="s">
        <v>1542</v>
      </c>
      <c r="AD446" s="44" t="s">
        <v>1542</v>
      </c>
      <c r="AE446" s="44" t="s">
        <v>1542</v>
      </c>
      <c r="AF446" s="44" t="s">
        <v>1542</v>
      </c>
      <c r="AG446" s="44" t="s">
        <v>1542</v>
      </c>
      <c r="AH446" s="44" t="s">
        <v>1542</v>
      </c>
      <c r="AI446" s="44" t="s">
        <v>1542</v>
      </c>
      <c r="AJ446" s="44" t="s">
        <v>1542</v>
      </c>
      <c r="AK446" s="44" t="s">
        <v>1542</v>
      </c>
      <c r="AL446" s="44" t="s">
        <v>1542</v>
      </c>
      <c r="AM446" s="44" t="s">
        <v>1542</v>
      </c>
      <c r="AN446" s="44" t="s">
        <v>1542</v>
      </c>
      <c r="AO446" s="46">
        <f t="shared" si="30"/>
        <v>0</v>
      </c>
      <c r="AP446" s="43" t="s">
        <v>1542</v>
      </c>
      <c r="AQ446" s="43" t="s">
        <v>1542</v>
      </c>
      <c r="AR446" s="43" t="s">
        <v>1542</v>
      </c>
      <c r="AS446" s="43" t="s">
        <v>1542</v>
      </c>
      <c r="AT446" s="43" t="s">
        <v>1542</v>
      </c>
      <c r="AU446" s="43" t="s">
        <v>1542</v>
      </c>
      <c r="AV446" s="43" t="s">
        <v>1542</v>
      </c>
      <c r="AW446" s="43" t="s">
        <v>1542</v>
      </c>
      <c r="AX446" s="43" t="s">
        <v>1542</v>
      </c>
      <c r="AY446" s="43" t="s">
        <v>1542</v>
      </c>
      <c r="AZ446" s="43" t="s">
        <v>1542</v>
      </c>
      <c r="BA446" s="43" t="s">
        <v>1542</v>
      </c>
      <c r="BB446" s="46">
        <f t="shared" si="31"/>
        <v>0</v>
      </c>
      <c r="BC446" s="44" t="s">
        <v>1554</v>
      </c>
      <c r="BD446" s="44" t="s">
        <v>1542</v>
      </c>
      <c r="BE446" s="44" t="s">
        <v>1542</v>
      </c>
      <c r="BF446" s="44" t="s">
        <v>1542</v>
      </c>
      <c r="BG446" s="44" t="s">
        <v>1542</v>
      </c>
      <c r="BH446" s="44" t="s">
        <v>1542</v>
      </c>
      <c r="BI446" s="44" t="s">
        <v>1542</v>
      </c>
      <c r="BJ446" s="44" t="s">
        <v>1542</v>
      </c>
      <c r="BK446" s="44" t="s">
        <v>1542</v>
      </c>
      <c r="BL446" s="44" t="s">
        <v>1542</v>
      </c>
      <c r="BM446" s="44" t="s">
        <v>1542</v>
      </c>
      <c r="BN446" s="44" t="s">
        <v>1542</v>
      </c>
      <c r="BO446" s="46">
        <f t="shared" si="32"/>
        <v>1</v>
      </c>
      <c r="BP446" s="43" t="s">
        <v>1542</v>
      </c>
      <c r="BQ446" s="43" t="s">
        <v>1542</v>
      </c>
      <c r="BR446" s="43" t="s">
        <v>1542</v>
      </c>
      <c r="BS446" s="43" t="s">
        <v>1542</v>
      </c>
      <c r="BT446" s="43" t="s">
        <v>1542</v>
      </c>
      <c r="BU446" s="43" t="s">
        <v>1542</v>
      </c>
      <c r="BV446" s="43" t="s">
        <v>1542</v>
      </c>
      <c r="BW446" s="43" t="s">
        <v>1542</v>
      </c>
      <c r="BX446" s="43" t="s">
        <v>1542</v>
      </c>
      <c r="BY446" s="43" t="s">
        <v>1542</v>
      </c>
      <c r="BZ446" s="43" t="s">
        <v>1542</v>
      </c>
      <c r="CA446" s="43" t="s">
        <v>1542</v>
      </c>
    </row>
    <row r="447" spans="1:79">
      <c r="A447">
        <v>446</v>
      </c>
      <c r="B447">
        <v>1</v>
      </c>
      <c r="C447" t="s">
        <v>2935</v>
      </c>
      <c r="D447" t="s">
        <v>2936</v>
      </c>
      <c r="E447" t="s">
        <v>3498</v>
      </c>
      <c r="F447" t="s">
        <v>3499</v>
      </c>
      <c r="G447" t="s">
        <v>3561</v>
      </c>
      <c r="H447" t="s">
        <v>3561</v>
      </c>
      <c r="J447" t="s">
        <v>3562</v>
      </c>
      <c r="K447" t="s">
        <v>3563</v>
      </c>
      <c r="L447" t="s">
        <v>1539</v>
      </c>
      <c r="M447" s="1" t="s">
        <v>3564</v>
      </c>
      <c r="N447" t="s">
        <v>3565</v>
      </c>
      <c r="O447" s="46">
        <f t="shared" si="33"/>
        <v>0</v>
      </c>
      <c r="P447" s="43" t="s">
        <v>1542</v>
      </c>
      <c r="Q447" s="43" t="s">
        <v>1542</v>
      </c>
      <c r="R447" s="43" t="s">
        <v>1542</v>
      </c>
      <c r="S447" s="43" t="s">
        <v>1542</v>
      </c>
      <c r="T447" s="43" t="s">
        <v>1542</v>
      </c>
      <c r="U447" s="43" t="s">
        <v>1542</v>
      </c>
      <c r="V447" s="43" t="s">
        <v>1542</v>
      </c>
      <c r="W447" s="43" t="s">
        <v>1542</v>
      </c>
      <c r="X447" s="43" t="s">
        <v>1542</v>
      </c>
      <c r="Y447" s="43" t="s">
        <v>1542</v>
      </c>
      <c r="Z447" s="43" t="s">
        <v>1542</v>
      </c>
      <c r="AA447" s="43" t="s">
        <v>1542</v>
      </c>
      <c r="AB447" s="46">
        <f t="shared" si="34"/>
        <v>0</v>
      </c>
      <c r="AC447" s="44" t="s">
        <v>1542</v>
      </c>
      <c r="AD447" s="44" t="s">
        <v>1542</v>
      </c>
      <c r="AE447" s="44" t="s">
        <v>1542</v>
      </c>
      <c r="AF447" s="44" t="s">
        <v>1542</v>
      </c>
      <c r="AG447" s="44" t="s">
        <v>1542</v>
      </c>
      <c r="AH447" s="44" t="s">
        <v>1542</v>
      </c>
      <c r="AI447" s="44" t="s">
        <v>1542</v>
      </c>
      <c r="AJ447" s="44" t="s">
        <v>1542</v>
      </c>
      <c r="AK447" s="44" t="s">
        <v>1542</v>
      </c>
      <c r="AL447" s="44" t="s">
        <v>1542</v>
      </c>
      <c r="AM447" s="44" t="s">
        <v>1542</v>
      </c>
      <c r="AN447" s="44" t="s">
        <v>1542</v>
      </c>
      <c r="AO447" s="46">
        <f t="shared" si="30"/>
        <v>0</v>
      </c>
      <c r="AP447" s="43" t="s">
        <v>1542</v>
      </c>
      <c r="AQ447" s="43" t="s">
        <v>1542</v>
      </c>
      <c r="AR447" s="43" t="s">
        <v>1542</v>
      </c>
      <c r="AS447" s="43" t="s">
        <v>1542</v>
      </c>
      <c r="AT447" s="43" t="s">
        <v>1542</v>
      </c>
      <c r="AU447" s="43" t="s">
        <v>1542</v>
      </c>
      <c r="AV447" s="43" t="s">
        <v>1542</v>
      </c>
      <c r="AW447" s="43" t="s">
        <v>1542</v>
      </c>
      <c r="AX447" s="43" t="s">
        <v>1542</v>
      </c>
      <c r="AY447" s="43" t="s">
        <v>1542</v>
      </c>
      <c r="AZ447" s="43" t="s">
        <v>1542</v>
      </c>
      <c r="BA447" s="43" t="s">
        <v>1542</v>
      </c>
      <c r="BB447" s="46">
        <f t="shared" si="31"/>
        <v>0</v>
      </c>
      <c r="BC447" s="44" t="s">
        <v>1554</v>
      </c>
      <c r="BD447" s="44" t="s">
        <v>1542</v>
      </c>
      <c r="BE447" s="44" t="s">
        <v>1542</v>
      </c>
      <c r="BF447" s="44" t="s">
        <v>1542</v>
      </c>
      <c r="BG447" s="44" t="s">
        <v>1542</v>
      </c>
      <c r="BH447" s="44" t="s">
        <v>1542</v>
      </c>
      <c r="BI447" s="44" t="s">
        <v>1542</v>
      </c>
      <c r="BJ447" s="44" t="s">
        <v>1542</v>
      </c>
      <c r="BK447" s="44" t="s">
        <v>1542</v>
      </c>
      <c r="BL447" s="44" t="s">
        <v>1542</v>
      </c>
      <c r="BM447" s="44" t="s">
        <v>1542</v>
      </c>
      <c r="BN447" s="44" t="s">
        <v>1542</v>
      </c>
      <c r="BO447" s="46">
        <f t="shared" si="32"/>
        <v>1</v>
      </c>
      <c r="BP447" s="43" t="s">
        <v>1542</v>
      </c>
      <c r="BQ447" s="43" t="s">
        <v>1542</v>
      </c>
      <c r="BR447" s="43" t="s">
        <v>1542</v>
      </c>
      <c r="BS447" s="43" t="s">
        <v>1542</v>
      </c>
      <c r="BT447" s="43" t="s">
        <v>1542</v>
      </c>
      <c r="BU447" s="43" t="s">
        <v>1542</v>
      </c>
      <c r="BV447" s="43" t="s">
        <v>1542</v>
      </c>
      <c r="BW447" s="43" t="s">
        <v>1542</v>
      </c>
      <c r="BX447" s="43" t="s">
        <v>1542</v>
      </c>
      <c r="BY447" s="43" t="s">
        <v>1542</v>
      </c>
      <c r="BZ447" s="43" t="s">
        <v>1542</v>
      </c>
      <c r="CA447" s="43" t="s">
        <v>1542</v>
      </c>
    </row>
    <row r="448" spans="1:79">
      <c r="A448">
        <v>447</v>
      </c>
      <c r="C448" t="s">
        <v>2935</v>
      </c>
      <c r="D448" t="s">
        <v>2936</v>
      </c>
      <c r="E448" t="s">
        <v>3498</v>
      </c>
      <c r="F448" t="s">
        <v>3499</v>
      </c>
      <c r="G448" t="s">
        <v>3561</v>
      </c>
      <c r="H448" t="s">
        <v>3566</v>
      </c>
      <c r="I448" t="s">
        <v>3566</v>
      </c>
      <c r="J448" t="s">
        <v>3567</v>
      </c>
      <c r="K448" t="s">
        <v>3563</v>
      </c>
      <c r="M448" s="1" t="s">
        <v>3568</v>
      </c>
      <c r="N448" t="s">
        <v>3569</v>
      </c>
      <c r="O448" s="46">
        <f t="shared" si="33"/>
        <v>0</v>
      </c>
      <c r="P448" s="43"/>
      <c r="Q448" s="43"/>
      <c r="R448" s="43"/>
      <c r="S448" s="43"/>
      <c r="T448" s="43"/>
      <c r="U448" s="43"/>
      <c r="V448" s="43"/>
      <c r="W448" s="43"/>
      <c r="X448" s="43"/>
      <c r="Y448" s="43"/>
      <c r="Z448" s="43"/>
      <c r="AA448" s="43"/>
      <c r="AB448" s="46">
        <f t="shared" si="34"/>
        <v>0</v>
      </c>
      <c r="AC448" s="44"/>
      <c r="AD448" s="44"/>
      <c r="AE448" s="44"/>
      <c r="AF448" s="44"/>
      <c r="AG448" s="44"/>
      <c r="AH448" s="44"/>
      <c r="AI448" s="44"/>
      <c r="AJ448" s="44"/>
      <c r="AK448" s="44"/>
      <c r="AL448" s="44"/>
      <c r="AM448" s="44"/>
      <c r="AN448" s="44"/>
      <c r="AO448" s="46">
        <f t="shared" si="30"/>
        <v>0</v>
      </c>
      <c r="AP448" s="43"/>
      <c r="AQ448" s="43"/>
      <c r="AR448" s="43"/>
      <c r="AS448" s="43"/>
      <c r="AT448" s="43"/>
      <c r="AU448" s="43"/>
      <c r="AV448" s="43"/>
      <c r="AW448" s="43"/>
      <c r="AX448" s="43"/>
      <c r="AY448" s="43"/>
      <c r="AZ448" s="43"/>
      <c r="BA448" s="43"/>
      <c r="BB448" s="46">
        <f t="shared" si="31"/>
        <v>0</v>
      </c>
      <c r="BC448" s="44"/>
      <c r="BD448" s="44"/>
      <c r="BE448" s="44"/>
      <c r="BF448" s="44"/>
      <c r="BG448" s="44"/>
      <c r="BH448" s="44"/>
      <c r="BI448" s="44"/>
      <c r="BJ448" s="44"/>
      <c r="BK448" s="44"/>
      <c r="BL448" s="44"/>
      <c r="BM448" s="44"/>
      <c r="BN448" s="44"/>
      <c r="BO448" s="46">
        <f t="shared" si="32"/>
        <v>0</v>
      </c>
      <c r="BP448" s="43"/>
      <c r="BQ448" s="43"/>
      <c r="BR448" s="43"/>
      <c r="BS448" s="43"/>
      <c r="BT448" s="43"/>
      <c r="BU448" s="43"/>
      <c r="BV448" s="43"/>
      <c r="BW448" s="43"/>
      <c r="BX448" s="43"/>
      <c r="BY448" s="43"/>
      <c r="BZ448" s="43"/>
      <c r="CA448" s="43"/>
    </row>
    <row r="449" spans="1:79">
      <c r="A449">
        <v>448</v>
      </c>
      <c r="B449">
        <v>1</v>
      </c>
      <c r="C449" t="s">
        <v>2935</v>
      </c>
      <c r="D449" t="s">
        <v>2936</v>
      </c>
      <c r="E449" t="s">
        <v>3498</v>
      </c>
      <c r="F449" t="s">
        <v>3499</v>
      </c>
      <c r="G449" t="s">
        <v>3570</v>
      </c>
      <c r="H449" t="s">
        <v>3570</v>
      </c>
      <c r="J449" t="s">
        <v>3571</v>
      </c>
      <c r="K449" t="s">
        <v>3572</v>
      </c>
      <c r="M449" s="1" t="s">
        <v>3573</v>
      </c>
      <c r="N449" t="s">
        <v>3574</v>
      </c>
      <c r="O449" s="46">
        <f t="shared" si="33"/>
        <v>0</v>
      </c>
      <c r="P449" s="43" t="s">
        <v>1542</v>
      </c>
      <c r="Q449" s="43" t="s">
        <v>1542</v>
      </c>
      <c r="R449" s="43" t="s">
        <v>1542</v>
      </c>
      <c r="S449" s="43" t="s">
        <v>1542</v>
      </c>
      <c r="T449" s="43" t="s">
        <v>1542</v>
      </c>
      <c r="U449" s="43" t="s">
        <v>1542</v>
      </c>
      <c r="V449" s="43" t="s">
        <v>1542</v>
      </c>
      <c r="W449" s="43" t="s">
        <v>1542</v>
      </c>
      <c r="X449" s="43" t="s">
        <v>1542</v>
      </c>
      <c r="Y449" s="43" t="s">
        <v>1542</v>
      </c>
      <c r="Z449" s="43" t="s">
        <v>1542</v>
      </c>
      <c r="AA449" s="43" t="s">
        <v>1542</v>
      </c>
      <c r="AB449" s="46">
        <f t="shared" si="34"/>
        <v>0</v>
      </c>
      <c r="AC449" s="44" t="s">
        <v>1542</v>
      </c>
      <c r="AD449" s="44" t="s">
        <v>1542</v>
      </c>
      <c r="AE449" s="44" t="s">
        <v>1542</v>
      </c>
      <c r="AF449" s="44" t="s">
        <v>1542</v>
      </c>
      <c r="AG449" s="44" t="s">
        <v>1542</v>
      </c>
      <c r="AH449" s="44" t="s">
        <v>1542</v>
      </c>
      <c r="AI449" s="44" t="s">
        <v>1542</v>
      </c>
      <c r="AJ449" s="44" t="s">
        <v>1542</v>
      </c>
      <c r="AK449" s="44" t="s">
        <v>1542</v>
      </c>
      <c r="AL449" s="44" t="s">
        <v>1542</v>
      </c>
      <c r="AM449" s="44" t="s">
        <v>1542</v>
      </c>
      <c r="AN449" s="44" t="s">
        <v>1542</v>
      </c>
      <c r="AO449" s="46">
        <f t="shared" si="30"/>
        <v>0</v>
      </c>
      <c r="AP449" s="43" t="s">
        <v>1542</v>
      </c>
      <c r="AQ449" s="43" t="s">
        <v>1542</v>
      </c>
      <c r="AR449" s="43" t="s">
        <v>1542</v>
      </c>
      <c r="AS449" s="43" t="s">
        <v>1542</v>
      </c>
      <c r="AT449" s="43" t="s">
        <v>1542</v>
      </c>
      <c r="AU449" s="43" t="s">
        <v>1542</v>
      </c>
      <c r="AV449" s="43" t="s">
        <v>1542</v>
      </c>
      <c r="AW449" s="43" t="s">
        <v>1542</v>
      </c>
      <c r="AX449" s="43" t="s">
        <v>1542</v>
      </c>
      <c r="AY449" s="43" t="s">
        <v>1542</v>
      </c>
      <c r="AZ449" s="43" t="s">
        <v>1542</v>
      </c>
      <c r="BA449" s="43" t="s">
        <v>1542</v>
      </c>
      <c r="BB449" s="46">
        <f t="shared" si="31"/>
        <v>0</v>
      </c>
      <c r="BC449" s="44" t="s">
        <v>1542</v>
      </c>
      <c r="BD449" s="44" t="s">
        <v>1542</v>
      </c>
      <c r="BE449" s="44" t="s">
        <v>1542</v>
      </c>
      <c r="BF449" s="44" t="s">
        <v>1542</v>
      </c>
      <c r="BG449" s="44" t="s">
        <v>1542</v>
      </c>
      <c r="BH449" s="44" t="s">
        <v>1542</v>
      </c>
      <c r="BI449" s="44" t="s">
        <v>1542</v>
      </c>
      <c r="BJ449" s="44" t="s">
        <v>1542</v>
      </c>
      <c r="BK449" s="44" t="s">
        <v>1542</v>
      </c>
      <c r="BL449" s="44" t="s">
        <v>1542</v>
      </c>
      <c r="BM449" s="44" t="s">
        <v>1542</v>
      </c>
      <c r="BN449" s="44" t="s">
        <v>1542</v>
      </c>
      <c r="BO449" s="46">
        <f t="shared" si="32"/>
        <v>0</v>
      </c>
      <c r="BP449" s="43" t="s">
        <v>1542</v>
      </c>
      <c r="BQ449" s="43" t="s">
        <v>1542</v>
      </c>
      <c r="BR449" s="43" t="s">
        <v>1542</v>
      </c>
      <c r="BS449" s="43" t="s">
        <v>1542</v>
      </c>
      <c r="BT449" s="43" t="s">
        <v>1542</v>
      </c>
      <c r="BU449" s="43" t="s">
        <v>1542</v>
      </c>
      <c r="BV449" s="43" t="s">
        <v>1542</v>
      </c>
      <c r="BW449" s="43" t="s">
        <v>1542</v>
      </c>
      <c r="BX449" s="43" t="s">
        <v>1542</v>
      </c>
      <c r="BY449" s="43" t="s">
        <v>1542</v>
      </c>
      <c r="BZ449" s="43" t="s">
        <v>1542</v>
      </c>
      <c r="CA449" s="43" t="s">
        <v>1542</v>
      </c>
    </row>
    <row r="450" spans="1:79">
      <c r="A450">
        <v>449</v>
      </c>
      <c r="B450">
        <v>1</v>
      </c>
      <c r="C450" t="s">
        <v>2935</v>
      </c>
      <c r="D450" t="s">
        <v>2936</v>
      </c>
      <c r="E450" t="s">
        <v>3498</v>
      </c>
      <c r="F450" t="s">
        <v>3499</v>
      </c>
      <c r="G450" t="s">
        <v>3575</v>
      </c>
      <c r="H450" t="s">
        <v>3575</v>
      </c>
      <c r="J450" t="s">
        <v>3576</v>
      </c>
      <c r="K450" t="s">
        <v>3577</v>
      </c>
      <c r="M450" s="1" t="s">
        <v>3578</v>
      </c>
      <c r="O450" s="46">
        <f t="shared" si="33"/>
        <v>0</v>
      </c>
      <c r="P450" s="43" t="s">
        <v>1542</v>
      </c>
      <c r="Q450" s="43" t="s">
        <v>1542</v>
      </c>
      <c r="R450" s="43" t="s">
        <v>1542</v>
      </c>
      <c r="S450" s="43" t="s">
        <v>1542</v>
      </c>
      <c r="T450" s="43" t="s">
        <v>1542</v>
      </c>
      <c r="U450" s="43" t="s">
        <v>1542</v>
      </c>
      <c r="V450" s="43" t="s">
        <v>1542</v>
      </c>
      <c r="W450" s="43" t="s">
        <v>1542</v>
      </c>
      <c r="X450" s="43" t="s">
        <v>1542</v>
      </c>
      <c r="Y450" s="43" t="s">
        <v>1542</v>
      </c>
      <c r="Z450" s="43" t="s">
        <v>1542</v>
      </c>
      <c r="AA450" s="43" t="s">
        <v>1542</v>
      </c>
      <c r="AB450" s="46">
        <f t="shared" si="34"/>
        <v>0</v>
      </c>
      <c r="AC450" s="44" t="s">
        <v>1542</v>
      </c>
      <c r="AD450" s="44" t="s">
        <v>1542</v>
      </c>
      <c r="AE450" s="44" t="s">
        <v>1542</v>
      </c>
      <c r="AF450" s="44" t="s">
        <v>1542</v>
      </c>
      <c r="AG450" s="44" t="s">
        <v>1542</v>
      </c>
      <c r="AH450" s="44" t="s">
        <v>1542</v>
      </c>
      <c r="AI450" s="44" t="s">
        <v>1542</v>
      </c>
      <c r="AJ450" s="44" t="s">
        <v>1542</v>
      </c>
      <c r="AK450" s="44" t="s">
        <v>1542</v>
      </c>
      <c r="AL450" s="44" t="s">
        <v>1542</v>
      </c>
      <c r="AM450" s="44" t="s">
        <v>1542</v>
      </c>
      <c r="AN450" s="44" t="s">
        <v>1542</v>
      </c>
      <c r="AO450" s="46">
        <f t="shared" ref="AO450:AO482" si="35">COUNTIF(AC450:AM450,"NE")</f>
        <v>0</v>
      </c>
      <c r="AP450" s="43" t="s">
        <v>1542</v>
      </c>
      <c r="AQ450" s="43" t="s">
        <v>1542</v>
      </c>
      <c r="AR450" s="43" t="s">
        <v>1542</v>
      </c>
      <c r="AS450" s="43" t="s">
        <v>1542</v>
      </c>
      <c r="AT450" s="43" t="s">
        <v>1542</v>
      </c>
      <c r="AU450" s="43" t="s">
        <v>1542</v>
      </c>
      <c r="AV450" s="43" t="s">
        <v>1542</v>
      </c>
      <c r="AW450" s="43" t="s">
        <v>1542</v>
      </c>
      <c r="AX450" s="43" t="s">
        <v>1542</v>
      </c>
      <c r="AY450" s="43" t="s">
        <v>1542</v>
      </c>
      <c r="AZ450" s="43" t="s">
        <v>1542</v>
      </c>
      <c r="BA450" s="43" t="s">
        <v>1542</v>
      </c>
      <c r="BB450" s="46">
        <f t="shared" ref="BB450:BB482" si="36">COUNTIF(AP450:AZ450,"NE")</f>
        <v>0</v>
      </c>
      <c r="BC450" s="44" t="s">
        <v>1542</v>
      </c>
      <c r="BD450" s="44" t="s">
        <v>1542</v>
      </c>
      <c r="BE450" s="44" t="s">
        <v>1542</v>
      </c>
      <c r="BF450" s="44" t="s">
        <v>1542</v>
      </c>
      <c r="BG450" s="44" t="s">
        <v>1542</v>
      </c>
      <c r="BH450" s="44" t="s">
        <v>1542</v>
      </c>
      <c r="BI450" s="44" t="s">
        <v>1542</v>
      </c>
      <c r="BJ450" s="44" t="s">
        <v>1542</v>
      </c>
      <c r="BK450" s="44" t="s">
        <v>1542</v>
      </c>
      <c r="BL450" s="44" t="s">
        <v>1542</v>
      </c>
      <c r="BM450" s="44" t="s">
        <v>1542</v>
      </c>
      <c r="BN450" s="44" t="s">
        <v>1542</v>
      </c>
      <c r="BO450" s="46">
        <f t="shared" ref="BO450:BO482" si="37">COUNTIF(BC450:BM450,"NE")</f>
        <v>0</v>
      </c>
      <c r="BP450" s="43" t="s">
        <v>1542</v>
      </c>
      <c r="BQ450" s="43" t="s">
        <v>1542</v>
      </c>
      <c r="BR450" s="43" t="s">
        <v>1542</v>
      </c>
      <c r="BS450" s="43" t="s">
        <v>1542</v>
      </c>
      <c r="BT450" s="43" t="s">
        <v>1542</v>
      </c>
      <c r="BU450" s="43" t="s">
        <v>1542</v>
      </c>
      <c r="BV450" s="43" t="s">
        <v>1542</v>
      </c>
      <c r="BW450" s="43" t="s">
        <v>1542</v>
      </c>
      <c r="BX450" s="43" t="s">
        <v>1542</v>
      </c>
      <c r="BY450" s="43" t="s">
        <v>1542</v>
      </c>
      <c r="BZ450" s="43" t="s">
        <v>1542</v>
      </c>
      <c r="CA450" s="43" t="s">
        <v>1542</v>
      </c>
    </row>
    <row r="451" spans="1:79">
      <c r="A451">
        <v>450</v>
      </c>
      <c r="B451" t="s">
        <v>1543</v>
      </c>
      <c r="C451" t="s">
        <v>2935</v>
      </c>
      <c r="D451" t="s">
        <v>2936</v>
      </c>
      <c r="E451" t="s">
        <v>2974</v>
      </c>
      <c r="F451" t="s">
        <v>2975</v>
      </c>
      <c r="G451" t="s">
        <v>3579</v>
      </c>
      <c r="H451" t="s">
        <v>3579</v>
      </c>
      <c r="I451" t="s">
        <v>3580</v>
      </c>
      <c r="J451" t="s">
        <v>3581</v>
      </c>
      <c r="K451" t="s">
        <v>3582</v>
      </c>
      <c r="M451" s="1" t="s">
        <v>3583</v>
      </c>
      <c r="N451" t="s">
        <v>3584</v>
      </c>
      <c r="O451" s="46">
        <f t="shared" ref="O451:O482" si="38">COUNTIF(P451:AA451,"NE")</f>
        <v>0</v>
      </c>
      <c r="P451" s="43" t="s">
        <v>1542</v>
      </c>
      <c r="Q451" s="43" t="s">
        <v>1542</v>
      </c>
      <c r="R451" s="43" t="s">
        <v>1542</v>
      </c>
      <c r="S451" s="43" t="s">
        <v>1542</v>
      </c>
      <c r="T451" s="43" t="s">
        <v>1542</v>
      </c>
      <c r="U451" s="43" t="s">
        <v>1542</v>
      </c>
      <c r="V451" s="43" t="s">
        <v>1542</v>
      </c>
      <c r="W451" s="43" t="s">
        <v>1542</v>
      </c>
      <c r="X451" s="43" t="s">
        <v>1542</v>
      </c>
      <c r="Y451" s="43" t="s">
        <v>1542</v>
      </c>
      <c r="Z451" s="43" t="s">
        <v>1542</v>
      </c>
      <c r="AA451" s="43"/>
      <c r="AB451" s="46">
        <f t="shared" ref="AB451:AB482" si="39">COUNTIF(AC451:AN451,"NE")</f>
        <v>0</v>
      </c>
      <c r="AC451" s="44" t="s">
        <v>1542</v>
      </c>
      <c r="AD451" s="44" t="s">
        <v>1542</v>
      </c>
      <c r="AE451" s="44" t="s">
        <v>1542</v>
      </c>
      <c r="AF451" s="44" t="s">
        <v>1542</v>
      </c>
      <c r="AG451" s="44" t="s">
        <v>1542</v>
      </c>
      <c r="AH451" s="44" t="s">
        <v>1542</v>
      </c>
      <c r="AI451" s="44" t="s">
        <v>1542</v>
      </c>
      <c r="AJ451" s="44" t="s">
        <v>1542</v>
      </c>
      <c r="AK451" s="44" t="s">
        <v>1542</v>
      </c>
      <c r="AL451" s="44" t="s">
        <v>1542</v>
      </c>
      <c r="AM451" s="44" t="s">
        <v>1542</v>
      </c>
      <c r="AN451" s="44" t="s">
        <v>1542</v>
      </c>
      <c r="AO451" s="46">
        <f t="shared" si="35"/>
        <v>0</v>
      </c>
      <c r="AP451" s="43" t="s">
        <v>1542</v>
      </c>
      <c r="AQ451" s="43" t="s">
        <v>1542</v>
      </c>
      <c r="AR451" s="43" t="s">
        <v>1542</v>
      </c>
      <c r="AS451" s="43" t="s">
        <v>1542</v>
      </c>
      <c r="AT451" s="43" t="s">
        <v>1542</v>
      </c>
      <c r="AU451" s="43" t="s">
        <v>1542</v>
      </c>
      <c r="AV451" s="43" t="s">
        <v>1542</v>
      </c>
      <c r="AW451" s="43" t="s">
        <v>1542</v>
      </c>
      <c r="AX451" s="43" t="s">
        <v>1542</v>
      </c>
      <c r="AY451" s="43" t="s">
        <v>1542</v>
      </c>
      <c r="AZ451" s="43" t="s">
        <v>1542</v>
      </c>
      <c r="BA451" s="43" t="s">
        <v>1542</v>
      </c>
      <c r="BB451" s="46">
        <f t="shared" si="36"/>
        <v>0</v>
      </c>
      <c r="BC451" s="44" t="s">
        <v>1542</v>
      </c>
      <c r="BD451" s="44" t="s">
        <v>1542</v>
      </c>
      <c r="BE451" s="44" t="s">
        <v>1542</v>
      </c>
      <c r="BF451" s="44" t="s">
        <v>1542</v>
      </c>
      <c r="BG451" s="44" t="s">
        <v>1542</v>
      </c>
      <c r="BH451" s="44" t="s">
        <v>1542</v>
      </c>
      <c r="BI451" s="44" t="s">
        <v>1542</v>
      </c>
      <c r="BJ451" s="44" t="s">
        <v>1542</v>
      </c>
      <c r="BK451" s="44" t="s">
        <v>1542</v>
      </c>
      <c r="BL451" s="44" t="s">
        <v>1542</v>
      </c>
      <c r="BM451" s="44" t="s">
        <v>1542</v>
      </c>
      <c r="BN451" s="44" t="s">
        <v>1542</v>
      </c>
      <c r="BO451" s="46">
        <f t="shared" si="37"/>
        <v>0</v>
      </c>
      <c r="BP451" s="43" t="s">
        <v>1542</v>
      </c>
      <c r="BQ451" s="43" t="s">
        <v>1542</v>
      </c>
      <c r="BR451" s="43" t="s">
        <v>1542</v>
      </c>
      <c r="BS451" s="43" t="s">
        <v>1542</v>
      </c>
      <c r="BT451" s="43" t="s">
        <v>1542</v>
      </c>
      <c r="BU451" s="43" t="s">
        <v>1542</v>
      </c>
      <c r="BV451" s="43" t="s">
        <v>1542</v>
      </c>
      <c r="BW451" s="43" t="s">
        <v>1542</v>
      </c>
      <c r="BX451" s="43" t="s">
        <v>1542</v>
      </c>
      <c r="BY451" s="43" t="s">
        <v>1542</v>
      </c>
      <c r="BZ451" s="43" t="s">
        <v>1542</v>
      </c>
      <c r="CA451" s="43" t="s">
        <v>1542</v>
      </c>
    </row>
    <row r="452" spans="1:79">
      <c r="A452">
        <v>451</v>
      </c>
      <c r="B452">
        <v>1</v>
      </c>
      <c r="C452" t="s">
        <v>2935</v>
      </c>
      <c r="D452" t="s">
        <v>2936</v>
      </c>
      <c r="E452" t="s">
        <v>2974</v>
      </c>
      <c r="F452" t="s">
        <v>2975</v>
      </c>
      <c r="G452" t="s">
        <v>3585</v>
      </c>
      <c r="H452" t="s">
        <v>3585</v>
      </c>
      <c r="J452" t="s">
        <v>3586</v>
      </c>
      <c r="K452" t="s">
        <v>3587</v>
      </c>
      <c r="M452" s="1" t="s">
        <v>3588</v>
      </c>
      <c r="O452" s="46">
        <f t="shared" si="38"/>
        <v>0</v>
      </c>
      <c r="P452" s="43" t="s">
        <v>1542</v>
      </c>
      <c r="Q452" s="43" t="s">
        <v>1542</v>
      </c>
      <c r="R452" s="43" t="s">
        <v>1542</v>
      </c>
      <c r="S452" s="43" t="s">
        <v>1542</v>
      </c>
      <c r="T452" s="43" t="s">
        <v>1542</v>
      </c>
      <c r="U452" s="43" t="s">
        <v>1542</v>
      </c>
      <c r="V452" s="43" t="s">
        <v>1542</v>
      </c>
      <c r="W452" s="43" t="s">
        <v>1542</v>
      </c>
      <c r="X452" s="43" t="s">
        <v>1542</v>
      </c>
      <c r="Y452" s="43" t="s">
        <v>1542</v>
      </c>
      <c r="Z452" s="43" t="s">
        <v>1542</v>
      </c>
      <c r="AA452" s="43" t="s">
        <v>1542</v>
      </c>
      <c r="AB452" s="46">
        <f t="shared" si="39"/>
        <v>0</v>
      </c>
      <c r="AC452" s="44" t="s">
        <v>1542</v>
      </c>
      <c r="AD452" s="44" t="s">
        <v>1542</v>
      </c>
      <c r="AE452" s="44" t="s">
        <v>1542</v>
      </c>
      <c r="AF452" s="44" t="s">
        <v>1542</v>
      </c>
      <c r="AG452" s="44" t="s">
        <v>1542</v>
      </c>
      <c r="AH452" s="44" t="s">
        <v>1542</v>
      </c>
      <c r="AI452" s="44" t="s">
        <v>1542</v>
      </c>
      <c r="AJ452" s="44" t="s">
        <v>1542</v>
      </c>
      <c r="AK452" s="44" t="s">
        <v>1542</v>
      </c>
      <c r="AL452" s="44" t="s">
        <v>1542</v>
      </c>
      <c r="AM452" s="44" t="s">
        <v>1542</v>
      </c>
      <c r="AN452" s="44" t="s">
        <v>1542</v>
      </c>
      <c r="AO452" s="46">
        <f t="shared" si="35"/>
        <v>0</v>
      </c>
      <c r="AP452" s="43" t="s">
        <v>1542</v>
      </c>
      <c r="AQ452" s="43" t="s">
        <v>1542</v>
      </c>
      <c r="AR452" s="43" t="s">
        <v>1542</v>
      </c>
      <c r="AS452" s="43" t="s">
        <v>1542</v>
      </c>
      <c r="AT452" s="43" t="s">
        <v>1542</v>
      </c>
      <c r="AU452" s="43" t="s">
        <v>1542</v>
      </c>
      <c r="AV452" s="43" t="s">
        <v>1542</v>
      </c>
      <c r="AW452" s="43" t="s">
        <v>1542</v>
      </c>
      <c r="AX452" s="43" t="s">
        <v>1542</v>
      </c>
      <c r="AY452" s="43" t="s">
        <v>1542</v>
      </c>
      <c r="AZ452" s="43" t="s">
        <v>1542</v>
      </c>
      <c r="BA452" s="43" t="s">
        <v>1542</v>
      </c>
      <c r="BB452" s="46">
        <f t="shared" si="36"/>
        <v>0</v>
      </c>
      <c r="BC452" s="44" t="s">
        <v>1542</v>
      </c>
      <c r="BD452" s="44" t="s">
        <v>1542</v>
      </c>
      <c r="BE452" s="44" t="s">
        <v>1542</v>
      </c>
      <c r="BF452" s="44" t="s">
        <v>1542</v>
      </c>
      <c r="BG452" s="44" t="s">
        <v>1542</v>
      </c>
      <c r="BH452" s="44" t="s">
        <v>1542</v>
      </c>
      <c r="BI452" s="44" t="s">
        <v>1542</v>
      </c>
      <c r="BJ452" s="44" t="s">
        <v>1542</v>
      </c>
      <c r="BK452" s="44" t="s">
        <v>1542</v>
      </c>
      <c r="BL452" s="44" t="s">
        <v>1542</v>
      </c>
      <c r="BM452" s="44" t="s">
        <v>1542</v>
      </c>
      <c r="BN452" s="44" t="s">
        <v>1542</v>
      </c>
      <c r="BO452" s="46">
        <f t="shared" si="37"/>
        <v>0</v>
      </c>
      <c r="BP452" s="43" t="s">
        <v>1542</v>
      </c>
      <c r="BQ452" s="43" t="s">
        <v>1542</v>
      </c>
      <c r="BR452" s="43" t="s">
        <v>1542</v>
      </c>
      <c r="BS452" s="43" t="s">
        <v>1542</v>
      </c>
      <c r="BT452" s="43" t="s">
        <v>1542</v>
      </c>
      <c r="BU452" s="43" t="s">
        <v>1542</v>
      </c>
      <c r="BV452" s="43" t="s">
        <v>1542</v>
      </c>
      <c r="BW452" s="43" t="s">
        <v>1542</v>
      </c>
      <c r="BX452" s="43" t="s">
        <v>1542</v>
      </c>
      <c r="BY452" s="43" t="s">
        <v>1542</v>
      </c>
      <c r="BZ452" s="43" t="s">
        <v>1542</v>
      </c>
      <c r="CA452" s="43" t="s">
        <v>1542</v>
      </c>
    </row>
    <row r="453" spans="1:79">
      <c r="A453">
        <v>452</v>
      </c>
      <c r="B453">
        <v>1</v>
      </c>
      <c r="C453" t="s">
        <v>2935</v>
      </c>
      <c r="D453" t="s">
        <v>2936</v>
      </c>
      <c r="E453" t="s">
        <v>2974</v>
      </c>
      <c r="F453" t="s">
        <v>2975</v>
      </c>
      <c r="G453" t="s">
        <v>3589</v>
      </c>
      <c r="H453" t="s">
        <v>3589</v>
      </c>
      <c r="J453" t="s">
        <v>3590</v>
      </c>
      <c r="K453" t="s">
        <v>3591</v>
      </c>
      <c r="M453" s="1" t="s">
        <v>3592</v>
      </c>
      <c r="O453" s="46">
        <f t="shared" si="38"/>
        <v>0</v>
      </c>
      <c r="P453" s="43" t="s">
        <v>1542</v>
      </c>
      <c r="Q453" s="43" t="s">
        <v>1542</v>
      </c>
      <c r="R453" s="43" t="s">
        <v>1542</v>
      </c>
      <c r="S453" s="43" t="s">
        <v>1542</v>
      </c>
      <c r="T453" s="43" t="s">
        <v>1542</v>
      </c>
      <c r="U453" s="43" t="s">
        <v>1542</v>
      </c>
      <c r="V453" s="43" t="s">
        <v>1542</v>
      </c>
      <c r="W453" s="43" t="s">
        <v>1542</v>
      </c>
      <c r="X453" s="43" t="s">
        <v>1542</v>
      </c>
      <c r="Y453" s="43" t="s">
        <v>1542</v>
      </c>
      <c r="Z453" s="43" t="s">
        <v>1542</v>
      </c>
      <c r="AA453" s="43" t="s">
        <v>1542</v>
      </c>
      <c r="AB453" s="46">
        <f t="shared" si="39"/>
        <v>0</v>
      </c>
      <c r="AC453" s="44" t="s">
        <v>1542</v>
      </c>
      <c r="AD453" s="44" t="s">
        <v>1542</v>
      </c>
      <c r="AE453" s="44" t="s">
        <v>1542</v>
      </c>
      <c r="AF453" s="44" t="s">
        <v>1542</v>
      </c>
      <c r="AG453" s="44" t="s">
        <v>1542</v>
      </c>
      <c r="AH453" s="44" t="s">
        <v>1542</v>
      </c>
      <c r="AI453" s="44" t="s">
        <v>1542</v>
      </c>
      <c r="AJ453" s="44" t="s">
        <v>1542</v>
      </c>
      <c r="AK453" s="44" t="s">
        <v>1542</v>
      </c>
      <c r="AL453" s="44" t="s">
        <v>1542</v>
      </c>
      <c r="AM453" s="44" t="s">
        <v>1542</v>
      </c>
      <c r="AN453" s="44" t="s">
        <v>1542</v>
      </c>
      <c r="AO453" s="46">
        <f t="shared" si="35"/>
        <v>0</v>
      </c>
      <c r="AP453" s="43" t="s">
        <v>1542</v>
      </c>
      <c r="AQ453" s="43" t="s">
        <v>1542</v>
      </c>
      <c r="AR453" s="43" t="s">
        <v>1542</v>
      </c>
      <c r="AS453" s="43" t="s">
        <v>1542</v>
      </c>
      <c r="AT453" s="43" t="s">
        <v>1542</v>
      </c>
      <c r="AU453" s="43" t="s">
        <v>1542</v>
      </c>
      <c r="AV453" s="43" t="s">
        <v>1542</v>
      </c>
      <c r="AW453" s="43" t="s">
        <v>1542</v>
      </c>
      <c r="AX453" s="43" t="s">
        <v>1542</v>
      </c>
      <c r="AY453" s="43" t="s">
        <v>1542</v>
      </c>
      <c r="AZ453" s="43" t="s">
        <v>1542</v>
      </c>
      <c r="BA453" s="43" t="s">
        <v>1542</v>
      </c>
      <c r="BB453" s="46">
        <f t="shared" si="36"/>
        <v>0</v>
      </c>
      <c r="BC453" s="44" t="s">
        <v>1542</v>
      </c>
      <c r="BD453" s="44" t="s">
        <v>1542</v>
      </c>
      <c r="BE453" s="44" t="s">
        <v>1542</v>
      </c>
      <c r="BF453" s="44" t="s">
        <v>1542</v>
      </c>
      <c r="BG453" s="44" t="s">
        <v>1542</v>
      </c>
      <c r="BH453" s="44" t="s">
        <v>1542</v>
      </c>
      <c r="BI453" s="44" t="s">
        <v>1542</v>
      </c>
      <c r="BJ453" s="44" t="s">
        <v>1542</v>
      </c>
      <c r="BK453" s="44" t="s">
        <v>1542</v>
      </c>
      <c r="BL453" s="44" t="s">
        <v>1542</v>
      </c>
      <c r="BM453" s="44" t="s">
        <v>1542</v>
      </c>
      <c r="BN453" s="44" t="s">
        <v>1542</v>
      </c>
      <c r="BO453" s="46">
        <f t="shared" si="37"/>
        <v>0</v>
      </c>
      <c r="BP453" s="43" t="s">
        <v>1542</v>
      </c>
      <c r="BQ453" s="43" t="s">
        <v>1542</v>
      </c>
      <c r="BR453" s="43" t="s">
        <v>1542</v>
      </c>
      <c r="BS453" s="43" t="s">
        <v>1542</v>
      </c>
      <c r="BT453" s="43" t="s">
        <v>1542</v>
      </c>
      <c r="BU453" s="43" t="s">
        <v>1542</v>
      </c>
      <c r="BV453" s="43" t="s">
        <v>1542</v>
      </c>
      <c r="BW453" s="43" t="s">
        <v>1542</v>
      </c>
      <c r="BX453" s="43" t="s">
        <v>1542</v>
      </c>
      <c r="BY453" s="43" t="s">
        <v>1542</v>
      </c>
      <c r="BZ453" s="43" t="s">
        <v>1542</v>
      </c>
      <c r="CA453" s="43" t="s">
        <v>1542</v>
      </c>
    </row>
    <row r="454" spans="1:79">
      <c r="A454">
        <v>453</v>
      </c>
      <c r="B454">
        <v>1</v>
      </c>
      <c r="C454" t="s">
        <v>2935</v>
      </c>
      <c r="D454" t="s">
        <v>2936</v>
      </c>
      <c r="E454" t="s">
        <v>2974</v>
      </c>
      <c r="F454" t="s">
        <v>2975</v>
      </c>
      <c r="G454" t="s">
        <v>3593</v>
      </c>
      <c r="H454" t="s">
        <v>3593</v>
      </c>
      <c r="I454" t="s">
        <v>3594</v>
      </c>
      <c r="J454" t="s">
        <v>3595</v>
      </c>
      <c r="K454" t="s">
        <v>3596</v>
      </c>
      <c r="M454" s="1" t="s">
        <v>3597</v>
      </c>
      <c r="N454" t="s">
        <v>3598</v>
      </c>
      <c r="O454" s="46">
        <f t="shared" si="38"/>
        <v>0</v>
      </c>
      <c r="P454" s="43" t="s">
        <v>1542</v>
      </c>
      <c r="Q454" s="43" t="s">
        <v>1542</v>
      </c>
      <c r="R454" s="43" t="s">
        <v>1542</v>
      </c>
      <c r="S454" s="43" t="s">
        <v>1542</v>
      </c>
      <c r="T454" s="43" t="s">
        <v>1542</v>
      </c>
      <c r="U454" s="43" t="s">
        <v>1542</v>
      </c>
      <c r="V454" s="43" t="s">
        <v>1542</v>
      </c>
      <c r="W454" s="43" t="s">
        <v>1542</v>
      </c>
      <c r="X454" s="43" t="s">
        <v>1542</v>
      </c>
      <c r="Y454" s="43" t="s">
        <v>1542</v>
      </c>
      <c r="Z454" s="43" t="s">
        <v>1542</v>
      </c>
      <c r="AA454" s="43" t="s">
        <v>1542</v>
      </c>
      <c r="AB454" s="46">
        <f t="shared" si="39"/>
        <v>4</v>
      </c>
      <c r="AC454" s="44" t="s">
        <v>1542</v>
      </c>
      <c r="AD454" s="44" t="s">
        <v>1542</v>
      </c>
      <c r="AE454" s="44" t="s">
        <v>1542</v>
      </c>
      <c r="AF454" s="44" t="s">
        <v>1554</v>
      </c>
      <c r="AG454" s="44" t="s">
        <v>1554</v>
      </c>
      <c r="AH454" s="44" t="s">
        <v>1554</v>
      </c>
      <c r="AI454" s="44" t="s">
        <v>1554</v>
      </c>
      <c r="AJ454" s="44" t="s">
        <v>1542</v>
      </c>
      <c r="AK454" s="44" t="s">
        <v>1542</v>
      </c>
      <c r="AL454" s="44" t="s">
        <v>1542</v>
      </c>
      <c r="AM454" s="44" t="s">
        <v>1542</v>
      </c>
      <c r="AN454" s="44" t="s">
        <v>1542</v>
      </c>
      <c r="AO454" s="46">
        <f t="shared" si="35"/>
        <v>4</v>
      </c>
      <c r="AP454" s="43" t="s">
        <v>1542</v>
      </c>
      <c r="AQ454" s="43" t="s">
        <v>1542</v>
      </c>
      <c r="AR454" s="43" t="s">
        <v>1542</v>
      </c>
      <c r="AS454" s="43" t="s">
        <v>1542</v>
      </c>
      <c r="AT454" s="43" t="s">
        <v>1542</v>
      </c>
      <c r="AU454" s="43" t="s">
        <v>1542</v>
      </c>
      <c r="AV454" s="43" t="s">
        <v>1542</v>
      </c>
      <c r="AW454" s="43" t="s">
        <v>1542</v>
      </c>
      <c r="AX454" s="43" t="s">
        <v>1542</v>
      </c>
      <c r="AY454" s="43" t="s">
        <v>1542</v>
      </c>
      <c r="AZ454" s="43" t="s">
        <v>1542</v>
      </c>
      <c r="BA454" s="43" t="s">
        <v>1542</v>
      </c>
      <c r="BB454" s="46">
        <f t="shared" si="36"/>
        <v>0</v>
      </c>
      <c r="BC454" s="44" t="s">
        <v>1542</v>
      </c>
      <c r="BD454" s="44" t="s">
        <v>1542</v>
      </c>
      <c r="BE454" s="44" t="s">
        <v>1542</v>
      </c>
      <c r="BF454" s="44" t="s">
        <v>1542</v>
      </c>
      <c r="BG454" s="44" t="s">
        <v>1542</v>
      </c>
      <c r="BH454" s="44" t="s">
        <v>1542</v>
      </c>
      <c r="BI454" s="44" t="s">
        <v>1542</v>
      </c>
      <c r="BJ454" s="44" t="s">
        <v>1542</v>
      </c>
      <c r="BK454" s="44" t="s">
        <v>1542</v>
      </c>
      <c r="BL454" s="44" t="s">
        <v>1542</v>
      </c>
      <c r="BM454" s="44" t="s">
        <v>1542</v>
      </c>
      <c r="BN454" s="44" t="s">
        <v>1542</v>
      </c>
      <c r="BO454" s="46">
        <f t="shared" si="37"/>
        <v>0</v>
      </c>
      <c r="BP454" s="43" t="s">
        <v>1542</v>
      </c>
      <c r="BQ454" s="43" t="s">
        <v>1542</v>
      </c>
      <c r="BR454" s="43" t="s">
        <v>1542</v>
      </c>
      <c r="BS454" s="43" t="s">
        <v>1542</v>
      </c>
      <c r="BT454" s="43" t="s">
        <v>1542</v>
      </c>
      <c r="BU454" s="43" t="s">
        <v>1542</v>
      </c>
      <c r="BV454" s="43" t="s">
        <v>1542</v>
      </c>
      <c r="BW454" s="43" t="s">
        <v>1542</v>
      </c>
      <c r="BX454" s="43" t="s">
        <v>1542</v>
      </c>
      <c r="BY454" s="43" t="s">
        <v>1554</v>
      </c>
      <c r="BZ454" s="43" t="s">
        <v>1554</v>
      </c>
      <c r="CA454" s="43" t="s">
        <v>1542</v>
      </c>
    </row>
    <row r="455" spans="1:79">
      <c r="A455">
        <v>454</v>
      </c>
      <c r="B455">
        <v>1</v>
      </c>
      <c r="C455" t="s">
        <v>2935</v>
      </c>
      <c r="D455" t="s">
        <v>2936</v>
      </c>
      <c r="E455" t="s">
        <v>2974</v>
      </c>
      <c r="F455" t="s">
        <v>2975</v>
      </c>
      <c r="G455" t="s">
        <v>3599</v>
      </c>
      <c r="H455" t="s">
        <v>3599</v>
      </c>
      <c r="J455" t="s">
        <v>3600</v>
      </c>
      <c r="K455" t="s">
        <v>3601</v>
      </c>
      <c r="M455" s="1" t="s">
        <v>3602</v>
      </c>
      <c r="O455" s="46">
        <f t="shared" si="38"/>
        <v>0</v>
      </c>
      <c r="P455" s="43" t="s">
        <v>1542</v>
      </c>
      <c r="Q455" s="43" t="s">
        <v>1542</v>
      </c>
      <c r="R455" s="43" t="s">
        <v>1542</v>
      </c>
      <c r="S455" s="43" t="s">
        <v>1542</v>
      </c>
      <c r="T455" s="43" t="s">
        <v>1542</v>
      </c>
      <c r="U455" s="43" t="s">
        <v>1542</v>
      </c>
      <c r="V455" s="43" t="s">
        <v>1542</v>
      </c>
      <c r="W455" s="43" t="s">
        <v>1542</v>
      </c>
      <c r="X455" s="43" t="s">
        <v>1542</v>
      </c>
      <c r="Y455" s="43" t="s">
        <v>1542</v>
      </c>
      <c r="Z455" s="43" t="s">
        <v>1542</v>
      </c>
      <c r="AA455" s="43" t="s">
        <v>1542</v>
      </c>
      <c r="AB455" s="46">
        <f t="shared" si="39"/>
        <v>0</v>
      </c>
      <c r="AC455" s="44" t="s">
        <v>1542</v>
      </c>
      <c r="AD455" s="44" t="s">
        <v>1542</v>
      </c>
      <c r="AE455" s="44" t="s">
        <v>1542</v>
      </c>
      <c r="AF455" s="44" t="s">
        <v>1542</v>
      </c>
      <c r="AG455" s="44" t="s">
        <v>1542</v>
      </c>
      <c r="AH455" s="44" t="s">
        <v>1542</v>
      </c>
      <c r="AI455" s="44" t="s">
        <v>1542</v>
      </c>
      <c r="AJ455" s="44" t="s">
        <v>1542</v>
      </c>
      <c r="AK455" s="44" t="s">
        <v>1542</v>
      </c>
      <c r="AL455" s="44" t="s">
        <v>1542</v>
      </c>
      <c r="AM455" s="44" t="s">
        <v>1542</v>
      </c>
      <c r="AN455" s="44" t="s">
        <v>1542</v>
      </c>
      <c r="AO455" s="46">
        <f t="shared" si="35"/>
        <v>0</v>
      </c>
      <c r="AP455" s="43" t="s">
        <v>1542</v>
      </c>
      <c r="AQ455" s="43" t="s">
        <v>1542</v>
      </c>
      <c r="AR455" s="43" t="s">
        <v>1542</v>
      </c>
      <c r="AS455" s="43" t="s">
        <v>1542</v>
      </c>
      <c r="AT455" s="43" t="s">
        <v>1542</v>
      </c>
      <c r="AU455" s="43" t="s">
        <v>1542</v>
      </c>
      <c r="AV455" s="43" t="s">
        <v>1542</v>
      </c>
      <c r="AW455" s="43" t="s">
        <v>1542</v>
      </c>
      <c r="AX455" s="43" t="s">
        <v>1542</v>
      </c>
      <c r="AY455" s="43" t="s">
        <v>1542</v>
      </c>
      <c r="AZ455" s="43" t="s">
        <v>1542</v>
      </c>
      <c r="BA455" s="43" t="s">
        <v>1542</v>
      </c>
      <c r="BB455" s="46">
        <f t="shared" si="36"/>
        <v>0</v>
      </c>
      <c r="BC455" s="44" t="s">
        <v>1542</v>
      </c>
      <c r="BD455" s="44" t="s">
        <v>1542</v>
      </c>
      <c r="BE455" s="44" t="s">
        <v>1542</v>
      </c>
      <c r="BF455" s="44" t="s">
        <v>1542</v>
      </c>
      <c r="BG455" s="44" t="s">
        <v>1542</v>
      </c>
      <c r="BH455" s="44" t="s">
        <v>1542</v>
      </c>
      <c r="BI455" s="44" t="s">
        <v>1542</v>
      </c>
      <c r="BJ455" s="44" t="s">
        <v>1542</v>
      </c>
      <c r="BK455" s="44" t="s">
        <v>1542</v>
      </c>
      <c r="BL455" s="44" t="s">
        <v>1542</v>
      </c>
      <c r="BM455" s="44" t="s">
        <v>1542</v>
      </c>
      <c r="BN455" s="44" t="s">
        <v>1542</v>
      </c>
      <c r="BO455" s="46">
        <f t="shared" si="37"/>
        <v>0</v>
      </c>
      <c r="BP455" s="43" t="s">
        <v>1542</v>
      </c>
      <c r="BQ455" s="43" t="s">
        <v>1542</v>
      </c>
      <c r="BR455" s="43" t="s">
        <v>1542</v>
      </c>
      <c r="BS455" s="43" t="s">
        <v>1542</v>
      </c>
      <c r="BT455" s="43" t="s">
        <v>1542</v>
      </c>
      <c r="BU455" s="43" t="s">
        <v>1542</v>
      </c>
      <c r="BV455" s="43" t="s">
        <v>1542</v>
      </c>
      <c r="BW455" s="43" t="s">
        <v>1542</v>
      </c>
      <c r="BX455" s="43" t="s">
        <v>1542</v>
      </c>
      <c r="BY455" s="43" t="s">
        <v>1542</v>
      </c>
      <c r="BZ455" s="43" t="s">
        <v>1542</v>
      </c>
      <c r="CA455" s="43" t="s">
        <v>1542</v>
      </c>
    </row>
    <row r="456" spans="1:79">
      <c r="A456">
        <v>455</v>
      </c>
      <c r="B456">
        <v>1</v>
      </c>
      <c r="C456" t="s">
        <v>2935</v>
      </c>
      <c r="D456" t="s">
        <v>2936</v>
      </c>
      <c r="E456" t="s">
        <v>2974</v>
      </c>
      <c r="F456" t="s">
        <v>2975</v>
      </c>
      <c r="G456" t="s">
        <v>3603</v>
      </c>
      <c r="H456" t="s">
        <v>3603</v>
      </c>
      <c r="J456" t="s">
        <v>3604</v>
      </c>
      <c r="K456" t="s">
        <v>3605</v>
      </c>
      <c r="M456" s="1" t="s">
        <v>3606</v>
      </c>
      <c r="O456" s="46">
        <f t="shared" si="38"/>
        <v>0</v>
      </c>
      <c r="P456" s="43" t="s">
        <v>1542</v>
      </c>
      <c r="Q456" s="43" t="s">
        <v>1542</v>
      </c>
      <c r="R456" s="43" t="s">
        <v>1542</v>
      </c>
      <c r="S456" s="43" t="s">
        <v>1542</v>
      </c>
      <c r="T456" s="43" t="s">
        <v>1542</v>
      </c>
      <c r="U456" s="43" t="s">
        <v>1542</v>
      </c>
      <c r="V456" s="43" t="s">
        <v>1542</v>
      </c>
      <c r="W456" s="43" t="s">
        <v>1542</v>
      </c>
      <c r="X456" s="43" t="s">
        <v>1542</v>
      </c>
      <c r="Y456" s="43" t="s">
        <v>1542</v>
      </c>
      <c r="Z456" s="43" t="s">
        <v>1542</v>
      </c>
      <c r="AA456" s="43" t="s">
        <v>1542</v>
      </c>
      <c r="AB456" s="46">
        <f t="shared" si="39"/>
        <v>0</v>
      </c>
      <c r="AC456" s="44" t="s">
        <v>1542</v>
      </c>
      <c r="AD456" s="44" t="s">
        <v>1542</v>
      </c>
      <c r="AE456" s="44" t="s">
        <v>1542</v>
      </c>
      <c r="AF456" s="44" t="s">
        <v>1542</v>
      </c>
      <c r="AG456" s="44" t="s">
        <v>1542</v>
      </c>
      <c r="AH456" s="44" t="s">
        <v>1542</v>
      </c>
      <c r="AI456" s="44" t="s">
        <v>1542</v>
      </c>
      <c r="AJ456" s="44" t="s">
        <v>1542</v>
      </c>
      <c r="AK456" s="44" t="s">
        <v>1542</v>
      </c>
      <c r="AL456" s="44" t="s">
        <v>1542</v>
      </c>
      <c r="AM456" s="44" t="s">
        <v>1542</v>
      </c>
      <c r="AN456" s="44" t="s">
        <v>1542</v>
      </c>
      <c r="AO456" s="46">
        <f t="shared" si="35"/>
        <v>0</v>
      </c>
      <c r="AP456" s="43" t="s">
        <v>1542</v>
      </c>
      <c r="AQ456" s="43" t="s">
        <v>1542</v>
      </c>
      <c r="AR456" s="43" t="s">
        <v>1542</v>
      </c>
      <c r="AS456" s="43" t="s">
        <v>1542</v>
      </c>
      <c r="AT456" s="43" t="s">
        <v>1542</v>
      </c>
      <c r="AU456" s="43" t="s">
        <v>1542</v>
      </c>
      <c r="AV456" s="43" t="s">
        <v>1542</v>
      </c>
      <c r="AW456" s="43" t="s">
        <v>1542</v>
      </c>
      <c r="AX456" s="43" t="s">
        <v>1542</v>
      </c>
      <c r="AY456" s="43" t="s">
        <v>1542</v>
      </c>
      <c r="AZ456" s="43" t="s">
        <v>1542</v>
      </c>
      <c r="BA456" s="43" t="s">
        <v>1542</v>
      </c>
      <c r="BB456" s="46">
        <f t="shared" si="36"/>
        <v>0</v>
      </c>
      <c r="BC456" s="44" t="s">
        <v>1542</v>
      </c>
      <c r="BD456" s="44" t="s">
        <v>1542</v>
      </c>
      <c r="BE456" s="44" t="s">
        <v>1542</v>
      </c>
      <c r="BF456" s="44" t="s">
        <v>1542</v>
      </c>
      <c r="BG456" s="44" t="s">
        <v>1542</v>
      </c>
      <c r="BH456" s="44" t="s">
        <v>1542</v>
      </c>
      <c r="BI456" s="44" t="s">
        <v>1542</v>
      </c>
      <c r="BJ456" s="44" t="s">
        <v>1542</v>
      </c>
      <c r="BK456" s="44" t="s">
        <v>1542</v>
      </c>
      <c r="BL456" s="44" t="s">
        <v>1542</v>
      </c>
      <c r="BM456" s="44" t="s">
        <v>1542</v>
      </c>
      <c r="BN456" s="44" t="s">
        <v>1542</v>
      </c>
      <c r="BO456" s="46">
        <f t="shared" si="37"/>
        <v>0</v>
      </c>
      <c r="BP456" s="43" t="s">
        <v>1542</v>
      </c>
      <c r="BQ456" s="43" t="s">
        <v>1542</v>
      </c>
      <c r="BR456" s="43" t="s">
        <v>1542</v>
      </c>
      <c r="BS456" s="43" t="s">
        <v>1542</v>
      </c>
      <c r="BT456" s="43" t="s">
        <v>1542</v>
      </c>
      <c r="BU456" s="43" t="s">
        <v>1542</v>
      </c>
      <c r="BV456" s="43" t="s">
        <v>1542</v>
      </c>
      <c r="BW456" s="43" t="s">
        <v>1542</v>
      </c>
      <c r="BX456" s="43" t="s">
        <v>1542</v>
      </c>
      <c r="BY456" s="43" t="s">
        <v>1542</v>
      </c>
      <c r="BZ456" s="43" t="s">
        <v>1542</v>
      </c>
      <c r="CA456" s="43" t="s">
        <v>1542</v>
      </c>
    </row>
    <row r="457" spans="1:79">
      <c r="A457">
        <v>456</v>
      </c>
      <c r="C457" t="s">
        <v>2935</v>
      </c>
      <c r="D457" t="s">
        <v>2936</v>
      </c>
      <c r="E457" t="s">
        <v>2974</v>
      </c>
      <c r="F457" t="s">
        <v>2975</v>
      </c>
      <c r="G457" t="s">
        <v>3603</v>
      </c>
      <c r="H457" t="s">
        <v>3607</v>
      </c>
      <c r="I457" t="s">
        <v>3607</v>
      </c>
      <c r="J457" t="s">
        <v>3608</v>
      </c>
      <c r="K457" t="s">
        <v>3605</v>
      </c>
      <c r="M457" s="1" t="s">
        <v>3609</v>
      </c>
      <c r="N457" t="s">
        <v>3610</v>
      </c>
      <c r="O457" s="46">
        <f t="shared" si="38"/>
        <v>0</v>
      </c>
      <c r="P457" s="43"/>
      <c r="Q457" s="43"/>
      <c r="R457" s="43"/>
      <c r="S457" s="43"/>
      <c r="T457" s="43"/>
      <c r="U457" s="43"/>
      <c r="V457" s="43"/>
      <c r="W457" s="43"/>
      <c r="X457" s="43"/>
      <c r="Y457" s="43"/>
      <c r="Z457" s="43"/>
      <c r="AA457" s="43"/>
      <c r="AB457" s="46">
        <f t="shared" si="39"/>
        <v>0</v>
      </c>
      <c r="AC457" s="44"/>
      <c r="AD457" s="44"/>
      <c r="AE457" s="44"/>
      <c r="AF457" s="44"/>
      <c r="AG457" s="44"/>
      <c r="AH457" s="44"/>
      <c r="AI457" s="44"/>
      <c r="AJ457" s="44"/>
      <c r="AK457" s="44"/>
      <c r="AL457" s="44"/>
      <c r="AM457" s="44"/>
      <c r="AN457" s="44"/>
      <c r="AO457" s="46">
        <f t="shared" si="35"/>
        <v>0</v>
      </c>
      <c r="AP457" s="43"/>
      <c r="AQ457" s="43"/>
      <c r="AR457" s="43"/>
      <c r="AS457" s="43"/>
      <c r="AT457" s="43"/>
      <c r="AU457" s="43"/>
      <c r="AV457" s="43"/>
      <c r="AW457" s="43"/>
      <c r="AX457" s="43"/>
      <c r="AY457" s="43"/>
      <c r="AZ457" s="43"/>
      <c r="BA457" s="43"/>
      <c r="BB457" s="46">
        <f t="shared" si="36"/>
        <v>0</v>
      </c>
      <c r="BC457" s="44"/>
      <c r="BD457" s="44"/>
      <c r="BE457" s="44"/>
      <c r="BF457" s="44"/>
      <c r="BG457" s="44"/>
      <c r="BH457" s="44"/>
      <c r="BI457" s="44"/>
      <c r="BJ457" s="44"/>
      <c r="BK457" s="44"/>
      <c r="BL457" s="44"/>
      <c r="BM457" s="44"/>
      <c r="BN457" s="44"/>
      <c r="BO457" s="46">
        <f t="shared" si="37"/>
        <v>0</v>
      </c>
      <c r="BP457" s="43"/>
      <c r="BQ457" s="43"/>
      <c r="BR457" s="43"/>
      <c r="BS457" s="43"/>
      <c r="BT457" s="43"/>
      <c r="BU457" s="43"/>
      <c r="BV457" s="43"/>
      <c r="BW457" s="43"/>
      <c r="BX457" s="43"/>
      <c r="BY457" s="43"/>
      <c r="BZ457" s="43"/>
      <c r="CA457" s="43"/>
    </row>
    <row r="458" spans="1:79">
      <c r="A458">
        <v>457</v>
      </c>
      <c r="B458">
        <v>1</v>
      </c>
      <c r="C458" t="s">
        <v>2935</v>
      </c>
      <c r="D458" t="s">
        <v>2936</v>
      </c>
      <c r="E458" t="s">
        <v>2974</v>
      </c>
      <c r="F458" t="s">
        <v>2975</v>
      </c>
      <c r="G458" t="s">
        <v>3611</v>
      </c>
      <c r="H458" t="s">
        <v>3611</v>
      </c>
      <c r="J458" t="s">
        <v>3612</v>
      </c>
      <c r="K458" t="s">
        <v>3613</v>
      </c>
      <c r="M458" s="1" t="s">
        <v>3614</v>
      </c>
      <c r="O458" s="46">
        <f t="shared" si="38"/>
        <v>0</v>
      </c>
      <c r="P458" s="43" t="s">
        <v>1542</v>
      </c>
      <c r="Q458" s="43" t="s">
        <v>1542</v>
      </c>
      <c r="R458" s="43" t="s">
        <v>1542</v>
      </c>
      <c r="S458" s="43" t="s">
        <v>1542</v>
      </c>
      <c r="T458" s="43" t="s">
        <v>1542</v>
      </c>
      <c r="U458" s="43" t="s">
        <v>1542</v>
      </c>
      <c r="V458" s="43" t="s">
        <v>1542</v>
      </c>
      <c r="W458" s="43" t="s">
        <v>1542</v>
      </c>
      <c r="X458" s="43" t="s">
        <v>1542</v>
      </c>
      <c r="Y458" s="43" t="s">
        <v>1542</v>
      </c>
      <c r="Z458" s="43" t="s">
        <v>1542</v>
      </c>
      <c r="AA458" s="43" t="s">
        <v>1542</v>
      </c>
      <c r="AB458" s="46">
        <f t="shared" si="39"/>
        <v>0</v>
      </c>
      <c r="AC458" s="44" t="s">
        <v>1542</v>
      </c>
      <c r="AD458" s="44" t="s">
        <v>1542</v>
      </c>
      <c r="AE458" s="44" t="s">
        <v>1542</v>
      </c>
      <c r="AF458" s="44" t="s">
        <v>1542</v>
      </c>
      <c r="AG458" s="44" t="s">
        <v>1542</v>
      </c>
      <c r="AH458" s="44" t="s">
        <v>1542</v>
      </c>
      <c r="AI458" s="44" t="s">
        <v>1542</v>
      </c>
      <c r="AJ458" s="44" t="s">
        <v>1542</v>
      </c>
      <c r="AK458" s="44" t="s">
        <v>1542</v>
      </c>
      <c r="AL458" s="44" t="s">
        <v>1542</v>
      </c>
      <c r="AM458" s="44" t="s">
        <v>1542</v>
      </c>
      <c r="AN458" s="44" t="s">
        <v>1542</v>
      </c>
      <c r="AO458" s="46">
        <f t="shared" si="35"/>
        <v>0</v>
      </c>
      <c r="AP458" s="43" t="s">
        <v>1542</v>
      </c>
      <c r="AQ458" s="43" t="s">
        <v>1542</v>
      </c>
      <c r="AR458" s="43" t="s">
        <v>1542</v>
      </c>
      <c r="AS458" s="43" t="s">
        <v>1542</v>
      </c>
      <c r="AT458" s="43" t="s">
        <v>1542</v>
      </c>
      <c r="AU458" s="43" t="s">
        <v>1542</v>
      </c>
      <c r="AV458" s="43" t="s">
        <v>1542</v>
      </c>
      <c r="AW458" s="43" t="s">
        <v>1542</v>
      </c>
      <c r="AX458" s="43" t="s">
        <v>1542</v>
      </c>
      <c r="AY458" s="43" t="s">
        <v>1542</v>
      </c>
      <c r="AZ458" s="43" t="s">
        <v>1542</v>
      </c>
      <c r="BA458" s="43" t="s">
        <v>1542</v>
      </c>
      <c r="BB458" s="46">
        <f t="shared" si="36"/>
        <v>0</v>
      </c>
      <c r="BC458" s="44" t="s">
        <v>1542</v>
      </c>
      <c r="BD458" s="44" t="s">
        <v>1542</v>
      </c>
      <c r="BE458" s="44" t="s">
        <v>1542</v>
      </c>
      <c r="BF458" s="44" t="s">
        <v>1542</v>
      </c>
      <c r="BG458" s="44" t="s">
        <v>1542</v>
      </c>
      <c r="BH458" s="44" t="s">
        <v>1542</v>
      </c>
      <c r="BI458" s="44" t="s">
        <v>1542</v>
      </c>
      <c r="BJ458" s="44" t="s">
        <v>1542</v>
      </c>
      <c r="BK458" s="44" t="s">
        <v>1542</v>
      </c>
      <c r="BL458" s="44" t="s">
        <v>1542</v>
      </c>
      <c r="BM458" s="44" t="s">
        <v>1542</v>
      </c>
      <c r="BN458" s="44" t="s">
        <v>1542</v>
      </c>
      <c r="BO458" s="46">
        <f t="shared" si="37"/>
        <v>0</v>
      </c>
      <c r="BP458" s="43" t="s">
        <v>1542</v>
      </c>
      <c r="BQ458" s="43" t="s">
        <v>1542</v>
      </c>
      <c r="BR458" s="43" t="s">
        <v>1542</v>
      </c>
      <c r="BS458" s="43" t="s">
        <v>1542</v>
      </c>
      <c r="BT458" s="43" t="s">
        <v>1542</v>
      </c>
      <c r="BU458" s="43" t="s">
        <v>1542</v>
      </c>
      <c r="BV458" s="43" t="s">
        <v>1542</v>
      </c>
      <c r="BW458" s="43" t="s">
        <v>1542</v>
      </c>
      <c r="BX458" s="43" t="s">
        <v>1542</v>
      </c>
      <c r="BY458" s="43" t="s">
        <v>1542</v>
      </c>
      <c r="BZ458" s="43" t="s">
        <v>1542</v>
      </c>
      <c r="CA458" s="43" t="s">
        <v>1542</v>
      </c>
    </row>
    <row r="459" spans="1:79">
      <c r="A459">
        <v>458</v>
      </c>
      <c r="B459">
        <v>1</v>
      </c>
      <c r="C459" t="s">
        <v>2935</v>
      </c>
      <c r="D459" t="s">
        <v>2936</v>
      </c>
      <c r="E459" t="s">
        <v>2974</v>
      </c>
      <c r="F459" t="s">
        <v>2975</v>
      </c>
      <c r="G459" t="s">
        <v>3615</v>
      </c>
      <c r="H459" t="s">
        <v>3615</v>
      </c>
      <c r="J459" t="s">
        <v>3616</v>
      </c>
      <c r="K459" t="s">
        <v>3617</v>
      </c>
      <c r="M459" s="1" t="s">
        <v>3618</v>
      </c>
      <c r="N459" t="s">
        <v>3619</v>
      </c>
      <c r="O459" s="46">
        <f t="shared" si="38"/>
        <v>0</v>
      </c>
      <c r="P459" s="43" t="s">
        <v>1542</v>
      </c>
      <c r="Q459" s="43" t="s">
        <v>1542</v>
      </c>
      <c r="R459" s="43" t="s">
        <v>1542</v>
      </c>
      <c r="S459" s="43" t="s">
        <v>1542</v>
      </c>
      <c r="T459" s="43" t="s">
        <v>1542</v>
      </c>
      <c r="U459" s="43" t="s">
        <v>1542</v>
      </c>
      <c r="V459" s="43" t="s">
        <v>1542</v>
      </c>
      <c r="W459" s="43" t="s">
        <v>1542</v>
      </c>
      <c r="X459" s="43" t="s">
        <v>1542</v>
      </c>
      <c r="Y459" s="43" t="s">
        <v>1542</v>
      </c>
      <c r="Z459" s="43" t="s">
        <v>1542</v>
      </c>
      <c r="AA459" s="43" t="s">
        <v>1542</v>
      </c>
      <c r="AB459" s="46">
        <f t="shared" si="39"/>
        <v>0</v>
      </c>
      <c r="AC459" s="44" t="s">
        <v>1542</v>
      </c>
      <c r="AD459" s="44" t="s">
        <v>1542</v>
      </c>
      <c r="AE459" s="44" t="s">
        <v>1542</v>
      </c>
      <c r="AF459" s="44" t="s">
        <v>1542</v>
      </c>
      <c r="AG459" s="44" t="s">
        <v>1542</v>
      </c>
      <c r="AH459" s="44" t="s">
        <v>1542</v>
      </c>
      <c r="AI459" s="44" t="s">
        <v>1542</v>
      </c>
      <c r="AJ459" s="44" t="s">
        <v>1542</v>
      </c>
      <c r="AK459" s="44" t="s">
        <v>1542</v>
      </c>
      <c r="AL459" s="44" t="s">
        <v>1542</v>
      </c>
      <c r="AM459" s="44" t="s">
        <v>1542</v>
      </c>
      <c r="AN459" s="44" t="s">
        <v>1542</v>
      </c>
      <c r="AO459" s="46">
        <f t="shared" si="35"/>
        <v>0</v>
      </c>
      <c r="AP459" s="43" t="s">
        <v>1542</v>
      </c>
      <c r="AQ459" s="43" t="s">
        <v>1542</v>
      </c>
      <c r="AR459" s="43" t="s">
        <v>1542</v>
      </c>
      <c r="AS459" s="43" t="s">
        <v>1542</v>
      </c>
      <c r="AT459" s="43" t="s">
        <v>1542</v>
      </c>
      <c r="AU459" s="43" t="s">
        <v>1542</v>
      </c>
      <c r="AV459" s="43" t="s">
        <v>1542</v>
      </c>
      <c r="AW459" s="43" t="s">
        <v>1542</v>
      </c>
      <c r="AX459" s="43" t="s">
        <v>1542</v>
      </c>
      <c r="AY459" s="43" t="s">
        <v>1542</v>
      </c>
      <c r="AZ459" s="43" t="s">
        <v>1542</v>
      </c>
      <c r="BA459" s="43" t="s">
        <v>1542</v>
      </c>
      <c r="BB459" s="46">
        <f t="shared" si="36"/>
        <v>0</v>
      </c>
      <c r="BC459" s="44" t="s">
        <v>1554</v>
      </c>
      <c r="BD459" s="44" t="s">
        <v>1554</v>
      </c>
      <c r="BE459" s="44" t="s">
        <v>1554</v>
      </c>
      <c r="BF459" s="44" t="s">
        <v>1554</v>
      </c>
      <c r="BG459" s="44" t="s">
        <v>1542</v>
      </c>
      <c r="BH459" s="44" t="s">
        <v>1542</v>
      </c>
      <c r="BI459" s="44" t="s">
        <v>1542</v>
      </c>
      <c r="BJ459" s="44" t="s">
        <v>1542</v>
      </c>
      <c r="BK459" s="44" t="s">
        <v>1542</v>
      </c>
      <c r="BL459" s="44" t="s">
        <v>1542</v>
      </c>
      <c r="BM459" s="44" t="s">
        <v>1542</v>
      </c>
      <c r="BN459" s="44" t="s">
        <v>1542</v>
      </c>
      <c r="BO459" s="46">
        <f t="shared" si="37"/>
        <v>4</v>
      </c>
      <c r="BP459" s="43" t="s">
        <v>1542</v>
      </c>
      <c r="BQ459" s="43" t="s">
        <v>1542</v>
      </c>
      <c r="BR459" s="43" t="s">
        <v>1542</v>
      </c>
      <c r="BS459" s="43" t="s">
        <v>1542</v>
      </c>
      <c r="BT459" s="43" t="s">
        <v>1542</v>
      </c>
      <c r="BU459" s="43" t="s">
        <v>1542</v>
      </c>
      <c r="BV459" s="43" t="s">
        <v>1542</v>
      </c>
      <c r="BW459" s="43" t="s">
        <v>1542</v>
      </c>
      <c r="BX459" s="43" t="s">
        <v>1542</v>
      </c>
      <c r="BY459" s="43" t="s">
        <v>1542</v>
      </c>
      <c r="BZ459" s="43" t="s">
        <v>1542</v>
      </c>
      <c r="CA459" s="43" t="s">
        <v>1542</v>
      </c>
    </row>
    <row r="460" spans="1:79">
      <c r="A460">
        <v>459</v>
      </c>
      <c r="B460" t="s">
        <v>1543</v>
      </c>
      <c r="C460" t="s">
        <v>2935</v>
      </c>
      <c r="D460" t="s">
        <v>2936</v>
      </c>
      <c r="E460" t="s">
        <v>2974</v>
      </c>
      <c r="F460" t="s">
        <v>2975</v>
      </c>
      <c r="G460" t="s">
        <v>3620</v>
      </c>
      <c r="H460" t="s">
        <v>3620</v>
      </c>
      <c r="J460" t="s">
        <v>3621</v>
      </c>
      <c r="K460" t="s">
        <v>3622</v>
      </c>
      <c r="M460" s="1" t="s">
        <v>3623</v>
      </c>
      <c r="N460" t="s">
        <v>3624</v>
      </c>
      <c r="O460" s="46">
        <f t="shared" si="38"/>
        <v>0</v>
      </c>
      <c r="P460" s="43"/>
      <c r="Q460" s="43"/>
      <c r="R460" s="43"/>
      <c r="S460" s="43"/>
      <c r="T460" s="43"/>
      <c r="U460" s="43"/>
      <c r="V460" s="43"/>
      <c r="W460" s="43"/>
      <c r="X460" s="43"/>
      <c r="Y460" s="43"/>
      <c r="Z460" s="43"/>
      <c r="AA460" s="43"/>
      <c r="AB460" s="46">
        <f t="shared" si="39"/>
        <v>0</v>
      </c>
      <c r="AC460" s="44"/>
      <c r="AD460" s="44"/>
      <c r="AE460" s="44"/>
      <c r="AF460" s="44"/>
      <c r="AG460" s="44"/>
      <c r="AH460" s="44"/>
      <c r="AI460" s="44"/>
      <c r="AJ460" s="44"/>
      <c r="AK460" s="44"/>
      <c r="AL460" s="44"/>
      <c r="AM460" s="44"/>
      <c r="AN460" s="44"/>
      <c r="AO460" s="46">
        <f t="shared" si="35"/>
        <v>0</v>
      </c>
      <c r="AP460" s="43" t="s">
        <v>1542</v>
      </c>
      <c r="AQ460" s="43" t="s">
        <v>1542</v>
      </c>
      <c r="AR460" s="43" t="s">
        <v>1542</v>
      </c>
      <c r="AS460" s="43" t="s">
        <v>1542</v>
      </c>
      <c r="AT460" s="43" t="s">
        <v>1554</v>
      </c>
      <c r="AU460" s="43"/>
      <c r="AV460" s="43"/>
      <c r="AW460" s="43"/>
      <c r="AX460" s="43"/>
      <c r="AY460" s="43"/>
      <c r="AZ460" s="43"/>
      <c r="BA460" s="43"/>
      <c r="BB460" s="46">
        <f t="shared" si="36"/>
        <v>1</v>
      </c>
      <c r="BC460" s="44" t="s">
        <v>1542</v>
      </c>
      <c r="BD460" s="44" t="s">
        <v>1542</v>
      </c>
      <c r="BE460" s="44" t="s">
        <v>1542</v>
      </c>
      <c r="BF460" s="44" t="s">
        <v>1542</v>
      </c>
      <c r="BG460" s="44" t="s">
        <v>1542</v>
      </c>
      <c r="BH460" s="44" t="s">
        <v>1542</v>
      </c>
      <c r="BI460" s="44" t="s">
        <v>1542</v>
      </c>
      <c r="BJ460" s="44" t="s">
        <v>1542</v>
      </c>
      <c r="BK460" s="44" t="s">
        <v>1542</v>
      </c>
      <c r="BL460" s="44" t="s">
        <v>1542</v>
      </c>
      <c r="BM460" s="44" t="s">
        <v>1542</v>
      </c>
      <c r="BN460" s="44" t="s">
        <v>1542</v>
      </c>
      <c r="BO460" s="46">
        <f t="shared" si="37"/>
        <v>0</v>
      </c>
      <c r="BP460" s="43" t="s">
        <v>1542</v>
      </c>
      <c r="BQ460" s="43" t="s">
        <v>1542</v>
      </c>
      <c r="BR460" s="43" t="s">
        <v>1542</v>
      </c>
      <c r="BS460" s="43" t="s">
        <v>1542</v>
      </c>
      <c r="BT460" s="43" t="s">
        <v>1542</v>
      </c>
      <c r="BU460" s="43" t="s">
        <v>1542</v>
      </c>
      <c r="BV460" s="43" t="s">
        <v>1542</v>
      </c>
      <c r="BW460" s="43" t="s">
        <v>1542</v>
      </c>
      <c r="BX460" s="43" t="s">
        <v>1542</v>
      </c>
      <c r="BY460" s="43" t="s">
        <v>1542</v>
      </c>
      <c r="BZ460" s="43" t="s">
        <v>1542</v>
      </c>
      <c r="CA460" s="43" t="s">
        <v>1542</v>
      </c>
    </row>
    <row r="461" spans="1:79">
      <c r="A461">
        <v>460</v>
      </c>
      <c r="B461">
        <v>1</v>
      </c>
      <c r="C461" t="s">
        <v>2935</v>
      </c>
      <c r="D461" t="s">
        <v>2936</v>
      </c>
      <c r="E461" t="s">
        <v>2974</v>
      </c>
      <c r="F461" t="s">
        <v>2975</v>
      </c>
      <c r="G461" t="s">
        <v>3625</v>
      </c>
      <c r="H461" t="s">
        <v>3625</v>
      </c>
      <c r="J461" t="s">
        <v>3626</v>
      </c>
      <c r="K461" t="s">
        <v>3627</v>
      </c>
      <c r="M461" s="1" t="s">
        <v>3628</v>
      </c>
      <c r="O461" s="46">
        <f t="shared" si="38"/>
        <v>0</v>
      </c>
      <c r="P461" s="43" t="s">
        <v>1542</v>
      </c>
      <c r="Q461" s="43" t="s">
        <v>1542</v>
      </c>
      <c r="R461" s="43" t="s">
        <v>1542</v>
      </c>
      <c r="S461" s="43" t="s">
        <v>1542</v>
      </c>
      <c r="T461" s="43" t="s">
        <v>1542</v>
      </c>
      <c r="U461" s="43" t="s">
        <v>1542</v>
      </c>
      <c r="V461" s="43" t="s">
        <v>1542</v>
      </c>
      <c r="W461" s="43" t="s">
        <v>1542</v>
      </c>
      <c r="X461" s="43" t="s">
        <v>1542</v>
      </c>
      <c r="Y461" s="43" t="s">
        <v>1542</v>
      </c>
      <c r="Z461" s="43" t="s">
        <v>1542</v>
      </c>
      <c r="AA461" s="43" t="s">
        <v>1542</v>
      </c>
      <c r="AB461" s="46">
        <f t="shared" si="39"/>
        <v>0</v>
      </c>
      <c r="AC461" s="44" t="s">
        <v>1542</v>
      </c>
      <c r="AD461" s="44" t="s">
        <v>1542</v>
      </c>
      <c r="AE461" s="44" t="s">
        <v>1542</v>
      </c>
      <c r="AF461" s="44" t="s">
        <v>1542</v>
      </c>
      <c r="AG461" s="44" t="s">
        <v>1542</v>
      </c>
      <c r="AH461" s="44" t="s">
        <v>1542</v>
      </c>
      <c r="AI461" s="44" t="s">
        <v>1542</v>
      </c>
      <c r="AJ461" s="44" t="s">
        <v>1542</v>
      </c>
      <c r="AK461" s="44" t="s">
        <v>1542</v>
      </c>
      <c r="AL461" s="44" t="s">
        <v>1542</v>
      </c>
      <c r="AM461" s="44" t="s">
        <v>1542</v>
      </c>
      <c r="AN461" s="44" t="s">
        <v>1542</v>
      </c>
      <c r="AO461" s="46">
        <f t="shared" si="35"/>
        <v>0</v>
      </c>
      <c r="AP461" s="43" t="s">
        <v>1542</v>
      </c>
      <c r="AQ461" s="43" t="s">
        <v>1542</v>
      </c>
      <c r="AR461" s="43" t="s">
        <v>1542</v>
      </c>
      <c r="AS461" s="43" t="s">
        <v>1542</v>
      </c>
      <c r="AT461" s="43" t="s">
        <v>1542</v>
      </c>
      <c r="AU461" s="43" t="s">
        <v>1542</v>
      </c>
      <c r="AV461" s="43" t="s">
        <v>1542</v>
      </c>
      <c r="AW461" s="43" t="s">
        <v>1542</v>
      </c>
      <c r="AX461" s="43" t="s">
        <v>1542</v>
      </c>
      <c r="AY461" s="43" t="s">
        <v>1542</v>
      </c>
      <c r="AZ461" s="43" t="s">
        <v>1542</v>
      </c>
      <c r="BA461" s="43" t="s">
        <v>1542</v>
      </c>
      <c r="BB461" s="46">
        <f t="shared" si="36"/>
        <v>0</v>
      </c>
      <c r="BC461" s="44" t="s">
        <v>1542</v>
      </c>
      <c r="BD461" s="44" t="s">
        <v>1542</v>
      </c>
      <c r="BE461" s="44" t="s">
        <v>1542</v>
      </c>
      <c r="BF461" s="44" t="s">
        <v>1542</v>
      </c>
      <c r="BG461" s="44" t="s">
        <v>1542</v>
      </c>
      <c r="BH461" s="44" t="s">
        <v>1542</v>
      </c>
      <c r="BI461" s="44" t="s">
        <v>1542</v>
      </c>
      <c r="BJ461" s="44" t="s">
        <v>1542</v>
      </c>
      <c r="BK461" s="44" t="s">
        <v>1542</v>
      </c>
      <c r="BL461" s="44" t="s">
        <v>1542</v>
      </c>
      <c r="BM461" s="44" t="s">
        <v>1542</v>
      </c>
      <c r="BN461" s="44" t="s">
        <v>1542</v>
      </c>
      <c r="BO461" s="46">
        <f t="shared" si="37"/>
        <v>0</v>
      </c>
      <c r="BP461" s="43" t="s">
        <v>1542</v>
      </c>
      <c r="BQ461" s="43" t="s">
        <v>1542</v>
      </c>
      <c r="BR461" s="43" t="s">
        <v>1542</v>
      </c>
      <c r="BS461" s="43" t="s">
        <v>1542</v>
      </c>
      <c r="BT461" s="43" t="s">
        <v>1542</v>
      </c>
      <c r="BU461" s="43" t="s">
        <v>1542</v>
      </c>
      <c r="BV461" s="43" t="s">
        <v>1542</v>
      </c>
      <c r="BW461" s="43" t="s">
        <v>1542</v>
      </c>
      <c r="BX461" s="43" t="s">
        <v>1542</v>
      </c>
      <c r="BY461" s="43" t="s">
        <v>1542</v>
      </c>
      <c r="BZ461" s="43" t="s">
        <v>1542</v>
      </c>
      <c r="CA461" s="43" t="s">
        <v>1542</v>
      </c>
    </row>
    <row r="462" spans="1:79">
      <c r="A462">
        <v>461</v>
      </c>
      <c r="B462">
        <v>1</v>
      </c>
      <c r="C462" t="s">
        <v>2935</v>
      </c>
      <c r="D462" t="s">
        <v>2936</v>
      </c>
      <c r="E462" t="s">
        <v>2974</v>
      </c>
      <c r="F462" t="s">
        <v>2975</v>
      </c>
      <c r="G462" t="s">
        <v>3629</v>
      </c>
      <c r="H462" t="s">
        <v>3629</v>
      </c>
      <c r="J462" t="s">
        <v>3630</v>
      </c>
      <c r="K462" t="s">
        <v>3631</v>
      </c>
      <c r="M462" s="1" t="s">
        <v>3632</v>
      </c>
      <c r="O462" s="46">
        <f t="shared" si="38"/>
        <v>0</v>
      </c>
      <c r="P462" s="43" t="s">
        <v>1542</v>
      </c>
      <c r="Q462" s="43" t="s">
        <v>1542</v>
      </c>
      <c r="R462" s="43" t="s">
        <v>1542</v>
      </c>
      <c r="S462" s="43" t="s">
        <v>1542</v>
      </c>
      <c r="T462" s="43" t="s">
        <v>1542</v>
      </c>
      <c r="U462" s="43" t="s">
        <v>1542</v>
      </c>
      <c r="V462" s="43" t="s">
        <v>1542</v>
      </c>
      <c r="W462" s="43" t="s">
        <v>1542</v>
      </c>
      <c r="X462" s="43" t="s">
        <v>1542</v>
      </c>
      <c r="Y462" s="43" t="s">
        <v>1542</v>
      </c>
      <c r="Z462" s="43" t="s">
        <v>1542</v>
      </c>
      <c r="AA462" s="43" t="s">
        <v>1542</v>
      </c>
      <c r="AB462" s="46">
        <f t="shared" si="39"/>
        <v>0</v>
      </c>
      <c r="AC462" s="44" t="s">
        <v>1542</v>
      </c>
      <c r="AD462" s="44" t="s">
        <v>1542</v>
      </c>
      <c r="AE462" s="44" t="s">
        <v>1542</v>
      </c>
      <c r="AF462" s="44" t="s">
        <v>1542</v>
      </c>
      <c r="AG462" s="44" t="s">
        <v>1542</v>
      </c>
      <c r="AH462" s="44" t="s">
        <v>1542</v>
      </c>
      <c r="AI462" s="44" t="s">
        <v>1542</v>
      </c>
      <c r="AJ462" s="44" t="s">
        <v>1542</v>
      </c>
      <c r="AK462" s="44" t="s">
        <v>1542</v>
      </c>
      <c r="AL462" s="44" t="s">
        <v>1542</v>
      </c>
      <c r="AM462" s="44" t="s">
        <v>1542</v>
      </c>
      <c r="AN462" s="44" t="s">
        <v>1542</v>
      </c>
      <c r="AO462" s="46">
        <f t="shared" si="35"/>
        <v>0</v>
      </c>
      <c r="AP462" s="43" t="s">
        <v>1542</v>
      </c>
      <c r="AQ462" s="43" t="s">
        <v>1542</v>
      </c>
      <c r="AR462" s="43" t="s">
        <v>1542</v>
      </c>
      <c r="AS462" s="43" t="s">
        <v>1542</v>
      </c>
      <c r="AT462" s="43" t="s">
        <v>1542</v>
      </c>
      <c r="AU462" s="43" t="s">
        <v>1542</v>
      </c>
      <c r="AV462" s="43" t="s">
        <v>1542</v>
      </c>
      <c r="AW462" s="43" t="s">
        <v>1542</v>
      </c>
      <c r="AX462" s="43" t="s">
        <v>1542</v>
      </c>
      <c r="AY462" s="43" t="s">
        <v>1542</v>
      </c>
      <c r="AZ462" s="43" t="s">
        <v>1542</v>
      </c>
      <c r="BA462" s="43" t="s">
        <v>1542</v>
      </c>
      <c r="BB462" s="46">
        <f t="shared" si="36"/>
        <v>0</v>
      </c>
      <c r="BC462" s="44" t="s">
        <v>1542</v>
      </c>
      <c r="BD462" s="44" t="s">
        <v>1542</v>
      </c>
      <c r="BE462" s="44" t="s">
        <v>1542</v>
      </c>
      <c r="BF462" s="44" t="s">
        <v>1542</v>
      </c>
      <c r="BG462" s="44" t="s">
        <v>1542</v>
      </c>
      <c r="BH462" s="44" t="s">
        <v>1542</v>
      </c>
      <c r="BI462" s="44" t="s">
        <v>1542</v>
      </c>
      <c r="BJ462" s="44" t="s">
        <v>1542</v>
      </c>
      <c r="BK462" s="44" t="s">
        <v>1542</v>
      </c>
      <c r="BL462" s="44" t="s">
        <v>1542</v>
      </c>
      <c r="BM462" s="44" t="s">
        <v>1542</v>
      </c>
      <c r="BN462" s="44" t="s">
        <v>1542</v>
      </c>
      <c r="BO462" s="46">
        <f t="shared" si="37"/>
        <v>0</v>
      </c>
      <c r="BP462" s="43" t="s">
        <v>1542</v>
      </c>
      <c r="BQ462" s="43" t="s">
        <v>1542</v>
      </c>
      <c r="BR462" s="43" t="s">
        <v>1542</v>
      </c>
      <c r="BS462" s="43" t="s">
        <v>1542</v>
      </c>
      <c r="BT462" s="43" t="s">
        <v>1542</v>
      </c>
      <c r="BU462" s="43" t="s">
        <v>1542</v>
      </c>
      <c r="BV462" s="43" t="s">
        <v>1542</v>
      </c>
      <c r="BW462" s="43" t="s">
        <v>1542</v>
      </c>
      <c r="BX462" s="43" t="s">
        <v>1542</v>
      </c>
      <c r="BY462" s="43" t="s">
        <v>1542</v>
      </c>
      <c r="BZ462" s="43" t="s">
        <v>1542</v>
      </c>
      <c r="CA462" s="43" t="s">
        <v>1542</v>
      </c>
    </row>
    <row r="463" spans="1:79">
      <c r="A463">
        <v>462</v>
      </c>
      <c r="C463" t="s">
        <v>2935</v>
      </c>
      <c r="D463" t="s">
        <v>2936</v>
      </c>
      <c r="E463" t="s">
        <v>2974</v>
      </c>
      <c r="F463" t="s">
        <v>2975</v>
      </c>
      <c r="G463" t="s">
        <v>3629</v>
      </c>
      <c r="H463" t="s">
        <v>3633</v>
      </c>
      <c r="I463" t="s">
        <v>3633</v>
      </c>
      <c r="J463" t="s">
        <v>3630</v>
      </c>
      <c r="K463" t="s">
        <v>3631</v>
      </c>
      <c r="M463" s="1" t="s">
        <v>3634</v>
      </c>
      <c r="N463" t="s">
        <v>3635</v>
      </c>
      <c r="O463" s="46">
        <f t="shared" si="38"/>
        <v>0</v>
      </c>
      <c r="P463" s="43"/>
      <c r="Q463" s="43"/>
      <c r="R463" s="43"/>
      <c r="S463" s="43"/>
      <c r="T463" s="43"/>
      <c r="U463" s="43"/>
      <c r="V463" s="43"/>
      <c r="W463" s="43"/>
      <c r="X463" s="43"/>
      <c r="Y463" s="43"/>
      <c r="Z463" s="43"/>
      <c r="AA463" s="43"/>
      <c r="AB463" s="46">
        <f t="shared" si="39"/>
        <v>0</v>
      </c>
      <c r="AC463" s="44"/>
      <c r="AD463" s="44"/>
      <c r="AE463" s="44"/>
      <c r="AF463" s="44"/>
      <c r="AG463" s="44"/>
      <c r="AH463" s="44"/>
      <c r="AI463" s="44"/>
      <c r="AJ463" s="44"/>
      <c r="AK463" s="44"/>
      <c r="AL463" s="44"/>
      <c r="AM463" s="44"/>
      <c r="AN463" s="44"/>
      <c r="AO463" s="46">
        <f t="shared" si="35"/>
        <v>0</v>
      </c>
      <c r="AP463" s="43"/>
      <c r="AQ463" s="43"/>
      <c r="AR463" s="43"/>
      <c r="AS463" s="43"/>
      <c r="AT463" s="43"/>
      <c r="AU463" s="43"/>
      <c r="AV463" s="43"/>
      <c r="AW463" s="43"/>
      <c r="AX463" s="43"/>
      <c r="AY463" s="43"/>
      <c r="AZ463" s="43"/>
      <c r="BA463" s="43"/>
      <c r="BB463" s="46">
        <f t="shared" si="36"/>
        <v>0</v>
      </c>
      <c r="BC463" s="44" t="s">
        <v>1542</v>
      </c>
      <c r="BD463" s="44" t="s">
        <v>1542</v>
      </c>
      <c r="BE463" s="44" t="s">
        <v>1542</v>
      </c>
      <c r="BF463" s="44" t="s">
        <v>1542</v>
      </c>
      <c r="BG463" s="44" t="s">
        <v>1542</v>
      </c>
      <c r="BH463" s="44" t="s">
        <v>1542</v>
      </c>
      <c r="BI463" s="44" t="s">
        <v>1542</v>
      </c>
      <c r="BJ463" s="44" t="s">
        <v>1542</v>
      </c>
      <c r="BK463" s="44"/>
      <c r="BL463" s="44"/>
      <c r="BM463" s="44"/>
      <c r="BN463" s="44"/>
      <c r="BO463" s="46">
        <f t="shared" si="37"/>
        <v>0</v>
      </c>
      <c r="BP463" s="43" t="s">
        <v>1542</v>
      </c>
      <c r="BQ463" s="43" t="s">
        <v>1542</v>
      </c>
      <c r="BR463" s="43" t="s">
        <v>1542</v>
      </c>
      <c r="BS463" s="43" t="s">
        <v>1542</v>
      </c>
      <c r="BT463" s="43" t="s">
        <v>1542</v>
      </c>
      <c r="BU463" s="43" t="s">
        <v>1542</v>
      </c>
      <c r="BV463" s="43" t="s">
        <v>1542</v>
      </c>
      <c r="BW463" s="43" t="s">
        <v>1542</v>
      </c>
      <c r="BX463" s="43" t="s">
        <v>1542</v>
      </c>
      <c r="BY463" s="43" t="s">
        <v>1542</v>
      </c>
      <c r="BZ463" s="43" t="s">
        <v>1542</v>
      </c>
      <c r="CA463" s="43" t="s">
        <v>1542</v>
      </c>
    </row>
    <row r="464" spans="1:79">
      <c r="A464">
        <v>463</v>
      </c>
      <c r="B464">
        <v>1</v>
      </c>
      <c r="C464" t="s">
        <v>2935</v>
      </c>
      <c r="D464" t="s">
        <v>2936</v>
      </c>
      <c r="E464" t="s">
        <v>2974</v>
      </c>
      <c r="F464" t="s">
        <v>2975</v>
      </c>
      <c r="G464" t="s">
        <v>3636</v>
      </c>
      <c r="H464" t="s">
        <v>3636</v>
      </c>
      <c r="J464" t="s">
        <v>3637</v>
      </c>
      <c r="K464" t="s">
        <v>3638</v>
      </c>
      <c r="L464" t="s">
        <v>1539</v>
      </c>
      <c r="M464" s="1" t="s">
        <v>3639</v>
      </c>
      <c r="N464" t="s">
        <v>3560</v>
      </c>
      <c r="O464" s="46">
        <f t="shared" si="38"/>
        <v>0</v>
      </c>
      <c r="P464" s="43" t="s">
        <v>1542</v>
      </c>
      <c r="Q464" s="43" t="s">
        <v>1542</v>
      </c>
      <c r="R464" s="43" t="s">
        <v>1542</v>
      </c>
      <c r="S464" s="43" t="s">
        <v>1542</v>
      </c>
      <c r="T464" s="43" t="s">
        <v>1542</v>
      </c>
      <c r="U464" s="43" t="s">
        <v>1542</v>
      </c>
      <c r="V464" s="43" t="s">
        <v>1542</v>
      </c>
      <c r="W464" s="43" t="s">
        <v>1542</v>
      </c>
      <c r="X464" s="43" t="s">
        <v>1542</v>
      </c>
      <c r="Y464" s="43" t="s">
        <v>1542</v>
      </c>
      <c r="Z464" s="43" t="s">
        <v>1542</v>
      </c>
      <c r="AA464" s="43" t="s">
        <v>1542</v>
      </c>
      <c r="AB464" s="46">
        <f t="shared" si="39"/>
        <v>0</v>
      </c>
      <c r="AC464" s="44" t="s">
        <v>1542</v>
      </c>
      <c r="AD464" s="44" t="s">
        <v>1542</v>
      </c>
      <c r="AE464" s="44" t="s">
        <v>1542</v>
      </c>
      <c r="AF464" s="44" t="s">
        <v>1542</v>
      </c>
      <c r="AG464" s="44" t="s">
        <v>1542</v>
      </c>
      <c r="AH464" s="44" t="s">
        <v>1542</v>
      </c>
      <c r="AI464" s="44" t="s">
        <v>1542</v>
      </c>
      <c r="AJ464" s="44" t="s">
        <v>1542</v>
      </c>
      <c r="AK464" s="44" t="s">
        <v>1542</v>
      </c>
      <c r="AL464" s="44" t="s">
        <v>1542</v>
      </c>
      <c r="AM464" s="44" t="s">
        <v>1542</v>
      </c>
      <c r="AN464" s="44" t="s">
        <v>1542</v>
      </c>
      <c r="AO464" s="46">
        <f t="shared" si="35"/>
        <v>0</v>
      </c>
      <c r="AP464" s="43" t="s">
        <v>1542</v>
      </c>
      <c r="AQ464" s="43" t="s">
        <v>1542</v>
      </c>
      <c r="AR464" s="43" t="s">
        <v>1542</v>
      </c>
      <c r="AS464" s="43" t="s">
        <v>1542</v>
      </c>
      <c r="AT464" s="43" t="s">
        <v>1542</v>
      </c>
      <c r="AU464" s="43" t="s">
        <v>1542</v>
      </c>
      <c r="AV464" s="43" t="s">
        <v>1542</v>
      </c>
      <c r="AW464" s="43" t="s">
        <v>1542</v>
      </c>
      <c r="AX464" s="43" t="s">
        <v>1542</v>
      </c>
      <c r="AY464" s="43" t="s">
        <v>1542</v>
      </c>
      <c r="AZ464" s="43" t="s">
        <v>1542</v>
      </c>
      <c r="BA464" s="43" t="s">
        <v>1542</v>
      </c>
      <c r="BB464" s="46">
        <f t="shared" si="36"/>
        <v>0</v>
      </c>
      <c r="BC464" s="44" t="s">
        <v>1554</v>
      </c>
      <c r="BD464" s="44" t="s">
        <v>1542</v>
      </c>
      <c r="BE464" s="44" t="s">
        <v>1542</v>
      </c>
      <c r="BF464" s="44" t="s">
        <v>1542</v>
      </c>
      <c r="BG464" s="44" t="s">
        <v>1542</v>
      </c>
      <c r="BH464" s="44" t="s">
        <v>1542</v>
      </c>
      <c r="BI464" s="44" t="s">
        <v>1542</v>
      </c>
      <c r="BJ464" s="44" t="s">
        <v>1542</v>
      </c>
      <c r="BK464" s="44" t="s">
        <v>1542</v>
      </c>
      <c r="BL464" s="44" t="s">
        <v>1542</v>
      </c>
      <c r="BM464" s="44" t="s">
        <v>1542</v>
      </c>
      <c r="BN464" s="44" t="s">
        <v>1542</v>
      </c>
      <c r="BO464" s="46">
        <f t="shared" si="37"/>
        <v>1</v>
      </c>
      <c r="BP464" s="43" t="s">
        <v>1542</v>
      </c>
      <c r="BQ464" s="43" t="s">
        <v>1542</v>
      </c>
      <c r="BR464" s="43" t="s">
        <v>1542</v>
      </c>
      <c r="BS464" s="43" t="s">
        <v>1542</v>
      </c>
      <c r="BT464" s="43" t="s">
        <v>1542</v>
      </c>
      <c r="BU464" s="43" t="s">
        <v>1542</v>
      </c>
      <c r="BV464" s="43" t="s">
        <v>1542</v>
      </c>
      <c r="BW464" s="43" t="s">
        <v>1542</v>
      </c>
      <c r="BX464" s="43" t="s">
        <v>1542</v>
      </c>
      <c r="BY464" s="43" t="s">
        <v>1542</v>
      </c>
      <c r="BZ464" s="43" t="s">
        <v>1542</v>
      </c>
      <c r="CA464" s="43" t="s">
        <v>1542</v>
      </c>
    </row>
    <row r="465" spans="1:79">
      <c r="A465">
        <v>464</v>
      </c>
      <c r="B465">
        <v>1</v>
      </c>
      <c r="C465" t="s">
        <v>2935</v>
      </c>
      <c r="D465" t="s">
        <v>2936</v>
      </c>
      <c r="E465" t="s">
        <v>2974</v>
      </c>
      <c r="F465" t="s">
        <v>2975</v>
      </c>
      <c r="G465" t="s">
        <v>3640</v>
      </c>
      <c r="H465" t="s">
        <v>3640</v>
      </c>
      <c r="I465" t="s">
        <v>3641</v>
      </c>
      <c r="J465" t="s">
        <v>3642</v>
      </c>
      <c r="K465" t="s">
        <v>3643</v>
      </c>
      <c r="M465" s="1" t="s">
        <v>3644</v>
      </c>
      <c r="N465" t="s">
        <v>3645</v>
      </c>
      <c r="O465" s="46">
        <f t="shared" si="38"/>
        <v>0</v>
      </c>
      <c r="P465" s="43" t="s">
        <v>1542</v>
      </c>
      <c r="Q465" s="43" t="s">
        <v>1542</v>
      </c>
      <c r="R465" s="43" t="s">
        <v>1542</v>
      </c>
      <c r="S465" s="43" t="s">
        <v>1542</v>
      </c>
      <c r="T465" s="43" t="s">
        <v>1542</v>
      </c>
      <c r="U465" s="43" t="s">
        <v>1542</v>
      </c>
      <c r="V465" s="43" t="s">
        <v>1542</v>
      </c>
      <c r="W465" s="43" t="s">
        <v>1542</v>
      </c>
      <c r="X465" s="43" t="s">
        <v>1542</v>
      </c>
      <c r="Y465" s="43" t="s">
        <v>1542</v>
      </c>
      <c r="Z465" s="43" t="s">
        <v>1542</v>
      </c>
      <c r="AA465" s="43" t="s">
        <v>1542</v>
      </c>
      <c r="AB465" s="46">
        <f t="shared" si="39"/>
        <v>0</v>
      </c>
      <c r="AC465" s="44" t="s">
        <v>1542</v>
      </c>
      <c r="AD465" s="44" t="s">
        <v>1542</v>
      </c>
      <c r="AE465" s="44" t="s">
        <v>1542</v>
      </c>
      <c r="AF465" s="44" t="s">
        <v>1542</v>
      </c>
      <c r="AG465" s="44" t="s">
        <v>1542</v>
      </c>
      <c r="AH465" s="44" t="s">
        <v>1542</v>
      </c>
      <c r="AI465" s="44" t="s">
        <v>1542</v>
      </c>
      <c r="AJ465" s="44" t="s">
        <v>1542</v>
      </c>
      <c r="AK465" s="44" t="s">
        <v>1542</v>
      </c>
      <c r="AL465" s="44" t="s">
        <v>1542</v>
      </c>
      <c r="AM465" s="44" t="s">
        <v>1542</v>
      </c>
      <c r="AN465" s="44" t="s">
        <v>1542</v>
      </c>
      <c r="AO465" s="46">
        <f t="shared" si="35"/>
        <v>0</v>
      </c>
      <c r="AP465" s="43" t="s">
        <v>1542</v>
      </c>
      <c r="AQ465" s="43" t="s">
        <v>1554</v>
      </c>
      <c r="AR465" s="43" t="s">
        <v>1554</v>
      </c>
      <c r="AS465" s="43" t="s">
        <v>1554</v>
      </c>
      <c r="AT465" s="43" t="s">
        <v>1554</v>
      </c>
      <c r="AU465" s="43" t="s">
        <v>1554</v>
      </c>
      <c r="AV465" s="43" t="s">
        <v>1554</v>
      </c>
      <c r="AW465" s="43" t="s">
        <v>1554</v>
      </c>
      <c r="AX465" s="43" t="s">
        <v>1542</v>
      </c>
      <c r="AY465" s="43" t="s">
        <v>1542</v>
      </c>
      <c r="AZ465" s="43" t="s">
        <v>1542</v>
      </c>
      <c r="BA465" s="43" t="s">
        <v>1542</v>
      </c>
      <c r="BB465" s="46">
        <f t="shared" si="36"/>
        <v>7</v>
      </c>
      <c r="BC465" s="44" t="s">
        <v>1542</v>
      </c>
      <c r="BD465" s="44" t="s">
        <v>1542</v>
      </c>
      <c r="BE465" s="44" t="s">
        <v>1542</v>
      </c>
      <c r="BF465" s="44" t="s">
        <v>1542</v>
      </c>
      <c r="BG465" s="44" t="s">
        <v>1542</v>
      </c>
      <c r="BH465" s="44" t="s">
        <v>1542</v>
      </c>
      <c r="BI465" s="44" t="s">
        <v>1542</v>
      </c>
      <c r="BJ465" s="44" t="s">
        <v>1542</v>
      </c>
      <c r="BK465" s="44" t="s">
        <v>1542</v>
      </c>
      <c r="BL465" s="44" t="s">
        <v>1542</v>
      </c>
      <c r="BM465" s="44" t="s">
        <v>1542</v>
      </c>
      <c r="BN465" s="44" t="s">
        <v>1542</v>
      </c>
      <c r="BO465" s="46">
        <f t="shared" si="37"/>
        <v>0</v>
      </c>
      <c r="BP465" s="43" t="s">
        <v>1542</v>
      </c>
      <c r="BQ465" s="43" t="s">
        <v>1542</v>
      </c>
      <c r="BR465" s="43" t="s">
        <v>1542</v>
      </c>
      <c r="BS465" s="43" t="s">
        <v>1542</v>
      </c>
      <c r="BT465" s="43" t="s">
        <v>1542</v>
      </c>
      <c r="BU465" s="43" t="s">
        <v>1542</v>
      </c>
      <c r="BV465" s="43" t="s">
        <v>1542</v>
      </c>
      <c r="BW465" s="43" t="s">
        <v>1542</v>
      </c>
      <c r="BX465" s="43" t="s">
        <v>1542</v>
      </c>
      <c r="BY465" s="43" t="s">
        <v>1542</v>
      </c>
      <c r="BZ465" s="43" t="s">
        <v>1542</v>
      </c>
      <c r="CA465" s="43" t="s">
        <v>1542</v>
      </c>
    </row>
    <row r="466" spans="1:79">
      <c r="A466">
        <v>465</v>
      </c>
      <c r="C466" t="s">
        <v>2935</v>
      </c>
      <c r="D466" t="s">
        <v>2936</v>
      </c>
      <c r="E466" t="s">
        <v>2974</v>
      </c>
      <c r="F466" t="s">
        <v>2975</v>
      </c>
      <c r="G466" t="s">
        <v>3640</v>
      </c>
      <c r="H466" t="s">
        <v>3646</v>
      </c>
      <c r="I466" t="s">
        <v>3646</v>
      </c>
      <c r="J466" t="s">
        <v>3642</v>
      </c>
      <c r="K466" t="s">
        <v>3643</v>
      </c>
      <c r="M466" s="1" t="s">
        <v>3647</v>
      </c>
      <c r="N466" t="s">
        <v>3648</v>
      </c>
      <c r="O466" s="46">
        <f t="shared" si="38"/>
        <v>0</v>
      </c>
      <c r="P466" s="43"/>
      <c r="Q466" s="43"/>
      <c r="R466" s="43"/>
      <c r="S466" s="43"/>
      <c r="T466" s="43"/>
      <c r="U466" s="43"/>
      <c r="V466" s="43"/>
      <c r="W466" s="43"/>
      <c r="X466" s="43"/>
      <c r="Y466" s="43"/>
      <c r="Z466" s="43"/>
      <c r="AA466" s="43"/>
      <c r="AB466" s="46">
        <f t="shared" si="39"/>
        <v>1</v>
      </c>
      <c r="AC466" s="44" t="s">
        <v>1542</v>
      </c>
      <c r="AD466" s="44" t="s">
        <v>1542</v>
      </c>
      <c r="AE466" s="44" t="s">
        <v>1542</v>
      </c>
      <c r="AF466" s="44" t="s">
        <v>1542</v>
      </c>
      <c r="AG466" s="44" t="s">
        <v>1542</v>
      </c>
      <c r="AH466" s="44" t="s">
        <v>1542</v>
      </c>
      <c r="AI466" s="44" t="s">
        <v>1542</v>
      </c>
      <c r="AJ466" s="44" t="s">
        <v>1542</v>
      </c>
      <c r="AK466" s="44" t="s">
        <v>1554</v>
      </c>
      <c r="AL466" s="44"/>
      <c r="AM466" s="44"/>
      <c r="AN466" s="44"/>
      <c r="AO466" s="46">
        <f t="shared" si="35"/>
        <v>1</v>
      </c>
      <c r="AP466" s="43"/>
      <c r="AQ466" s="43"/>
      <c r="AR466" s="43"/>
      <c r="AS466" s="43"/>
      <c r="AT466" s="43"/>
      <c r="AU466" s="43"/>
      <c r="AV466" s="43" t="s">
        <v>1554</v>
      </c>
      <c r="AW466" s="43" t="s">
        <v>1554</v>
      </c>
      <c r="AX466" s="43" t="s">
        <v>1542</v>
      </c>
      <c r="AY466" s="43" t="s">
        <v>1542</v>
      </c>
      <c r="AZ466" s="43" t="s">
        <v>1542</v>
      </c>
      <c r="BA466" s="43" t="s">
        <v>1542</v>
      </c>
      <c r="BB466" s="46">
        <f t="shared" si="36"/>
        <v>2</v>
      </c>
      <c r="BC466" s="44"/>
      <c r="BD466" s="44"/>
      <c r="BE466" s="44"/>
      <c r="BF466" s="44"/>
      <c r="BG466" s="44"/>
      <c r="BH466" s="44"/>
      <c r="BI466" s="44"/>
      <c r="BJ466" s="44"/>
      <c r="BK466" s="44"/>
      <c r="BL466" s="44"/>
      <c r="BM466" s="44"/>
      <c r="BN466" s="44"/>
      <c r="BO466" s="46">
        <f t="shared" si="37"/>
        <v>0</v>
      </c>
      <c r="BP466" s="43"/>
      <c r="BQ466" s="43"/>
      <c r="BR466" s="43"/>
      <c r="BS466" s="43"/>
      <c r="BT466" s="43"/>
      <c r="BU466" s="43"/>
      <c r="BV466" s="43"/>
      <c r="BW466" s="43"/>
      <c r="BX466" s="43"/>
      <c r="BY466" s="43"/>
      <c r="BZ466" s="43"/>
      <c r="CA466" s="43"/>
    </row>
    <row r="467" spans="1:79">
      <c r="A467">
        <v>466</v>
      </c>
      <c r="B467">
        <v>1</v>
      </c>
      <c r="C467" t="s">
        <v>2935</v>
      </c>
      <c r="D467" t="s">
        <v>2936</v>
      </c>
      <c r="E467" t="s">
        <v>2974</v>
      </c>
      <c r="F467" t="s">
        <v>2975</v>
      </c>
      <c r="G467" t="s">
        <v>3649</v>
      </c>
      <c r="H467" t="s">
        <v>3649</v>
      </c>
      <c r="J467" t="s">
        <v>3650</v>
      </c>
      <c r="K467" t="s">
        <v>3651</v>
      </c>
      <c r="M467" s="1" t="s">
        <v>3652</v>
      </c>
      <c r="O467" s="46">
        <f t="shared" si="38"/>
        <v>0</v>
      </c>
      <c r="P467" s="43" t="s">
        <v>1542</v>
      </c>
      <c r="Q467" s="43" t="s">
        <v>1542</v>
      </c>
      <c r="R467" s="43" t="s">
        <v>1542</v>
      </c>
      <c r="S467" s="43" t="s">
        <v>1542</v>
      </c>
      <c r="T467" s="43" t="s">
        <v>1542</v>
      </c>
      <c r="U467" s="43" t="s">
        <v>1542</v>
      </c>
      <c r="V467" s="43" t="s">
        <v>1542</v>
      </c>
      <c r="W467" s="43" t="s">
        <v>1542</v>
      </c>
      <c r="X467" s="43" t="s">
        <v>1542</v>
      </c>
      <c r="Y467" s="43" t="s">
        <v>1542</v>
      </c>
      <c r="Z467" s="43" t="s">
        <v>1542</v>
      </c>
      <c r="AA467" s="43" t="s">
        <v>1542</v>
      </c>
      <c r="AB467" s="46">
        <f t="shared" si="39"/>
        <v>0</v>
      </c>
      <c r="AC467" s="44" t="s">
        <v>1542</v>
      </c>
      <c r="AD467" s="44" t="s">
        <v>1542</v>
      </c>
      <c r="AE467" s="44" t="s">
        <v>1542</v>
      </c>
      <c r="AF467" s="44" t="s">
        <v>1542</v>
      </c>
      <c r="AG467" s="44" t="s">
        <v>1542</v>
      </c>
      <c r="AH467" s="44" t="s">
        <v>1542</v>
      </c>
      <c r="AI467" s="44" t="s">
        <v>1542</v>
      </c>
      <c r="AJ467" s="44" t="s">
        <v>1542</v>
      </c>
      <c r="AK467" s="44" t="s">
        <v>1542</v>
      </c>
      <c r="AL467" s="44" t="s">
        <v>1542</v>
      </c>
      <c r="AM467" s="44" t="s">
        <v>1542</v>
      </c>
      <c r="AN467" s="44" t="s">
        <v>1542</v>
      </c>
      <c r="AO467" s="46">
        <f t="shared" si="35"/>
        <v>0</v>
      </c>
      <c r="AP467" s="43" t="s">
        <v>1542</v>
      </c>
      <c r="AQ467" s="43" t="s">
        <v>1542</v>
      </c>
      <c r="AR467" s="43" t="s">
        <v>1542</v>
      </c>
      <c r="AS467" s="43" t="s">
        <v>1542</v>
      </c>
      <c r="AT467" s="43" t="s">
        <v>1542</v>
      </c>
      <c r="AU467" s="43" t="s">
        <v>1542</v>
      </c>
      <c r="AV467" s="43" t="s">
        <v>1542</v>
      </c>
      <c r="AW467" s="43" t="s">
        <v>1542</v>
      </c>
      <c r="AX467" s="43" t="s">
        <v>1542</v>
      </c>
      <c r="AY467" s="43" t="s">
        <v>1542</v>
      </c>
      <c r="AZ467" s="43" t="s">
        <v>1542</v>
      </c>
      <c r="BA467" s="43" t="s">
        <v>1542</v>
      </c>
      <c r="BB467" s="46">
        <f t="shared" si="36"/>
        <v>0</v>
      </c>
      <c r="BC467" s="44" t="s">
        <v>1542</v>
      </c>
      <c r="BD467" s="44" t="s">
        <v>1542</v>
      </c>
      <c r="BE467" s="44" t="s">
        <v>1542</v>
      </c>
      <c r="BF467" s="44" t="s">
        <v>1542</v>
      </c>
      <c r="BG467" s="44" t="s">
        <v>1542</v>
      </c>
      <c r="BH467" s="44" t="s">
        <v>1542</v>
      </c>
      <c r="BI467" s="44" t="s">
        <v>1542</v>
      </c>
      <c r="BJ467" s="44" t="s">
        <v>1542</v>
      </c>
      <c r="BK467" s="44" t="s">
        <v>1542</v>
      </c>
      <c r="BL467" s="44" t="s">
        <v>1542</v>
      </c>
      <c r="BM467" s="44" t="s">
        <v>1542</v>
      </c>
      <c r="BN467" s="44" t="s">
        <v>1542</v>
      </c>
      <c r="BO467" s="46">
        <f t="shared" si="37"/>
        <v>0</v>
      </c>
      <c r="BP467" s="43" t="s">
        <v>1542</v>
      </c>
      <c r="BQ467" s="43" t="s">
        <v>1542</v>
      </c>
      <c r="BR467" s="43" t="s">
        <v>1542</v>
      </c>
      <c r="BS467" s="43" t="s">
        <v>1542</v>
      </c>
      <c r="BT467" s="43" t="s">
        <v>1542</v>
      </c>
      <c r="BU467" s="43" t="s">
        <v>1542</v>
      </c>
      <c r="BV467" s="43" t="s">
        <v>1542</v>
      </c>
      <c r="BW467" s="43" t="s">
        <v>1542</v>
      </c>
      <c r="BX467" s="43" t="s">
        <v>1542</v>
      </c>
      <c r="BY467" s="43" t="s">
        <v>1542</v>
      </c>
      <c r="BZ467" s="43" t="s">
        <v>1542</v>
      </c>
      <c r="CA467" s="43" t="s">
        <v>1542</v>
      </c>
    </row>
    <row r="468" spans="1:79">
      <c r="A468">
        <v>467</v>
      </c>
      <c r="C468" t="s">
        <v>2935</v>
      </c>
      <c r="D468" t="s">
        <v>2936</v>
      </c>
      <c r="E468" t="s">
        <v>2974</v>
      </c>
      <c r="F468" t="s">
        <v>2975</v>
      </c>
      <c r="G468" t="s">
        <v>3649</v>
      </c>
      <c r="H468" t="s">
        <v>3653</v>
      </c>
      <c r="I468" t="s">
        <v>3653</v>
      </c>
      <c r="J468" t="s">
        <v>3654</v>
      </c>
      <c r="K468" t="s">
        <v>3651</v>
      </c>
      <c r="M468" s="1" t="s">
        <v>3655</v>
      </c>
      <c r="N468" t="s">
        <v>3656</v>
      </c>
      <c r="O468" s="46">
        <f t="shared" si="38"/>
        <v>0</v>
      </c>
      <c r="P468" s="43"/>
      <c r="Q468" s="43"/>
      <c r="R468" s="43"/>
      <c r="S468" s="43"/>
      <c r="T468" s="43"/>
      <c r="U468" s="43"/>
      <c r="V468" s="43"/>
      <c r="W468" s="43"/>
      <c r="X468" s="43"/>
      <c r="Y468" s="43"/>
      <c r="Z468" s="43"/>
      <c r="AA468" s="43"/>
      <c r="AB468" s="46">
        <f t="shared" si="39"/>
        <v>0</v>
      </c>
      <c r="AC468" s="44"/>
      <c r="AD468" s="44"/>
      <c r="AE468" s="44"/>
      <c r="AF468" s="44"/>
      <c r="AG468" s="44"/>
      <c r="AH468" s="44"/>
      <c r="AI468" s="44"/>
      <c r="AJ468" s="44"/>
      <c r="AK468" s="44"/>
      <c r="AL468" s="44"/>
      <c r="AM468" s="44"/>
      <c r="AN468" s="44"/>
      <c r="AO468" s="46">
        <f t="shared" si="35"/>
        <v>0</v>
      </c>
      <c r="AP468" s="43"/>
      <c r="AQ468" s="43"/>
      <c r="AR468" s="43"/>
      <c r="AS468" s="43"/>
      <c r="AT468" s="43"/>
      <c r="AU468" s="43"/>
      <c r="AV468" s="43"/>
      <c r="AW468" s="43"/>
      <c r="AX468" s="43"/>
      <c r="AY468" s="43"/>
      <c r="AZ468" s="43"/>
      <c r="BA468" s="43"/>
      <c r="BB468" s="46">
        <f t="shared" si="36"/>
        <v>0</v>
      </c>
      <c r="BC468" s="44"/>
      <c r="BD468" s="44"/>
      <c r="BE468" s="44"/>
      <c r="BF468" s="44"/>
      <c r="BG468" s="44"/>
      <c r="BH468" s="44"/>
      <c r="BI468" s="44"/>
      <c r="BJ468" s="44"/>
      <c r="BK468" s="44"/>
      <c r="BL468" s="44"/>
      <c r="BM468" s="44"/>
      <c r="BN468" s="44"/>
      <c r="BO468" s="46">
        <f t="shared" si="37"/>
        <v>0</v>
      </c>
      <c r="BP468" s="43"/>
      <c r="BQ468" s="43"/>
      <c r="BR468" s="43"/>
      <c r="BS468" s="43"/>
      <c r="BT468" s="43"/>
      <c r="BU468" s="43"/>
      <c r="BV468" s="43"/>
      <c r="BW468" s="43"/>
      <c r="BX468" s="43"/>
      <c r="BY468" s="43"/>
      <c r="BZ468" s="43"/>
      <c r="CA468" s="43"/>
    </row>
    <row r="469" spans="1:79">
      <c r="A469">
        <v>468</v>
      </c>
      <c r="B469">
        <v>1</v>
      </c>
      <c r="C469" t="s">
        <v>2935</v>
      </c>
      <c r="D469" t="s">
        <v>2936</v>
      </c>
      <c r="E469" t="s">
        <v>2974</v>
      </c>
      <c r="F469" t="s">
        <v>2975</v>
      </c>
      <c r="G469" t="s">
        <v>3657</v>
      </c>
      <c r="H469" t="s">
        <v>3657</v>
      </c>
      <c r="J469" t="s">
        <v>3658</v>
      </c>
      <c r="K469" t="s">
        <v>3659</v>
      </c>
      <c r="L469" t="s">
        <v>1539</v>
      </c>
      <c r="M469" s="1" t="s">
        <v>3660</v>
      </c>
      <c r="N469" t="s">
        <v>3565</v>
      </c>
      <c r="O469" s="46">
        <f t="shared" si="38"/>
        <v>0</v>
      </c>
      <c r="P469" s="43" t="s">
        <v>1542</v>
      </c>
      <c r="Q469" s="43" t="s">
        <v>1542</v>
      </c>
      <c r="R469" s="43" t="s">
        <v>1542</v>
      </c>
      <c r="S469" s="43" t="s">
        <v>1542</v>
      </c>
      <c r="T469" s="43" t="s">
        <v>1542</v>
      </c>
      <c r="U469" s="43" t="s">
        <v>1542</v>
      </c>
      <c r="V469" s="43" t="s">
        <v>1542</v>
      </c>
      <c r="W469" s="43" t="s">
        <v>1542</v>
      </c>
      <c r="X469" s="43" t="s">
        <v>1542</v>
      </c>
      <c r="Y469" s="43" t="s">
        <v>1542</v>
      </c>
      <c r="Z469" s="43" t="s">
        <v>1542</v>
      </c>
      <c r="AA469" s="43" t="s">
        <v>1542</v>
      </c>
      <c r="AB469" s="46">
        <f t="shared" si="39"/>
        <v>0</v>
      </c>
      <c r="AC469" s="44" t="s">
        <v>1542</v>
      </c>
      <c r="AD469" s="44" t="s">
        <v>1542</v>
      </c>
      <c r="AE469" s="44" t="s">
        <v>1542</v>
      </c>
      <c r="AF469" s="44" t="s">
        <v>1542</v>
      </c>
      <c r="AG469" s="44" t="s">
        <v>1542</v>
      </c>
      <c r="AH469" s="44" t="s">
        <v>1542</v>
      </c>
      <c r="AI469" s="44" t="s">
        <v>1542</v>
      </c>
      <c r="AJ469" s="44" t="s">
        <v>1542</v>
      </c>
      <c r="AK469" s="44" t="s">
        <v>1542</v>
      </c>
      <c r="AL469" s="44" t="s">
        <v>1542</v>
      </c>
      <c r="AM469" s="44" t="s">
        <v>1542</v>
      </c>
      <c r="AN469" s="44" t="s">
        <v>1542</v>
      </c>
      <c r="AO469" s="46">
        <f t="shared" si="35"/>
        <v>0</v>
      </c>
      <c r="AP469" s="43" t="s">
        <v>1542</v>
      </c>
      <c r="AQ469" s="43" t="s">
        <v>1542</v>
      </c>
      <c r="AR469" s="43" t="s">
        <v>1542</v>
      </c>
      <c r="AS469" s="43" t="s">
        <v>1542</v>
      </c>
      <c r="AT469" s="43" t="s">
        <v>1542</v>
      </c>
      <c r="AU469" s="43" t="s">
        <v>1542</v>
      </c>
      <c r="AV469" s="43" t="s">
        <v>1542</v>
      </c>
      <c r="AW469" s="43" t="s">
        <v>1542</v>
      </c>
      <c r="AX469" s="43" t="s">
        <v>1542</v>
      </c>
      <c r="AY469" s="43" t="s">
        <v>1542</v>
      </c>
      <c r="AZ469" s="43" t="s">
        <v>1542</v>
      </c>
      <c r="BA469" s="43" t="s">
        <v>1542</v>
      </c>
      <c r="BB469" s="46">
        <f t="shared" si="36"/>
        <v>0</v>
      </c>
      <c r="BC469" s="44" t="s">
        <v>1554</v>
      </c>
      <c r="BD469" s="44" t="s">
        <v>1542</v>
      </c>
      <c r="BE469" s="44" t="s">
        <v>1542</v>
      </c>
      <c r="BF469" s="44" t="s">
        <v>1542</v>
      </c>
      <c r="BG469" s="44" t="s">
        <v>1542</v>
      </c>
      <c r="BH469" s="44" t="s">
        <v>1542</v>
      </c>
      <c r="BI469" s="44" t="s">
        <v>1542</v>
      </c>
      <c r="BJ469" s="44" t="s">
        <v>1542</v>
      </c>
      <c r="BK469" s="44" t="s">
        <v>1542</v>
      </c>
      <c r="BL469" s="44" t="s">
        <v>1542</v>
      </c>
      <c r="BM469" s="44" t="s">
        <v>1542</v>
      </c>
      <c r="BN469" s="44" t="s">
        <v>1542</v>
      </c>
      <c r="BO469" s="46">
        <f t="shared" si="37"/>
        <v>1</v>
      </c>
      <c r="BP469" s="43" t="s">
        <v>1542</v>
      </c>
      <c r="BQ469" s="43" t="s">
        <v>1542</v>
      </c>
      <c r="BR469" s="43" t="s">
        <v>1542</v>
      </c>
      <c r="BS469" s="43" t="s">
        <v>1542</v>
      </c>
      <c r="BT469" s="43" t="s">
        <v>1542</v>
      </c>
      <c r="BU469" s="43" t="s">
        <v>1542</v>
      </c>
      <c r="BV469" s="43" t="s">
        <v>1542</v>
      </c>
      <c r="BW469" s="43" t="s">
        <v>1542</v>
      </c>
      <c r="BX469" s="43" t="s">
        <v>1542</v>
      </c>
      <c r="BY469" s="43" t="s">
        <v>1542</v>
      </c>
      <c r="BZ469" s="43" t="s">
        <v>1542</v>
      </c>
      <c r="CA469" s="43" t="s">
        <v>1542</v>
      </c>
    </row>
    <row r="470" spans="1:79">
      <c r="A470">
        <v>469</v>
      </c>
      <c r="B470">
        <v>1</v>
      </c>
      <c r="C470" t="s">
        <v>1696</v>
      </c>
      <c r="D470" t="s">
        <v>1697</v>
      </c>
      <c r="E470" t="s">
        <v>2280</v>
      </c>
      <c r="F470" t="s">
        <v>2281</v>
      </c>
      <c r="G470" t="s">
        <v>3661</v>
      </c>
      <c r="H470" t="s">
        <v>3661</v>
      </c>
      <c r="J470" t="s">
        <v>3662</v>
      </c>
      <c r="K470" t="s">
        <v>3663</v>
      </c>
      <c r="L470" t="s">
        <v>1539</v>
      </c>
      <c r="M470" s="1" t="s">
        <v>3664</v>
      </c>
      <c r="N470" t="s">
        <v>3665</v>
      </c>
      <c r="O470" s="46">
        <f t="shared" si="38"/>
        <v>0</v>
      </c>
      <c r="P470" s="43" t="s">
        <v>1542</v>
      </c>
      <c r="Q470" s="43" t="s">
        <v>1542</v>
      </c>
      <c r="R470" s="43" t="s">
        <v>1542</v>
      </c>
      <c r="S470" s="43" t="s">
        <v>1542</v>
      </c>
      <c r="T470" s="43" t="s">
        <v>1542</v>
      </c>
      <c r="U470" s="43" t="s">
        <v>1542</v>
      </c>
      <c r="V470" s="43" t="s">
        <v>1542</v>
      </c>
      <c r="W470" s="43" t="s">
        <v>1542</v>
      </c>
      <c r="X470" s="43" t="s">
        <v>1542</v>
      </c>
      <c r="Y470" s="43" t="s">
        <v>1542</v>
      </c>
      <c r="Z470" s="43" t="s">
        <v>1542</v>
      </c>
      <c r="AA470" s="43" t="s">
        <v>1542</v>
      </c>
      <c r="AB470" s="46">
        <f t="shared" si="39"/>
        <v>0</v>
      </c>
      <c r="AC470" s="44" t="s">
        <v>1542</v>
      </c>
      <c r="AD470" s="44" t="s">
        <v>1542</v>
      </c>
      <c r="AE470" s="44" t="s">
        <v>1542</v>
      </c>
      <c r="AF470" s="44" t="s">
        <v>1542</v>
      </c>
      <c r="AG470" s="44" t="s">
        <v>1542</v>
      </c>
      <c r="AH470" s="44" t="s">
        <v>1542</v>
      </c>
      <c r="AI470" s="44" t="s">
        <v>1542</v>
      </c>
      <c r="AJ470" s="44" t="s">
        <v>1542</v>
      </c>
      <c r="AK470" s="44" t="s">
        <v>1542</v>
      </c>
      <c r="AL470" s="44" t="s">
        <v>1542</v>
      </c>
      <c r="AM470" s="44" t="s">
        <v>1542</v>
      </c>
      <c r="AN470" s="44" t="s">
        <v>1542</v>
      </c>
      <c r="AO470" s="46">
        <f t="shared" si="35"/>
        <v>0</v>
      </c>
      <c r="AP470" s="43" t="s">
        <v>1542</v>
      </c>
      <c r="AQ470" s="43" t="s">
        <v>1542</v>
      </c>
      <c r="AR470" s="43" t="s">
        <v>1542</v>
      </c>
      <c r="AS470" s="43" t="s">
        <v>1542</v>
      </c>
      <c r="AT470" s="43" t="s">
        <v>1542</v>
      </c>
      <c r="AU470" s="43" t="s">
        <v>1542</v>
      </c>
      <c r="AV470" s="43" t="s">
        <v>1542</v>
      </c>
      <c r="AW470" s="43" t="s">
        <v>1542</v>
      </c>
      <c r="AX470" s="43" t="s">
        <v>1542</v>
      </c>
      <c r="AY470" s="43" t="s">
        <v>1542</v>
      </c>
      <c r="AZ470" s="43" t="s">
        <v>1542</v>
      </c>
      <c r="BA470" s="43" t="s">
        <v>1542</v>
      </c>
      <c r="BB470" s="46">
        <f t="shared" si="36"/>
        <v>0</v>
      </c>
      <c r="BC470" s="44" t="s">
        <v>1554</v>
      </c>
      <c r="BD470" s="44" t="s">
        <v>1554</v>
      </c>
      <c r="BE470" s="44" t="s">
        <v>1554</v>
      </c>
      <c r="BF470" s="44" t="s">
        <v>1542</v>
      </c>
      <c r="BG470" s="44" t="s">
        <v>1542</v>
      </c>
      <c r="BH470" s="44" t="s">
        <v>1542</v>
      </c>
      <c r="BI470" s="44" t="s">
        <v>1542</v>
      </c>
      <c r="BJ470" s="44" t="s">
        <v>1542</v>
      </c>
      <c r="BK470" s="44" t="s">
        <v>1542</v>
      </c>
      <c r="BL470" s="44" t="s">
        <v>1542</v>
      </c>
      <c r="BM470" s="44" t="s">
        <v>1542</v>
      </c>
      <c r="BN470" s="44" t="s">
        <v>1542</v>
      </c>
      <c r="BO470" s="46">
        <f t="shared" si="37"/>
        <v>3</v>
      </c>
      <c r="BP470" s="43"/>
      <c r="BQ470" s="43"/>
      <c r="BR470" s="43"/>
      <c r="BS470" s="43"/>
      <c r="BT470" s="43"/>
      <c r="BU470" s="43"/>
      <c r="BV470" s="43"/>
      <c r="BW470" s="43"/>
      <c r="BX470" s="43"/>
      <c r="BY470" s="43"/>
      <c r="BZ470" s="43" t="s">
        <v>1554</v>
      </c>
      <c r="CA470" s="43" t="s">
        <v>1554</v>
      </c>
    </row>
    <row r="471" spans="1:79">
      <c r="A471">
        <v>470</v>
      </c>
      <c r="B471">
        <v>1</v>
      </c>
      <c r="C471" t="s">
        <v>1696</v>
      </c>
      <c r="D471" t="s">
        <v>1697</v>
      </c>
      <c r="E471" t="s">
        <v>2372</v>
      </c>
      <c r="F471" t="s">
        <v>2373</v>
      </c>
      <c r="G471" t="s">
        <v>3666</v>
      </c>
      <c r="H471" t="s">
        <v>3666</v>
      </c>
      <c r="J471" t="s">
        <v>3667</v>
      </c>
      <c r="K471" t="s">
        <v>3668</v>
      </c>
      <c r="L471" t="s">
        <v>1539</v>
      </c>
      <c r="M471" s="1" t="s">
        <v>3669</v>
      </c>
      <c r="N471" t="s">
        <v>3670</v>
      </c>
      <c r="O471" s="46">
        <f t="shared" si="38"/>
        <v>0</v>
      </c>
      <c r="P471" s="43" t="s">
        <v>1542</v>
      </c>
      <c r="Q471" s="43" t="s">
        <v>1542</v>
      </c>
      <c r="R471" s="43" t="s">
        <v>1542</v>
      </c>
      <c r="S471" s="43" t="s">
        <v>1542</v>
      </c>
      <c r="T471" s="43" t="s">
        <v>1542</v>
      </c>
      <c r="U471" s="43" t="s">
        <v>1542</v>
      </c>
      <c r="V471" s="43" t="s">
        <v>1542</v>
      </c>
      <c r="W471" s="43" t="s">
        <v>1542</v>
      </c>
      <c r="X471" s="43" t="s">
        <v>1542</v>
      </c>
      <c r="Y471" s="43" t="s">
        <v>1542</v>
      </c>
      <c r="Z471" s="43" t="s">
        <v>1542</v>
      </c>
      <c r="AA471" s="43" t="s">
        <v>1542</v>
      </c>
      <c r="AB471" s="46">
        <f t="shared" si="39"/>
        <v>0</v>
      </c>
      <c r="AC471" s="44" t="s">
        <v>1542</v>
      </c>
      <c r="AD471" s="44" t="s">
        <v>1542</v>
      </c>
      <c r="AE471" s="44" t="s">
        <v>1542</v>
      </c>
      <c r="AF471" s="44" t="s">
        <v>1542</v>
      </c>
      <c r="AG471" s="44" t="s">
        <v>1542</v>
      </c>
      <c r="AH471" s="44" t="s">
        <v>1542</v>
      </c>
      <c r="AI471" s="44" t="s">
        <v>1542</v>
      </c>
      <c r="AJ471" s="44" t="s">
        <v>1542</v>
      </c>
      <c r="AK471" s="44" t="s">
        <v>1542</v>
      </c>
      <c r="AL471" s="44" t="s">
        <v>1542</v>
      </c>
      <c r="AM471" s="44" t="s">
        <v>1542</v>
      </c>
      <c r="AN471" s="44" t="s">
        <v>1542</v>
      </c>
      <c r="AO471" s="46">
        <f t="shared" si="35"/>
        <v>0</v>
      </c>
      <c r="AP471" s="43" t="s">
        <v>1542</v>
      </c>
      <c r="AQ471" s="43" t="s">
        <v>1542</v>
      </c>
      <c r="AR471" s="43" t="s">
        <v>1542</v>
      </c>
      <c r="AS471" s="43" t="s">
        <v>1542</v>
      </c>
      <c r="AT471" s="43" t="s">
        <v>1542</v>
      </c>
      <c r="AU471" s="43" t="s">
        <v>1542</v>
      </c>
      <c r="AV471" s="43" t="s">
        <v>1542</v>
      </c>
      <c r="AW471" s="43" t="s">
        <v>1542</v>
      </c>
      <c r="AX471" s="43" t="s">
        <v>1542</v>
      </c>
      <c r="AY471" s="43" t="s">
        <v>1542</v>
      </c>
      <c r="AZ471" s="43" t="s">
        <v>1542</v>
      </c>
      <c r="BA471" s="43" t="s">
        <v>1542</v>
      </c>
      <c r="BB471" s="46">
        <f t="shared" si="36"/>
        <v>0</v>
      </c>
      <c r="BC471" s="44" t="s">
        <v>1554</v>
      </c>
      <c r="BD471" s="44" t="s">
        <v>1554</v>
      </c>
      <c r="BE471" s="44" t="s">
        <v>1554</v>
      </c>
      <c r="BF471" s="44" t="s">
        <v>1554</v>
      </c>
      <c r="BG471" s="44" t="s">
        <v>1554</v>
      </c>
      <c r="BH471" s="44" t="s">
        <v>1542</v>
      </c>
      <c r="BI471" s="44" t="s">
        <v>1542</v>
      </c>
      <c r="BJ471" s="44" t="s">
        <v>1542</v>
      </c>
      <c r="BK471" s="44" t="s">
        <v>1542</v>
      </c>
      <c r="BL471" s="44" t="s">
        <v>1542</v>
      </c>
      <c r="BM471" s="44" t="s">
        <v>1542</v>
      </c>
      <c r="BN471" s="44" t="s">
        <v>1542</v>
      </c>
      <c r="BO471" s="46">
        <f t="shared" si="37"/>
        <v>5</v>
      </c>
      <c r="BP471" s="43"/>
      <c r="BQ471" s="43"/>
      <c r="BR471" s="43"/>
      <c r="BS471" s="43"/>
      <c r="BT471" s="43"/>
      <c r="BU471" s="43"/>
      <c r="BV471" s="43"/>
      <c r="BW471" s="43"/>
      <c r="BX471" s="43"/>
      <c r="BY471" s="43"/>
      <c r="BZ471" s="43" t="s">
        <v>1554</v>
      </c>
      <c r="CA471" s="43" t="s">
        <v>1554</v>
      </c>
    </row>
    <row r="472" spans="1:79">
      <c r="A472">
        <v>471</v>
      </c>
      <c r="B472">
        <v>1</v>
      </c>
      <c r="C472" t="s">
        <v>1696</v>
      </c>
      <c r="D472" t="s">
        <v>1697</v>
      </c>
      <c r="E472" t="s">
        <v>2372</v>
      </c>
      <c r="F472" t="s">
        <v>2373</v>
      </c>
      <c r="G472" t="s">
        <v>3671</v>
      </c>
      <c r="H472" t="s">
        <v>3671</v>
      </c>
      <c r="J472" t="s">
        <v>3672</v>
      </c>
      <c r="K472" t="s">
        <v>3673</v>
      </c>
      <c r="L472" t="s">
        <v>1539</v>
      </c>
      <c r="M472" s="1" t="s">
        <v>3674</v>
      </c>
      <c r="N472" t="s">
        <v>3670</v>
      </c>
      <c r="O472" s="46">
        <f t="shared" si="38"/>
        <v>0</v>
      </c>
      <c r="P472" s="43" t="s">
        <v>1542</v>
      </c>
      <c r="Q472" s="43" t="s">
        <v>1542</v>
      </c>
      <c r="R472" s="43" t="s">
        <v>1542</v>
      </c>
      <c r="S472" s="43" t="s">
        <v>1542</v>
      </c>
      <c r="T472" s="43" t="s">
        <v>1542</v>
      </c>
      <c r="U472" s="43" t="s">
        <v>1542</v>
      </c>
      <c r="V472" s="43" t="s">
        <v>1542</v>
      </c>
      <c r="W472" s="43" t="s">
        <v>1542</v>
      </c>
      <c r="X472" s="43" t="s">
        <v>1542</v>
      </c>
      <c r="Y472" s="43" t="s">
        <v>1542</v>
      </c>
      <c r="Z472" s="43" t="s">
        <v>1542</v>
      </c>
      <c r="AA472" s="43" t="s">
        <v>1542</v>
      </c>
      <c r="AB472" s="46">
        <f t="shared" si="39"/>
        <v>0</v>
      </c>
      <c r="AC472" s="44" t="s">
        <v>1542</v>
      </c>
      <c r="AD472" s="44" t="s">
        <v>1542</v>
      </c>
      <c r="AE472" s="44" t="s">
        <v>1542</v>
      </c>
      <c r="AF472" s="44" t="s">
        <v>1542</v>
      </c>
      <c r="AG472" s="44" t="s">
        <v>1542</v>
      </c>
      <c r="AH472" s="44" t="s">
        <v>1542</v>
      </c>
      <c r="AI472" s="44" t="s">
        <v>1542</v>
      </c>
      <c r="AJ472" s="44" t="s">
        <v>1542</v>
      </c>
      <c r="AK472" s="44" t="s">
        <v>1542</v>
      </c>
      <c r="AL472" s="44" t="s">
        <v>1542</v>
      </c>
      <c r="AM472" s="44" t="s">
        <v>1542</v>
      </c>
      <c r="AN472" s="44" t="s">
        <v>1542</v>
      </c>
      <c r="AO472" s="46">
        <f t="shared" si="35"/>
        <v>0</v>
      </c>
      <c r="AP472" s="43" t="s">
        <v>1542</v>
      </c>
      <c r="AQ472" s="43" t="s">
        <v>1542</v>
      </c>
      <c r="AR472" s="43" t="s">
        <v>1542</v>
      </c>
      <c r="AS472" s="43" t="s">
        <v>1542</v>
      </c>
      <c r="AT472" s="43" t="s">
        <v>1542</v>
      </c>
      <c r="AU472" s="43" t="s">
        <v>1542</v>
      </c>
      <c r="AV472" s="43" t="s">
        <v>1542</v>
      </c>
      <c r="AW472" s="43" t="s">
        <v>1542</v>
      </c>
      <c r="AX472" s="43" t="s">
        <v>1542</v>
      </c>
      <c r="AY472" s="43" t="s">
        <v>1542</v>
      </c>
      <c r="AZ472" s="43" t="s">
        <v>1542</v>
      </c>
      <c r="BA472" s="43" t="s">
        <v>1542</v>
      </c>
      <c r="BB472" s="46">
        <f t="shared" si="36"/>
        <v>0</v>
      </c>
      <c r="BC472" s="44" t="s">
        <v>1554</v>
      </c>
      <c r="BD472" s="44" t="s">
        <v>1554</v>
      </c>
      <c r="BE472" s="44" t="s">
        <v>1554</v>
      </c>
      <c r="BF472" s="44" t="s">
        <v>1554</v>
      </c>
      <c r="BG472" s="44" t="s">
        <v>1554</v>
      </c>
      <c r="BH472" s="44" t="s">
        <v>1542</v>
      </c>
      <c r="BI472" s="44" t="s">
        <v>1542</v>
      </c>
      <c r="BJ472" s="44" t="s">
        <v>1542</v>
      </c>
      <c r="BK472" s="44" t="s">
        <v>1542</v>
      </c>
      <c r="BL472" s="44" t="s">
        <v>1542</v>
      </c>
      <c r="BM472" s="44" t="s">
        <v>1542</v>
      </c>
      <c r="BN472" s="44" t="s">
        <v>1542</v>
      </c>
      <c r="BO472" s="46">
        <f t="shared" si="37"/>
        <v>5</v>
      </c>
      <c r="BP472" s="43"/>
      <c r="BQ472" s="43"/>
      <c r="BR472" s="43"/>
      <c r="BS472" s="43"/>
      <c r="BT472" s="43"/>
      <c r="BU472" s="43"/>
      <c r="BV472" s="43"/>
      <c r="BW472" s="43"/>
      <c r="BX472" s="43"/>
      <c r="BY472" s="43"/>
      <c r="BZ472" s="43" t="s">
        <v>1554</v>
      </c>
      <c r="CA472" s="43" t="s">
        <v>1554</v>
      </c>
    </row>
    <row r="473" spans="1:79">
      <c r="A473">
        <v>472</v>
      </c>
      <c r="B473">
        <v>1</v>
      </c>
      <c r="C473" t="s">
        <v>1696</v>
      </c>
      <c r="D473" t="s">
        <v>1697</v>
      </c>
      <c r="E473" t="s">
        <v>2372</v>
      </c>
      <c r="F473" t="s">
        <v>2373</v>
      </c>
      <c r="G473" t="s">
        <v>3675</v>
      </c>
      <c r="H473" t="s">
        <v>3675</v>
      </c>
      <c r="I473" t="s">
        <v>3676</v>
      </c>
      <c r="J473" t="s">
        <v>3677</v>
      </c>
      <c r="K473" t="s">
        <v>3678</v>
      </c>
      <c r="L473" t="s">
        <v>1539</v>
      </c>
      <c r="M473" s="1" t="s">
        <v>3679</v>
      </c>
      <c r="N473" t="s">
        <v>3680</v>
      </c>
      <c r="O473" s="46">
        <f t="shared" si="38"/>
        <v>0</v>
      </c>
      <c r="P473" s="43" t="s">
        <v>1542</v>
      </c>
      <c r="Q473" s="43" t="s">
        <v>1542</v>
      </c>
      <c r="R473" s="43" t="s">
        <v>1542</v>
      </c>
      <c r="S473" s="43" t="s">
        <v>1542</v>
      </c>
      <c r="T473" s="43" t="s">
        <v>1542</v>
      </c>
      <c r="U473" s="43" t="s">
        <v>1542</v>
      </c>
      <c r="V473" s="43" t="s">
        <v>1542</v>
      </c>
      <c r="W473" s="43" t="s">
        <v>1542</v>
      </c>
      <c r="X473" s="43" t="s">
        <v>1542</v>
      </c>
      <c r="Y473" s="43" t="s">
        <v>1542</v>
      </c>
      <c r="Z473" s="43" t="s">
        <v>1542</v>
      </c>
      <c r="AA473" s="43" t="s">
        <v>1542</v>
      </c>
      <c r="AB473" s="46">
        <f t="shared" si="39"/>
        <v>0</v>
      </c>
      <c r="AC473" s="44" t="s">
        <v>1542</v>
      </c>
      <c r="AD473" s="44" t="s">
        <v>1542</v>
      </c>
      <c r="AE473" s="44" t="s">
        <v>1542</v>
      </c>
      <c r="AF473" s="44" t="s">
        <v>1542</v>
      </c>
      <c r="AG473" s="44" t="s">
        <v>1542</v>
      </c>
      <c r="AH473" s="44" t="s">
        <v>1542</v>
      </c>
      <c r="AI473" s="44" t="s">
        <v>1542</v>
      </c>
      <c r="AJ473" s="44" t="s">
        <v>1542</v>
      </c>
      <c r="AK473" s="44" t="s">
        <v>1542</v>
      </c>
      <c r="AL473" s="44" t="s">
        <v>1542</v>
      </c>
      <c r="AM473" s="44" t="s">
        <v>1542</v>
      </c>
      <c r="AN473" s="44" t="s">
        <v>1542</v>
      </c>
      <c r="AO473" s="46">
        <f t="shared" si="35"/>
        <v>0</v>
      </c>
      <c r="AP473" s="43" t="s">
        <v>1542</v>
      </c>
      <c r="AQ473" s="43" t="s">
        <v>1542</v>
      </c>
      <c r="AR473" s="43" t="s">
        <v>1542</v>
      </c>
      <c r="AS473" s="43" t="s">
        <v>1542</v>
      </c>
      <c r="AT473" s="43" t="s">
        <v>1542</v>
      </c>
      <c r="AU473" s="43" t="s">
        <v>1542</v>
      </c>
      <c r="AV473" s="43" t="s">
        <v>1542</v>
      </c>
      <c r="AW473" s="43" t="s">
        <v>1542</v>
      </c>
      <c r="AX473" s="43" t="s">
        <v>1542</v>
      </c>
      <c r="AY473" s="43" t="s">
        <v>1542</v>
      </c>
      <c r="AZ473" s="43" t="s">
        <v>1542</v>
      </c>
      <c r="BA473" s="43" t="s">
        <v>1542</v>
      </c>
      <c r="BB473" s="46">
        <f t="shared" si="36"/>
        <v>0</v>
      </c>
      <c r="BC473" s="44" t="s">
        <v>1554</v>
      </c>
      <c r="BD473" s="44" t="s">
        <v>1554</v>
      </c>
      <c r="BE473" s="44" t="s">
        <v>1554</v>
      </c>
      <c r="BF473" s="44" t="s">
        <v>1554</v>
      </c>
      <c r="BG473" s="44" t="s">
        <v>1554</v>
      </c>
      <c r="BH473" s="44" t="s">
        <v>1554</v>
      </c>
      <c r="BI473" s="44" t="s">
        <v>1542</v>
      </c>
      <c r="BJ473" s="44" t="s">
        <v>1542</v>
      </c>
      <c r="BK473" s="44" t="s">
        <v>1542</v>
      </c>
      <c r="BL473" s="44" t="s">
        <v>1542</v>
      </c>
      <c r="BM473" s="44" t="s">
        <v>1542</v>
      </c>
      <c r="BN473" s="44" t="s">
        <v>1542</v>
      </c>
      <c r="BO473" s="46">
        <f t="shared" si="37"/>
        <v>6</v>
      </c>
      <c r="BP473" s="43"/>
      <c r="BQ473" s="43"/>
      <c r="BR473" s="43"/>
      <c r="BS473" s="43"/>
      <c r="BT473" s="43"/>
      <c r="BU473" s="43"/>
      <c r="BV473" s="43"/>
      <c r="BW473" s="43"/>
      <c r="BX473" s="43"/>
      <c r="BY473" s="43"/>
      <c r="BZ473" s="43" t="s">
        <v>1554</v>
      </c>
      <c r="CA473" s="43" t="s">
        <v>1554</v>
      </c>
    </row>
    <row r="474" spans="1:79">
      <c r="A474">
        <v>473</v>
      </c>
      <c r="C474" t="s">
        <v>1696</v>
      </c>
      <c r="D474" t="s">
        <v>1697</v>
      </c>
      <c r="E474" t="s">
        <v>2372</v>
      </c>
      <c r="F474" t="s">
        <v>2373</v>
      </c>
      <c r="G474" t="s">
        <v>3675</v>
      </c>
      <c r="H474" t="s">
        <v>3681</v>
      </c>
      <c r="I474" t="s">
        <v>3681</v>
      </c>
      <c r="J474" t="s">
        <v>3677</v>
      </c>
      <c r="K474" t="s">
        <v>3678</v>
      </c>
      <c r="L474" t="s">
        <v>1539</v>
      </c>
      <c r="M474" s="1" t="s">
        <v>3682</v>
      </c>
      <c r="N474" t="s">
        <v>3683</v>
      </c>
      <c r="O474" s="46">
        <f t="shared" si="38"/>
        <v>0</v>
      </c>
      <c r="P474" s="43" t="s">
        <v>1542</v>
      </c>
      <c r="Q474" s="43" t="s">
        <v>1542</v>
      </c>
      <c r="R474" s="43" t="s">
        <v>1542</v>
      </c>
      <c r="S474" s="43" t="s">
        <v>1542</v>
      </c>
      <c r="T474" s="43" t="s">
        <v>1542</v>
      </c>
      <c r="U474" s="43" t="s">
        <v>1542</v>
      </c>
      <c r="V474" s="43" t="s">
        <v>1542</v>
      </c>
      <c r="W474" s="43"/>
      <c r="X474" s="43"/>
      <c r="Y474" s="43"/>
      <c r="Z474" s="43"/>
      <c r="AA474" s="43"/>
      <c r="AB474" s="46">
        <f t="shared" si="39"/>
        <v>0</v>
      </c>
      <c r="AC474" s="44" t="s">
        <v>1542</v>
      </c>
      <c r="AD474" s="44" t="s">
        <v>1542</v>
      </c>
      <c r="AE474" s="44" t="s">
        <v>1542</v>
      </c>
      <c r="AF474" s="44" t="s">
        <v>1542</v>
      </c>
      <c r="AG474" s="44" t="s">
        <v>1542</v>
      </c>
      <c r="AH474" s="44" t="s">
        <v>1542</v>
      </c>
      <c r="AI474" s="44" t="s">
        <v>1542</v>
      </c>
      <c r="AJ474" s="44" t="s">
        <v>1542</v>
      </c>
      <c r="AK474" s="44" t="s">
        <v>1542</v>
      </c>
      <c r="AL474" s="44" t="s">
        <v>1542</v>
      </c>
      <c r="AM474" s="44" t="s">
        <v>1542</v>
      </c>
      <c r="AN474" s="44" t="s">
        <v>1542</v>
      </c>
      <c r="AO474" s="46">
        <f t="shared" si="35"/>
        <v>0</v>
      </c>
      <c r="AP474" s="43" t="s">
        <v>1542</v>
      </c>
      <c r="AQ474" s="43" t="s">
        <v>1542</v>
      </c>
      <c r="AR474" s="43" t="s">
        <v>1542</v>
      </c>
      <c r="AS474" s="43" t="s">
        <v>1542</v>
      </c>
      <c r="AT474" s="43" t="s">
        <v>1542</v>
      </c>
      <c r="AU474" s="43" t="s">
        <v>1542</v>
      </c>
      <c r="AV474" s="43" t="s">
        <v>1542</v>
      </c>
      <c r="AW474" s="43" t="s">
        <v>1542</v>
      </c>
      <c r="AX474" s="43" t="s">
        <v>1542</v>
      </c>
      <c r="AY474" s="43" t="s">
        <v>1542</v>
      </c>
      <c r="AZ474" s="43" t="s">
        <v>1542</v>
      </c>
      <c r="BA474" s="43" t="s">
        <v>1542</v>
      </c>
      <c r="BB474" s="46">
        <f t="shared" si="36"/>
        <v>0</v>
      </c>
      <c r="BC474" s="44" t="s">
        <v>1554</v>
      </c>
      <c r="BD474" s="44" t="s">
        <v>1554</v>
      </c>
      <c r="BE474" s="44" t="s">
        <v>1554</v>
      </c>
      <c r="BF474" s="44" t="s">
        <v>1554</v>
      </c>
      <c r="BG474" s="44" t="s">
        <v>1554</v>
      </c>
      <c r="BH474" s="44" t="s">
        <v>1554</v>
      </c>
      <c r="BI474" s="44" t="s">
        <v>1542</v>
      </c>
      <c r="BJ474" s="44" t="s">
        <v>1542</v>
      </c>
      <c r="BK474" s="44" t="s">
        <v>1542</v>
      </c>
      <c r="BL474" s="44" t="s">
        <v>1542</v>
      </c>
      <c r="BM474" s="44" t="s">
        <v>1542</v>
      </c>
      <c r="BN474" s="44" t="s">
        <v>1542</v>
      </c>
      <c r="BO474" s="46">
        <f t="shared" si="37"/>
        <v>6</v>
      </c>
      <c r="BP474" s="43"/>
      <c r="BQ474" s="43"/>
      <c r="BR474" s="43"/>
      <c r="BS474" s="43"/>
      <c r="BT474" s="43"/>
      <c r="BU474" s="43"/>
      <c r="BV474" s="43"/>
      <c r="BW474" s="43"/>
      <c r="BX474" s="43"/>
      <c r="BY474" s="43"/>
      <c r="BZ474" s="43" t="s">
        <v>1554</v>
      </c>
      <c r="CA474" s="43" t="s">
        <v>1554</v>
      </c>
    </row>
    <row r="475" spans="1:79">
      <c r="A475">
        <v>474</v>
      </c>
      <c r="B475">
        <v>1</v>
      </c>
      <c r="C475" t="s">
        <v>1696</v>
      </c>
      <c r="D475" t="s">
        <v>1697</v>
      </c>
      <c r="E475" t="s">
        <v>2556</v>
      </c>
      <c r="F475" t="s">
        <v>2557</v>
      </c>
      <c r="G475" t="s">
        <v>3684</v>
      </c>
      <c r="H475" t="s">
        <v>3684</v>
      </c>
      <c r="J475" t="s">
        <v>3685</v>
      </c>
      <c r="K475" t="s">
        <v>3686</v>
      </c>
      <c r="L475" t="s">
        <v>1539</v>
      </c>
      <c r="M475" s="1" t="s">
        <v>3687</v>
      </c>
      <c r="N475" t="s">
        <v>3688</v>
      </c>
      <c r="O475" s="46">
        <f t="shared" si="38"/>
        <v>0</v>
      </c>
      <c r="P475" s="43" t="s">
        <v>1542</v>
      </c>
      <c r="Q475" s="43" t="s">
        <v>1542</v>
      </c>
      <c r="R475" s="43" t="s">
        <v>1542</v>
      </c>
      <c r="S475" s="43" t="s">
        <v>1542</v>
      </c>
      <c r="T475" s="43" t="s">
        <v>1542</v>
      </c>
      <c r="U475" s="43" t="s">
        <v>1542</v>
      </c>
      <c r="V475" s="43" t="s">
        <v>1542</v>
      </c>
      <c r="W475" s="43" t="s">
        <v>1542</v>
      </c>
      <c r="X475" s="43" t="s">
        <v>1542</v>
      </c>
      <c r="Y475" s="43" t="s">
        <v>1542</v>
      </c>
      <c r="Z475" s="43" t="s">
        <v>1542</v>
      </c>
      <c r="AA475" s="43" t="s">
        <v>1542</v>
      </c>
      <c r="AB475" s="46">
        <f t="shared" si="39"/>
        <v>0</v>
      </c>
      <c r="AC475" s="44" t="s">
        <v>1542</v>
      </c>
      <c r="AD475" s="44" t="s">
        <v>1542</v>
      </c>
      <c r="AE475" s="44" t="s">
        <v>1542</v>
      </c>
      <c r="AF475" s="44" t="s">
        <v>1542</v>
      </c>
      <c r="AG475" s="44" t="s">
        <v>1542</v>
      </c>
      <c r="AH475" s="44" t="s">
        <v>1542</v>
      </c>
      <c r="AI475" s="44" t="s">
        <v>1542</v>
      </c>
      <c r="AJ475" s="44" t="s">
        <v>1542</v>
      </c>
      <c r="AK475" s="44" t="s">
        <v>1542</v>
      </c>
      <c r="AL475" s="44" t="s">
        <v>1542</v>
      </c>
      <c r="AM475" s="44" t="s">
        <v>1542</v>
      </c>
      <c r="AN475" s="44" t="s">
        <v>1542</v>
      </c>
      <c r="AO475" s="46">
        <f t="shared" si="35"/>
        <v>0</v>
      </c>
      <c r="AP475" s="43" t="s">
        <v>1542</v>
      </c>
      <c r="AQ475" s="43" t="s">
        <v>1542</v>
      </c>
      <c r="AR475" s="43" t="s">
        <v>1542</v>
      </c>
      <c r="AS475" s="43" t="s">
        <v>1542</v>
      </c>
      <c r="AT475" s="43" t="s">
        <v>1542</v>
      </c>
      <c r="AU475" s="43" t="s">
        <v>1542</v>
      </c>
      <c r="AV475" s="43" t="s">
        <v>1542</v>
      </c>
      <c r="AW475" s="43" t="s">
        <v>1542</v>
      </c>
      <c r="AX475" s="43" t="s">
        <v>1542</v>
      </c>
      <c r="AY475" s="43" t="s">
        <v>1542</v>
      </c>
      <c r="AZ475" s="43" t="s">
        <v>1542</v>
      </c>
      <c r="BA475" s="43" t="s">
        <v>1542</v>
      </c>
      <c r="BB475" s="46">
        <f t="shared" si="36"/>
        <v>0</v>
      </c>
      <c r="BC475" s="44" t="s">
        <v>1554</v>
      </c>
      <c r="BD475" s="44" t="s">
        <v>1554</v>
      </c>
      <c r="BE475" s="44" t="s">
        <v>1554</v>
      </c>
      <c r="BF475" s="44" t="s">
        <v>1554</v>
      </c>
      <c r="BG475" s="44" t="s">
        <v>1554</v>
      </c>
      <c r="BH475" s="44" t="s">
        <v>1542</v>
      </c>
      <c r="BI475" s="44" t="s">
        <v>1542</v>
      </c>
      <c r="BJ475" s="44" t="s">
        <v>1542</v>
      </c>
      <c r="BK475" s="44" t="s">
        <v>1542</v>
      </c>
      <c r="BL475" s="44" t="s">
        <v>1542</v>
      </c>
      <c r="BM475" s="44" t="s">
        <v>1542</v>
      </c>
      <c r="BN475" s="44" t="s">
        <v>1542</v>
      </c>
      <c r="BO475" s="46">
        <f t="shared" si="37"/>
        <v>5</v>
      </c>
      <c r="BP475" s="43"/>
      <c r="BQ475" s="43"/>
      <c r="BR475" s="43"/>
      <c r="BS475" s="43"/>
      <c r="BT475" s="43"/>
      <c r="BU475" s="43"/>
      <c r="BV475" s="43"/>
      <c r="BW475" s="43"/>
      <c r="BX475" s="43"/>
      <c r="BY475" s="43"/>
      <c r="BZ475" s="43" t="s">
        <v>1554</v>
      </c>
      <c r="CA475" s="43" t="s">
        <v>1554</v>
      </c>
    </row>
    <row r="476" spans="1:79">
      <c r="A476">
        <v>475</v>
      </c>
      <c r="C476" t="s">
        <v>1696</v>
      </c>
      <c r="D476" t="s">
        <v>1697</v>
      </c>
      <c r="E476" t="s">
        <v>2556</v>
      </c>
      <c r="F476" t="s">
        <v>2557</v>
      </c>
      <c r="G476" t="s">
        <v>3684</v>
      </c>
      <c r="H476" t="s">
        <v>3689</v>
      </c>
      <c r="I476" t="s">
        <v>3689</v>
      </c>
      <c r="J476" t="s">
        <v>3685</v>
      </c>
      <c r="K476" t="s">
        <v>3686</v>
      </c>
      <c r="L476" t="s">
        <v>1539</v>
      </c>
      <c r="M476" s="1" t="s">
        <v>3690</v>
      </c>
      <c r="N476" t="s">
        <v>3691</v>
      </c>
      <c r="O476" s="46">
        <f t="shared" si="38"/>
        <v>0</v>
      </c>
      <c r="P476" s="43"/>
      <c r="Q476" s="43"/>
      <c r="R476" s="43"/>
      <c r="S476" s="43"/>
      <c r="T476" s="43"/>
      <c r="U476" s="43"/>
      <c r="V476" s="43"/>
      <c r="W476" s="43"/>
      <c r="X476" s="43"/>
      <c r="Y476" s="43"/>
      <c r="Z476" s="43"/>
      <c r="AA476" s="43"/>
      <c r="AB476" s="46">
        <f t="shared" si="39"/>
        <v>4</v>
      </c>
      <c r="AC476" s="44" t="s">
        <v>1554</v>
      </c>
      <c r="AD476" s="44" t="s">
        <v>1554</v>
      </c>
      <c r="AE476" s="44" t="s">
        <v>1554</v>
      </c>
      <c r="AF476" s="44" t="s">
        <v>1542</v>
      </c>
      <c r="AG476" s="44" t="s">
        <v>1542</v>
      </c>
      <c r="AH476" s="44" t="s">
        <v>1542</v>
      </c>
      <c r="AI476" s="44" t="s">
        <v>1542</v>
      </c>
      <c r="AJ476" s="44" t="s">
        <v>1542</v>
      </c>
      <c r="AK476" s="44" t="s">
        <v>1554</v>
      </c>
      <c r="AL476" s="44"/>
      <c r="AM476" s="44"/>
      <c r="AN476" s="44"/>
      <c r="AO476" s="46">
        <f t="shared" si="35"/>
        <v>4</v>
      </c>
      <c r="AP476" s="43" t="s">
        <v>1554</v>
      </c>
      <c r="AQ476" s="43" t="s">
        <v>1554</v>
      </c>
      <c r="AR476" s="43" t="s">
        <v>1554</v>
      </c>
      <c r="AS476" s="43" t="s">
        <v>1554</v>
      </c>
      <c r="AT476" s="43" t="s">
        <v>1554</v>
      </c>
      <c r="AU476" s="43" t="s">
        <v>1554</v>
      </c>
      <c r="AV476" s="43" t="s">
        <v>1554</v>
      </c>
      <c r="AW476" s="43" t="s">
        <v>1554</v>
      </c>
      <c r="AX476" s="43" t="s">
        <v>1554</v>
      </c>
      <c r="AY476" s="43" t="s">
        <v>1554</v>
      </c>
      <c r="AZ476" s="43" t="s">
        <v>1554</v>
      </c>
      <c r="BA476" s="43" t="s">
        <v>1554</v>
      </c>
      <c r="BB476" s="46">
        <f t="shared" si="36"/>
        <v>11</v>
      </c>
      <c r="BC476" s="44" t="s">
        <v>1554</v>
      </c>
      <c r="BD476" s="44" t="s">
        <v>1554</v>
      </c>
      <c r="BE476" s="44" t="s">
        <v>1554</v>
      </c>
      <c r="BF476" s="44" t="s">
        <v>1554</v>
      </c>
      <c r="BG476" s="44" t="s">
        <v>1554</v>
      </c>
      <c r="BH476" s="44" t="s">
        <v>1554</v>
      </c>
      <c r="BI476" s="44" t="s">
        <v>1554</v>
      </c>
      <c r="BJ476" s="44" t="s">
        <v>1554</v>
      </c>
      <c r="BK476" s="44" t="s">
        <v>1554</v>
      </c>
      <c r="BL476" s="44" t="s">
        <v>1554</v>
      </c>
      <c r="BM476" s="44" t="s">
        <v>1554</v>
      </c>
      <c r="BN476" s="44" t="s">
        <v>1554</v>
      </c>
      <c r="BO476" s="46">
        <f t="shared" si="37"/>
        <v>11</v>
      </c>
      <c r="BP476" s="43"/>
      <c r="BQ476" s="43"/>
      <c r="BR476" s="43"/>
      <c r="BS476" s="43"/>
      <c r="BT476" s="43"/>
      <c r="BU476" s="43"/>
      <c r="BV476" s="43"/>
      <c r="BW476" s="43"/>
      <c r="BX476" s="43"/>
      <c r="BY476" s="43"/>
      <c r="BZ476" s="43" t="s">
        <v>1554</v>
      </c>
      <c r="CA476" s="43" t="s">
        <v>1554</v>
      </c>
    </row>
    <row r="477" spans="1:79">
      <c r="A477">
        <v>476</v>
      </c>
      <c r="B477">
        <v>1</v>
      </c>
      <c r="C477" t="s">
        <v>1696</v>
      </c>
      <c r="D477" t="s">
        <v>1697</v>
      </c>
      <c r="E477" t="s">
        <v>2556</v>
      </c>
      <c r="F477" t="s">
        <v>2557</v>
      </c>
      <c r="G477" t="s">
        <v>3692</v>
      </c>
      <c r="H477" t="s">
        <v>3692</v>
      </c>
      <c r="J477" t="s">
        <v>3693</v>
      </c>
      <c r="K477" t="s">
        <v>3694</v>
      </c>
      <c r="L477" t="s">
        <v>1539</v>
      </c>
      <c r="M477" s="1" t="s">
        <v>3695</v>
      </c>
      <c r="N477" t="s">
        <v>3696</v>
      </c>
      <c r="O477" s="46">
        <f t="shared" si="38"/>
        <v>0</v>
      </c>
      <c r="P477" s="43" t="s">
        <v>1542</v>
      </c>
      <c r="Q477" s="43" t="s">
        <v>1542</v>
      </c>
      <c r="R477" s="43" t="s">
        <v>1542</v>
      </c>
      <c r="S477" s="43" t="s">
        <v>1542</v>
      </c>
      <c r="T477" s="43" t="s">
        <v>1542</v>
      </c>
      <c r="U477" s="43" t="s">
        <v>1542</v>
      </c>
      <c r="V477" s="43" t="s">
        <v>1542</v>
      </c>
      <c r="W477" s="43" t="s">
        <v>1542</v>
      </c>
      <c r="X477" s="43" t="s">
        <v>1542</v>
      </c>
      <c r="Y477" s="43" t="s">
        <v>1542</v>
      </c>
      <c r="Z477" s="43" t="s">
        <v>1542</v>
      </c>
      <c r="AA477" s="43" t="s">
        <v>1542</v>
      </c>
      <c r="AB477" s="46">
        <f t="shared" si="39"/>
        <v>0</v>
      </c>
      <c r="AC477" s="44" t="s">
        <v>1542</v>
      </c>
      <c r="AD477" s="44" t="s">
        <v>1542</v>
      </c>
      <c r="AE477" s="44" t="s">
        <v>1542</v>
      </c>
      <c r="AF477" s="44" t="s">
        <v>1542</v>
      </c>
      <c r="AG477" s="44" t="s">
        <v>1542</v>
      </c>
      <c r="AH477" s="44" t="s">
        <v>1542</v>
      </c>
      <c r="AI477" s="44" t="s">
        <v>1542</v>
      </c>
      <c r="AJ477" s="44" t="s">
        <v>1542</v>
      </c>
      <c r="AK477" s="44" t="s">
        <v>1542</v>
      </c>
      <c r="AL477" s="44" t="s">
        <v>1542</v>
      </c>
      <c r="AM477" s="44" t="s">
        <v>1542</v>
      </c>
      <c r="AN477" s="44" t="s">
        <v>1542</v>
      </c>
      <c r="AO477" s="46">
        <f t="shared" si="35"/>
        <v>0</v>
      </c>
      <c r="AP477" s="43" t="s">
        <v>1542</v>
      </c>
      <c r="AQ477" s="43" t="s">
        <v>1542</v>
      </c>
      <c r="AR477" s="43" t="s">
        <v>1542</v>
      </c>
      <c r="AS477" s="43" t="s">
        <v>1542</v>
      </c>
      <c r="AT477" s="43" t="s">
        <v>1542</v>
      </c>
      <c r="AU477" s="43" t="s">
        <v>1542</v>
      </c>
      <c r="AV477" s="43" t="s">
        <v>1542</v>
      </c>
      <c r="AW477" s="43" t="s">
        <v>1542</v>
      </c>
      <c r="AX477" s="43" t="s">
        <v>1542</v>
      </c>
      <c r="AY477" s="43" t="s">
        <v>1542</v>
      </c>
      <c r="AZ477" s="43" t="s">
        <v>1542</v>
      </c>
      <c r="BA477" s="43" t="s">
        <v>1542</v>
      </c>
      <c r="BB477" s="46">
        <f t="shared" si="36"/>
        <v>0</v>
      </c>
      <c r="BC477" s="44" t="s">
        <v>1554</v>
      </c>
      <c r="BD477" s="44" t="s">
        <v>1554</v>
      </c>
      <c r="BE477" s="44" t="s">
        <v>1554</v>
      </c>
      <c r="BF477" s="44" t="s">
        <v>1554</v>
      </c>
      <c r="BG477" s="44" t="s">
        <v>1542</v>
      </c>
      <c r="BH477" s="44" t="s">
        <v>1542</v>
      </c>
      <c r="BI477" s="44" t="s">
        <v>1542</v>
      </c>
      <c r="BJ477" s="44" t="s">
        <v>1542</v>
      </c>
      <c r="BK477" s="44" t="s">
        <v>1542</v>
      </c>
      <c r="BL477" s="44" t="s">
        <v>1542</v>
      </c>
      <c r="BM477" s="44" t="s">
        <v>1542</v>
      </c>
      <c r="BN477" s="44" t="s">
        <v>1542</v>
      </c>
      <c r="BO477" s="46">
        <f t="shared" si="37"/>
        <v>4</v>
      </c>
      <c r="BP477" s="43"/>
      <c r="BQ477" s="43"/>
      <c r="BR477" s="43"/>
      <c r="BS477" s="43"/>
      <c r="BT477" s="43"/>
      <c r="BU477" s="43"/>
      <c r="BV477" s="43"/>
      <c r="BW477" s="43"/>
      <c r="BX477" s="43"/>
      <c r="BY477" s="43"/>
      <c r="BZ477" s="43" t="s">
        <v>1554</v>
      </c>
      <c r="CA477" s="43" t="s">
        <v>1554</v>
      </c>
    </row>
    <row r="478" spans="1:79">
      <c r="A478">
        <v>477</v>
      </c>
      <c r="B478">
        <v>1</v>
      </c>
      <c r="C478" t="s">
        <v>1696</v>
      </c>
      <c r="D478" t="s">
        <v>1697</v>
      </c>
      <c r="E478" t="s">
        <v>2556</v>
      </c>
      <c r="F478" t="s">
        <v>2557</v>
      </c>
      <c r="G478" t="s">
        <v>3697</v>
      </c>
      <c r="H478" t="s">
        <v>3697</v>
      </c>
      <c r="J478" t="s">
        <v>3698</v>
      </c>
      <c r="K478" t="s">
        <v>3699</v>
      </c>
      <c r="L478" t="s">
        <v>1539</v>
      </c>
      <c r="M478" s="1" t="s">
        <v>3700</v>
      </c>
      <c r="N478" t="s">
        <v>3701</v>
      </c>
      <c r="O478" s="46">
        <f t="shared" si="38"/>
        <v>0</v>
      </c>
      <c r="P478" s="43" t="s">
        <v>1542</v>
      </c>
      <c r="Q478" s="43" t="s">
        <v>1542</v>
      </c>
      <c r="R478" s="43" t="s">
        <v>1542</v>
      </c>
      <c r="S478" s="43" t="s">
        <v>1542</v>
      </c>
      <c r="T478" s="43" t="s">
        <v>1542</v>
      </c>
      <c r="U478" s="43" t="s">
        <v>1542</v>
      </c>
      <c r="V478" s="43" t="s">
        <v>1542</v>
      </c>
      <c r="W478" s="43" t="s">
        <v>1542</v>
      </c>
      <c r="X478" s="43" t="s">
        <v>1542</v>
      </c>
      <c r="Y478" s="43" t="s">
        <v>1542</v>
      </c>
      <c r="Z478" s="43" t="s">
        <v>1542</v>
      </c>
      <c r="AA478" s="43" t="s">
        <v>1542</v>
      </c>
      <c r="AB478" s="46">
        <f t="shared" si="39"/>
        <v>0</v>
      </c>
      <c r="AC478" s="44" t="s">
        <v>1542</v>
      </c>
      <c r="AD478" s="44" t="s">
        <v>1542</v>
      </c>
      <c r="AE478" s="44" t="s">
        <v>1542</v>
      </c>
      <c r="AF478" s="44" t="s">
        <v>1542</v>
      </c>
      <c r="AG478" s="44" t="s">
        <v>1542</v>
      </c>
      <c r="AH478" s="44" t="s">
        <v>1542</v>
      </c>
      <c r="AI478" s="44" t="s">
        <v>1542</v>
      </c>
      <c r="AJ478" s="44" t="s">
        <v>1542</v>
      </c>
      <c r="AK478" s="44" t="s">
        <v>1542</v>
      </c>
      <c r="AL478" s="44" t="s">
        <v>1542</v>
      </c>
      <c r="AM478" s="44" t="s">
        <v>1542</v>
      </c>
      <c r="AN478" s="44" t="s">
        <v>1542</v>
      </c>
      <c r="AO478" s="46">
        <f t="shared" si="35"/>
        <v>0</v>
      </c>
      <c r="AP478" s="43" t="s">
        <v>1542</v>
      </c>
      <c r="AQ478" s="43" t="s">
        <v>1542</v>
      </c>
      <c r="AR478" s="43" t="s">
        <v>1542</v>
      </c>
      <c r="AS478" s="43" t="s">
        <v>1542</v>
      </c>
      <c r="AT478" s="43" t="s">
        <v>1542</v>
      </c>
      <c r="AU478" s="43" t="s">
        <v>1542</v>
      </c>
      <c r="AV478" s="43" t="s">
        <v>1542</v>
      </c>
      <c r="AW478" s="43" t="s">
        <v>1542</v>
      </c>
      <c r="AX478" s="43" t="s">
        <v>1542</v>
      </c>
      <c r="AY478" s="43" t="s">
        <v>1542</v>
      </c>
      <c r="AZ478" s="43" t="s">
        <v>1542</v>
      </c>
      <c r="BA478" s="43" t="s">
        <v>1542</v>
      </c>
      <c r="BB478" s="46">
        <f t="shared" si="36"/>
        <v>0</v>
      </c>
      <c r="BC478" s="44" t="s">
        <v>1554</v>
      </c>
      <c r="BD478" s="44" t="s">
        <v>1554</v>
      </c>
      <c r="BE478" s="44" t="s">
        <v>1554</v>
      </c>
      <c r="BF478" s="44" t="s">
        <v>1554</v>
      </c>
      <c r="BG478" s="44" t="s">
        <v>1542</v>
      </c>
      <c r="BH478" s="44" t="s">
        <v>1542</v>
      </c>
      <c r="BI478" s="44" t="s">
        <v>1542</v>
      </c>
      <c r="BJ478" s="44" t="s">
        <v>1542</v>
      </c>
      <c r="BK478" s="44" t="s">
        <v>1542</v>
      </c>
      <c r="BL478" s="44" t="s">
        <v>1542</v>
      </c>
      <c r="BM478" s="44" t="s">
        <v>1542</v>
      </c>
      <c r="BN478" s="44" t="s">
        <v>1542</v>
      </c>
      <c r="BO478" s="46">
        <f t="shared" si="37"/>
        <v>4</v>
      </c>
      <c r="BP478" s="43"/>
      <c r="BQ478" s="43"/>
      <c r="BR478" s="43"/>
      <c r="BS478" s="43"/>
      <c r="BT478" s="43"/>
      <c r="BU478" s="43"/>
      <c r="BV478" s="43"/>
      <c r="BW478" s="43"/>
      <c r="BX478" s="43"/>
      <c r="BY478" s="43"/>
      <c r="BZ478" s="43" t="s">
        <v>1554</v>
      </c>
      <c r="CA478" s="43" t="s">
        <v>1554</v>
      </c>
    </row>
    <row r="479" spans="1:79">
      <c r="A479">
        <v>478</v>
      </c>
      <c r="B479">
        <v>1</v>
      </c>
      <c r="C479" t="s">
        <v>1532</v>
      </c>
      <c r="D479" t="s">
        <v>1533</v>
      </c>
      <c r="E479" t="s">
        <v>2125</v>
      </c>
      <c r="F479" t="s">
        <v>2126</v>
      </c>
      <c r="G479" t="s">
        <v>3702</v>
      </c>
      <c r="H479" t="s">
        <v>3702</v>
      </c>
      <c r="J479" t="s">
        <v>3703</v>
      </c>
      <c r="K479" t="s">
        <v>3704</v>
      </c>
      <c r="M479" s="1" t="s">
        <v>3705</v>
      </c>
      <c r="N479" t="s">
        <v>3706</v>
      </c>
      <c r="O479" s="46">
        <f t="shared" si="38"/>
        <v>2</v>
      </c>
      <c r="P479" s="43"/>
      <c r="Q479" s="43"/>
      <c r="R479" s="43"/>
      <c r="S479" s="43"/>
      <c r="T479" s="43"/>
      <c r="U479" s="43" t="s">
        <v>1554</v>
      </c>
      <c r="V479" s="43" t="s">
        <v>1554</v>
      </c>
      <c r="W479" s="43" t="s">
        <v>1542</v>
      </c>
      <c r="X479" s="43" t="s">
        <v>1542</v>
      </c>
      <c r="Y479" s="43" t="s">
        <v>1542</v>
      </c>
      <c r="Z479" s="43" t="s">
        <v>1542</v>
      </c>
      <c r="AA479" s="43" t="s">
        <v>1542</v>
      </c>
      <c r="AB479" s="46">
        <f t="shared" si="39"/>
        <v>0</v>
      </c>
      <c r="AC479" s="44"/>
      <c r="AD479" s="44"/>
      <c r="AE479" s="44"/>
      <c r="AF479" s="44"/>
      <c r="AG479" s="44"/>
      <c r="AH479" s="44"/>
      <c r="AI479" s="44"/>
      <c r="AJ479" s="44"/>
      <c r="AK479" s="44"/>
      <c r="AL479" s="44"/>
      <c r="AM479" s="44"/>
      <c r="AN479" s="44"/>
      <c r="AO479" s="46">
        <f t="shared" si="35"/>
        <v>0</v>
      </c>
      <c r="AP479" s="43"/>
      <c r="AQ479" s="43"/>
      <c r="AR479" s="43"/>
      <c r="AS479" s="43"/>
      <c r="AT479" s="43"/>
      <c r="AU479" s="43"/>
      <c r="AV479" s="43"/>
      <c r="AW479" s="43"/>
      <c r="AX479" s="43"/>
      <c r="AY479" s="43"/>
      <c r="AZ479" s="43"/>
      <c r="BA479" s="43"/>
      <c r="BB479" s="46">
        <f t="shared" si="36"/>
        <v>0</v>
      </c>
      <c r="BC479" s="44"/>
      <c r="BD479" s="44"/>
      <c r="BE479" s="44"/>
      <c r="BF479" s="44"/>
      <c r="BG479" s="44"/>
      <c r="BH479" s="44"/>
      <c r="BI479" s="44"/>
      <c r="BJ479" s="44"/>
      <c r="BK479" s="44"/>
      <c r="BL479" s="44"/>
      <c r="BM479" s="44"/>
      <c r="BN479" s="44"/>
      <c r="BO479" s="46">
        <f t="shared" si="37"/>
        <v>0</v>
      </c>
      <c r="BP479" s="43"/>
      <c r="BQ479" s="43"/>
      <c r="BR479" s="43"/>
      <c r="BS479" s="43"/>
      <c r="BT479" s="43"/>
      <c r="BU479" s="43"/>
      <c r="BV479" s="43"/>
      <c r="BW479" s="43"/>
      <c r="BX479" s="43"/>
      <c r="BY479" s="43"/>
      <c r="BZ479" s="43"/>
      <c r="CA479" s="43"/>
    </row>
    <row r="480" spans="1:79">
      <c r="A480">
        <v>479</v>
      </c>
      <c r="B480">
        <v>1</v>
      </c>
      <c r="C480" t="s">
        <v>1532</v>
      </c>
      <c r="D480" t="s">
        <v>1533</v>
      </c>
      <c r="E480" t="s">
        <v>2125</v>
      </c>
      <c r="F480" t="s">
        <v>2126</v>
      </c>
      <c r="G480" t="s">
        <v>3707</v>
      </c>
      <c r="H480" t="s">
        <v>3707</v>
      </c>
      <c r="J480" t="s">
        <v>3708</v>
      </c>
      <c r="K480" t="s">
        <v>3709</v>
      </c>
      <c r="M480" s="1" t="s">
        <v>3710</v>
      </c>
      <c r="N480" t="s">
        <v>3711</v>
      </c>
      <c r="O480" s="46">
        <f t="shared" si="38"/>
        <v>2</v>
      </c>
      <c r="P480" s="43"/>
      <c r="Q480" s="43"/>
      <c r="R480" s="43"/>
      <c r="S480" s="43"/>
      <c r="T480" s="43"/>
      <c r="U480" s="43" t="s">
        <v>1554</v>
      </c>
      <c r="V480" s="43" t="s">
        <v>1554</v>
      </c>
      <c r="W480" s="43" t="s">
        <v>1542</v>
      </c>
      <c r="X480" s="43" t="s">
        <v>1542</v>
      </c>
      <c r="Y480" s="43" t="s">
        <v>1542</v>
      </c>
      <c r="Z480" s="43" t="s">
        <v>1542</v>
      </c>
      <c r="AA480" s="43" t="s">
        <v>1542</v>
      </c>
      <c r="AB480" s="46">
        <f t="shared" si="39"/>
        <v>0</v>
      </c>
      <c r="AC480" s="44"/>
      <c r="AD480" s="44"/>
      <c r="AE480" s="44"/>
      <c r="AF480" s="44"/>
      <c r="AG480" s="44"/>
      <c r="AH480" s="44"/>
      <c r="AI480" s="44"/>
      <c r="AJ480" s="44"/>
      <c r="AK480" s="44"/>
      <c r="AL480" s="44"/>
      <c r="AM480" s="44"/>
      <c r="AN480" s="44"/>
      <c r="AO480" s="46">
        <f t="shared" si="35"/>
        <v>0</v>
      </c>
      <c r="AP480" s="43"/>
      <c r="AQ480" s="43"/>
      <c r="AR480" s="43"/>
      <c r="AS480" s="43"/>
      <c r="AT480" s="43"/>
      <c r="AU480" s="43"/>
      <c r="AV480" s="43"/>
      <c r="AW480" s="43"/>
      <c r="AX480" s="43"/>
      <c r="AY480" s="43"/>
      <c r="AZ480" s="43"/>
      <c r="BA480" s="43"/>
      <c r="BB480" s="46">
        <f t="shared" si="36"/>
        <v>0</v>
      </c>
      <c r="BC480" s="44"/>
      <c r="BD480" s="44"/>
      <c r="BE480" s="44"/>
      <c r="BF480" s="44"/>
      <c r="BG480" s="44"/>
      <c r="BH480" s="44"/>
      <c r="BI480" s="44"/>
      <c r="BJ480" s="44"/>
      <c r="BK480" s="44"/>
      <c r="BL480" s="44"/>
      <c r="BM480" s="44"/>
      <c r="BN480" s="44"/>
      <c r="BO480" s="46">
        <f t="shared" si="37"/>
        <v>0</v>
      </c>
      <c r="BP480" s="43"/>
      <c r="BQ480" s="43"/>
      <c r="BR480" s="43"/>
      <c r="BS480" s="43"/>
      <c r="BT480" s="43"/>
      <c r="BU480" s="43"/>
      <c r="BV480" s="43"/>
      <c r="BW480" s="43"/>
      <c r="BX480" s="43"/>
      <c r="BY480" s="43"/>
      <c r="BZ480" s="43"/>
      <c r="CA480" s="43"/>
    </row>
    <row r="481" spans="1:79">
      <c r="A481">
        <v>480</v>
      </c>
      <c r="B481">
        <v>1</v>
      </c>
      <c r="C481" t="s">
        <v>2935</v>
      </c>
      <c r="D481" t="s">
        <v>2936</v>
      </c>
      <c r="E481" t="s">
        <v>2974</v>
      </c>
      <c r="F481" t="s">
        <v>2975</v>
      </c>
      <c r="G481" t="s">
        <v>3712</v>
      </c>
      <c r="H481" t="s">
        <v>3712</v>
      </c>
      <c r="J481" t="s">
        <v>3713</v>
      </c>
      <c r="K481" t="s">
        <v>3714</v>
      </c>
      <c r="M481" s="1" t="s">
        <v>3715</v>
      </c>
      <c r="N481" t="s">
        <v>3716</v>
      </c>
      <c r="O481" s="46">
        <f t="shared" si="38"/>
        <v>1</v>
      </c>
      <c r="P481" s="43"/>
      <c r="Q481" s="43"/>
      <c r="R481" s="43"/>
      <c r="S481" s="43"/>
      <c r="T481" s="43"/>
      <c r="U481" s="43"/>
      <c r="V481" s="43"/>
      <c r="W481" s="43"/>
      <c r="X481" s="43"/>
      <c r="Y481" s="43"/>
      <c r="Z481" s="43" t="s">
        <v>1554</v>
      </c>
      <c r="AA481" s="43" t="s">
        <v>1542</v>
      </c>
      <c r="AB481" s="46">
        <f t="shared" si="39"/>
        <v>0</v>
      </c>
      <c r="AC481" s="44"/>
      <c r="AD481" s="44"/>
      <c r="AE481" s="44"/>
      <c r="AF481" s="44"/>
      <c r="AG481" s="44"/>
      <c r="AH481" s="44"/>
      <c r="AI481" s="44"/>
      <c r="AJ481" s="44"/>
      <c r="AK481" s="44"/>
      <c r="AL481" s="44"/>
      <c r="AM481" s="44"/>
      <c r="AN481" s="44"/>
      <c r="AO481" s="46">
        <f t="shared" si="35"/>
        <v>0</v>
      </c>
      <c r="AP481" s="43"/>
      <c r="AQ481" s="43"/>
      <c r="AR481" s="43"/>
      <c r="AS481" s="43"/>
      <c r="AT481" s="43"/>
      <c r="AU481" s="43"/>
      <c r="AV481" s="43"/>
      <c r="AW481" s="43"/>
      <c r="AX481" s="43"/>
      <c r="AY481" s="43"/>
      <c r="AZ481" s="43"/>
      <c r="BA481" s="43"/>
      <c r="BB481" s="46">
        <f t="shared" si="36"/>
        <v>0</v>
      </c>
      <c r="BC481" s="44"/>
      <c r="BD481" s="44"/>
      <c r="BE481" s="44"/>
      <c r="BF481" s="44"/>
      <c r="BG481" s="44"/>
      <c r="BH481" s="44"/>
      <c r="BI481" s="44"/>
      <c r="BJ481" s="44"/>
      <c r="BK481" s="44"/>
      <c r="BL481" s="44"/>
      <c r="BM481" s="44"/>
      <c r="BN481" s="44"/>
      <c r="BO481" s="46">
        <f t="shared" si="37"/>
        <v>0</v>
      </c>
      <c r="BP481" s="43"/>
      <c r="BQ481" s="43"/>
      <c r="BR481" s="43"/>
      <c r="BS481" s="43"/>
      <c r="BT481" s="43"/>
      <c r="BU481" s="43"/>
      <c r="BV481" s="43"/>
      <c r="BW481" s="43"/>
      <c r="BX481" s="43"/>
      <c r="BY481" s="43"/>
      <c r="BZ481" s="43"/>
      <c r="CA481" s="43"/>
    </row>
    <row r="482" spans="1:79">
      <c r="A482">
        <v>481</v>
      </c>
      <c r="B482">
        <v>1</v>
      </c>
      <c r="C482" t="s">
        <v>2935</v>
      </c>
      <c r="D482" t="s">
        <v>2936</v>
      </c>
      <c r="E482" t="s">
        <v>2974</v>
      </c>
      <c r="F482" t="s">
        <v>2975</v>
      </c>
      <c r="G482" t="s">
        <v>3717</v>
      </c>
      <c r="H482" t="s">
        <v>3717</v>
      </c>
      <c r="J482" t="s">
        <v>3718</v>
      </c>
      <c r="K482" t="s">
        <v>3719</v>
      </c>
      <c r="M482" s="1" t="s">
        <v>3720</v>
      </c>
      <c r="N482" t="s">
        <v>3721</v>
      </c>
      <c r="O482" s="46">
        <f t="shared" si="38"/>
        <v>1</v>
      </c>
      <c r="P482" s="43"/>
      <c r="Q482" s="43"/>
      <c r="R482" s="43"/>
      <c r="S482" s="43"/>
      <c r="T482" s="43"/>
      <c r="U482" s="43"/>
      <c r="V482" s="43"/>
      <c r="W482" s="43"/>
      <c r="X482" s="43"/>
      <c r="Y482" s="43"/>
      <c r="Z482" s="43" t="s">
        <v>1554</v>
      </c>
      <c r="AA482" s="43" t="s">
        <v>1542</v>
      </c>
      <c r="AB482" s="46">
        <f t="shared" si="39"/>
        <v>0</v>
      </c>
      <c r="AC482" s="44"/>
      <c r="AD482" s="44"/>
      <c r="AE482" s="44"/>
      <c r="AF482" s="44"/>
      <c r="AG482" s="44"/>
      <c r="AH482" s="44"/>
      <c r="AI482" s="44"/>
      <c r="AJ482" s="44"/>
      <c r="AK482" s="44"/>
      <c r="AL482" s="44"/>
      <c r="AM482" s="44"/>
      <c r="AN482" s="44"/>
      <c r="AO482" s="46">
        <f t="shared" si="35"/>
        <v>0</v>
      </c>
      <c r="AP482" s="43"/>
      <c r="AQ482" s="43"/>
      <c r="AR482" s="43"/>
      <c r="AS482" s="43"/>
      <c r="AT482" s="43"/>
      <c r="AU482" s="43"/>
      <c r="AV482" s="43"/>
      <c r="AW482" s="43"/>
      <c r="AX482" s="43"/>
      <c r="AY482" s="43"/>
      <c r="AZ482" s="43"/>
      <c r="BA482" s="43"/>
      <c r="BB482" s="46">
        <f t="shared" si="36"/>
        <v>0</v>
      </c>
      <c r="BC482" s="44"/>
      <c r="BD482" s="44"/>
      <c r="BE482" s="44"/>
      <c r="BF482" s="44"/>
      <c r="BG482" s="44"/>
      <c r="BH482" s="44"/>
      <c r="BI482" s="44"/>
      <c r="BJ482" s="44"/>
      <c r="BK482" s="44"/>
      <c r="BL482" s="44"/>
      <c r="BM482" s="44"/>
      <c r="BN482" s="44"/>
      <c r="BO482" s="46">
        <f t="shared" si="37"/>
        <v>0</v>
      </c>
      <c r="BP482" s="43"/>
      <c r="BQ482" s="43"/>
      <c r="BR482" s="43"/>
      <c r="BS482" s="43"/>
      <c r="BT482" s="43"/>
      <c r="BU482" s="43"/>
      <c r="BV482" s="43"/>
      <c r="BW482" s="43"/>
      <c r="BX482" s="43"/>
      <c r="BY482" s="43"/>
      <c r="BZ482" s="43"/>
      <c r="CA482" s="43"/>
    </row>
  </sheetData>
  <autoFilter ref="A1:CA482" xr:uid="{00000000-0009-0000-0000-000000000000}"/>
  <conditionalFormatting sqref="O2:O482">
    <cfRule type="cellIs" dxfId="6" priority="7" operator="greaterThan">
      <formula>0</formula>
    </cfRule>
  </conditionalFormatting>
  <conditionalFormatting sqref="P2:AA482">
    <cfRule type="cellIs" dxfId="5" priority="8" operator="equal">
      <formula>"NE"</formula>
    </cfRule>
  </conditionalFormatting>
  <conditionalFormatting sqref="AB2:AB482">
    <cfRule type="cellIs" dxfId="4" priority="6" operator="greaterThan">
      <formula>0</formula>
    </cfRule>
  </conditionalFormatting>
  <conditionalFormatting sqref="AC2:CA482">
    <cfRule type="cellIs" dxfId="3" priority="2" operator="equal">
      <formula>"NE"</formula>
    </cfRule>
  </conditionalFormatting>
  <conditionalFormatting sqref="AO2:AO482">
    <cfRule type="cellIs" dxfId="2" priority="3" operator="greaterThan">
      <formula>0</formula>
    </cfRule>
  </conditionalFormatting>
  <conditionalFormatting sqref="BB2:BB482">
    <cfRule type="cellIs" dxfId="1" priority="5" operator="greaterThan">
      <formula>0</formula>
    </cfRule>
  </conditionalFormatting>
  <conditionalFormatting sqref="BO2:BO482">
    <cfRule type="cellIs" dxfId="0" priority="1" operator="greaterThan">
      <formula>0</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um" ma:contentTypeID="0x010100610A4303E825A846AC0D89F91C00EC8E" ma:contentTypeVersion="13" ma:contentTypeDescription="Új dokumentum létrehozása." ma:contentTypeScope="" ma:versionID="68837c8eb4a9b64cdfa0bab9c310e929">
  <xsd:schema xmlns:xsd="http://www.w3.org/2001/XMLSchema" xmlns:xs="http://www.w3.org/2001/XMLSchema" xmlns:p="http://schemas.microsoft.com/office/2006/metadata/properties" xmlns:ns2="6ee5a603-0ed4-41e9-9728-3092459ceffd" xmlns:ns3="22a63c5d-82d4-4db1-91ea-a6ac1a69c055" targetNamespace="http://schemas.microsoft.com/office/2006/metadata/properties" ma:root="true" ma:fieldsID="af9d16e2e28c4701182e5db775230507" ns2:_="" ns3:_="">
    <xsd:import namespace="6ee5a603-0ed4-41e9-9728-3092459ceffd"/>
    <xsd:import namespace="22a63c5d-82d4-4db1-91ea-a6ac1a69c0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e5a603-0ed4-41e9-9728-3092459cef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a63c5d-82d4-4db1-91ea-a6ac1a69c055" elementFormDefault="qualified">
    <xsd:import namespace="http://schemas.microsoft.com/office/2006/documentManagement/types"/>
    <xsd:import namespace="http://schemas.microsoft.com/office/infopath/2007/PartnerControls"/>
    <xsd:element name="SharedWithUsers" ma:index="12"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Megosztva részletekkel"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BD9EA7-4DBD-4931-9CB4-A9F53A2C2C3A}"/>
</file>

<file path=customXml/itemProps2.xml><?xml version="1.0" encoding="utf-8"?>
<ds:datastoreItem xmlns:ds="http://schemas.openxmlformats.org/officeDocument/2006/customXml" ds:itemID="{E13A3560-93AC-4E86-8DBD-DDD8E5251135}"/>
</file>

<file path=customXml/itemProps3.xml><?xml version="1.0" encoding="utf-8"?>
<ds:datastoreItem xmlns:ds="http://schemas.openxmlformats.org/officeDocument/2006/customXml" ds:itemID="{BF4E4DE7-CCDF-4870-937D-79B71BA63047}"/>
</file>

<file path=customXml/itemProps4.xml><?xml version="1.0" encoding="utf-8"?>
<ds:datastoreItem xmlns:ds="http://schemas.openxmlformats.org/officeDocument/2006/customXml" ds:itemID="{5E4F8A5A-2EAD-4718-A79D-44E9D515E6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Rosandić Robert</dc:creator>
  <cp:keywords/>
  <dc:description/>
  <cp:lastModifiedBy/>
  <cp:revision/>
  <dcterms:created xsi:type="dcterms:W3CDTF">2020-04-21T13:42:00Z</dcterms:created>
  <dcterms:modified xsi:type="dcterms:W3CDTF">2025-05-22T21:43:08Z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0x010100610A4303E825A846AC0D89F91C00EC8E</vt:lpwstr>
  </property>
</Properties>
</file>