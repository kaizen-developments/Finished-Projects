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filterPrivacy="1" codeName="ThisWorkbook"/>
  <xr:revisionPtr revIDLastSave="0" documentId="8_{DF3F8EF8-A774-4B68-AEF6-F7AA99C2B0C2}" xr6:coauthVersionLast="47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Data 2024" sheetId="3" r:id="rId1"/>
    <sheet name="Category Averages" sheetId="10" r:id="rId2"/>
    <sheet name="Segédtábla, Szűrt Adatok" sheetId="12" state="hidden" r:id="rId3"/>
    <sheet name="Riport" sheetId="5" r:id="rId4"/>
    <sheet name="Data for individual SES" sheetId="8" r:id="rId5"/>
    <sheet name="SÉM-Riport" sheetId="9" state="hidden" r:id="rId6"/>
  </sheets>
  <externalReferences>
    <externalReference r:id="rId7"/>
    <externalReference r:id="rId8"/>
  </externalReferences>
  <definedNames>
    <definedName name="_xlnm._FilterDatabase" localSheetId="0" hidden="1">'Data 2024'!$A$1:$Q$380</definedName>
    <definedName name="_xlnm._FilterDatabase" localSheetId="4" hidden="1">'Data for individual SES'!$A$1:$K$382</definedName>
    <definedName name="_xlnm._FilterDatabase" localSheetId="3" hidden="1">Riport!$A$1:$J$4</definedName>
    <definedName name="B0__adatok_excel_fájljának_neve">"BPI_adatok.xlsx"</definedName>
    <definedName name="B0__adatok_munkafüzetének_neve">"List1"</definedName>
    <definedName name="B0__adatokban_oszlopneve_a_kávé_értékesítéseknek">"Kávé darabszám"</definedName>
    <definedName name="B0__adatokban_oszlopneve_a_sém_kódoknak">"Sém Kód"</definedName>
    <definedName name="B0__adatokban_oszlopneve_az_azonosítóknak">"Kút Kód"</definedName>
    <definedName name="B0__sorának_száma_a_fejléceknek">1</definedName>
    <definedName name="D1__adatok_munkafüzetének_referenciája">"["&amp;B0__adatok_excel_fájljának_neve&amp;"]"&amp;B0__adatok_munkafüzetének_neve</definedName>
    <definedName name="D1__adatokban_fejlécek_tartománya">B0__sorának_száma_a_fejléceknek&amp;":"&amp;B0__sorának_száma_a_fejléceknek</definedName>
    <definedName name="D2__adatokban_címe_a_fejlécekben_a_kávé_értékesítések_cellájának">ADDRESS(B0__sorának_száma_a_fejléceknek,MATCH(B0__adatokban_oszlopneve_a_kávé_értékesítéseknek,INDIRECT(D1__adatok_munkafüzetének_referenciája&amp;"!"&amp;D1__adatokban_fejlécek_tartománya),0))</definedName>
    <definedName name="D2__adatokban_címe_a_fejlécekben_az_azonosítók_cellájának">ADDRESS(B0__sorának_száma_a_fejléceknek,MATCH(B0__adatokban_oszlopneve_az_azonosítóknak,INDIRECT(D1__adatok_munkafüzetének_referenciája&amp;"!"&amp;D1__adatokban_fejlécek_tartománya),0))</definedName>
    <definedName name="D3__adatokban_oszlopának_neve_a_kávé_értékesítéseknek">CHAR(COLUMN(INDIRECT(D2__adatokban_címe_a_fejlécekben_a_kávé_értékesítések_cellájának))+64)</definedName>
    <definedName name="D3__oszlopának_neve_az_azonosítóknak">CHAR(COLUMN(INDIRECT(D2__adatokban_címe_a_fejlécekben_az_azonosítók_cellájának))+64)</definedName>
    <definedName name="fejlécek_sora">INDIRECT(INDIRECT(B0__adatok_excel_fájljának_neve))</definedName>
    <definedName name="gastro_selejtszám_oszlop">[1]List1!$F$2:$F$379</definedName>
    <definedName name="hot_dog_on_guidance_oszlop">[1]List1!#REF!</definedName>
    <definedName name="kávé_darabszám_oszlop">[1]List1!$G$2:$G$379</definedName>
    <definedName name="kávé_hot_dog_szendvics_pizza_wrap_sémKód_oszlopa">'[2]Forgalom és raktárkészlet'!$J$5:$J$1181</definedName>
    <definedName name="Kút_kategóriája" localSheetId="5">_xlfn.XLOOKUP('SÉM-Riport'!Kútkód,'Data 2024'!$B$2:$B$380,'Data 2024'!$D$2:$D$380)</definedName>
    <definedName name="Kút_kategóriája">_xlfn.XLOOKUP(Riport!Kútkód,'Data 2024'!$A$2:$A$380,'Data 2024'!$D$2:$D$380)</definedName>
    <definedName name="Kútkód" localSheetId="3">Riport!$C$1</definedName>
    <definedName name="Kútkód" localSheetId="5">'SÉM-Riport'!$C$1</definedName>
    <definedName name="kútkód_oszlop">[1]List1!#REF!</definedName>
    <definedName name="pizza_darabszám_oszlop">[1]List1!$L$2:$L$379</definedName>
    <definedName name="_xlnm.Print_Titles" localSheetId="3">Riport!$8:$8</definedName>
    <definedName name="_xlnm.Print_Titles" localSheetId="5">'SÉM-Riport'!$7:$7</definedName>
    <definedName name="sandwich_planner_on_guidance_oszlop">[1]List1!#REF!</definedName>
    <definedName name="SÉM">#REF!</definedName>
    <definedName name="sémkód_oszlop">[1]List1!#REF!</definedName>
    <definedName name="sorok_száma_az_adatokban" localSheetId="3">MAX(ROW(Riport!XFB:XFB)*(Riport!XFB:XFB&lt;&gt;""))</definedName>
    <definedName name="sorok_száma_az_adatokban" localSheetId="5">MAX(ROW('SÉM-Riport'!XFB:XFB)*('SÉM-Riport'!XFB:XFB&lt;&gt;""))</definedName>
    <definedName name="sorok_száma_az_adatokban">MAX(ROW(#REF!)*(#REF!&lt;&gt;""))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 a="1"/>
  <c r="C2" i="12" s="1"/>
  <c r="P2" i="3"/>
  <c r="A2" i="10" a="1"/>
  <c r="A2" i="10" s="1"/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E4" i="10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2" i="3"/>
  <c r="P113" i="3"/>
  <c r="P114" i="3"/>
  <c r="P115" i="3"/>
  <c r="P116" i="3"/>
  <c r="P118" i="3"/>
  <c r="P119" i="3"/>
  <c r="P120" i="3"/>
  <c r="P121" i="3"/>
  <c r="P122" i="3"/>
  <c r="P123" i="3"/>
  <c r="P124" i="3"/>
  <c r="P125" i="3"/>
  <c r="P126" i="3"/>
  <c r="P127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60" i="3"/>
  <c r="P161" i="3"/>
  <c r="P162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90" i="3"/>
  <c r="P191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8" i="3"/>
  <c r="P271" i="3"/>
  <c r="P272" i="3"/>
  <c r="P273" i="3"/>
  <c r="P274" i="3"/>
  <c r="P275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8" i="3"/>
  <c r="P299" i="3"/>
  <c r="P300" i="3"/>
  <c r="P301" i="3"/>
  <c r="P302" i="3"/>
  <c r="P303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E2" i="10" l="1"/>
  <c r="C2" i="5" a="1"/>
  <c r="C2" i="5" s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2" i="8"/>
  <c r="G2" i="8" s="1"/>
  <c r="C3" i="9"/>
  <c r="C2" i="9" a="1"/>
  <c r="C2" i="9" s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G7" i="9" s="1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2" i="3"/>
  <c r="G8" i="9" l="1" a="1"/>
  <c r="G8" i="9" s="1"/>
  <c r="G9" i="9" s="1"/>
  <c r="E3" i="10"/>
  <c r="D3" i="10"/>
  <c r="D4" i="10"/>
  <c r="D2" i="10"/>
  <c r="C3" i="5"/>
  <c r="I14" i="3"/>
  <c r="I22" i="3"/>
  <c r="I30" i="3"/>
  <c r="I38" i="3"/>
  <c r="I46" i="3"/>
  <c r="I68" i="3"/>
  <c r="I77" i="3"/>
  <c r="I88" i="3"/>
  <c r="I106" i="3"/>
  <c r="I127" i="3"/>
  <c r="I129" i="3"/>
  <c r="I157" i="3"/>
  <c r="I198" i="3"/>
  <c r="I231" i="3"/>
  <c r="I239" i="3"/>
  <c r="I247" i="3"/>
  <c r="I250" i="3"/>
  <c r="I253" i="3"/>
  <c r="I256" i="3"/>
  <c r="I261" i="3"/>
  <c r="I268" i="3"/>
  <c r="I276" i="3"/>
  <c r="I283" i="3"/>
  <c r="H7" i="9"/>
  <c r="I290" i="3"/>
  <c r="I291" i="3"/>
  <c r="I298" i="3"/>
  <c r="I299" i="3"/>
  <c r="I314" i="3"/>
  <c r="I324" i="3"/>
  <c r="I343" i="3"/>
  <c r="I367" i="3"/>
  <c r="I376" i="3"/>
  <c r="I221" i="3"/>
  <c r="I125" i="3"/>
  <c r="I110" i="3"/>
  <c r="I50" i="3"/>
  <c r="I4" i="3"/>
  <c r="I70" i="3"/>
  <c r="I62" i="3"/>
  <c r="I331" i="3"/>
  <c r="I327" i="3"/>
  <c r="I184" i="3"/>
  <c r="I172" i="3"/>
  <c r="I377" i="3"/>
  <c r="I217" i="3"/>
  <c r="I205" i="3"/>
  <c r="J377" i="3"/>
  <c r="I353" i="3"/>
  <c r="I326" i="3"/>
  <c r="I280" i="3"/>
  <c r="I265" i="3"/>
  <c r="I342" i="3"/>
  <c r="I335" i="3"/>
  <c r="I321" i="3"/>
  <c r="I308" i="3"/>
  <c r="I301" i="3"/>
  <c r="I293" i="3"/>
  <c r="I286" i="3"/>
  <c r="I279" i="3"/>
  <c r="I271" i="3"/>
  <c r="I264" i="3"/>
  <c r="I242" i="3"/>
  <c r="I214" i="3"/>
  <c r="I206" i="3"/>
  <c r="I193" i="3"/>
  <c r="I187" i="3"/>
  <c r="I179" i="3"/>
  <c r="I175" i="3"/>
  <c r="I160" i="3"/>
  <c r="I153" i="3"/>
  <c r="I132" i="3"/>
  <c r="I124" i="3"/>
  <c r="I117" i="3"/>
  <c r="I101" i="3"/>
  <c r="I94" i="3"/>
  <c r="I80" i="3"/>
  <c r="I73" i="3"/>
  <c r="I65" i="3"/>
  <c r="I57" i="3"/>
  <c r="I41" i="3"/>
  <c r="I33" i="3"/>
  <c r="I25" i="3"/>
  <c r="I17" i="3"/>
  <c r="I9" i="3"/>
  <c r="I3" i="3"/>
  <c r="I374" i="3"/>
  <c r="I358" i="3"/>
  <c r="I352" i="3"/>
  <c r="I348" i="3"/>
  <c r="I341" i="3"/>
  <c r="I334" i="3"/>
  <c r="I328" i="3"/>
  <c r="I325" i="3"/>
  <c r="I320" i="3"/>
  <c r="I315" i="3"/>
  <c r="I307" i="3"/>
  <c r="I300" i="3"/>
  <c r="I292" i="3"/>
  <c r="I241" i="3"/>
  <c r="I233" i="3"/>
  <c r="I227" i="3"/>
  <c r="I219" i="3"/>
  <c r="I213" i="3"/>
  <c r="I200" i="3"/>
  <c r="I186" i="3"/>
  <c r="I174" i="3"/>
  <c r="I166" i="3"/>
  <c r="I159" i="3"/>
  <c r="I152" i="3"/>
  <c r="I145" i="3"/>
  <c r="I138" i="3"/>
  <c r="I131" i="3"/>
  <c r="I123" i="3"/>
  <c r="I116" i="3"/>
  <c r="I108" i="3"/>
  <c r="I100" i="3"/>
  <c r="I93" i="3"/>
  <c r="I79" i="3"/>
  <c r="I72" i="3"/>
  <c r="I64" i="3"/>
  <c r="I56" i="3"/>
  <c r="I48" i="3"/>
  <c r="I40" i="3"/>
  <c r="I32" i="3"/>
  <c r="I24" i="3"/>
  <c r="I16" i="3"/>
  <c r="I8" i="3"/>
  <c r="I284" i="3"/>
  <c r="I277" i="3"/>
  <c r="I254" i="3"/>
  <c r="I248" i="3"/>
  <c r="I240" i="3"/>
  <c r="I232" i="3"/>
  <c r="I226" i="3"/>
  <c r="I218" i="3"/>
  <c r="I212" i="3"/>
  <c r="I199" i="3"/>
  <c r="I192" i="3"/>
  <c r="I185" i="3"/>
  <c r="I173" i="3"/>
  <c r="I158" i="3"/>
  <c r="I151" i="3"/>
  <c r="I144" i="3"/>
  <c r="I137" i="3"/>
  <c r="I130" i="3"/>
  <c r="I122" i="3"/>
  <c r="I115" i="3"/>
  <c r="I107" i="3"/>
  <c r="I99" i="3"/>
  <c r="I92" i="3"/>
  <c r="I86" i="3"/>
  <c r="I78" i="3"/>
  <c r="I71" i="3"/>
  <c r="I63" i="3"/>
  <c r="I55" i="3"/>
  <c r="I47" i="3"/>
  <c r="I39" i="3"/>
  <c r="I31" i="3"/>
  <c r="I23" i="3"/>
  <c r="I15" i="3"/>
  <c r="I7" i="3"/>
  <c r="I282" i="3"/>
  <c r="I275" i="3"/>
  <c r="I267" i="3"/>
  <c r="I260" i="3"/>
  <c r="I252" i="3"/>
  <c r="I246" i="3"/>
  <c r="I238" i="3"/>
  <c r="I230" i="3"/>
  <c r="I224" i="3"/>
  <c r="I216" i="3"/>
  <c r="I210" i="3"/>
  <c r="I204" i="3"/>
  <c r="I197" i="3"/>
  <c r="I191" i="3"/>
  <c r="I183" i="3"/>
  <c r="I171" i="3"/>
  <c r="I164" i="3"/>
  <c r="I156" i="3"/>
  <c r="I150" i="3"/>
  <c r="I142" i="3"/>
  <c r="I135" i="3"/>
  <c r="I128" i="3"/>
  <c r="I120" i="3"/>
  <c r="I113" i="3"/>
  <c r="I105" i="3"/>
  <c r="I97" i="3"/>
  <c r="I90" i="3"/>
  <c r="I84" i="3"/>
  <c r="I76" i="3"/>
  <c r="I69" i="3"/>
  <c r="I61" i="3"/>
  <c r="I53" i="3"/>
  <c r="I45" i="3"/>
  <c r="I37" i="3"/>
  <c r="I29" i="3"/>
  <c r="I21" i="3"/>
  <c r="I13" i="3"/>
  <c r="I6" i="3"/>
  <c r="I245" i="3"/>
  <c r="I190" i="3"/>
  <c r="I75" i="3"/>
  <c r="I12" i="3"/>
  <c r="I244" i="3"/>
  <c r="I236" i="3"/>
  <c r="I229" i="3"/>
  <c r="I222" i="3"/>
  <c r="I208" i="3"/>
  <c r="I195" i="3"/>
  <c r="I189" i="3"/>
  <c r="I181" i="3"/>
  <c r="I177" i="3"/>
  <c r="I169" i="3"/>
  <c r="I162" i="3"/>
  <c r="I148" i="3"/>
  <c r="I140" i="3"/>
  <c r="I134" i="3"/>
  <c r="I126" i="3"/>
  <c r="I119" i="3"/>
  <c r="I111" i="3"/>
  <c r="I103" i="3"/>
  <c r="I82" i="3"/>
  <c r="I74" i="3"/>
  <c r="I67" i="3"/>
  <c r="I59" i="3"/>
  <c r="I51" i="3"/>
  <c r="I43" i="3"/>
  <c r="I35" i="3"/>
  <c r="I27" i="3"/>
  <c r="I19" i="3"/>
  <c r="I11" i="3"/>
  <c r="J8" i="3"/>
  <c r="J9" i="3"/>
  <c r="J10" i="3"/>
  <c r="J11" i="3"/>
  <c r="J13" i="3"/>
  <c r="J15" i="3"/>
  <c r="J16" i="3"/>
  <c r="J17" i="3"/>
  <c r="J18" i="3"/>
  <c r="J19" i="3"/>
  <c r="J21" i="3"/>
  <c r="J23" i="3"/>
  <c r="J24" i="3"/>
  <c r="J25" i="3"/>
  <c r="J26" i="3"/>
  <c r="J27" i="3"/>
  <c r="J29" i="3"/>
  <c r="J31" i="3"/>
  <c r="J32" i="3"/>
  <c r="J33" i="3"/>
  <c r="J34" i="3"/>
  <c r="J35" i="3"/>
  <c r="J37" i="3"/>
  <c r="J39" i="3"/>
  <c r="J40" i="3"/>
  <c r="J41" i="3"/>
  <c r="J42" i="3"/>
  <c r="J43" i="3"/>
  <c r="J45" i="3"/>
  <c r="J47" i="3"/>
  <c r="J48" i="3"/>
  <c r="J49" i="3"/>
  <c r="J50" i="3"/>
  <c r="J51" i="3"/>
  <c r="J53" i="3"/>
  <c r="J55" i="3"/>
  <c r="J56" i="3"/>
  <c r="J57" i="3"/>
  <c r="J58" i="3"/>
  <c r="J59" i="3"/>
  <c r="J61" i="3"/>
  <c r="J63" i="3"/>
  <c r="J64" i="3"/>
  <c r="J65" i="3"/>
  <c r="J66" i="3"/>
  <c r="J67" i="3"/>
  <c r="J69" i="3"/>
  <c r="J71" i="3"/>
  <c r="J72" i="3"/>
  <c r="J73" i="3"/>
  <c r="J74" i="3"/>
  <c r="J76" i="3"/>
  <c r="J78" i="3"/>
  <c r="J79" i="3"/>
  <c r="J80" i="3"/>
  <c r="J81" i="3"/>
  <c r="J82" i="3"/>
  <c r="J84" i="3"/>
  <c r="J86" i="3"/>
  <c r="J87" i="3"/>
  <c r="J88" i="3"/>
  <c r="J90" i="3"/>
  <c r="J92" i="3"/>
  <c r="J93" i="3"/>
  <c r="J94" i="3"/>
  <c r="J95" i="3"/>
  <c r="J97" i="3"/>
  <c r="J99" i="3"/>
  <c r="J100" i="3"/>
  <c r="J101" i="3"/>
  <c r="J102" i="3"/>
  <c r="J103" i="3"/>
  <c r="J104" i="3"/>
  <c r="J105" i="3"/>
  <c r="J107" i="3"/>
  <c r="J108" i="3"/>
  <c r="J109" i="3"/>
  <c r="J110" i="3"/>
  <c r="J111" i="3"/>
  <c r="J112" i="3"/>
  <c r="J113" i="3"/>
  <c r="J115" i="3"/>
  <c r="J116" i="3"/>
  <c r="J117" i="3"/>
  <c r="J118" i="3"/>
  <c r="J119" i="3"/>
  <c r="J120" i="3"/>
  <c r="J122" i="3"/>
  <c r="J123" i="3"/>
  <c r="J124" i="3"/>
  <c r="J125" i="3"/>
  <c r="J126" i="3"/>
  <c r="J127" i="3"/>
  <c r="J128" i="3"/>
  <c r="J130" i="3"/>
  <c r="J131" i="3"/>
  <c r="J132" i="3"/>
  <c r="J133" i="3"/>
  <c r="J134" i="3"/>
  <c r="J135" i="3"/>
  <c r="J137" i="3"/>
  <c r="J138" i="3"/>
  <c r="J139" i="3"/>
  <c r="J140" i="3"/>
  <c r="J141" i="3"/>
  <c r="J142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8" i="3"/>
  <c r="J159" i="3"/>
  <c r="J160" i="3"/>
  <c r="J161" i="3"/>
  <c r="J162" i="3"/>
  <c r="J164" i="3"/>
  <c r="J166" i="3"/>
  <c r="J167" i="3"/>
  <c r="J168" i="3"/>
  <c r="J169" i="3"/>
  <c r="J171" i="3"/>
  <c r="J173" i="3"/>
  <c r="J174" i="3"/>
  <c r="J175" i="3"/>
  <c r="J176" i="3"/>
  <c r="J177" i="3"/>
  <c r="J179" i="3"/>
  <c r="J180" i="3"/>
  <c r="J181" i="3"/>
  <c r="J183" i="3"/>
  <c r="J185" i="3"/>
  <c r="J186" i="3"/>
  <c r="J187" i="3"/>
  <c r="J188" i="3"/>
  <c r="J189" i="3"/>
  <c r="J191" i="3"/>
  <c r="J192" i="3"/>
  <c r="J193" i="3"/>
  <c r="J194" i="3"/>
  <c r="J195" i="3"/>
  <c r="J197" i="3"/>
  <c r="J199" i="3"/>
  <c r="J200" i="3"/>
  <c r="J201" i="3"/>
  <c r="J202" i="3"/>
  <c r="J204" i="3"/>
  <c r="J206" i="3"/>
  <c r="J207" i="3"/>
  <c r="J208" i="3"/>
  <c r="J209" i="3"/>
  <c r="J210" i="3"/>
  <c r="J212" i="3"/>
  <c r="J213" i="3"/>
  <c r="J214" i="3"/>
  <c r="J215" i="3"/>
  <c r="J216" i="3"/>
  <c r="J218" i="3"/>
  <c r="J219" i="3"/>
  <c r="J220" i="3"/>
  <c r="J221" i="3"/>
  <c r="J222" i="3"/>
  <c r="J224" i="3"/>
  <c r="J226" i="3"/>
  <c r="J227" i="3"/>
  <c r="J228" i="3"/>
  <c r="J229" i="3"/>
  <c r="J230" i="3"/>
  <c r="J232" i="3"/>
  <c r="J233" i="3"/>
  <c r="J234" i="3"/>
  <c r="J235" i="3"/>
  <c r="J236" i="3"/>
  <c r="J238" i="3"/>
  <c r="J240" i="3"/>
  <c r="J241" i="3"/>
  <c r="J242" i="3"/>
  <c r="J243" i="3"/>
  <c r="J244" i="3"/>
  <c r="J246" i="3"/>
  <c r="J248" i="3"/>
  <c r="J249" i="3"/>
  <c r="J250" i="3"/>
  <c r="J252" i="3"/>
  <c r="J254" i="3"/>
  <c r="J255" i="3"/>
  <c r="J256" i="3"/>
  <c r="J257" i="3"/>
  <c r="J259" i="3"/>
  <c r="J260" i="3"/>
  <c r="J262" i="3"/>
  <c r="J263" i="3"/>
  <c r="J264" i="3"/>
  <c r="J265" i="3"/>
  <c r="J266" i="3"/>
  <c r="J267" i="3"/>
  <c r="J269" i="3"/>
  <c r="J270" i="3"/>
  <c r="J271" i="3"/>
  <c r="J272" i="3"/>
  <c r="J274" i="3"/>
  <c r="J275" i="3"/>
  <c r="J277" i="3"/>
  <c r="J278" i="3"/>
  <c r="J279" i="3"/>
  <c r="J280" i="3"/>
  <c r="J281" i="3"/>
  <c r="J282" i="3"/>
  <c r="J284" i="3"/>
  <c r="J285" i="3"/>
  <c r="J286" i="3"/>
  <c r="J287" i="3"/>
  <c r="F7" i="9" s="1"/>
  <c r="J289" i="3"/>
  <c r="J290" i="3"/>
  <c r="J292" i="3"/>
  <c r="J293" i="3"/>
  <c r="J294" i="3"/>
  <c r="J296" i="3"/>
  <c r="J297" i="3"/>
  <c r="J299" i="3"/>
  <c r="J300" i="3"/>
  <c r="J301" i="3"/>
  <c r="J302" i="3"/>
  <c r="J304" i="3"/>
  <c r="J306" i="3"/>
  <c r="J307" i="3"/>
  <c r="J308" i="3"/>
  <c r="J309" i="3"/>
  <c r="J311" i="3"/>
  <c r="J315" i="3"/>
  <c r="J316" i="3"/>
  <c r="J320" i="3"/>
  <c r="J321" i="3"/>
  <c r="J323" i="3"/>
  <c r="J324" i="3"/>
  <c r="J325" i="3"/>
  <c r="J328" i="3"/>
  <c r="J329" i="3"/>
  <c r="J334" i="3"/>
  <c r="J335" i="3"/>
  <c r="J337" i="3"/>
  <c r="J338" i="3"/>
  <c r="J341" i="3"/>
  <c r="J342" i="3"/>
  <c r="J345" i="3"/>
  <c r="J348" i="3"/>
  <c r="J352" i="3"/>
  <c r="J355" i="3"/>
  <c r="J358" i="3"/>
  <c r="J359" i="3"/>
  <c r="J364" i="3"/>
  <c r="J367" i="3"/>
  <c r="J374" i="3"/>
  <c r="J375" i="3"/>
  <c r="J3" i="3"/>
  <c r="J4" i="3"/>
  <c r="J6" i="3"/>
  <c r="J7" i="3"/>
  <c r="I233" i="8" l="1"/>
  <c r="I11" i="8"/>
  <c r="I22" i="8"/>
  <c r="I321" i="8"/>
  <c r="I107" i="8"/>
  <c r="I261" i="8"/>
  <c r="I323" i="8"/>
  <c r="I33" i="8"/>
  <c r="I95" i="8"/>
  <c r="I174" i="8"/>
  <c r="I200" i="8"/>
  <c r="I17" i="8"/>
  <c r="I78" i="8"/>
  <c r="I3" i="8"/>
  <c r="I67" i="8"/>
  <c r="I300" i="8"/>
  <c r="I222" i="8"/>
  <c r="I278" i="8"/>
  <c r="I372" i="8"/>
  <c r="I132" i="8"/>
  <c r="I153" i="8"/>
  <c r="I347" i="8"/>
  <c r="I27" i="8"/>
  <c r="I334" i="8"/>
  <c r="I40" i="8"/>
  <c r="I72" i="8"/>
  <c r="I68" i="8"/>
  <c r="I15" i="8"/>
  <c r="I185" i="8"/>
  <c r="I314" i="8"/>
  <c r="I364" i="8"/>
  <c r="I263" i="8"/>
  <c r="I298" i="8"/>
  <c r="I342" i="8"/>
  <c r="I73" i="8"/>
  <c r="I101" i="8"/>
  <c r="I117" i="8"/>
  <c r="I250" i="8"/>
  <c r="I271" i="8"/>
  <c r="I332" i="8"/>
  <c r="I337" i="8"/>
  <c r="I363" i="8"/>
  <c r="I177" i="8"/>
  <c r="I341" i="8"/>
  <c r="I170" i="8"/>
  <c r="I237" i="8"/>
  <c r="I217" i="8"/>
  <c r="I317" i="8"/>
  <c r="I121" i="8"/>
  <c r="I338" i="8"/>
  <c r="I100" i="8"/>
  <c r="I213" i="8"/>
  <c r="I110" i="8"/>
  <c r="I206" i="8"/>
  <c r="I361" i="8"/>
  <c r="I305" i="8"/>
  <c r="I162" i="8"/>
  <c r="I36" i="8"/>
  <c r="I296" i="8"/>
  <c r="I77" i="8"/>
  <c r="I351" i="8"/>
  <c r="I284" i="8"/>
  <c r="I10" i="8"/>
  <c r="I26" i="8"/>
  <c r="I8" i="8"/>
  <c r="I31" i="8"/>
  <c r="I283" i="8"/>
  <c r="I86" i="8"/>
  <c r="I99" i="8"/>
  <c r="I130" i="8"/>
  <c r="I144" i="8"/>
  <c r="I212" i="8"/>
  <c r="I299" i="8"/>
  <c r="I88" i="8"/>
  <c r="I345" i="8"/>
  <c r="I370" i="8"/>
  <c r="I48" i="8"/>
  <c r="I166" i="8"/>
  <c r="I9" i="8"/>
  <c r="I25" i="8"/>
  <c r="I41" i="8"/>
  <c r="I57" i="8"/>
  <c r="I124" i="8"/>
  <c r="I179" i="8"/>
  <c r="I279" i="8"/>
  <c r="I66" i="8"/>
  <c r="I377" i="8"/>
  <c r="I19" i="8"/>
  <c r="I35" i="8"/>
  <c r="I303" i="8"/>
  <c r="I348" i="8"/>
  <c r="I20" i="8"/>
  <c r="I196" i="8"/>
  <c r="I240" i="8"/>
  <c r="I163" i="8"/>
  <c r="I83" i="8"/>
  <c r="I34" i="8"/>
  <c r="I115" i="8"/>
  <c r="I173" i="8"/>
  <c r="I262" i="8"/>
  <c r="I277" i="8"/>
  <c r="I4" i="8"/>
  <c r="I18" i="8"/>
  <c r="I16" i="8"/>
  <c r="I32" i="8"/>
  <c r="I64" i="8"/>
  <c r="I79" i="8"/>
  <c r="I138" i="8"/>
  <c r="I152" i="8"/>
  <c r="I227" i="8"/>
  <c r="I249" i="8"/>
  <c r="I292" i="8"/>
  <c r="I329" i="8"/>
  <c r="I234" i="8"/>
  <c r="I256" i="8"/>
  <c r="I276" i="8"/>
  <c r="I43" i="8"/>
  <c r="I59" i="8"/>
  <c r="I181" i="8"/>
  <c r="I195" i="8"/>
  <c r="I273" i="8"/>
  <c r="I325" i="8"/>
  <c r="I5" i="8"/>
  <c r="I89" i="8"/>
  <c r="I147" i="8"/>
  <c r="I24" i="8"/>
  <c r="I56" i="8"/>
  <c r="I320" i="8"/>
  <c r="I259" i="8"/>
  <c r="I55" i="8"/>
  <c r="I232" i="8"/>
  <c r="I248" i="8"/>
  <c r="I42" i="8"/>
  <c r="I355" i="8"/>
  <c r="I378" i="8"/>
  <c r="I315" i="8"/>
  <c r="I80" i="8"/>
  <c r="I94" i="8"/>
  <c r="I109" i="8"/>
  <c r="I201" i="8"/>
  <c r="I214" i="8"/>
  <c r="I328" i="8"/>
  <c r="I358" i="8"/>
  <c r="I60" i="8"/>
  <c r="I75" i="8"/>
  <c r="I184" i="8"/>
  <c r="I81" i="8"/>
  <c r="I254" i="8"/>
  <c r="I145" i="8"/>
  <c r="I367" i="8"/>
  <c r="I165" i="8"/>
  <c r="I7" i="8"/>
  <c r="I23" i="8"/>
  <c r="I39" i="8"/>
  <c r="I137" i="8"/>
  <c r="I151" i="8"/>
  <c r="I306" i="8"/>
  <c r="I108" i="8"/>
  <c r="I123" i="8"/>
  <c r="I219" i="8"/>
  <c r="I239" i="8"/>
  <c r="I335" i="8"/>
  <c r="I49" i="8"/>
  <c r="I65" i="8"/>
  <c r="I167" i="8"/>
  <c r="I264" i="8"/>
  <c r="I286" i="8"/>
  <c r="I319" i="8"/>
  <c r="I354" i="8"/>
  <c r="I134" i="8"/>
  <c r="I148" i="8"/>
  <c r="I169" i="8"/>
  <c r="I244" i="8"/>
  <c r="I28" i="8"/>
  <c r="I44" i="8"/>
  <c r="I141" i="8"/>
  <c r="I182" i="8"/>
  <c r="I223" i="8"/>
  <c r="I247" i="8"/>
  <c r="I375" i="8"/>
  <c r="I268" i="8"/>
  <c r="I339" i="8"/>
  <c r="I381" i="8"/>
  <c r="I340" i="8"/>
  <c r="I318" i="8"/>
  <c r="I238" i="8"/>
  <c r="I172" i="8"/>
  <c r="I293" i="8"/>
  <c r="I103" i="8"/>
  <c r="I104" i="8"/>
  <c r="I274" i="8"/>
  <c r="I368" i="8"/>
  <c r="I294" i="8"/>
  <c r="I343" i="8"/>
  <c r="I76" i="8"/>
  <c r="I369" i="8"/>
  <c r="I352" i="8"/>
  <c r="I85" i="8"/>
  <c r="I207" i="8"/>
  <c r="I290" i="8"/>
  <c r="I275" i="8"/>
  <c r="I220" i="8"/>
  <c r="I82" i="8"/>
  <c r="I289" i="8"/>
  <c r="I154" i="8"/>
  <c r="I221" i="8"/>
  <c r="I111" i="8"/>
  <c r="I140" i="8"/>
  <c r="I258" i="8"/>
  <c r="I288" i="8"/>
  <c r="I291" i="8"/>
  <c r="I52" i="8"/>
  <c r="I178" i="8"/>
  <c r="I190" i="8"/>
  <c r="I203" i="8"/>
  <c r="I281" i="8"/>
  <c r="I30" i="8"/>
  <c r="I91" i="8"/>
  <c r="I133" i="8"/>
  <c r="I120" i="8"/>
  <c r="I208" i="8"/>
  <c r="I310" i="8"/>
  <c r="I12" i="8"/>
  <c r="I112" i="8"/>
  <c r="I149" i="8"/>
  <c r="I311" i="8"/>
  <c r="I62" i="8"/>
  <c r="I205" i="8"/>
  <c r="I376" i="8"/>
  <c r="I58" i="8"/>
  <c r="I70" i="8"/>
  <c r="I160" i="8"/>
  <c r="I280" i="8"/>
  <c r="I96" i="8"/>
  <c r="I226" i="8"/>
  <c r="I204" i="8"/>
  <c r="I125" i="8"/>
  <c r="I210" i="8"/>
  <c r="I193" i="8"/>
  <c r="I374" i="8"/>
  <c r="I164" i="8"/>
  <c r="I373" i="8"/>
  <c r="I382" i="8"/>
  <c r="I199" i="8"/>
  <c r="I218" i="8"/>
  <c r="I344" i="8"/>
  <c r="I46" i="8"/>
  <c r="I98" i="8"/>
  <c r="I102" i="8"/>
  <c r="I156" i="8"/>
  <c r="I282" i="8"/>
  <c r="I161" i="8"/>
  <c r="I53" i="8"/>
  <c r="I183" i="8"/>
  <c r="I324" i="8"/>
  <c r="I14" i="8"/>
  <c r="I136" i="8"/>
  <c r="I336" i="8"/>
  <c r="I188" i="8"/>
  <c r="I202" i="8"/>
  <c r="I316" i="8"/>
  <c r="I157" i="8"/>
  <c r="I211" i="8"/>
  <c r="I225" i="8"/>
  <c r="I29" i="8"/>
  <c r="I168" i="8"/>
  <c r="I252" i="8"/>
  <c r="I353" i="8"/>
  <c r="I180" i="8"/>
  <c r="I171" i="8"/>
  <c r="I13" i="8"/>
  <c r="I356" i="8"/>
  <c r="I331" i="8"/>
  <c r="I228" i="8"/>
  <c r="I243" i="8"/>
  <c r="I309" i="8"/>
  <c r="I84" i="8"/>
  <c r="I287" i="8"/>
  <c r="I143" i="8"/>
  <c r="I330" i="8"/>
  <c r="I246" i="8"/>
  <c r="I360" i="8"/>
  <c r="I349" i="8"/>
  <c r="I69" i="8"/>
  <c r="I260" i="8"/>
  <c r="I257" i="8"/>
  <c r="I272" i="8"/>
  <c r="I2" i="8"/>
  <c r="I150" i="8"/>
  <c r="I308" i="8"/>
  <c r="I333" i="8"/>
  <c r="I105" i="8"/>
  <c r="I312" i="8"/>
  <c r="I371" i="8"/>
  <c r="I357" i="8"/>
  <c r="I322" i="8"/>
  <c r="I191" i="8"/>
  <c r="I37" i="8"/>
  <c r="I6" i="8"/>
  <c r="I21" i="8"/>
  <c r="I61" i="8"/>
  <c r="I139" i="8"/>
  <c r="I194" i="8"/>
  <c r="I142" i="8"/>
  <c r="I301" i="8"/>
  <c r="I327" i="8"/>
  <c r="I97" i="8"/>
  <c r="I135" i="8"/>
  <c r="I176" i="8"/>
  <c r="I235" i="8"/>
  <c r="I326" i="8"/>
  <c r="I128" i="8"/>
  <c r="I186" i="8"/>
  <c r="I175" i="8"/>
  <c r="I215" i="8"/>
  <c r="I74" i="8"/>
  <c r="I231" i="8"/>
  <c r="I50" i="8"/>
  <c r="I92" i="8"/>
  <c r="I118" i="8"/>
  <c r="I159" i="8"/>
  <c r="I307" i="8"/>
  <c r="I253" i="8"/>
  <c r="I51" i="8"/>
  <c r="I155" i="8"/>
  <c r="I209" i="8"/>
  <c r="I304" i="8"/>
  <c r="I38" i="8"/>
  <c r="I198" i="8"/>
  <c r="I113" i="8"/>
  <c r="I265" i="8"/>
  <c r="I297" i="8"/>
  <c r="I224" i="8"/>
  <c r="I192" i="8"/>
  <c r="I187" i="8"/>
  <c r="I242" i="8"/>
  <c r="I126" i="8"/>
  <c r="I189" i="8"/>
  <c r="I229" i="8"/>
  <c r="I295" i="8"/>
  <c r="I245" i="8"/>
  <c r="I302" i="8"/>
  <c r="I230" i="8"/>
  <c r="I45" i="8"/>
  <c r="I47" i="8"/>
  <c r="I158" i="8"/>
  <c r="I116" i="8"/>
  <c r="I87" i="8"/>
  <c r="I54" i="8"/>
  <c r="I114" i="8"/>
  <c r="I71" i="8"/>
  <c r="I269" i="8"/>
  <c r="I93" i="8"/>
  <c r="I119" i="8"/>
  <c r="I197" i="8"/>
  <c r="I379" i="8"/>
  <c r="I350" i="8"/>
  <c r="I63" i="8"/>
  <c r="I122" i="8"/>
  <c r="I131" i="8"/>
  <c r="I241" i="8"/>
  <c r="I255" i="8"/>
  <c r="I270" i="8"/>
  <c r="I285" i="8"/>
  <c r="I359" i="8"/>
  <c r="I146" i="8"/>
  <c r="I127" i="8"/>
  <c r="I346" i="8"/>
  <c r="I365" i="8"/>
  <c r="I366" i="8"/>
  <c r="I236" i="8"/>
  <c r="I251" i="8"/>
  <c r="I266" i="8"/>
  <c r="I106" i="8"/>
  <c r="I129" i="8"/>
  <c r="I216" i="8"/>
  <c r="I90" i="8"/>
  <c r="I267" i="8"/>
  <c r="I380" i="8"/>
  <c r="I313" i="8"/>
  <c r="I362" i="8"/>
  <c r="I368" i="3"/>
  <c r="I316" i="3"/>
  <c r="I322" i="3"/>
  <c r="I365" i="3"/>
  <c r="J370" i="3"/>
  <c r="I330" i="3"/>
  <c r="I319" i="3"/>
  <c r="I336" i="3"/>
  <c r="J376" i="3"/>
  <c r="J368" i="3"/>
  <c r="J353" i="3"/>
  <c r="J349" i="3"/>
  <c r="J343" i="3"/>
  <c r="J336" i="3"/>
  <c r="J330" i="3"/>
  <c r="J326" i="3"/>
  <c r="J322" i="3"/>
  <c r="I313" i="3"/>
  <c r="I309" i="3"/>
  <c r="J340" i="3"/>
  <c r="J347" i="3"/>
  <c r="I347" i="3"/>
  <c r="I339" i="3"/>
  <c r="I85" i="3"/>
  <c r="I345" i="3"/>
  <c r="I338" i="3"/>
  <c r="I323" i="3"/>
  <c r="I311" i="3"/>
  <c r="I304" i="3"/>
  <c r="I296" i="3"/>
  <c r="I289" i="3"/>
  <c r="I281" i="3"/>
  <c r="I274" i="3"/>
  <c r="I266" i="3"/>
  <c r="I251" i="3"/>
  <c r="I237" i="3"/>
  <c r="I223" i="3"/>
  <c r="I215" i="3"/>
  <c r="I209" i="3"/>
  <c r="I203" i="3"/>
  <c r="I196" i="3"/>
  <c r="I182" i="3"/>
  <c r="I178" i="3"/>
  <c r="I170" i="3"/>
  <c r="I163" i="3"/>
  <c r="I155" i="3"/>
  <c r="I149" i="3"/>
  <c r="I141" i="3"/>
  <c r="I112" i="3"/>
  <c r="I104" i="3"/>
  <c r="I96" i="3"/>
  <c r="I89" i="3"/>
  <c r="I83" i="3"/>
  <c r="I60" i="3"/>
  <c r="I52" i="3"/>
  <c r="I44" i="3"/>
  <c r="I36" i="3"/>
  <c r="I28" i="3"/>
  <c r="I20" i="3"/>
  <c r="J366" i="3"/>
  <c r="J333" i="3"/>
  <c r="J365" i="3"/>
  <c r="J339" i="3"/>
  <c r="J298" i="3"/>
  <c r="J291" i="3"/>
  <c r="J283" i="3"/>
  <c r="J276" i="3"/>
  <c r="J268" i="3"/>
  <c r="J261" i="3"/>
  <c r="J253" i="3"/>
  <c r="J247" i="3"/>
  <c r="J239" i="3"/>
  <c r="J231" i="3"/>
  <c r="J225" i="3"/>
  <c r="I143" i="3"/>
  <c r="I361" i="3"/>
  <c r="I346" i="3"/>
  <c r="I91" i="3"/>
  <c r="J351" i="3"/>
  <c r="J372" i="3"/>
  <c r="J360" i="3"/>
  <c r="J346" i="3"/>
  <c r="J318" i="3"/>
  <c r="J312" i="3"/>
  <c r="J205" i="3"/>
  <c r="J184" i="3"/>
  <c r="J165" i="3"/>
  <c r="I350" i="3"/>
  <c r="I98" i="3"/>
  <c r="J373" i="3"/>
  <c r="J319" i="3"/>
  <c r="J371" i="3"/>
  <c r="J350" i="3"/>
  <c r="J331" i="3"/>
  <c r="J313" i="3"/>
  <c r="J217" i="3"/>
  <c r="J157" i="3"/>
  <c r="J143" i="3"/>
  <c r="I312" i="3"/>
  <c r="I356" i="3"/>
  <c r="J357" i="3"/>
  <c r="J361" i="3"/>
  <c r="J332" i="3"/>
  <c r="J314" i="3"/>
  <c r="J356" i="3"/>
  <c r="J327" i="3"/>
  <c r="J305" i="3"/>
  <c r="J211" i="3"/>
  <c r="J198" i="3"/>
  <c r="J172" i="3"/>
  <c r="J136" i="3"/>
  <c r="J129" i="3"/>
  <c r="J121" i="3"/>
  <c r="J114" i="3"/>
  <c r="J106" i="3"/>
  <c r="J98" i="3"/>
  <c r="J91" i="3"/>
  <c r="J85" i="3"/>
  <c r="J77" i="3"/>
  <c r="J70" i="3"/>
  <c r="J62" i="3"/>
  <c r="J54" i="3"/>
  <c r="J46" i="3"/>
  <c r="J38" i="3"/>
  <c r="J30" i="3"/>
  <c r="J22" i="3"/>
  <c r="J14" i="3"/>
  <c r="I305" i="3"/>
  <c r="I318" i="3"/>
  <c r="I360" i="3"/>
  <c r="I54" i="3"/>
  <c r="I121" i="3"/>
  <c r="J362" i="3"/>
  <c r="I332" i="3"/>
  <c r="I5" i="3"/>
  <c r="I355" i="3"/>
  <c r="J317" i="3"/>
  <c r="J310" i="3"/>
  <c r="J303" i="3"/>
  <c r="J295" i="3"/>
  <c r="J96" i="3"/>
  <c r="J89" i="3"/>
  <c r="J83" i="3"/>
  <c r="J379" i="3"/>
  <c r="I379" i="3"/>
  <c r="I257" i="3"/>
  <c r="J5" i="3"/>
  <c r="J288" i="3"/>
  <c r="J251" i="3"/>
  <c r="J245" i="3"/>
  <c r="J75" i="3"/>
  <c r="J68" i="3"/>
  <c r="J60" i="3"/>
  <c r="J52" i="3"/>
  <c r="J44" i="3"/>
  <c r="I258" i="3"/>
  <c r="I310" i="3"/>
  <c r="J273" i="3"/>
  <c r="J258" i="3"/>
  <c r="J237" i="3"/>
  <c r="J223" i="3"/>
  <c r="J36" i="3"/>
  <c r="J28" i="3"/>
  <c r="J20" i="3"/>
  <c r="J12" i="3"/>
  <c r="I317" i="3"/>
  <c r="J369" i="3"/>
  <c r="J363" i="3"/>
  <c r="J354" i="3"/>
  <c r="J344" i="3"/>
  <c r="J203" i="3"/>
  <c r="J196" i="3"/>
  <c r="J190" i="3"/>
  <c r="J182" i="3"/>
  <c r="I288" i="3"/>
  <c r="I337" i="3"/>
  <c r="J2" i="3"/>
  <c r="J178" i="3"/>
  <c r="J170" i="3"/>
  <c r="J163" i="3"/>
  <c r="I303" i="3"/>
  <c r="I2" i="3"/>
  <c r="I354" i="3"/>
  <c r="I369" i="3"/>
  <c r="I363" i="3"/>
  <c r="I344" i="3"/>
  <c r="I295" i="3"/>
  <c r="I235" i="3"/>
  <c r="I228" i="3"/>
  <c r="I202" i="3"/>
  <c r="I176" i="3"/>
  <c r="I161" i="3"/>
  <c r="I133" i="3"/>
  <c r="I118" i="3"/>
  <c r="I42" i="3"/>
  <c r="I26" i="3"/>
  <c r="I18" i="3"/>
  <c r="I139" i="3"/>
  <c r="I306" i="3"/>
  <c r="I34" i="3"/>
  <c r="I154" i="3"/>
  <c r="J380" i="3"/>
  <c r="I263" i="3"/>
  <c r="I168" i="3"/>
  <c r="G9" i="5" a="1"/>
  <c r="G9" i="5" s="1"/>
  <c r="I270" i="3"/>
  <c r="I66" i="3"/>
  <c r="I180" i="3"/>
  <c r="I287" i="3"/>
  <c r="I378" i="3"/>
  <c r="I278" i="3"/>
  <c r="I81" i="3"/>
  <c r="I194" i="3"/>
  <c r="J378" i="3"/>
  <c r="I285" i="3"/>
  <c r="I95" i="3"/>
  <c r="I207" i="3"/>
  <c r="I243" i="3"/>
  <c r="I362" i="3"/>
  <c r="I357" i="3"/>
  <c r="I351" i="3"/>
  <c r="I372" i="3"/>
  <c r="I269" i="3"/>
  <c r="I366" i="3"/>
  <c r="I373" i="3"/>
  <c r="I333" i="3"/>
  <c r="I262" i="3"/>
  <c r="I249" i="3"/>
  <c r="I220" i="3"/>
  <c r="I201" i="3"/>
  <c r="I167" i="3"/>
  <c r="I146" i="3"/>
  <c r="I109" i="3"/>
  <c r="I87" i="3"/>
  <c r="I49" i="3"/>
  <c r="I340" i="3"/>
  <c r="I234" i="3"/>
  <c r="I297" i="3"/>
  <c r="I364" i="3"/>
  <c r="I259" i="3"/>
  <c r="I225" i="3"/>
  <c r="I211" i="3"/>
  <c r="I255" i="3"/>
  <c r="I370" i="3"/>
  <c r="I349" i="3"/>
  <c r="I302" i="3"/>
  <c r="I294" i="3"/>
  <c r="I273" i="3"/>
  <c r="I375" i="3"/>
  <c r="I359" i="3"/>
  <c r="I329" i="3"/>
  <c r="I380" i="3"/>
  <c r="I102" i="3"/>
  <c r="I8" i="5"/>
  <c r="I188" i="3"/>
  <c r="I58" i="3"/>
  <c r="I147" i="3"/>
  <c r="I10" i="3"/>
  <c r="I165" i="3"/>
  <c r="I136" i="3"/>
  <c r="I371" i="3"/>
  <c r="I114" i="3"/>
  <c r="I272" i="3"/>
  <c r="C4" i="10" l="1"/>
  <c r="H378" i="8" s="1"/>
  <c r="B2" i="10"/>
  <c r="E9" i="5" a="1"/>
  <c r="E9" i="5" s="1"/>
  <c r="J2" i="8"/>
  <c r="F9" i="5" a="1"/>
  <c r="F9" i="5" s="1"/>
  <c r="I7" i="9"/>
  <c r="E8" i="5"/>
  <c r="F2" i="10"/>
  <c r="K252" i="8" s="1"/>
  <c r="H8" i="9" a="1"/>
  <c r="H8" i="9" s="1"/>
  <c r="H9" i="9" s="1"/>
  <c r="J77" i="8"/>
  <c r="F4" i="10"/>
  <c r="I8" i="9" a="1"/>
  <c r="I8" i="9" s="1"/>
  <c r="F3" i="10"/>
  <c r="K82" i="8" s="1"/>
  <c r="B4" i="10"/>
  <c r="G381" i="8" s="1"/>
  <c r="E7" i="9"/>
  <c r="F8" i="9" a="1"/>
  <c r="F8" i="9" s="1"/>
  <c r="F9" i="9" s="1"/>
  <c r="C3" i="10"/>
  <c r="C2" i="10"/>
  <c r="F8" i="5"/>
  <c r="E8" i="9" a="1"/>
  <c r="E8" i="9" s="1"/>
  <c r="B3" i="10"/>
  <c r="G8" i="5"/>
  <c r="G10" i="5" s="1"/>
  <c r="I9" i="5" a="1"/>
  <c r="I9" i="5" s="1"/>
  <c r="I10" i="5" s="1"/>
  <c r="H8" i="5"/>
  <c r="H9" i="5" a="1"/>
  <c r="H9" i="5" s="1"/>
  <c r="G155" i="8" l="1"/>
  <c r="J187" i="8"/>
  <c r="H336" i="8"/>
  <c r="K296" i="8"/>
  <c r="K381" i="8"/>
  <c r="K378" i="8"/>
  <c r="J378" i="8"/>
  <c r="J381" i="8"/>
  <c r="H381" i="8"/>
  <c r="G378" i="8"/>
  <c r="G18" i="8"/>
  <c r="E10" i="5"/>
  <c r="G317" i="8"/>
  <c r="H382" i="8"/>
  <c r="G329" i="8"/>
  <c r="G285" i="8"/>
  <c r="G143" i="8"/>
  <c r="G203" i="8"/>
  <c r="G302" i="8"/>
  <c r="G161" i="8"/>
  <c r="G363" i="8"/>
  <c r="G345" i="8"/>
  <c r="G170" i="8"/>
  <c r="G306" i="8"/>
  <c r="G154" i="8"/>
  <c r="G207" i="8"/>
  <c r="G272" i="8"/>
  <c r="G366" i="8"/>
  <c r="G251" i="8"/>
  <c r="G20" i="8"/>
  <c r="G281" i="8"/>
  <c r="G364" i="8"/>
  <c r="G350" i="8"/>
  <c r="G178" i="8"/>
  <c r="G339" i="8"/>
  <c r="G112" i="8"/>
  <c r="G91" i="8"/>
  <c r="G149" i="8"/>
  <c r="G294" i="8"/>
  <c r="G356" i="8"/>
  <c r="G322" i="8"/>
  <c r="H225" i="8"/>
  <c r="G355" i="8"/>
  <c r="G357" i="8"/>
  <c r="G310" i="8"/>
  <c r="G319" i="8"/>
  <c r="G305" i="8"/>
  <c r="G257" i="8"/>
  <c r="G104" i="8"/>
  <c r="G89" i="8"/>
  <c r="G295" i="8"/>
  <c r="G338" i="8"/>
  <c r="G344" i="8"/>
  <c r="G34" i="8"/>
  <c r="G60" i="8"/>
  <c r="G225" i="8"/>
  <c r="G349" i="8"/>
  <c r="G370" i="8"/>
  <c r="G58" i="8"/>
  <c r="G263" i="8"/>
  <c r="G95" i="8"/>
  <c r="G337" i="8"/>
  <c r="G234" i="8"/>
  <c r="G147" i="8"/>
  <c r="G121" i="8"/>
  <c r="G351" i="8"/>
  <c r="H211" i="8"/>
  <c r="G96" i="8"/>
  <c r="K178" i="8"/>
  <c r="K264" i="8"/>
  <c r="K58" i="8"/>
  <c r="K51" i="8"/>
  <c r="K351" i="8"/>
  <c r="K112" i="8"/>
  <c r="K366" i="8"/>
  <c r="K37" i="8"/>
  <c r="K228" i="8"/>
  <c r="K88" i="8"/>
  <c r="K119" i="8"/>
  <c r="G139" i="8"/>
  <c r="K198" i="8"/>
  <c r="K156" i="8"/>
  <c r="K324" i="8"/>
  <c r="K52" i="8"/>
  <c r="K187" i="8"/>
  <c r="K97" i="8"/>
  <c r="K262" i="8"/>
  <c r="K117" i="8"/>
  <c r="G362" i="8"/>
  <c r="K109" i="8"/>
  <c r="K63" i="8"/>
  <c r="K146" i="8"/>
  <c r="G118" i="8"/>
  <c r="K323" i="8"/>
  <c r="G146" i="8"/>
  <c r="G361" i="8"/>
  <c r="G36" i="8"/>
  <c r="K276" i="8"/>
  <c r="K211" i="8"/>
  <c r="G188" i="8"/>
  <c r="G249" i="8"/>
  <c r="K83" i="8"/>
  <c r="K304" i="8"/>
  <c r="J358" i="8"/>
  <c r="J343" i="8"/>
  <c r="J357" i="8"/>
  <c r="J165" i="8"/>
  <c r="J50" i="8"/>
  <c r="J57" i="8"/>
  <c r="J144" i="8"/>
  <c r="J169" i="8"/>
  <c r="J324" i="8"/>
  <c r="J117" i="8"/>
  <c r="J251" i="8"/>
  <c r="J94" i="8"/>
  <c r="J323" i="8"/>
  <c r="J355" i="8"/>
  <c r="J156" i="8"/>
  <c r="J80" i="8"/>
  <c r="J373" i="8"/>
  <c r="J345" i="8"/>
  <c r="J11" i="8"/>
  <c r="J172" i="8"/>
  <c r="J214" i="8"/>
  <c r="J271" i="8"/>
  <c r="J15" i="8"/>
  <c r="J239" i="8"/>
  <c r="J37" i="8"/>
  <c r="J262" i="8"/>
  <c r="J314" i="8"/>
  <c r="J348" i="8"/>
  <c r="J64" i="8"/>
  <c r="J213" i="8"/>
  <c r="J375" i="8"/>
  <c r="J87" i="8"/>
  <c r="J363" i="8"/>
  <c r="J101" i="8"/>
  <c r="J334" i="8"/>
  <c r="J119" i="8"/>
  <c r="J269" i="8"/>
  <c r="J294" i="8"/>
  <c r="J191" i="8"/>
  <c r="J193" i="8"/>
  <c r="J222" i="8"/>
  <c r="J10" i="8"/>
  <c r="J341" i="8"/>
  <c r="J195" i="8"/>
  <c r="J115" i="8"/>
  <c r="J230" i="8"/>
  <c r="J107" i="8"/>
  <c r="K269" i="8"/>
  <c r="J9" i="8"/>
  <c r="K311" i="8"/>
  <c r="J26" i="8"/>
  <c r="K157" i="8"/>
  <c r="J212" i="8"/>
  <c r="K60" i="8"/>
  <c r="K372" i="8"/>
  <c r="J82" i="8"/>
  <c r="J242" i="8"/>
  <c r="K217" i="8"/>
  <c r="J217" i="8"/>
  <c r="J192" i="8"/>
  <c r="J330" i="8"/>
  <c r="J109" i="8"/>
  <c r="K163" i="8"/>
  <c r="J326" i="8"/>
  <c r="K273" i="8"/>
  <c r="K265" i="8"/>
  <c r="J86" i="8"/>
  <c r="J62" i="8"/>
  <c r="J98" i="8"/>
  <c r="K298" i="8"/>
  <c r="J113" i="8"/>
  <c r="J167" i="8"/>
  <c r="J329" i="8"/>
  <c r="J55" i="8"/>
  <c r="J293" i="8"/>
  <c r="K297" i="8"/>
  <c r="K111" i="8"/>
  <c r="K44" i="8"/>
  <c r="J81" i="8"/>
  <c r="J207" i="8"/>
  <c r="J69" i="8"/>
  <c r="J179" i="8"/>
  <c r="K128" i="8"/>
  <c r="K73" i="8"/>
  <c r="J292" i="8"/>
  <c r="K301" i="8"/>
  <c r="J320" i="8"/>
  <c r="J126" i="8"/>
  <c r="J49" i="8"/>
  <c r="J177" i="8"/>
  <c r="J206" i="8"/>
  <c r="K155" i="8"/>
  <c r="J241" i="8"/>
  <c r="J297" i="8"/>
  <c r="K215" i="8"/>
  <c r="K368" i="8"/>
  <c r="J312" i="8"/>
  <c r="J321" i="8"/>
  <c r="J377" i="8"/>
  <c r="K65" i="8"/>
  <c r="J379" i="8"/>
  <c r="J65" i="8"/>
  <c r="J275" i="8"/>
  <c r="K253" i="8"/>
  <c r="J140" i="8"/>
  <c r="J372" i="8"/>
  <c r="J266" i="8"/>
  <c r="K266" i="8"/>
  <c r="J59" i="8"/>
  <c r="J79" i="8"/>
  <c r="J14" i="8"/>
  <c r="J340" i="8"/>
  <c r="J203" i="8"/>
  <c r="J331" i="8"/>
  <c r="K302" i="8"/>
  <c r="J208" i="8"/>
  <c r="J196" i="8"/>
  <c r="J382" i="8"/>
  <c r="J40" i="8"/>
  <c r="K129" i="8"/>
  <c r="K220" i="8"/>
  <c r="G182" i="8"/>
  <c r="H380" i="8"/>
  <c r="H114" i="8"/>
  <c r="H239" i="8"/>
  <c r="H98" i="8"/>
  <c r="G66" i="8"/>
  <c r="H85" i="8"/>
  <c r="G309" i="8"/>
  <c r="J41" i="8"/>
  <c r="K172" i="8"/>
  <c r="K127" i="8"/>
  <c r="G52" i="8"/>
  <c r="K87" i="8"/>
  <c r="J198" i="8"/>
  <c r="K239" i="8"/>
  <c r="J36" i="8"/>
  <c r="J149" i="8"/>
  <c r="K169" i="8"/>
  <c r="J13" i="8"/>
  <c r="J32" i="8"/>
  <c r="J106" i="8"/>
  <c r="G360" i="8"/>
  <c r="K231" i="8"/>
  <c r="K68" i="8"/>
  <c r="J281" i="8"/>
  <c r="J365" i="8"/>
  <c r="J333" i="8"/>
  <c r="K370" i="8"/>
  <c r="J141" i="8"/>
  <c r="J277" i="8"/>
  <c r="J34" i="8"/>
  <c r="J158" i="8"/>
  <c r="J263" i="8"/>
  <c r="G85" i="8"/>
  <c r="J201" i="8"/>
  <c r="K225" i="8"/>
  <c r="J305" i="8"/>
  <c r="J12" i="8"/>
  <c r="J232" i="8"/>
  <c r="J337" i="8"/>
  <c r="K140" i="8"/>
  <c r="J127" i="8"/>
  <c r="J71" i="8"/>
  <c r="J291" i="8"/>
  <c r="J260" i="8"/>
  <c r="J110" i="8"/>
  <c r="H165" i="8"/>
  <c r="K165" i="8"/>
  <c r="J134" i="8"/>
  <c r="J150" i="8"/>
  <c r="J364" i="8"/>
  <c r="J91" i="8"/>
  <c r="J199" i="8"/>
  <c r="J76" i="8"/>
  <c r="H360" i="8"/>
  <c r="H129" i="8"/>
  <c r="K357" i="8"/>
  <c r="H54" i="8"/>
  <c r="H38" i="8"/>
  <c r="H379" i="8"/>
  <c r="K242" i="8"/>
  <c r="K283" i="8"/>
  <c r="J349" i="8"/>
  <c r="K89" i="8"/>
  <c r="J257" i="8"/>
  <c r="J236" i="8"/>
  <c r="J181" i="8"/>
  <c r="K9" i="8"/>
  <c r="J112" i="8"/>
  <c r="J247" i="8"/>
  <c r="J46" i="8"/>
  <c r="J255" i="8"/>
  <c r="K376" i="8"/>
  <c r="J28" i="8"/>
  <c r="J137" i="8"/>
  <c r="K240" i="8"/>
  <c r="J309" i="8"/>
  <c r="J237" i="8"/>
  <c r="K249" i="8"/>
  <c r="J259" i="8"/>
  <c r="J96" i="8"/>
  <c r="J118" i="8"/>
  <c r="K268" i="8"/>
  <c r="J39" i="8"/>
  <c r="J43" i="8"/>
  <c r="J153" i="8"/>
  <c r="J186" i="8"/>
  <c r="J18" i="8"/>
  <c r="J268" i="8"/>
  <c r="J143" i="8"/>
  <c r="J72" i="8"/>
  <c r="J298" i="8"/>
  <c r="J295" i="8"/>
  <c r="K185" i="8"/>
  <c r="J21" i="8"/>
  <c r="J250" i="8"/>
  <c r="J24" i="8"/>
  <c r="K202" i="8"/>
  <c r="K362" i="8"/>
  <c r="K333" i="8"/>
  <c r="H276" i="8"/>
  <c r="H273" i="8"/>
  <c r="J283" i="8"/>
  <c r="H83" i="8"/>
  <c r="J121" i="8"/>
  <c r="K247" i="8"/>
  <c r="J103" i="8"/>
  <c r="G42" i="8"/>
  <c r="G330" i="8"/>
  <c r="G354" i="8"/>
  <c r="K167" i="8"/>
  <c r="G375" i="8"/>
  <c r="K33" i="8"/>
  <c r="K214" i="8"/>
  <c r="K338" i="8"/>
  <c r="K367" i="8"/>
  <c r="K235" i="8"/>
  <c r="K284" i="8"/>
  <c r="K218" i="8"/>
  <c r="K106" i="8"/>
  <c r="G368" i="8"/>
  <c r="J234" i="8"/>
  <c r="J336" i="8"/>
  <c r="J154" i="8"/>
  <c r="J122" i="8"/>
  <c r="J160" i="8"/>
  <c r="K95" i="8"/>
  <c r="K277" i="8"/>
  <c r="J54" i="8"/>
  <c r="K39" i="8"/>
  <c r="J210" i="8"/>
  <c r="K153" i="8"/>
  <c r="J184" i="8"/>
  <c r="J316" i="8"/>
  <c r="J313" i="8"/>
  <c r="J8" i="8"/>
  <c r="J325" i="8"/>
  <c r="K183" i="8"/>
  <c r="J366" i="8"/>
  <c r="J302" i="8"/>
  <c r="J299" i="8"/>
  <c r="J168" i="8"/>
  <c r="J30" i="8"/>
  <c r="K8" i="8"/>
  <c r="J252" i="8"/>
  <c r="J347" i="8"/>
  <c r="K166" i="8"/>
  <c r="J29" i="8"/>
  <c r="J22" i="8"/>
  <c r="J371" i="8"/>
  <c r="J74" i="8"/>
  <c r="J161" i="8"/>
  <c r="J152" i="8"/>
  <c r="K193" i="8"/>
  <c r="K57" i="8"/>
  <c r="K255" i="8"/>
  <c r="J218" i="8"/>
  <c r="K158" i="8"/>
  <c r="J231" i="8"/>
  <c r="J60" i="8"/>
  <c r="K18" i="8"/>
  <c r="K138" i="8"/>
  <c r="K210" i="8"/>
  <c r="J353" i="8"/>
  <c r="J31" i="8"/>
  <c r="J310" i="8"/>
  <c r="J170" i="8"/>
  <c r="J361" i="8"/>
  <c r="G336" i="8"/>
  <c r="H253" i="8"/>
  <c r="H52" i="8"/>
  <c r="H44" i="8"/>
  <c r="H343" i="8"/>
  <c r="H346" i="8"/>
  <c r="H376" i="8"/>
  <c r="H368" i="8"/>
  <c r="H163" i="8"/>
  <c r="G296" i="8"/>
  <c r="H5" i="8"/>
  <c r="J146" i="8"/>
  <c r="G359" i="8"/>
  <c r="J282" i="8"/>
  <c r="J17" i="8"/>
  <c r="J356" i="8"/>
  <c r="G369" i="8"/>
  <c r="G262" i="8"/>
  <c r="K147" i="8"/>
  <c r="J93" i="8"/>
  <c r="K122" i="8"/>
  <c r="K46" i="8"/>
  <c r="J224" i="8"/>
  <c r="J284" i="8"/>
  <c r="J221" i="8"/>
  <c r="J339" i="8"/>
  <c r="K191" i="8"/>
  <c r="K132" i="8"/>
  <c r="J308" i="8"/>
  <c r="J264" i="8"/>
  <c r="K118" i="8"/>
  <c r="J248" i="8"/>
  <c r="J7" i="8"/>
  <c r="J183" i="8"/>
  <c r="J132" i="8"/>
  <c r="J376" i="8"/>
  <c r="J200" i="8"/>
  <c r="J180" i="8"/>
  <c r="J289" i="8"/>
  <c r="J229" i="8"/>
  <c r="J351" i="8"/>
  <c r="K290" i="8"/>
  <c r="J342" i="8"/>
  <c r="J19" i="8"/>
  <c r="K190" i="8"/>
  <c r="K29" i="8"/>
  <c r="K92" i="8"/>
  <c r="K286" i="8"/>
  <c r="J138" i="8"/>
  <c r="G313" i="8"/>
  <c r="J280" i="8"/>
  <c r="K174" i="8"/>
  <c r="J272" i="8"/>
  <c r="J33" i="8"/>
  <c r="J89" i="8"/>
  <c r="G114" i="8"/>
  <c r="K254" i="8"/>
  <c r="G44" i="8"/>
  <c r="E9" i="9"/>
  <c r="K246" i="8"/>
  <c r="J335" i="8"/>
  <c r="K315" i="8"/>
  <c r="K291" i="8"/>
  <c r="K329" i="8"/>
  <c r="K234" i="8"/>
  <c r="K355" i="8"/>
  <c r="J279" i="8"/>
  <c r="J233" i="8"/>
  <c r="K182" i="8"/>
  <c r="H258" i="8"/>
  <c r="K160" i="8"/>
  <c r="J367" i="8"/>
  <c r="J100" i="8"/>
  <c r="J147" i="8"/>
  <c r="K145" i="8"/>
  <c r="K164" i="8"/>
  <c r="K49" i="8"/>
  <c r="K203" i="8"/>
  <c r="J48" i="8"/>
  <c r="K353" i="8"/>
  <c r="K227" i="8"/>
  <c r="J27" i="8"/>
  <c r="K364" i="8"/>
  <c r="J306" i="8"/>
  <c r="J350" i="8"/>
  <c r="J290" i="8"/>
  <c r="J374" i="8"/>
  <c r="K261" i="8"/>
  <c r="J120" i="8"/>
  <c r="G215" i="8"/>
  <c r="J133" i="8"/>
  <c r="J301" i="8"/>
  <c r="J135" i="8"/>
  <c r="J4" i="8"/>
  <c r="J90" i="8"/>
  <c r="H70" i="8"/>
  <c r="K340" i="8"/>
  <c r="H217" i="8"/>
  <c r="H28" i="8"/>
  <c r="K125" i="8"/>
  <c r="J164" i="8"/>
  <c r="J68" i="8"/>
  <c r="J238" i="8"/>
  <c r="J58" i="8"/>
  <c r="H372" i="8"/>
  <c r="J178" i="8"/>
  <c r="G266" i="8"/>
  <c r="G5" i="8"/>
  <c r="G98" i="8"/>
  <c r="G223" i="8"/>
  <c r="G196" i="8"/>
  <c r="H75" i="8"/>
  <c r="G323" i="8"/>
  <c r="H62" i="8"/>
  <c r="H373" i="8"/>
  <c r="G194" i="8"/>
  <c r="G163" i="8"/>
  <c r="H369" i="8"/>
  <c r="J362" i="8"/>
  <c r="J286" i="8"/>
  <c r="K250" i="8"/>
  <c r="J246" i="8"/>
  <c r="K279" i="8"/>
  <c r="J338" i="8"/>
  <c r="K170" i="8"/>
  <c r="J254" i="8"/>
  <c r="K373" i="8"/>
  <c r="K308" i="8"/>
  <c r="J332" i="8"/>
  <c r="K48" i="8"/>
  <c r="J67" i="8"/>
  <c r="H330" i="8"/>
  <c r="J370" i="8"/>
  <c r="K149" i="8"/>
  <c r="J51" i="8"/>
  <c r="J322" i="8"/>
  <c r="J319" i="8"/>
  <c r="J47" i="8"/>
  <c r="J240" i="8"/>
  <c r="J157" i="8"/>
  <c r="K96" i="8"/>
  <c r="J78" i="8"/>
  <c r="K335" i="8"/>
  <c r="J25" i="8"/>
  <c r="J249" i="8"/>
  <c r="G133" i="8"/>
  <c r="J197" i="8"/>
  <c r="J327" i="8"/>
  <c r="J105" i="8"/>
  <c r="H12" i="8"/>
  <c r="H350" i="8"/>
  <c r="H170" i="8"/>
  <c r="H224" i="8"/>
  <c r="H78" i="8"/>
  <c r="H352" i="8"/>
  <c r="H274" i="8"/>
  <c r="H220" i="8"/>
  <c r="H221" i="8"/>
  <c r="H9" i="8"/>
  <c r="H108" i="8"/>
  <c r="H10" i="8"/>
  <c r="H321" i="8"/>
  <c r="H173" i="8"/>
  <c r="H278" i="8"/>
  <c r="H293" i="8"/>
  <c r="H115" i="8"/>
  <c r="H209" i="8"/>
  <c r="H125" i="8"/>
  <c r="H65" i="8"/>
  <c r="H29" i="8"/>
  <c r="H320" i="8"/>
  <c r="H342" i="8"/>
  <c r="H144" i="8"/>
  <c r="H137" i="8"/>
  <c r="H255" i="8"/>
  <c r="H86" i="8"/>
  <c r="H81" i="8"/>
  <c r="H82" i="8"/>
  <c r="H87" i="8"/>
  <c r="H377" i="8"/>
  <c r="H66" i="8"/>
  <c r="H341" i="8"/>
  <c r="H290" i="8"/>
  <c r="H275" i="8"/>
  <c r="H94" i="8"/>
  <c r="H166" i="8"/>
  <c r="H195" i="8"/>
  <c r="H25" i="8"/>
  <c r="H201" i="8"/>
  <c r="H26" i="8"/>
  <c r="H212" i="8"/>
  <c r="H307" i="8"/>
  <c r="H177" i="8"/>
  <c r="H325" i="8"/>
  <c r="H207" i="8"/>
  <c r="H213" i="8"/>
  <c r="H16" i="8"/>
  <c r="H124" i="8"/>
  <c r="H3" i="8"/>
  <c r="H107" i="8"/>
  <c r="H329" i="8"/>
  <c r="H204" i="8"/>
  <c r="H289" i="8"/>
  <c r="H99" i="8"/>
  <c r="H116" i="8"/>
  <c r="H222" i="8"/>
  <c r="H19" i="8"/>
  <c r="H55" i="8"/>
  <c r="H56" i="8"/>
  <c r="H206" i="8"/>
  <c r="H299" i="8"/>
  <c r="H40" i="8"/>
  <c r="H69" i="8"/>
  <c r="H259" i="8"/>
  <c r="H80" i="8"/>
  <c r="H167" i="8"/>
  <c r="H193" i="8"/>
  <c r="H242" i="8"/>
  <c r="H148" i="8"/>
  <c r="H130" i="8"/>
  <c r="H240" i="8"/>
  <c r="H49" i="8"/>
  <c r="H359" i="8"/>
  <c r="H375" i="8"/>
  <c r="H151" i="8"/>
  <c r="H232" i="8"/>
  <c r="H248" i="8"/>
  <c r="H11" i="8"/>
  <c r="H292" i="8"/>
  <c r="H162" i="8"/>
  <c r="H358" i="8"/>
  <c r="H226" i="8"/>
  <c r="H113" i="8"/>
  <c r="H50" i="8"/>
  <c r="H294" i="8"/>
  <c r="H374" i="8"/>
  <c r="H175" i="8"/>
  <c r="H179" i="8"/>
  <c r="H59" i="8"/>
  <c r="H101" i="8"/>
  <c r="H35" i="8"/>
  <c r="H57" i="8"/>
  <c r="H355" i="8"/>
  <c r="H6" i="8"/>
  <c r="H110" i="8"/>
  <c r="H243" i="8"/>
  <c r="H208" i="8"/>
  <c r="H287" i="8"/>
  <c r="H120" i="8"/>
  <c r="H214" i="8"/>
  <c r="H309" i="8"/>
  <c r="H102" i="8"/>
  <c r="H141" i="8"/>
  <c r="H142" i="8"/>
  <c r="H171" i="8"/>
  <c r="H84" i="8"/>
  <c r="H61" i="8"/>
  <c r="H169" i="8"/>
  <c r="H176" i="8"/>
  <c r="H235" i="8"/>
  <c r="H185" i="8"/>
  <c r="H348" i="8"/>
  <c r="H256" i="8"/>
  <c r="H191" i="8"/>
  <c r="H15" i="8"/>
  <c r="H123" i="8"/>
  <c r="H271" i="8"/>
  <c r="H168" i="8"/>
  <c r="H180" i="8"/>
  <c r="H194" i="8"/>
  <c r="H172" i="8"/>
  <c r="G287" i="8"/>
  <c r="H268" i="8"/>
  <c r="H245" i="8"/>
  <c r="G379" i="8"/>
  <c r="G318" i="8"/>
  <c r="G87" i="8"/>
  <c r="K28" i="8"/>
  <c r="J273" i="8"/>
  <c r="J174" i="8"/>
  <c r="J44" i="8"/>
  <c r="J163" i="8"/>
  <c r="J215" i="8"/>
  <c r="J155" i="8"/>
  <c r="J296" i="8"/>
  <c r="J265" i="8"/>
  <c r="J202" i="8"/>
  <c r="J228" i="8"/>
  <c r="H318" i="8"/>
  <c r="G297" i="8"/>
  <c r="G54" i="8"/>
  <c r="G382" i="8"/>
  <c r="J270" i="8"/>
  <c r="H322" i="8"/>
  <c r="H223" i="8"/>
  <c r="G49" i="8"/>
  <c r="K141" i="8"/>
  <c r="J148" i="8"/>
  <c r="J204" i="8"/>
  <c r="J205" i="8"/>
  <c r="J159" i="8"/>
  <c r="K136" i="8"/>
  <c r="K75" i="8"/>
  <c r="J130" i="8"/>
  <c r="K352" i="8"/>
  <c r="K294" i="8"/>
  <c r="J84" i="8"/>
  <c r="G289" i="8"/>
  <c r="K41" i="8"/>
  <c r="K150" i="8"/>
  <c r="K226" i="8"/>
  <c r="K209" i="8"/>
  <c r="J171" i="8"/>
  <c r="K36" i="8"/>
  <c r="K59" i="8"/>
  <c r="J245" i="8"/>
  <c r="K375" i="8"/>
  <c r="J285" i="8"/>
  <c r="J95" i="8"/>
  <c r="J328" i="8"/>
  <c r="J227" i="8"/>
  <c r="J315" i="8"/>
  <c r="J145" i="8"/>
  <c r="J219" i="8"/>
  <c r="J104" i="8"/>
  <c r="J190" i="8"/>
  <c r="K176" i="8"/>
  <c r="J85" i="8"/>
  <c r="G335" i="8"/>
  <c r="G277" i="8"/>
  <c r="G219" i="8"/>
  <c r="G71" i="8"/>
  <c r="G31" i="8"/>
  <c r="G7" i="8"/>
  <c r="G140" i="8"/>
  <c r="G4" i="8"/>
  <c r="G92" i="8"/>
  <c r="G79" i="8"/>
  <c r="G132" i="8"/>
  <c r="G158" i="8"/>
  <c r="G138" i="8"/>
  <c r="G264" i="8"/>
  <c r="G67" i="8"/>
  <c r="G100" i="8"/>
  <c r="G286" i="8"/>
  <c r="G27" i="8"/>
  <c r="G190" i="8"/>
  <c r="G298" i="8"/>
  <c r="G238" i="8"/>
  <c r="G260" i="8"/>
  <c r="G244" i="8"/>
  <c r="G51" i="8"/>
  <c r="G236" i="8"/>
  <c r="G153" i="8"/>
  <c r="G160" i="8"/>
  <c r="G181" i="8"/>
  <c r="G218" i="8"/>
  <c r="G308" i="8"/>
  <c r="G122" i="8"/>
  <c r="G254" i="8"/>
  <c r="G47" i="8"/>
  <c r="G8" i="8"/>
  <c r="G24" i="8"/>
  <c r="G134" i="8"/>
  <c r="G315" i="8"/>
  <c r="G127" i="8"/>
  <c r="G229" i="8"/>
  <c r="G33" i="8"/>
  <c r="G43" i="8"/>
  <c r="G72" i="8"/>
  <c r="G145" i="8"/>
  <c r="G250" i="8"/>
  <c r="G32" i="8"/>
  <c r="G103" i="8"/>
  <c r="G200" i="8"/>
  <c r="G48" i="8"/>
  <c r="G301" i="8"/>
  <c r="G46" i="8"/>
  <c r="G12" i="8"/>
  <c r="G210" i="8"/>
  <c r="G231" i="8"/>
  <c r="G39" i="8"/>
  <c r="G284" i="8"/>
  <c r="G186" i="8"/>
  <c r="G17" i="8"/>
  <c r="G152" i="8"/>
  <c r="G199" i="8"/>
  <c r="G279" i="8"/>
  <c r="G41" i="8"/>
  <c r="G227" i="8"/>
  <c r="G68" i="8"/>
  <c r="G326" i="8"/>
  <c r="G198" i="8"/>
  <c r="G291" i="8"/>
  <c r="G150" i="8"/>
  <c r="G90" i="8"/>
  <c r="G76" i="8"/>
  <c r="G37" i="8"/>
  <c r="G105" i="8"/>
  <c r="G282" i="8"/>
  <c r="G353" i="8"/>
  <c r="G21" i="8"/>
  <c r="G53" i="8"/>
  <c r="G106" i="8"/>
  <c r="G197" i="8"/>
  <c r="G252" i="8"/>
  <c r="G183" i="8"/>
  <c r="G283" i="8"/>
  <c r="G246" i="8"/>
  <c r="G22" i="8"/>
  <c r="G135" i="8"/>
  <c r="G233" i="8"/>
  <c r="G328" i="8"/>
  <c r="G280" i="8"/>
  <c r="G316" i="8"/>
  <c r="G347" i="8"/>
  <c r="G268" i="8"/>
  <c r="G164" i="8"/>
  <c r="G157" i="8"/>
  <c r="G367" i="8"/>
  <c r="G332" i="8"/>
  <c r="J344" i="8"/>
  <c r="K21" i="8"/>
  <c r="H68" i="8"/>
  <c r="H198" i="8"/>
  <c r="H340" i="8"/>
  <c r="H371" i="8"/>
  <c r="H20" i="8"/>
  <c r="H347" i="8"/>
  <c r="H2" i="8"/>
  <c r="H178" i="8"/>
  <c r="G311" i="8"/>
  <c r="H317" i="8"/>
  <c r="K179" i="8"/>
  <c r="K212" i="8"/>
  <c r="K98" i="8"/>
  <c r="H196" i="8"/>
  <c r="K201" i="8"/>
  <c r="H291" i="8"/>
  <c r="G273" i="8"/>
  <c r="J42" i="8"/>
  <c r="J52" i="8"/>
  <c r="J253" i="8"/>
  <c r="J73" i="8"/>
  <c r="K287" i="8"/>
  <c r="J346" i="8"/>
  <c r="J185" i="8"/>
  <c r="J359" i="8"/>
  <c r="J142" i="8"/>
  <c r="K130" i="8"/>
  <c r="K70" i="8"/>
  <c r="F10" i="5"/>
  <c r="J5" i="8"/>
  <c r="K31" i="8"/>
  <c r="K84" i="8"/>
  <c r="K56" i="8"/>
  <c r="K42" i="8"/>
  <c r="K64" i="8"/>
  <c r="K330" i="8"/>
  <c r="K336" i="8"/>
  <c r="K303" i="8"/>
  <c r="K288" i="8"/>
  <c r="K334" i="8"/>
  <c r="K300" i="8"/>
  <c r="K346" i="8"/>
  <c r="K131" i="8"/>
  <c r="K192" i="8"/>
  <c r="K241" i="8"/>
  <c r="K159" i="8"/>
  <c r="K126" i="8"/>
  <c r="K270" i="8"/>
  <c r="K267" i="8"/>
  <c r="K13" i="8"/>
  <c r="K230" i="8"/>
  <c r="K216" i="8"/>
  <c r="K369" i="8"/>
  <c r="K74" i="8"/>
  <c r="K189" i="8"/>
  <c r="K54" i="8"/>
  <c r="K93" i="8"/>
  <c r="H164" i="8"/>
  <c r="H254" i="8"/>
  <c r="H47" i="8"/>
  <c r="H122" i="8"/>
  <c r="H199" i="8"/>
  <c r="H92" i="8"/>
  <c r="H158" i="8"/>
  <c r="H160" i="8"/>
  <c r="H4" i="8"/>
  <c r="H181" i="8"/>
  <c r="H104" i="8"/>
  <c r="H43" i="8"/>
  <c r="H76" i="8"/>
  <c r="H210" i="8"/>
  <c r="H72" i="8"/>
  <c r="H279" i="8"/>
  <c r="H140" i="8"/>
  <c r="H41" i="8"/>
  <c r="H31" i="8"/>
  <c r="H234" i="8"/>
  <c r="H367" i="8"/>
  <c r="H281" i="8"/>
  <c r="H7" i="8"/>
  <c r="H236" i="8"/>
  <c r="H218" i="8"/>
  <c r="H71" i="8"/>
  <c r="H127" i="8"/>
  <c r="H118" i="8"/>
  <c r="H95" i="8"/>
  <c r="H302" i="8"/>
  <c r="H152" i="8"/>
  <c r="H132" i="8"/>
  <c r="H17" i="8"/>
  <c r="H58" i="8"/>
  <c r="H48" i="8"/>
  <c r="H154" i="8"/>
  <c r="H306" i="8"/>
  <c r="H8" i="8"/>
  <c r="H250" i="8"/>
  <c r="H197" i="8"/>
  <c r="H51" i="8"/>
  <c r="H67" i="8"/>
  <c r="H219" i="8"/>
  <c r="H284" i="8"/>
  <c r="H138" i="8"/>
  <c r="H308" i="8"/>
  <c r="H153" i="8"/>
  <c r="H34" i="8"/>
  <c r="H183" i="8"/>
  <c r="H18" i="8"/>
  <c r="H227" i="8"/>
  <c r="H112" i="8"/>
  <c r="H301" i="8"/>
  <c r="H24" i="8"/>
  <c r="H186" i="8"/>
  <c r="H263" i="8"/>
  <c r="H315" i="8"/>
  <c r="H146" i="8"/>
  <c r="H90" i="8"/>
  <c r="H233" i="8"/>
  <c r="H33" i="8"/>
  <c r="H285" i="8"/>
  <c r="H229" i="8"/>
  <c r="H39" i="8"/>
  <c r="H134" i="8"/>
  <c r="H200" i="8"/>
  <c r="H103" i="8"/>
  <c r="H149" i="8"/>
  <c r="H335" i="8"/>
  <c r="H32" i="8"/>
  <c r="H277" i="8"/>
  <c r="H282" i="8"/>
  <c r="H150" i="8"/>
  <c r="H280" i="8"/>
  <c r="H105" i="8"/>
  <c r="H328" i="8"/>
  <c r="H135" i="8"/>
  <c r="H21" i="8"/>
  <c r="H260" i="8"/>
  <c r="H244" i="8"/>
  <c r="H337" i="8"/>
  <c r="H161" i="8"/>
  <c r="H53" i="8"/>
  <c r="H139" i="8"/>
  <c r="H338" i="8"/>
  <c r="H252" i="8"/>
  <c r="H364" i="8"/>
  <c r="H79" i="8"/>
  <c r="H145" i="8"/>
  <c r="H188" i="8"/>
  <c r="H100" i="8"/>
  <c r="H249" i="8"/>
  <c r="H246" i="8"/>
  <c r="H238" i="8"/>
  <c r="H37" i="8"/>
  <c r="H257" i="8"/>
  <c r="H147" i="8"/>
  <c r="H133" i="8"/>
  <c r="H264" i="8"/>
  <c r="H27" i="8"/>
  <c r="H286" i="8"/>
  <c r="H316" i="8"/>
  <c r="H345" i="8"/>
  <c r="H272" i="8"/>
  <c r="H96" i="8"/>
  <c r="H356" i="8"/>
  <c r="G151" i="8"/>
  <c r="G108" i="8"/>
  <c r="G19" i="8"/>
  <c r="G193" i="8"/>
  <c r="G175" i="8"/>
  <c r="G166" i="8"/>
  <c r="G240" i="8"/>
  <c r="G130" i="8"/>
  <c r="G55" i="8"/>
  <c r="G94" i="8"/>
  <c r="G25" i="8"/>
  <c r="G40" i="8"/>
  <c r="G376" i="8"/>
  <c r="G124" i="8"/>
  <c r="G35" i="8"/>
  <c r="G115" i="8"/>
  <c r="G245" i="8"/>
  <c r="G101" i="8"/>
  <c r="G148" i="8"/>
  <c r="G206" i="8"/>
  <c r="G75" i="8"/>
  <c r="G191" i="8"/>
  <c r="G256" i="8"/>
  <c r="G173" i="8"/>
  <c r="G3" i="8"/>
  <c r="G9" i="8"/>
  <c r="G120" i="8"/>
  <c r="G70" i="8"/>
  <c r="G59" i="8"/>
  <c r="G179" i="8"/>
  <c r="G99" i="8"/>
  <c r="G293" i="8"/>
  <c r="G84" i="8"/>
  <c r="G169" i="8"/>
  <c r="G15" i="8"/>
  <c r="G208" i="8"/>
  <c r="G226" i="8"/>
  <c r="G185" i="8"/>
  <c r="G11" i="8"/>
  <c r="G213" i="8"/>
  <c r="G212" i="8"/>
  <c r="G377" i="8"/>
  <c r="G61" i="8"/>
  <c r="G62" i="8"/>
  <c r="G137" i="8"/>
  <c r="G242" i="8"/>
  <c r="G78" i="8"/>
  <c r="G82" i="8"/>
  <c r="G177" i="8"/>
  <c r="G56" i="8"/>
  <c r="G261" i="8"/>
  <c r="G232" i="8"/>
  <c r="G314" i="8"/>
  <c r="G107" i="8"/>
  <c r="G222" i="8"/>
  <c r="G321" i="8"/>
  <c r="G248" i="8"/>
  <c r="G86" i="8"/>
  <c r="G195" i="8"/>
  <c r="G116" i="8"/>
  <c r="G299" i="8"/>
  <c r="G65" i="8"/>
  <c r="G80" i="8"/>
  <c r="G214" i="8"/>
  <c r="G144" i="8"/>
  <c r="G123" i="8"/>
  <c r="G57" i="8"/>
  <c r="G30" i="8"/>
  <c r="G162" i="8"/>
  <c r="G16" i="8"/>
  <c r="G110" i="8"/>
  <c r="G292" i="8"/>
  <c r="G113" i="8"/>
  <c r="G343" i="8"/>
  <c r="G290" i="8"/>
  <c r="G341" i="8"/>
  <c r="G125" i="8"/>
  <c r="G6" i="8"/>
  <c r="G342" i="8"/>
  <c r="G29" i="8"/>
  <c r="G224" i="8"/>
  <c r="G50" i="8"/>
  <c r="G247" i="8"/>
  <c r="G327" i="8"/>
  <c r="G171" i="8"/>
  <c r="G374" i="8"/>
  <c r="G271" i="8"/>
  <c r="G184" i="8"/>
  <c r="G205" i="8"/>
  <c r="G69" i="8"/>
  <c r="G77" i="8"/>
  <c r="G221" i="8"/>
  <c r="G331" i="8"/>
  <c r="G320" i="8"/>
  <c r="G172" i="8"/>
  <c r="G307" i="8"/>
  <c r="G352" i="8"/>
  <c r="G204" i="8"/>
  <c r="G38" i="8"/>
  <c r="G239" i="8"/>
  <c r="G358" i="8"/>
  <c r="G14" i="8"/>
  <c r="G275" i="8"/>
  <c r="G142" i="8"/>
  <c r="G348" i="8"/>
  <c r="G325" i="8"/>
  <c r="G372" i="8"/>
  <c r="G312" i="8"/>
  <c r="G303" i="8"/>
  <c r="G126" i="8"/>
  <c r="G159" i="8"/>
  <c r="G129" i="8"/>
  <c r="G156" i="8"/>
  <c r="G189" i="8"/>
  <c r="G74" i="8"/>
  <c r="G73" i="8"/>
  <c r="G23" i="8"/>
  <c r="G111" i="8"/>
  <c r="G64" i="8"/>
  <c r="G192" i="8"/>
  <c r="G117" i="8"/>
  <c r="G97" i="8"/>
  <c r="G131" i="8"/>
  <c r="G63" i="8"/>
  <c r="G88" i="8"/>
  <c r="G93" i="8"/>
  <c r="G119" i="8"/>
  <c r="G187" i="8"/>
  <c r="G174" i="8"/>
  <c r="G216" i="8"/>
  <c r="G334" i="8"/>
  <c r="G253" i="8"/>
  <c r="G217" i="8"/>
  <c r="G230" i="8"/>
  <c r="G267" i="8"/>
  <c r="G265" i="8"/>
  <c r="G128" i="8"/>
  <c r="G300" i="8"/>
  <c r="G13" i="8"/>
  <c r="G324" i="8"/>
  <c r="G276" i="8"/>
  <c r="G45" i="8"/>
  <c r="G241" i="8"/>
  <c r="H344" i="8"/>
  <c r="H313" i="8"/>
  <c r="H106" i="8"/>
  <c r="H366" i="8"/>
  <c r="H304" i="8"/>
  <c r="H266" i="8"/>
  <c r="H156" i="8"/>
  <c r="H241" i="8"/>
  <c r="H324" i="8"/>
  <c r="H270" i="8"/>
  <c r="H74" i="8"/>
  <c r="H93" i="8"/>
  <c r="H334" i="8"/>
  <c r="H189" i="8"/>
  <c r="H126" i="8"/>
  <c r="H216" i="8"/>
  <c r="H119" i="8"/>
  <c r="H23" i="8"/>
  <c r="H192" i="8"/>
  <c r="H297" i="8"/>
  <c r="H111" i="8"/>
  <c r="H159" i="8"/>
  <c r="H262" i="8"/>
  <c r="H63" i="8"/>
  <c r="H42" i="8"/>
  <c r="H311" i="8"/>
  <c r="H269" i="8"/>
  <c r="H174" i="8"/>
  <c r="H45" i="8"/>
  <c r="H265" i="8"/>
  <c r="H230" i="8"/>
  <c r="H131" i="8"/>
  <c r="H187" i="8"/>
  <c r="H300" i="8"/>
  <c r="H109" i="8"/>
  <c r="H215" i="8"/>
  <c r="H267" i="8"/>
  <c r="H73" i="8"/>
  <c r="H155" i="8"/>
  <c r="H88" i="8"/>
  <c r="H296" i="8"/>
  <c r="H228" i="8"/>
  <c r="H64" i="8"/>
  <c r="H323" i="8"/>
  <c r="H117" i="8"/>
  <c r="H97" i="8"/>
  <c r="H128" i="8"/>
  <c r="H202" i="8"/>
  <c r="H13" i="8"/>
  <c r="G209" i="8"/>
  <c r="H251" i="8"/>
  <c r="G373" i="8"/>
  <c r="H22" i="8"/>
  <c r="H327" i="8"/>
  <c r="H354" i="8"/>
  <c r="H365" i="8"/>
  <c r="G235" i="8"/>
  <c r="G167" i="8"/>
  <c r="H339" i="8"/>
  <c r="G228" i="8"/>
  <c r="J276" i="8"/>
  <c r="G237" i="8"/>
  <c r="G380" i="8"/>
  <c r="G259" i="8"/>
  <c r="K66" i="8"/>
  <c r="K38" i="8"/>
  <c r="J128" i="8"/>
  <c r="H326" i="8"/>
  <c r="J311" i="8"/>
  <c r="K342" i="8"/>
  <c r="J99" i="8"/>
  <c r="J38" i="8"/>
  <c r="H205" i="8"/>
  <c r="K175" i="8"/>
  <c r="K359" i="8"/>
  <c r="G102" i="8"/>
  <c r="J258" i="8"/>
  <c r="K232" i="8"/>
  <c r="H91" i="8"/>
  <c r="J173" i="8"/>
  <c r="K306" i="8"/>
  <c r="K305" i="8"/>
  <c r="K17" i="8"/>
  <c r="K121" i="8"/>
  <c r="K72" i="8"/>
  <c r="K319" i="8"/>
  <c r="K103" i="8"/>
  <c r="K310" i="8"/>
  <c r="K244" i="8"/>
  <c r="K363" i="8"/>
  <c r="K238" i="8"/>
  <c r="K282" i="8"/>
  <c r="K263" i="8"/>
  <c r="K332" i="8"/>
  <c r="K143" i="8"/>
  <c r="K34" i="8"/>
  <c r="K24" i="8"/>
  <c r="K361" i="8"/>
  <c r="K67" i="8"/>
  <c r="K12" i="8"/>
  <c r="K337" i="8"/>
  <c r="K356" i="8"/>
  <c r="K347" i="8"/>
  <c r="K260" i="8"/>
  <c r="K139" i="8"/>
  <c r="K91" i="8"/>
  <c r="K154" i="8"/>
  <c r="K200" i="8"/>
  <c r="K313" i="8"/>
  <c r="K339" i="8"/>
  <c r="K181" i="8"/>
  <c r="K27" i="8"/>
  <c r="K161" i="8"/>
  <c r="K326" i="8"/>
  <c r="K7" i="8"/>
  <c r="K133" i="8"/>
  <c r="K272" i="8"/>
  <c r="K322" i="8"/>
  <c r="K188" i="8"/>
  <c r="K152" i="8"/>
  <c r="K4" i="8"/>
  <c r="K134" i="8"/>
  <c r="K100" i="8"/>
  <c r="K233" i="8"/>
  <c r="K32" i="8"/>
  <c r="K199" i="8"/>
  <c r="K280" i="8"/>
  <c r="K2" i="8"/>
  <c r="K344" i="8"/>
  <c r="K350" i="8"/>
  <c r="K316" i="8"/>
  <c r="K229" i="8"/>
  <c r="K186" i="8"/>
  <c r="K295" i="8"/>
  <c r="K47" i="8"/>
  <c r="K43" i="8"/>
  <c r="K257" i="8"/>
  <c r="K236" i="8"/>
  <c r="K281" i="8"/>
  <c r="J61" i="8"/>
  <c r="I9" i="9"/>
  <c r="J123" i="8"/>
  <c r="H314" i="8"/>
  <c r="J129" i="8"/>
  <c r="G83" i="8"/>
  <c r="K79" i="8"/>
  <c r="J261" i="8"/>
  <c r="K71" i="8"/>
  <c r="J288" i="8"/>
  <c r="J139" i="8"/>
  <c r="K307" i="8"/>
  <c r="J244" i="8"/>
  <c r="J45" i="8"/>
  <c r="H36" i="8"/>
  <c r="K135" i="8"/>
  <c r="J188" i="8"/>
  <c r="J225" i="8"/>
  <c r="J92" i="8"/>
  <c r="K23" i="8"/>
  <c r="H349" i="8"/>
  <c r="G26" i="8"/>
  <c r="G304" i="8"/>
  <c r="H46" i="8"/>
  <c r="H231" i="8"/>
  <c r="G288" i="8"/>
  <c r="G220" i="8"/>
  <c r="G274" i="8"/>
  <c r="H136" i="8"/>
  <c r="G340" i="8"/>
  <c r="H261" i="8"/>
  <c r="K343" i="8"/>
  <c r="K115" i="8"/>
  <c r="K348" i="8"/>
  <c r="K86" i="8"/>
  <c r="K144" i="8"/>
  <c r="K78" i="8"/>
  <c r="K55" i="8"/>
  <c r="K25" i="8"/>
  <c r="K85" i="8"/>
  <c r="K213" i="8"/>
  <c r="K81" i="8"/>
  <c r="K275" i="8"/>
  <c r="K3" i="8"/>
  <c r="K35" i="8"/>
  <c r="K173" i="8"/>
  <c r="K374" i="8"/>
  <c r="K360" i="8"/>
  <c r="K40" i="8"/>
  <c r="K258" i="8"/>
  <c r="K20" i="8"/>
  <c r="K223" i="8"/>
  <c r="K207" i="8"/>
  <c r="K358" i="8"/>
  <c r="K137" i="8"/>
  <c r="K292" i="8"/>
  <c r="K278" i="8"/>
  <c r="K62" i="8"/>
  <c r="K341" i="8"/>
  <c r="K10" i="8"/>
  <c r="K320" i="8"/>
  <c r="K377" i="8"/>
  <c r="K180" i="8"/>
  <c r="K221" i="8"/>
  <c r="K123" i="8"/>
  <c r="K162" i="8"/>
  <c r="K110" i="8"/>
  <c r="K5" i="8"/>
  <c r="K107" i="8"/>
  <c r="K208" i="8"/>
  <c r="K317" i="8"/>
  <c r="K237" i="8"/>
  <c r="K289" i="8"/>
  <c r="K194" i="8"/>
  <c r="K243" i="8"/>
  <c r="K102" i="8"/>
  <c r="K380" i="8"/>
  <c r="K331" i="8"/>
  <c r="K222" i="8"/>
  <c r="K371" i="8"/>
  <c r="K312" i="8"/>
  <c r="K50" i="8"/>
  <c r="K251" i="8"/>
  <c r="K354" i="8"/>
  <c r="K168" i="8"/>
  <c r="K382" i="8"/>
  <c r="K379" i="8"/>
  <c r="K224" i="8"/>
  <c r="K325" i="8"/>
  <c r="K365" i="8"/>
  <c r="K6" i="8"/>
  <c r="K318" i="8"/>
  <c r="K327" i="8"/>
  <c r="K114" i="8"/>
  <c r="K309" i="8"/>
  <c r="K245" i="8"/>
  <c r="G168" i="8"/>
  <c r="K206" i="8"/>
  <c r="K26" i="8"/>
  <c r="J63" i="8"/>
  <c r="K14" i="8"/>
  <c r="H60" i="8"/>
  <c r="J111" i="8"/>
  <c r="K99" i="8"/>
  <c r="J97" i="8"/>
  <c r="G176" i="8"/>
  <c r="K299" i="8"/>
  <c r="G10" i="8"/>
  <c r="H157" i="8"/>
  <c r="J194" i="8"/>
  <c r="J16" i="8"/>
  <c r="J75" i="8"/>
  <c r="J66" i="8"/>
  <c r="J209" i="8"/>
  <c r="J166" i="8"/>
  <c r="J307" i="8"/>
  <c r="J56" i="8"/>
  <c r="J116" i="8"/>
  <c r="J182" i="8"/>
  <c r="J235" i="8"/>
  <c r="J125" i="8"/>
  <c r="J352" i="8"/>
  <c r="J176" i="8"/>
  <c r="J274" i="8"/>
  <c r="J287" i="8"/>
  <c r="H295" i="8"/>
  <c r="J223" i="8"/>
  <c r="H283" i="8"/>
  <c r="J368" i="8"/>
  <c r="J136" i="8"/>
  <c r="H182" i="8"/>
  <c r="J303" i="8"/>
  <c r="K116" i="8"/>
  <c r="H333" i="8"/>
  <c r="J226" i="8"/>
  <c r="J108" i="8"/>
  <c r="J23" i="8"/>
  <c r="J189" i="8"/>
  <c r="K171" i="8"/>
  <c r="K274" i="8"/>
  <c r="J114" i="8"/>
  <c r="J6" i="8"/>
  <c r="H363" i="8"/>
  <c r="J35" i="8"/>
  <c r="K204" i="8"/>
  <c r="K105" i="8"/>
  <c r="H184" i="8"/>
  <c r="K349" i="8"/>
  <c r="K30" i="8"/>
  <c r="J354" i="8"/>
  <c r="H190" i="8"/>
  <c r="H310" i="8"/>
  <c r="H351" i="8"/>
  <c r="H353" i="8"/>
  <c r="H77" i="8"/>
  <c r="G278" i="8"/>
  <c r="G165" i="8"/>
  <c r="H331" i="8"/>
  <c r="G81" i="8"/>
  <c r="K259" i="8"/>
  <c r="K248" i="8"/>
  <c r="K15" i="8"/>
  <c r="G28" i="8"/>
  <c r="H237" i="8"/>
  <c r="G109" i="8"/>
  <c r="J211" i="8"/>
  <c r="H298" i="8"/>
  <c r="G270" i="8"/>
  <c r="K148" i="8"/>
  <c r="K69" i="8"/>
  <c r="H332" i="8"/>
  <c r="K124" i="8"/>
  <c r="K321" i="8"/>
  <c r="J3" i="8"/>
  <c r="J318" i="8"/>
  <c r="G180" i="8"/>
  <c r="J278" i="8"/>
  <c r="H30" i="8"/>
  <c r="J131" i="8"/>
  <c r="J151" i="8"/>
  <c r="K113" i="8"/>
  <c r="G258" i="8"/>
  <c r="J256" i="8"/>
  <c r="J70" i="8"/>
  <c r="J243" i="8"/>
  <c r="J360" i="8"/>
  <c r="K271" i="8"/>
  <c r="K219" i="8"/>
  <c r="J220" i="8"/>
  <c r="K90" i="8"/>
  <c r="K76" i="8"/>
  <c r="H362" i="8"/>
  <c r="K285" i="8"/>
  <c r="K142" i="8"/>
  <c r="G141" i="8"/>
  <c r="H14" i="8"/>
  <c r="G243" i="8"/>
  <c r="G255" i="8"/>
  <c r="H357" i="8"/>
  <c r="H247" i="8"/>
  <c r="H203" i="8"/>
  <c r="K80" i="8"/>
  <c r="K184" i="8"/>
  <c r="H312" i="8"/>
  <c r="K101" i="8"/>
  <c r="G211" i="8"/>
  <c r="K19" i="8"/>
  <c r="G333" i="8"/>
  <c r="K205" i="8"/>
  <c r="K256" i="8"/>
  <c r="K77" i="8"/>
  <c r="J175" i="8"/>
  <c r="K108" i="8"/>
  <c r="H288" i="8"/>
  <c r="K195" i="8"/>
  <c r="K151" i="8"/>
  <c r="J124" i="8"/>
  <c r="H370" i="8"/>
  <c r="K328" i="8"/>
  <c r="K22" i="8"/>
  <c r="J300" i="8"/>
  <c r="K177" i="8"/>
  <c r="K197" i="8"/>
  <c r="J102" i="8"/>
  <c r="K94" i="8"/>
  <c r="J267" i="8"/>
  <c r="K45" i="8"/>
  <c r="J20" i="8"/>
  <c r="K61" i="8"/>
  <c r="K53" i="8"/>
  <c r="H319" i="8"/>
  <c r="H143" i="8"/>
  <c r="H89" i="8"/>
  <c r="H305" i="8"/>
  <c r="H121" i="8"/>
  <c r="G346" i="8"/>
  <c r="G202" i="8"/>
  <c r="G136" i="8"/>
  <c r="H361" i="8"/>
  <c r="G269" i="8"/>
  <c r="G371" i="8"/>
  <c r="G365" i="8"/>
  <c r="H303" i="8"/>
  <c r="K314" i="8"/>
  <c r="K196" i="8"/>
  <c r="J88" i="8"/>
  <c r="J216" i="8"/>
  <c r="J304" i="8"/>
  <c r="K120" i="8"/>
  <c r="G201" i="8"/>
  <c r="K293" i="8"/>
  <c r="J162" i="8"/>
  <c r="J83" i="8"/>
  <c r="J369" i="8"/>
  <c r="J317" i="8"/>
  <c r="K16" i="8"/>
  <c r="K345" i="8"/>
  <c r="J380" i="8"/>
  <c r="K11" i="8"/>
  <c r="J53" i="8"/>
  <c r="K104" i="8"/>
  <c r="H1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<sst xmlns="http://schemas.openxmlformats.org/spreadsheetml/2006/main" count="2726" uniqueCount="1363">
  <si>
    <t>Service Enabling System Code</t>
  </si>
  <si>
    <t>X Code</t>
  </si>
  <si>
    <t>Address</t>
  </si>
  <si>
    <t>Region</t>
  </si>
  <si>
    <t>Total Units Sold</t>
  </si>
  <si>
    <t>Coffee Units Sold</t>
  </si>
  <si>
    <t>Sandwich Units Sold</t>
  </si>
  <si>
    <t>Hot-Dog Units Sold</t>
  </si>
  <si>
    <t>Coffee Relative Sales to Gastro</t>
  </si>
  <si>
    <t>Sandwich Relative Sales to Gastro</t>
  </si>
  <si>
    <t>Hot-Dog Relative Sales to Gastro</t>
  </si>
  <si>
    <t>Gastro Net Waste</t>
  </si>
  <si>
    <t>Gastro Net Sales</t>
  </si>
  <si>
    <t>Drygoods Net Waste</t>
  </si>
  <si>
    <t>Drygoods Net Sales</t>
  </si>
  <si>
    <t>Gastro Relative Waste to Total Sales</t>
  </si>
  <si>
    <t>Drygoods Relative Waste to Total Sales</t>
  </si>
  <si>
    <t>Address 1</t>
  </si>
  <si>
    <t>Region 1</t>
  </si>
  <si>
    <t>Address 2</t>
  </si>
  <si>
    <t>Region 2</t>
  </si>
  <si>
    <t>Address 3</t>
  </si>
  <si>
    <t>Address 4</t>
  </si>
  <si>
    <t>Address 5</t>
  </si>
  <si>
    <t>Address 6</t>
  </si>
  <si>
    <t>Address 7</t>
  </si>
  <si>
    <t>Address 8</t>
  </si>
  <si>
    <t>Address 9</t>
  </si>
  <si>
    <t>Address 10</t>
  </si>
  <si>
    <t>Address 11</t>
  </si>
  <si>
    <t>Address 12</t>
  </si>
  <si>
    <t>Region 12</t>
  </si>
  <si>
    <t>Address 13</t>
  </si>
  <si>
    <t>Address 14</t>
  </si>
  <si>
    <t>Address 15</t>
  </si>
  <si>
    <t>Address 16</t>
  </si>
  <si>
    <t>Address 17</t>
  </si>
  <si>
    <t>Address 18</t>
  </si>
  <si>
    <t>Address 19</t>
  </si>
  <si>
    <t>Address 20</t>
  </si>
  <si>
    <t>Address 21</t>
  </si>
  <si>
    <t>Address 22</t>
  </si>
  <si>
    <t>Address 23</t>
  </si>
  <si>
    <t>Address 24</t>
  </si>
  <si>
    <t>Address 25</t>
  </si>
  <si>
    <t>Address 26</t>
  </si>
  <si>
    <t>Address 27</t>
  </si>
  <si>
    <t>Address 28</t>
  </si>
  <si>
    <t>Address 29</t>
  </si>
  <si>
    <t>Address 30</t>
  </si>
  <si>
    <t>Address 31</t>
  </si>
  <si>
    <t>Address 32</t>
  </si>
  <si>
    <t>Address 33</t>
  </si>
  <si>
    <t>Address 34</t>
  </si>
  <si>
    <t>Address 35</t>
  </si>
  <si>
    <t>Address 36</t>
  </si>
  <si>
    <t>Address 37</t>
  </si>
  <si>
    <t>Address 38</t>
  </si>
  <si>
    <t>Address 39</t>
  </si>
  <si>
    <t>Address 40</t>
  </si>
  <si>
    <t>Address 41</t>
  </si>
  <si>
    <t>Address 42</t>
  </si>
  <si>
    <t>Address 43</t>
  </si>
  <si>
    <t>Address 44</t>
  </si>
  <si>
    <t>Address 45</t>
  </si>
  <si>
    <t>Address 46</t>
  </si>
  <si>
    <t>Address 47</t>
  </si>
  <si>
    <t>Address 48</t>
  </si>
  <si>
    <t>Address 49</t>
  </si>
  <si>
    <t>Address 50</t>
  </si>
  <si>
    <t>Address 51</t>
  </si>
  <si>
    <t>Address 52</t>
  </si>
  <si>
    <t>Address 53</t>
  </si>
  <si>
    <t>Address 54</t>
  </si>
  <si>
    <t>Address 55</t>
  </si>
  <si>
    <t>Address 56</t>
  </si>
  <si>
    <t>Address 57</t>
  </si>
  <si>
    <t>Address 58</t>
  </si>
  <si>
    <t>Address 59</t>
  </si>
  <si>
    <t>Address 60</t>
  </si>
  <si>
    <t>Address 61</t>
  </si>
  <si>
    <t>Address 62</t>
  </si>
  <si>
    <t>Address 63</t>
  </si>
  <si>
    <t>Address 64</t>
  </si>
  <si>
    <t>Address 65</t>
  </si>
  <si>
    <t>Address 66</t>
  </si>
  <si>
    <t>Address 67</t>
  </si>
  <si>
    <t>Address 68</t>
  </si>
  <si>
    <t>Address 69</t>
  </si>
  <si>
    <t>Address 70</t>
  </si>
  <si>
    <t>Address 71</t>
  </si>
  <si>
    <t>Address 72</t>
  </si>
  <si>
    <t>Address 73</t>
  </si>
  <si>
    <t>Address 74</t>
  </si>
  <si>
    <t>Address 75</t>
  </si>
  <si>
    <t>Address 76</t>
  </si>
  <si>
    <t>Address 77</t>
  </si>
  <si>
    <t>Address 78</t>
  </si>
  <si>
    <t>Address 79</t>
  </si>
  <si>
    <t>Address 80</t>
  </si>
  <si>
    <t>Address 81</t>
  </si>
  <si>
    <t>Address 82</t>
  </si>
  <si>
    <t>Address 83</t>
  </si>
  <si>
    <t>Address 84</t>
  </si>
  <si>
    <t>Address 85</t>
  </si>
  <si>
    <t>Address 86</t>
  </si>
  <si>
    <t>Address 87</t>
  </si>
  <si>
    <t>Address 88</t>
  </si>
  <si>
    <t>Address 89</t>
  </si>
  <si>
    <t>Address 90</t>
  </si>
  <si>
    <t>Address 91</t>
  </si>
  <si>
    <t>Address 92</t>
  </si>
  <si>
    <t>Address 93</t>
  </si>
  <si>
    <t>Address 94</t>
  </si>
  <si>
    <t>Address 95</t>
  </si>
  <si>
    <t>Address 96</t>
  </si>
  <si>
    <t>Address 97</t>
  </si>
  <si>
    <t>Address 98</t>
  </si>
  <si>
    <t>Address 99</t>
  </si>
  <si>
    <t>Address 100</t>
  </si>
  <si>
    <t>Address 101</t>
  </si>
  <si>
    <t>Address 102</t>
  </si>
  <si>
    <t>Address 103</t>
  </si>
  <si>
    <t>Address 104</t>
  </si>
  <si>
    <t>Address 105</t>
  </si>
  <si>
    <t>Address 106</t>
  </si>
  <si>
    <t>Address 107</t>
  </si>
  <si>
    <t>Address 108</t>
  </si>
  <si>
    <t>Address 109</t>
  </si>
  <si>
    <t>Address 110</t>
  </si>
  <si>
    <t>Address 111</t>
  </si>
  <si>
    <t>Address 112</t>
  </si>
  <si>
    <t>Address 113</t>
  </si>
  <si>
    <t>Address 114</t>
  </si>
  <si>
    <t>Address 115</t>
  </si>
  <si>
    <t>Address 116</t>
  </si>
  <si>
    <t>Address 117</t>
  </si>
  <si>
    <t>Address 118</t>
  </si>
  <si>
    <t>Address 119</t>
  </si>
  <si>
    <t>Address 120</t>
  </si>
  <si>
    <t>Address 121</t>
  </si>
  <si>
    <t>Address 122</t>
  </si>
  <si>
    <t>Address 123</t>
  </si>
  <si>
    <t>Address 124</t>
  </si>
  <si>
    <t>Address 125</t>
  </si>
  <si>
    <t>Address 126</t>
  </si>
  <si>
    <t>Address 127</t>
  </si>
  <si>
    <t>Address 128</t>
  </si>
  <si>
    <t>Address 129</t>
  </si>
  <si>
    <t>Address 130</t>
  </si>
  <si>
    <t>Address 131</t>
  </si>
  <si>
    <t>Address 132</t>
  </si>
  <si>
    <t>Address 133</t>
  </si>
  <si>
    <t>Address 134</t>
  </si>
  <si>
    <t>Address 135</t>
  </si>
  <si>
    <t>Address 136</t>
  </si>
  <si>
    <t>Address 137</t>
  </si>
  <si>
    <t>Address 138</t>
  </si>
  <si>
    <t>Address 139</t>
  </si>
  <si>
    <t>Address 140</t>
  </si>
  <si>
    <t>Address 141</t>
  </si>
  <si>
    <t>Address 142</t>
  </si>
  <si>
    <t>Address 143</t>
  </si>
  <si>
    <t>Address 144</t>
  </si>
  <si>
    <t>Address 145</t>
  </si>
  <si>
    <t>Address 146</t>
  </si>
  <si>
    <t>Address 147</t>
  </si>
  <si>
    <t>Address 148</t>
  </si>
  <si>
    <t>Address 149</t>
  </si>
  <si>
    <t>Address 150</t>
  </si>
  <si>
    <t>Address 151</t>
  </si>
  <si>
    <t>Address 152</t>
  </si>
  <si>
    <t>Address 153</t>
  </si>
  <si>
    <t>Address 154</t>
  </si>
  <si>
    <t>Address 155</t>
  </si>
  <si>
    <t>Address 156</t>
  </si>
  <si>
    <t>Address 157</t>
  </si>
  <si>
    <t>Address 158</t>
  </si>
  <si>
    <t>Address 159</t>
  </si>
  <si>
    <t>Address 160</t>
  </si>
  <si>
    <t>Address 161</t>
  </si>
  <si>
    <t>Address 162</t>
  </si>
  <si>
    <t>Address 163</t>
  </si>
  <si>
    <t>Address 164</t>
  </si>
  <si>
    <t>Address 165</t>
  </si>
  <si>
    <t>Address 166</t>
  </si>
  <si>
    <t>Address 167</t>
  </si>
  <si>
    <t>Address 168</t>
  </si>
  <si>
    <t>Address 169</t>
  </si>
  <si>
    <t>Address 170</t>
  </si>
  <si>
    <t>Address 171</t>
  </si>
  <si>
    <t>Address 172</t>
  </si>
  <si>
    <t>Address 173</t>
  </si>
  <si>
    <t>Address 174</t>
  </si>
  <si>
    <t>Address 175</t>
  </si>
  <si>
    <t>Address 176</t>
  </si>
  <si>
    <t>Address 177</t>
  </si>
  <si>
    <t>Address 178</t>
  </si>
  <si>
    <t>Address 179</t>
  </si>
  <si>
    <t>Address 180</t>
  </si>
  <si>
    <t>Address 181</t>
  </si>
  <si>
    <t>Address 182</t>
  </si>
  <si>
    <t>Address 183</t>
  </si>
  <si>
    <t>Address 184</t>
  </si>
  <si>
    <t>Address 185</t>
  </si>
  <si>
    <t>Address 186</t>
  </si>
  <si>
    <t>Address 187</t>
  </si>
  <si>
    <t>Address 188</t>
  </si>
  <si>
    <t>Address 189</t>
  </si>
  <si>
    <t>Address 190</t>
  </si>
  <si>
    <t>Address 191</t>
  </si>
  <si>
    <t>Address 192</t>
  </si>
  <si>
    <t>Address 193</t>
  </si>
  <si>
    <t>Address 194</t>
  </si>
  <si>
    <t>Address 195</t>
  </si>
  <si>
    <t>Address 196</t>
  </si>
  <si>
    <t>Address 197</t>
  </si>
  <si>
    <t>Address 198</t>
  </si>
  <si>
    <t>Address 199</t>
  </si>
  <si>
    <t>Address 200</t>
  </si>
  <si>
    <t>Address 201</t>
  </si>
  <si>
    <t>Address 202</t>
  </si>
  <si>
    <t>Address 203</t>
  </si>
  <si>
    <t>Address 204</t>
  </si>
  <si>
    <t>Address 205</t>
  </si>
  <si>
    <t>Address 206</t>
  </si>
  <si>
    <t>Address 207</t>
  </si>
  <si>
    <t>Address 208</t>
  </si>
  <si>
    <t>Address 209</t>
  </si>
  <si>
    <t>Address 210</t>
  </si>
  <si>
    <t>Address 211</t>
  </si>
  <si>
    <t>Address 212</t>
  </si>
  <si>
    <t>Address 213</t>
  </si>
  <si>
    <t>Address 214</t>
  </si>
  <si>
    <t>Address 215</t>
  </si>
  <si>
    <t>Address 216</t>
  </si>
  <si>
    <t>Address 217</t>
  </si>
  <si>
    <t>Address 218</t>
  </si>
  <si>
    <t>Address 219</t>
  </si>
  <si>
    <t>Address 220</t>
  </si>
  <si>
    <t>Address 221</t>
  </si>
  <si>
    <t>Address 222</t>
  </si>
  <si>
    <t>Address 223</t>
  </si>
  <si>
    <t>Address 224</t>
  </si>
  <si>
    <t>Address 225</t>
  </si>
  <si>
    <t>Address 226</t>
  </si>
  <si>
    <t>Address 227</t>
  </si>
  <si>
    <t>Address 228</t>
  </si>
  <si>
    <t>Address 229</t>
  </si>
  <si>
    <t>Address 230</t>
  </si>
  <si>
    <t>Address 231</t>
  </si>
  <si>
    <t>Address 232</t>
  </si>
  <si>
    <t>Address 233</t>
  </si>
  <si>
    <t>Address 234</t>
  </si>
  <si>
    <t>Address 235</t>
  </si>
  <si>
    <t>Address 236</t>
  </si>
  <si>
    <t>Address 237</t>
  </si>
  <si>
    <t>Address 238</t>
  </si>
  <si>
    <t>Address 239</t>
  </si>
  <si>
    <t>Address 240</t>
  </si>
  <si>
    <t>Address 241</t>
  </si>
  <si>
    <t>Address 242</t>
  </si>
  <si>
    <t>Address 243</t>
  </si>
  <si>
    <t>Address 244</t>
  </si>
  <si>
    <t>Address 245</t>
  </si>
  <si>
    <t>Address 246</t>
  </si>
  <si>
    <t>Address 247</t>
  </si>
  <si>
    <t>Address 248</t>
  </si>
  <si>
    <t>Address 249</t>
  </si>
  <si>
    <t>Address 250</t>
  </si>
  <si>
    <t>Address 251</t>
  </si>
  <si>
    <t>Address 252</t>
  </si>
  <si>
    <t>Address 253</t>
  </si>
  <si>
    <t>Address 254</t>
  </si>
  <si>
    <t>Address 255</t>
  </si>
  <si>
    <t>Address 256</t>
  </si>
  <si>
    <t>Address 257</t>
  </si>
  <si>
    <t>Address 258</t>
  </si>
  <si>
    <t>Address 259</t>
  </si>
  <si>
    <t>Address 260</t>
  </si>
  <si>
    <t>Address 261</t>
  </si>
  <si>
    <t>Address 262</t>
  </si>
  <si>
    <t>Address 263</t>
  </si>
  <si>
    <t>Address 264</t>
  </si>
  <si>
    <t>Address 265</t>
  </si>
  <si>
    <t>Address 266</t>
  </si>
  <si>
    <t>Address 267</t>
  </si>
  <si>
    <t>Address 268</t>
  </si>
  <si>
    <t>Address 269</t>
  </si>
  <si>
    <t>Address 270</t>
  </si>
  <si>
    <t>Address 271</t>
  </si>
  <si>
    <t>Address 272</t>
  </si>
  <si>
    <t>Address 273</t>
  </si>
  <si>
    <t>Address 274</t>
  </si>
  <si>
    <t>Address 275</t>
  </si>
  <si>
    <t>Address 276</t>
  </si>
  <si>
    <t>Address 277</t>
  </si>
  <si>
    <t>Address 278</t>
  </si>
  <si>
    <t>Address 279</t>
  </si>
  <si>
    <t>Address 280</t>
  </si>
  <si>
    <t>Address 281</t>
  </si>
  <si>
    <t>Address 282</t>
  </si>
  <si>
    <t>Address 283</t>
  </si>
  <si>
    <t>Address 284</t>
  </si>
  <si>
    <t>Address 285</t>
  </si>
  <si>
    <t>Address 286</t>
  </si>
  <si>
    <t>Address 287</t>
  </si>
  <si>
    <t>Address 288</t>
  </si>
  <si>
    <t>Address 289</t>
  </si>
  <si>
    <t>Address 290</t>
  </si>
  <si>
    <t>Address 291</t>
  </si>
  <si>
    <t>Address 292</t>
  </si>
  <si>
    <t>Address 293</t>
  </si>
  <si>
    <t>Address 294</t>
  </si>
  <si>
    <t>Address 295</t>
  </si>
  <si>
    <t>Address 296</t>
  </si>
  <si>
    <t>Address 297</t>
  </si>
  <si>
    <t>Address 298</t>
  </si>
  <si>
    <t>Address 299</t>
  </si>
  <si>
    <t>Address 300</t>
  </si>
  <si>
    <t>Address 301</t>
  </si>
  <si>
    <t>Address 302</t>
  </si>
  <si>
    <t>Address 303</t>
  </si>
  <si>
    <t>Address 304</t>
  </si>
  <si>
    <t>Address 305</t>
  </si>
  <si>
    <t>Address 306</t>
  </si>
  <si>
    <t>Address 307</t>
  </si>
  <si>
    <t>Address 308</t>
  </si>
  <si>
    <t>Address 309</t>
  </si>
  <si>
    <t>Address 310</t>
  </si>
  <si>
    <t>Address 311</t>
  </si>
  <si>
    <t>Address 312</t>
  </si>
  <si>
    <t>Address 313</t>
  </si>
  <si>
    <t>Address 314</t>
  </si>
  <si>
    <t>Address 315</t>
  </si>
  <si>
    <t>Address 316</t>
  </si>
  <si>
    <t>Address 317</t>
  </si>
  <si>
    <t>Address 318</t>
  </si>
  <si>
    <t>Address 319</t>
  </si>
  <si>
    <t>Address 320</t>
  </si>
  <si>
    <t>Address 321</t>
  </si>
  <si>
    <t>Address 322</t>
  </si>
  <si>
    <t>Address 323</t>
  </si>
  <si>
    <t>Address 324</t>
  </si>
  <si>
    <t>Address 325</t>
  </si>
  <si>
    <t>Address 326</t>
  </si>
  <si>
    <t>Address 327</t>
  </si>
  <si>
    <t>Address 328</t>
  </si>
  <si>
    <t>Address 329</t>
  </si>
  <si>
    <t>Address 330</t>
  </si>
  <si>
    <t>Address 331</t>
  </si>
  <si>
    <t>Address 332</t>
  </si>
  <si>
    <t>Address 333</t>
  </si>
  <si>
    <t>Address 334</t>
  </si>
  <si>
    <t>Address 335</t>
  </si>
  <si>
    <t>Address 336</t>
  </si>
  <si>
    <t>Address 337</t>
  </si>
  <si>
    <t>Address 338</t>
  </si>
  <si>
    <t>Address 339</t>
  </si>
  <si>
    <t>Address 340</t>
  </si>
  <si>
    <t>Address 341</t>
  </si>
  <si>
    <t>Address 342</t>
  </si>
  <si>
    <t>Address 343</t>
  </si>
  <si>
    <t>Address 344</t>
  </si>
  <si>
    <t>Address 345</t>
  </si>
  <si>
    <t>Address 346</t>
  </si>
  <si>
    <t>Address 347</t>
  </si>
  <si>
    <t>Address 348</t>
  </si>
  <si>
    <t>Address 349</t>
  </si>
  <si>
    <t>Address 350</t>
  </si>
  <si>
    <t>Address 351</t>
  </si>
  <si>
    <t>Address 352</t>
  </si>
  <si>
    <t>Address 353</t>
  </si>
  <si>
    <t>Address 354</t>
  </si>
  <si>
    <t>Address 355</t>
  </si>
  <si>
    <t>Address 356</t>
  </si>
  <si>
    <t>Address 357</t>
  </si>
  <si>
    <t>Address 358</t>
  </si>
  <si>
    <t>Address 359</t>
  </si>
  <si>
    <t>Address 360</t>
  </si>
  <si>
    <t>Address 361</t>
  </si>
  <si>
    <t>Address 362</t>
  </si>
  <si>
    <t>Address 363</t>
  </si>
  <si>
    <t>Address 364</t>
  </si>
  <si>
    <t>Address 365</t>
  </si>
  <si>
    <t>Address 366</t>
  </si>
  <si>
    <t>Address 367</t>
  </si>
  <si>
    <t>Address 368</t>
  </si>
  <si>
    <t>Address 369</t>
  </si>
  <si>
    <t>Address 370</t>
  </si>
  <si>
    <t>Address 371</t>
  </si>
  <si>
    <t>Address 372</t>
  </si>
  <si>
    <t>Address 373</t>
  </si>
  <si>
    <t>Address 374</t>
  </si>
  <si>
    <t>Address 375</t>
  </si>
  <si>
    <t>Address 376</t>
  </si>
  <si>
    <t>Address 377</t>
  </si>
  <si>
    <t>Address 378</t>
  </si>
  <si>
    <t>Address 379</t>
  </si>
  <si>
    <t>Category</t>
  </si>
  <si>
    <t>Coffee</t>
  </si>
  <si>
    <t>Sandwich</t>
  </si>
  <si>
    <t>Hot-Dog</t>
  </si>
  <si>
    <t>Gastro Waste</t>
  </si>
  <si>
    <t>Drygoods Waste</t>
  </si>
  <si>
    <t>Kútkód</t>
  </si>
  <si>
    <t>Cím</t>
  </si>
  <si>
    <t>Budapest, Mészáros u. 19. (I.)</t>
  </si>
  <si>
    <t>Budapest, Árpád fejedelem út 103. (III.)</t>
  </si>
  <si>
    <t>Budapest, Napfény u. 26. (IX.)</t>
  </si>
  <si>
    <t>Budapest, Istenhegyi u. 45-47. (XII.)</t>
  </si>
  <si>
    <t>Budapest, Róna u. 170. (XIV.)</t>
  </si>
  <si>
    <t>Budapest, Kossuth L. u. 3. (XXI.)</t>
  </si>
  <si>
    <t>Budapest, Pap Károly u. (XIII.)</t>
  </si>
  <si>
    <t>Budapest, Pesti út. 5. (XVII.)</t>
  </si>
  <si>
    <t>Budapest, Borszéki u.</t>
  </si>
  <si>
    <t>Budapest, Vágány u. 21. (XIV.)</t>
  </si>
  <si>
    <t>Budapest, Irinyi u. 45. (XI.)</t>
  </si>
  <si>
    <t>Budapest, Mozaik u.3. (III.)</t>
  </si>
  <si>
    <t>Budapest, Ócsai u. kimenő (XXIII.)</t>
  </si>
  <si>
    <t>Budapest, Arany J. u. 106. (XVI.)</t>
  </si>
  <si>
    <t>Budapest, Fóti út 130. (IV.)</t>
  </si>
  <si>
    <t>Budapest, Puskás F. u. (XIX.)</t>
  </si>
  <si>
    <t>Budapest, Hunyadi János út 2. (XI.)</t>
  </si>
  <si>
    <t>Budapest, Nagykőrösi út (XIX.)</t>
  </si>
  <si>
    <t>Budapest, Hűvösvölgyi út 136. (II.)</t>
  </si>
  <si>
    <t>Budapest, Rétköz utca (XI.)</t>
  </si>
  <si>
    <t>Budapest, Kőbányai út 55. (X.)</t>
  </si>
  <si>
    <t>Budapest, Futó u. (VIII.)</t>
  </si>
  <si>
    <t>Budapest, Váci út 178. (XIII.)</t>
  </si>
  <si>
    <t>Budapest, Prielle Kornélia u. (XI.)</t>
  </si>
  <si>
    <t>Budapest, Hős u. 9. (VIII.)</t>
  </si>
  <si>
    <t>Budapest, Veres Péter út 105-107.(XVI.)</t>
  </si>
  <si>
    <t>Budapest, Üllői út 661. (XVIII.)</t>
  </si>
  <si>
    <t>Budapest, Szent István út (XXI.)</t>
  </si>
  <si>
    <t>Budapest, Hungária krt.83-85. (XIV.)</t>
  </si>
  <si>
    <t>Budapest, Golgota tér (VIII.)</t>
  </si>
  <si>
    <t>Budapest, Bogáncs u. (XV.)</t>
  </si>
  <si>
    <t>Budapest, Nagytétényi út 74-76.</t>
  </si>
  <si>
    <t>Nagykáta, Ady Endre u.</t>
  </si>
  <si>
    <t>Érd, Ercsi út 26297/2 hrsz.</t>
  </si>
  <si>
    <t>Érd, Budai út I.</t>
  </si>
  <si>
    <t>Kiskunlacháza, Hatház u. 2.</t>
  </si>
  <si>
    <t>Leányfalu, Móricz Zsigmond út 165.</t>
  </si>
  <si>
    <t>Vác, Diadal tér</t>
  </si>
  <si>
    <t>Gödöllő, Szabadság u.12.</t>
  </si>
  <si>
    <t>Gödöllő, Pattantyús Ábrahám krt. 4.</t>
  </si>
  <si>
    <t>Veresegyház, Fő u.</t>
  </si>
  <si>
    <t>Dabas, 50.sz. fkl. út</t>
  </si>
  <si>
    <t>Visegrád, 11.sz. fkl. út</t>
  </si>
  <si>
    <t>Pomáz, Árpád fejedelem u.</t>
  </si>
  <si>
    <t>Gyál, Körösi út</t>
  </si>
  <si>
    <t>Nagymaros, Váci út 119.</t>
  </si>
  <si>
    <t>Szigethalom, Petőfi Sándor u.</t>
  </si>
  <si>
    <t>Szigetszentmiklós, Petőfi Sándor u.139.</t>
  </si>
  <si>
    <t>Isaszeg, Rákóczi u. 455 hrsz.</t>
  </si>
  <si>
    <t>Monor, 4.sz. fkl. út (Katalin Csárda)</t>
  </si>
  <si>
    <t>Érd, Budai út II.</t>
  </si>
  <si>
    <t>Százhalombatta, Bekötő út</t>
  </si>
  <si>
    <t>Szentendre, Vasúti villasor 6.</t>
  </si>
  <si>
    <t>Budaörs, Repülőtér (Kinizsi u. 4047/2 hrsz.)</t>
  </si>
  <si>
    <t>Budakeszi, Temető út 2405 hrsz.</t>
  </si>
  <si>
    <t>Fót, Keleti Márton út</t>
  </si>
  <si>
    <t>Ráckeve, Kossuth L. u.</t>
  </si>
  <si>
    <t>Balassagyarmat, Kóvári út</t>
  </si>
  <si>
    <t>Rétság, Rákóczi u. 61.</t>
  </si>
  <si>
    <t>Salgótarján, Budapesti u. 27.</t>
  </si>
  <si>
    <t>Szécsény, Salgótarjáni út</t>
  </si>
  <si>
    <t>Galgaguta, Kossuth út 26/c.</t>
  </si>
  <si>
    <t>Bátonyterenye, 21.sz. fkl. út</t>
  </si>
  <si>
    <t>Diósd, Tétényi u. 2. (3666/1 hrsz.)</t>
  </si>
  <si>
    <t>Törökbálint, M0 autópálya 6 km. szelv.</t>
  </si>
  <si>
    <t>Vecsés, M0 I. (jobb)</t>
  </si>
  <si>
    <t>Vecsés, M0 II. (bal)</t>
  </si>
  <si>
    <t>Gyömrő, Mendei út</t>
  </si>
  <si>
    <t>Budaörs, METRO</t>
  </si>
  <si>
    <t>Aszód, Pesti út 3.</t>
  </si>
  <si>
    <t>Pécel, Köztársaság tér 10.</t>
  </si>
  <si>
    <t>Kerepes, Szabadság út</t>
  </si>
  <si>
    <t>Mogyoród, Hungaroring</t>
  </si>
  <si>
    <t>Vác, Balassagyarmati út</t>
  </si>
  <si>
    <t>M1autópálya, 22-es km I. (jobb oldal)</t>
  </si>
  <si>
    <t>M1autópálya, 22-es km II. (bal oldal)</t>
  </si>
  <si>
    <t>Ercsi, M6 I. (kimenő) (M6 külterület 30 km sz.)</t>
  </si>
  <si>
    <t>Pilisvörösvár, 10.sz. fkl. út (0140/31 hrsz.)</t>
  </si>
  <si>
    <t>Ercsi, M6 II. (bejövő) (M6 külterület 30 km sz.)</t>
  </si>
  <si>
    <t>Szatymaz, M5 autópálya 151,5 km jobb oldal</t>
  </si>
  <si>
    <t>Szatymaz, M5 autópálya 151,5 km bal oldal</t>
  </si>
  <si>
    <t>Adony, 6.sz. fkl. út</t>
  </si>
  <si>
    <t>Dunaújváros, 6.sz. fkl.út</t>
  </si>
  <si>
    <t>Velence, M7 autópálya I. 44-45 km.</t>
  </si>
  <si>
    <t>Velence, M7 autópálya II. 46-45 km.</t>
  </si>
  <si>
    <t>Bicske, Botond tér</t>
  </si>
  <si>
    <t>Dég, 64.sz. fkl.út</t>
  </si>
  <si>
    <t>Székesfehérvár, Balatoni út 143/A.</t>
  </si>
  <si>
    <t>Gárdony, Szabadság u.</t>
  </si>
  <si>
    <t>Mór, Nemes utca (81.sz. út)</t>
  </si>
  <si>
    <t>Sárbogárd, Köztársaság út 147.</t>
  </si>
  <si>
    <t>Beled, 86.sz. fkl. út</t>
  </si>
  <si>
    <t>Csorna, Soproni út</t>
  </si>
  <si>
    <t>Győr, Budai út (Mártírok u.)</t>
  </si>
  <si>
    <t>Kapuvár, Győri út</t>
  </si>
  <si>
    <t>Sopron, Kőfaragó tér</t>
  </si>
  <si>
    <t>Rajka, Bem József u.</t>
  </si>
  <si>
    <t>Nagycenk, 84.sz. fkl. út</t>
  </si>
  <si>
    <t>Győr, Nagymegyeri út (volt Galántai)</t>
  </si>
  <si>
    <t>Sopron, Határátkelő I. (kimenő)</t>
  </si>
  <si>
    <t>Győr, Tatai út</t>
  </si>
  <si>
    <t>Mosonmagyaróvár, M1-M15 autópálya I.</t>
  </si>
  <si>
    <t>Mosonmagyaróvár, M1-M15 autópálya II.</t>
  </si>
  <si>
    <t>Lövő Kőszegi út 1252 hrsz.</t>
  </si>
  <si>
    <t>Dorog, Bécsi út</t>
  </si>
  <si>
    <t>Tata, Vértesszőlősi út (bal oldal)</t>
  </si>
  <si>
    <t>Tatabánya, Kossuth Lajos u.</t>
  </si>
  <si>
    <t>Esztergom, Dorogi út (111.sz. fkl. út)</t>
  </si>
  <si>
    <t>Esztergom, Visegrádi út</t>
  </si>
  <si>
    <t>Komárom, Mártírok útja 82.</t>
  </si>
  <si>
    <t>Tatabánya, Győri út</t>
  </si>
  <si>
    <t>Celldömölk, Ostffy tér</t>
  </si>
  <si>
    <t>Körmend, Rákóczi Ferenc út</t>
  </si>
  <si>
    <t>Sárvár, Vágóhíd u. 1.</t>
  </si>
  <si>
    <t>Vasvár, Járdányi professzor utca 29.</t>
  </si>
  <si>
    <t>Kám, Jókai Mór út 2.</t>
  </si>
  <si>
    <t>Szentgotthárd, Rábafüzesi út 1.</t>
  </si>
  <si>
    <t>Kőszeg, Petőfi Sándor tér</t>
  </si>
  <si>
    <t>Szombathely, Zanati út II.</t>
  </si>
  <si>
    <t>Rábafüzes, 8.sz. út</t>
  </si>
  <si>
    <t>Badacsony, 71.sz. föút</t>
  </si>
  <si>
    <t>Bakonygyepes, 8.sz. fkl. út</t>
  </si>
  <si>
    <t>Balatonfüred, Széchenyi István út</t>
  </si>
  <si>
    <t>Balatonakarattya, 71.sz. föút</t>
  </si>
  <si>
    <t>Devecser, Pápai út</t>
  </si>
  <si>
    <t>Nagyvázsony, Templom kert</t>
  </si>
  <si>
    <t>Pápa, Győri út</t>
  </si>
  <si>
    <t>Sümeg, Alkotmány u.</t>
  </si>
  <si>
    <t>Tapolca, Keszthelyi u.</t>
  </si>
  <si>
    <t>Várpalota, 8.sz. fkl. út I. (jobb)</t>
  </si>
  <si>
    <t>Veszprém, Budapest út 74.</t>
  </si>
  <si>
    <t>Zirc, Kossuth Lajos út</t>
  </si>
  <si>
    <t>Balatonalmádi, Fűzfői út 5. (71-es út)</t>
  </si>
  <si>
    <t>Ajka, Fő út 1317 hrsz.</t>
  </si>
  <si>
    <t>Pápa, Jókai út</t>
  </si>
  <si>
    <t>Tapolca, Kossuth út</t>
  </si>
  <si>
    <t>Szekszárd, Pásztor út 6.</t>
  </si>
  <si>
    <t>Harkány, Pécsi út</t>
  </si>
  <si>
    <t>Szigetvár, József Attila u. 66.</t>
  </si>
  <si>
    <t>Sásd, Szent Imre út 42.</t>
  </si>
  <si>
    <t>Mohács, Eszéki út</t>
  </si>
  <si>
    <t>Pécs, 6.sz. fkl. út (Cserkút)</t>
  </si>
  <si>
    <t>Komló, Pécsi út 2350/1 hrsz.</t>
  </si>
  <si>
    <t>Pécsvárad, 6.sz. fkl.út</t>
  </si>
  <si>
    <t>Villány, Virágosi út 0102 hrsz.</t>
  </si>
  <si>
    <t>Siklós, Malom utca 1.</t>
  </si>
  <si>
    <t>Pécs, Maléter Pál u. 21169 hrsz.</t>
  </si>
  <si>
    <t>Pécs, Siklósi út 9.</t>
  </si>
  <si>
    <t>Pécs, Szigeti út</t>
  </si>
  <si>
    <t>Pécs, Endresz út</t>
  </si>
  <si>
    <t>Balatonlelle, Rákóczi Ferenc u. 3064/6 hrsz.</t>
  </si>
  <si>
    <t>Balatonlelle, M7 I. (kimenő)</t>
  </si>
  <si>
    <t>Balatonlelle, M7 II. (bejövő)</t>
  </si>
  <si>
    <t>Fonyód, József Attila u. (Bélatelep)</t>
  </si>
  <si>
    <t>Kadarkút, Kaposvári u.</t>
  </si>
  <si>
    <t>Kaposvár, Vásár tér</t>
  </si>
  <si>
    <t>Nagyatád, Lábodi út</t>
  </si>
  <si>
    <t>Tab, Siófoki út</t>
  </si>
  <si>
    <t>Zamárdi, Endrédi út</t>
  </si>
  <si>
    <t>Kaposvár, Guba Sándor u.</t>
  </si>
  <si>
    <t>Marcali, Noszlopy Gáspár u. 37.</t>
  </si>
  <si>
    <t>Böhönye, Szabadság u.</t>
  </si>
  <si>
    <t>Balatonföldvár, Szentgyörgyi út</t>
  </si>
  <si>
    <t>Siófok, Wesselényi u. 106.</t>
  </si>
  <si>
    <t>Barcs, Erkel Ferenc utca 1931 hrsz.</t>
  </si>
  <si>
    <t>Kaposvár, Füredi út 180.</t>
  </si>
  <si>
    <t>Bonyhád, Zrínyi Miklós u. 25.</t>
  </si>
  <si>
    <t>Dombóvár, Köztársaság u. 27. (Tüskevár)</t>
  </si>
  <si>
    <t>Tamási, Szabadság u. 90.</t>
  </si>
  <si>
    <t>Paks, 6.sz. fkl. út bal</t>
  </si>
  <si>
    <t>Szekszárd, M6 I. jobb oldal</t>
  </si>
  <si>
    <t>Szekszárd, M6 II. bal oldal</t>
  </si>
  <si>
    <t>Dunaföldvár, 6-os út</t>
  </si>
  <si>
    <t>Bátaszék, Budai út 114-116.</t>
  </si>
  <si>
    <t>Szekszárd, Csatári Torok</t>
  </si>
  <si>
    <t>Dunaharaszti, Fő út</t>
  </si>
  <si>
    <t>Letenye, Bajcsy-Zsilinszky Endre u.</t>
  </si>
  <si>
    <t>Nagykanizsa, Camping</t>
  </si>
  <si>
    <t>Zalaegerszeg, Balatoni út I.</t>
  </si>
  <si>
    <t>Keszthely, Tapolcai út</t>
  </si>
  <si>
    <t>Keszthely, Festetics György u.</t>
  </si>
  <si>
    <t>Hévíz, Hévízi út</t>
  </si>
  <si>
    <t>Nagykanizsa, Elkerülő út</t>
  </si>
  <si>
    <t>Rédics, 86.sz. fkl. út</t>
  </si>
  <si>
    <t>Lenti, Széchenyi tér 3.</t>
  </si>
  <si>
    <t>Dévaványa, Sport u. 5.</t>
  </si>
  <si>
    <t>Gyula, Csabai út</t>
  </si>
  <si>
    <t>Nagyszénás, Orosházi út</t>
  </si>
  <si>
    <t>Sarkad, Vásár tér 1-3</t>
  </si>
  <si>
    <t>Orosháza, Elkerülő</t>
  </si>
  <si>
    <t>Mezőkovácsháza, Vásárhelyi Sándor u. 1.</t>
  </si>
  <si>
    <t>Mezőhegyes, Kinizsi tér 1.</t>
  </si>
  <si>
    <t>Békéscsaba, Szegedi út</t>
  </si>
  <si>
    <t>Orosháza, Kettőssánc tér</t>
  </si>
  <si>
    <t>Békéscsaba, Sportcsarnok, Gyulai út</t>
  </si>
  <si>
    <t>Mezőberény, Békési út</t>
  </si>
  <si>
    <t>Gyomaendrőd, Fő út</t>
  </si>
  <si>
    <t>Szeghalom, Ady Endre út</t>
  </si>
  <si>
    <t>Csongrád, Szentesi út</t>
  </si>
  <si>
    <t>Hódmezővásárhely, Tóalj út</t>
  </si>
  <si>
    <t>Kistelek, 5.sz. fkl.út jobb oldal</t>
  </si>
  <si>
    <t>Szeged, 47.sz. fkl. út (Algyő Pf.:11)</t>
  </si>
  <si>
    <t>Szentes, Attila út</t>
  </si>
  <si>
    <t>Szeged, Dorozsmai út 20.</t>
  </si>
  <si>
    <t>Szeged, Kálvária sugárút 96.</t>
  </si>
  <si>
    <t>M43, Szent Gellért Pihenőhely</t>
  </si>
  <si>
    <t>Karcag, Gyarmati u.</t>
  </si>
  <si>
    <t>Kisújszállás, 4.sz. fkl. út</t>
  </si>
  <si>
    <t>Mezőtúr, Balassi Bálint u.</t>
  </si>
  <si>
    <t>Szolnok, Gábor Áron tér</t>
  </si>
  <si>
    <t>Szolnok, Abonyi út</t>
  </si>
  <si>
    <t>Szolnok, Pozsonyi út</t>
  </si>
  <si>
    <t>Jászberény, Szolnoki u.</t>
  </si>
  <si>
    <t>Túrkeve, Kisújszállási u.</t>
  </si>
  <si>
    <t>Kunszentmárton, Szentesi út</t>
  </si>
  <si>
    <t>Jászberény, Nagykátai út</t>
  </si>
  <si>
    <t>Abony, Radák u.</t>
  </si>
  <si>
    <t>Cegléd, Pesti út 87.</t>
  </si>
  <si>
    <t>Cegléd, 4.sz. fkl út 66 km jobb oldal I.</t>
  </si>
  <si>
    <t>Cegléd, 4.sz. fkl út 66 km bal oldal II.</t>
  </si>
  <si>
    <t>Cegléd, Nagykőrösi út</t>
  </si>
  <si>
    <t>Szolnok, Elkerülő út</t>
  </si>
  <si>
    <t>Kunhegyes, Kossuth Lajos u. 74-78.</t>
  </si>
  <si>
    <t>Fegyvernek, 4.sz. fkl. út</t>
  </si>
  <si>
    <t>Karcag, Madarasi út</t>
  </si>
  <si>
    <t>Tiszafüred, Ady Endre út</t>
  </si>
  <si>
    <t>Kecskemét, Katona József tér</t>
  </si>
  <si>
    <t>Bácsalmás, Backnang út 7.</t>
  </si>
  <si>
    <t>Kunszentmiklós, Szabadság u. 30.</t>
  </si>
  <si>
    <t>Tiszakécske, Szolnoki u.</t>
  </si>
  <si>
    <t>Kecskemét, Budai u.</t>
  </si>
  <si>
    <t>Lajosmizse, 50.sz. út jobb oldal</t>
  </si>
  <si>
    <t>Kiskunmajsa, Halasi u. 99. 3039/2 hrsz.</t>
  </si>
  <si>
    <t>Solt, Vecsei u. 52.</t>
  </si>
  <si>
    <t>Kiskunhalas, Majsai út 18.</t>
  </si>
  <si>
    <t>Kecskemét, Békéscsabai út</t>
  </si>
  <si>
    <t>Kiskunfélegyháza, Csongrádi út 18/a</t>
  </si>
  <si>
    <t>Kecskemét, M5 autópálya bal</t>
  </si>
  <si>
    <t>Kecskemét, M5 autópálya jobb</t>
  </si>
  <si>
    <t>Kecel, Császártöltési u. 50.</t>
  </si>
  <si>
    <t>Kiskőrös, Petőfi S. u. 94.</t>
  </si>
  <si>
    <t>Kalocsa, Negyvennyolcas út</t>
  </si>
  <si>
    <t>Fülöpszállás, Kurjantópuszta (52. sz. főút)</t>
  </si>
  <si>
    <t>Szentendre, Dózsa György út 20.</t>
  </si>
  <si>
    <t>Kazincbarcika, Mucsonyi út</t>
  </si>
  <si>
    <t>Tiszaújváros, 35.sz. fkl. út</t>
  </si>
  <si>
    <t>Mezőkövesd, Nyárádi út</t>
  </si>
  <si>
    <t>Putnok, 26.sz. fkl. út</t>
  </si>
  <si>
    <t>Sajószentpéter, Kossuth Lajos út</t>
  </si>
  <si>
    <t>Tokaj, Tarcali út 86.</t>
  </si>
  <si>
    <t>Sárospatak, Wesselényi Miklós út</t>
  </si>
  <si>
    <t>Mezőcsát, Nyékládházi út</t>
  </si>
  <si>
    <t>Ózd, Vasvár út (25 -ös út)</t>
  </si>
  <si>
    <t>Edelény, 27.sz. fkl. út</t>
  </si>
  <si>
    <t>Encs, 3.sz. fkl.út</t>
  </si>
  <si>
    <t>Sátoraljaújhely, Várhegy utca</t>
  </si>
  <si>
    <t>Miskolc, Búza tér</t>
  </si>
  <si>
    <t>Miskolc, Pesti út II. (kimenő)</t>
  </si>
  <si>
    <t>Miskolc, Pesti út I.(bemenő)</t>
  </si>
  <si>
    <t>Felsőzsolca, 3.sz. fkl. út 2034/14 hrsz.</t>
  </si>
  <si>
    <t>Biharkeresztes, 42. sz. fkl. út</t>
  </si>
  <si>
    <t>Hajdúböszörmény, Külső-Debreceni út 1.</t>
  </si>
  <si>
    <t>Hajdúszoboszló, Debreceni út</t>
  </si>
  <si>
    <t>Polgár, Hajdú u. 16. (Munkácsy út)</t>
  </si>
  <si>
    <t>Komádi, Szent István út 35/A.</t>
  </si>
  <si>
    <t>Vámospércs, Debreceni út</t>
  </si>
  <si>
    <t>Püspökladány, Keleti sor 17.</t>
  </si>
  <si>
    <t>Hosszúpályi, Földvár u. 1/a.</t>
  </si>
  <si>
    <t>Hajdúdorog, Böszörményi út 85.</t>
  </si>
  <si>
    <t>Téglás, 4.sz. fkl. út</t>
  </si>
  <si>
    <t>Berettyóújfalu, 47.sz. fkl.út</t>
  </si>
  <si>
    <t>Hajdúnánás, Tiszavasvári út</t>
  </si>
  <si>
    <t>Görbeháza M3 I. jobb oldal</t>
  </si>
  <si>
    <t>Görbeháza M3 II. bal oldal</t>
  </si>
  <si>
    <t>Debrecen, Benedek tér</t>
  </si>
  <si>
    <t>Debrecen, Segner tér</t>
  </si>
  <si>
    <t>Debrecen, Mikepércsi út I. (kimenő)</t>
  </si>
  <si>
    <t>Debrecen, Mikepércsi út II. (bejövő)</t>
  </si>
  <si>
    <t>Debrecen, Sámsoni út</t>
  </si>
  <si>
    <t>Debrecen, Böszörményi út</t>
  </si>
  <si>
    <t>Eger, Kővágó tér</t>
  </si>
  <si>
    <t>Eger, Mátyás király út 169.</t>
  </si>
  <si>
    <t>Gyöngyös, Alkotmány út 19.</t>
  </si>
  <si>
    <t>Hatvan, Rákóczi út</t>
  </si>
  <si>
    <t>Kápolna, 3.sz. fkl. út</t>
  </si>
  <si>
    <t>Füzesabony, Maklári út</t>
  </si>
  <si>
    <t>Parádfürdő, 24.sz. fkl. út</t>
  </si>
  <si>
    <t>Hatvan, M3 I.</t>
  </si>
  <si>
    <t>Hatvan, M3 II.</t>
  </si>
  <si>
    <t>Heves, Császi u. 29</t>
  </si>
  <si>
    <t>Gyöngyös, Pesti út</t>
  </si>
  <si>
    <t>Rekettyés pihenőhely, M3 I.</t>
  </si>
  <si>
    <t>Rekettyés pihenőhely, M3 II.</t>
  </si>
  <si>
    <t>Pétervására, Orgona út 6.</t>
  </si>
  <si>
    <t>Baktalórántháza, 41.sz. főút</t>
  </si>
  <si>
    <t>Csenger, Ady Endre u.</t>
  </si>
  <si>
    <t>Kisvárda, Attila út</t>
  </si>
  <si>
    <t>Mátészalka, Vásár tér 5.</t>
  </si>
  <si>
    <t>Nyírbátor, Császári út</t>
  </si>
  <si>
    <t>Nyíregyháza, Széna tér</t>
  </si>
  <si>
    <t>Vásárosnamény, Nyíregyházi út 1.</t>
  </si>
  <si>
    <t>Újfehértó, 4.sz. fkl. út</t>
  </si>
  <si>
    <t>Tiszalök, Táncsics Mihály u. 86.</t>
  </si>
  <si>
    <t>Záhony, 4.sz. fkl. út</t>
  </si>
  <si>
    <t>Nyíregyháza, Tokaji út (Repülőtér)</t>
  </si>
  <si>
    <t>Fehérgyarmat, Alkotmány út 31.</t>
  </si>
  <si>
    <t>Budapest, Gémeskút u. 12. (III.)</t>
  </si>
  <si>
    <t>Budapest, Szentendrei út 100. (III.)</t>
  </si>
  <si>
    <t>Budapest, Szentendrei út 255. (III.)</t>
  </si>
  <si>
    <t>Budapest, Váci út 84-90. (IV.)</t>
  </si>
  <si>
    <t>Budapest, Kerepesi út 5-7. (VIII.)</t>
  </si>
  <si>
    <t>Budapest, Gyáli út 38236/441 (IX.)</t>
  </si>
  <si>
    <t>Budapest, Könyves Kálmán krt. 23. (X.)</t>
  </si>
  <si>
    <t>Budapest, Nagyszőlős u. 47-49. (XI.)</t>
  </si>
  <si>
    <t>Budapest, Mezőkövesd út 11.</t>
  </si>
  <si>
    <t>Budapest, Váci út 19. (XIII.)</t>
  </si>
  <si>
    <t>Budapest, Csömöri út 27/A (XIV.)</t>
  </si>
  <si>
    <t>Budapest, Szentmihályi út 148. (XV.)</t>
  </si>
  <si>
    <t>Budapest, Cinkotai út (XVII.)</t>
  </si>
  <si>
    <t>Budapest, Ady Endre út 22-26. (XIX.)</t>
  </si>
  <si>
    <t>Budapest, Üllői út 303. (XIX.) Vas Gereben</t>
  </si>
  <si>
    <t>Budapest, Ady Endre út 67. (XX.)</t>
  </si>
  <si>
    <t>Kecskemét, Izsáki u. 67.</t>
  </si>
  <si>
    <t>Kecskemét, Izsáki út 12/a</t>
  </si>
  <si>
    <t>Lakitelek, Szikra u. 206/c</t>
  </si>
  <si>
    <t>Baja, Dózsa Gy. u. 97.</t>
  </si>
  <si>
    <t>Szentlőrinc, Törökföld u. 1033 hrsz.</t>
  </si>
  <si>
    <t>Szarvas, Szabadság út 51-53.</t>
  </si>
  <si>
    <t>Békéscsaba, Corvin u. 31.</t>
  </si>
  <si>
    <t>Miskolc, Újgyőri főtér 3.</t>
  </si>
  <si>
    <t>Kazincbarcika, 26.sz. főút</t>
  </si>
  <si>
    <t>Szerencs, Gyár út 38.</t>
  </si>
  <si>
    <t>Szeged, Dorozsmai út 16.</t>
  </si>
  <si>
    <t>Szeged, Makkosházi krt. 6.</t>
  </si>
  <si>
    <t>Szeged, Vásárhelyi Pál u. 25444 hrsz.</t>
  </si>
  <si>
    <t>Székesfehérvár, Szent Flórián krt. 5.</t>
  </si>
  <si>
    <t>Székesfehérvár, Seregélyesi út 121/A.</t>
  </si>
  <si>
    <t>Sárkeresztes, 0133. (81.sz. főút)</t>
  </si>
  <si>
    <t>Füle, M7 autópálya 83 km (észak)</t>
  </si>
  <si>
    <t>Füle, M7 autópálya 83 km (dél)</t>
  </si>
  <si>
    <t>Győr, Szent Imre u. 55.</t>
  </si>
  <si>
    <t>Győrújbarát, M1 autópálya 119. km</t>
  </si>
  <si>
    <t>Abda, Bécsi u. 1.</t>
  </si>
  <si>
    <t>Mosonmagyaróvár, Királyhidai út 51.</t>
  </si>
  <si>
    <t>Hegyeshalom, Fő út 1.</t>
  </si>
  <si>
    <t>Sopron, Győri út 42.</t>
  </si>
  <si>
    <t>Berettyóújfalu, 42-47 főút körforg</t>
  </si>
  <si>
    <t>Eger, Kistályai út 1.</t>
  </si>
  <si>
    <t>Martfű, Földvári út 4.</t>
  </si>
  <si>
    <t>Oroszlány, Rákóczi Ferenc út 94/A</t>
  </si>
  <si>
    <t>Budaörs, Garibaldi u. 2.</t>
  </si>
  <si>
    <t>Törökbálint, Raktárvárosi u. 3.</t>
  </si>
  <si>
    <t>Diósd, Balatoni út 11.</t>
  </si>
  <si>
    <t>Piliscsaba, 10.sz. főút</t>
  </si>
  <si>
    <t>Budakeszi, Budaörsi u. 2749/8 hrsz.</t>
  </si>
  <si>
    <t>Dunakeszi, 2.sz. főút</t>
  </si>
  <si>
    <t>Vecsés, Fő út 6011/2 hrsz.</t>
  </si>
  <si>
    <t>Nagykőrös, Téglagyári u. 1/A</t>
  </si>
  <si>
    <t>Nyíregyháza, László u. (Hunyadi út)</t>
  </si>
  <si>
    <t>Simontornya, Belterület 1326/3 hrsz.</t>
  </si>
  <si>
    <t>Tolna-Mözs, Béri Balogh Ádám u. 4.</t>
  </si>
  <si>
    <t>Szombathely, Viktória út 1.</t>
  </si>
  <si>
    <t>Szombathely, Márkus Emília u. 10.</t>
  </si>
  <si>
    <t>Várpalota, 8.sz. főút</t>
  </si>
  <si>
    <t>Veszprém, Almádi u.</t>
  </si>
  <si>
    <t>Balatonederics, 71.sz. főút 069 hrsz.</t>
  </si>
  <si>
    <t>Siófok, M7 autópálya 94. km (észak)</t>
  </si>
  <si>
    <t>Siófok, M7 autópálya 94. km (dél)</t>
  </si>
  <si>
    <t>Zalaegerszeg, Göcseji u. 37/A</t>
  </si>
  <si>
    <t>Pécs, Pécsváradi út 12.</t>
  </si>
  <si>
    <t>Veszprém, Pápai út 42.</t>
  </si>
  <si>
    <t>Fresh Corner Café Public</t>
  </si>
  <si>
    <t>Fresh Corner Café MOL</t>
  </si>
  <si>
    <t>Fresh Corner Café Corvinus Ménesi</t>
  </si>
  <si>
    <t>Fresh Corner Café Blaha</t>
  </si>
  <si>
    <t>Százhalombatta, DUFI Olajmunkás út 2.</t>
  </si>
  <si>
    <t>Vajszló, Széchenyi István út 34.</t>
  </si>
  <si>
    <t>Tolna, Szedresi u.</t>
  </si>
  <si>
    <t>Szabadszállás, Petőfi Sándor út 19.</t>
  </si>
  <si>
    <t>SES Code:</t>
  </si>
  <si>
    <t>Business Performance Indicator</t>
  </si>
  <si>
    <t>d</t>
  </si>
  <si>
    <t>SES Region:</t>
  </si>
  <si>
    <t>Partner:</t>
  </si>
  <si>
    <t>Relative Measures</t>
  </si>
  <si>
    <t>Quantities</t>
  </si>
  <si>
    <t>Actual</t>
  </si>
  <si>
    <t>Category Average</t>
  </si>
  <si>
    <t>Actual/Category Average %</t>
  </si>
  <si>
    <t>SES Code</t>
  </si>
  <si>
    <t>Kategória</t>
  </si>
  <si>
    <t>Service Enabling System Address</t>
  </si>
  <si>
    <t>Regional Manager</t>
  </si>
  <si>
    <t>Area Manager</t>
  </si>
  <si>
    <t>Partner Name</t>
  </si>
  <si>
    <t>Coffee / Category Quotient %</t>
  </si>
  <si>
    <t>Sandwich / Category Quotient %</t>
  </si>
  <si>
    <t>Hot-Dog / Category Difference %</t>
  </si>
  <si>
    <t>Gastro Waste / Category Difference %</t>
  </si>
  <si>
    <t>Drygoods / Category Difference %</t>
  </si>
  <si>
    <t>SES Address 1</t>
  </si>
  <si>
    <t>Regional Manager 1</t>
  </si>
  <si>
    <t>Area Manager 1</t>
  </si>
  <si>
    <t>Partner 1</t>
  </si>
  <si>
    <t>SES Address 2</t>
  </si>
  <si>
    <t>Partner 2</t>
  </si>
  <si>
    <t>SES Address 3</t>
  </si>
  <si>
    <t>Area Manager 3</t>
  </si>
  <si>
    <t>Partner 3</t>
  </si>
  <si>
    <t>SES Address 4</t>
  </si>
  <si>
    <t>Partner 4</t>
  </si>
  <si>
    <t>SES Address 5</t>
  </si>
  <si>
    <t>Partner 5</t>
  </si>
  <si>
    <t>SES Address 6</t>
  </si>
  <si>
    <t>Area Manager 6</t>
  </si>
  <si>
    <t>Partner 6</t>
  </si>
  <si>
    <t>SES Address 7</t>
  </si>
  <si>
    <t>SES Address 8</t>
  </si>
  <si>
    <t>Partner 8</t>
  </si>
  <si>
    <t>SES Address 9</t>
  </si>
  <si>
    <t>SES Address 10</t>
  </si>
  <si>
    <t>Partner 10</t>
  </si>
  <si>
    <t>SES Address 11</t>
  </si>
  <si>
    <t>Regional Manager 11</t>
  </si>
  <si>
    <t>Area Manager 11</t>
  </si>
  <si>
    <t>Partner 11</t>
  </si>
  <si>
    <t>SES Address 12</t>
  </si>
  <si>
    <t>Partner 12</t>
  </si>
  <si>
    <t>SES Address 13</t>
  </si>
  <si>
    <t>Partner 13</t>
  </si>
  <si>
    <t>SES Address 14</t>
  </si>
  <si>
    <t>Area Manager 14</t>
  </si>
  <si>
    <t>Partner 14</t>
  </si>
  <si>
    <t>SES Address 15</t>
  </si>
  <si>
    <t>Partner 15</t>
  </si>
  <si>
    <t>SES Address 16</t>
  </si>
  <si>
    <t>Area Manager 16</t>
  </si>
  <si>
    <t>Partner 16</t>
  </si>
  <si>
    <t>SES Address 17</t>
  </si>
  <si>
    <t>Partner 17</t>
  </si>
  <si>
    <t>SES Address 18</t>
  </si>
  <si>
    <t>SES Address 19</t>
  </si>
  <si>
    <t>SES Address 20</t>
  </si>
  <si>
    <t>SES Address 21</t>
  </si>
  <si>
    <t>Partner 21</t>
  </si>
  <si>
    <t>SES Address 22</t>
  </si>
  <si>
    <t>SES Address 23</t>
  </si>
  <si>
    <t>SES Address 24</t>
  </si>
  <si>
    <t>SES Address 25</t>
  </si>
  <si>
    <t>SES Address 26</t>
  </si>
  <si>
    <t>SES Address 27</t>
  </si>
  <si>
    <t>Partner 27</t>
  </si>
  <si>
    <t>SES Address 28</t>
  </si>
  <si>
    <t>SES Address 29</t>
  </si>
  <si>
    <t>SES Address 30</t>
  </si>
  <si>
    <t>SES Address 31</t>
  </si>
  <si>
    <t>SES Address 32</t>
  </si>
  <si>
    <t>SES Address 33</t>
  </si>
  <si>
    <t>Regional Manager 33</t>
  </si>
  <si>
    <t>Area Manager 33</t>
  </si>
  <si>
    <t>Partner 33</t>
  </si>
  <si>
    <t>SES Address 34</t>
  </si>
  <si>
    <t>Partner 34</t>
  </si>
  <si>
    <t>SES Address 35</t>
  </si>
  <si>
    <t>SES Address 36</t>
  </si>
  <si>
    <t>Area Manager 36</t>
  </si>
  <si>
    <t>Partner 36</t>
  </si>
  <si>
    <t>SES Address 37</t>
  </si>
  <si>
    <t>Partner 37</t>
  </si>
  <si>
    <t>SES Address 38</t>
  </si>
  <si>
    <t>Partner 38</t>
  </si>
  <si>
    <t>SES Address 39</t>
  </si>
  <si>
    <t>SES Address 40</t>
  </si>
  <si>
    <t>SES Address 41</t>
  </si>
  <si>
    <t>Partner 41</t>
  </si>
  <si>
    <t>SES Address 42</t>
  </si>
  <si>
    <t>SES Address 43</t>
  </si>
  <si>
    <t>SES Address 44</t>
  </si>
  <si>
    <t>SES Address 45</t>
  </si>
  <si>
    <t>SES Address 46</t>
  </si>
  <si>
    <t>SES Address 47</t>
  </si>
  <si>
    <t>Partner 47</t>
  </si>
  <si>
    <t>SES Address 48</t>
  </si>
  <si>
    <t>Partner 48</t>
  </si>
  <si>
    <t>SES Address 49</t>
  </si>
  <si>
    <t>Partner 49</t>
  </si>
  <si>
    <t>SES Address 50</t>
  </si>
  <si>
    <t>SES Address 51</t>
  </si>
  <si>
    <t>SES Address 52</t>
  </si>
  <si>
    <t>SES Address 53</t>
  </si>
  <si>
    <t>SES Address 54</t>
  </si>
  <si>
    <t>Partner 54</t>
  </si>
  <si>
    <t>SES Address 55</t>
  </si>
  <si>
    <t>Partner 55</t>
  </si>
  <si>
    <t>SES Address 56</t>
  </si>
  <si>
    <t>SES Address 57</t>
  </si>
  <si>
    <t>SES Address 58</t>
  </si>
  <si>
    <t>SES Address 59</t>
  </si>
  <si>
    <t>Partner 59</t>
  </si>
  <si>
    <t>SES Address 60</t>
  </si>
  <si>
    <t>Partner 60</t>
  </si>
  <si>
    <t>SES Address 61</t>
  </si>
  <si>
    <t>Partner 61</t>
  </si>
  <si>
    <t>SES Address 62</t>
  </si>
  <si>
    <t>SES Address 63</t>
  </si>
  <si>
    <t>SES Address 64</t>
  </si>
  <si>
    <t>Partner 64</t>
  </si>
  <si>
    <t>SES Address 65</t>
  </si>
  <si>
    <t>SES Address 66</t>
  </si>
  <si>
    <t>Partner 66</t>
  </si>
  <si>
    <t>SES Address 67</t>
  </si>
  <si>
    <t>SES Address 68</t>
  </si>
  <si>
    <t>SES Address 69</t>
  </si>
  <si>
    <t>SES Address 70</t>
  </si>
  <si>
    <t>SES Address 71</t>
  </si>
  <si>
    <t>SES Address 72</t>
  </si>
  <si>
    <t>SES Address 73</t>
  </si>
  <si>
    <t>SES Address 74</t>
  </si>
  <si>
    <t>SES Address 75</t>
  </si>
  <si>
    <t>SES Address 76</t>
  </si>
  <si>
    <t>SES Address 77</t>
  </si>
  <si>
    <t>SES Address 78</t>
  </si>
  <si>
    <t>SES Address 79</t>
  </si>
  <si>
    <t>SES Address 80</t>
  </si>
  <si>
    <t>Area Manager 80</t>
  </si>
  <si>
    <t>Partner 80</t>
  </si>
  <si>
    <t>SES Address 81</t>
  </si>
  <si>
    <t>SES Address 82</t>
  </si>
  <si>
    <t>Partner 82</t>
  </si>
  <si>
    <t>SES Address 83</t>
  </si>
  <si>
    <t>SES Address 84</t>
  </si>
  <si>
    <t>SES Address 85</t>
  </si>
  <si>
    <t>SES Address 86</t>
  </si>
  <si>
    <t>SES Address 87</t>
  </si>
  <si>
    <t>Partner 87</t>
  </si>
  <si>
    <t>SES Address 88</t>
  </si>
  <si>
    <t>Partner 88</t>
  </si>
  <si>
    <t>SES Address 89</t>
  </si>
  <si>
    <t>SES Address 90</t>
  </si>
  <si>
    <t>Partner 90</t>
  </si>
  <si>
    <t>SES Address 91</t>
  </si>
  <si>
    <t>Area Manager 91</t>
  </si>
  <si>
    <t>Partner 91</t>
  </si>
  <si>
    <t>SES Address 92</t>
  </si>
  <si>
    <t>Area Manager 92</t>
  </si>
  <si>
    <t>Partner 92</t>
  </si>
  <si>
    <t>SES Address 93</t>
  </si>
  <si>
    <t>Partner 93</t>
  </si>
  <si>
    <t>SES Address 94</t>
  </si>
  <si>
    <t>Partner 94</t>
  </si>
  <si>
    <t>SES Address 95</t>
  </si>
  <si>
    <t>Partner 95</t>
  </si>
  <si>
    <t>SES Address 96</t>
  </si>
  <si>
    <t>Partner 96</t>
  </si>
  <si>
    <t>SES Address 97</t>
  </si>
  <si>
    <t>Partner 97</t>
  </si>
  <si>
    <t>SES Address 98</t>
  </si>
  <si>
    <t>Partner 98</t>
  </si>
  <si>
    <t>SES Address 99</t>
  </si>
  <si>
    <t>SES Address 100</t>
  </si>
  <si>
    <t>SES Address 101</t>
  </si>
  <si>
    <t>SES Address 102</t>
  </si>
  <si>
    <t>Partner 102</t>
  </si>
  <si>
    <t>SES Address 103</t>
  </si>
  <si>
    <t>SES Address 104</t>
  </si>
  <si>
    <t>SES Address 105</t>
  </si>
  <si>
    <t>Partner 105</t>
  </si>
  <si>
    <t>SES Address 106</t>
  </si>
  <si>
    <t>SES Address 107</t>
  </si>
  <si>
    <t>Partner 107</t>
  </si>
  <si>
    <t>SES Address 108</t>
  </si>
  <si>
    <t>SES Address 109</t>
  </si>
  <si>
    <t>SES Address 110</t>
  </si>
  <si>
    <t>Partner 110</t>
  </si>
  <si>
    <t>SES Address 111</t>
  </si>
  <si>
    <t>SES Address 112</t>
  </si>
  <si>
    <t>Partner 112</t>
  </si>
  <si>
    <t>SES Address 113</t>
  </si>
  <si>
    <t>Partner 113</t>
  </si>
  <si>
    <t>SES Address 114</t>
  </si>
  <si>
    <t>SES Address 115</t>
  </si>
  <si>
    <t>Partner 115</t>
  </si>
  <si>
    <t>SES Address 116</t>
  </si>
  <si>
    <t>SES Address 117</t>
  </si>
  <si>
    <t>Partner 117</t>
  </si>
  <si>
    <t>SES Address 118</t>
  </si>
  <si>
    <t>SES Address 119</t>
  </si>
  <si>
    <t>SES Address 120</t>
  </si>
  <si>
    <t>SES Address 121</t>
  </si>
  <si>
    <t>Area Manager 121</t>
  </si>
  <si>
    <t>Partner 121</t>
  </si>
  <si>
    <t>SES Address 122</t>
  </si>
  <si>
    <t>Partner 122</t>
  </si>
  <si>
    <t>SES Address 123</t>
  </si>
  <si>
    <t>SES Address 124</t>
  </si>
  <si>
    <t>Partner 124</t>
  </si>
  <si>
    <t>SES Address 125</t>
  </si>
  <si>
    <t>SES Address 126</t>
  </si>
  <si>
    <t>Partner 126</t>
  </si>
  <si>
    <t>SES Address 127</t>
  </si>
  <si>
    <t>SES Address 128</t>
  </si>
  <si>
    <t>SES Address 129</t>
  </si>
  <si>
    <t>SES Address 130</t>
  </si>
  <si>
    <t>Partner 130</t>
  </si>
  <si>
    <t>SES Address 131</t>
  </si>
  <si>
    <t>SES Address 132</t>
  </si>
  <si>
    <t>Partner 132</t>
  </si>
  <si>
    <t>SES Address 133</t>
  </si>
  <si>
    <t>Partner 133</t>
  </si>
  <si>
    <t>SES Address 134</t>
  </si>
  <si>
    <t>SES Address 135</t>
  </si>
  <si>
    <t>SES Address 136</t>
  </si>
  <si>
    <t>SES Address 137</t>
  </si>
  <si>
    <t>Partner 137</t>
  </si>
  <si>
    <t>SES Address 138</t>
  </si>
  <si>
    <t>Partner 138</t>
  </si>
  <si>
    <t>SES Address 139</t>
  </si>
  <si>
    <t>Partner 139</t>
  </si>
  <si>
    <t>SES Address 140</t>
  </si>
  <si>
    <t>Partner 140</t>
  </si>
  <si>
    <t>SES Address 141</t>
  </si>
  <si>
    <t>Partner 141</t>
  </si>
  <si>
    <t>SES Address 142</t>
  </si>
  <si>
    <t>Partner 142</t>
  </si>
  <si>
    <t>SES Address 143</t>
  </si>
  <si>
    <t>Partner 143</t>
  </si>
  <si>
    <t>SES Address 144</t>
  </si>
  <si>
    <t>Partner 144</t>
  </si>
  <si>
    <t>SES Address 145</t>
  </si>
  <si>
    <t>Partner 145</t>
  </si>
  <si>
    <t>SES Address 146</t>
  </si>
  <si>
    <t>SES Address 147</t>
  </si>
  <si>
    <t>Partner 147</t>
  </si>
  <si>
    <t>SES Address 148</t>
  </si>
  <si>
    <t>SES Address 149</t>
  </si>
  <si>
    <t>SES Address 150</t>
  </si>
  <si>
    <t>SES Address 151</t>
  </si>
  <si>
    <t>Partner 151</t>
  </si>
  <si>
    <t>SES Address 152</t>
  </si>
  <si>
    <t>SES Address 153</t>
  </si>
  <si>
    <t>SES Address 154</t>
  </si>
  <si>
    <t>Partner 154</t>
  </si>
  <si>
    <t>SES Address 155</t>
  </si>
  <si>
    <t>SES Address 156</t>
  </si>
  <si>
    <t>SES Address 157</t>
  </si>
  <si>
    <t>Partner 157</t>
  </si>
  <si>
    <t>SES Address 158</t>
  </si>
  <si>
    <t>Partner 158</t>
  </si>
  <si>
    <t>SES Address 159</t>
  </si>
  <si>
    <t>SES Address 160</t>
  </si>
  <si>
    <t>Partner 160</t>
  </si>
  <si>
    <t>SES Address 161</t>
  </si>
  <si>
    <t>Partner 161</t>
  </si>
  <si>
    <t>SES Address 162</t>
  </si>
  <si>
    <t>SES Address 163</t>
  </si>
  <si>
    <t>SES Address 164</t>
  </si>
  <si>
    <t>SES Address 165</t>
  </si>
  <si>
    <t>Partner 165</t>
  </si>
  <si>
    <t>SES Address 166</t>
  </si>
  <si>
    <t>SES Address 167</t>
  </si>
  <si>
    <t>Partner 167</t>
  </si>
  <si>
    <t>SES Address 168</t>
  </si>
  <si>
    <t>SES Address 169</t>
  </si>
  <si>
    <t>Partner 169</t>
  </si>
  <si>
    <t>SES Address 170</t>
  </si>
  <si>
    <t>SES Address 171</t>
  </si>
  <si>
    <t>SES Address 172</t>
  </si>
  <si>
    <t>SES Address 173</t>
  </si>
  <si>
    <t>Partner 173</t>
  </si>
  <si>
    <t>SES Address 174</t>
  </si>
  <si>
    <t>SES Address 175</t>
  </si>
  <si>
    <t>SES Address 176</t>
  </si>
  <si>
    <t>SES Address 177</t>
  </si>
  <si>
    <t>Partner 177</t>
  </si>
  <si>
    <t>SES Address 178</t>
  </si>
  <si>
    <t>SES Address 179</t>
  </si>
  <si>
    <t>Partner 179</t>
  </si>
  <si>
    <t>SES Address 180</t>
  </si>
  <si>
    <t>SES Address 181</t>
  </si>
  <si>
    <t>SES Address 182</t>
  </si>
  <si>
    <t>SES Address 183</t>
  </si>
  <si>
    <t>SES Address 184</t>
  </si>
  <si>
    <t>SES Address 185</t>
  </si>
  <si>
    <t>SES Address 186</t>
  </si>
  <si>
    <t>Area Manager 186</t>
  </si>
  <si>
    <t>Partner 186</t>
  </si>
  <si>
    <t>SES Address 187</t>
  </si>
  <si>
    <t>Partner 187</t>
  </si>
  <si>
    <t>SES Address 188</t>
  </si>
  <si>
    <t>Partner 188</t>
  </si>
  <si>
    <t>SES Address 189</t>
  </si>
  <si>
    <t>SES Address 190</t>
  </si>
  <si>
    <t>Partner 190</t>
  </si>
  <si>
    <t>SES Address 191</t>
  </si>
  <si>
    <t>Partner 191</t>
  </si>
  <si>
    <t>SES Address 192</t>
  </si>
  <si>
    <t>SES Address 193</t>
  </si>
  <si>
    <t>SES Address 194</t>
  </si>
  <si>
    <t>SES Address 195</t>
  </si>
  <si>
    <t>SES Address 196</t>
  </si>
  <si>
    <t>Partner 196</t>
  </si>
  <si>
    <t>SES Address 197</t>
  </si>
  <si>
    <t>Partner 197</t>
  </si>
  <si>
    <t>SES Address 198</t>
  </si>
  <si>
    <t>SES Address 199</t>
  </si>
  <si>
    <t>Partner 199</t>
  </si>
  <si>
    <t>SES Address 200</t>
  </si>
  <si>
    <t>Partner 200</t>
  </si>
  <si>
    <t>SES Address 201</t>
  </si>
  <si>
    <t>Partner 201</t>
  </si>
  <si>
    <t>SES Address 202</t>
  </si>
  <si>
    <t>SES Address 203</t>
  </si>
  <si>
    <t>Partner 203</t>
  </si>
  <si>
    <t>SES Address 204</t>
  </si>
  <si>
    <t>Partner 204</t>
  </si>
  <si>
    <t>SES Address 205</t>
  </si>
  <si>
    <t>Partner 205</t>
  </si>
  <si>
    <t>SES Address 206</t>
  </si>
  <si>
    <t>SES Address 207</t>
  </si>
  <si>
    <t>Partner 207</t>
  </si>
  <si>
    <t>SES Address 208</t>
  </si>
  <si>
    <t>Partner 208</t>
  </si>
  <si>
    <t>SES Address 209</t>
  </si>
  <si>
    <t>SES Address 210</t>
  </si>
  <si>
    <t>Partner 210</t>
  </si>
  <si>
    <t>SES Address 211</t>
  </si>
  <si>
    <t>SES Address 212</t>
  </si>
  <si>
    <t>SES Address 213</t>
  </si>
  <si>
    <t>Area Manager 213</t>
  </si>
  <si>
    <t>Partner 213</t>
  </si>
  <si>
    <t>SES Address 214</t>
  </si>
  <si>
    <t>SES Address 215</t>
  </si>
  <si>
    <t>Partner 215</t>
  </si>
  <si>
    <t>SES Address 216</t>
  </si>
  <si>
    <t>SES Address 217</t>
  </si>
  <si>
    <t>SES Address 218</t>
  </si>
  <si>
    <t>SES Address 219</t>
  </si>
  <si>
    <t>SES Address 220</t>
  </si>
  <si>
    <t>SES Address 221</t>
  </si>
  <si>
    <t>SES Address 222</t>
  </si>
  <si>
    <t>SES Address 223</t>
  </si>
  <si>
    <t>Partner 223</t>
  </si>
  <si>
    <t>SES Address 224</t>
  </si>
  <si>
    <t>SES Address 225</t>
  </si>
  <si>
    <t>SES Address 226</t>
  </si>
  <si>
    <t>SES Address 227</t>
  </si>
  <si>
    <t>Partner 227</t>
  </si>
  <si>
    <t>SES Address 228</t>
  </si>
  <si>
    <t>Partner 228</t>
  </si>
  <si>
    <t>SES Address 229</t>
  </si>
  <si>
    <t>Partner 229</t>
  </si>
  <si>
    <t>SES Address 230</t>
  </si>
  <si>
    <t>SES Address 231</t>
  </si>
  <si>
    <t>Partner 231</t>
  </si>
  <si>
    <t>SES Address 232</t>
  </si>
  <si>
    <t>SES Address 233</t>
  </si>
  <si>
    <t>SES Address 234</t>
  </si>
  <si>
    <t>SES Address 235</t>
  </si>
  <si>
    <t>SES Address 236</t>
  </si>
  <si>
    <t>SES Address 237</t>
  </si>
  <si>
    <t>Partner 237</t>
  </si>
  <si>
    <t>SES Address 238</t>
  </si>
  <si>
    <t>Partner 238</t>
  </si>
  <si>
    <t>SES Address 239</t>
  </si>
  <si>
    <t>SES Address 240</t>
  </si>
  <si>
    <t>Partner 240</t>
  </si>
  <si>
    <t>SES Address 241</t>
  </si>
  <si>
    <t>SES Address 242</t>
  </si>
  <si>
    <t>Partner 242</t>
  </si>
  <si>
    <t>SES Address 243</t>
  </si>
  <si>
    <t>SES Address 244</t>
  </si>
  <si>
    <t>SES Address 245</t>
  </si>
  <si>
    <t>Partner 245</t>
  </si>
  <si>
    <t>SES Address 246</t>
  </si>
  <si>
    <t>Partner 246</t>
  </si>
  <si>
    <t>SES Address 247</t>
  </si>
  <si>
    <t>Partner 247</t>
  </si>
  <si>
    <t>SES Address 248</t>
  </si>
  <si>
    <t>Partner 248</t>
  </si>
  <si>
    <t>SES Address 249</t>
  </si>
  <si>
    <t>SES Address 250</t>
  </si>
  <si>
    <t>Area Manager 250</t>
  </si>
  <si>
    <t>Partner 250</t>
  </si>
  <si>
    <t>SES Address 251</t>
  </si>
  <si>
    <t>Partner 251</t>
  </si>
  <si>
    <t>SES Address 252</t>
  </si>
  <si>
    <t>SES Address 253</t>
  </si>
  <si>
    <t>SES Address 254</t>
  </si>
  <si>
    <t>Partner 254</t>
  </si>
  <si>
    <t>SES Address 255</t>
  </si>
  <si>
    <t>Partner 255</t>
  </si>
  <si>
    <t>SES Address 256</t>
  </si>
  <si>
    <t>SES Address 257</t>
  </si>
  <si>
    <t>SES Address 258</t>
  </si>
  <si>
    <t>SES Address 259</t>
  </si>
  <si>
    <t>SES Address 260</t>
  </si>
  <si>
    <t>SES Address 261</t>
  </si>
  <si>
    <t>Partner 261</t>
  </si>
  <si>
    <t>SES Address 262</t>
  </si>
  <si>
    <t>Partner 262</t>
  </si>
  <si>
    <t>SES Address 263</t>
  </si>
  <si>
    <t>Partner 263</t>
  </si>
  <si>
    <t>SES Address 264</t>
  </si>
  <si>
    <t>Partner 264</t>
  </si>
  <si>
    <t>SES Address 265</t>
  </si>
  <si>
    <t>SES Address 266</t>
  </si>
  <si>
    <t>Partner 266</t>
  </si>
  <si>
    <t>SES Address 267</t>
  </si>
  <si>
    <t>SES Address 268</t>
  </si>
  <si>
    <t>SES Address 269</t>
  </si>
  <si>
    <t>Partner 269</t>
  </si>
  <si>
    <t>SES Address 270</t>
  </si>
  <si>
    <t>SES Address 271</t>
  </si>
  <si>
    <t>SES Address 272</t>
  </si>
  <si>
    <t>SES Address 273</t>
  </si>
  <si>
    <t>Partner 273</t>
  </si>
  <si>
    <t>SES Address 274</t>
  </si>
  <si>
    <t>SES Address 275</t>
  </si>
  <si>
    <t>SES Address 276</t>
  </si>
  <si>
    <t>SES Address 277</t>
  </si>
  <si>
    <t>SES Address 278</t>
  </si>
  <si>
    <t>SES Address 279</t>
  </si>
  <si>
    <t>SES Address 280</t>
  </si>
  <si>
    <t>SES Address 281</t>
  </si>
  <si>
    <t>Partner 281</t>
  </si>
  <si>
    <t>SES Address 282</t>
  </si>
  <si>
    <t>SES Address 283</t>
  </si>
  <si>
    <t>Partner 283</t>
  </si>
  <si>
    <t>SES Address 284</t>
  </si>
  <si>
    <t>Partner 284</t>
  </si>
  <si>
    <t>SES Address 285</t>
  </si>
  <si>
    <t>SES Address 286</t>
  </si>
  <si>
    <t>Partner 286</t>
  </si>
  <si>
    <t>SES Address 287</t>
  </si>
  <si>
    <t>SES Address 288</t>
  </si>
  <si>
    <t>SES Address 289</t>
  </si>
  <si>
    <t>SES Address 290</t>
  </si>
  <si>
    <t>SES Address 291</t>
  </si>
  <si>
    <t>SES Address 292</t>
  </si>
  <si>
    <t>Partner 292</t>
  </si>
  <si>
    <t>SES Address 293</t>
  </si>
  <si>
    <t>SES Address 294</t>
  </si>
  <si>
    <t>SES Address 295</t>
  </si>
  <si>
    <t>Partner 295</t>
  </si>
  <si>
    <t>SES Address 296</t>
  </si>
  <si>
    <t>Partner 296</t>
  </si>
  <si>
    <t>SES Address 297</t>
  </si>
  <si>
    <t>SES Address 298</t>
  </si>
  <si>
    <t>SES Address 299</t>
  </si>
  <si>
    <t>Partner 299</t>
  </si>
  <si>
    <t>SES Address 300</t>
  </si>
  <si>
    <t>SES Address 301</t>
  </si>
  <si>
    <t>SES Address 302</t>
  </si>
  <si>
    <t>Partner 302</t>
  </si>
  <si>
    <t>SES Address 303</t>
  </si>
  <si>
    <t>Partner 303</t>
  </si>
  <si>
    <t>SES Address 304</t>
  </si>
  <si>
    <t>SES Address 305</t>
  </si>
  <si>
    <t>SES Address 306</t>
  </si>
  <si>
    <t>SES Address 307</t>
  </si>
  <si>
    <t>Partner 307</t>
  </si>
  <si>
    <t>SES Address 308</t>
  </si>
  <si>
    <t>SES Address 309</t>
  </si>
  <si>
    <t>SES Address 310</t>
  </si>
  <si>
    <t>SES Address 311</t>
  </si>
  <si>
    <t>SES Address 312</t>
  </si>
  <si>
    <t>Partner 312</t>
  </si>
  <si>
    <t>SES Address 313</t>
  </si>
  <si>
    <t>SES Address 314</t>
  </si>
  <si>
    <t>SES Address 315</t>
  </si>
  <si>
    <t>SES Address 316</t>
  </si>
  <si>
    <t>Partner 316</t>
  </si>
  <si>
    <t>SES Address 317</t>
  </si>
  <si>
    <t>SES Address 318</t>
  </si>
  <si>
    <t>SES Address 319</t>
  </si>
  <si>
    <t>SES Address 320</t>
  </si>
  <si>
    <t>SES Address 321</t>
  </si>
  <si>
    <t>SES Address 322</t>
  </si>
  <si>
    <t>SES Address 323</t>
  </si>
  <si>
    <t>SES Address 324</t>
  </si>
  <si>
    <t>Partner 324</t>
  </si>
  <si>
    <t>SES Address 325</t>
  </si>
  <si>
    <t>SES Address 326</t>
  </si>
  <si>
    <t>SES Address 327</t>
  </si>
  <si>
    <t>SES Address 328</t>
  </si>
  <si>
    <t>SES Address 329</t>
  </si>
  <si>
    <t>SES Address 330</t>
  </si>
  <si>
    <t>SES Address 331</t>
  </si>
  <si>
    <t>SES Address 332</t>
  </si>
  <si>
    <t>SES Address 333</t>
  </si>
  <si>
    <t>SES Address 334</t>
  </si>
  <si>
    <t>SES Address 335</t>
  </si>
  <si>
    <t>SES Address 336</t>
  </si>
  <si>
    <t>Partner 336</t>
  </si>
  <si>
    <t>SES Address 337</t>
  </si>
  <si>
    <t>SES Address 338</t>
  </si>
  <si>
    <t>SES Address 339</t>
  </si>
  <si>
    <t>SES Address 340</t>
  </si>
  <si>
    <t>SES Address 341</t>
  </si>
  <si>
    <t>SES Address 342</t>
  </si>
  <si>
    <t>SES Address 343</t>
  </si>
  <si>
    <t>SES Address 344</t>
  </si>
  <si>
    <t>SES Address 345</t>
  </si>
  <si>
    <t>SES Address 346</t>
  </si>
  <si>
    <t>SES Address 347</t>
  </si>
  <si>
    <t>SES Address 348</t>
  </si>
  <si>
    <t>SES Address 349</t>
  </si>
  <si>
    <t>SES Address 350</t>
  </si>
  <si>
    <t>SES Address 351</t>
  </si>
  <si>
    <t>SES Address 352</t>
  </si>
  <si>
    <t>SES Address 353</t>
  </si>
  <si>
    <t>SES Address 354</t>
  </si>
  <si>
    <t>SES Address 355</t>
  </si>
  <si>
    <t>SES Address 356</t>
  </si>
  <si>
    <t>SES Address 357</t>
  </si>
  <si>
    <t>SES Address 358</t>
  </si>
  <si>
    <t>SES Address 359</t>
  </si>
  <si>
    <t>SES Address 360</t>
  </si>
  <si>
    <t>SES Address 361</t>
  </si>
  <si>
    <t>SES Address 362</t>
  </si>
  <si>
    <t>SES Address 363</t>
  </si>
  <si>
    <t>SES Address 364</t>
  </si>
  <si>
    <t>SES Address 365</t>
  </si>
  <si>
    <t>SES Address 366</t>
  </si>
  <si>
    <t>SES Address 367</t>
  </si>
  <si>
    <t>Partner 367</t>
  </si>
  <si>
    <t>SES Address 368</t>
  </si>
  <si>
    <t>SES Address 369</t>
  </si>
  <si>
    <t>Partner 369</t>
  </si>
  <si>
    <t>SES Address 370</t>
  </si>
  <si>
    <t>SES Address 371</t>
  </si>
  <si>
    <t>SES Address 372</t>
  </si>
  <si>
    <t>Area Manager 372</t>
  </si>
  <si>
    <t>Partner 372</t>
  </si>
  <si>
    <t>SES Address 373</t>
  </si>
  <si>
    <t>SES Address 374</t>
  </si>
  <si>
    <t>SES Address 375</t>
  </si>
  <si>
    <t>SES Address 376</t>
  </si>
  <si>
    <t>SES Address 377</t>
  </si>
  <si>
    <t>SES Address 378</t>
  </si>
  <si>
    <t>SES Address 379</t>
  </si>
  <si>
    <t>SES Address 380</t>
  </si>
  <si>
    <t>SES Address 381</t>
  </si>
  <si>
    <t>Kútkód:</t>
  </si>
  <si>
    <t>Kút Kategóriája:</t>
  </si>
  <si>
    <t>Állomás neve:</t>
  </si>
  <si>
    <t>Fajlagos Mennyiségek</t>
  </si>
  <si>
    <t>Mennyiségek</t>
  </si>
  <si>
    <t>Fajlagos Eladott Kávé Darabszám Összes Tranzakcióhoz</t>
  </si>
  <si>
    <t>Fajlagos Eladott Szendvics Darabszám Összes Tranzakcióhoz</t>
  </si>
  <si>
    <t>Fajlagos Eladott Hot-Dog Darabszám Összes Tranzakcióhoz</t>
  </si>
  <si>
    <t>Fajlagos Gasztró Selejt Darabszám Összes Tranzakcióhoz</t>
  </si>
  <si>
    <t>Fajlagos Szárazáru Selejt Összes Tranzakcióhoz</t>
  </si>
  <si>
    <t>Tény</t>
  </si>
  <si>
    <t>Átlagos Tény Kategóriánként</t>
  </si>
  <si>
    <t>Tény/Átlagos tény arány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</si>
</sst>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-;\-* #,##0.00_-;_-* &quot;-&quot;??_-;_-@_-"/>
    <numFmt numFmtId="165" formatCode="&quot;$&quot;#,##0.00"/>
    <numFmt numFmtId="166" formatCode="#,##0\ &quot;Ft&quot;"/>
  </numFmts>
  <fonts count="41">
    <font>
      <sz val="12"/>
      <color theme="3" tint="0.24994659260841701"/>
      <name val="Candara"/>
      <family val="2"/>
      <scheme val="minor"/>
    </font>
    <font>
      <sz val="11"/>
      <color theme="1"/>
      <name val="Candara"/>
      <family val="2"/>
      <charset val="238"/>
      <scheme val="minor"/>
    </font>
    <font>
      <sz val="29"/>
      <color theme="5"/>
      <name val="Candara"/>
      <family val="2"/>
      <scheme val="major"/>
    </font>
    <font>
      <b/>
      <sz val="11"/>
      <color theme="3"/>
      <name val="Candara"/>
      <family val="2"/>
      <scheme val="major"/>
    </font>
    <font>
      <sz val="14"/>
      <color theme="5" tint="0.39994506668294322"/>
      <name val="Candara"/>
      <family val="2"/>
      <scheme val="minor"/>
    </font>
    <font>
      <sz val="12"/>
      <color theme="5"/>
      <name val="Candara"/>
      <family val="2"/>
      <scheme val="major"/>
    </font>
    <font>
      <sz val="12"/>
      <color theme="3" tint="0.24994659260841701"/>
      <name val="Candara"/>
      <family val="2"/>
      <scheme val="minor"/>
    </font>
    <font>
      <b/>
      <sz val="16"/>
      <color theme="5"/>
      <name val="Candara"/>
      <family val="2"/>
      <scheme val="minor"/>
    </font>
    <font>
      <sz val="12"/>
      <color theme="5" tint="-0.499984740745262"/>
      <name val="Candara"/>
      <family val="2"/>
      <scheme val="major"/>
    </font>
    <font>
      <b/>
      <sz val="26"/>
      <color theme="8" tint="-0.249977111117893"/>
      <name val="Candara"/>
      <family val="2"/>
      <scheme val="major"/>
    </font>
    <font>
      <b/>
      <sz val="48"/>
      <color theme="8" tint="-0.249977111117893"/>
      <name val="Candara"/>
      <family val="3"/>
      <charset val="177"/>
      <scheme val="major"/>
    </font>
    <font>
      <b/>
      <sz val="12"/>
      <color theme="3" tint="0.24994659260841701"/>
      <name val="Candara"/>
      <family val="2"/>
      <charset val="238"/>
      <scheme val="minor"/>
    </font>
    <font>
      <b/>
      <sz val="12"/>
      <color theme="8" tint="-0.24994659260841701"/>
      <name val="Candara"/>
      <family val="2"/>
      <scheme val="minor"/>
    </font>
    <font>
      <b/>
      <sz val="12"/>
      <color theme="1" tint="0.249977111117893"/>
      <name val="Candara"/>
      <family val="2"/>
      <scheme val="minor"/>
    </font>
    <font>
      <sz val="12"/>
      <color theme="9" tint="0.79998168889431442"/>
      <name val="Candara"/>
      <family val="2"/>
      <scheme val="minor"/>
    </font>
    <font>
      <sz val="14"/>
      <color theme="9" tint="0.79998168889431442"/>
      <name val="Candara"/>
      <family val="2"/>
      <scheme val="minor"/>
    </font>
    <font>
      <b/>
      <sz val="12"/>
      <color theme="1" tint="0.249977111117893"/>
      <name val="Candara"/>
      <family val="2"/>
      <charset val="238"/>
      <scheme val="minor"/>
    </font>
    <font>
      <sz val="12"/>
      <color theme="1"/>
      <name val="Candara"/>
      <family val="2"/>
      <scheme val="minor"/>
    </font>
    <font>
      <sz val="12"/>
      <name val="Candara"/>
      <family val="2"/>
      <scheme val="minor"/>
    </font>
    <font>
      <b/>
      <sz val="12"/>
      <name val="Candara"/>
      <family val="2"/>
      <charset val="238"/>
      <scheme val="minor"/>
    </font>
    <font>
      <b/>
      <sz val="48"/>
      <color rgb="FFF9EEE6"/>
      <name val="Candara"/>
      <family val="3"/>
      <charset val="177"/>
      <scheme val="major"/>
    </font>
    <font>
      <b/>
      <sz val="12"/>
      <color theme="1"/>
      <name val="Candara"/>
      <family val="2"/>
      <charset val="238"/>
      <scheme val="minor"/>
    </font>
    <font>
      <b/>
      <sz val="28"/>
      <color theme="8" tint="-0.249977111117893"/>
      <name val="Candara"/>
      <family val="3"/>
      <charset val="177"/>
      <scheme val="major"/>
    </font>
    <font>
      <sz val="24"/>
      <color theme="8" tint="-0.249977111117893"/>
      <name val="Candara"/>
      <family val="2"/>
      <scheme val="minor"/>
    </font>
    <font>
      <sz val="24"/>
      <color theme="8" tint="-0.249977111117893"/>
      <name val="Candara"/>
      <family val="2"/>
      <charset val="238"/>
      <scheme val="major"/>
    </font>
    <font>
      <b/>
      <sz val="12"/>
      <name val="Calibri"/>
      <family val="2"/>
      <charset val="238"/>
    </font>
    <font>
      <sz val="12"/>
      <color theme="1"/>
      <name val="Calibri"/>
      <family val="2"/>
      <charset val="238"/>
    </font>
    <font>
      <sz val="12"/>
      <name val="Calibri"/>
      <family val="2"/>
      <charset val="238"/>
    </font>
    <font>
      <sz val="14"/>
      <color theme="1" tint="0.249977111117893"/>
      <name val="Candara"/>
      <family val="2"/>
      <scheme val="minor"/>
    </font>
    <font>
      <sz val="14"/>
      <color theme="3" tint="0.24994659260841701"/>
      <name val="Candara"/>
      <family val="2"/>
      <scheme val="minor"/>
    </font>
    <font>
      <b/>
      <sz val="14"/>
      <color theme="8" tint="-0.24994659260841701"/>
      <name val="Candara"/>
      <family val="2"/>
      <scheme val="minor"/>
    </font>
    <font>
      <b/>
      <sz val="14"/>
      <color theme="1" tint="0.249977111117893"/>
      <name val="Candara"/>
      <family val="2"/>
      <scheme val="minor"/>
    </font>
    <font>
      <b/>
      <sz val="14"/>
      <color theme="3" tint="0.24994659260841701"/>
      <name val="Candara"/>
      <family val="2"/>
      <scheme val="minor"/>
    </font>
    <font>
      <sz val="20"/>
      <color theme="1" tint="0.249977111117893"/>
      <name val="Candara"/>
      <family val="2"/>
      <scheme val="minor"/>
    </font>
    <font>
      <sz val="20"/>
      <color theme="3" tint="0.24994659260841701"/>
      <name val="Candara"/>
      <family val="2"/>
      <scheme val="minor"/>
    </font>
    <font>
      <b/>
      <sz val="18"/>
      <color theme="8" tint="-0.249977111117893"/>
      <name val="Candara"/>
      <family val="2"/>
      <charset val="238"/>
      <scheme val="major"/>
    </font>
    <font>
      <sz val="22"/>
      <color theme="8" tint="-0.249977111117893"/>
      <name val="Candara"/>
      <family val="2"/>
      <charset val="238"/>
      <scheme val="major"/>
    </font>
    <font>
      <sz val="8"/>
      <name val="Candara"/>
      <family val="2"/>
      <scheme val="minor"/>
    </font>
    <font>
      <b/>
      <sz val="12"/>
      <color rgb="FFFFFFFF"/>
      <name val="Calibri"/>
      <family val="2"/>
      <charset val="238"/>
    </font>
    <font>
      <sz val="48"/>
      <color theme="8" tint="-0.249977111117893"/>
      <name val="Candara"/>
      <family val="2"/>
      <charset val="238"/>
      <scheme val="major"/>
    </font>
    <font>
      <b/>
      <sz val="22"/>
      <color theme="8" tint="-0.249977111117893"/>
      <name val="Candara"/>
      <family val="2"/>
      <charset val="238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EEE6"/>
        <bgColor indexed="64"/>
      </patternFill>
    </fill>
    <fill>
      <patternFill patternType="solid">
        <fgColor theme="8" tint="0.79995117038483843"/>
        <bgColor theme="8" tint="0.79998168889431442"/>
      </patternFill>
    </fill>
    <fill>
      <patternFill patternType="solid">
        <fgColor rgb="FF305496"/>
      </patternFill>
    </fill>
    <fill>
      <patternFill patternType="solid">
        <fgColor rgb="FFF5F5F5"/>
      </patternFill>
    </fill>
    <fill>
      <patternFill patternType="solid">
        <fgColor rgb="FFF3E0DC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medium">
        <color theme="8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thin">
        <color theme="8"/>
      </top>
      <bottom/>
      <diagonal/>
    </border>
    <border>
      <left style="medium">
        <color rgb="FFAAAEEA"/>
      </left>
      <right/>
      <top style="medium">
        <color rgb="FFAAAEEA"/>
      </top>
      <bottom style="thin">
        <color theme="8"/>
      </bottom>
      <diagonal/>
    </border>
    <border>
      <left/>
      <right/>
      <top style="medium">
        <color rgb="FFAAAEEA"/>
      </top>
      <bottom style="thin">
        <color theme="8"/>
      </bottom>
      <diagonal/>
    </border>
    <border>
      <left style="medium">
        <color rgb="FFAAAEEA"/>
      </left>
      <right/>
      <top style="thin">
        <color theme="8"/>
      </top>
      <bottom style="thin">
        <color theme="8"/>
      </bottom>
      <diagonal/>
    </border>
    <border>
      <left/>
      <right style="medium">
        <color rgb="FFAAAEEA"/>
      </right>
      <top style="thin">
        <color theme="8"/>
      </top>
      <bottom style="thin">
        <color theme="8"/>
      </bottom>
      <diagonal/>
    </border>
    <border>
      <left style="medium">
        <color rgb="FFAAAEEA"/>
      </left>
      <right/>
      <top/>
      <bottom/>
      <diagonal/>
    </border>
    <border>
      <left/>
      <right style="medium">
        <color rgb="FFAAAEEA"/>
      </right>
      <top/>
      <bottom/>
      <diagonal/>
    </border>
    <border>
      <left style="medium">
        <color rgb="FFAAAEEA"/>
      </left>
      <right/>
      <top/>
      <bottom style="medium">
        <color rgb="FFAAAEEA"/>
      </bottom>
      <diagonal/>
    </border>
    <border>
      <left/>
      <right/>
      <top/>
      <bottom style="medium">
        <color rgb="FFAAAEEA"/>
      </bottom>
      <diagonal/>
    </border>
    <border>
      <left/>
      <right style="medium">
        <color rgb="FFAAAEEA"/>
      </right>
      <top/>
      <bottom style="medium">
        <color rgb="FFAAAEEA"/>
      </bottom>
      <diagonal/>
    </border>
    <border>
      <left style="medium">
        <color theme="8"/>
      </left>
      <right style="medium">
        <color theme="8"/>
      </right>
      <top style="medium">
        <color theme="8"/>
      </top>
      <bottom style="medium">
        <color theme="8"/>
      </bottom>
      <diagonal/>
    </border>
    <border>
      <left/>
      <right style="medium">
        <color theme="8"/>
      </right>
      <top/>
      <bottom/>
      <diagonal/>
    </border>
    <border>
      <left style="medium">
        <color theme="8"/>
      </left>
      <right/>
      <top style="medium">
        <color theme="8"/>
      </top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AAAEEA"/>
      </right>
      <top style="medium">
        <color rgb="FFAAAEEA"/>
      </top>
      <bottom style="thin">
        <color theme="8"/>
      </bottom>
      <diagonal/>
    </border>
    <border>
      <left style="medium">
        <color theme="8"/>
      </left>
      <right/>
      <top/>
      <bottom style="thin">
        <color theme="8"/>
      </bottom>
      <diagonal/>
    </border>
    <border>
      <left/>
      <right/>
      <top/>
      <bottom style="thin">
        <color theme="8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2">
    <xf numFmtId="0" fontId="0" fillId="0" borderId="0">
      <alignment wrapText="1"/>
    </xf>
    <xf numFmtId="0" fontId="2" fillId="0" borderId="0" applyNumberFormat="0" applyBorder="0" applyAlignment="0" applyProtection="0"/>
    <xf numFmtId="0" fontId="8" fillId="0" borderId="0" applyNumberFormat="0" applyFont="0" applyFill="0" applyBorder="0" applyProtection="0">
      <alignment wrapText="1"/>
    </xf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Alignment="0" applyProtection="0"/>
    <xf numFmtId="165" fontId="6" fillId="0" borderId="0" applyFont="0" applyFill="0" applyBorder="0" applyProtection="0">
      <alignment horizontal="right" vertical="center"/>
    </xf>
    <xf numFmtId="3" fontId="6" fillId="0" borderId="0" applyNumberFormat="0" applyFont="0" applyFill="0" applyBorder="0">
      <alignment horizontal="left" vertical="center" indent="1"/>
    </xf>
    <xf numFmtId="3" fontId="6" fillId="0" borderId="0" applyFont="0" applyFill="0" applyBorder="0">
      <alignment horizontal="center" vertical="center"/>
    </xf>
    <xf numFmtId="0" fontId="1" fillId="0" borderId="0"/>
    <xf numFmtId="164" fontId="6" fillId="0" borderId="0" applyFont="0" applyFill="0" applyBorder="0" applyAlignment="0" applyProtection="0"/>
  </cellStyleXfs>
  <cellXfs count="124">
    <xf numFmtId="0" fontId="0" fillId="0" borderId="0" xfId="0">
      <alignment wrapText="1"/>
    </xf>
    <xf numFmtId="0" fontId="4" fillId="0" borderId="0" xfId="0" applyFont="1">
      <alignment wrapText="1"/>
    </xf>
    <xf numFmtId="0" fontId="0" fillId="2" borderId="3" xfId="0" applyFill="1" applyBorder="1">
      <alignment wrapText="1"/>
    </xf>
    <xf numFmtId="0" fontId="0" fillId="2" borderId="5" xfId="0" applyFill="1" applyBorder="1">
      <alignment wrapText="1"/>
    </xf>
    <xf numFmtId="0" fontId="4" fillId="4" borderId="0" xfId="0" applyFont="1" applyFill="1">
      <alignment wrapText="1"/>
    </xf>
    <xf numFmtId="0" fontId="2" fillId="4" borderId="0" xfId="1" applyFill="1" applyAlignment="1">
      <alignment vertical="center"/>
    </xf>
    <xf numFmtId="0" fontId="0" fillId="4" borderId="0" xfId="0" applyFill="1">
      <alignment wrapText="1"/>
    </xf>
    <xf numFmtId="0" fontId="14" fillId="4" borderId="0" xfId="0" applyFont="1" applyFill="1" applyBorder="1">
      <alignment wrapText="1"/>
    </xf>
    <xf numFmtId="0" fontId="9" fillId="4" borderId="0" xfId="1" applyFont="1" applyFill="1" applyBorder="1" applyAlignment="1">
      <alignment vertical="center"/>
    </xf>
    <xf numFmtId="0" fontId="0" fillId="4" borderId="0" xfId="0" applyFill="1" applyBorder="1">
      <alignment wrapText="1"/>
    </xf>
    <xf numFmtId="0" fontId="10" fillId="4" borderId="0" xfId="0" applyFont="1" applyFill="1" applyBorder="1" applyAlignment="1">
      <alignment vertical="center"/>
    </xf>
    <xf numFmtId="0" fontId="4" fillId="4" borderId="0" xfId="0" applyFont="1" applyFill="1" applyBorder="1">
      <alignment wrapText="1"/>
    </xf>
    <xf numFmtId="0" fontId="15" fillId="4" borderId="0" xfId="0" applyFont="1" applyFill="1" applyBorder="1">
      <alignment wrapText="1"/>
    </xf>
    <xf numFmtId="0" fontId="0" fillId="8" borderId="8" xfId="0" applyFill="1" applyBorder="1" applyAlignment="1"/>
    <xf numFmtId="0" fontId="17" fillId="8" borderId="8" xfId="0" applyFont="1" applyFill="1" applyBorder="1" applyAlignment="1"/>
    <xf numFmtId="0" fontId="18" fillId="8" borderId="8" xfId="0" applyFont="1" applyFill="1" applyBorder="1" applyAlignment="1"/>
    <xf numFmtId="0" fontId="18" fillId="0" borderId="0" xfId="0" applyFont="1">
      <alignment wrapText="1"/>
    </xf>
    <xf numFmtId="0" fontId="18" fillId="0" borderId="9" xfId="0" applyFont="1" applyFill="1" applyBorder="1">
      <alignment wrapText="1"/>
    </xf>
    <xf numFmtId="0" fontId="18" fillId="0" borderId="0" xfId="0" applyFont="1" applyFill="1" applyBorder="1">
      <alignment wrapText="1"/>
    </xf>
    <xf numFmtId="0" fontId="17" fillId="8" borderId="0" xfId="0" applyFont="1" applyFill="1" applyBorder="1" applyAlignment="1"/>
    <xf numFmtId="0" fontId="18" fillId="8" borderId="0" xfId="0" applyFont="1" applyFill="1" applyBorder="1" applyAlignment="1"/>
    <xf numFmtId="1" fontId="20" fillId="4" borderId="0" xfId="0" applyNumberFormat="1" applyFont="1" applyFill="1" applyBorder="1" applyAlignment="1">
      <alignment vertical="center"/>
    </xf>
    <xf numFmtId="0" fontId="10" fillId="9" borderId="0" xfId="0" applyFont="1" applyFill="1" applyBorder="1" applyAlignment="1">
      <alignment vertical="center"/>
    </xf>
    <xf numFmtId="0" fontId="17" fillId="0" borderId="0" xfId="0" applyFont="1">
      <alignment wrapText="1"/>
    </xf>
    <xf numFmtId="0" fontId="19" fillId="0" borderId="0" xfId="0" applyFont="1" applyAlignment="1">
      <alignment horizontal="center" vertical="center" wrapText="1"/>
    </xf>
    <xf numFmtId="0" fontId="4" fillId="9" borderId="0" xfId="0" applyFont="1" applyFill="1">
      <alignment wrapText="1"/>
    </xf>
    <xf numFmtId="0" fontId="0" fillId="2" borderId="0" xfId="0" applyFill="1" applyBorder="1">
      <alignment wrapText="1"/>
    </xf>
    <xf numFmtId="165" fontId="12" fillId="6" borderId="12" xfId="0" applyNumberFormat="1" applyFont="1" applyFill="1" applyBorder="1" applyAlignment="1">
      <alignment horizontal="center" vertical="center" wrapText="1"/>
    </xf>
    <xf numFmtId="3" fontId="12" fillId="6" borderId="12" xfId="0" applyNumberFormat="1" applyFont="1" applyFill="1" applyBorder="1" applyAlignment="1">
      <alignment horizontal="center" vertical="center" wrapText="1"/>
    </xf>
    <xf numFmtId="0" fontId="13" fillId="5" borderId="13" xfId="8" applyNumberFormat="1" applyFont="1" applyFill="1" applyBorder="1">
      <alignment horizontal="left" vertical="center" indent="1"/>
    </xf>
    <xf numFmtId="0" fontId="11" fillId="0" borderId="15" xfId="8" applyNumberFormat="1" applyFont="1" applyFill="1" applyBorder="1" applyAlignment="1">
      <alignment horizontal="left" vertical="center" indent="1"/>
    </xf>
    <xf numFmtId="0" fontId="16" fillId="0" borderId="17" xfId="0" applyFont="1" applyFill="1" applyBorder="1" applyAlignment="1">
      <alignment horizontal="left" vertical="center" wrapText="1" indent="1"/>
    </xf>
    <xf numFmtId="0" fontId="12" fillId="6" borderId="11" xfId="0" applyFont="1" applyFill="1" applyBorder="1" applyAlignment="1">
      <alignment horizontal="center" vertical="center" wrapText="1"/>
    </xf>
    <xf numFmtId="0" fontId="27" fillId="0" borderId="0" xfId="0" applyFont="1">
      <alignment wrapText="1"/>
    </xf>
    <xf numFmtId="10" fontId="28" fillId="5" borderId="6" xfId="7" applyNumberFormat="1" applyFont="1" applyFill="1" applyBorder="1" applyAlignment="1">
      <alignment horizontal="center" vertical="center"/>
    </xf>
    <xf numFmtId="10" fontId="28" fillId="5" borderId="14" xfId="9" applyNumberFormat="1" applyFont="1" applyFill="1" applyBorder="1">
      <alignment horizontal="center" vertical="center"/>
    </xf>
    <xf numFmtId="10" fontId="29" fillId="0" borderId="0" xfId="9" applyNumberFormat="1" applyFont="1" applyFill="1" applyBorder="1" applyAlignment="1">
      <alignment horizontal="center" vertical="center"/>
    </xf>
    <xf numFmtId="10" fontId="29" fillId="0" borderId="10" xfId="7" applyNumberFormat="1" applyFont="1" applyFill="1" applyBorder="1" applyAlignment="1">
      <alignment horizontal="center" vertical="center"/>
    </xf>
    <xf numFmtId="10" fontId="29" fillId="0" borderId="0" xfId="7" applyNumberFormat="1" applyFont="1" applyFill="1" applyBorder="1" applyAlignment="1">
      <alignment horizontal="center" vertical="center"/>
    </xf>
    <xf numFmtId="10" fontId="29" fillId="0" borderId="16" xfId="7" applyNumberFormat="1" applyFont="1" applyFill="1" applyBorder="1" applyAlignment="1">
      <alignment horizontal="center" vertical="center"/>
    </xf>
    <xf numFmtId="10" fontId="28" fillId="0" borderId="18" xfId="0" applyNumberFormat="1" applyFont="1" applyFill="1" applyBorder="1" applyAlignment="1" applyProtection="1">
      <alignment horizontal="center" vertical="center"/>
    </xf>
    <xf numFmtId="10" fontId="28" fillId="5" borderId="18" xfId="0" applyNumberFormat="1" applyFont="1" applyFill="1" applyBorder="1" applyAlignment="1" applyProtection="1">
      <alignment horizontal="center" vertical="center"/>
    </xf>
    <xf numFmtId="10" fontId="28" fillId="5" borderId="19" xfId="0" applyNumberFormat="1" applyFont="1" applyFill="1" applyBorder="1" applyAlignment="1" applyProtection="1">
      <alignment horizontal="center" vertical="center"/>
    </xf>
    <xf numFmtId="165" fontId="12" fillId="6" borderId="26" xfId="0" applyNumberFormat="1" applyFont="1" applyFill="1" applyBorder="1" applyAlignment="1">
      <alignment horizontal="center" vertical="center" wrapText="1"/>
    </xf>
    <xf numFmtId="0" fontId="25" fillId="10" borderId="25" xfId="0" applyFont="1" applyFill="1" applyBorder="1" applyAlignment="1">
      <alignment horizontal="center" vertical="center" wrapText="1"/>
    </xf>
    <xf numFmtId="0" fontId="30" fillId="6" borderId="11" xfId="0" applyFont="1" applyFill="1" applyBorder="1" applyAlignment="1">
      <alignment horizontal="center" vertical="center" wrapText="1"/>
    </xf>
    <xf numFmtId="165" fontId="30" fillId="6" borderId="12" xfId="0" applyNumberFormat="1" applyFont="1" applyFill="1" applyBorder="1" applyAlignment="1">
      <alignment horizontal="center" vertical="center" wrapText="1"/>
    </xf>
    <xf numFmtId="3" fontId="30" fillId="6" borderId="12" xfId="0" applyNumberFormat="1" applyFont="1" applyFill="1" applyBorder="1" applyAlignment="1">
      <alignment horizontal="center" vertical="center" wrapText="1"/>
    </xf>
    <xf numFmtId="165" fontId="30" fillId="6" borderId="26" xfId="0" applyNumberFormat="1" applyFont="1" applyFill="1" applyBorder="1" applyAlignment="1">
      <alignment horizontal="center" vertical="center" wrapText="1"/>
    </xf>
    <xf numFmtId="0" fontId="31" fillId="5" borderId="13" xfId="8" applyNumberFormat="1" applyFont="1" applyFill="1" applyBorder="1">
      <alignment horizontal="left" vertical="center" indent="1"/>
    </xf>
    <xf numFmtId="0" fontId="32" fillId="0" borderId="15" xfId="8" applyNumberFormat="1" applyFont="1" applyFill="1" applyBorder="1" applyAlignment="1">
      <alignment horizontal="left" vertical="center" indent="1"/>
    </xf>
    <xf numFmtId="0" fontId="31" fillId="0" borderId="17" xfId="0" applyFont="1" applyFill="1" applyBorder="1" applyAlignment="1">
      <alignment horizontal="left" vertical="center" wrapText="1" indent="1"/>
    </xf>
    <xf numFmtId="0" fontId="0" fillId="2" borderId="27" xfId="0" applyFill="1" applyBorder="1" applyProtection="1">
      <alignment wrapText="1"/>
      <protection locked="0"/>
    </xf>
    <xf numFmtId="0" fontId="0" fillId="2" borderId="28" xfId="0" applyFill="1" applyBorder="1" applyProtection="1">
      <alignment wrapText="1"/>
      <protection locked="0"/>
    </xf>
    <xf numFmtId="0" fontId="26" fillId="0" borderId="29" xfId="0" applyFont="1" applyBorder="1">
      <alignment wrapText="1"/>
    </xf>
    <xf numFmtId="10" fontId="27" fillId="0" borderId="29" xfId="0" applyNumberFormat="1" applyFont="1" applyBorder="1">
      <alignment wrapText="1"/>
    </xf>
    <xf numFmtId="0" fontId="26" fillId="0" borderId="8" xfId="0" applyFont="1" applyBorder="1">
      <alignment wrapText="1"/>
    </xf>
    <xf numFmtId="0" fontId="27" fillId="0" borderId="29" xfId="0" applyFont="1" applyBorder="1" applyAlignment="1">
      <alignment horizontal="left" vertical="center"/>
    </xf>
    <xf numFmtId="0" fontId="27" fillId="0" borderId="8" xfId="0" applyFont="1" applyBorder="1" applyAlignment="1">
      <alignment horizontal="left" vertical="center"/>
    </xf>
    <xf numFmtId="2" fontId="17" fillId="0" borderId="0" xfId="0" applyNumberFormat="1" applyFont="1">
      <alignment wrapText="1"/>
    </xf>
    <xf numFmtId="2" fontId="0" fillId="0" borderId="0" xfId="0" applyNumberFormat="1">
      <alignment wrapText="1"/>
    </xf>
    <xf numFmtId="2" fontId="18" fillId="0" borderId="0" xfId="0" applyNumberFormat="1" applyFont="1">
      <alignment wrapText="1"/>
    </xf>
    <xf numFmtId="2" fontId="27" fillId="0" borderId="0" xfId="0" applyNumberFormat="1" applyFont="1">
      <alignment wrapText="1"/>
    </xf>
    <xf numFmtId="10" fontId="27" fillId="0" borderId="0" xfId="0" applyNumberFormat="1" applyFont="1">
      <alignment wrapText="1"/>
    </xf>
    <xf numFmtId="0" fontId="27" fillId="0" borderId="25" xfId="0" applyFont="1" applyBorder="1">
      <alignment wrapText="1"/>
    </xf>
    <xf numFmtId="0" fontId="25" fillId="0" borderId="25" xfId="0" applyFont="1" applyBorder="1" applyAlignment="1">
      <alignment horizontal="left" vertical="top" wrapText="1"/>
    </xf>
    <xf numFmtId="0" fontId="0" fillId="0" borderId="0" xfId="0" applyNumberFormat="1">
      <alignment wrapText="1"/>
    </xf>
    <xf numFmtId="0" fontId="18" fillId="0" borderId="0" xfId="0" applyNumberFormat="1" applyFont="1">
      <alignment wrapText="1"/>
    </xf>
    <xf numFmtId="0" fontId="17" fillId="8" borderId="0" xfId="0" applyNumberFormat="1" applyFont="1" applyFill="1" applyBorder="1" applyAlignment="1"/>
    <xf numFmtId="0" fontId="18" fillId="8" borderId="0" xfId="0" applyNumberFormat="1" applyFont="1" applyFill="1" applyBorder="1" applyAlignment="1"/>
    <xf numFmtId="2" fontId="19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horizontal="center" wrapText="1"/>
    </xf>
    <xf numFmtId="2" fontId="21" fillId="0" borderId="0" xfId="0" applyNumberFormat="1" applyFont="1" applyAlignment="1">
      <alignment horizontal="center" vertical="center" wrapText="1"/>
    </xf>
    <xf numFmtId="166" fontId="18" fillId="0" borderId="0" xfId="0" applyNumberFormat="1" applyFont="1">
      <alignment wrapText="1"/>
    </xf>
    <xf numFmtId="0" fontId="38" fillId="7" borderId="0" xfId="0" applyFont="1" applyFill="1" applyAlignment="1">
      <alignment horizontal="center" vertical="center" wrapText="1"/>
    </xf>
    <xf numFmtId="0" fontId="38" fillId="7" borderId="0" xfId="0" applyNumberFormat="1" applyFont="1" applyFill="1" applyBorder="1" applyAlignment="1">
      <alignment horizontal="center" vertical="center" wrapText="1"/>
    </xf>
    <xf numFmtId="1" fontId="36" fillId="4" borderId="5" xfId="0" applyNumberFormat="1" applyFont="1" applyFill="1" applyBorder="1" applyAlignment="1">
      <alignment vertical="center"/>
    </xf>
    <xf numFmtId="164" fontId="33" fillId="5" borderId="6" xfId="11" applyNumberFormat="1" applyFont="1" applyFill="1" applyBorder="1" applyAlignment="1">
      <alignment vertical="center"/>
    </xf>
    <xf numFmtId="164" fontId="33" fillId="5" borderId="6" xfId="11" applyFont="1" applyFill="1" applyBorder="1" applyAlignment="1">
      <alignment vertical="center"/>
    </xf>
    <xf numFmtId="164" fontId="33" fillId="5" borderId="14" xfId="11" applyFont="1" applyFill="1" applyBorder="1" applyAlignment="1">
      <alignment vertical="center"/>
    </xf>
    <xf numFmtId="164" fontId="34" fillId="0" borderId="0" xfId="11" applyNumberFormat="1" applyFont="1" applyFill="1" applyBorder="1" applyAlignment="1">
      <alignment vertical="center"/>
    </xf>
    <xf numFmtId="164" fontId="34" fillId="0" borderId="0" xfId="11" applyFont="1" applyFill="1" applyBorder="1" applyAlignment="1">
      <alignment vertical="center"/>
    </xf>
    <xf numFmtId="164" fontId="34" fillId="0" borderId="10" xfId="11" applyFont="1" applyFill="1" applyBorder="1" applyAlignment="1">
      <alignment vertical="center"/>
    </xf>
    <xf numFmtId="164" fontId="34" fillId="0" borderId="16" xfId="11" applyFont="1" applyFill="1" applyBorder="1" applyAlignment="1">
      <alignment vertical="center"/>
    </xf>
    <xf numFmtId="10" fontId="33" fillId="0" borderId="18" xfId="0" applyNumberFormat="1" applyFont="1" applyFill="1" applyBorder="1" applyAlignment="1" applyProtection="1">
      <alignment vertical="center"/>
    </xf>
    <xf numFmtId="10" fontId="33" fillId="5" borderId="18" xfId="0" applyNumberFormat="1" applyFont="1" applyFill="1" applyBorder="1" applyAlignment="1" applyProtection="1">
      <alignment vertical="center"/>
    </xf>
    <xf numFmtId="10" fontId="33" fillId="5" borderId="19" xfId="0" applyNumberFormat="1" applyFont="1" applyFill="1" applyBorder="1" applyAlignment="1" applyProtection="1">
      <alignment vertical="center"/>
    </xf>
    <xf numFmtId="1" fontId="20" fillId="4" borderId="22" xfId="0" applyNumberFormat="1" applyFont="1" applyFill="1" applyBorder="1" applyAlignment="1">
      <alignment vertical="center"/>
    </xf>
    <xf numFmtId="0" fontId="10" fillId="4" borderId="24" xfId="0" applyFont="1" applyFill="1" applyBorder="1" applyAlignment="1">
      <alignment vertical="center"/>
    </xf>
    <xf numFmtId="1" fontId="40" fillId="4" borderId="4" xfId="0" applyNumberFormat="1" applyFont="1" applyFill="1" applyBorder="1" applyAlignment="1">
      <alignment vertical="center"/>
    </xf>
    <xf numFmtId="1" fontId="10" fillId="4" borderId="0" xfId="0" applyNumberFormat="1" applyFont="1" applyFill="1" applyBorder="1" applyAlignment="1">
      <alignment horizontal="center" vertical="center"/>
    </xf>
    <xf numFmtId="1" fontId="10" fillId="4" borderId="21" xfId="0" applyNumberFormat="1" applyFont="1" applyFill="1" applyBorder="1" applyAlignment="1">
      <alignment horizontal="center" vertical="center"/>
    </xf>
    <xf numFmtId="0" fontId="23" fillId="4" borderId="0" xfId="0" applyFont="1" applyFill="1" applyAlignment="1">
      <alignment horizontal="center" vertical="center" wrapText="1"/>
    </xf>
    <xf numFmtId="0" fontId="24" fillId="4" borderId="20" xfId="0" applyFont="1" applyFill="1" applyBorder="1" applyAlignment="1">
      <alignment horizontal="center" vertical="center"/>
    </xf>
    <xf numFmtId="1" fontId="36" fillId="4" borderId="20" xfId="0" applyNumberFormat="1" applyFont="1" applyFill="1" applyBorder="1" applyAlignment="1">
      <alignment horizontal="left" vertical="center"/>
    </xf>
    <xf numFmtId="1" fontId="39" fillId="4" borderId="7" xfId="0" applyNumberFormat="1" applyFont="1" applyFill="1" applyBorder="1" applyAlignment="1">
      <alignment horizontal="center" vertical="center"/>
    </xf>
    <xf numFmtId="1" fontId="39" fillId="4" borderId="0" xfId="0" applyNumberFormat="1" applyFont="1" applyFill="1" applyBorder="1" applyAlignment="1">
      <alignment horizontal="center" vertical="center"/>
    </xf>
    <xf numFmtId="1" fontId="39" fillId="4" borderId="21" xfId="0" applyNumberFormat="1" applyFont="1" applyFill="1" applyBorder="1" applyAlignment="1">
      <alignment horizontal="center" vertical="center"/>
    </xf>
    <xf numFmtId="1" fontId="39" fillId="4" borderId="3" xfId="0" applyNumberFormat="1" applyFont="1" applyFill="1" applyBorder="1" applyAlignment="1">
      <alignment horizontal="center" vertical="center"/>
    </xf>
    <xf numFmtId="1" fontId="39" fillId="4" borderId="4" xfId="0" applyNumberFormat="1" applyFont="1" applyFill="1" applyBorder="1" applyAlignment="1">
      <alignment horizontal="center" vertical="center"/>
    </xf>
    <xf numFmtId="1" fontId="39" fillId="4" borderId="5" xfId="0" applyNumberFormat="1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35" fillId="3" borderId="7" xfId="1" applyFont="1" applyFill="1" applyBorder="1" applyAlignment="1">
      <alignment horizontal="center" vertical="center"/>
    </xf>
    <xf numFmtId="0" fontId="9" fillId="3" borderId="0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24" fillId="4" borderId="24" xfId="0" applyFont="1" applyFill="1" applyBorder="1" applyAlignment="1">
      <alignment horizontal="center" vertical="center"/>
    </xf>
    <xf numFmtId="0" fontId="24" fillId="4" borderId="23" xfId="0" applyFont="1" applyFill="1" applyBorder="1" applyAlignment="1">
      <alignment horizontal="center" vertical="center"/>
    </xf>
    <xf numFmtId="1" fontId="36" fillId="4" borderId="24" xfId="0" applyNumberFormat="1" applyFont="1" applyFill="1" applyBorder="1" applyAlignment="1">
      <alignment horizontal="left" vertical="center"/>
    </xf>
    <xf numFmtId="1" fontId="36" fillId="4" borderId="23" xfId="0" applyNumberFormat="1" applyFont="1" applyFill="1" applyBorder="1" applyAlignment="1">
      <alignment horizontal="left" vertical="center"/>
    </xf>
    <xf numFmtId="0" fontId="9" fillId="3" borderId="7" xfId="1" applyFont="1" applyFill="1" applyBorder="1" applyAlignment="1">
      <alignment horizontal="center" vertical="center"/>
    </xf>
    <xf numFmtId="1" fontId="22" fillId="4" borderId="4" xfId="0" applyNumberFormat="1" applyFont="1" applyFill="1" applyBorder="1" applyAlignment="1">
      <alignment horizontal="center" vertical="center"/>
    </xf>
    <xf numFmtId="1" fontId="22" fillId="4" borderId="5" xfId="0" applyNumberFormat="1" applyFont="1" applyFill="1" applyBorder="1" applyAlignment="1">
      <alignment horizontal="center" vertical="center"/>
    </xf>
    <xf numFmtId="1" fontId="10" fillId="4" borderId="7" xfId="0" applyNumberFormat="1" applyFont="1" applyFill="1" applyBorder="1" applyAlignment="1">
      <alignment horizontal="center" vertical="center"/>
    </xf>
    <xf numFmtId="1" fontId="10" fillId="4" borderId="0" xfId="0" applyNumberFormat="1" applyFont="1" applyFill="1" applyBorder="1" applyAlignment="1">
      <alignment horizontal="center" vertical="center"/>
    </xf>
    <xf numFmtId="1" fontId="10" fillId="4" borderId="21" xfId="0" applyNumberFormat="1" applyFont="1" applyFill="1" applyBorder="1" applyAlignment="1">
      <alignment horizontal="center" vertical="center"/>
    </xf>
    <xf numFmtId="1" fontId="10" fillId="4" borderId="3" xfId="0" applyNumberFormat="1" applyFont="1" applyFill="1" applyBorder="1" applyAlignment="1">
      <alignment horizontal="center" vertical="center"/>
    </xf>
    <xf numFmtId="1" fontId="10" fillId="4" borderId="4" xfId="0" applyNumberFormat="1" applyFont="1" applyFill="1" applyBorder="1" applyAlignment="1">
      <alignment horizontal="center" vertical="center"/>
    </xf>
    <xf numFmtId="1" fontId="10" fillId="4" borderId="5" xfId="0" applyNumberFormat="1" applyFont="1" applyFill="1" applyBorder="1" applyAlignment="1">
      <alignment horizontal="center" vertical="center"/>
    </xf>
    <xf numFmtId="1" fontId="22" fillId="4" borderId="20" xfId="0" applyNumberFormat="1" applyFont="1" applyFill="1" applyBorder="1" applyAlignment="1">
      <alignment horizontal="center" vertical="center"/>
    </xf>
    <xf numFmtId="1" fontId="22" fillId="4" borderId="22" xfId="0" applyNumberFormat="1" applyFont="1" applyFill="1" applyBorder="1" applyAlignment="1">
      <alignment horizontal="left" vertical="center"/>
    </xf>
    <xf numFmtId="1" fontId="22" fillId="4" borderId="24" xfId="0" applyNumberFormat="1" applyFont="1" applyFill="1" applyBorder="1" applyAlignment="1">
      <alignment horizontal="left" vertical="center"/>
    </xf>
    <xf numFmtId="1" fontId="22" fillId="4" borderId="23" xfId="0" applyNumberFormat="1" applyFont="1" applyFill="1" applyBorder="1" applyAlignment="1">
      <alignment horizontal="left" vertical="center"/>
    </xf>
  </cellXfs>
  <cellStyles count="12">
    <cellStyle name="Amount" xfId="7" xr:uid="{00000000-0005-0000-0000-000000000000}"/>
    <cellStyle name="Comma" xfId="11" builtinId="3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Normál 2" xfId="10" xr:uid="{F0303CA5-2E0B-43AB-9C20-A3BD72CE137A}"/>
    <cellStyle name="Numbers" xfId="9" xr:uid="{00000000-0005-0000-0000-000006000000}"/>
    <cellStyle name="Table Details left" xfId="8" xr:uid="{00000000-0005-0000-0000-000007000000}"/>
    <cellStyle name="Title" xfId="1" builtinId="15" customBuiltin="1"/>
    <cellStyle name="Total" xfId="6" builtinId="25" customBuiltin="1"/>
  </cellStyles>
  <dxfs count="57">
    <dxf>
      <font>
        <strike val="0"/>
        <outline val="0"/>
        <shadow val="0"/>
        <u val="none"/>
        <vertAlign val="baseline"/>
        <sz val="14"/>
        <name val="Candara"/>
        <family val="2"/>
        <scheme val="minor"/>
      </font>
      <numFmt numFmtId="3" formatCode="#,##0"/>
      <fill>
        <patternFill patternType="none">
          <fgColor rgb="FF000000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4659260841701"/>
        <name val="Candara"/>
        <family val="2"/>
        <scheme val="minor"/>
      </font>
      <numFmt numFmtId="167" formatCode="General&quot; db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rgb="FF404040"/>
        <name val="Candara"/>
        <family val="2"/>
        <scheme val="none"/>
      </font>
      <fill>
        <patternFill patternType="none">
          <fgColor rgb="FF000000"/>
          <bgColor auto="1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name val="Candara"/>
        <family val="2"/>
        <scheme val="minor"/>
      </font>
      <numFmt numFmtId="3" formatCode="#,##0"/>
      <fill>
        <patternFill patternType="none">
          <fgColor rgb="FF000000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4659260841701"/>
        <name val="Candara"/>
        <family val="2"/>
        <scheme val="minor"/>
      </font>
      <numFmt numFmtId="167" formatCode="General&quot; db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rgb="FF404040"/>
        <name val="Candara"/>
        <family val="2"/>
        <scheme val="none"/>
      </font>
      <fill>
        <patternFill patternType="none">
          <fgColor rgb="FF000000"/>
          <bgColor auto="1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name val="Candara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4659260841701"/>
        <name val="Candara"/>
        <family val="2"/>
        <scheme val="minor"/>
      </font>
      <numFmt numFmtId="167" formatCode="General&quot; db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name val="Candara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4659260841701"/>
        <name val="Candara"/>
        <family val="2"/>
        <scheme val="minor"/>
      </font>
      <numFmt numFmtId="167" formatCode="General&quot; db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name val="Candara"/>
        <family val="2"/>
        <scheme val="minor"/>
      </font>
      <numFmt numFmtId="165" formatCode="&quot;$&quot;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4659260841701"/>
        <name val="Candara"/>
        <family val="2"/>
        <scheme val="minor"/>
      </font>
      <numFmt numFmtId="167" formatCode="General&quot; db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/>
        <bottom/>
      </border>
    </dxf>
    <dxf>
      <numFmt numFmtId="3" formatCode="#,##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4659260841701"/>
        <name val="Candara"/>
        <family val="2"/>
        <scheme val="minor"/>
      </font>
      <numFmt numFmtId="167" formatCode="General&quot; db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rgb="FF404040"/>
        <name val="Candara"/>
        <family val="2"/>
        <scheme val="none"/>
      </font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color rgb="FF92D050"/>
      </font>
    </dxf>
    <dxf>
      <font>
        <color rgb="FFC0000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2D050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20"/>
        <name val="Candara"/>
        <family val="2"/>
        <scheme val="minor"/>
      </font>
      <numFmt numFmtId="168" formatCode="0.0%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4659260841701"/>
        <name val="Candara"/>
        <family val="2"/>
        <scheme val="minor"/>
      </font>
      <numFmt numFmtId="167" formatCode="General&quot; db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rgb="FF404040"/>
        <name val="Candara"/>
        <family val="2"/>
        <scheme val="none"/>
      </font>
      <fill>
        <patternFill patternType="none">
          <fgColor rgb="FF000000"/>
          <bgColor auto="1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20"/>
        <name val="Candara"/>
        <family val="2"/>
        <scheme val="minor"/>
      </font>
      <numFmt numFmtId="168" formatCode="0.0%"/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4659260841701"/>
        <name val="Candara"/>
        <family val="2"/>
        <scheme val="minor"/>
      </font>
      <numFmt numFmtId="167" formatCode="General&quot; db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rgb="FF404040"/>
        <name val="Candara"/>
        <family val="2"/>
        <scheme val="none"/>
      </font>
      <fill>
        <patternFill patternType="none">
          <fgColor rgb="FF000000"/>
          <bgColor auto="1"/>
        </patternFill>
      </fill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20"/>
        <name val="Candara"/>
        <family val="2"/>
        <scheme val="minor"/>
      </font>
      <numFmt numFmtId="168" formatCode="0.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4659260841701"/>
        <name val="Candara"/>
        <family val="2"/>
        <scheme val="minor"/>
      </font>
      <numFmt numFmtId="167" formatCode="General&quot; db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20"/>
        <name val="Candara"/>
        <family val="2"/>
        <scheme val="minor"/>
      </font>
      <numFmt numFmtId="168" formatCode="0.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4659260841701"/>
        <name val="Candara"/>
        <family val="2"/>
        <scheme val="minor"/>
      </font>
      <numFmt numFmtId="167" formatCode="General&quot; db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20"/>
        <name val="Candara"/>
        <family val="2"/>
        <scheme val="minor"/>
      </font>
      <numFmt numFmtId="168" formatCode="0.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4659260841701"/>
        <name val="Candara"/>
        <family val="2"/>
        <scheme val="minor"/>
      </font>
      <numFmt numFmtId="167" formatCode="General&quot; db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name val="Candara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0.24994659260841701"/>
        <name val="Candara"/>
        <family val="2"/>
        <scheme val="minor"/>
      </font>
      <numFmt numFmtId="167" formatCode="General&quot; db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404040"/>
        <name val="Candara"/>
        <family val="2"/>
        <scheme val="minor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Candara"/>
        <family val="2"/>
        <scheme val="minor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Candara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none"/>
      </font>
    </dxf>
    <dxf>
      <font>
        <b/>
        <i val="0"/>
        <color theme="8" tint="-0.24994659260841701"/>
      </font>
      <fill>
        <patternFill patternType="solid">
          <fgColor theme="6" tint="0.79998168889431442"/>
          <bgColor theme="6" tint="0.79995117038483843"/>
        </patternFill>
      </fill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/>
      </border>
    </dxf>
    <dxf>
      <font>
        <b/>
        <i val="0"/>
        <color theme="8" tint="-0.24994659260841701"/>
      </font>
      <fill>
        <patternFill>
          <fgColor theme="8" tint="0.79998168889431442"/>
          <bgColor theme="8" tint="0.79995117038483843"/>
        </patternFill>
      </fill>
    </dxf>
    <dxf>
      <font>
        <b val="0"/>
        <i val="0"/>
        <color theme="1" tint="0.24994659260841701"/>
      </font>
      <fill>
        <patternFill patternType="solid">
          <fgColor theme="6" tint="0.79998168889431442"/>
          <bgColor theme="6" tint="0.79995117038483843"/>
        </patternFill>
      </fill>
      <border diagonalUp="0" diagonalDown="0">
        <left style="medium">
          <color theme="8"/>
        </left>
        <right style="medium">
          <color theme="8"/>
        </right>
        <top style="medium">
          <color theme="8"/>
        </top>
        <bottom style="medium">
          <color theme="8"/>
        </bottom>
        <vertical/>
        <horizontal style="thin">
          <color theme="8"/>
        </horizontal>
      </border>
    </dxf>
  </dxfs>
  <tableStyles count="1" defaultTableStyle="Online sales tracker" defaultPivotStyle="PivotStyleLight16">
    <tableStyle name="Online sales tracker" pivot="0" count="3" xr9:uid="{00000000-0011-0000-FFFF-FFFF00000000}">
      <tableStyleElement type="wholeTable" dxfId="56"/>
      <tableStyleElement type="headerRow" dxfId="55"/>
      <tableStyleElement type="totalRow" dxfId="54"/>
    </tableStyle>
  </tableStyles>
  <colors>
    <mruColors>
      <color rgb="FFAAAEEA"/>
      <color rgb="FFF9EEE6"/>
      <color rgb="FFF3E0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Actual Values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1D61041-92C5-43E3-84E4-FA7DB972913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17C-474F-9450-7D4441BD49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94A3E13-0B0A-442B-AC35-9F23A517E97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17C-474F-9450-7D4441BD49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5FBDE9D-E3FC-4B4B-9490-AA8215E4E6C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17C-474F-9450-7D4441BD49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A0992AB-2C69-4A94-9021-F5D18596E9B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6DF-402C-83A2-3A41298D87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8DD9C07-CEEB-4446-A271-433CC9F6FFE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6DF-402C-83A2-3A41298D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Riport!$E$7:$I$7</c:f>
              <c:strCache>
                <c:ptCount val="5"/>
                <c:pt idx="0">
                  <c:v>Coffee</c:v>
                </c:pt>
                <c:pt idx="1">
                  <c:v>Sandwich</c:v>
                </c:pt>
                <c:pt idx="2">
                  <c:v>Hot-Dog</c:v>
                </c:pt>
                <c:pt idx="3">
                  <c:v>Gastro Waste</c:v>
                </c:pt>
                <c:pt idx="4">
                  <c:v>Drygoods Waste</c:v>
                </c:pt>
              </c:strCache>
            </c:strRef>
          </c:cat>
          <c:val>
            <c:numRef>
              <c:f>Riport!$E$10:$I$10</c:f>
              <c:numCache>
                <c:formatCode>0.00%</c:formatCode>
                <c:ptCount val="5"/>
                <c:pt idx="0">
                  <c:v>0.71417846067500912</c:v>
                </c:pt>
                <c:pt idx="1">
                  <c:v>0.68435217996352682</c:v>
                </c:pt>
                <c:pt idx="2">
                  <c:v>0.80451256027699092</c:v>
                </c:pt>
                <c:pt idx="3">
                  <c:v>1.0821438143512996</c:v>
                </c:pt>
                <c:pt idx="4">
                  <c:v>0.4959578891289832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Riport!$E$8:$I$8</c15:f>
                <c15:dlblRangeCache>
                  <c:ptCount val="5"/>
                  <c:pt idx="0">
                    <c:v> 0.12 </c:v>
                  </c:pt>
                  <c:pt idx="1">
                    <c:v> 0.02 </c:v>
                  </c:pt>
                  <c:pt idx="2">
                    <c:v> 0.12 </c:v>
                  </c:pt>
                  <c:pt idx="3">
                    <c:v> 0.13 </c:v>
                  </c:pt>
                  <c:pt idx="4">
                    <c:v> 0.02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917C-474F-9450-7D4441BD4966}"/>
            </c:ext>
          </c:extLst>
        </c:ser>
        <c:ser>
          <c:idx val="0"/>
          <c:order val="1"/>
          <c:tx>
            <c:v>SES Category Average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977412C-08F4-481C-A70B-55555307230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17C-474F-9450-7D4441BD49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C12CD97-3510-4737-B5DF-B7607E613C2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17C-474F-9450-7D4441BD49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DC20321-268F-4441-8931-9054CF10288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17C-474F-9450-7D4441BD49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54F22B6-CE67-483C-9E3D-93DC48D613B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6DF-402C-83A2-3A41298D87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2742167-A0B8-465B-AA73-E5944A8EE2F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6DF-402C-83A2-3A41298D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Riport!$E$7:$I$7</c:f>
              <c:strCache>
                <c:ptCount val="5"/>
                <c:pt idx="0">
                  <c:v>Coffee</c:v>
                </c:pt>
                <c:pt idx="1">
                  <c:v>Sandwich</c:v>
                </c:pt>
                <c:pt idx="2">
                  <c:v>Hot-Dog</c:v>
                </c:pt>
                <c:pt idx="3">
                  <c:v>Gastro Waste</c:v>
                </c:pt>
                <c:pt idx="4">
                  <c:v>Drygoods Waste</c:v>
                </c:pt>
              </c:strCache>
            </c:strRef>
          </c:ca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val>
          <c:extLst>
            <c:ext xmlns:c15="http://schemas.microsoft.com/office/drawing/2012/chart" uri="{02D57815-91ED-43cb-92C2-25804820EDAC}">
              <c15:datalabelsRange>
                <c15:f>Riport!$E$9:$I$9</c15:f>
                <c15:dlblRangeCache>
                  <c:ptCount val="5"/>
                  <c:pt idx="0">
                    <c:v> 0.17 </c:v>
                  </c:pt>
                  <c:pt idx="1">
                    <c:v> 0.03 </c:v>
                  </c:pt>
                  <c:pt idx="2">
                    <c:v> 0.15 </c:v>
                  </c:pt>
                  <c:pt idx="3">
                    <c:v> 0.12 </c:v>
                  </c:pt>
                  <c:pt idx="4">
                    <c:v> 0.05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917C-474F-9450-7D4441BD4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3554335"/>
        <c:axId val="543418671"/>
      </c:barChart>
      <c:catAx>
        <c:axId val="91355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418671"/>
        <c:crosses val="autoZero"/>
        <c:auto val="1"/>
        <c:lblAlgn val="ctr"/>
        <c:lblOffset val="100"/>
        <c:noMultiLvlLbl val="0"/>
      </c:catAx>
      <c:valAx>
        <c:axId val="5434186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crossAx val="91355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54843061972626"/>
          <c:y val="0.21974866218904332"/>
          <c:w val="0.38416471727441837"/>
          <c:h val="0.59996841721872862"/>
        </c:manualLayout>
      </c:layout>
      <c:pieChart>
        <c:varyColors val="1"/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9091860354805047"/>
          <c:w val="1"/>
          <c:h val="6.67175789773266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Tény adatok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0-550E-4D72-91BE-2877E938171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1-550E-4D72-91BE-2877E938171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2-550E-4D72-91BE-2877E938171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3-550E-4D72-91BE-2877E938171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4-550E-4D72-91BE-2877E93817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'SÉM-Riport'!$E$6:$I$6</c:f>
              <c:strCache>
                <c:ptCount val="5"/>
                <c:pt idx="0">
                  <c:v>Fajlagos Eladott Kávé Darabszám Összes Tranzakcióhoz</c:v>
                </c:pt>
                <c:pt idx="1">
                  <c:v>Fajlagos Eladott Szendvics Darabszám Összes Tranzakcióhoz</c:v>
                </c:pt>
                <c:pt idx="2">
                  <c:v>Fajlagos Eladott Hot-Dog Darabszám Összes Tranzakcióhoz</c:v>
                </c:pt>
                <c:pt idx="3">
                  <c:v>Fajlagos Gasztró Selejt Darabszám Összes Tranzakcióhoz</c:v>
                </c:pt>
                <c:pt idx="4">
                  <c:v>Fajlagos Szárazáru Selejt Összes Tranzakcióhoz</c:v>
                </c:pt>
              </c:strCache>
            </c:strRef>
          </c:cat>
          <c:val>
            <c:numRef>
              <c:f>'SÉM-Riport'!$E$9:$I$9</c:f>
              <c:numCache>
                <c:formatCode>0.00%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'SÉM-Riport'!$E$7:$I$7</c15:f>
                <c15:dlblRangeCache>
                  <c:ptCount val="5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550E-4D72-91BE-2877E938171A}"/>
            </c:ext>
          </c:extLst>
        </c:ser>
        <c:ser>
          <c:idx val="0"/>
          <c:order val="1"/>
          <c:tx>
            <c:v>Kút kategória átlag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0E75510-768D-4AA9-AF4C-12C49F51A71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50E-4D72-91BE-2877E938171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D104859-C6D2-4DBF-8A29-EA4F0AA1756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50E-4D72-91BE-2877E938171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29B9DCE-A50B-44CD-9F13-08E17335586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50E-4D72-91BE-2877E938171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7FF71E4-1C45-463C-BF32-FF22B4CED5D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50E-4D72-91BE-2877E938171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FC5C01C-868B-4540-AA56-BEC72D5676B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50E-4D72-91BE-2877E93817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'SÉM-Riport'!$E$6:$I$6</c:f>
              <c:strCache>
                <c:ptCount val="5"/>
                <c:pt idx="0">
                  <c:v>Fajlagos Eladott Kávé Darabszám Összes Tranzakcióhoz</c:v>
                </c:pt>
                <c:pt idx="1">
                  <c:v>Fajlagos Eladott Szendvics Darabszám Összes Tranzakcióhoz</c:v>
                </c:pt>
                <c:pt idx="2">
                  <c:v>Fajlagos Eladott Hot-Dog Darabszám Összes Tranzakcióhoz</c:v>
                </c:pt>
                <c:pt idx="3">
                  <c:v>Fajlagos Gasztró Selejt Darabszám Összes Tranzakcióhoz</c:v>
                </c:pt>
                <c:pt idx="4">
                  <c:v>Fajlagos Szárazáru Selejt Összes Tranzakcióhoz</c:v>
                </c:pt>
              </c:strCache>
            </c:strRef>
          </c:cat>
          <c: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val>
          <c:extLst>
            <c:ext xmlns:c15="http://schemas.microsoft.com/office/drawing/2012/chart" uri="{02D57815-91ED-43cb-92C2-25804820EDAC}">
              <c15:datalabelsRange>
                <c15:f>'SÉM-Riport'!$E$8:$I$8</c15:f>
                <c15:dlblRangeCache>
                  <c:ptCount val="5"/>
                  <c:pt idx="0">
                    <c:v>#DIV/0!</c:v>
                  </c:pt>
                  <c:pt idx="1">
                    <c:v>#DIV/0!</c:v>
                  </c:pt>
                  <c:pt idx="2">
                    <c:v>#DIV/0!</c:v>
                  </c:pt>
                  <c:pt idx="3">
                    <c:v>#DIV/0!</c:v>
                  </c:pt>
                  <c:pt idx="4">
                    <c:v>#DIV/0!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550E-4D72-91BE-2877E9381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3554335"/>
        <c:axId val="543418671"/>
      </c:barChart>
      <c:catAx>
        <c:axId val="91355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418671"/>
        <c:crosses val="autoZero"/>
        <c:auto val="1"/>
        <c:lblAlgn val="ctr"/>
        <c:lblOffset val="100"/>
        <c:noMultiLvlLbl val="0"/>
      </c:catAx>
      <c:valAx>
        <c:axId val="5434186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crossAx val="91355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1452788</xdr:colOff>
      <xdr:row>3</xdr:row>
      <xdr:rowOff>9525</xdr:rowOff>
    </xdr:from>
    <xdr:to>
      <xdr:col>9</xdr:col>
      <xdr:colOff>1426482</xdr:colOff>
      <xdr:row>4</xdr:row>
      <xdr:rowOff>3771900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DE211D68-36ED-44B8-87FD-DB3DE5F85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</xdr:colOff>
      <xdr:row>0</xdr:row>
      <xdr:rowOff>1790700</xdr:rowOff>
    </xdr:from>
    <xdr:to>
      <xdr:col>10</xdr:col>
      <xdr:colOff>1475255</xdr:colOff>
      <xdr:row>4</xdr:row>
      <xdr:rowOff>2570647</xdr:rowOff>
    </xdr:to>
    <xdr:graphicFrame macro="">
      <xdr:nvGraphicFramePr>
        <xdr:cNvPr id="2" name="ProductIncomePctChart" descr="Each product charted in a pie chart, showing their percentage of a whole by income">
          <a:extLst>
            <a:ext uri="{FF2B5EF4-FFF2-40B4-BE49-F238E27FC236}">
              <a16:creationId xmlns:a16="http://schemas.microsoft.com/office/drawing/2014/main" id="{B3E27306-71AE-41C0-8DE4-F6DB8A748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7470</xdr:colOff>
      <xdr:row>3</xdr:row>
      <xdr:rowOff>612590</xdr:rowOff>
    </xdr:from>
    <xdr:to>
      <xdr:col>9</xdr:col>
      <xdr:colOff>1389530</xdr:colOff>
      <xdr:row>4</xdr:row>
      <xdr:rowOff>3249706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D8D2E2F-398A-4892-A19B-88DA4234B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olonline-my.sharepoint.com/personal/issoltesz_molgroup_info/Documents/Feladatok/2024_12/Andrisnak%20BPI/BPI_adatok.xlsx" TargetMode="External"/><Relationship Id="rId1" Type="http://schemas.openxmlformats.org/officeDocument/2006/relationships/externalLinkPath" Target="file:///C:\Users\gapataki\AppData\Local\Microsoft\Windows\INetCache\Content.Outlook\JAJ38823\BPI_adatok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olonline-my.sharepoint.com/personal/issoltesz_molgroup_info/Documents/Feladatok/2024_12/Andrisnak%20BPI/t&#233;ny_&#233;s_terv_adatok/k&#225;v&#233;_hot-dog_szendvics_&#233;s_pizza-wrap_&#233;rt&#233;kes&#237;tett-mennyis&#233;g_es_gastro_&#233;rt&#233;kes&#237;t&#233;si_&#225;tlag_t&#246;lt&#337;&#225;llom&#225;sonk&#233;nt_t&#233;ny_&#233;s_terv.xlsx" TargetMode="External"/><Relationship Id="rId2" Type="http://schemas.microsoft.com/office/2019/04/relationships/externalLinkLongPath" Target="file:///C:\Users\gapataki\AppData\Local\Microsoft\Windows\INetCache\Content.Outlook\JAJ38823\t&#233;ny_&#233;s_terv_adatok\k&#225;v&#233;_hot-dog_szendvics_&#233;s_pizza-wrap_&#233;rt&#233;kes&#237;tett-mennyis&#233;g_es_gastro_&#233;rt&#233;kes&#237;t&#233;si_&#225;tlag_t&#246;lt&#337;&#225;llom&#225;sonk&#233;nt_t&#233;ny_&#233;s_terv.xlsx?7B777B78" TargetMode="External"/><Relationship Id="rId1" Type="http://schemas.openxmlformats.org/officeDocument/2006/relationships/externalLinkPath" Target="file:///\\7B777B78\k&#225;v&#233;_hot-dog_szendvics_&#233;s_pizza-wrap_&#233;rt&#233;kes&#237;tett-mennyis&#233;g_es_gastro_&#233;rt&#233;kes&#237;t&#233;si_&#225;tlag_t&#246;lt&#337;&#225;llom&#225;sonk&#233;nt_t&#233;ny_&#233;s_ter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Forgalom és raktárkészlet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F50B63-B572-4316-8735-4B1043B49A17}" name="Table7" displayName="Table7" ref="B1:F4" totalsRowShown="0" headerRowDxfId="53" dataDxfId="52">
  <autoFilter ref="B1:F4" xr:uid="{E4F50B63-B572-4316-8735-4B1043B49A17}"/>
  <tableColumns count="5">
    <tableColumn id="1" xr3:uid="{1B27C72E-A723-4B1B-81C9-2022F53C6A36}" name="Coffee" dataDxfId="51">
      <calculatedColumnFormula>AVERAGEIFS('Data 2024'!I:I,'Data 2024'!$D:$D,$A2)</calculatedColumnFormula>
    </tableColumn>
    <tableColumn id="2" xr3:uid="{7A722C7A-05DB-4079-BB7B-19A175A59404}" name="Sandwich" dataDxfId="50">
      <calculatedColumnFormula>AVERAGEIFS('Data 2024'!J:J,'Data 2024'!$D:$D,$A2)</calculatedColumnFormula>
    </tableColumn>
    <tableColumn id="3" xr3:uid="{1FFB5C86-8A50-41CB-85AF-71BC3B370354}" name="Hot-Dog" dataDxfId="49">
      <calculatedColumnFormula>AVERAGEIFS('Data 2024'!K:K,'Data 2024'!$D:$D,$A2)</calculatedColumnFormula>
    </tableColumn>
    <tableColumn id="4" xr3:uid="{A426D54B-27D4-438F-A92A-FB6959756D17}" name="Gastro Waste" dataDxfId="48">
      <calculatedColumnFormula>AVERAGEIFS('Data 2024'!P:P,'Data 2024'!$D:$D,$A2)</calculatedColumnFormula>
    </tableColumn>
    <tableColumn id="5" xr3:uid="{16BCA138-39BE-4BF2-8D1E-FE144A7AF901}" name="Drygoods Waste" dataDxfId="47">
      <calculatedColumnFormula>AVERAGEIFS('Data 2024'!Q:Q,'Data 2024'!$D:$D,$A2)</calculatedColumnFormula>
    </tableColumn>
  </tableColumns>
  <tableStyleInfo name="Online sales tracker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108477-C687-4121-8888-D729A4945EA9}" name="Sales6" displayName="Sales6" ref="D9:I10" headerRowCount="0" headerRowDxfId="46" dataDxfId="45" totalsRowDxfId="44">
  <tableColumns count="6">
    <tableColumn id="5" xr3:uid="{24A4C07A-31A3-40BD-B6F5-EA43F5F86649}" name="Oszlop4" headerRowDxfId="42" dataDxfId="41" totalsRowDxfId="43" headerRowCellStyle="Amount"/>
    <tableColumn id="7" xr3:uid="{A0A3F6C7-1874-4B0A-BA43-BED0EAB0D72D}" name="Oszlop6" headerRowDxfId="39" dataDxfId="38" totalsRowDxfId="40" headerRowCellStyle="Amount"/>
    <tableColumn id="8" xr3:uid="{18A4D446-CBE6-4F50-9967-8431A16280D0}" name="Oszlop7" headerRowDxfId="36" dataDxfId="35" totalsRowDxfId="37" headerRowCellStyle="Amount"/>
    <tableColumn id="9" xr3:uid="{4A399688-5A93-40E3-94A6-4395956E4208}" name="Oszlop8" headerRowDxfId="33" dataDxfId="32" totalsRowDxfId="34" headerRowCellStyle="Amount"/>
    <tableColumn id="1" xr3:uid="{68BC69D9-6611-4C17-A7F3-76C0CDC01B83}" name="Oszlop1" headerRowDxfId="30" dataDxfId="29" totalsRowDxfId="31" headerRowCellStyle="Amount"/>
    <tableColumn id="2" xr3:uid="{37FDAB79-E927-4C55-8E00-A9B72A149345}" name="Oszlop2" headerRowDxfId="27" dataDxfId="26" totalsRowDxfId="28" headerRowCellStyle="Amount"/>
  </tableColumns>
  <tableStyleInfo name="Online sales tracker" showFirstColumn="0" showLastColumn="0" showRowStripes="0" showColumnStripes="0"/>
  <extLst>
    <ext xmlns:x14="http://schemas.microsoft.com/office/spreadsheetml/2009/9/main" uri="{504A1905-F514-4f6f-8877-14C23A59335A}">
      <x14:table altTextSummary="Enter Item, Cost, Percent Markup, Total Sold, Shipping charge &amp; costs per item, &amp; Returns in this table. Total Revenue &amp; Income, &amp; Profit per Item are automatically calculated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9E1F6E-B930-41B9-8EF3-339EB6B71967}" name="Sales62" displayName="Sales62" ref="D8:I9" headerRowCount="0" headerRowDxfId="20" dataDxfId="19" totalsRowDxfId="18">
  <tableColumns count="6">
    <tableColumn id="5" xr3:uid="{1DAFB120-E28E-4E1C-8DFA-2CAD081A25CD}" name="Oszlop4" headerRowDxfId="16" dataDxfId="15" totalsRowDxfId="17" headerRowCellStyle="Amount"/>
    <tableColumn id="7" xr3:uid="{4F7D4FC1-8F74-4853-8100-A0FAA3B7ABF0}" name="Oszlop6" headerRowDxfId="13" dataDxfId="12" totalsRowDxfId="14" headerRowCellStyle="Amount"/>
    <tableColumn id="8" xr3:uid="{31D3B2B7-830D-46D6-B3DC-A008E33F9925}" name="Oszlop7" headerRowDxfId="10" dataDxfId="9" totalsRowDxfId="11" headerRowCellStyle="Amount"/>
    <tableColumn id="9" xr3:uid="{EBD18F19-90FC-4B44-BA96-3E7EEE283E0D}" name="Oszlop8" headerRowDxfId="7" dataDxfId="6" totalsRowDxfId="8" headerRowCellStyle="Amount"/>
    <tableColumn id="1" xr3:uid="{448D155A-4A22-4AE9-91C3-E275F22FC587}" name="Oszlop1" headerRowDxfId="4" dataDxfId="3" totalsRowDxfId="5" headerRowCellStyle="Amount"/>
    <tableColumn id="2" xr3:uid="{3FB2F1A3-87D9-4650-93A6-2CACDB334EB9}" name="Oszlop2" headerRowDxfId="1" dataDxfId="0" totalsRowDxfId="2" headerRowCellStyle="Amount"/>
  </tableColumns>
  <tableStyleInfo name="Online sales tracker" showFirstColumn="0" showLastColumn="0" showRowStripes="0" showColumnStripes="0"/>
  <extLst>
    <ext xmlns:x14="http://schemas.microsoft.com/office/spreadsheetml/2009/9/main" uri="{504A1905-F514-4f6f-8877-14C23A59335A}">
      <x14:table altTextSummary="Enter Item, Cost, Percent Markup, Total Sold, Shipping charge &amp; costs per item, &amp; Returns in this table. Total Revenue &amp; Income, &amp; Profit per Item are automatically calculated"/>
    </ext>
  </extLst>
</table>
</file>

<file path=xl/theme/theme1.xml><?xml version="1.0" encoding="utf-8"?>
<a:theme xmlns:a="http://schemas.openxmlformats.org/drawingml/2006/main" name="Office Theme">
  <a:themeElements>
    <a:clrScheme name="Custom 165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E9E5DA"/>
      </a:accent1>
      <a:accent2>
        <a:srgbClr val="C5B6E3"/>
      </a:accent2>
      <a:accent3>
        <a:srgbClr val="E1AD86"/>
      </a:accent3>
      <a:accent4>
        <a:srgbClr val="E7C4BD"/>
      </a:accent4>
      <a:accent5>
        <a:srgbClr val="AAAEEA"/>
      </a:accent5>
      <a:accent6>
        <a:srgbClr val="C7634E"/>
      </a:accent6>
      <a:hlink>
        <a:srgbClr val="D57E53"/>
      </a:hlink>
      <a:folHlink>
        <a:srgbClr val="472E15"/>
      </a:folHlink>
    </a:clrScheme>
    <a:fontScheme name="Candara">
      <a:maj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63BE-8E88-4AE0-ADE6-FB9A7A5DB06C}">
  <sheetPr codeName="Sheet2"/>
  <dimension ref="A1:Q1000"/>
  <sheetViews>
    <sheetView topLeftCell="H1" zoomScale="85" zoomScaleNormal="85" workbookViewId="0">
      <selection activeCell="A6" sqref="A6"/>
    </sheetView>
  </sheetViews>
  <sheetFormatPr defaultRowHeight="15.6"/>
  <cols>
    <col min="1" max="1" width="15" bestFit="1" customWidth="1"/>
    <col min="2" max="2" width="9.44140625" bestFit="1" customWidth="1"/>
    <col min="3" max="3" width="39.44140625" bestFit="1" customWidth="1"/>
    <col min="4" max="4" width="38" style="66" customWidth="1"/>
    <col min="5" max="5" width="38" customWidth="1"/>
    <col min="6" max="6" width="9.44140625" customWidth="1"/>
    <col min="7" max="8" width="38" bestFit="1" customWidth="1"/>
    <col min="9" max="9" width="11.5546875" style="60" bestFit="1" customWidth="1"/>
    <col min="10" max="11" width="15.88671875" style="60" bestFit="1" customWidth="1"/>
    <col min="12" max="12" width="16.33203125" style="60" bestFit="1" customWidth="1"/>
    <col min="13" max="13" width="17.5546875" style="60" bestFit="1" customWidth="1"/>
    <col min="14" max="14" width="16.21875" style="60" bestFit="1" customWidth="1"/>
    <col min="15" max="15" width="17.5546875" style="60" bestFit="1" customWidth="1"/>
    <col min="16" max="16" width="18.88671875" style="60" customWidth="1"/>
    <col min="17" max="17" width="16.6640625" style="60" bestFit="1" customWidth="1"/>
  </cols>
  <sheetData>
    <row r="1" spans="1:17" ht="48" customHeight="1">
      <c r="A1" s="74" t="s">
        <v>0</v>
      </c>
      <c r="B1" s="74" t="s">
        <v>1</v>
      </c>
      <c r="C1" s="74" t="s">
        <v>2</v>
      </c>
      <c r="D1" s="75" t="s">
        <v>3</v>
      </c>
      <c r="E1" s="74" t="s">
        <v>4</v>
      </c>
      <c r="F1" s="24" t="s">
        <v>5</v>
      </c>
      <c r="G1" s="24" t="s">
        <v>6</v>
      </c>
      <c r="H1" s="24" t="s">
        <v>7</v>
      </c>
      <c r="I1" s="72" t="s">
        <v>8</v>
      </c>
      <c r="J1" s="72" t="s">
        <v>9</v>
      </c>
      <c r="K1" s="72" t="s">
        <v>10</v>
      </c>
      <c r="L1" s="70" t="s">
        <v>11</v>
      </c>
      <c r="M1" s="70" t="s">
        <v>12</v>
      </c>
      <c r="N1" s="70" t="s">
        <v>13</v>
      </c>
      <c r="O1" s="70" t="s">
        <v>14</v>
      </c>
      <c r="P1" s="71" t="s">
        <v>15</v>
      </c>
      <c r="Q1" s="71" t="s">
        <v>16</v>
      </c>
    </row>
    <row r="2" spans="1:17">
      <c r="A2" s="23">
        <v>2476400</v>
      </c>
      <c r="B2" s="18">
        <v>422914</v>
      </c>
      <c r="C2" s="16" t="s">
        <v>17</v>
      </c>
      <c r="D2" s="67" t="s">
        <v>18</v>
      </c>
      <c r="E2" s="16">
        <v>255272</v>
      </c>
      <c r="F2" s="17">
        <v>18814</v>
      </c>
      <c r="G2" s="16">
        <v>0</v>
      </c>
      <c r="H2" s="16">
        <v>24863</v>
      </c>
      <c r="I2" s="59">
        <f>F2/$E2</f>
        <v>7.3701776928139395E-2</v>
      </c>
      <c r="J2" s="59">
        <f t="shared" ref="J2" si="0">G2/$E2</f>
        <v>0</v>
      </c>
      <c r="K2" s="59">
        <f>H2/$E2</f>
        <v>9.7398069510169549E-2</v>
      </c>
      <c r="L2" s="73">
        <v>-1091068.2548999984</v>
      </c>
      <c r="M2" s="73">
        <v>16679163.742099982</v>
      </c>
      <c r="N2" s="73">
        <v>-2078001.259000001</v>
      </c>
      <c r="O2" s="73">
        <v>56179729.857899345</v>
      </c>
      <c r="P2" s="61">
        <f>ABS(L2/M2)</f>
        <v>6.5415045488523282E-2</v>
      </c>
      <c r="Q2" s="61">
        <f>ABS(N2/O2)</f>
        <v>3.6988452316450871E-2</v>
      </c>
    </row>
    <row r="3" spans="1:17">
      <c r="A3" s="23">
        <v>2479700</v>
      </c>
      <c r="B3" s="18">
        <v>298881</v>
      </c>
      <c r="C3" s="16" t="s">
        <v>19</v>
      </c>
      <c r="D3" s="67" t="s">
        <v>20</v>
      </c>
      <c r="E3" s="16">
        <v>244384</v>
      </c>
      <c r="F3" s="17">
        <v>16188</v>
      </c>
      <c r="G3" s="16">
        <v>3418</v>
      </c>
      <c r="H3" s="16">
        <v>19772.000001</v>
      </c>
      <c r="I3" s="59">
        <f t="shared" ref="I3:I64" si="1">F3/$E3</f>
        <v>6.6240015712976302E-2</v>
      </c>
      <c r="J3" s="59">
        <f t="shared" ref="J3:J64" si="2">G3/$E3</f>
        <v>1.3986185675003274E-2</v>
      </c>
      <c r="K3" s="59">
        <f t="shared" ref="K3:K64" si="3">H3/$E3</f>
        <v>8.090546026335603E-2</v>
      </c>
      <c r="L3" s="73">
        <v>-3053288.9356000628</v>
      </c>
      <c r="M3" s="73">
        <v>15194091.908798883</v>
      </c>
      <c r="N3" s="73">
        <v>-2105215.2165999962</v>
      </c>
      <c r="O3" s="73">
        <v>36784412.32909745</v>
      </c>
      <c r="P3" s="61">
        <f t="shared" ref="P3:P64" si="4">ABS(L3/M3)</f>
        <v>0.2009523803019716</v>
      </c>
      <c r="Q3" s="61">
        <f t="shared" ref="Q3:Q64" si="5">ABS(N3/O3)</f>
        <v>5.7231177102011629E-2</v>
      </c>
    </row>
    <row r="4" spans="1:17">
      <c r="A4" s="23">
        <v>2496700</v>
      </c>
      <c r="B4" s="18">
        <v>683860</v>
      </c>
      <c r="C4" s="16" t="s">
        <v>21</v>
      </c>
      <c r="D4" s="67" t="s">
        <v>18</v>
      </c>
      <c r="E4" s="16">
        <v>167983</v>
      </c>
      <c r="F4" s="17">
        <v>18596</v>
      </c>
      <c r="G4" s="16">
        <v>2996</v>
      </c>
      <c r="H4" s="16">
        <v>18127</v>
      </c>
      <c r="I4" s="59">
        <f t="shared" si="1"/>
        <v>0.11070167814600287</v>
      </c>
      <c r="J4" s="59">
        <f t="shared" si="2"/>
        <v>1.7835138079448514E-2</v>
      </c>
      <c r="K4" s="59">
        <f t="shared" si="3"/>
        <v>0.10790972896066864</v>
      </c>
      <c r="L4" s="73">
        <v>-957793.14789999567</v>
      </c>
      <c r="M4" s="73">
        <v>13535084.375199949</v>
      </c>
      <c r="N4" s="73">
        <v>-990494.96919999982</v>
      </c>
      <c r="O4" s="73">
        <v>20315550.91049983</v>
      </c>
      <c r="P4" s="61">
        <f t="shared" si="4"/>
        <v>7.0763736771005281E-2</v>
      </c>
      <c r="Q4" s="61">
        <f t="shared" si="5"/>
        <v>4.8755506240693441E-2</v>
      </c>
    </row>
    <row r="5" spans="1:17">
      <c r="A5" s="23">
        <v>2506300</v>
      </c>
      <c r="B5" s="18">
        <v>538107</v>
      </c>
      <c r="C5" s="16" t="s">
        <v>22</v>
      </c>
      <c r="D5" s="67" t="s">
        <v>20</v>
      </c>
      <c r="E5" s="16">
        <v>190045</v>
      </c>
      <c r="F5" s="17">
        <v>22606</v>
      </c>
      <c r="G5" s="16">
        <v>4308</v>
      </c>
      <c r="H5" s="16">
        <v>22402</v>
      </c>
      <c r="I5" s="59">
        <f t="shared" si="1"/>
        <v>0.11895077481649083</v>
      </c>
      <c r="J5" s="59">
        <f t="shared" si="2"/>
        <v>2.2668315398984451E-2</v>
      </c>
      <c r="K5" s="59">
        <f t="shared" si="3"/>
        <v>0.11787734483938014</v>
      </c>
      <c r="L5" s="73">
        <v>-3456817.2159000095</v>
      </c>
      <c r="M5" s="73">
        <v>25635736.700499788</v>
      </c>
      <c r="N5" s="73">
        <v>-1282625.3547000007</v>
      </c>
      <c r="O5" s="73">
        <v>56812064.414799474</v>
      </c>
      <c r="P5" s="61">
        <f t="shared" si="4"/>
        <v>0.13484368544917286</v>
      </c>
      <c r="Q5" s="61">
        <f t="shared" si="5"/>
        <v>2.2576636985680076E-2</v>
      </c>
    </row>
    <row r="6" spans="1:17">
      <c r="A6" s="23">
        <v>2515100</v>
      </c>
      <c r="B6" s="18">
        <v>460794</v>
      </c>
      <c r="C6" s="16" t="s">
        <v>23</v>
      </c>
      <c r="D6" s="67" t="s">
        <v>20</v>
      </c>
      <c r="E6" s="16">
        <v>196344</v>
      </c>
      <c r="F6" s="17">
        <v>24361</v>
      </c>
      <c r="G6" s="16">
        <v>6556</v>
      </c>
      <c r="H6" s="16">
        <v>21812</v>
      </c>
      <c r="I6" s="59">
        <f t="shared" si="1"/>
        <v>0.12407305545369351</v>
      </c>
      <c r="J6" s="59">
        <f t="shared" si="2"/>
        <v>3.3390376074644498E-2</v>
      </c>
      <c r="K6" s="59">
        <f t="shared" si="3"/>
        <v>0.11109073870349997</v>
      </c>
      <c r="L6" s="73">
        <v>-2972137.6043000682</v>
      </c>
      <c r="M6" s="73">
        <v>21890238.285201948</v>
      </c>
      <c r="N6" s="73">
        <v>-934213.46379999921</v>
      </c>
      <c r="O6" s="73">
        <v>28602300.569895715</v>
      </c>
      <c r="P6" s="61">
        <f t="shared" si="4"/>
        <v>0.13577456606807553</v>
      </c>
      <c r="Q6" s="61">
        <f t="shared" si="5"/>
        <v>3.2662179096994412E-2</v>
      </c>
    </row>
    <row r="7" spans="1:17">
      <c r="A7" s="23">
        <v>2526600</v>
      </c>
      <c r="B7" s="18">
        <v>941576</v>
      </c>
      <c r="C7" s="16" t="s">
        <v>24</v>
      </c>
      <c r="D7" s="67" t="s">
        <v>18</v>
      </c>
      <c r="E7" s="16">
        <v>109413</v>
      </c>
      <c r="F7" s="17">
        <v>11289</v>
      </c>
      <c r="G7" s="16">
        <v>1271</v>
      </c>
      <c r="H7" s="16">
        <v>16230</v>
      </c>
      <c r="I7" s="59">
        <f t="shared" si="1"/>
        <v>0.10317786734665899</v>
      </c>
      <c r="J7" s="59">
        <f t="shared" si="2"/>
        <v>1.1616535512233465E-2</v>
      </c>
      <c r="K7" s="59">
        <f t="shared" si="3"/>
        <v>0.14833703490444464</v>
      </c>
      <c r="L7" s="73">
        <v>-1658093.198300007</v>
      </c>
      <c r="M7" s="73">
        <v>11554653.394999957</v>
      </c>
      <c r="N7" s="73">
        <v>-1982775.2623999987</v>
      </c>
      <c r="O7" s="73">
        <v>15517224.666897932</v>
      </c>
      <c r="P7" s="61">
        <f t="shared" si="4"/>
        <v>0.14350003774388537</v>
      </c>
      <c r="Q7" s="61">
        <f t="shared" si="5"/>
        <v>0.12777898786435357</v>
      </c>
    </row>
    <row r="8" spans="1:17">
      <c r="A8" s="23">
        <v>2551300</v>
      </c>
      <c r="B8" s="18">
        <v>503516</v>
      </c>
      <c r="C8" s="16" t="s">
        <v>25</v>
      </c>
      <c r="D8" s="67" t="s">
        <v>18</v>
      </c>
      <c r="E8" s="16">
        <v>165545</v>
      </c>
      <c r="F8" s="17">
        <v>14210.999997999999</v>
      </c>
      <c r="G8" s="16">
        <v>2134</v>
      </c>
      <c r="H8" s="16">
        <v>21503</v>
      </c>
      <c r="I8" s="59">
        <f t="shared" si="1"/>
        <v>8.5843728279319811E-2</v>
      </c>
      <c r="J8" s="59">
        <f t="shared" si="2"/>
        <v>1.289075477966716E-2</v>
      </c>
      <c r="K8" s="59">
        <f t="shared" si="3"/>
        <v>0.12989217433326286</v>
      </c>
      <c r="L8" s="73">
        <v>-1736038.5795000049</v>
      </c>
      <c r="M8" s="73">
        <v>15473643.284299921</v>
      </c>
      <c r="N8" s="73">
        <v>-2103475.0352999982</v>
      </c>
      <c r="O8" s="73">
        <v>23506255.540199831</v>
      </c>
      <c r="P8" s="61">
        <f t="shared" si="4"/>
        <v>0.11219326616256224</v>
      </c>
      <c r="Q8" s="61">
        <f t="shared" si="5"/>
        <v>8.948575547061019E-2</v>
      </c>
    </row>
    <row r="9" spans="1:17">
      <c r="A9" s="23">
        <v>2553500</v>
      </c>
      <c r="B9" s="18">
        <v>391003</v>
      </c>
      <c r="C9" s="16" t="s">
        <v>26</v>
      </c>
      <c r="D9" s="67" t="s">
        <v>20</v>
      </c>
      <c r="E9" s="16">
        <v>158937</v>
      </c>
      <c r="F9" s="17">
        <v>13019.000002000001</v>
      </c>
      <c r="G9" s="16">
        <v>3228</v>
      </c>
      <c r="H9" s="16">
        <v>18536.000002000001</v>
      </c>
      <c r="I9" s="59">
        <f t="shared" si="1"/>
        <v>8.191295923542033E-2</v>
      </c>
      <c r="J9" s="59">
        <f t="shared" si="2"/>
        <v>2.030993412484192E-2</v>
      </c>
      <c r="K9" s="59">
        <f t="shared" si="3"/>
        <v>0.11662482620157673</v>
      </c>
      <c r="L9" s="73">
        <v>-3816889.8880000496</v>
      </c>
      <c r="M9" s="73">
        <v>14217567.357297912</v>
      </c>
      <c r="N9" s="73">
        <v>-1896212.9643000024</v>
      </c>
      <c r="O9" s="73">
        <v>16230914.154801978</v>
      </c>
      <c r="P9" s="61">
        <f t="shared" si="4"/>
        <v>0.26846293687793438</v>
      </c>
      <c r="Q9" s="61">
        <f t="shared" si="5"/>
        <v>0.11682724375318075</v>
      </c>
    </row>
    <row r="10" spans="1:17">
      <c r="A10" s="23">
        <v>2555200</v>
      </c>
      <c r="B10" s="18">
        <v>702455</v>
      </c>
      <c r="C10" s="16" t="s">
        <v>27</v>
      </c>
      <c r="D10" s="67" t="s">
        <v>20</v>
      </c>
      <c r="E10" s="16">
        <v>195575</v>
      </c>
      <c r="F10" s="17">
        <v>20767</v>
      </c>
      <c r="G10" s="16">
        <v>5136</v>
      </c>
      <c r="H10" s="16">
        <v>27254</v>
      </c>
      <c r="I10" s="59">
        <f t="shared" si="1"/>
        <v>0.10618432826281478</v>
      </c>
      <c r="J10" s="59">
        <f t="shared" si="2"/>
        <v>2.6261025182155184E-2</v>
      </c>
      <c r="K10" s="59">
        <f t="shared" si="3"/>
        <v>0.13935318931356258</v>
      </c>
      <c r="L10" s="73">
        <v>-3685698.1106000408</v>
      </c>
      <c r="M10" s="73">
        <v>23398509.594299845</v>
      </c>
      <c r="N10" s="73">
        <v>-5039521.1761000026</v>
      </c>
      <c r="O10" s="73">
        <v>32866386.559897639</v>
      </c>
      <c r="P10" s="61">
        <f t="shared" si="4"/>
        <v>0.15751849902003676</v>
      </c>
      <c r="Q10" s="61">
        <f t="shared" si="5"/>
        <v>0.15333359409363978</v>
      </c>
    </row>
    <row r="11" spans="1:17">
      <c r="A11" s="23">
        <v>2581500</v>
      </c>
      <c r="B11" s="18">
        <v>296777</v>
      </c>
      <c r="C11" s="16" t="s">
        <v>28</v>
      </c>
      <c r="D11" s="67" t="s">
        <v>20</v>
      </c>
      <c r="E11" s="16">
        <v>365322</v>
      </c>
      <c r="F11" s="17">
        <v>39188.999997999999</v>
      </c>
      <c r="G11" s="16">
        <v>7651</v>
      </c>
      <c r="H11" s="16">
        <v>60242.000006000002</v>
      </c>
      <c r="I11" s="59">
        <f t="shared" si="1"/>
        <v>0.10727248837463936</v>
      </c>
      <c r="J11" s="59">
        <f t="shared" si="2"/>
        <v>2.0943167944990994E-2</v>
      </c>
      <c r="K11" s="59">
        <f t="shared" si="3"/>
        <v>0.16490110096298607</v>
      </c>
      <c r="L11" s="73">
        <v>-3266906.9710000535</v>
      </c>
      <c r="M11" s="73">
        <v>46428657.766797647</v>
      </c>
      <c r="N11" s="73">
        <v>-2566189.9944999996</v>
      </c>
      <c r="O11" s="73">
        <v>84220818.45001334</v>
      </c>
      <c r="P11" s="61">
        <f t="shared" si="4"/>
        <v>7.0364019296209432E-2</v>
      </c>
      <c r="Q11" s="61">
        <f t="shared" si="5"/>
        <v>3.0469782195515972E-2</v>
      </c>
    </row>
    <row r="12" spans="1:17">
      <c r="A12" s="23">
        <v>2582200</v>
      </c>
      <c r="B12" s="18">
        <v>560301</v>
      </c>
      <c r="C12" s="16" t="s">
        <v>29</v>
      </c>
      <c r="D12" s="67" t="s">
        <v>18</v>
      </c>
      <c r="E12" s="16">
        <v>165464</v>
      </c>
      <c r="F12" s="17">
        <v>15303.999997999999</v>
      </c>
      <c r="G12" s="16">
        <v>2903.0000039999995</v>
      </c>
      <c r="H12" s="16">
        <v>24544.000008999999</v>
      </c>
      <c r="I12" s="59">
        <f t="shared" si="1"/>
        <v>9.2491418060726194E-2</v>
      </c>
      <c r="J12" s="59">
        <f t="shared" si="2"/>
        <v>1.7544601871101868E-2</v>
      </c>
      <c r="K12" s="59">
        <f t="shared" si="3"/>
        <v>0.14833438094691292</v>
      </c>
      <c r="L12" s="73">
        <v>-1853174.9311000004</v>
      </c>
      <c r="M12" s="73">
        <v>18000214.110491853</v>
      </c>
      <c r="N12" s="73">
        <v>-1767937.8020000015</v>
      </c>
      <c r="O12" s="73">
        <v>33188290.451591518</v>
      </c>
      <c r="P12" s="61">
        <f t="shared" si="4"/>
        <v>0.10295293821087569</v>
      </c>
      <c r="Q12" s="61">
        <f t="shared" si="5"/>
        <v>5.326992677066985E-2</v>
      </c>
    </row>
    <row r="13" spans="1:17">
      <c r="A13" s="23">
        <v>2583300</v>
      </c>
      <c r="B13" s="18">
        <v>1107718</v>
      </c>
      <c r="C13" s="16" t="s">
        <v>30</v>
      </c>
      <c r="D13" s="67" t="s">
        <v>31</v>
      </c>
      <c r="E13" s="16">
        <v>98824</v>
      </c>
      <c r="F13" s="17">
        <v>11025</v>
      </c>
      <c r="G13" s="16">
        <v>0</v>
      </c>
      <c r="H13" s="16">
        <v>2282</v>
      </c>
      <c r="I13" s="59">
        <f t="shared" si="1"/>
        <v>0.11156196875252974</v>
      </c>
      <c r="J13" s="59">
        <f t="shared" si="2"/>
        <v>0</v>
      </c>
      <c r="K13" s="59">
        <f t="shared" si="3"/>
        <v>2.3091556706872823E-2</v>
      </c>
      <c r="L13" s="73">
        <v>-129813.15949999999</v>
      </c>
      <c r="M13" s="73">
        <v>3415142.0817999989</v>
      </c>
      <c r="N13" s="73">
        <v>-929459.53450000077</v>
      </c>
      <c r="O13" s="73">
        <v>44295672.316701882</v>
      </c>
      <c r="P13" s="61">
        <f t="shared" si="4"/>
        <v>3.8011056755676807E-2</v>
      </c>
      <c r="Q13" s="61">
        <f t="shared" si="5"/>
        <v>2.0983077711398544E-2</v>
      </c>
    </row>
    <row r="14" spans="1:17">
      <c r="A14" s="23">
        <v>2584400</v>
      </c>
      <c r="B14" s="18">
        <v>408972</v>
      </c>
      <c r="C14" s="16" t="s">
        <v>32</v>
      </c>
      <c r="D14" s="67" t="s">
        <v>20</v>
      </c>
      <c r="E14" s="16">
        <v>279054</v>
      </c>
      <c r="F14" s="17">
        <v>29205</v>
      </c>
      <c r="G14" s="16">
        <v>4816</v>
      </c>
      <c r="H14" s="16">
        <v>37429.999997999999</v>
      </c>
      <c r="I14" s="59">
        <f t="shared" si="1"/>
        <v>0.10465716312971683</v>
      </c>
      <c r="J14" s="59">
        <f t="shared" si="2"/>
        <v>1.7258308427759501E-2</v>
      </c>
      <c r="K14" s="59">
        <f t="shared" si="3"/>
        <v>0.13413174510309833</v>
      </c>
      <c r="L14" s="73">
        <v>-2538753.4243000369</v>
      </c>
      <c r="M14" s="73">
        <v>28915606.730900571</v>
      </c>
      <c r="N14" s="73">
        <v>-1297389.8203000005</v>
      </c>
      <c r="O14" s="73">
        <v>57431331.732899994</v>
      </c>
      <c r="P14" s="61">
        <f t="shared" si="4"/>
        <v>8.7798725716759937E-2</v>
      </c>
      <c r="Q14" s="61">
        <f t="shared" si="5"/>
        <v>2.2590279228311545E-2</v>
      </c>
    </row>
    <row r="15" spans="1:17">
      <c r="A15" s="23">
        <v>2589600</v>
      </c>
      <c r="B15" s="18">
        <v>770138</v>
      </c>
      <c r="C15" s="16" t="s">
        <v>33</v>
      </c>
      <c r="D15" s="67" t="s">
        <v>20</v>
      </c>
      <c r="E15" s="16">
        <v>207237</v>
      </c>
      <c r="F15" s="17">
        <v>20766</v>
      </c>
      <c r="G15" s="16">
        <v>6501.0000019999998</v>
      </c>
      <c r="H15" s="16">
        <v>27113.000006000002</v>
      </c>
      <c r="I15" s="59">
        <f t="shared" si="1"/>
        <v>0.10020411413019875</v>
      </c>
      <c r="J15" s="59">
        <f t="shared" si="2"/>
        <v>3.1369880870693936E-2</v>
      </c>
      <c r="K15" s="59">
        <f t="shared" si="3"/>
        <v>0.13083088447526264</v>
      </c>
      <c r="L15" s="73">
        <v>-2110043.2391000073</v>
      </c>
      <c r="M15" s="73">
        <v>23130425.633803755</v>
      </c>
      <c r="N15" s="73">
        <v>-1186160.7534999985</v>
      </c>
      <c r="O15" s="73">
        <v>29747919.954200651</v>
      </c>
      <c r="P15" s="61">
        <f t="shared" si="4"/>
        <v>9.1223709952673912E-2</v>
      </c>
      <c r="Q15" s="61">
        <f t="shared" si="5"/>
        <v>3.9873737569759149E-2</v>
      </c>
    </row>
    <row r="16" spans="1:17">
      <c r="A16" s="23">
        <v>2592900</v>
      </c>
      <c r="B16" s="18">
        <v>883676</v>
      </c>
      <c r="C16" s="16" t="s">
        <v>34</v>
      </c>
      <c r="D16" s="67" t="s">
        <v>20</v>
      </c>
      <c r="E16" s="16">
        <v>362646</v>
      </c>
      <c r="F16" s="17">
        <v>28550</v>
      </c>
      <c r="G16" s="16">
        <v>6284.9999979999993</v>
      </c>
      <c r="H16" s="16">
        <v>42895</v>
      </c>
      <c r="I16" s="59">
        <f t="shared" si="1"/>
        <v>7.8726912746866093E-2</v>
      </c>
      <c r="J16" s="59">
        <f t="shared" si="2"/>
        <v>1.7330950839110314E-2</v>
      </c>
      <c r="K16" s="59">
        <f t="shared" si="3"/>
        <v>0.11828339482580809</v>
      </c>
      <c r="L16" s="73">
        <v>-2825553.5507000498</v>
      </c>
      <c r="M16" s="73">
        <v>34329713.038299911</v>
      </c>
      <c r="N16" s="73">
        <v>-1582960.5694999998</v>
      </c>
      <c r="O16" s="73">
        <v>43058704.267703392</v>
      </c>
      <c r="P16" s="61">
        <f t="shared" si="4"/>
        <v>8.2306355067626805E-2</v>
      </c>
      <c r="Q16" s="61">
        <f t="shared" si="5"/>
        <v>3.6762847290026678E-2</v>
      </c>
    </row>
    <row r="17" spans="1:17">
      <c r="A17" s="23">
        <v>2598500</v>
      </c>
      <c r="B17" s="18">
        <v>536386</v>
      </c>
      <c r="C17" s="16" t="s">
        <v>35</v>
      </c>
      <c r="D17" s="67" t="s">
        <v>18</v>
      </c>
      <c r="E17" s="16">
        <v>150750</v>
      </c>
      <c r="F17" s="17">
        <v>16566.999997999999</v>
      </c>
      <c r="G17" s="16">
        <v>3067</v>
      </c>
      <c r="H17" s="16">
        <v>19140.000002000001</v>
      </c>
      <c r="I17" s="59">
        <f t="shared" si="1"/>
        <v>0.1098971807495854</v>
      </c>
      <c r="J17" s="59">
        <f t="shared" si="2"/>
        <v>2.0344941956882256E-2</v>
      </c>
      <c r="K17" s="59">
        <f t="shared" si="3"/>
        <v>0.12696517414262024</v>
      </c>
      <c r="L17" s="73">
        <v>-1545916.7964000057</v>
      </c>
      <c r="M17" s="73">
        <v>14649235.518704947</v>
      </c>
      <c r="N17" s="73">
        <v>-1477049.5988000017</v>
      </c>
      <c r="O17" s="73">
        <v>22319465.084094029</v>
      </c>
      <c r="P17" s="61">
        <f t="shared" si="4"/>
        <v>0.10552883762610646</v>
      </c>
      <c r="Q17" s="61">
        <f t="shared" si="5"/>
        <v>6.6177643291846694E-2</v>
      </c>
    </row>
    <row r="18" spans="1:17">
      <c r="A18" s="23">
        <v>2600300</v>
      </c>
      <c r="B18" s="18">
        <v>824802</v>
      </c>
      <c r="C18" s="16" t="s">
        <v>36</v>
      </c>
      <c r="D18" s="67" t="s">
        <v>18</v>
      </c>
      <c r="E18" s="16">
        <v>126482</v>
      </c>
      <c r="F18" s="17">
        <v>15564</v>
      </c>
      <c r="G18" s="16">
        <v>0</v>
      </c>
      <c r="H18" s="16">
        <v>18847</v>
      </c>
      <c r="I18" s="59">
        <f t="shared" si="1"/>
        <v>0.12305308265207697</v>
      </c>
      <c r="J18" s="59">
        <f t="shared" si="2"/>
        <v>0</v>
      </c>
      <c r="K18" s="59">
        <f t="shared" si="3"/>
        <v>0.14900934520327003</v>
      </c>
      <c r="L18" s="73">
        <v>-1101009.6541999988</v>
      </c>
      <c r="M18" s="73">
        <v>12704071.877699966</v>
      </c>
      <c r="N18" s="73">
        <v>-1298533.0009999997</v>
      </c>
      <c r="O18" s="73">
        <v>21140460.894402858</v>
      </c>
      <c r="P18" s="61">
        <f t="shared" si="4"/>
        <v>8.6665886717206875E-2</v>
      </c>
      <c r="Q18" s="61">
        <f t="shared" si="5"/>
        <v>6.1424062960888377E-2</v>
      </c>
    </row>
    <row r="19" spans="1:17">
      <c r="A19" s="23">
        <v>2603600</v>
      </c>
      <c r="B19" s="18">
        <v>523614</v>
      </c>
      <c r="C19" s="16" t="s">
        <v>37</v>
      </c>
      <c r="D19" s="67" t="s">
        <v>20</v>
      </c>
      <c r="E19" s="16">
        <v>154658</v>
      </c>
      <c r="F19" s="17">
        <v>17517</v>
      </c>
      <c r="G19" s="16">
        <v>3665</v>
      </c>
      <c r="H19" s="16">
        <v>20780</v>
      </c>
      <c r="I19" s="59">
        <f t="shared" si="1"/>
        <v>0.11326281214033546</v>
      </c>
      <c r="J19" s="59">
        <f t="shared" si="2"/>
        <v>2.369744856392815E-2</v>
      </c>
      <c r="K19" s="59">
        <f t="shared" si="3"/>
        <v>0.13436097712371814</v>
      </c>
      <c r="L19" s="73">
        <v>-2135562.8776999996</v>
      </c>
      <c r="M19" s="73">
        <v>15741208.425095843</v>
      </c>
      <c r="N19" s="73">
        <v>-543360.98929999978</v>
      </c>
      <c r="O19" s="73">
        <v>29563808.447398663</v>
      </c>
      <c r="P19" s="61">
        <f t="shared" si="4"/>
        <v>0.13566702250732676</v>
      </c>
      <c r="Q19" s="61">
        <f t="shared" si="5"/>
        <v>1.8379262274912028E-2</v>
      </c>
    </row>
    <row r="20" spans="1:17">
      <c r="A20" s="23">
        <v>2605500</v>
      </c>
      <c r="B20" s="18">
        <v>544865</v>
      </c>
      <c r="C20" s="16" t="s">
        <v>38</v>
      </c>
      <c r="D20" s="67" t="s">
        <v>20</v>
      </c>
      <c r="E20" s="16">
        <v>243646</v>
      </c>
      <c r="F20" s="17">
        <v>17643.000001</v>
      </c>
      <c r="G20" s="16">
        <v>4543</v>
      </c>
      <c r="H20" s="16">
        <v>27101.000001</v>
      </c>
      <c r="I20" s="59">
        <f t="shared" si="1"/>
        <v>7.2412434437667761E-2</v>
      </c>
      <c r="J20" s="59">
        <f t="shared" si="2"/>
        <v>1.8645904303784998E-2</v>
      </c>
      <c r="K20" s="59">
        <f t="shared" si="3"/>
        <v>0.11123104832831239</v>
      </c>
      <c r="L20" s="73">
        <v>-3234202.4619000652</v>
      </c>
      <c r="M20" s="73">
        <v>22276084.183100924</v>
      </c>
      <c r="N20" s="73">
        <v>-2301255.5804000013</v>
      </c>
      <c r="O20" s="73">
        <v>52180467.716998547</v>
      </c>
      <c r="P20" s="61">
        <f t="shared" si="4"/>
        <v>0.14518720773885363</v>
      </c>
      <c r="Q20" s="61">
        <f t="shared" si="5"/>
        <v>4.4101858053110815E-2</v>
      </c>
    </row>
    <row r="21" spans="1:17">
      <c r="A21" s="23">
        <v>2607700</v>
      </c>
      <c r="B21" s="18">
        <v>393572</v>
      </c>
      <c r="C21" s="16" t="s">
        <v>39</v>
      </c>
      <c r="D21" s="67" t="s">
        <v>18</v>
      </c>
      <c r="E21" s="16">
        <v>171597</v>
      </c>
      <c r="F21" s="17">
        <v>11833</v>
      </c>
      <c r="G21" s="16">
        <v>0</v>
      </c>
      <c r="H21" s="16">
        <v>11675</v>
      </c>
      <c r="I21" s="59">
        <f t="shared" si="1"/>
        <v>6.8958082017750888E-2</v>
      </c>
      <c r="J21" s="59">
        <f t="shared" si="2"/>
        <v>0</v>
      </c>
      <c r="K21" s="59">
        <f t="shared" si="3"/>
        <v>6.8037319999766893E-2</v>
      </c>
      <c r="L21" s="73">
        <v>-798183.84950000036</v>
      </c>
      <c r="M21" s="73">
        <v>8033103.3542999765</v>
      </c>
      <c r="N21" s="73">
        <v>-682170.98699999973</v>
      </c>
      <c r="O21" s="73">
        <v>20619045.155999906</v>
      </c>
      <c r="P21" s="61">
        <f t="shared" si="4"/>
        <v>9.9361829954888709E-2</v>
      </c>
      <c r="Q21" s="61">
        <f t="shared" si="5"/>
        <v>3.3084509095296095E-2</v>
      </c>
    </row>
    <row r="22" spans="1:17">
      <c r="A22" s="23">
        <v>2608800</v>
      </c>
      <c r="B22" s="18">
        <v>273444</v>
      </c>
      <c r="C22" s="16" t="s">
        <v>40</v>
      </c>
      <c r="D22" s="67" t="s">
        <v>18</v>
      </c>
      <c r="E22" s="16">
        <v>281843</v>
      </c>
      <c r="F22" s="17">
        <v>23801</v>
      </c>
      <c r="G22" s="16">
        <v>4652</v>
      </c>
      <c r="H22" s="16">
        <v>36864</v>
      </c>
      <c r="I22" s="59">
        <f t="shared" si="1"/>
        <v>8.4447724442331368E-2</v>
      </c>
      <c r="J22" s="59">
        <f t="shared" si="2"/>
        <v>1.6505643212710624E-2</v>
      </c>
      <c r="K22" s="59">
        <f t="shared" si="3"/>
        <v>0.13079622342935607</v>
      </c>
      <c r="L22" s="73">
        <v>-1342212.7424999997</v>
      </c>
      <c r="M22" s="73">
        <v>28357225.908699669</v>
      </c>
      <c r="N22" s="73">
        <v>-403957.39379999979</v>
      </c>
      <c r="O22" s="73">
        <v>57317938.414797969</v>
      </c>
      <c r="P22" s="61">
        <f t="shared" si="4"/>
        <v>4.7332300656681099E-2</v>
      </c>
      <c r="Q22" s="61">
        <f t="shared" si="5"/>
        <v>7.0476609063753193E-3</v>
      </c>
    </row>
    <row r="23" spans="1:17">
      <c r="A23" s="23">
        <v>2609900</v>
      </c>
      <c r="B23" s="18">
        <v>443514</v>
      </c>
      <c r="C23" s="16" t="s">
        <v>41</v>
      </c>
      <c r="D23" s="67" t="s">
        <v>31</v>
      </c>
      <c r="E23" s="16">
        <v>56408</v>
      </c>
      <c r="F23" s="17">
        <v>4068</v>
      </c>
      <c r="G23" s="16">
        <v>0</v>
      </c>
      <c r="H23" s="16">
        <v>0</v>
      </c>
      <c r="I23" s="59">
        <f t="shared" si="1"/>
        <v>7.2117430151751524E-2</v>
      </c>
      <c r="J23" s="59">
        <f t="shared" si="2"/>
        <v>0</v>
      </c>
      <c r="K23" s="59">
        <f t="shared" si="3"/>
        <v>0</v>
      </c>
      <c r="L23" s="73">
        <v>-30476.378299999997</v>
      </c>
      <c r="M23" s="73">
        <v>263.91469999999998</v>
      </c>
      <c r="N23" s="73">
        <v>-1098904.7513999993</v>
      </c>
      <c r="O23" s="73">
        <v>10885054.093098994</v>
      </c>
      <c r="P23" s="61">
        <v>0</v>
      </c>
      <c r="Q23" s="61">
        <f t="shared" si="5"/>
        <v>0.10095537808091307</v>
      </c>
    </row>
    <row r="24" spans="1:17">
      <c r="A24" s="23">
        <v>2611000</v>
      </c>
      <c r="B24" s="18">
        <v>258664</v>
      </c>
      <c r="C24" s="16" t="s">
        <v>42</v>
      </c>
      <c r="D24" s="67" t="s">
        <v>18</v>
      </c>
      <c r="E24" s="16">
        <v>129735</v>
      </c>
      <c r="F24" s="17">
        <v>9138</v>
      </c>
      <c r="G24" s="16">
        <v>0</v>
      </c>
      <c r="H24" s="16">
        <v>15326.999999</v>
      </c>
      <c r="I24" s="59">
        <f t="shared" si="1"/>
        <v>7.043588854202798E-2</v>
      </c>
      <c r="J24" s="59">
        <f t="shared" si="2"/>
        <v>0</v>
      </c>
      <c r="K24" s="59">
        <f t="shared" si="3"/>
        <v>0.11814082552125486</v>
      </c>
      <c r="L24" s="73">
        <v>-836128.92829999828</v>
      </c>
      <c r="M24" s="73">
        <v>9599290.7361989766</v>
      </c>
      <c r="N24" s="73">
        <v>-1800017.5097000001</v>
      </c>
      <c r="O24" s="73">
        <v>18349135.417496014</v>
      </c>
      <c r="P24" s="61">
        <f t="shared" si="4"/>
        <v>8.7103198692269179E-2</v>
      </c>
      <c r="Q24" s="61">
        <f t="shared" si="5"/>
        <v>9.8098219275425488E-2</v>
      </c>
    </row>
    <row r="25" spans="1:17">
      <c r="A25" s="23">
        <v>2613200</v>
      </c>
      <c r="B25" s="18">
        <v>1038760</v>
      </c>
      <c r="C25" s="16" t="s">
        <v>43</v>
      </c>
      <c r="D25" s="67" t="s">
        <v>20</v>
      </c>
      <c r="E25" s="16">
        <v>294137</v>
      </c>
      <c r="F25" s="17">
        <v>37204</v>
      </c>
      <c r="G25" s="16">
        <v>14171</v>
      </c>
      <c r="H25" s="16">
        <v>40189</v>
      </c>
      <c r="I25" s="59">
        <f t="shared" si="1"/>
        <v>0.12648527726875572</v>
      </c>
      <c r="J25" s="59">
        <f t="shared" si="2"/>
        <v>4.8178229872474394E-2</v>
      </c>
      <c r="K25" s="59">
        <f t="shared" si="3"/>
        <v>0.13663360950849435</v>
      </c>
      <c r="L25" s="73">
        <v>-4257591.6689000335</v>
      </c>
      <c r="M25" s="73">
        <v>38644234.092799798</v>
      </c>
      <c r="N25" s="73">
        <v>-1606088.7031000012</v>
      </c>
      <c r="O25" s="73">
        <v>52974538.912001222</v>
      </c>
      <c r="P25" s="61">
        <f t="shared" si="4"/>
        <v>0.11017404714700528</v>
      </c>
      <c r="Q25" s="61">
        <f t="shared" si="5"/>
        <v>3.0318125199125551E-2</v>
      </c>
    </row>
    <row r="26" spans="1:17">
      <c r="A26" s="23">
        <v>2614300</v>
      </c>
      <c r="B26" s="18">
        <v>812609</v>
      </c>
      <c r="C26" s="16" t="s">
        <v>44</v>
      </c>
      <c r="D26" s="67" t="s">
        <v>20</v>
      </c>
      <c r="E26" s="16">
        <v>201032</v>
      </c>
      <c r="F26" s="17">
        <v>22647</v>
      </c>
      <c r="G26" s="16">
        <v>5085</v>
      </c>
      <c r="H26" s="16">
        <v>26281</v>
      </c>
      <c r="I26" s="59">
        <f t="shared" si="1"/>
        <v>0.1126537068725377</v>
      </c>
      <c r="J26" s="59">
        <f t="shared" si="2"/>
        <v>2.5294480480719486E-2</v>
      </c>
      <c r="K26" s="59">
        <f t="shared" si="3"/>
        <v>0.13073043097616299</v>
      </c>
      <c r="L26" s="73">
        <v>-2141905.7559000049</v>
      </c>
      <c r="M26" s="73">
        <v>19539547.877698701</v>
      </c>
      <c r="N26" s="73">
        <v>-1278065.7278999982</v>
      </c>
      <c r="O26" s="73">
        <v>24074012.340794787</v>
      </c>
      <c r="P26" s="61">
        <f t="shared" si="4"/>
        <v>0.10961900292199959</v>
      </c>
      <c r="Q26" s="61">
        <f t="shared" si="5"/>
        <v>5.3089020218463664E-2</v>
      </c>
    </row>
    <row r="27" spans="1:17">
      <c r="A27" s="23">
        <v>2615500</v>
      </c>
      <c r="B27" s="18">
        <v>287945</v>
      </c>
      <c r="C27" s="16" t="s">
        <v>45</v>
      </c>
      <c r="D27" s="67" t="s">
        <v>18</v>
      </c>
      <c r="E27" s="16">
        <v>131767</v>
      </c>
      <c r="F27" s="17">
        <v>13228</v>
      </c>
      <c r="G27" s="16">
        <v>957</v>
      </c>
      <c r="H27" s="16">
        <v>16296</v>
      </c>
      <c r="I27" s="59">
        <f t="shared" si="1"/>
        <v>0.10038932357874127</v>
      </c>
      <c r="J27" s="59">
        <f t="shared" si="2"/>
        <v>7.2628199776878883E-3</v>
      </c>
      <c r="K27" s="59">
        <f t="shared" si="3"/>
        <v>0.12367284676740004</v>
      </c>
      <c r="L27" s="73">
        <v>-1270189.8378000052</v>
      </c>
      <c r="M27" s="73">
        <v>10814729.013099972</v>
      </c>
      <c r="N27" s="73">
        <v>-1287626.5650000002</v>
      </c>
      <c r="O27" s="73">
        <v>20849030.104202006</v>
      </c>
      <c r="P27" s="61">
        <f t="shared" si="4"/>
        <v>0.11744999215989727</v>
      </c>
      <c r="Q27" s="61">
        <f t="shared" si="5"/>
        <v>6.1759542701244709E-2</v>
      </c>
    </row>
    <row r="28" spans="1:17">
      <c r="A28" s="23">
        <v>2616200</v>
      </c>
      <c r="B28" s="18">
        <v>526743</v>
      </c>
      <c r="C28" s="16" t="s">
        <v>46</v>
      </c>
      <c r="D28" s="67" t="s">
        <v>20</v>
      </c>
      <c r="E28" s="16">
        <v>226465</v>
      </c>
      <c r="F28" s="17">
        <v>20698</v>
      </c>
      <c r="G28" s="16">
        <v>4851</v>
      </c>
      <c r="H28" s="16">
        <v>25823</v>
      </c>
      <c r="I28" s="59">
        <f t="shared" si="1"/>
        <v>9.1396021460269802E-2</v>
      </c>
      <c r="J28" s="59">
        <f t="shared" si="2"/>
        <v>2.1420528558496899E-2</v>
      </c>
      <c r="K28" s="59">
        <f t="shared" si="3"/>
        <v>0.11402645000331177</v>
      </c>
      <c r="L28" s="73">
        <v>-3133117.3296000538</v>
      </c>
      <c r="M28" s="73">
        <v>22037959.177799895</v>
      </c>
      <c r="N28" s="73">
        <v>-822527.73250000074</v>
      </c>
      <c r="O28" s="73">
        <v>23800166.963297803</v>
      </c>
      <c r="P28" s="61">
        <f t="shared" si="4"/>
        <v>0.14216912302642901</v>
      </c>
      <c r="Q28" s="61">
        <f t="shared" si="5"/>
        <v>3.4559746314738855E-2</v>
      </c>
    </row>
    <row r="29" spans="1:17">
      <c r="A29" s="23">
        <v>2618400</v>
      </c>
      <c r="B29" s="18">
        <v>277804</v>
      </c>
      <c r="C29" s="16" t="s">
        <v>47</v>
      </c>
      <c r="D29" s="67" t="s">
        <v>20</v>
      </c>
      <c r="E29" s="16">
        <v>237808</v>
      </c>
      <c r="F29" s="17">
        <v>17253</v>
      </c>
      <c r="G29" s="16">
        <v>2900</v>
      </c>
      <c r="H29" s="16">
        <v>19476</v>
      </c>
      <c r="I29" s="59">
        <f t="shared" si="1"/>
        <v>7.2550124470160807E-2</v>
      </c>
      <c r="J29" s="59">
        <f t="shared" si="2"/>
        <v>1.2194711700195116E-2</v>
      </c>
      <c r="K29" s="59">
        <f t="shared" si="3"/>
        <v>8.1898001749310362E-2</v>
      </c>
      <c r="L29" s="73">
        <v>-3129523.2197000366</v>
      </c>
      <c r="M29" s="73">
        <v>14946272.799099904</v>
      </c>
      <c r="N29" s="73">
        <v>-938458.59450000105</v>
      </c>
      <c r="O29" s="73">
        <v>24642874.246801879</v>
      </c>
      <c r="P29" s="61">
        <f t="shared" si="4"/>
        <v>0.20938485880496596</v>
      </c>
      <c r="Q29" s="61">
        <f t="shared" si="5"/>
        <v>3.8082351315889745E-2</v>
      </c>
    </row>
    <row r="30" spans="1:17">
      <c r="A30" s="23">
        <v>2621700</v>
      </c>
      <c r="B30" s="18">
        <v>659558</v>
      </c>
      <c r="C30" s="16" t="s">
        <v>48</v>
      </c>
      <c r="D30" s="67" t="s">
        <v>20</v>
      </c>
      <c r="E30" s="16">
        <v>123287</v>
      </c>
      <c r="F30" s="17">
        <v>16754</v>
      </c>
      <c r="G30" s="16">
        <v>5119</v>
      </c>
      <c r="H30" s="16">
        <v>19738</v>
      </c>
      <c r="I30" s="59">
        <f t="shared" si="1"/>
        <v>0.13589429542449732</v>
      </c>
      <c r="J30" s="59">
        <f t="shared" si="2"/>
        <v>4.1521003836576441E-2</v>
      </c>
      <c r="K30" s="59">
        <f t="shared" si="3"/>
        <v>0.1600979827556839</v>
      </c>
      <c r="L30" s="73">
        <v>-2605326.9047000199</v>
      </c>
      <c r="M30" s="73">
        <v>17403500.098600868</v>
      </c>
      <c r="N30" s="73">
        <v>-1770350.0366999975</v>
      </c>
      <c r="O30" s="73">
        <v>22703154.084903765</v>
      </c>
      <c r="P30" s="61">
        <f t="shared" si="4"/>
        <v>0.14970131812217888</v>
      </c>
      <c r="Q30" s="61">
        <f t="shared" si="5"/>
        <v>7.7978153611580073E-2</v>
      </c>
    </row>
    <row r="31" spans="1:17">
      <c r="A31" s="23">
        <v>2622800</v>
      </c>
      <c r="B31" s="18">
        <v>608420</v>
      </c>
      <c r="C31" s="16" t="s">
        <v>49</v>
      </c>
      <c r="D31" s="67" t="s">
        <v>18</v>
      </c>
      <c r="E31" s="16">
        <v>176568</v>
      </c>
      <c r="F31" s="17">
        <v>15807</v>
      </c>
      <c r="G31" s="16">
        <v>1442</v>
      </c>
      <c r="H31" s="16">
        <v>26901.999997999999</v>
      </c>
      <c r="I31" s="59">
        <f t="shared" si="1"/>
        <v>8.9523582982193831E-2</v>
      </c>
      <c r="J31" s="59">
        <f t="shared" si="2"/>
        <v>8.1668252457976539E-3</v>
      </c>
      <c r="K31" s="59">
        <f t="shared" si="3"/>
        <v>0.15236056362421277</v>
      </c>
      <c r="L31" s="73">
        <v>-1244280.7098000031</v>
      </c>
      <c r="M31" s="73">
        <v>17487395.068397745</v>
      </c>
      <c r="N31" s="73">
        <v>-575514.26589999942</v>
      </c>
      <c r="O31" s="73">
        <v>39914422.003101878</v>
      </c>
      <c r="P31" s="61">
        <f t="shared" si="4"/>
        <v>7.1153005060690735E-2</v>
      </c>
      <c r="Q31" s="61">
        <f t="shared" si="5"/>
        <v>1.4418704744246938E-2</v>
      </c>
    </row>
    <row r="32" spans="1:17">
      <c r="A32" s="23">
        <v>2629100</v>
      </c>
      <c r="B32" s="18">
        <v>322866</v>
      </c>
      <c r="C32" s="16" t="s">
        <v>50</v>
      </c>
      <c r="D32" s="67" t="s">
        <v>18</v>
      </c>
      <c r="E32" s="16">
        <v>207747</v>
      </c>
      <c r="F32" s="17">
        <v>16934.999999</v>
      </c>
      <c r="G32" s="16">
        <v>2182</v>
      </c>
      <c r="H32" s="16">
        <v>26005</v>
      </c>
      <c r="I32" s="59">
        <f t="shared" si="1"/>
        <v>8.1517422629448319E-2</v>
      </c>
      <c r="J32" s="59">
        <f t="shared" si="2"/>
        <v>1.0503160093767901E-2</v>
      </c>
      <c r="K32" s="59">
        <f t="shared" si="3"/>
        <v>0.12517629616793505</v>
      </c>
      <c r="L32" s="73">
        <v>-1080559.8963999939</v>
      </c>
      <c r="M32" s="73">
        <v>17787340.727999914</v>
      </c>
      <c r="N32" s="73">
        <v>-1729608.7807999994</v>
      </c>
      <c r="O32" s="73">
        <v>23774286.725698799</v>
      </c>
      <c r="P32" s="61">
        <f t="shared" si="4"/>
        <v>6.0748816415206588E-2</v>
      </c>
      <c r="Q32" s="61">
        <f t="shared" si="5"/>
        <v>7.2751237534726121E-2</v>
      </c>
    </row>
    <row r="33" spans="1:17">
      <c r="A33" s="23">
        <v>2631200</v>
      </c>
      <c r="B33" s="18">
        <v>1124162</v>
      </c>
      <c r="C33" s="16" t="s">
        <v>51</v>
      </c>
      <c r="D33" s="67" t="s">
        <v>18</v>
      </c>
      <c r="E33" s="16">
        <v>150934</v>
      </c>
      <c r="F33" s="17">
        <v>11525</v>
      </c>
      <c r="G33" s="16">
        <v>860</v>
      </c>
      <c r="H33" s="16">
        <v>14879</v>
      </c>
      <c r="I33" s="59">
        <f t="shared" si="1"/>
        <v>7.63578782779228E-2</v>
      </c>
      <c r="J33" s="59">
        <f t="shared" si="2"/>
        <v>5.6978546914545434E-3</v>
      </c>
      <c r="K33" s="59">
        <f t="shared" si="3"/>
        <v>9.8579511574595519E-2</v>
      </c>
      <c r="L33" s="73">
        <v>-1114963.8512999993</v>
      </c>
      <c r="M33" s="73">
        <v>9779588.6103999931</v>
      </c>
      <c r="N33" s="73">
        <v>-850221.8128999999</v>
      </c>
      <c r="O33" s="73">
        <v>19309051.664999925</v>
      </c>
      <c r="P33" s="61">
        <f t="shared" si="4"/>
        <v>0.11400927950223833</v>
      </c>
      <c r="Q33" s="61">
        <f t="shared" si="5"/>
        <v>4.4032292608193364E-2</v>
      </c>
    </row>
    <row r="34" spans="1:17">
      <c r="A34" s="23">
        <v>3080400</v>
      </c>
      <c r="B34" s="18">
        <v>989631</v>
      </c>
      <c r="C34" s="16" t="s">
        <v>52</v>
      </c>
      <c r="D34" s="67" t="s">
        <v>18</v>
      </c>
      <c r="E34" s="16">
        <v>242867</v>
      </c>
      <c r="F34" s="17">
        <v>28374</v>
      </c>
      <c r="G34" s="16">
        <v>3096</v>
      </c>
      <c r="H34" s="16">
        <v>35760.000006000002</v>
      </c>
      <c r="I34" s="59">
        <f t="shared" si="1"/>
        <v>0.11682937574886666</v>
      </c>
      <c r="J34" s="59">
        <f t="shared" si="2"/>
        <v>1.2747717886744597E-2</v>
      </c>
      <c r="K34" s="59">
        <f t="shared" si="3"/>
        <v>0.14724108259253008</v>
      </c>
      <c r="L34" s="73">
        <v>-1382672.3075000027</v>
      </c>
      <c r="M34" s="73">
        <v>24757223.285703931</v>
      </c>
      <c r="N34" s="73">
        <v>-973364.12640000053</v>
      </c>
      <c r="O34" s="73">
        <v>25159068.132099669</v>
      </c>
      <c r="P34" s="61">
        <f t="shared" si="4"/>
        <v>5.5849248178749811E-2</v>
      </c>
      <c r="Q34" s="61">
        <f t="shared" si="5"/>
        <v>3.8688401386302369E-2</v>
      </c>
    </row>
    <row r="35" spans="1:17">
      <c r="A35" s="23">
        <v>3085200</v>
      </c>
      <c r="B35" s="18">
        <v>614538</v>
      </c>
      <c r="C35" s="16" t="s">
        <v>53</v>
      </c>
      <c r="D35" s="67" t="s">
        <v>20</v>
      </c>
      <c r="E35" s="16">
        <v>318407</v>
      </c>
      <c r="F35" s="17">
        <v>36672</v>
      </c>
      <c r="G35" s="16">
        <v>6731</v>
      </c>
      <c r="H35" s="16">
        <v>52760</v>
      </c>
      <c r="I35" s="59">
        <f t="shared" si="1"/>
        <v>0.11517334731962552</v>
      </c>
      <c r="J35" s="59">
        <f t="shared" si="2"/>
        <v>2.1139610624138289E-2</v>
      </c>
      <c r="K35" s="59">
        <f t="shared" si="3"/>
        <v>0.16569987468868461</v>
      </c>
      <c r="L35" s="73">
        <v>-2568420.6692000199</v>
      </c>
      <c r="M35" s="73">
        <v>44152535.884900495</v>
      </c>
      <c r="N35" s="73">
        <v>-1843153.3017999984</v>
      </c>
      <c r="O35" s="73">
        <v>57572532.506802112</v>
      </c>
      <c r="P35" s="61">
        <f t="shared" si="4"/>
        <v>5.8171532341778388E-2</v>
      </c>
      <c r="Q35" s="61">
        <f t="shared" si="5"/>
        <v>3.2014455879324617E-2</v>
      </c>
    </row>
    <row r="36" spans="1:17">
      <c r="A36" s="23">
        <v>3086700</v>
      </c>
      <c r="B36" s="18">
        <v>966027</v>
      </c>
      <c r="C36" s="16" t="s">
        <v>54</v>
      </c>
      <c r="D36" s="67" t="s">
        <v>18</v>
      </c>
      <c r="E36" s="16">
        <v>117979</v>
      </c>
      <c r="F36" s="17">
        <v>11504.999997999999</v>
      </c>
      <c r="G36" s="16">
        <v>2361</v>
      </c>
      <c r="H36" s="16">
        <v>12740.000001</v>
      </c>
      <c r="I36" s="59">
        <f t="shared" si="1"/>
        <v>9.7517354766526246E-2</v>
      </c>
      <c r="J36" s="59">
        <f t="shared" si="2"/>
        <v>2.0012036040312257E-2</v>
      </c>
      <c r="K36" s="59">
        <f t="shared" si="3"/>
        <v>0.10798531942972903</v>
      </c>
      <c r="L36" s="73">
        <v>-2686196.1242000004</v>
      </c>
      <c r="M36" s="73">
        <v>9677881.6723979767</v>
      </c>
      <c r="N36" s="73">
        <v>-2677281.0602999995</v>
      </c>
      <c r="O36" s="73">
        <v>13956936.577202968</v>
      </c>
      <c r="P36" s="61">
        <f t="shared" si="4"/>
        <v>0.27756033966205923</v>
      </c>
      <c r="Q36" s="61">
        <f t="shared" si="5"/>
        <v>0.19182440541236151</v>
      </c>
    </row>
    <row r="37" spans="1:17">
      <c r="A37" s="23">
        <v>3088900</v>
      </c>
      <c r="B37" s="18">
        <v>836968</v>
      </c>
      <c r="C37" s="16" t="s">
        <v>55</v>
      </c>
      <c r="D37" s="67" t="s">
        <v>18</v>
      </c>
      <c r="E37" s="16">
        <v>305873</v>
      </c>
      <c r="F37" s="17">
        <v>41252</v>
      </c>
      <c r="G37" s="16">
        <v>0</v>
      </c>
      <c r="H37" s="16">
        <v>61154.000001</v>
      </c>
      <c r="I37" s="59">
        <f t="shared" si="1"/>
        <v>0.13486643149280911</v>
      </c>
      <c r="J37" s="59">
        <f t="shared" si="2"/>
        <v>0</v>
      </c>
      <c r="K37" s="59">
        <f t="shared" si="3"/>
        <v>0.19993265179012204</v>
      </c>
      <c r="L37" s="73">
        <v>-1969308.445800001</v>
      </c>
      <c r="M37" s="73">
        <v>42429937.111994013</v>
      </c>
      <c r="N37" s="73">
        <v>-797562.53460000013</v>
      </c>
      <c r="O37" s="73">
        <v>72096633.776395842</v>
      </c>
      <c r="P37" s="61">
        <f t="shared" si="4"/>
        <v>4.6413183234328213E-2</v>
      </c>
      <c r="Q37" s="61">
        <f t="shared" si="5"/>
        <v>1.1062410168463635E-2</v>
      </c>
    </row>
    <row r="38" spans="1:17">
      <c r="A38" s="23">
        <v>3090000</v>
      </c>
      <c r="B38" s="18">
        <v>1060274</v>
      </c>
      <c r="C38" s="16" t="s">
        <v>56</v>
      </c>
      <c r="D38" s="67" t="s">
        <v>20</v>
      </c>
      <c r="E38" s="16">
        <v>203665</v>
      </c>
      <c r="F38" s="17">
        <v>33732</v>
      </c>
      <c r="G38" s="16">
        <v>6285</v>
      </c>
      <c r="H38" s="16">
        <v>25952</v>
      </c>
      <c r="I38" s="59">
        <f t="shared" si="1"/>
        <v>0.16562492328087791</v>
      </c>
      <c r="J38" s="59">
        <f t="shared" si="2"/>
        <v>3.0859499668573393E-2</v>
      </c>
      <c r="K38" s="59">
        <f t="shared" si="3"/>
        <v>0.12742493801094934</v>
      </c>
      <c r="L38" s="73">
        <v>-2949957.5615000315</v>
      </c>
      <c r="M38" s="73">
        <v>24809037.299096718</v>
      </c>
      <c r="N38" s="73">
        <v>-887457.18670000089</v>
      </c>
      <c r="O38" s="73">
        <v>37089280.132599518</v>
      </c>
      <c r="P38" s="61">
        <f t="shared" si="4"/>
        <v>0.11890657126012051</v>
      </c>
      <c r="Q38" s="61">
        <f t="shared" si="5"/>
        <v>2.3927592650146177E-2</v>
      </c>
    </row>
    <row r="39" spans="1:17">
      <c r="A39" s="23">
        <v>3097400</v>
      </c>
      <c r="B39" s="18">
        <v>689762</v>
      </c>
      <c r="C39" s="16" t="s">
        <v>57</v>
      </c>
      <c r="D39" s="67" t="s">
        <v>18</v>
      </c>
      <c r="E39" s="16">
        <v>220021</v>
      </c>
      <c r="F39" s="17">
        <v>18116</v>
      </c>
      <c r="G39" s="16">
        <v>0</v>
      </c>
      <c r="H39" s="16">
        <v>17402.000001</v>
      </c>
      <c r="I39" s="59">
        <f t="shared" si="1"/>
        <v>8.2337595047745446E-2</v>
      </c>
      <c r="J39" s="59">
        <f t="shared" si="2"/>
        <v>0</v>
      </c>
      <c r="K39" s="59">
        <f t="shared" si="3"/>
        <v>7.9092450270655978E-2</v>
      </c>
      <c r="L39" s="73">
        <v>-1204968.5726999987</v>
      </c>
      <c r="M39" s="73">
        <v>11538774.561298974</v>
      </c>
      <c r="N39" s="73">
        <v>-1175846.6669000008</v>
      </c>
      <c r="O39" s="73">
        <v>20379724.616799869</v>
      </c>
      <c r="P39" s="61">
        <f t="shared" si="4"/>
        <v>0.10442777664982388</v>
      </c>
      <c r="Q39" s="61">
        <f t="shared" si="5"/>
        <v>5.7696886930979463E-2</v>
      </c>
    </row>
    <row r="40" spans="1:17">
      <c r="A40" s="23">
        <v>3104000</v>
      </c>
      <c r="B40" s="18">
        <v>730399</v>
      </c>
      <c r="C40" s="16" t="s">
        <v>58</v>
      </c>
      <c r="D40" s="67" t="s">
        <v>20</v>
      </c>
      <c r="E40" s="16">
        <v>271584</v>
      </c>
      <c r="F40" s="17">
        <v>17267</v>
      </c>
      <c r="G40" s="16">
        <v>2054</v>
      </c>
      <c r="H40" s="16">
        <v>16447.000001</v>
      </c>
      <c r="I40" s="59">
        <f t="shared" si="1"/>
        <v>6.3578855897254621E-2</v>
      </c>
      <c r="J40" s="59">
        <f t="shared" si="2"/>
        <v>7.5630375868976085E-3</v>
      </c>
      <c r="K40" s="59">
        <f t="shared" si="3"/>
        <v>6.0559532229439141E-2</v>
      </c>
      <c r="L40" s="73">
        <v>-2430981.8379000211</v>
      </c>
      <c r="M40" s="73">
        <v>12379278.268099977</v>
      </c>
      <c r="N40" s="73">
        <v>-1588838.6847999999</v>
      </c>
      <c r="O40" s="73">
        <v>23765346.4512018</v>
      </c>
      <c r="P40" s="61">
        <f t="shared" si="4"/>
        <v>0.19637508627335656</v>
      </c>
      <c r="Q40" s="61">
        <f t="shared" si="5"/>
        <v>6.6855271311210079E-2</v>
      </c>
    </row>
    <row r="41" spans="1:17">
      <c r="A41" s="23">
        <v>3104200</v>
      </c>
      <c r="B41" s="18">
        <v>646020</v>
      </c>
      <c r="C41" s="16" t="s">
        <v>59</v>
      </c>
      <c r="D41" s="67" t="s">
        <v>18</v>
      </c>
      <c r="E41" s="16">
        <v>324449</v>
      </c>
      <c r="F41" s="17">
        <v>46010</v>
      </c>
      <c r="G41" s="16">
        <v>5289</v>
      </c>
      <c r="H41" s="16">
        <v>55776.999996999999</v>
      </c>
      <c r="I41" s="59">
        <f t="shared" si="1"/>
        <v>0.14180965267268508</v>
      </c>
      <c r="J41" s="59">
        <f t="shared" si="2"/>
        <v>1.6301483438075012E-2</v>
      </c>
      <c r="K41" s="59">
        <f t="shared" si="3"/>
        <v>0.17191299710278041</v>
      </c>
      <c r="L41" s="73">
        <v>-1786261.0411000042</v>
      </c>
      <c r="M41" s="73">
        <v>43634563.94169917</v>
      </c>
      <c r="N41" s="73">
        <v>-1370951.2087000008</v>
      </c>
      <c r="O41" s="73">
        <v>62240341.826297</v>
      </c>
      <c r="P41" s="61">
        <f t="shared" si="4"/>
        <v>4.0936837216630738E-2</v>
      </c>
      <c r="Q41" s="61">
        <f t="shared" si="5"/>
        <v>2.2026730067230507E-2</v>
      </c>
    </row>
    <row r="42" spans="1:17">
      <c r="A42" s="23">
        <v>3105100</v>
      </c>
      <c r="B42" s="18">
        <v>359563</v>
      </c>
      <c r="C42" s="16" t="s">
        <v>60</v>
      </c>
      <c r="D42" s="67" t="s">
        <v>31</v>
      </c>
      <c r="E42" s="16">
        <v>214159</v>
      </c>
      <c r="F42" s="17">
        <v>7988</v>
      </c>
      <c r="G42" s="16">
        <v>0</v>
      </c>
      <c r="H42" s="16">
        <v>11251</v>
      </c>
      <c r="I42" s="59">
        <f t="shared" si="1"/>
        <v>3.7299389705779354E-2</v>
      </c>
      <c r="J42" s="59">
        <f t="shared" si="2"/>
        <v>0</v>
      </c>
      <c r="K42" s="59">
        <f t="shared" si="3"/>
        <v>5.2535732796660427E-2</v>
      </c>
      <c r="L42" s="73">
        <v>-1059253.3121999919</v>
      </c>
      <c r="M42" s="73">
        <v>7120770.3863999965</v>
      </c>
      <c r="N42" s="73">
        <v>-803846.91090000048</v>
      </c>
      <c r="O42" s="73">
        <v>16807616.082199939</v>
      </c>
      <c r="P42" s="61">
        <f t="shared" si="4"/>
        <v>0.14875543722390858</v>
      </c>
      <c r="Q42" s="61">
        <f t="shared" si="5"/>
        <v>4.7826348898539657E-2</v>
      </c>
    </row>
    <row r="43" spans="1:17">
      <c r="A43" s="23">
        <v>3105900</v>
      </c>
      <c r="B43" s="18">
        <v>848763</v>
      </c>
      <c r="C43" s="16" t="s">
        <v>61</v>
      </c>
      <c r="D43" s="67" t="s">
        <v>18</v>
      </c>
      <c r="E43" s="16">
        <v>272133</v>
      </c>
      <c r="F43" s="17">
        <v>18967.999999</v>
      </c>
      <c r="G43" s="16">
        <v>0</v>
      </c>
      <c r="H43" s="16">
        <v>32253.000003000001</v>
      </c>
      <c r="I43" s="59">
        <f t="shared" si="1"/>
        <v>6.9701212271205626E-2</v>
      </c>
      <c r="J43" s="59">
        <f t="shared" si="2"/>
        <v>0</v>
      </c>
      <c r="K43" s="59">
        <f t="shared" si="3"/>
        <v>0.11851925346429872</v>
      </c>
      <c r="L43" s="73">
        <v>-800611.90709999541</v>
      </c>
      <c r="M43" s="73">
        <v>21345421.96790193</v>
      </c>
      <c r="N43" s="73">
        <v>-850228.78640000033</v>
      </c>
      <c r="O43" s="73">
        <v>31941703.833498567</v>
      </c>
      <c r="P43" s="61">
        <f t="shared" si="4"/>
        <v>3.7507429382464846E-2</v>
      </c>
      <c r="Q43" s="61">
        <f t="shared" si="5"/>
        <v>2.6618141312434646E-2</v>
      </c>
    </row>
    <row r="44" spans="1:17">
      <c r="A44" s="23">
        <v>3107000</v>
      </c>
      <c r="B44" s="18">
        <v>653509</v>
      </c>
      <c r="C44" s="16" t="s">
        <v>62</v>
      </c>
      <c r="D44" s="67" t="s">
        <v>31</v>
      </c>
      <c r="E44" s="16">
        <v>72617</v>
      </c>
      <c r="F44" s="17">
        <v>8744</v>
      </c>
      <c r="G44" s="16">
        <v>0</v>
      </c>
      <c r="H44" s="16">
        <v>8964</v>
      </c>
      <c r="I44" s="59">
        <f t="shared" si="1"/>
        <v>0.12041257556770453</v>
      </c>
      <c r="J44" s="59">
        <f t="shared" si="2"/>
        <v>0</v>
      </c>
      <c r="K44" s="59">
        <f t="shared" si="3"/>
        <v>0.12344216918903288</v>
      </c>
      <c r="L44" s="73">
        <v>-788926.08080000139</v>
      </c>
      <c r="M44" s="73">
        <v>5345069.3398000104</v>
      </c>
      <c r="N44" s="73">
        <v>-650060.77099999972</v>
      </c>
      <c r="O44" s="73">
        <v>18695164.897198919</v>
      </c>
      <c r="P44" s="61">
        <f t="shared" si="4"/>
        <v>0.14759884870446219</v>
      </c>
      <c r="Q44" s="61">
        <f t="shared" si="5"/>
        <v>3.4771598676693022E-2</v>
      </c>
    </row>
    <row r="45" spans="1:17">
      <c r="A45" s="23">
        <v>3108100</v>
      </c>
      <c r="B45" s="18">
        <v>735975</v>
      </c>
      <c r="C45" s="16" t="s">
        <v>63</v>
      </c>
      <c r="D45" s="67" t="s">
        <v>31</v>
      </c>
      <c r="E45" s="16">
        <v>182359</v>
      </c>
      <c r="F45" s="17">
        <v>9962</v>
      </c>
      <c r="G45" s="16">
        <v>0</v>
      </c>
      <c r="H45" s="16">
        <v>0</v>
      </c>
      <c r="I45" s="59">
        <f t="shared" si="1"/>
        <v>5.4628507504428075E-2</v>
      </c>
      <c r="J45" s="59">
        <f t="shared" si="2"/>
        <v>0</v>
      </c>
      <c r="K45" s="59">
        <f t="shared" si="3"/>
        <v>0</v>
      </c>
      <c r="L45" s="73">
        <v>-20322.122399999997</v>
      </c>
      <c r="M45" s="73">
        <v>54070.1469</v>
      </c>
      <c r="N45" s="73">
        <v>-1551592.6202999968</v>
      </c>
      <c r="O45" s="73">
        <v>15696313.960200947</v>
      </c>
      <c r="P45" s="61">
        <f t="shared" si="4"/>
        <v>0.37584736800483887</v>
      </c>
      <c r="Q45" s="61">
        <f t="shared" si="5"/>
        <v>9.8850763576350698E-2</v>
      </c>
    </row>
    <row r="46" spans="1:17">
      <c r="A46" s="23">
        <v>3109200</v>
      </c>
      <c r="B46" s="18">
        <v>1109575</v>
      </c>
      <c r="C46" s="16" t="s">
        <v>64</v>
      </c>
      <c r="D46" s="67" t="s">
        <v>18</v>
      </c>
      <c r="E46" s="16">
        <v>351479</v>
      </c>
      <c r="F46" s="17">
        <v>28496</v>
      </c>
      <c r="G46" s="16">
        <v>0</v>
      </c>
      <c r="H46" s="16">
        <v>37384.999997999999</v>
      </c>
      <c r="I46" s="59">
        <f t="shared" si="1"/>
        <v>8.1074544994153272E-2</v>
      </c>
      <c r="J46" s="59">
        <f t="shared" si="2"/>
        <v>0</v>
      </c>
      <c r="K46" s="59">
        <f t="shared" si="3"/>
        <v>0.10636481837606229</v>
      </c>
      <c r="L46" s="73">
        <v>-957332.60549999564</v>
      </c>
      <c r="M46" s="73">
        <v>21722016.303800751</v>
      </c>
      <c r="N46" s="73">
        <v>-1769842.5325999972</v>
      </c>
      <c r="O46" s="73">
        <v>49517265.421600133</v>
      </c>
      <c r="P46" s="61">
        <f t="shared" si="4"/>
        <v>4.4071995532591925E-2</v>
      </c>
      <c r="Q46" s="61">
        <f t="shared" si="5"/>
        <v>3.5741927942328715E-2</v>
      </c>
    </row>
    <row r="47" spans="1:17">
      <c r="A47" s="23">
        <v>3110300</v>
      </c>
      <c r="B47" s="18">
        <v>525272</v>
      </c>
      <c r="C47" s="16" t="s">
        <v>65</v>
      </c>
      <c r="D47" s="67" t="s">
        <v>18</v>
      </c>
      <c r="E47" s="16">
        <v>183640</v>
      </c>
      <c r="F47" s="17">
        <v>22082.000001</v>
      </c>
      <c r="G47" s="16">
        <v>2396</v>
      </c>
      <c r="H47" s="16">
        <v>22230</v>
      </c>
      <c r="I47" s="59">
        <f t="shared" si="1"/>
        <v>0.12024613374537138</v>
      </c>
      <c r="J47" s="59">
        <f t="shared" si="2"/>
        <v>1.3047266390764539E-2</v>
      </c>
      <c r="K47" s="59">
        <f t="shared" si="3"/>
        <v>0.12105205837508168</v>
      </c>
      <c r="L47" s="73">
        <v>-1327006.0116000057</v>
      </c>
      <c r="M47" s="73">
        <v>16416956.930599917</v>
      </c>
      <c r="N47" s="73">
        <v>-929087.66940000083</v>
      </c>
      <c r="O47" s="73">
        <v>31200062.693202544</v>
      </c>
      <c r="P47" s="61">
        <f t="shared" si="4"/>
        <v>8.0831424313879435E-2</v>
      </c>
      <c r="Q47" s="61">
        <f t="shared" si="5"/>
        <v>2.9778391105682558E-2</v>
      </c>
    </row>
    <row r="48" spans="1:17">
      <c r="A48" s="23">
        <v>3111400</v>
      </c>
      <c r="B48" s="18">
        <v>891715</v>
      </c>
      <c r="C48" s="16" t="s">
        <v>66</v>
      </c>
      <c r="D48" s="67" t="s">
        <v>18</v>
      </c>
      <c r="E48" s="16">
        <v>195605</v>
      </c>
      <c r="F48" s="17">
        <v>10909</v>
      </c>
      <c r="G48" s="16">
        <v>0</v>
      </c>
      <c r="H48" s="16">
        <v>18954</v>
      </c>
      <c r="I48" s="59">
        <f t="shared" si="1"/>
        <v>5.5770558012320746E-2</v>
      </c>
      <c r="J48" s="59">
        <f t="shared" si="2"/>
        <v>0</v>
      </c>
      <c r="K48" s="59">
        <f t="shared" si="3"/>
        <v>9.6899363513202622E-2</v>
      </c>
      <c r="L48" s="73">
        <v>-677718.1564999969</v>
      </c>
      <c r="M48" s="73">
        <v>12190007.329599958</v>
      </c>
      <c r="N48" s="73">
        <v>-1392965.5316999999</v>
      </c>
      <c r="O48" s="73">
        <v>19549894.145501889</v>
      </c>
      <c r="P48" s="61">
        <f t="shared" si="4"/>
        <v>5.5596205824614359E-2</v>
      </c>
      <c r="Q48" s="61">
        <f t="shared" si="5"/>
        <v>7.1251819643253597E-2</v>
      </c>
    </row>
    <row r="49" spans="1:17">
      <c r="A49" s="23">
        <v>3111500</v>
      </c>
      <c r="B49" s="18">
        <v>418286</v>
      </c>
      <c r="C49" s="16" t="s">
        <v>67</v>
      </c>
      <c r="D49" s="67" t="s">
        <v>20</v>
      </c>
      <c r="E49" s="16">
        <v>374391</v>
      </c>
      <c r="F49" s="17">
        <v>45893</v>
      </c>
      <c r="G49" s="16">
        <v>12380</v>
      </c>
      <c r="H49" s="16">
        <v>66087</v>
      </c>
      <c r="I49" s="59">
        <f t="shared" si="1"/>
        <v>0.122580403909282</v>
      </c>
      <c r="J49" s="59">
        <f t="shared" si="2"/>
        <v>3.3067034196869051E-2</v>
      </c>
      <c r="K49" s="59">
        <f t="shared" si="3"/>
        <v>0.1765186663140941</v>
      </c>
      <c r="L49" s="73">
        <v>-1479633.0644999996</v>
      </c>
      <c r="M49" s="73">
        <v>54752126.566499829</v>
      </c>
      <c r="N49" s="73">
        <v>-798005.4216</v>
      </c>
      <c r="O49" s="73">
        <v>73081225.289799497</v>
      </c>
      <c r="P49" s="61">
        <f t="shared" si="4"/>
        <v>2.7024211793908938E-2</v>
      </c>
      <c r="Q49" s="61">
        <f t="shared" si="5"/>
        <v>1.0919431337331227E-2</v>
      </c>
    </row>
    <row r="50" spans="1:17">
      <c r="A50" s="23">
        <v>3115200</v>
      </c>
      <c r="B50" s="18">
        <v>262933</v>
      </c>
      <c r="C50" s="16" t="s">
        <v>68</v>
      </c>
      <c r="D50" s="67" t="s">
        <v>20</v>
      </c>
      <c r="E50" s="16">
        <v>268299</v>
      </c>
      <c r="F50" s="17">
        <v>17527</v>
      </c>
      <c r="G50" s="16">
        <v>6075</v>
      </c>
      <c r="H50" s="16">
        <v>25708.000002000001</v>
      </c>
      <c r="I50" s="59">
        <f t="shared" si="1"/>
        <v>6.5326370951811222E-2</v>
      </c>
      <c r="J50" s="59">
        <f t="shared" si="2"/>
        <v>2.2642648686726375E-2</v>
      </c>
      <c r="K50" s="59">
        <f t="shared" si="3"/>
        <v>9.5818471190723786E-2</v>
      </c>
      <c r="L50" s="73">
        <v>-3231043.7843000698</v>
      </c>
      <c r="M50" s="73">
        <v>24093154.329403941</v>
      </c>
      <c r="N50" s="73">
        <v>-1516455.365200001</v>
      </c>
      <c r="O50" s="73">
        <v>30460541.493898723</v>
      </c>
      <c r="P50" s="61">
        <f t="shared" si="4"/>
        <v>0.13410630007698146</v>
      </c>
      <c r="Q50" s="61">
        <f t="shared" si="5"/>
        <v>4.9784255000973915E-2</v>
      </c>
    </row>
    <row r="51" spans="1:17">
      <c r="A51" s="23">
        <v>3116600</v>
      </c>
      <c r="B51" s="18">
        <v>548878</v>
      </c>
      <c r="C51" s="16" t="s">
        <v>69</v>
      </c>
      <c r="D51" s="67" t="s">
        <v>18</v>
      </c>
      <c r="E51" s="16">
        <v>238951</v>
      </c>
      <c r="F51" s="17">
        <v>16404</v>
      </c>
      <c r="G51" s="16">
        <v>2281</v>
      </c>
      <c r="H51" s="16">
        <v>34238</v>
      </c>
      <c r="I51" s="59">
        <f t="shared" si="1"/>
        <v>6.8650057961674157E-2</v>
      </c>
      <c r="J51" s="59">
        <f t="shared" si="2"/>
        <v>9.5458901615812445E-3</v>
      </c>
      <c r="K51" s="59">
        <f t="shared" si="3"/>
        <v>0.14328460646743474</v>
      </c>
      <c r="L51" s="73">
        <v>-1449431.1568000114</v>
      </c>
      <c r="M51" s="73">
        <v>23472457.633699831</v>
      </c>
      <c r="N51" s="73">
        <v>-1183585.7827000006</v>
      </c>
      <c r="O51" s="73">
        <v>24336821.891806711</v>
      </c>
      <c r="P51" s="61">
        <f t="shared" si="4"/>
        <v>6.1750293872893693E-2</v>
      </c>
      <c r="Q51" s="61">
        <f t="shared" si="5"/>
        <v>4.8633539250187353E-2</v>
      </c>
    </row>
    <row r="52" spans="1:17">
      <c r="A52" s="23">
        <v>3119900</v>
      </c>
      <c r="B52" s="18">
        <v>576807</v>
      </c>
      <c r="C52" s="16" t="s">
        <v>70</v>
      </c>
      <c r="D52" s="67" t="s">
        <v>31</v>
      </c>
      <c r="E52" s="16">
        <v>84459</v>
      </c>
      <c r="F52" s="17">
        <v>2642.0000019999998</v>
      </c>
      <c r="G52" s="16">
        <v>0</v>
      </c>
      <c r="H52" s="16">
        <v>0</v>
      </c>
      <c r="I52" s="59">
        <f t="shared" si="1"/>
        <v>3.1281450194769057E-2</v>
      </c>
      <c r="J52" s="59">
        <f t="shared" si="2"/>
        <v>0</v>
      </c>
      <c r="K52" s="59">
        <f t="shared" si="3"/>
        <v>0</v>
      </c>
      <c r="L52" s="73">
        <v>-38051.828099999999</v>
      </c>
      <c r="M52" s="73">
        <v>21068.6456</v>
      </c>
      <c r="N52" s="73">
        <v>-671371.27919999918</v>
      </c>
      <c r="O52" s="73">
        <v>6054285.5524030263</v>
      </c>
      <c r="P52" s="61">
        <f t="shared" si="4"/>
        <v>1.8060880050115797</v>
      </c>
      <c r="Q52" s="61">
        <f t="shared" si="5"/>
        <v>0.11089190844880499</v>
      </c>
    </row>
    <row r="53" spans="1:17">
      <c r="A53" s="23">
        <v>3122100</v>
      </c>
      <c r="B53" s="18">
        <v>1069085</v>
      </c>
      <c r="C53" s="16" t="s">
        <v>71</v>
      </c>
      <c r="D53" s="67" t="s">
        <v>18</v>
      </c>
      <c r="E53" s="16">
        <v>202377</v>
      </c>
      <c r="F53" s="17">
        <v>21819</v>
      </c>
      <c r="G53" s="16">
        <v>2968</v>
      </c>
      <c r="H53" s="16">
        <v>30334</v>
      </c>
      <c r="I53" s="59">
        <f t="shared" si="1"/>
        <v>0.10781363494863547</v>
      </c>
      <c r="J53" s="59">
        <f t="shared" si="2"/>
        <v>1.4665698177164401E-2</v>
      </c>
      <c r="K53" s="59">
        <f t="shared" si="3"/>
        <v>0.14988857429450975</v>
      </c>
      <c r="L53" s="73">
        <v>-1269550.9924000024</v>
      </c>
      <c r="M53" s="73">
        <v>21739629.145890988</v>
      </c>
      <c r="N53" s="73">
        <v>-1529609.0323999971</v>
      </c>
      <c r="O53" s="73">
        <v>22904988.453299832</v>
      </c>
      <c r="P53" s="61">
        <f t="shared" si="4"/>
        <v>5.8398005958623288E-2</v>
      </c>
      <c r="Q53" s="61">
        <f t="shared" si="5"/>
        <v>6.6780607007013465E-2</v>
      </c>
    </row>
    <row r="54" spans="1:17">
      <c r="A54" s="23">
        <v>3123200</v>
      </c>
      <c r="B54" s="18">
        <v>746708</v>
      </c>
      <c r="C54" s="16" t="s">
        <v>72</v>
      </c>
      <c r="D54" s="67" t="s">
        <v>31</v>
      </c>
      <c r="E54" s="16">
        <v>132347</v>
      </c>
      <c r="F54" s="17">
        <v>7296</v>
      </c>
      <c r="G54" s="16">
        <v>0</v>
      </c>
      <c r="H54" s="16">
        <v>0</v>
      </c>
      <c r="I54" s="59">
        <f t="shared" si="1"/>
        <v>5.5127807959379507E-2</v>
      </c>
      <c r="J54" s="59">
        <f t="shared" si="2"/>
        <v>0</v>
      </c>
      <c r="K54" s="59">
        <f t="shared" si="3"/>
        <v>0</v>
      </c>
      <c r="L54" s="73">
        <v>0</v>
      </c>
      <c r="M54" s="73">
        <v>26656.192400000004</v>
      </c>
      <c r="N54" s="73">
        <v>-625954.30349999946</v>
      </c>
      <c r="O54" s="73">
        <v>15388869.273500005</v>
      </c>
      <c r="P54" s="61">
        <f t="shared" si="4"/>
        <v>0</v>
      </c>
      <c r="Q54" s="61">
        <f t="shared" si="5"/>
        <v>4.0675782760589661E-2</v>
      </c>
    </row>
    <row r="55" spans="1:17">
      <c r="A55" s="23">
        <v>3126200</v>
      </c>
      <c r="B55" s="18">
        <v>895320</v>
      </c>
      <c r="C55" s="16" t="s">
        <v>73</v>
      </c>
      <c r="D55" s="67" t="s">
        <v>20</v>
      </c>
      <c r="E55" s="16">
        <v>183475</v>
      </c>
      <c r="F55" s="17">
        <v>20052</v>
      </c>
      <c r="G55" s="16">
        <v>4562.0000010000003</v>
      </c>
      <c r="H55" s="16">
        <v>21052.000004000001</v>
      </c>
      <c r="I55" s="59">
        <f t="shared" si="1"/>
        <v>0.10929009401825862</v>
      </c>
      <c r="J55" s="59">
        <f t="shared" si="2"/>
        <v>2.4864422951355773E-2</v>
      </c>
      <c r="K55" s="59">
        <f t="shared" si="3"/>
        <v>0.11474042787300723</v>
      </c>
      <c r="L55" s="73">
        <v>-3218226.2785000368</v>
      </c>
      <c r="M55" s="73">
        <v>18193386.431599852</v>
      </c>
      <c r="N55" s="73">
        <v>-2146953.6713999985</v>
      </c>
      <c r="O55" s="73">
        <v>32409144.614500504</v>
      </c>
      <c r="P55" s="61">
        <f t="shared" si="4"/>
        <v>0.17688989845839487</v>
      </c>
      <c r="Q55" s="61">
        <f t="shared" si="5"/>
        <v>6.6245305050087869E-2</v>
      </c>
    </row>
    <row r="56" spans="1:17">
      <c r="A56" s="23">
        <v>3127300</v>
      </c>
      <c r="B56" s="18">
        <v>983973</v>
      </c>
      <c r="C56" s="16" t="s">
        <v>74</v>
      </c>
      <c r="D56" s="67" t="s">
        <v>20</v>
      </c>
      <c r="E56" s="16">
        <v>218584</v>
      </c>
      <c r="F56" s="17">
        <v>25963</v>
      </c>
      <c r="G56" s="16">
        <v>5980</v>
      </c>
      <c r="H56" s="16">
        <v>28337</v>
      </c>
      <c r="I56" s="59">
        <f t="shared" si="1"/>
        <v>0.11877813563664312</v>
      </c>
      <c r="J56" s="59">
        <f t="shared" si="2"/>
        <v>2.7357903597701572E-2</v>
      </c>
      <c r="K56" s="59">
        <f t="shared" si="3"/>
        <v>0.12963894887091462</v>
      </c>
      <c r="L56" s="73">
        <v>-2946905.5553000481</v>
      </c>
      <c r="M56" s="73">
        <v>25726699.007799864</v>
      </c>
      <c r="N56" s="73">
        <v>-906902.89150000049</v>
      </c>
      <c r="O56" s="73">
        <v>37455369.335101567</v>
      </c>
      <c r="P56" s="61">
        <f t="shared" si="4"/>
        <v>0.11454658657943642</v>
      </c>
      <c r="Q56" s="61">
        <f t="shared" si="5"/>
        <v>2.421289410835124E-2</v>
      </c>
    </row>
    <row r="57" spans="1:17">
      <c r="A57" s="23">
        <v>3157200</v>
      </c>
      <c r="B57" s="18">
        <v>903028</v>
      </c>
      <c r="C57" s="16" t="s">
        <v>75</v>
      </c>
      <c r="D57" s="67" t="s">
        <v>20</v>
      </c>
      <c r="E57" s="16">
        <v>389447</v>
      </c>
      <c r="F57" s="17">
        <v>42158.000002000001</v>
      </c>
      <c r="G57" s="16">
        <v>9620</v>
      </c>
      <c r="H57" s="16">
        <v>45393.000001</v>
      </c>
      <c r="I57" s="59">
        <f t="shared" si="1"/>
        <v>0.10825093017021571</v>
      </c>
      <c r="J57" s="59">
        <f t="shared" si="2"/>
        <v>2.4701692399736037E-2</v>
      </c>
      <c r="K57" s="59">
        <f t="shared" si="3"/>
        <v>0.11655758036651971</v>
      </c>
      <c r="L57" s="73">
        <v>-2648668.8267000136</v>
      </c>
      <c r="M57" s="73">
        <v>40864094.945601083</v>
      </c>
      <c r="N57" s="73">
        <v>-843402.52330000093</v>
      </c>
      <c r="O57" s="73">
        <v>61619462.82679712</v>
      </c>
      <c r="P57" s="61">
        <f t="shared" si="4"/>
        <v>6.4816529773287834E-2</v>
      </c>
      <c r="Q57" s="61">
        <f t="shared" si="5"/>
        <v>1.3687274841565502E-2</v>
      </c>
    </row>
    <row r="58" spans="1:17">
      <c r="A58" s="23">
        <v>3182900</v>
      </c>
      <c r="B58" s="18">
        <v>1009589</v>
      </c>
      <c r="C58" s="16" t="s">
        <v>76</v>
      </c>
      <c r="D58" s="67" t="s">
        <v>18</v>
      </c>
      <c r="E58" s="16">
        <v>220329</v>
      </c>
      <c r="F58" s="17">
        <v>28388</v>
      </c>
      <c r="G58" s="16">
        <v>3260</v>
      </c>
      <c r="H58" s="16">
        <v>26417</v>
      </c>
      <c r="I58" s="59">
        <f t="shared" si="1"/>
        <v>0.12884368376382591</v>
      </c>
      <c r="J58" s="59">
        <f t="shared" si="2"/>
        <v>1.4796054990491492E-2</v>
      </c>
      <c r="K58" s="59">
        <f t="shared" si="3"/>
        <v>0.11989797076190606</v>
      </c>
      <c r="L58" s="73">
        <v>-1355113.4500000065</v>
      </c>
      <c r="M58" s="73">
        <v>20983446.385202084</v>
      </c>
      <c r="N58" s="73">
        <v>-1625883.0246000018</v>
      </c>
      <c r="O58" s="73">
        <v>25000092.904198777</v>
      </c>
      <c r="P58" s="61">
        <f t="shared" si="4"/>
        <v>6.4580118304858519E-2</v>
      </c>
      <c r="Q58" s="61">
        <f t="shared" si="5"/>
        <v>6.5035079302722676E-2</v>
      </c>
    </row>
    <row r="59" spans="1:17">
      <c r="A59" s="23">
        <v>3185900</v>
      </c>
      <c r="B59" s="18">
        <v>268666</v>
      </c>
      <c r="C59" s="16" t="s">
        <v>77</v>
      </c>
      <c r="D59" s="67" t="s">
        <v>20</v>
      </c>
      <c r="E59" s="16">
        <v>254643</v>
      </c>
      <c r="F59" s="17">
        <v>24882</v>
      </c>
      <c r="G59" s="16">
        <v>7611</v>
      </c>
      <c r="H59" s="16">
        <v>19340.000001</v>
      </c>
      <c r="I59" s="59">
        <f t="shared" si="1"/>
        <v>9.7713269165066383E-2</v>
      </c>
      <c r="J59" s="59">
        <f t="shared" si="2"/>
        <v>2.9888903288132797E-2</v>
      </c>
      <c r="K59" s="59">
        <f t="shared" si="3"/>
        <v>7.5949466511940247E-2</v>
      </c>
      <c r="L59" s="73">
        <v>-2629216.4006000184</v>
      </c>
      <c r="M59" s="73">
        <v>17334736.300100788</v>
      </c>
      <c r="N59" s="73">
        <v>-971450.09090000018</v>
      </c>
      <c r="O59" s="73">
        <v>32687676.302697599</v>
      </c>
      <c r="P59" s="61">
        <f t="shared" si="4"/>
        <v>0.15167328507816594</v>
      </c>
      <c r="Q59" s="61">
        <f t="shared" si="5"/>
        <v>2.9719154151677335E-2</v>
      </c>
    </row>
    <row r="60" spans="1:17">
      <c r="A60" s="23">
        <v>3187000</v>
      </c>
      <c r="B60" s="18">
        <v>1088073</v>
      </c>
      <c r="C60" s="16" t="s">
        <v>78</v>
      </c>
      <c r="D60" s="67" t="s">
        <v>18</v>
      </c>
      <c r="E60" s="16">
        <v>251513</v>
      </c>
      <c r="F60" s="17">
        <v>29859</v>
      </c>
      <c r="G60" s="16">
        <v>1500</v>
      </c>
      <c r="H60" s="16">
        <v>33648</v>
      </c>
      <c r="I60" s="59">
        <f t="shared" si="1"/>
        <v>0.11871752155952177</v>
      </c>
      <c r="J60" s="59">
        <f t="shared" si="2"/>
        <v>5.9639064382357972E-3</v>
      </c>
      <c r="K60" s="59">
        <f t="shared" si="3"/>
        <v>0.1337823492225054</v>
      </c>
      <c r="L60" s="73">
        <v>-1739927.4971999996</v>
      </c>
      <c r="M60" s="73">
        <v>24961098.909199901</v>
      </c>
      <c r="N60" s="73">
        <v>-897969.07480000006</v>
      </c>
      <c r="O60" s="73">
        <v>59508082.518807016</v>
      </c>
      <c r="P60" s="61">
        <f t="shared" si="4"/>
        <v>6.9705564788203916E-2</v>
      </c>
      <c r="Q60" s="61">
        <f t="shared" si="5"/>
        <v>1.5089867406099074E-2</v>
      </c>
    </row>
    <row r="61" spans="1:17">
      <c r="A61" s="23">
        <v>3188100</v>
      </c>
      <c r="B61" s="18">
        <v>694836</v>
      </c>
      <c r="C61" s="16" t="s">
        <v>79</v>
      </c>
      <c r="D61" s="67" t="s">
        <v>20</v>
      </c>
      <c r="E61" s="16">
        <v>372314</v>
      </c>
      <c r="F61" s="17">
        <v>35103.000001</v>
      </c>
      <c r="G61" s="16">
        <v>5515</v>
      </c>
      <c r="H61" s="16">
        <v>31997.000005000002</v>
      </c>
      <c r="I61" s="59">
        <f t="shared" si="1"/>
        <v>9.4283319996024864E-2</v>
      </c>
      <c r="J61" s="59">
        <f t="shared" si="2"/>
        <v>1.4812765568847801E-2</v>
      </c>
      <c r="K61" s="59">
        <f t="shared" si="3"/>
        <v>8.5940899361828998E-2</v>
      </c>
      <c r="L61" s="73">
        <v>-2993998.6448000493</v>
      </c>
      <c r="M61" s="73">
        <v>28669730.458997045</v>
      </c>
      <c r="N61" s="73">
        <v>-1452743.2136999981</v>
      </c>
      <c r="O61" s="73">
        <v>53705046.478798963</v>
      </c>
      <c r="P61" s="61">
        <f t="shared" si="4"/>
        <v>0.10443065201055918</v>
      </c>
      <c r="Q61" s="61">
        <f t="shared" si="5"/>
        <v>2.7050404178934929E-2</v>
      </c>
    </row>
    <row r="62" spans="1:17">
      <c r="A62" s="23">
        <v>3188500</v>
      </c>
      <c r="B62" s="18">
        <v>666163</v>
      </c>
      <c r="C62" s="16" t="s">
        <v>80</v>
      </c>
      <c r="D62" s="67" t="s">
        <v>20</v>
      </c>
      <c r="E62" s="16">
        <v>256722</v>
      </c>
      <c r="F62" s="17">
        <v>22910</v>
      </c>
      <c r="G62" s="16">
        <v>4877</v>
      </c>
      <c r="H62" s="16">
        <v>24986</v>
      </c>
      <c r="I62" s="59">
        <f t="shared" si="1"/>
        <v>8.9240501398399827E-2</v>
      </c>
      <c r="J62" s="59">
        <f t="shared" si="2"/>
        <v>1.8997203200349016E-2</v>
      </c>
      <c r="K62" s="59">
        <f t="shared" si="3"/>
        <v>9.7327069748599657E-2</v>
      </c>
      <c r="L62" s="73">
        <v>-2771370.086800037</v>
      </c>
      <c r="M62" s="73">
        <v>22432892.066700023</v>
      </c>
      <c r="N62" s="73">
        <v>-1381547.0104999989</v>
      </c>
      <c r="O62" s="73">
        <v>35153149.613798395</v>
      </c>
      <c r="P62" s="61">
        <f t="shared" si="4"/>
        <v>0.12354047255966305</v>
      </c>
      <c r="Q62" s="61">
        <f t="shared" si="5"/>
        <v>3.9300803076766443E-2</v>
      </c>
    </row>
    <row r="63" spans="1:17">
      <c r="A63" s="23">
        <v>3189200</v>
      </c>
      <c r="B63" s="18">
        <v>398761</v>
      </c>
      <c r="C63" s="16" t="s">
        <v>81</v>
      </c>
      <c r="D63" s="67" t="s">
        <v>31</v>
      </c>
      <c r="E63" s="16">
        <v>95153</v>
      </c>
      <c r="F63" s="17">
        <v>4186</v>
      </c>
      <c r="G63" s="16">
        <v>0</v>
      </c>
      <c r="H63" s="16">
        <v>0</v>
      </c>
      <c r="I63" s="59">
        <f t="shared" si="1"/>
        <v>4.3992307126417454E-2</v>
      </c>
      <c r="J63" s="59">
        <f t="shared" si="2"/>
        <v>0</v>
      </c>
      <c r="K63" s="59">
        <f t="shared" si="3"/>
        <v>0</v>
      </c>
      <c r="L63" s="73">
        <v>0</v>
      </c>
      <c r="M63" s="73">
        <v>0</v>
      </c>
      <c r="N63" s="73">
        <v>-99576.464800000002</v>
      </c>
      <c r="O63" s="73">
        <v>8535178.7755999975</v>
      </c>
      <c r="P63" s="61">
        <v>0</v>
      </c>
      <c r="Q63" s="61">
        <f t="shared" si="5"/>
        <v>1.1666593918883682E-2</v>
      </c>
    </row>
    <row r="64" spans="1:17">
      <c r="A64" s="23">
        <v>3190300</v>
      </c>
      <c r="B64" s="18">
        <v>1070285</v>
      </c>
      <c r="C64" s="16" t="s">
        <v>82</v>
      </c>
      <c r="D64" s="67" t="s">
        <v>31</v>
      </c>
      <c r="E64" s="16">
        <v>172865</v>
      </c>
      <c r="F64" s="17">
        <v>8735</v>
      </c>
      <c r="G64" s="16">
        <v>0</v>
      </c>
      <c r="H64" s="16">
        <v>10095</v>
      </c>
      <c r="I64" s="59">
        <f t="shared" si="1"/>
        <v>5.0530760998467011E-2</v>
      </c>
      <c r="J64" s="59">
        <f t="shared" si="2"/>
        <v>0</v>
      </c>
      <c r="K64" s="59">
        <f t="shared" si="3"/>
        <v>5.8398171983918085E-2</v>
      </c>
      <c r="L64" s="73">
        <v>-1193886.1784999953</v>
      </c>
      <c r="M64" s="73">
        <v>5726509.6394000119</v>
      </c>
      <c r="N64" s="73">
        <v>-1181874.2211999996</v>
      </c>
      <c r="O64" s="73">
        <v>13651993.758101992</v>
      </c>
      <c r="P64" s="61">
        <f t="shared" si="4"/>
        <v>0.20848409479409927</v>
      </c>
      <c r="Q64" s="61">
        <f t="shared" si="5"/>
        <v>8.6571547141134422E-2</v>
      </c>
    </row>
    <row r="65" spans="1:17">
      <c r="A65" s="23">
        <v>3193600</v>
      </c>
      <c r="B65" s="18">
        <v>779616</v>
      </c>
      <c r="C65" s="16" t="s">
        <v>83</v>
      </c>
      <c r="D65" s="67" t="s">
        <v>20</v>
      </c>
      <c r="E65" s="16">
        <v>241807</v>
      </c>
      <c r="F65" s="17">
        <v>26354.999997999999</v>
      </c>
      <c r="G65" s="16">
        <v>7615</v>
      </c>
      <c r="H65" s="16">
        <v>32271.999999</v>
      </c>
      <c r="I65" s="59">
        <f t="shared" ref="I65:I123" si="6">F65/$E65</f>
        <v>0.10899188194717274</v>
      </c>
      <c r="J65" s="59">
        <f t="shared" ref="J65:J123" si="7">G65/$E65</f>
        <v>3.1492057715450751E-2</v>
      </c>
      <c r="K65" s="59">
        <f t="shared" ref="K65:K123" si="8">H65/$E65</f>
        <v>0.13346181044800193</v>
      </c>
      <c r="L65" s="73">
        <v>-3190636.6843000506</v>
      </c>
      <c r="M65" s="73">
        <v>30062035.267800987</v>
      </c>
      <c r="N65" s="73">
        <v>-950546.54979999957</v>
      </c>
      <c r="O65" s="73">
        <v>44498612.022305235</v>
      </c>
      <c r="P65" s="61">
        <f t="shared" ref="P65:P123" si="9">ABS(L65/M65)</f>
        <v>0.10613508552820759</v>
      </c>
      <c r="Q65" s="61">
        <f t="shared" ref="Q65:Q123" si="10">ABS(N65/O65)</f>
        <v>2.1361262893402868E-2</v>
      </c>
    </row>
    <row r="66" spans="1:17">
      <c r="A66" s="23">
        <v>3194700</v>
      </c>
      <c r="B66" s="18">
        <v>1025069</v>
      </c>
      <c r="C66" s="16" t="s">
        <v>84</v>
      </c>
      <c r="D66" s="67" t="s">
        <v>20</v>
      </c>
      <c r="E66" s="16">
        <v>262519</v>
      </c>
      <c r="F66" s="17">
        <v>61628.003341999996</v>
      </c>
      <c r="G66" s="16">
        <v>13687</v>
      </c>
      <c r="H66" s="16">
        <v>39725.000002000001</v>
      </c>
      <c r="I66" s="59">
        <f t="shared" si="6"/>
        <v>0.23475635417626914</v>
      </c>
      <c r="J66" s="59">
        <f t="shared" si="7"/>
        <v>5.2137178642307797E-2</v>
      </c>
      <c r="K66" s="59">
        <f t="shared" si="8"/>
        <v>0.15132238048293647</v>
      </c>
      <c r="L66" s="73">
        <v>-3231754.6251000059</v>
      </c>
      <c r="M66" s="73">
        <v>46718066.911598511</v>
      </c>
      <c r="N66" s="73">
        <v>-685198.5173999992</v>
      </c>
      <c r="O66" s="73">
        <v>103824297.9011025</v>
      </c>
      <c r="P66" s="61">
        <f t="shared" si="9"/>
        <v>6.9175692376468409E-2</v>
      </c>
      <c r="Q66" s="61">
        <f t="shared" si="10"/>
        <v>6.5995969272306838E-3</v>
      </c>
    </row>
    <row r="67" spans="1:17">
      <c r="A67" s="23">
        <v>3195200</v>
      </c>
      <c r="B67" s="18">
        <v>1011896</v>
      </c>
      <c r="C67" s="16" t="s">
        <v>85</v>
      </c>
      <c r="D67" s="67" t="s">
        <v>18</v>
      </c>
      <c r="E67" s="16">
        <v>412063</v>
      </c>
      <c r="F67" s="17">
        <v>79478.000004000001</v>
      </c>
      <c r="G67" s="16">
        <v>9853</v>
      </c>
      <c r="H67" s="16">
        <v>87417.000003000008</v>
      </c>
      <c r="I67" s="59">
        <f t="shared" si="6"/>
        <v>0.19287827347759931</v>
      </c>
      <c r="J67" s="59">
        <f t="shared" si="7"/>
        <v>2.3911392190029194E-2</v>
      </c>
      <c r="K67" s="59">
        <f t="shared" si="8"/>
        <v>0.21214474486425622</v>
      </c>
      <c r="L67" s="73">
        <v>-2332404.7373000025</v>
      </c>
      <c r="M67" s="73">
        <v>78396545.808497652</v>
      </c>
      <c r="N67" s="73">
        <v>-1672258.0745999995</v>
      </c>
      <c r="O67" s="73">
        <v>162123544.46099958</v>
      </c>
      <c r="P67" s="61">
        <f t="shared" si="9"/>
        <v>2.9751371227470402E-2</v>
      </c>
      <c r="Q67" s="61">
        <f t="shared" si="10"/>
        <v>1.0314714498499493E-2</v>
      </c>
    </row>
    <row r="68" spans="1:17">
      <c r="A68" s="23">
        <v>3196200</v>
      </c>
      <c r="B68" s="18">
        <v>767279</v>
      </c>
      <c r="C68" s="16" t="s">
        <v>86</v>
      </c>
      <c r="D68" s="67" t="s">
        <v>18</v>
      </c>
      <c r="E68" s="16">
        <v>424107</v>
      </c>
      <c r="F68" s="17">
        <v>82330.000002000001</v>
      </c>
      <c r="G68" s="16">
        <v>9115</v>
      </c>
      <c r="H68" s="16">
        <v>91930</v>
      </c>
      <c r="I68" s="59">
        <f t="shared" si="6"/>
        <v>0.1941255390785816</v>
      </c>
      <c r="J68" s="59">
        <f t="shared" si="7"/>
        <v>2.1492217765799668E-2</v>
      </c>
      <c r="K68" s="59">
        <f t="shared" si="8"/>
        <v>0.21676133617223955</v>
      </c>
      <c r="L68" s="73">
        <v>-2688632.9736000067</v>
      </c>
      <c r="M68" s="73">
        <v>75223119.563401312</v>
      </c>
      <c r="N68" s="73">
        <v>-2118879.1945999982</v>
      </c>
      <c r="O68" s="73">
        <v>179921809.13499418</v>
      </c>
      <c r="P68" s="61">
        <f t="shared" si="9"/>
        <v>3.5742109463220414E-2</v>
      </c>
      <c r="Q68" s="61">
        <f t="shared" si="10"/>
        <v>1.1776666790907026E-2</v>
      </c>
    </row>
    <row r="69" spans="1:17">
      <c r="A69" s="23">
        <v>3196600</v>
      </c>
      <c r="B69" s="18">
        <v>549712</v>
      </c>
      <c r="C69" s="16" t="s">
        <v>87</v>
      </c>
      <c r="D69" s="67" t="s">
        <v>20</v>
      </c>
      <c r="E69" s="16">
        <v>300933</v>
      </c>
      <c r="F69" s="17">
        <v>28596</v>
      </c>
      <c r="G69" s="16">
        <v>6744</v>
      </c>
      <c r="H69" s="16">
        <v>30901</v>
      </c>
      <c r="I69" s="59">
        <f t="shared" si="6"/>
        <v>9.5024473886213878E-2</v>
      </c>
      <c r="J69" s="59">
        <f t="shared" si="7"/>
        <v>2.241030395470088E-2</v>
      </c>
      <c r="K69" s="59">
        <f t="shared" si="8"/>
        <v>0.10268398613644898</v>
      </c>
      <c r="L69" s="73">
        <v>-2992031.7094000471</v>
      </c>
      <c r="M69" s="73">
        <v>27322442.289299931</v>
      </c>
      <c r="N69" s="73">
        <v>-1169248.6855000011</v>
      </c>
      <c r="O69" s="73">
        <v>27903236.246701747</v>
      </c>
      <c r="P69" s="61">
        <f t="shared" si="9"/>
        <v>0.1095082085898226</v>
      </c>
      <c r="Q69" s="61">
        <f t="shared" si="10"/>
        <v>4.1903694437529983E-2</v>
      </c>
    </row>
    <row r="70" spans="1:17">
      <c r="A70" s="23">
        <v>3197700</v>
      </c>
      <c r="B70" s="18">
        <v>859965</v>
      </c>
      <c r="C70" s="16" t="s">
        <v>88</v>
      </c>
      <c r="D70" s="67" t="s">
        <v>20</v>
      </c>
      <c r="E70" s="16">
        <v>241283</v>
      </c>
      <c r="F70" s="17">
        <v>24868</v>
      </c>
      <c r="G70" s="16">
        <v>6177</v>
      </c>
      <c r="H70" s="16">
        <v>25730</v>
      </c>
      <c r="I70" s="59">
        <f t="shared" si="6"/>
        <v>0.10306569464073308</v>
      </c>
      <c r="J70" s="59">
        <f t="shared" si="7"/>
        <v>2.5600643228076574E-2</v>
      </c>
      <c r="K70" s="59">
        <f t="shared" si="8"/>
        <v>0.10663826295263239</v>
      </c>
      <c r="L70" s="73">
        <v>-4579684.5379000818</v>
      </c>
      <c r="M70" s="73">
        <v>23553680.745399892</v>
      </c>
      <c r="N70" s="73">
        <v>-3639202.5767999953</v>
      </c>
      <c r="O70" s="73">
        <v>27443567.440903828</v>
      </c>
      <c r="P70" s="61">
        <f t="shared" si="9"/>
        <v>0.19443604536392931</v>
      </c>
      <c r="Q70" s="61">
        <f t="shared" si="10"/>
        <v>0.132606760569177</v>
      </c>
    </row>
    <row r="71" spans="1:17">
      <c r="A71" s="23">
        <v>3199900</v>
      </c>
      <c r="B71" s="18">
        <v>416348</v>
      </c>
      <c r="C71" s="16" t="s">
        <v>89</v>
      </c>
      <c r="D71" s="67" t="s">
        <v>18</v>
      </c>
      <c r="E71" s="16">
        <v>173454</v>
      </c>
      <c r="F71" s="17">
        <v>12601</v>
      </c>
      <c r="G71" s="16">
        <v>834</v>
      </c>
      <c r="H71" s="16">
        <v>17057</v>
      </c>
      <c r="I71" s="59">
        <f t="shared" si="6"/>
        <v>7.2647503084391246E-2</v>
      </c>
      <c r="J71" s="59">
        <f t="shared" si="7"/>
        <v>4.8081912207271092E-3</v>
      </c>
      <c r="K71" s="59">
        <f t="shared" si="8"/>
        <v>9.8337311333264149E-2</v>
      </c>
      <c r="L71" s="73">
        <v>-1631088.7802000092</v>
      </c>
      <c r="M71" s="73">
        <v>12790023.30399997</v>
      </c>
      <c r="N71" s="73">
        <v>-2341587.7353000012</v>
      </c>
      <c r="O71" s="73">
        <v>26311377.389599711</v>
      </c>
      <c r="P71" s="61">
        <f t="shared" si="9"/>
        <v>0.12752821018628638</v>
      </c>
      <c r="Q71" s="61">
        <f t="shared" si="10"/>
        <v>8.8995254814199787E-2</v>
      </c>
    </row>
    <row r="72" spans="1:17">
      <c r="A72" s="23">
        <v>3201000</v>
      </c>
      <c r="B72" s="18">
        <v>1050300</v>
      </c>
      <c r="C72" s="16" t="s">
        <v>90</v>
      </c>
      <c r="D72" s="67" t="s">
        <v>18</v>
      </c>
      <c r="E72" s="16">
        <v>255968</v>
      </c>
      <c r="F72" s="17">
        <v>18942.000002000001</v>
      </c>
      <c r="G72" s="16">
        <v>2446</v>
      </c>
      <c r="H72" s="16">
        <v>26942.000002000001</v>
      </c>
      <c r="I72" s="59">
        <f t="shared" si="6"/>
        <v>7.4001437687523444E-2</v>
      </c>
      <c r="J72" s="59">
        <f t="shared" si="7"/>
        <v>9.5558819852481561E-3</v>
      </c>
      <c r="K72" s="59">
        <f t="shared" si="8"/>
        <v>0.10525534442586573</v>
      </c>
      <c r="L72" s="73">
        <v>-1796644.8760999956</v>
      </c>
      <c r="M72" s="73">
        <v>20598139.415300958</v>
      </c>
      <c r="N72" s="73">
        <v>-1206437.3088</v>
      </c>
      <c r="O72" s="73">
        <v>34564964.925402395</v>
      </c>
      <c r="P72" s="61">
        <f t="shared" si="9"/>
        <v>8.7223648693502395E-2</v>
      </c>
      <c r="Q72" s="61">
        <f t="shared" si="10"/>
        <v>3.4903472675401684E-2</v>
      </c>
    </row>
    <row r="73" spans="1:17">
      <c r="A73" s="23">
        <v>3202100</v>
      </c>
      <c r="B73" s="18">
        <v>271054</v>
      </c>
      <c r="C73" s="16" t="s">
        <v>91</v>
      </c>
      <c r="D73" s="67" t="s">
        <v>31</v>
      </c>
      <c r="E73" s="16">
        <v>122475</v>
      </c>
      <c r="F73" s="17">
        <v>6182</v>
      </c>
      <c r="G73" s="16">
        <v>0</v>
      </c>
      <c r="H73" s="16">
        <v>7711</v>
      </c>
      <c r="I73" s="59">
        <f t="shared" si="6"/>
        <v>5.0475607266789138E-2</v>
      </c>
      <c r="J73" s="59">
        <f t="shared" si="7"/>
        <v>0</v>
      </c>
      <c r="K73" s="59">
        <f t="shared" si="8"/>
        <v>6.2959787711777918E-2</v>
      </c>
      <c r="L73" s="73">
        <v>-934889.2235999977</v>
      </c>
      <c r="M73" s="73">
        <v>5319872.4643999944</v>
      </c>
      <c r="N73" s="73">
        <v>-843959.30049999978</v>
      </c>
      <c r="O73" s="73">
        <v>10457334.85730199</v>
      </c>
      <c r="P73" s="61">
        <f t="shared" si="9"/>
        <v>0.17573526994419025</v>
      </c>
      <c r="Q73" s="61">
        <f t="shared" si="10"/>
        <v>8.0705008686863713E-2</v>
      </c>
    </row>
    <row r="74" spans="1:17">
      <c r="A74" s="23">
        <v>3203200</v>
      </c>
      <c r="B74" s="18">
        <v>892017</v>
      </c>
      <c r="C74" s="16" t="s">
        <v>92</v>
      </c>
      <c r="D74" s="67" t="s">
        <v>31</v>
      </c>
      <c r="E74" s="16">
        <v>68655</v>
      </c>
      <c r="F74" s="17">
        <v>12153</v>
      </c>
      <c r="G74" s="16">
        <v>0</v>
      </c>
      <c r="H74" s="16">
        <v>6756</v>
      </c>
      <c r="I74" s="59">
        <f t="shared" si="6"/>
        <v>0.17701551234433036</v>
      </c>
      <c r="J74" s="59">
        <f t="shared" si="7"/>
        <v>0</v>
      </c>
      <c r="K74" s="59">
        <f t="shared" si="8"/>
        <v>9.8405068822372738E-2</v>
      </c>
      <c r="L74" s="73">
        <v>-598992.11079999886</v>
      </c>
      <c r="M74" s="73">
        <v>4958444.4623999866</v>
      </c>
      <c r="N74" s="73">
        <v>-748274.27680000046</v>
      </c>
      <c r="O74" s="73">
        <v>21810643.509399857</v>
      </c>
      <c r="P74" s="61">
        <f t="shared" si="9"/>
        <v>0.12080242409533305</v>
      </c>
      <c r="Q74" s="61">
        <f t="shared" si="10"/>
        <v>3.4307757883324831E-2</v>
      </c>
    </row>
    <row r="75" spans="1:17">
      <c r="A75" s="23">
        <v>3205500</v>
      </c>
      <c r="B75" s="18">
        <v>608297</v>
      </c>
      <c r="C75" s="16" t="s">
        <v>93</v>
      </c>
      <c r="D75" s="67" t="s">
        <v>20</v>
      </c>
      <c r="E75" s="16">
        <v>287461</v>
      </c>
      <c r="F75" s="17">
        <v>33615.999996999999</v>
      </c>
      <c r="G75" s="16">
        <v>6034</v>
      </c>
      <c r="H75" s="16">
        <v>29409.999996999999</v>
      </c>
      <c r="I75" s="59">
        <f t="shared" si="6"/>
        <v>0.11694108069268526</v>
      </c>
      <c r="J75" s="59">
        <f t="shared" si="7"/>
        <v>2.0990673517451063E-2</v>
      </c>
      <c r="K75" s="59">
        <f t="shared" si="8"/>
        <v>0.10230953067372617</v>
      </c>
      <c r="L75" s="73">
        <v>-2490450.9738000268</v>
      </c>
      <c r="M75" s="73">
        <v>24466815.906195838</v>
      </c>
      <c r="N75" s="73">
        <v>-616337.03429999936</v>
      </c>
      <c r="O75" s="73">
        <v>27477281.156299777</v>
      </c>
      <c r="P75" s="61">
        <f t="shared" si="9"/>
        <v>0.10178892845510637</v>
      </c>
      <c r="Q75" s="61">
        <f t="shared" si="10"/>
        <v>2.24307867577608E-2</v>
      </c>
    </row>
    <row r="76" spans="1:17">
      <c r="A76" s="23">
        <v>3206200</v>
      </c>
      <c r="B76" s="18">
        <v>826886</v>
      </c>
      <c r="C76" s="16" t="s">
        <v>94</v>
      </c>
      <c r="D76" s="67" t="s">
        <v>18</v>
      </c>
      <c r="E76" s="16">
        <v>522847</v>
      </c>
      <c r="F76" s="17">
        <v>107877.999991</v>
      </c>
      <c r="G76" s="16">
        <v>8720</v>
      </c>
      <c r="H76" s="16">
        <v>79674.000002000001</v>
      </c>
      <c r="I76" s="59">
        <f t="shared" si="6"/>
        <v>0.20632804623723575</v>
      </c>
      <c r="J76" s="59">
        <f t="shared" si="7"/>
        <v>1.6677919161819807E-2</v>
      </c>
      <c r="K76" s="59">
        <f t="shared" si="8"/>
        <v>0.15238492331791137</v>
      </c>
      <c r="L76" s="73">
        <v>-5108032.5295000114</v>
      </c>
      <c r="M76" s="73">
        <v>69046341.332398713</v>
      </c>
      <c r="N76" s="73">
        <v>-5342329.5356999831</v>
      </c>
      <c r="O76" s="73">
        <v>220910406.83569583</v>
      </c>
      <c r="P76" s="61">
        <f t="shared" si="9"/>
        <v>7.3979771135290584E-2</v>
      </c>
      <c r="Q76" s="61">
        <f t="shared" si="10"/>
        <v>2.4183240673099616E-2</v>
      </c>
    </row>
    <row r="77" spans="1:17">
      <c r="A77" s="23">
        <v>3208400</v>
      </c>
      <c r="B77" s="18">
        <v>379505</v>
      </c>
      <c r="C77" s="16" t="s">
        <v>95</v>
      </c>
      <c r="D77" s="67" t="s">
        <v>20</v>
      </c>
      <c r="E77" s="16">
        <v>334086</v>
      </c>
      <c r="F77" s="17">
        <v>82808.000001000008</v>
      </c>
      <c r="G77" s="16">
        <v>21738</v>
      </c>
      <c r="H77" s="16">
        <v>65273.000004000001</v>
      </c>
      <c r="I77" s="59">
        <f t="shared" si="6"/>
        <v>0.24786432236310413</v>
      </c>
      <c r="J77" s="59">
        <f t="shared" si="7"/>
        <v>6.5067078536664213E-2</v>
      </c>
      <c r="K77" s="59">
        <f t="shared" si="8"/>
        <v>0.1953778368563783</v>
      </c>
      <c r="L77" s="73">
        <v>-5805365.5008000303</v>
      </c>
      <c r="M77" s="73">
        <v>82306647.845596492</v>
      </c>
      <c r="N77" s="73">
        <v>-2289318.0224999962</v>
      </c>
      <c r="O77" s="73">
        <v>105177951.64589317</v>
      </c>
      <c r="P77" s="61">
        <f t="shared" si="9"/>
        <v>7.0533373096309679E-2</v>
      </c>
      <c r="Q77" s="61">
        <f t="shared" si="10"/>
        <v>2.1766140019607295E-2</v>
      </c>
    </row>
    <row r="78" spans="1:17">
      <c r="A78" s="23">
        <v>3210200</v>
      </c>
      <c r="B78" s="18">
        <v>1000977</v>
      </c>
      <c r="C78" s="16" t="s">
        <v>96</v>
      </c>
      <c r="D78" s="67" t="s">
        <v>20</v>
      </c>
      <c r="E78" s="16">
        <v>276913</v>
      </c>
      <c r="F78" s="17">
        <v>95568.999998999992</v>
      </c>
      <c r="G78" s="16">
        <v>24008</v>
      </c>
      <c r="H78" s="16">
        <v>71537.000002999994</v>
      </c>
      <c r="I78" s="59">
        <f t="shared" si="6"/>
        <v>0.34512283641071378</v>
      </c>
      <c r="J78" s="59">
        <f t="shared" si="7"/>
        <v>8.6698710425296033E-2</v>
      </c>
      <c r="K78" s="59">
        <f t="shared" si="8"/>
        <v>0.25833745617937759</v>
      </c>
      <c r="L78" s="73">
        <v>-7933268.7247001519</v>
      </c>
      <c r="M78" s="73">
        <v>87703667.792495489</v>
      </c>
      <c r="N78" s="73">
        <v>-4419082.2478999952</v>
      </c>
      <c r="O78" s="73">
        <v>132362298.74989638</v>
      </c>
      <c r="P78" s="61">
        <f t="shared" si="9"/>
        <v>9.0455381449611114E-2</v>
      </c>
      <c r="Q78" s="61">
        <f t="shared" si="10"/>
        <v>3.3386260964309938E-2</v>
      </c>
    </row>
    <row r="79" spans="1:17">
      <c r="A79" s="23">
        <v>3210600</v>
      </c>
      <c r="B79" s="18">
        <v>1034079</v>
      </c>
      <c r="C79" s="16" t="s">
        <v>97</v>
      </c>
      <c r="D79" s="67" t="s">
        <v>18</v>
      </c>
      <c r="E79" s="16">
        <v>160985</v>
      </c>
      <c r="F79" s="17">
        <v>21999.000001</v>
      </c>
      <c r="G79" s="16">
        <v>0</v>
      </c>
      <c r="H79" s="16">
        <v>19593</v>
      </c>
      <c r="I79" s="59">
        <f t="shared" si="6"/>
        <v>0.13665248315681586</v>
      </c>
      <c r="J79" s="59">
        <f t="shared" si="7"/>
        <v>0</v>
      </c>
      <c r="K79" s="59">
        <f t="shared" si="8"/>
        <v>0.12170699133459639</v>
      </c>
      <c r="L79" s="73">
        <v>-902002.16959999478</v>
      </c>
      <c r="M79" s="73">
        <v>12209248.844299978</v>
      </c>
      <c r="N79" s="73">
        <v>-1665267.5365000002</v>
      </c>
      <c r="O79" s="73">
        <v>27729096.988108728</v>
      </c>
      <c r="P79" s="61">
        <f t="shared" si="9"/>
        <v>7.3878596554373982E-2</v>
      </c>
      <c r="Q79" s="61">
        <f t="shared" si="10"/>
        <v>6.0054877993831857E-2</v>
      </c>
    </row>
    <row r="80" spans="1:17">
      <c r="A80" s="23">
        <v>3210700</v>
      </c>
      <c r="B80" s="18">
        <v>658820</v>
      </c>
      <c r="C80" s="16" t="s">
        <v>98</v>
      </c>
      <c r="D80" s="67" t="s">
        <v>20</v>
      </c>
      <c r="E80" s="16">
        <v>264867</v>
      </c>
      <c r="F80" s="17">
        <v>100875</v>
      </c>
      <c r="G80" s="16">
        <v>20454</v>
      </c>
      <c r="H80" s="16">
        <v>59954.999997999999</v>
      </c>
      <c r="I80" s="59">
        <f t="shared" si="6"/>
        <v>0.38085152170712094</v>
      </c>
      <c r="J80" s="59">
        <f t="shared" si="7"/>
        <v>7.7223663197000761E-2</v>
      </c>
      <c r="K80" s="59">
        <f t="shared" si="8"/>
        <v>0.22635888954833935</v>
      </c>
      <c r="L80" s="73">
        <v>-6391050.5951001588</v>
      </c>
      <c r="M80" s="73">
        <v>75380512.553498849</v>
      </c>
      <c r="N80" s="73">
        <v>-2799632.0301999981</v>
      </c>
      <c r="O80" s="73">
        <v>111820729.54779921</v>
      </c>
      <c r="P80" s="61">
        <f t="shared" si="9"/>
        <v>8.4783856975824093E-2</v>
      </c>
      <c r="Q80" s="61">
        <f t="shared" si="10"/>
        <v>2.5036789167103932E-2</v>
      </c>
    </row>
    <row r="81" spans="1:17">
      <c r="A81" s="23">
        <v>3225200</v>
      </c>
      <c r="B81" s="18">
        <v>1066558</v>
      </c>
      <c r="C81" s="16" t="s">
        <v>99</v>
      </c>
      <c r="D81" s="67" t="s">
        <v>20</v>
      </c>
      <c r="E81" s="16">
        <v>281644</v>
      </c>
      <c r="F81" s="17">
        <v>102943.000002</v>
      </c>
      <c r="G81" s="16">
        <v>15939</v>
      </c>
      <c r="H81" s="16">
        <v>52656.999995999999</v>
      </c>
      <c r="I81" s="59">
        <f t="shared" si="6"/>
        <v>0.36550752013889876</v>
      </c>
      <c r="J81" s="59">
        <f t="shared" si="7"/>
        <v>5.6592719887517573E-2</v>
      </c>
      <c r="K81" s="59">
        <f t="shared" si="8"/>
        <v>0.18696297452102653</v>
      </c>
      <c r="L81" s="73">
        <v>-5058458.1004999978</v>
      </c>
      <c r="M81" s="73">
        <v>66893714.255599827</v>
      </c>
      <c r="N81" s="73">
        <v>-1374546.3596000012</v>
      </c>
      <c r="O81" s="73">
        <v>124954123.00260365</v>
      </c>
      <c r="P81" s="61">
        <f t="shared" si="9"/>
        <v>7.5619333696611751E-2</v>
      </c>
      <c r="Q81" s="61">
        <f t="shared" si="10"/>
        <v>1.1000408202387688E-2</v>
      </c>
    </row>
    <row r="82" spans="1:17">
      <c r="A82" s="23">
        <v>3226200</v>
      </c>
      <c r="B82" s="18">
        <v>915979</v>
      </c>
      <c r="C82" s="16" t="s">
        <v>100</v>
      </c>
      <c r="D82" s="67" t="s">
        <v>20</v>
      </c>
      <c r="E82" s="16">
        <v>416301</v>
      </c>
      <c r="F82" s="17">
        <v>136427.999996</v>
      </c>
      <c r="G82" s="16">
        <v>30667</v>
      </c>
      <c r="H82" s="16">
        <v>91545.999997999999</v>
      </c>
      <c r="I82" s="59">
        <f t="shared" si="6"/>
        <v>0.32771480250107493</v>
      </c>
      <c r="J82" s="59">
        <f t="shared" si="7"/>
        <v>7.3665448797865005E-2</v>
      </c>
      <c r="K82" s="59">
        <f t="shared" si="8"/>
        <v>0.21990338720781358</v>
      </c>
      <c r="L82" s="73">
        <v>-5151575.4989000587</v>
      </c>
      <c r="M82" s="73">
        <v>116547738.63059987</v>
      </c>
      <c r="N82" s="73">
        <v>-1878879.3039000037</v>
      </c>
      <c r="O82" s="73">
        <v>167758382.04529604</v>
      </c>
      <c r="P82" s="61">
        <f t="shared" si="9"/>
        <v>4.4201419602211835E-2</v>
      </c>
      <c r="Q82" s="61">
        <f t="shared" si="10"/>
        <v>1.1199913119051733E-2</v>
      </c>
    </row>
    <row r="83" spans="1:17">
      <c r="A83" s="23">
        <v>3476200</v>
      </c>
      <c r="B83" s="18">
        <v>891121</v>
      </c>
      <c r="C83" s="16" t="s">
        <v>101</v>
      </c>
      <c r="D83" s="67" t="s">
        <v>31</v>
      </c>
      <c r="E83" s="16">
        <v>159782</v>
      </c>
      <c r="F83" s="17">
        <v>12411</v>
      </c>
      <c r="G83" s="16">
        <v>0</v>
      </c>
      <c r="H83" s="16">
        <v>17022</v>
      </c>
      <c r="I83" s="59">
        <f t="shared" si="6"/>
        <v>7.7674581617453775E-2</v>
      </c>
      <c r="J83" s="59">
        <f t="shared" si="7"/>
        <v>0</v>
      </c>
      <c r="K83" s="59">
        <f t="shared" si="8"/>
        <v>0.10653265073662865</v>
      </c>
      <c r="L83" s="73">
        <v>-649084.54199999734</v>
      </c>
      <c r="M83" s="73">
        <v>10723265.541900979</v>
      </c>
      <c r="N83" s="73">
        <v>-1387640.0573999984</v>
      </c>
      <c r="O83" s="73">
        <v>26624113.676799852</v>
      </c>
      <c r="P83" s="61">
        <f t="shared" si="9"/>
        <v>6.0530492270634388E-2</v>
      </c>
      <c r="Q83" s="61">
        <f t="shared" si="10"/>
        <v>5.2119671446910265E-2</v>
      </c>
    </row>
    <row r="84" spans="1:17">
      <c r="A84" s="23">
        <v>3480600</v>
      </c>
      <c r="B84" s="18">
        <v>489174</v>
      </c>
      <c r="C84" s="16" t="s">
        <v>102</v>
      </c>
      <c r="D84" s="67" t="s">
        <v>20</v>
      </c>
      <c r="E84" s="16">
        <v>318379</v>
      </c>
      <c r="F84" s="17">
        <v>41944</v>
      </c>
      <c r="G84" s="16">
        <v>12463</v>
      </c>
      <c r="H84" s="16">
        <v>39331.999999</v>
      </c>
      <c r="I84" s="59">
        <f t="shared" si="6"/>
        <v>0.13174235737909851</v>
      </c>
      <c r="J84" s="59">
        <f t="shared" si="7"/>
        <v>3.9145169750517468E-2</v>
      </c>
      <c r="K84" s="59">
        <f t="shared" si="8"/>
        <v>0.12353829869118252</v>
      </c>
      <c r="L84" s="73">
        <v>-2705646.5800000257</v>
      </c>
      <c r="M84" s="73">
        <v>38705647.683399923</v>
      </c>
      <c r="N84" s="73">
        <v>-1015498.7045000001</v>
      </c>
      <c r="O84" s="73">
        <v>64824143.863297902</v>
      </c>
      <c r="P84" s="61">
        <f t="shared" si="9"/>
        <v>6.9903147006642741E-2</v>
      </c>
      <c r="Q84" s="61">
        <f t="shared" si="10"/>
        <v>1.5665439510338903E-2</v>
      </c>
    </row>
    <row r="85" spans="1:17">
      <c r="A85" s="23">
        <v>3493500</v>
      </c>
      <c r="B85" s="18">
        <v>350932</v>
      </c>
      <c r="C85" s="16" t="s">
        <v>103</v>
      </c>
      <c r="D85" s="67" t="s">
        <v>20</v>
      </c>
      <c r="E85" s="16">
        <v>360822</v>
      </c>
      <c r="F85" s="17">
        <v>110401</v>
      </c>
      <c r="G85" s="16">
        <v>18934</v>
      </c>
      <c r="H85" s="16">
        <v>93996.000001000008</v>
      </c>
      <c r="I85" s="59">
        <f t="shared" si="6"/>
        <v>0.30597081109245</v>
      </c>
      <c r="J85" s="59">
        <f t="shared" si="7"/>
        <v>5.247462737859665E-2</v>
      </c>
      <c r="K85" s="59">
        <f t="shared" si="8"/>
        <v>0.26050517984213822</v>
      </c>
      <c r="L85" s="73">
        <v>-5000673.7221000418</v>
      </c>
      <c r="M85" s="73">
        <v>92964520.026000783</v>
      </c>
      <c r="N85" s="73">
        <v>-2832701.7819999997</v>
      </c>
      <c r="O85" s="73">
        <v>127304323.62869567</v>
      </c>
      <c r="P85" s="61">
        <f t="shared" si="9"/>
        <v>5.379120680342811E-2</v>
      </c>
      <c r="Q85" s="61">
        <f t="shared" si="10"/>
        <v>2.2251418500616269E-2</v>
      </c>
    </row>
    <row r="86" spans="1:17">
      <c r="A86" s="23">
        <v>3494600</v>
      </c>
      <c r="B86" s="18">
        <v>857353</v>
      </c>
      <c r="C86" s="16" t="s">
        <v>104</v>
      </c>
      <c r="D86" s="67" t="s">
        <v>20</v>
      </c>
      <c r="E86" s="16">
        <v>373053</v>
      </c>
      <c r="F86" s="17">
        <v>115230.99999700001</v>
      </c>
      <c r="G86" s="16">
        <v>23952</v>
      </c>
      <c r="H86" s="16">
        <v>93682.999997000006</v>
      </c>
      <c r="I86" s="59">
        <f t="shared" si="6"/>
        <v>0.30888640487276608</v>
      </c>
      <c r="J86" s="59">
        <f t="shared" si="7"/>
        <v>6.4205354199001211E-2</v>
      </c>
      <c r="K86" s="59">
        <f t="shared" si="8"/>
        <v>0.25112517523515426</v>
      </c>
      <c r="L86" s="73">
        <v>-4872212.6211999962</v>
      </c>
      <c r="M86" s="73">
        <v>102878355.89369874</v>
      </c>
      <c r="N86" s="73">
        <v>-2460497.1028999994</v>
      </c>
      <c r="O86" s="73">
        <v>137971877.44289592</v>
      </c>
      <c r="P86" s="61">
        <f t="shared" si="9"/>
        <v>4.7358966605515293E-2</v>
      </c>
      <c r="Q86" s="61">
        <f t="shared" si="10"/>
        <v>1.7833323344595024E-2</v>
      </c>
    </row>
    <row r="87" spans="1:17">
      <c r="A87" s="23">
        <v>3496500</v>
      </c>
      <c r="B87" s="18">
        <v>915847</v>
      </c>
      <c r="C87" s="16" t="s">
        <v>105</v>
      </c>
      <c r="D87" s="67" t="s">
        <v>20</v>
      </c>
      <c r="E87" s="16">
        <v>246911</v>
      </c>
      <c r="F87" s="17">
        <v>20029</v>
      </c>
      <c r="G87" s="16">
        <v>6096</v>
      </c>
      <c r="H87" s="16">
        <v>20831</v>
      </c>
      <c r="I87" s="59">
        <f t="shared" si="6"/>
        <v>8.1118297686210816E-2</v>
      </c>
      <c r="J87" s="59">
        <f t="shared" si="7"/>
        <v>2.4689058000656107E-2</v>
      </c>
      <c r="K87" s="59">
        <f t="shared" si="8"/>
        <v>8.4366431629210523E-2</v>
      </c>
      <c r="L87" s="73">
        <v>-3758121.7707000691</v>
      </c>
      <c r="M87" s="73">
        <v>20478393.40629996</v>
      </c>
      <c r="N87" s="73">
        <v>-1986814.6747000008</v>
      </c>
      <c r="O87" s="73">
        <v>22397281.441499811</v>
      </c>
      <c r="P87" s="61">
        <f t="shared" si="9"/>
        <v>0.18351643589110478</v>
      </c>
      <c r="Q87" s="61">
        <f t="shared" si="10"/>
        <v>8.8707849650834933E-2</v>
      </c>
    </row>
    <row r="88" spans="1:17">
      <c r="A88" s="23">
        <v>3497600</v>
      </c>
      <c r="B88" s="18">
        <v>959316</v>
      </c>
      <c r="C88" s="16" t="s">
        <v>106</v>
      </c>
      <c r="D88" s="67" t="s">
        <v>31</v>
      </c>
      <c r="E88" s="16">
        <v>103499</v>
      </c>
      <c r="F88" s="17">
        <v>11801</v>
      </c>
      <c r="G88" s="16">
        <v>0</v>
      </c>
      <c r="H88" s="16">
        <v>9390</v>
      </c>
      <c r="I88" s="59">
        <f t="shared" si="6"/>
        <v>0.11402042531811901</v>
      </c>
      <c r="J88" s="59">
        <f t="shared" si="7"/>
        <v>0</v>
      </c>
      <c r="K88" s="59">
        <f t="shared" si="8"/>
        <v>9.0725514256176393E-2</v>
      </c>
      <c r="L88" s="73">
        <v>-882378.39959999453</v>
      </c>
      <c r="M88" s="73">
        <v>5732741.6033000033</v>
      </c>
      <c r="N88" s="73">
        <v>-543320.51979999978</v>
      </c>
      <c r="O88" s="73">
        <v>21886658.310899705</v>
      </c>
      <c r="P88" s="61">
        <f t="shared" si="9"/>
        <v>0.15391909502637638</v>
      </c>
      <c r="Q88" s="61">
        <f t="shared" si="10"/>
        <v>2.4824279343248233E-2</v>
      </c>
    </row>
    <row r="89" spans="1:17">
      <c r="A89" s="23">
        <v>3502300</v>
      </c>
      <c r="B89" s="18">
        <v>755316</v>
      </c>
      <c r="C89" s="16" t="s">
        <v>107</v>
      </c>
      <c r="D89" s="67" t="s">
        <v>18</v>
      </c>
      <c r="E89" s="16">
        <v>356759</v>
      </c>
      <c r="F89" s="17">
        <v>23028</v>
      </c>
      <c r="G89" s="16">
        <v>223</v>
      </c>
      <c r="H89" s="16">
        <v>26725</v>
      </c>
      <c r="I89" s="59">
        <f t="shared" si="6"/>
        <v>6.4547775949590616E-2</v>
      </c>
      <c r="J89" s="59">
        <f t="shared" si="7"/>
        <v>6.250718271998744E-4</v>
      </c>
      <c r="K89" s="59">
        <f t="shared" si="8"/>
        <v>7.4910513820254016E-2</v>
      </c>
      <c r="L89" s="73">
        <v>-1420868.7886000059</v>
      </c>
      <c r="M89" s="73">
        <v>19513026.127199966</v>
      </c>
      <c r="N89" s="73">
        <v>-627958.56519999995</v>
      </c>
      <c r="O89" s="73">
        <v>49626096.382995464</v>
      </c>
      <c r="P89" s="61">
        <f t="shared" si="9"/>
        <v>7.2816424235675137E-2</v>
      </c>
      <c r="Q89" s="61">
        <f t="shared" si="10"/>
        <v>1.2653797315703676E-2</v>
      </c>
    </row>
    <row r="90" spans="1:17">
      <c r="A90" s="23">
        <v>3503100</v>
      </c>
      <c r="B90" s="18">
        <v>500689</v>
      </c>
      <c r="C90" s="16" t="s">
        <v>108</v>
      </c>
      <c r="D90" s="67" t="s">
        <v>18</v>
      </c>
      <c r="E90" s="16">
        <v>280671</v>
      </c>
      <c r="F90" s="17">
        <v>19903</v>
      </c>
      <c r="G90" s="16">
        <v>0</v>
      </c>
      <c r="H90" s="16">
        <v>19786.999997999999</v>
      </c>
      <c r="I90" s="59">
        <f t="shared" si="6"/>
        <v>7.0912206818659576E-2</v>
      </c>
      <c r="J90" s="59">
        <f t="shared" si="7"/>
        <v>0</v>
      </c>
      <c r="K90" s="59">
        <f t="shared" si="8"/>
        <v>7.0498911529869493E-2</v>
      </c>
      <c r="L90" s="73">
        <v>-1714702.6653000158</v>
      </c>
      <c r="M90" s="73">
        <v>12887636.46120197</v>
      </c>
      <c r="N90" s="73">
        <v>-902106.85230000038</v>
      </c>
      <c r="O90" s="73">
        <v>32458537.104300637</v>
      </c>
      <c r="P90" s="61">
        <f t="shared" si="9"/>
        <v>0.1330502043925666</v>
      </c>
      <c r="Q90" s="61">
        <f t="shared" si="10"/>
        <v>2.7792591187989015E-2</v>
      </c>
    </row>
    <row r="91" spans="1:17">
      <c r="A91" s="23">
        <v>3503500</v>
      </c>
      <c r="B91" s="18">
        <v>772182</v>
      </c>
      <c r="C91" s="16" t="s">
        <v>109</v>
      </c>
      <c r="D91" s="67" t="s">
        <v>18</v>
      </c>
      <c r="E91" s="16">
        <v>241813</v>
      </c>
      <c r="F91" s="17">
        <v>41729</v>
      </c>
      <c r="G91" s="16">
        <v>0</v>
      </c>
      <c r="H91" s="16">
        <v>32126</v>
      </c>
      <c r="I91" s="59">
        <f t="shared" si="6"/>
        <v>0.17256723170383725</v>
      </c>
      <c r="J91" s="59">
        <f t="shared" si="7"/>
        <v>0</v>
      </c>
      <c r="K91" s="59">
        <f t="shared" si="8"/>
        <v>0.13285472658624639</v>
      </c>
      <c r="L91" s="73">
        <v>-438078.35400000133</v>
      </c>
      <c r="M91" s="73">
        <v>20026615.689199854</v>
      </c>
      <c r="N91" s="73">
        <v>-605106.5656999998</v>
      </c>
      <c r="O91" s="73">
        <v>40707174.059998393</v>
      </c>
      <c r="P91" s="61">
        <f t="shared" si="9"/>
        <v>2.1874807046716956E-2</v>
      </c>
      <c r="Q91" s="61">
        <f t="shared" si="10"/>
        <v>1.4864863004445651E-2</v>
      </c>
    </row>
    <row r="92" spans="1:17">
      <c r="A92" s="23">
        <v>3504200</v>
      </c>
      <c r="B92" s="18">
        <v>242972</v>
      </c>
      <c r="C92" s="16" t="s">
        <v>110</v>
      </c>
      <c r="D92" s="67" t="s">
        <v>18</v>
      </c>
      <c r="E92" s="16">
        <v>155785</v>
      </c>
      <c r="F92" s="17">
        <v>10213</v>
      </c>
      <c r="G92" s="16">
        <v>774</v>
      </c>
      <c r="H92" s="16">
        <v>8093</v>
      </c>
      <c r="I92" s="59">
        <f t="shared" si="6"/>
        <v>6.5558301505279706E-2</v>
      </c>
      <c r="J92" s="59">
        <f t="shared" si="7"/>
        <v>4.9683859164874663E-3</v>
      </c>
      <c r="K92" s="59">
        <f t="shared" si="8"/>
        <v>5.1949802612575022E-2</v>
      </c>
      <c r="L92" s="73">
        <v>-1334862.1589999972</v>
      </c>
      <c r="M92" s="73">
        <v>6184649.9659999907</v>
      </c>
      <c r="N92" s="73">
        <v>-1231279.9441000004</v>
      </c>
      <c r="O92" s="73">
        <v>12810661.942500008</v>
      </c>
      <c r="P92" s="61">
        <f t="shared" si="9"/>
        <v>0.21583471438777935</v>
      </c>
      <c r="Q92" s="61">
        <f t="shared" si="10"/>
        <v>9.6113686367381837E-2</v>
      </c>
    </row>
    <row r="93" spans="1:17">
      <c r="A93" s="23">
        <v>3577600</v>
      </c>
      <c r="B93" s="18">
        <v>464633</v>
      </c>
      <c r="C93" s="16" t="s">
        <v>111</v>
      </c>
      <c r="D93" s="67" t="s">
        <v>31</v>
      </c>
      <c r="E93" s="16">
        <v>92658</v>
      </c>
      <c r="F93" s="17">
        <v>5456</v>
      </c>
      <c r="G93" s="16">
        <v>0</v>
      </c>
      <c r="H93" s="16">
        <v>0</v>
      </c>
      <c r="I93" s="59">
        <f t="shared" si="6"/>
        <v>5.8883204904055776E-2</v>
      </c>
      <c r="J93" s="59">
        <f t="shared" si="7"/>
        <v>0</v>
      </c>
      <c r="K93" s="59">
        <f t="shared" si="8"/>
        <v>0</v>
      </c>
      <c r="L93" s="73">
        <v>-3933.0709000000002</v>
      </c>
      <c r="M93" s="73">
        <v>6266.9295999999995</v>
      </c>
      <c r="N93" s="73">
        <v>-139128.14629999996</v>
      </c>
      <c r="O93" s="73">
        <v>11771542.447500957</v>
      </c>
      <c r="P93" s="61">
        <f t="shared" si="9"/>
        <v>0.62759136467720977</v>
      </c>
      <c r="Q93" s="61">
        <f t="shared" si="10"/>
        <v>1.1819024305479714E-2</v>
      </c>
    </row>
    <row r="94" spans="1:17">
      <c r="A94" s="23">
        <v>3579800</v>
      </c>
      <c r="B94" s="18">
        <v>370935</v>
      </c>
      <c r="C94" s="16" t="s">
        <v>112</v>
      </c>
      <c r="D94" s="67" t="s">
        <v>20</v>
      </c>
      <c r="E94" s="16">
        <v>241079</v>
      </c>
      <c r="F94" s="17">
        <v>21602.999997999999</v>
      </c>
      <c r="G94" s="16">
        <v>4845</v>
      </c>
      <c r="H94" s="16">
        <v>24583</v>
      </c>
      <c r="I94" s="59">
        <f t="shared" si="6"/>
        <v>8.9609630029990173E-2</v>
      </c>
      <c r="J94" s="59">
        <f t="shared" si="7"/>
        <v>2.009714657850746E-2</v>
      </c>
      <c r="K94" s="59">
        <f t="shared" si="8"/>
        <v>0.10197072328987593</v>
      </c>
      <c r="L94" s="73">
        <v>-3269849.3399000461</v>
      </c>
      <c r="M94" s="73">
        <v>21817601.50619996</v>
      </c>
      <c r="N94" s="73">
        <v>-2392161.1846999987</v>
      </c>
      <c r="O94" s="73">
        <v>28492443.608100664</v>
      </c>
      <c r="P94" s="61">
        <f t="shared" si="9"/>
        <v>0.14987208098795118</v>
      </c>
      <c r="Q94" s="61">
        <f t="shared" si="10"/>
        <v>8.3957740431216829E-2</v>
      </c>
    </row>
    <row r="95" spans="1:17">
      <c r="A95" s="23">
        <v>3583100</v>
      </c>
      <c r="B95" s="18">
        <v>580261</v>
      </c>
      <c r="C95" s="16" t="s">
        <v>113</v>
      </c>
      <c r="D95" s="67" t="s">
        <v>18</v>
      </c>
      <c r="E95" s="16">
        <v>230488</v>
      </c>
      <c r="F95" s="17">
        <v>24822</v>
      </c>
      <c r="G95" s="16">
        <v>1838</v>
      </c>
      <c r="H95" s="16">
        <v>19187</v>
      </c>
      <c r="I95" s="59">
        <f t="shared" si="6"/>
        <v>0.10769324216445107</v>
      </c>
      <c r="J95" s="59">
        <f t="shared" si="7"/>
        <v>7.9743847835896005E-3</v>
      </c>
      <c r="K95" s="59">
        <f t="shared" si="8"/>
        <v>8.3245114713130397E-2</v>
      </c>
      <c r="L95" s="73">
        <v>-2419741.3565000049</v>
      </c>
      <c r="M95" s="73">
        <v>15000500.555598974</v>
      </c>
      <c r="N95" s="73">
        <v>-2421598.0982999993</v>
      </c>
      <c r="O95" s="73">
        <v>32030813.759999651</v>
      </c>
      <c r="P95" s="61">
        <f t="shared" si="9"/>
        <v>0.16131070743481493</v>
      </c>
      <c r="Q95" s="61">
        <f t="shared" si="10"/>
        <v>7.5602141002240511E-2</v>
      </c>
    </row>
    <row r="96" spans="1:17">
      <c r="A96" s="23">
        <v>3587200</v>
      </c>
      <c r="B96" s="18">
        <v>1137414</v>
      </c>
      <c r="C96" s="16" t="s">
        <v>114</v>
      </c>
      <c r="D96" s="67" t="s">
        <v>18</v>
      </c>
      <c r="E96" s="16">
        <v>149788</v>
      </c>
      <c r="F96" s="17">
        <v>9391</v>
      </c>
      <c r="G96" s="16">
        <v>1178</v>
      </c>
      <c r="H96" s="16">
        <v>14942</v>
      </c>
      <c r="I96" s="59">
        <f t="shared" si="6"/>
        <v>6.2695275990065955E-2</v>
      </c>
      <c r="J96" s="59">
        <f t="shared" si="7"/>
        <v>7.8644484204342131E-3</v>
      </c>
      <c r="K96" s="59">
        <f t="shared" si="8"/>
        <v>9.9754319438139241E-2</v>
      </c>
      <c r="L96" s="73">
        <v>-1176525.4364999963</v>
      </c>
      <c r="M96" s="73">
        <v>10645065.043999959</v>
      </c>
      <c r="N96" s="73">
        <v>-1035506.8338</v>
      </c>
      <c r="O96" s="73">
        <v>13333047.507899996</v>
      </c>
      <c r="P96" s="61">
        <f t="shared" si="9"/>
        <v>0.11052308573381046</v>
      </c>
      <c r="Q96" s="61">
        <f t="shared" si="10"/>
        <v>7.7664677425506007E-2</v>
      </c>
    </row>
    <row r="97" spans="1:17">
      <c r="A97" s="23">
        <v>3590500</v>
      </c>
      <c r="B97" s="18">
        <v>898654</v>
      </c>
      <c r="C97" s="16" t="s">
        <v>115</v>
      </c>
      <c r="D97" s="67" t="s">
        <v>31</v>
      </c>
      <c r="E97" s="16">
        <v>167829</v>
      </c>
      <c r="F97" s="17">
        <v>16276</v>
      </c>
      <c r="G97" s="16">
        <v>0</v>
      </c>
      <c r="H97" s="16">
        <v>0</v>
      </c>
      <c r="I97" s="59">
        <f t="shared" si="6"/>
        <v>9.6979663824488027E-2</v>
      </c>
      <c r="J97" s="59">
        <f t="shared" si="7"/>
        <v>0</v>
      </c>
      <c r="K97" s="59">
        <f t="shared" si="8"/>
        <v>0</v>
      </c>
      <c r="L97" s="73">
        <v>-20663.761699999999</v>
      </c>
      <c r="M97" s="73">
        <v>28931.905600000006</v>
      </c>
      <c r="N97" s="73">
        <v>-673693.91999999969</v>
      </c>
      <c r="O97" s="73">
        <v>17094844.411900938</v>
      </c>
      <c r="P97" s="61">
        <f t="shared" si="9"/>
        <v>0.7142205558696415</v>
      </c>
      <c r="Q97" s="61">
        <f t="shared" si="10"/>
        <v>3.9409186990376668E-2</v>
      </c>
    </row>
    <row r="98" spans="1:17">
      <c r="A98" s="23">
        <v>3593800</v>
      </c>
      <c r="B98" s="18">
        <v>284396</v>
      </c>
      <c r="C98" s="16" t="s">
        <v>116</v>
      </c>
      <c r="D98" s="67" t="s">
        <v>20</v>
      </c>
      <c r="E98" s="16">
        <v>145389</v>
      </c>
      <c r="F98" s="17">
        <v>21424</v>
      </c>
      <c r="G98" s="16">
        <v>2777</v>
      </c>
      <c r="H98" s="16">
        <v>12002</v>
      </c>
      <c r="I98" s="59">
        <f t="shared" si="6"/>
        <v>0.14735640247886703</v>
      </c>
      <c r="J98" s="59">
        <f t="shared" si="7"/>
        <v>1.9100482154770993E-2</v>
      </c>
      <c r="K98" s="59">
        <f t="shared" si="8"/>
        <v>8.2550949521628184E-2</v>
      </c>
      <c r="L98" s="73">
        <v>-2947081.9672000268</v>
      </c>
      <c r="M98" s="73">
        <v>11968015.166401958</v>
      </c>
      <c r="N98" s="73">
        <v>-1247307.2009000005</v>
      </c>
      <c r="O98" s="73">
        <v>51913640.273199253</v>
      </c>
      <c r="P98" s="61">
        <f t="shared" si="9"/>
        <v>0.24624651007072815</v>
      </c>
      <c r="Q98" s="61">
        <f t="shared" si="10"/>
        <v>2.4026579417971018E-2</v>
      </c>
    </row>
    <row r="99" spans="1:17">
      <c r="A99" s="23">
        <v>3597900</v>
      </c>
      <c r="B99" s="18">
        <v>355955</v>
      </c>
      <c r="C99" s="16" t="s">
        <v>117</v>
      </c>
      <c r="D99" s="67" t="s">
        <v>20</v>
      </c>
      <c r="E99" s="16">
        <v>228460</v>
      </c>
      <c r="F99" s="17">
        <v>25503.000002000001</v>
      </c>
      <c r="G99" s="16">
        <v>4235</v>
      </c>
      <c r="H99" s="16">
        <v>31625</v>
      </c>
      <c r="I99" s="59">
        <f t="shared" si="6"/>
        <v>0.11163004465551957</v>
      </c>
      <c r="J99" s="59">
        <f t="shared" si="7"/>
        <v>1.8537161866409874E-2</v>
      </c>
      <c r="K99" s="59">
        <f t="shared" si="8"/>
        <v>0.1384268580933205</v>
      </c>
      <c r="L99" s="73">
        <v>-2305861.2736000069</v>
      </c>
      <c r="M99" s="73">
        <v>25627022.246394809</v>
      </c>
      <c r="N99" s="73">
        <v>-638682.59689999977</v>
      </c>
      <c r="O99" s="73">
        <v>45744764.9955993</v>
      </c>
      <c r="P99" s="61">
        <f t="shared" si="9"/>
        <v>8.9977729422870967E-2</v>
      </c>
      <c r="Q99" s="61">
        <f t="shared" si="10"/>
        <v>1.3961872947897793E-2</v>
      </c>
    </row>
    <row r="100" spans="1:17">
      <c r="A100" s="23">
        <v>3599000</v>
      </c>
      <c r="B100" s="18">
        <v>1117597</v>
      </c>
      <c r="C100" s="16" t="s">
        <v>118</v>
      </c>
      <c r="D100" s="67" t="s">
        <v>18</v>
      </c>
      <c r="E100" s="16">
        <v>332147</v>
      </c>
      <c r="F100" s="17">
        <v>23212</v>
      </c>
      <c r="G100" s="16">
        <v>0</v>
      </c>
      <c r="H100" s="16">
        <v>28476.999999</v>
      </c>
      <c r="I100" s="59">
        <f t="shared" si="6"/>
        <v>6.9884719717474494E-2</v>
      </c>
      <c r="J100" s="59">
        <f t="shared" si="7"/>
        <v>0</v>
      </c>
      <c r="K100" s="59">
        <f t="shared" si="8"/>
        <v>8.5736134901113065E-2</v>
      </c>
      <c r="L100" s="73">
        <v>-1208606.2684999979</v>
      </c>
      <c r="M100" s="73">
        <v>20281574.639398932</v>
      </c>
      <c r="N100" s="73">
        <v>-569243.97159999993</v>
      </c>
      <c r="O100" s="73">
        <v>70788990.811497062</v>
      </c>
      <c r="P100" s="61">
        <f t="shared" si="9"/>
        <v>5.9591342880851203E-2</v>
      </c>
      <c r="Q100" s="61">
        <f t="shared" si="10"/>
        <v>8.0414195071071316E-3</v>
      </c>
    </row>
    <row r="101" spans="1:17">
      <c r="A101" s="23">
        <v>3600100</v>
      </c>
      <c r="B101" s="18">
        <v>856971</v>
      </c>
      <c r="C101" s="16" t="s">
        <v>119</v>
      </c>
      <c r="D101" s="67" t="s">
        <v>20</v>
      </c>
      <c r="E101" s="16">
        <v>198997</v>
      </c>
      <c r="F101" s="17">
        <v>37518</v>
      </c>
      <c r="G101" s="16">
        <v>4752</v>
      </c>
      <c r="H101" s="16">
        <v>31072</v>
      </c>
      <c r="I101" s="59">
        <f t="shared" si="6"/>
        <v>0.18853550556038534</v>
      </c>
      <c r="J101" s="59">
        <f t="shared" si="7"/>
        <v>2.3879756981261022E-2</v>
      </c>
      <c r="K101" s="59">
        <f t="shared" si="8"/>
        <v>0.15614305743302662</v>
      </c>
      <c r="L101" s="73">
        <v>-3307386.0260000546</v>
      </c>
      <c r="M101" s="73">
        <v>30204058.067399856</v>
      </c>
      <c r="N101" s="73">
        <v>-1005713.418700001</v>
      </c>
      <c r="O101" s="73">
        <v>52672360.416600183</v>
      </c>
      <c r="P101" s="61">
        <f t="shared" si="9"/>
        <v>0.10950137953713628</v>
      </c>
      <c r="Q101" s="61">
        <f t="shared" si="10"/>
        <v>1.9093760195015696E-2</v>
      </c>
    </row>
    <row r="102" spans="1:17">
      <c r="A102" s="23">
        <v>3600200</v>
      </c>
      <c r="B102" s="18">
        <v>940488</v>
      </c>
      <c r="C102" s="16" t="s">
        <v>120</v>
      </c>
      <c r="D102" s="67" t="s">
        <v>20</v>
      </c>
      <c r="E102" s="16">
        <v>350670</v>
      </c>
      <c r="F102" s="17">
        <v>35607</v>
      </c>
      <c r="G102" s="16">
        <v>8189</v>
      </c>
      <c r="H102" s="16">
        <v>36178</v>
      </c>
      <c r="I102" s="59">
        <f t="shared" si="6"/>
        <v>0.10153990931645136</v>
      </c>
      <c r="J102" s="59">
        <f t="shared" si="7"/>
        <v>2.3352439615593006E-2</v>
      </c>
      <c r="K102" s="59">
        <f t="shared" si="8"/>
        <v>0.10316822083440272</v>
      </c>
      <c r="L102" s="73">
        <v>-4547064.9444000656</v>
      </c>
      <c r="M102" s="73">
        <v>31089549.515798915</v>
      </c>
      <c r="N102" s="73">
        <v>-2008092.8874000022</v>
      </c>
      <c r="O102" s="73">
        <v>64180375.072700895</v>
      </c>
      <c r="P102" s="61">
        <f t="shared" si="9"/>
        <v>0.14625702254351944</v>
      </c>
      <c r="Q102" s="61">
        <f t="shared" si="10"/>
        <v>3.128826974172895E-2</v>
      </c>
    </row>
    <row r="103" spans="1:17">
      <c r="A103" s="23">
        <v>3602300</v>
      </c>
      <c r="B103" s="18">
        <v>957606</v>
      </c>
      <c r="C103" s="16" t="s">
        <v>121</v>
      </c>
      <c r="D103" s="67" t="s">
        <v>18</v>
      </c>
      <c r="E103" s="16">
        <v>996434</v>
      </c>
      <c r="F103" s="17">
        <v>147726</v>
      </c>
      <c r="G103" s="16">
        <v>5540</v>
      </c>
      <c r="H103" s="16">
        <v>91511</v>
      </c>
      <c r="I103" s="59">
        <f t="shared" si="6"/>
        <v>0.14825467617524091</v>
      </c>
      <c r="J103" s="59">
        <f t="shared" si="7"/>
        <v>5.559826340731047E-3</v>
      </c>
      <c r="K103" s="59">
        <f t="shared" si="8"/>
        <v>9.1838496077010626E-2</v>
      </c>
      <c r="L103" s="73">
        <v>-2637610.5564999967</v>
      </c>
      <c r="M103" s="73">
        <v>78491511.982197806</v>
      </c>
      <c r="N103" s="73">
        <v>-1974099.9826000023</v>
      </c>
      <c r="O103" s="73">
        <v>313087568.49440616</v>
      </c>
      <c r="P103" s="61">
        <f t="shared" si="9"/>
        <v>3.3603767973003469E-2</v>
      </c>
      <c r="Q103" s="61">
        <f t="shared" si="10"/>
        <v>6.3052646647491304E-3</v>
      </c>
    </row>
    <row r="104" spans="1:17">
      <c r="A104" s="23">
        <v>3603400</v>
      </c>
      <c r="B104" s="18">
        <v>1012659</v>
      </c>
      <c r="C104" s="16" t="s">
        <v>122</v>
      </c>
      <c r="D104" s="67" t="s">
        <v>18</v>
      </c>
      <c r="E104" s="16">
        <v>943306</v>
      </c>
      <c r="F104" s="17">
        <v>134874.999992</v>
      </c>
      <c r="G104" s="16">
        <v>6095</v>
      </c>
      <c r="H104" s="16">
        <v>128873.99999700001</v>
      </c>
      <c r="I104" s="59">
        <f t="shared" si="6"/>
        <v>0.14298117471106936</v>
      </c>
      <c r="J104" s="59">
        <f t="shared" si="7"/>
        <v>6.4613179604497374E-3</v>
      </c>
      <c r="K104" s="59">
        <f t="shared" si="8"/>
        <v>0.13661950628640124</v>
      </c>
      <c r="L104" s="73">
        <v>-3490771.9568000026</v>
      </c>
      <c r="M104" s="73">
        <v>109683325.00929707</v>
      </c>
      <c r="N104" s="73">
        <v>-2353961.0942000025</v>
      </c>
      <c r="O104" s="73">
        <v>244653323.88429624</v>
      </c>
      <c r="P104" s="61">
        <f t="shared" si="9"/>
        <v>3.1825912977238018E-2</v>
      </c>
      <c r="Q104" s="61">
        <f t="shared" si="10"/>
        <v>9.62161910096615E-3</v>
      </c>
    </row>
    <row r="105" spans="1:17">
      <c r="A105" s="23">
        <v>3610200</v>
      </c>
      <c r="B105" s="18">
        <v>1068591</v>
      </c>
      <c r="C105" s="16" t="s">
        <v>123</v>
      </c>
      <c r="D105" s="67" t="s">
        <v>18</v>
      </c>
      <c r="E105" s="16">
        <v>181256</v>
      </c>
      <c r="F105" s="17">
        <v>37002</v>
      </c>
      <c r="G105" s="16">
        <v>4123</v>
      </c>
      <c r="H105" s="16">
        <v>29940.000002000001</v>
      </c>
      <c r="I105" s="59">
        <f t="shared" si="6"/>
        <v>0.20414220770622765</v>
      </c>
      <c r="J105" s="59">
        <f t="shared" si="7"/>
        <v>2.2746833208280002E-2</v>
      </c>
      <c r="K105" s="59">
        <f t="shared" si="8"/>
        <v>0.16518073885554133</v>
      </c>
      <c r="L105" s="73">
        <v>-1775918.8004000068</v>
      </c>
      <c r="M105" s="73">
        <v>23340930.72270187</v>
      </c>
      <c r="N105" s="73">
        <v>-720737.54750000022</v>
      </c>
      <c r="O105" s="73">
        <v>36660723.959002502</v>
      </c>
      <c r="P105" s="61">
        <f t="shared" si="9"/>
        <v>7.6086031936709E-2</v>
      </c>
      <c r="Q105" s="61">
        <f t="shared" si="10"/>
        <v>1.9659664885668851E-2</v>
      </c>
    </row>
    <row r="106" spans="1:17">
      <c r="A106" s="23">
        <v>3677900</v>
      </c>
      <c r="B106" s="18">
        <v>995137</v>
      </c>
      <c r="C106" s="16" t="s">
        <v>124</v>
      </c>
      <c r="D106" s="67" t="s">
        <v>18</v>
      </c>
      <c r="E106" s="16">
        <v>220590</v>
      </c>
      <c r="F106" s="17">
        <v>14450</v>
      </c>
      <c r="G106" s="16">
        <v>0</v>
      </c>
      <c r="H106" s="16">
        <v>19901</v>
      </c>
      <c r="I106" s="59">
        <f t="shared" si="6"/>
        <v>6.5506142617525728E-2</v>
      </c>
      <c r="J106" s="59">
        <f t="shared" si="7"/>
        <v>0</v>
      </c>
      <c r="K106" s="59">
        <f t="shared" si="8"/>
        <v>9.0217144929507234E-2</v>
      </c>
      <c r="L106" s="73">
        <v>-1326188.8489000106</v>
      </c>
      <c r="M106" s="73">
        <v>12374459.749299964</v>
      </c>
      <c r="N106" s="73">
        <v>-1789415.245600001</v>
      </c>
      <c r="O106" s="73">
        <v>19751105.602705888</v>
      </c>
      <c r="P106" s="61">
        <f t="shared" si="9"/>
        <v>0.10717145441238632</v>
      </c>
      <c r="Q106" s="61">
        <f t="shared" si="10"/>
        <v>9.059823189618571E-2</v>
      </c>
    </row>
    <row r="107" spans="1:17">
      <c r="A107" s="23">
        <v>3687500</v>
      </c>
      <c r="B107" s="18">
        <v>432817</v>
      </c>
      <c r="C107" s="16" t="s">
        <v>125</v>
      </c>
      <c r="D107" s="67" t="s">
        <v>20</v>
      </c>
      <c r="E107" s="16">
        <v>142683</v>
      </c>
      <c r="F107" s="17">
        <v>16125</v>
      </c>
      <c r="G107" s="16">
        <v>2340</v>
      </c>
      <c r="H107" s="16">
        <v>14297</v>
      </c>
      <c r="I107" s="59">
        <f t="shared" si="6"/>
        <v>0.11301276255755767</v>
      </c>
      <c r="J107" s="59">
        <f t="shared" si="7"/>
        <v>1.6399991589747902E-2</v>
      </c>
      <c r="K107" s="59">
        <f t="shared" si="8"/>
        <v>0.10020114519599392</v>
      </c>
      <c r="L107" s="73">
        <v>-4243784.3081000503</v>
      </c>
      <c r="M107" s="73">
        <v>12856965.81829997</v>
      </c>
      <c r="N107" s="73">
        <v>-2212204.2557000001</v>
      </c>
      <c r="O107" s="73">
        <v>23220379.907599758</v>
      </c>
      <c r="P107" s="61">
        <f t="shared" si="9"/>
        <v>0.33007665790474899</v>
      </c>
      <c r="Q107" s="61">
        <f t="shared" si="10"/>
        <v>9.5269942374025141E-2</v>
      </c>
    </row>
    <row r="108" spans="1:17">
      <c r="A108" s="23">
        <v>3689700</v>
      </c>
      <c r="B108" s="18">
        <v>536352</v>
      </c>
      <c r="C108" s="16" t="s">
        <v>126</v>
      </c>
      <c r="D108" s="67" t="s">
        <v>20</v>
      </c>
      <c r="E108" s="16">
        <v>214841</v>
      </c>
      <c r="F108" s="17">
        <v>18386</v>
      </c>
      <c r="G108" s="16">
        <v>3539</v>
      </c>
      <c r="H108" s="16">
        <v>21229</v>
      </c>
      <c r="I108" s="59">
        <f t="shared" si="6"/>
        <v>8.5579568145744994E-2</v>
      </c>
      <c r="J108" s="59">
        <f t="shared" si="7"/>
        <v>1.6472647213520698E-2</v>
      </c>
      <c r="K108" s="59">
        <f t="shared" si="8"/>
        <v>9.8812610255956737E-2</v>
      </c>
      <c r="L108" s="73">
        <v>-2845141.0090000499</v>
      </c>
      <c r="M108" s="73">
        <v>18701286.000702027</v>
      </c>
      <c r="N108" s="73">
        <v>-2111817.7090999982</v>
      </c>
      <c r="O108" s="73">
        <v>25120605.206796739</v>
      </c>
      <c r="P108" s="61">
        <f t="shared" si="9"/>
        <v>0.1521361156068757</v>
      </c>
      <c r="Q108" s="61">
        <f t="shared" si="10"/>
        <v>8.4067150919143296E-2</v>
      </c>
    </row>
    <row r="109" spans="1:17">
      <c r="A109" s="23">
        <v>3696000</v>
      </c>
      <c r="B109" s="18">
        <v>396537</v>
      </c>
      <c r="C109" s="16" t="s">
        <v>127</v>
      </c>
      <c r="D109" s="67" t="s">
        <v>31</v>
      </c>
      <c r="E109" s="16">
        <v>117096</v>
      </c>
      <c r="F109" s="17">
        <v>6132</v>
      </c>
      <c r="G109" s="16">
        <v>0</v>
      </c>
      <c r="H109" s="16">
        <v>0</v>
      </c>
      <c r="I109" s="59">
        <f t="shared" si="6"/>
        <v>5.2367288378766141E-2</v>
      </c>
      <c r="J109" s="59">
        <f t="shared" si="7"/>
        <v>0</v>
      </c>
      <c r="K109" s="59">
        <f t="shared" si="8"/>
        <v>0</v>
      </c>
      <c r="L109" s="73">
        <v>-23740.971399999999</v>
      </c>
      <c r="M109" s="73">
        <v>83349.185000000012</v>
      </c>
      <c r="N109" s="73">
        <v>-689825.20329999982</v>
      </c>
      <c r="O109" s="73">
        <v>13806484.987699987</v>
      </c>
      <c r="P109" s="61">
        <f t="shared" si="9"/>
        <v>0.28483747501550249</v>
      </c>
      <c r="Q109" s="61">
        <f t="shared" si="10"/>
        <v>4.9963854226079692E-2</v>
      </c>
    </row>
    <row r="110" spans="1:17">
      <c r="A110" s="23">
        <v>3697500</v>
      </c>
      <c r="B110" s="18">
        <v>858299</v>
      </c>
      <c r="C110" s="16" t="s">
        <v>128</v>
      </c>
      <c r="D110" s="67" t="s">
        <v>20</v>
      </c>
      <c r="E110" s="16">
        <v>246372</v>
      </c>
      <c r="F110" s="17">
        <v>35912</v>
      </c>
      <c r="G110" s="16">
        <v>4901</v>
      </c>
      <c r="H110" s="16">
        <v>29852</v>
      </c>
      <c r="I110" s="59">
        <f t="shared" si="6"/>
        <v>0.14576331726007827</v>
      </c>
      <c r="J110" s="59">
        <f t="shared" si="7"/>
        <v>1.9892682610036856E-2</v>
      </c>
      <c r="K110" s="59">
        <f t="shared" si="8"/>
        <v>0.12116636630785967</v>
      </c>
      <c r="L110" s="73">
        <v>-3391320.1135000451</v>
      </c>
      <c r="M110" s="73">
        <v>27315547.308100019</v>
      </c>
      <c r="N110" s="73">
        <v>-2009951.2481999972</v>
      </c>
      <c r="O110" s="73">
        <v>37045651.819498658</v>
      </c>
      <c r="P110" s="61">
        <f t="shared" si="9"/>
        <v>0.12415347476835654</v>
      </c>
      <c r="Q110" s="61">
        <f t="shared" si="10"/>
        <v>5.4256063788357393E-2</v>
      </c>
    </row>
    <row r="111" spans="1:17">
      <c r="A111" s="23">
        <v>3698200</v>
      </c>
      <c r="B111" s="18">
        <v>1089281</v>
      </c>
      <c r="C111" s="16" t="s">
        <v>129</v>
      </c>
      <c r="D111" s="67" t="s">
        <v>31</v>
      </c>
      <c r="E111" s="16">
        <v>228970</v>
      </c>
      <c r="F111" s="17">
        <v>15996.999997999999</v>
      </c>
      <c r="G111" s="16">
        <v>0</v>
      </c>
      <c r="H111" s="16">
        <v>0</v>
      </c>
      <c r="I111" s="59">
        <f t="shared" si="6"/>
        <v>6.9865047814124115E-2</v>
      </c>
      <c r="J111" s="59">
        <f t="shared" si="7"/>
        <v>0</v>
      </c>
      <c r="K111" s="59">
        <f t="shared" si="8"/>
        <v>0</v>
      </c>
      <c r="L111" s="73">
        <v>-276784.52429999993</v>
      </c>
      <c r="M111" s="73">
        <v>77182.209900000031</v>
      </c>
      <c r="N111" s="73">
        <v>-845558.38749999972</v>
      </c>
      <c r="O111" s="73">
        <v>41416069.61029952</v>
      </c>
      <c r="P111" s="61">
        <v>0</v>
      </c>
      <c r="Q111" s="61">
        <f t="shared" si="10"/>
        <v>2.0416190996784562E-2</v>
      </c>
    </row>
    <row r="112" spans="1:17">
      <c r="A112" s="23">
        <v>3699300</v>
      </c>
      <c r="B112" s="18">
        <v>552516</v>
      </c>
      <c r="C112" s="16" t="s">
        <v>130</v>
      </c>
      <c r="D112" s="67" t="s">
        <v>18</v>
      </c>
      <c r="E112" s="16">
        <v>241107</v>
      </c>
      <c r="F112" s="17">
        <v>25836</v>
      </c>
      <c r="G112" s="16">
        <v>3000</v>
      </c>
      <c r="H112" s="16">
        <v>31622</v>
      </c>
      <c r="I112" s="59">
        <f t="shared" si="6"/>
        <v>0.10715574413019946</v>
      </c>
      <c r="J112" s="59">
        <f t="shared" si="7"/>
        <v>1.2442608468439323E-2</v>
      </c>
      <c r="K112" s="59">
        <f t="shared" si="8"/>
        <v>0.13115338832966275</v>
      </c>
      <c r="L112" s="73">
        <v>-2511816.3249000125</v>
      </c>
      <c r="M112" s="73">
        <v>23816515.949300081</v>
      </c>
      <c r="N112" s="73">
        <v>-2484821.6428000019</v>
      </c>
      <c r="O112" s="73">
        <v>27318341.23199974</v>
      </c>
      <c r="P112" s="61">
        <f t="shared" si="9"/>
        <v>0.10546531366078461</v>
      </c>
      <c r="Q112" s="61">
        <f t="shared" si="10"/>
        <v>9.0957998573111376E-2</v>
      </c>
    </row>
    <row r="113" spans="1:17">
      <c r="A113" s="23">
        <v>3777500</v>
      </c>
      <c r="B113" s="18">
        <v>860160</v>
      </c>
      <c r="C113" s="16" t="s">
        <v>131</v>
      </c>
      <c r="D113" s="67" t="s">
        <v>20</v>
      </c>
      <c r="E113" s="16">
        <v>195337</v>
      </c>
      <c r="F113" s="17">
        <v>26427.999999</v>
      </c>
      <c r="G113" s="16">
        <v>5602</v>
      </c>
      <c r="H113" s="16">
        <v>19398.999997999999</v>
      </c>
      <c r="I113" s="59">
        <f t="shared" si="6"/>
        <v>0.13529438866676563</v>
      </c>
      <c r="J113" s="59">
        <f t="shared" si="7"/>
        <v>2.8678642551078392E-2</v>
      </c>
      <c r="K113" s="59">
        <f t="shared" si="8"/>
        <v>9.9310422490362801E-2</v>
      </c>
      <c r="L113" s="73">
        <v>-3109479.8468000237</v>
      </c>
      <c r="M113" s="73">
        <v>18883186.529600933</v>
      </c>
      <c r="N113" s="73">
        <v>-884538.04469999997</v>
      </c>
      <c r="O113" s="73">
        <v>25925851.549799666</v>
      </c>
      <c r="P113" s="61">
        <f t="shared" si="9"/>
        <v>0.16466923323167204</v>
      </c>
      <c r="Q113" s="61">
        <f t="shared" si="10"/>
        <v>3.411799388733424E-2</v>
      </c>
    </row>
    <row r="114" spans="1:17">
      <c r="A114" s="23">
        <v>3780400</v>
      </c>
      <c r="B114" s="18">
        <v>240005</v>
      </c>
      <c r="C114" s="16" t="s">
        <v>132</v>
      </c>
      <c r="D114" s="67" t="s">
        <v>20</v>
      </c>
      <c r="E114" s="16">
        <v>144627</v>
      </c>
      <c r="F114" s="17">
        <v>26530</v>
      </c>
      <c r="G114" s="16">
        <v>4634</v>
      </c>
      <c r="H114" s="16">
        <v>20395</v>
      </c>
      <c r="I114" s="59">
        <f t="shared" si="6"/>
        <v>0.18343739412419535</v>
      </c>
      <c r="J114" s="59">
        <f t="shared" si="7"/>
        <v>3.2041043511930691E-2</v>
      </c>
      <c r="K114" s="59">
        <f t="shared" si="8"/>
        <v>0.14101792887911663</v>
      </c>
      <c r="L114" s="73">
        <v>-3335076.1303000613</v>
      </c>
      <c r="M114" s="73">
        <v>16502773.251199881</v>
      </c>
      <c r="N114" s="73">
        <v>-1419939.3439000004</v>
      </c>
      <c r="O114" s="73">
        <v>20912479.268699992</v>
      </c>
      <c r="P114" s="61">
        <f t="shared" si="9"/>
        <v>0.20209185932174006</v>
      </c>
      <c r="Q114" s="61">
        <f t="shared" si="10"/>
        <v>6.7899139344288276E-2</v>
      </c>
    </row>
    <row r="115" spans="1:17">
      <c r="A115" s="23">
        <v>3784800</v>
      </c>
      <c r="B115" s="18">
        <v>638041</v>
      </c>
      <c r="C115" s="16" t="s">
        <v>133</v>
      </c>
      <c r="D115" s="67" t="s">
        <v>20</v>
      </c>
      <c r="E115" s="16">
        <v>164646</v>
      </c>
      <c r="F115" s="17">
        <v>20201</v>
      </c>
      <c r="G115" s="16">
        <v>2809</v>
      </c>
      <c r="H115" s="16">
        <v>17669.000001</v>
      </c>
      <c r="I115" s="59">
        <f t="shared" si="6"/>
        <v>0.122693536435747</v>
      </c>
      <c r="J115" s="59">
        <f t="shared" si="7"/>
        <v>1.7060845693184164E-2</v>
      </c>
      <c r="K115" s="59">
        <f t="shared" si="8"/>
        <v>0.1073150881345432</v>
      </c>
      <c r="L115" s="73">
        <v>-2762694.7596000512</v>
      </c>
      <c r="M115" s="73">
        <v>13410402.422699951</v>
      </c>
      <c r="N115" s="73">
        <v>-884867.75290000078</v>
      </c>
      <c r="O115" s="73">
        <v>15117675.329899952</v>
      </c>
      <c r="P115" s="61">
        <f t="shared" si="9"/>
        <v>0.20601132408402631</v>
      </c>
      <c r="Q115" s="61">
        <f t="shared" si="10"/>
        <v>5.8531998709477298E-2</v>
      </c>
    </row>
    <row r="116" spans="1:17">
      <c r="A116" s="23">
        <v>3791100</v>
      </c>
      <c r="B116" s="18">
        <v>279874</v>
      </c>
      <c r="C116" s="16" t="s">
        <v>134</v>
      </c>
      <c r="D116" s="67" t="s">
        <v>20</v>
      </c>
      <c r="E116" s="16">
        <v>197309</v>
      </c>
      <c r="F116" s="17">
        <v>41817</v>
      </c>
      <c r="G116" s="16">
        <v>6972</v>
      </c>
      <c r="H116" s="16">
        <v>31863</v>
      </c>
      <c r="I116" s="59">
        <f t="shared" si="6"/>
        <v>0.21193660704782855</v>
      </c>
      <c r="J116" s="59">
        <f t="shared" si="7"/>
        <v>3.5335438322631002E-2</v>
      </c>
      <c r="K116" s="59">
        <f t="shared" si="8"/>
        <v>0.16148781859925296</v>
      </c>
      <c r="L116" s="73">
        <v>-2693430.9401000203</v>
      </c>
      <c r="M116" s="73">
        <v>28275122.040598843</v>
      </c>
      <c r="N116" s="73">
        <v>-226569.72499999998</v>
      </c>
      <c r="O116" s="73">
        <v>37683816.676699348</v>
      </c>
      <c r="P116" s="61">
        <f t="shared" si="9"/>
        <v>9.5257977533488858E-2</v>
      </c>
      <c r="Q116" s="61">
        <f t="shared" si="10"/>
        <v>6.012387942118733E-3</v>
      </c>
    </row>
    <row r="117" spans="1:17">
      <c r="A117" s="23">
        <v>3791500</v>
      </c>
      <c r="B117" s="18">
        <v>489783</v>
      </c>
      <c r="C117" s="16" t="s">
        <v>135</v>
      </c>
      <c r="D117" s="67" t="s">
        <v>31</v>
      </c>
      <c r="E117" s="16">
        <v>83349</v>
      </c>
      <c r="F117" s="17">
        <v>3567</v>
      </c>
      <c r="G117" s="16">
        <v>0</v>
      </c>
      <c r="H117" s="16">
        <v>0</v>
      </c>
      <c r="I117" s="59">
        <f t="shared" si="6"/>
        <v>4.2795954360580209E-2</v>
      </c>
      <c r="J117" s="59">
        <f t="shared" si="7"/>
        <v>0</v>
      </c>
      <c r="K117" s="59">
        <f t="shared" si="8"/>
        <v>0</v>
      </c>
      <c r="L117" s="73">
        <v>0</v>
      </c>
      <c r="M117" s="73">
        <v>0</v>
      </c>
      <c r="N117" s="73">
        <v>-100750.96769999995</v>
      </c>
      <c r="O117" s="73">
        <v>13264098.815799968</v>
      </c>
      <c r="P117" s="61">
        <v>0</v>
      </c>
      <c r="Q117" s="61">
        <f t="shared" si="10"/>
        <v>7.5957642580276249E-3</v>
      </c>
    </row>
    <row r="118" spans="1:17">
      <c r="A118" s="23">
        <v>3792200</v>
      </c>
      <c r="B118" s="18">
        <v>666172</v>
      </c>
      <c r="C118" s="16" t="s">
        <v>136</v>
      </c>
      <c r="D118" s="67" t="s">
        <v>18</v>
      </c>
      <c r="E118" s="16">
        <v>185693</v>
      </c>
      <c r="F118" s="17">
        <v>24643</v>
      </c>
      <c r="G118" s="16">
        <v>1024</v>
      </c>
      <c r="H118" s="16">
        <v>15810</v>
      </c>
      <c r="I118" s="59">
        <f t="shared" si="6"/>
        <v>0.1327082873344714</v>
      </c>
      <c r="J118" s="59">
        <f t="shared" si="7"/>
        <v>5.5144781978857579E-3</v>
      </c>
      <c r="K118" s="59">
        <f t="shared" si="8"/>
        <v>8.5140527645091627E-2</v>
      </c>
      <c r="L118" s="73">
        <v>-1951448.2667000063</v>
      </c>
      <c r="M118" s="73">
        <v>10184621.236399999</v>
      </c>
      <c r="N118" s="73">
        <v>-1275624.4096000018</v>
      </c>
      <c r="O118" s="73">
        <v>18476990.746897012</v>
      </c>
      <c r="P118" s="61">
        <f t="shared" si="9"/>
        <v>0.19160734811870067</v>
      </c>
      <c r="Q118" s="61">
        <f t="shared" si="10"/>
        <v>6.9038537014704499E-2</v>
      </c>
    </row>
    <row r="119" spans="1:17">
      <c r="A119" s="23">
        <v>3795200</v>
      </c>
      <c r="B119" s="18">
        <v>575966</v>
      </c>
      <c r="C119" s="16" t="s">
        <v>137</v>
      </c>
      <c r="D119" s="67" t="s">
        <v>31</v>
      </c>
      <c r="E119" s="16">
        <v>136504</v>
      </c>
      <c r="F119" s="17">
        <v>6583.0000010000003</v>
      </c>
      <c r="G119" s="16">
        <v>0</v>
      </c>
      <c r="H119" s="16">
        <v>9606.0000010000003</v>
      </c>
      <c r="I119" s="59">
        <f t="shared" si="6"/>
        <v>4.8225693027310557E-2</v>
      </c>
      <c r="J119" s="59">
        <f t="shared" si="7"/>
        <v>0</v>
      </c>
      <c r="K119" s="59">
        <f t="shared" si="8"/>
        <v>7.0371564210572585E-2</v>
      </c>
      <c r="L119" s="73">
        <v>-1162461.907899996</v>
      </c>
      <c r="M119" s="73">
        <v>6202984.1407999909</v>
      </c>
      <c r="N119" s="73">
        <v>-749296.46250000026</v>
      </c>
      <c r="O119" s="73">
        <v>13058773.092799965</v>
      </c>
      <c r="P119" s="61">
        <f t="shared" si="9"/>
        <v>0.18740365629083727</v>
      </c>
      <c r="Q119" s="61">
        <f t="shared" si="10"/>
        <v>5.7378779551130223E-2</v>
      </c>
    </row>
    <row r="120" spans="1:17">
      <c r="A120" s="23">
        <v>3801800</v>
      </c>
      <c r="B120" s="18">
        <v>245017</v>
      </c>
      <c r="C120" s="16" t="s">
        <v>138</v>
      </c>
      <c r="D120" s="67" t="s">
        <v>20</v>
      </c>
      <c r="E120" s="16">
        <v>415511</v>
      </c>
      <c r="F120" s="17">
        <v>71462.998824000009</v>
      </c>
      <c r="G120" s="16">
        <v>12634.998824</v>
      </c>
      <c r="H120" s="16">
        <v>52166</v>
      </c>
      <c r="I120" s="59">
        <f t="shared" si="6"/>
        <v>0.17198822371489567</v>
      </c>
      <c r="J120" s="59">
        <f t="shared" si="7"/>
        <v>3.040833774316444E-2</v>
      </c>
      <c r="K120" s="59">
        <f t="shared" si="8"/>
        <v>0.12554661609439943</v>
      </c>
      <c r="L120" s="73">
        <v>-4047322.5010000155</v>
      </c>
      <c r="M120" s="73">
        <v>47548652.778553203</v>
      </c>
      <c r="N120" s="73">
        <v>-1138296.9018999988</v>
      </c>
      <c r="O120" s="73">
        <v>84573356.421510234</v>
      </c>
      <c r="P120" s="61">
        <f t="shared" si="9"/>
        <v>8.5119604121056375E-2</v>
      </c>
      <c r="Q120" s="61">
        <f t="shared" si="10"/>
        <v>1.3459284933978171E-2</v>
      </c>
    </row>
    <row r="121" spans="1:17">
      <c r="A121" s="23">
        <v>3805100</v>
      </c>
      <c r="B121" s="18">
        <v>959473</v>
      </c>
      <c r="C121" s="16" t="s">
        <v>139</v>
      </c>
      <c r="D121" s="67" t="s">
        <v>18</v>
      </c>
      <c r="E121" s="16">
        <v>81550</v>
      </c>
      <c r="F121" s="17">
        <v>26347</v>
      </c>
      <c r="G121" s="16">
        <v>0</v>
      </c>
      <c r="H121" s="16">
        <v>13575</v>
      </c>
      <c r="I121" s="59">
        <f t="shared" si="6"/>
        <v>0.3230778663396689</v>
      </c>
      <c r="J121" s="59">
        <f t="shared" si="7"/>
        <v>0</v>
      </c>
      <c r="K121" s="59">
        <f t="shared" si="8"/>
        <v>0.16646229307173513</v>
      </c>
      <c r="L121" s="73">
        <v>-1807896.1970000057</v>
      </c>
      <c r="M121" s="73">
        <v>8991559.5552999917</v>
      </c>
      <c r="N121" s="73">
        <v>-2441424.9513000003</v>
      </c>
      <c r="O121" s="73">
        <v>18837740.563901909</v>
      </c>
      <c r="P121" s="61">
        <f t="shared" si="9"/>
        <v>0.20106592030904782</v>
      </c>
      <c r="Q121" s="61">
        <f t="shared" si="10"/>
        <v>0.12960285460021762</v>
      </c>
    </row>
    <row r="122" spans="1:17">
      <c r="A122" s="23">
        <v>3877400</v>
      </c>
      <c r="B122" s="18">
        <v>1028681</v>
      </c>
      <c r="C122" s="16" t="s">
        <v>140</v>
      </c>
      <c r="D122" s="67" t="s">
        <v>18</v>
      </c>
      <c r="E122" s="16">
        <v>100783</v>
      </c>
      <c r="F122" s="17">
        <v>27628.999999</v>
      </c>
      <c r="G122" s="16">
        <v>0</v>
      </c>
      <c r="H122" s="16">
        <v>16243</v>
      </c>
      <c r="I122" s="59">
        <f t="shared" si="6"/>
        <v>0.27414345672385221</v>
      </c>
      <c r="J122" s="59">
        <f t="shared" si="7"/>
        <v>0</v>
      </c>
      <c r="K122" s="59">
        <f t="shared" si="8"/>
        <v>0.16116805413611424</v>
      </c>
      <c r="L122" s="73">
        <v>-946977.93869999738</v>
      </c>
      <c r="M122" s="73">
        <v>11809695.489495974</v>
      </c>
      <c r="N122" s="73">
        <v>-1171312.8370000005</v>
      </c>
      <c r="O122" s="73">
        <v>29975369.664001729</v>
      </c>
      <c r="P122" s="61">
        <f t="shared" si="9"/>
        <v>8.0186482330749195E-2</v>
      </c>
      <c r="Q122" s="61">
        <f t="shared" si="10"/>
        <v>3.9075842938032665E-2</v>
      </c>
    </row>
    <row r="123" spans="1:17">
      <c r="A123" s="23">
        <v>3878500</v>
      </c>
      <c r="B123" s="18">
        <v>542232</v>
      </c>
      <c r="C123" s="16" t="s">
        <v>141</v>
      </c>
      <c r="D123" s="67" t="s">
        <v>20</v>
      </c>
      <c r="E123" s="16">
        <v>214347</v>
      </c>
      <c r="F123" s="17">
        <v>61323.000001</v>
      </c>
      <c r="G123" s="16">
        <v>11744.999996</v>
      </c>
      <c r="H123" s="16">
        <v>48144</v>
      </c>
      <c r="I123" s="59">
        <f t="shared" si="6"/>
        <v>0.28609217764186112</v>
      </c>
      <c r="J123" s="59">
        <f t="shared" si="7"/>
        <v>5.4794328803295593E-2</v>
      </c>
      <c r="K123" s="59">
        <f t="shared" si="8"/>
        <v>0.22460776218001652</v>
      </c>
      <c r="L123" s="73">
        <v>-4030879.5980000445</v>
      </c>
      <c r="M123" s="73">
        <v>44547008.493300281</v>
      </c>
      <c r="N123" s="73">
        <v>-718433.96700000146</v>
      </c>
      <c r="O123" s="73">
        <v>60901874.120198719</v>
      </c>
      <c r="P123" s="61">
        <f t="shared" si="9"/>
        <v>9.0485977270646015E-2</v>
      </c>
      <c r="Q123" s="61">
        <f t="shared" si="10"/>
        <v>1.1796582246090939E-2</v>
      </c>
    </row>
    <row r="124" spans="1:17">
      <c r="A124" s="23">
        <v>3880700</v>
      </c>
      <c r="B124" s="18">
        <v>701353</v>
      </c>
      <c r="C124" s="16" t="s">
        <v>142</v>
      </c>
      <c r="D124" s="67" t="s">
        <v>20</v>
      </c>
      <c r="E124" s="16">
        <v>249480</v>
      </c>
      <c r="F124" s="17">
        <v>45602</v>
      </c>
      <c r="G124" s="16">
        <v>4256</v>
      </c>
      <c r="H124" s="16">
        <v>44401</v>
      </c>
      <c r="I124" s="59">
        <f t="shared" ref="I124:I178" si="11">F124/$E124</f>
        <v>0.18278819945486613</v>
      </c>
      <c r="J124" s="59">
        <f t="shared" ref="J124:J178" si="12">G124/$E124</f>
        <v>1.7059483726150394E-2</v>
      </c>
      <c r="K124" s="59">
        <f t="shared" ref="K124:K178" si="13">H124/$E124</f>
        <v>0.17797418630751963</v>
      </c>
      <c r="L124" s="73">
        <v>-2209974.6666000234</v>
      </c>
      <c r="M124" s="73">
        <v>34349985.803500146</v>
      </c>
      <c r="N124" s="73">
        <v>-1436435.1710000006</v>
      </c>
      <c r="O124" s="73">
        <v>61361520.473003276</v>
      </c>
      <c r="P124" s="61">
        <f t="shared" ref="P124:P178" si="14">ABS(L124/M124)</f>
        <v>6.4336989227367733E-2</v>
      </c>
      <c r="Q124" s="61">
        <f t="shared" ref="Q124:Q178" si="15">ABS(N124/O124)</f>
        <v>2.3409380340110333E-2</v>
      </c>
    </row>
    <row r="125" spans="1:17">
      <c r="A125" s="23">
        <v>3882900</v>
      </c>
      <c r="B125" s="18">
        <v>726772</v>
      </c>
      <c r="C125" s="16" t="s">
        <v>143</v>
      </c>
      <c r="D125" s="67" t="s">
        <v>20</v>
      </c>
      <c r="E125" s="16">
        <v>264525</v>
      </c>
      <c r="F125" s="17">
        <v>50587</v>
      </c>
      <c r="G125" s="16">
        <v>9208</v>
      </c>
      <c r="H125" s="16">
        <v>56687</v>
      </c>
      <c r="I125" s="59">
        <f t="shared" si="11"/>
        <v>0.19123712314526037</v>
      </c>
      <c r="J125" s="59">
        <f t="shared" si="12"/>
        <v>3.4809564313391932E-2</v>
      </c>
      <c r="K125" s="59">
        <f t="shared" si="13"/>
        <v>0.21429732539457519</v>
      </c>
      <c r="L125" s="73">
        <v>-3869700.1303000497</v>
      </c>
      <c r="M125" s="73">
        <v>48724785.495202079</v>
      </c>
      <c r="N125" s="73">
        <v>-1352134.7038000009</v>
      </c>
      <c r="O125" s="73">
        <v>75714930.302499548</v>
      </c>
      <c r="P125" s="61">
        <f t="shared" si="14"/>
        <v>7.9419541635151955E-2</v>
      </c>
      <c r="Q125" s="61">
        <f t="shared" si="15"/>
        <v>1.7858230845592727E-2</v>
      </c>
    </row>
    <row r="126" spans="1:17">
      <c r="A126" s="23">
        <v>3887000</v>
      </c>
      <c r="B126" s="18">
        <v>266328</v>
      </c>
      <c r="C126" s="16" t="s">
        <v>144</v>
      </c>
      <c r="D126" s="67" t="s">
        <v>31</v>
      </c>
      <c r="E126" s="16">
        <v>168441</v>
      </c>
      <c r="F126" s="17">
        <v>15108</v>
      </c>
      <c r="G126" s="16">
        <v>0</v>
      </c>
      <c r="H126" s="16">
        <v>14128</v>
      </c>
      <c r="I126" s="59">
        <f t="shared" si="11"/>
        <v>8.9693126970274456E-2</v>
      </c>
      <c r="J126" s="59">
        <f t="shared" si="12"/>
        <v>0</v>
      </c>
      <c r="K126" s="59">
        <f t="shared" si="13"/>
        <v>8.3875066046865079E-2</v>
      </c>
      <c r="L126" s="73">
        <v>-708139.17619999638</v>
      </c>
      <c r="M126" s="73">
        <v>7924074.6055000117</v>
      </c>
      <c r="N126" s="73">
        <v>-345298.93230000004</v>
      </c>
      <c r="O126" s="73">
        <v>24725393.781501755</v>
      </c>
      <c r="P126" s="61">
        <f t="shared" si="14"/>
        <v>8.9365536224063929E-2</v>
      </c>
      <c r="Q126" s="61">
        <f t="shared" si="15"/>
        <v>1.3965356238667253E-2</v>
      </c>
    </row>
    <row r="127" spans="1:17">
      <c r="A127" s="23">
        <v>3892500</v>
      </c>
      <c r="B127" s="18">
        <v>726064</v>
      </c>
      <c r="C127" s="16" t="s">
        <v>145</v>
      </c>
      <c r="D127" s="67" t="s">
        <v>18</v>
      </c>
      <c r="E127" s="16">
        <v>149218</v>
      </c>
      <c r="F127" s="17">
        <v>30768</v>
      </c>
      <c r="G127" s="16">
        <v>4249</v>
      </c>
      <c r="H127" s="16">
        <v>28501</v>
      </c>
      <c r="I127" s="59">
        <f t="shared" si="11"/>
        <v>0.20619496307415996</v>
      </c>
      <c r="J127" s="59">
        <f t="shared" si="12"/>
        <v>2.8475116942996152E-2</v>
      </c>
      <c r="K127" s="59">
        <f t="shared" si="13"/>
        <v>0.19100242598077979</v>
      </c>
      <c r="L127" s="73">
        <v>-1408696.8273000033</v>
      </c>
      <c r="M127" s="73">
        <v>21271245.128496889</v>
      </c>
      <c r="N127" s="73">
        <v>-324720.93319999974</v>
      </c>
      <c r="O127" s="73">
        <v>43067650.925503358</v>
      </c>
      <c r="P127" s="61">
        <f t="shared" si="14"/>
        <v>6.6225405179162977E-2</v>
      </c>
      <c r="Q127" s="61">
        <f t="shared" si="15"/>
        <v>7.5397874326066355E-3</v>
      </c>
    </row>
    <row r="128" spans="1:17">
      <c r="A128" s="23">
        <v>3894700</v>
      </c>
      <c r="B128" s="18">
        <v>355932</v>
      </c>
      <c r="C128" s="16" t="s">
        <v>146</v>
      </c>
      <c r="D128" s="67" t="s">
        <v>31</v>
      </c>
      <c r="E128" s="16">
        <v>82107</v>
      </c>
      <c r="F128" s="17">
        <v>3874</v>
      </c>
      <c r="G128" s="16">
        <v>0</v>
      </c>
      <c r="H128" s="16">
        <v>0</v>
      </c>
      <c r="I128" s="59">
        <f t="shared" si="11"/>
        <v>4.718233524547237E-2</v>
      </c>
      <c r="J128" s="59">
        <f t="shared" si="12"/>
        <v>0</v>
      </c>
      <c r="K128" s="59">
        <f t="shared" si="13"/>
        <v>0</v>
      </c>
      <c r="L128" s="73">
        <v>-2998.7509</v>
      </c>
      <c r="M128" s="73">
        <v>0</v>
      </c>
      <c r="N128" s="73">
        <v>-140366.63559999998</v>
      </c>
      <c r="O128" s="73">
        <v>7164643.8263000194</v>
      </c>
      <c r="P128" s="61">
        <v>0</v>
      </c>
      <c r="Q128" s="61">
        <f t="shared" si="15"/>
        <v>1.9591572031081469E-2</v>
      </c>
    </row>
    <row r="129" spans="1:17">
      <c r="A129" s="23">
        <v>3898800</v>
      </c>
      <c r="B129" s="18">
        <v>562989</v>
      </c>
      <c r="C129" s="16" t="s">
        <v>147</v>
      </c>
      <c r="D129" s="67" t="s">
        <v>31</v>
      </c>
      <c r="E129" s="16">
        <v>69680</v>
      </c>
      <c r="F129" s="17">
        <v>2800</v>
      </c>
      <c r="G129" s="16">
        <v>0</v>
      </c>
      <c r="H129" s="16">
        <v>0</v>
      </c>
      <c r="I129" s="59">
        <f t="shared" si="11"/>
        <v>4.0183696900114814E-2</v>
      </c>
      <c r="J129" s="59">
        <f t="shared" si="12"/>
        <v>0</v>
      </c>
      <c r="K129" s="59">
        <f t="shared" si="13"/>
        <v>0</v>
      </c>
      <c r="L129" s="73">
        <v>0</v>
      </c>
      <c r="M129" s="73">
        <v>0</v>
      </c>
      <c r="N129" s="73">
        <v>-127390.94469999999</v>
      </c>
      <c r="O129" s="73">
        <v>5099610.222000014</v>
      </c>
      <c r="P129" s="61">
        <v>0</v>
      </c>
      <c r="Q129" s="61">
        <f t="shared" si="15"/>
        <v>2.4980525795957519E-2</v>
      </c>
    </row>
    <row r="130" spans="1:17">
      <c r="A130" s="23">
        <v>3899900</v>
      </c>
      <c r="B130" s="18">
        <v>569320</v>
      </c>
      <c r="C130" s="16" t="s">
        <v>148</v>
      </c>
      <c r="D130" s="67" t="s">
        <v>20</v>
      </c>
      <c r="E130" s="16">
        <v>210094</v>
      </c>
      <c r="F130" s="17">
        <v>43390</v>
      </c>
      <c r="G130" s="16">
        <v>6761</v>
      </c>
      <c r="H130" s="16">
        <v>20935</v>
      </c>
      <c r="I130" s="59">
        <f t="shared" si="11"/>
        <v>0.20652660237798318</v>
      </c>
      <c r="J130" s="59">
        <f t="shared" si="12"/>
        <v>3.2180833341266292E-2</v>
      </c>
      <c r="K130" s="59">
        <f t="shared" si="13"/>
        <v>9.964587279979438E-2</v>
      </c>
      <c r="L130" s="73">
        <v>-3466414.3641000343</v>
      </c>
      <c r="M130" s="73">
        <v>20723797.768499926</v>
      </c>
      <c r="N130" s="73">
        <v>-1086665.3079000004</v>
      </c>
      <c r="O130" s="73">
        <v>36472018.111500442</v>
      </c>
      <c r="P130" s="61">
        <f t="shared" si="14"/>
        <v>0.16726733211848688</v>
      </c>
      <c r="Q130" s="61">
        <f t="shared" si="15"/>
        <v>2.9794493536878085E-2</v>
      </c>
    </row>
    <row r="131" spans="1:17">
      <c r="A131" s="23">
        <v>3903200</v>
      </c>
      <c r="B131" s="18">
        <v>1078346</v>
      </c>
      <c r="C131" s="16" t="s">
        <v>149</v>
      </c>
      <c r="D131" s="67" t="s">
        <v>31</v>
      </c>
      <c r="E131" s="16">
        <v>91918</v>
      </c>
      <c r="F131" s="17">
        <v>7170</v>
      </c>
      <c r="G131" s="16">
        <v>0</v>
      </c>
      <c r="H131" s="16">
        <v>7805</v>
      </c>
      <c r="I131" s="59">
        <f t="shared" si="11"/>
        <v>7.8004308187732546E-2</v>
      </c>
      <c r="J131" s="59">
        <f t="shared" si="12"/>
        <v>0</v>
      </c>
      <c r="K131" s="59">
        <f t="shared" si="13"/>
        <v>8.4912639526534522E-2</v>
      </c>
      <c r="L131" s="73">
        <v>-1005241.0781999986</v>
      </c>
      <c r="M131" s="73">
        <v>5173401.7038999945</v>
      </c>
      <c r="N131" s="73">
        <v>-781391.44499999983</v>
      </c>
      <c r="O131" s="73">
        <v>8385026.1170000164</v>
      </c>
      <c r="P131" s="61">
        <f t="shared" si="14"/>
        <v>0.19430949609851342</v>
      </c>
      <c r="Q131" s="61">
        <f t="shared" si="15"/>
        <v>9.3188910099610403E-2</v>
      </c>
    </row>
    <row r="132" spans="1:17">
      <c r="A132" s="23">
        <v>3904300</v>
      </c>
      <c r="B132" s="18">
        <v>608844</v>
      </c>
      <c r="C132" s="16" t="s">
        <v>150</v>
      </c>
      <c r="D132" s="67" t="s">
        <v>18</v>
      </c>
      <c r="E132" s="16">
        <v>217339</v>
      </c>
      <c r="F132" s="17">
        <v>35228</v>
      </c>
      <c r="G132" s="16">
        <v>4276</v>
      </c>
      <c r="H132" s="16">
        <v>32642.999999</v>
      </c>
      <c r="I132" s="59">
        <f t="shared" si="11"/>
        <v>0.16208779832427683</v>
      </c>
      <c r="J132" s="59">
        <f t="shared" si="12"/>
        <v>1.9674333644674909E-2</v>
      </c>
      <c r="K132" s="59">
        <f t="shared" si="13"/>
        <v>0.15019393665655956</v>
      </c>
      <c r="L132" s="73">
        <v>-1811243.9022000101</v>
      </c>
      <c r="M132" s="73">
        <v>26430723.877702113</v>
      </c>
      <c r="N132" s="73">
        <v>-629846.54709999985</v>
      </c>
      <c r="O132" s="73">
        <v>34348499.122295618</v>
      </c>
      <c r="P132" s="61">
        <f t="shared" si="14"/>
        <v>6.8527971862626103E-2</v>
      </c>
      <c r="Q132" s="61">
        <f t="shared" si="15"/>
        <v>1.8336945228886764E-2</v>
      </c>
    </row>
    <row r="133" spans="1:17">
      <c r="A133" s="23">
        <v>3907300</v>
      </c>
      <c r="B133" s="18">
        <v>542989</v>
      </c>
      <c r="C133" s="16" t="s">
        <v>151</v>
      </c>
      <c r="D133" s="67" t="s">
        <v>18</v>
      </c>
      <c r="E133" s="16">
        <v>200374</v>
      </c>
      <c r="F133" s="17">
        <v>36656</v>
      </c>
      <c r="G133" s="16">
        <v>2086</v>
      </c>
      <c r="H133" s="16">
        <v>27985</v>
      </c>
      <c r="I133" s="59">
        <f t="shared" si="11"/>
        <v>0.1829379061155639</v>
      </c>
      <c r="J133" s="59">
        <f t="shared" si="12"/>
        <v>1.0410532304590416E-2</v>
      </c>
      <c r="K133" s="59">
        <f t="shared" si="13"/>
        <v>0.13966382864044238</v>
      </c>
      <c r="L133" s="73">
        <v>-2214103.9534000135</v>
      </c>
      <c r="M133" s="73">
        <v>19452294.232199818</v>
      </c>
      <c r="N133" s="73">
        <v>-788931.6949</v>
      </c>
      <c r="O133" s="73">
        <v>37745264.769799516</v>
      </c>
      <c r="P133" s="61">
        <f t="shared" si="14"/>
        <v>0.1138222528906106</v>
      </c>
      <c r="Q133" s="61">
        <f t="shared" si="15"/>
        <v>2.0901474654146147E-2</v>
      </c>
    </row>
    <row r="134" spans="1:17">
      <c r="A134" s="23">
        <v>3908400</v>
      </c>
      <c r="B134" s="18">
        <v>469399</v>
      </c>
      <c r="C134" s="16" t="s">
        <v>152</v>
      </c>
      <c r="D134" s="67" t="s">
        <v>18</v>
      </c>
      <c r="E134" s="16">
        <v>211232</v>
      </c>
      <c r="F134" s="17">
        <v>24837.000001</v>
      </c>
      <c r="G134" s="16">
        <v>0</v>
      </c>
      <c r="H134" s="16">
        <v>24875.999997999999</v>
      </c>
      <c r="I134" s="59">
        <f t="shared" si="11"/>
        <v>0.11758161642648841</v>
      </c>
      <c r="J134" s="59">
        <f t="shared" si="12"/>
        <v>0</v>
      </c>
      <c r="K134" s="59">
        <f t="shared" si="13"/>
        <v>0.11776624752878351</v>
      </c>
      <c r="L134" s="73">
        <v>-1359096.4615000114</v>
      </c>
      <c r="M134" s="73">
        <v>17112985.445499912</v>
      </c>
      <c r="N134" s="73">
        <v>-1925739.3196000021</v>
      </c>
      <c r="O134" s="73">
        <v>47536168.381898537</v>
      </c>
      <c r="P134" s="61">
        <f t="shared" si="14"/>
        <v>7.94190158010918E-2</v>
      </c>
      <c r="Q134" s="61">
        <f t="shared" si="15"/>
        <v>4.0511033706564184E-2</v>
      </c>
    </row>
    <row r="135" spans="1:17">
      <c r="A135" s="23">
        <v>3927600</v>
      </c>
      <c r="B135" s="18">
        <v>488747</v>
      </c>
      <c r="C135" s="16" t="s">
        <v>153</v>
      </c>
      <c r="D135" s="67" t="s">
        <v>18</v>
      </c>
      <c r="E135" s="16">
        <v>194874</v>
      </c>
      <c r="F135" s="17">
        <v>31779.999999</v>
      </c>
      <c r="G135" s="16">
        <v>2186</v>
      </c>
      <c r="H135" s="16">
        <v>17735</v>
      </c>
      <c r="I135" s="59">
        <f t="shared" si="11"/>
        <v>0.16307973356630437</v>
      </c>
      <c r="J135" s="59">
        <f t="shared" si="12"/>
        <v>1.1217504644026396E-2</v>
      </c>
      <c r="K135" s="59">
        <f t="shared" si="13"/>
        <v>9.1007522809610317E-2</v>
      </c>
      <c r="L135" s="73">
        <v>-1272693.6548000062</v>
      </c>
      <c r="M135" s="73">
        <v>11470388.592299968</v>
      </c>
      <c r="N135" s="73">
        <v>-1503461.5987999991</v>
      </c>
      <c r="O135" s="73">
        <v>18339728.641398907</v>
      </c>
      <c r="P135" s="61">
        <f t="shared" si="14"/>
        <v>0.11095471130370954</v>
      </c>
      <c r="Q135" s="61">
        <f t="shared" si="15"/>
        <v>8.197839936443678E-2</v>
      </c>
    </row>
    <row r="136" spans="1:17">
      <c r="A136" s="23">
        <v>3928700</v>
      </c>
      <c r="B136" s="18">
        <v>338462</v>
      </c>
      <c r="C136" s="16" t="s">
        <v>154</v>
      </c>
      <c r="D136" s="67" t="s">
        <v>20</v>
      </c>
      <c r="E136" s="16">
        <v>288127</v>
      </c>
      <c r="F136" s="17">
        <v>40565</v>
      </c>
      <c r="G136" s="16">
        <v>7382</v>
      </c>
      <c r="H136" s="16">
        <v>21785</v>
      </c>
      <c r="I136" s="59">
        <f t="shared" si="11"/>
        <v>0.14078861057797429</v>
      </c>
      <c r="J136" s="59">
        <f t="shared" si="12"/>
        <v>2.5620646451044157E-2</v>
      </c>
      <c r="K136" s="59">
        <f t="shared" si="13"/>
        <v>7.5609019633703187E-2</v>
      </c>
      <c r="L136" s="73">
        <v>-3975211.5659000576</v>
      </c>
      <c r="M136" s="73">
        <v>22555833.658599917</v>
      </c>
      <c r="N136" s="73">
        <v>-919560.89670000051</v>
      </c>
      <c r="O136" s="73">
        <v>33950981.070899568</v>
      </c>
      <c r="P136" s="61">
        <f t="shared" si="14"/>
        <v>0.1762387338933234</v>
      </c>
      <c r="Q136" s="61">
        <f t="shared" si="15"/>
        <v>2.7084958009893401E-2</v>
      </c>
    </row>
    <row r="137" spans="1:17">
      <c r="A137" s="23">
        <v>3929800</v>
      </c>
      <c r="B137" s="18">
        <v>533204</v>
      </c>
      <c r="C137" s="16" t="s">
        <v>155</v>
      </c>
      <c r="D137" s="67" t="s">
        <v>20</v>
      </c>
      <c r="E137" s="16">
        <v>276592</v>
      </c>
      <c r="F137" s="17">
        <v>51561</v>
      </c>
      <c r="G137" s="16">
        <v>10043</v>
      </c>
      <c r="H137" s="16">
        <v>36301</v>
      </c>
      <c r="I137" s="59">
        <f t="shared" si="11"/>
        <v>0.18641536993116214</v>
      </c>
      <c r="J137" s="59">
        <f t="shared" si="12"/>
        <v>3.6309799271128596E-2</v>
      </c>
      <c r="K137" s="59">
        <f t="shared" si="13"/>
        <v>0.13124385376294326</v>
      </c>
      <c r="L137" s="73">
        <v>-4438975.9786000308</v>
      </c>
      <c r="M137" s="73">
        <v>33275300.61359987</v>
      </c>
      <c r="N137" s="73">
        <v>-1147473.6814000013</v>
      </c>
      <c r="O137" s="73">
        <v>40587945.242398426</v>
      </c>
      <c r="P137" s="61">
        <f t="shared" si="14"/>
        <v>0.1334015289642729</v>
      </c>
      <c r="Q137" s="61">
        <f t="shared" si="15"/>
        <v>2.8271292733521847E-2</v>
      </c>
    </row>
    <row r="138" spans="1:17">
      <c r="A138" s="23">
        <v>4116400</v>
      </c>
      <c r="B138" s="18">
        <v>625715</v>
      </c>
      <c r="C138" s="16" t="s">
        <v>156</v>
      </c>
      <c r="D138" s="67" t="s">
        <v>18</v>
      </c>
      <c r="E138" s="16">
        <v>230289</v>
      </c>
      <c r="F138" s="17">
        <v>32507</v>
      </c>
      <c r="G138" s="16">
        <v>3376</v>
      </c>
      <c r="H138" s="16">
        <v>20505</v>
      </c>
      <c r="I138" s="59">
        <f t="shared" si="11"/>
        <v>0.14115741524779735</v>
      </c>
      <c r="J138" s="59">
        <f t="shared" si="12"/>
        <v>1.4659840461333368E-2</v>
      </c>
      <c r="K138" s="59">
        <f t="shared" si="13"/>
        <v>8.9040292849419639E-2</v>
      </c>
      <c r="L138" s="73">
        <v>-1938233.7890000013</v>
      </c>
      <c r="M138" s="73">
        <v>15603161.590499947</v>
      </c>
      <c r="N138" s="73">
        <v>-1530746.6236999985</v>
      </c>
      <c r="O138" s="73">
        <v>30790586.150498588</v>
      </c>
      <c r="P138" s="61">
        <f t="shared" si="14"/>
        <v>0.12422058040981281</v>
      </c>
      <c r="Q138" s="61">
        <f t="shared" si="15"/>
        <v>4.9714760745962976E-2</v>
      </c>
    </row>
    <row r="139" spans="1:17">
      <c r="A139" s="23">
        <v>4490000</v>
      </c>
      <c r="B139" s="18">
        <v>897525</v>
      </c>
      <c r="C139" s="16" t="s">
        <v>157</v>
      </c>
      <c r="D139" s="67" t="s">
        <v>18</v>
      </c>
      <c r="E139" s="16">
        <v>152022</v>
      </c>
      <c r="F139" s="17">
        <v>22320</v>
      </c>
      <c r="G139" s="16">
        <v>1260</v>
      </c>
      <c r="H139" s="16">
        <v>11526</v>
      </c>
      <c r="I139" s="59">
        <f t="shared" si="11"/>
        <v>0.14682085487626792</v>
      </c>
      <c r="J139" s="59">
        <f t="shared" si="12"/>
        <v>8.2882740655957684E-3</v>
      </c>
      <c r="K139" s="59">
        <f t="shared" si="13"/>
        <v>7.5817973714330827E-2</v>
      </c>
      <c r="L139" s="73">
        <v>-1352308.8504000071</v>
      </c>
      <c r="M139" s="73">
        <v>8832414.6716999821</v>
      </c>
      <c r="N139" s="73">
        <v>-2121693.1588999997</v>
      </c>
      <c r="O139" s="73">
        <v>16626217.428799927</v>
      </c>
      <c r="P139" s="61">
        <f t="shared" si="14"/>
        <v>0.15310749106164045</v>
      </c>
      <c r="Q139" s="61">
        <f t="shared" si="15"/>
        <v>0.12761129631474707</v>
      </c>
    </row>
    <row r="140" spans="1:17">
      <c r="A140" s="23">
        <v>4496300</v>
      </c>
      <c r="B140" s="18">
        <v>762017</v>
      </c>
      <c r="C140" s="16" t="s">
        <v>158</v>
      </c>
      <c r="D140" s="67" t="s">
        <v>18</v>
      </c>
      <c r="E140" s="16">
        <v>256006</v>
      </c>
      <c r="F140" s="17">
        <v>26666</v>
      </c>
      <c r="G140" s="16">
        <v>1950</v>
      </c>
      <c r="H140" s="16">
        <v>22367</v>
      </c>
      <c r="I140" s="59">
        <f t="shared" si="11"/>
        <v>0.10416162121200284</v>
      </c>
      <c r="J140" s="59">
        <f t="shared" si="12"/>
        <v>7.617008976352117E-3</v>
      </c>
      <c r="K140" s="59">
        <f t="shared" si="13"/>
        <v>8.7369046037983483E-2</v>
      </c>
      <c r="L140" s="73">
        <v>-936766.22069999482</v>
      </c>
      <c r="M140" s="73">
        <v>15831992.792798944</v>
      </c>
      <c r="N140" s="73">
        <v>-1013507.4396999994</v>
      </c>
      <c r="O140" s="73">
        <v>27662049.635000713</v>
      </c>
      <c r="P140" s="61">
        <f t="shared" si="14"/>
        <v>5.9169191962118346E-2</v>
      </c>
      <c r="Q140" s="61">
        <f t="shared" si="15"/>
        <v>3.6638913351439123E-2</v>
      </c>
    </row>
    <row r="141" spans="1:17">
      <c r="A141" s="23">
        <v>4498500</v>
      </c>
      <c r="B141" s="18">
        <v>989238</v>
      </c>
      <c r="C141" s="16" t="s">
        <v>159</v>
      </c>
      <c r="D141" s="67" t="s">
        <v>20</v>
      </c>
      <c r="E141" s="16">
        <v>207474</v>
      </c>
      <c r="F141" s="17">
        <v>34847</v>
      </c>
      <c r="G141" s="16">
        <v>4557</v>
      </c>
      <c r="H141" s="16">
        <v>28806.000002000001</v>
      </c>
      <c r="I141" s="59">
        <f t="shared" si="11"/>
        <v>0.16795839478681665</v>
      </c>
      <c r="J141" s="59">
        <f t="shared" si="12"/>
        <v>2.1964197923595247E-2</v>
      </c>
      <c r="K141" s="59">
        <f t="shared" si="13"/>
        <v>0.13884149340158286</v>
      </c>
      <c r="L141" s="73">
        <v>-2719793.8666000301</v>
      </c>
      <c r="M141" s="73">
        <v>23571884.857801858</v>
      </c>
      <c r="N141" s="73">
        <v>-691993.96149999928</v>
      </c>
      <c r="O141" s="73">
        <v>34346238.201898314</v>
      </c>
      <c r="P141" s="61">
        <f t="shared" si="14"/>
        <v>0.11538296080297662</v>
      </c>
      <c r="Q141" s="61">
        <f t="shared" si="15"/>
        <v>2.0147591052977466E-2</v>
      </c>
    </row>
    <row r="142" spans="1:17">
      <c r="A142" s="23">
        <v>4499600</v>
      </c>
      <c r="B142" s="18">
        <v>609688</v>
      </c>
      <c r="C142" s="16" t="s">
        <v>160</v>
      </c>
      <c r="D142" s="67" t="s">
        <v>20</v>
      </c>
      <c r="E142" s="16">
        <v>185510</v>
      </c>
      <c r="F142" s="17">
        <v>25126</v>
      </c>
      <c r="G142" s="16">
        <v>3570</v>
      </c>
      <c r="H142" s="16">
        <v>17151</v>
      </c>
      <c r="I142" s="59">
        <f t="shared" si="11"/>
        <v>0.13544283327044365</v>
      </c>
      <c r="J142" s="59">
        <f t="shared" si="12"/>
        <v>1.9244245593229476E-2</v>
      </c>
      <c r="K142" s="59">
        <f t="shared" si="13"/>
        <v>9.2453237022262949E-2</v>
      </c>
      <c r="L142" s="73">
        <v>-3501667.1533000418</v>
      </c>
      <c r="M142" s="73">
        <v>15401675.579600958</v>
      </c>
      <c r="N142" s="73">
        <v>-3033891.2365999995</v>
      </c>
      <c r="O142" s="73">
        <v>13899899.666999949</v>
      </c>
      <c r="P142" s="61">
        <f t="shared" si="14"/>
        <v>0.22735624674096444</v>
      </c>
      <c r="Q142" s="61">
        <f t="shared" si="15"/>
        <v>0.21826713208605569</v>
      </c>
    </row>
    <row r="143" spans="1:17">
      <c r="A143" s="23">
        <v>4500700</v>
      </c>
      <c r="B143" s="18">
        <v>764461</v>
      </c>
      <c r="C143" s="16" t="s">
        <v>161</v>
      </c>
      <c r="D143" s="67" t="s">
        <v>18</v>
      </c>
      <c r="E143" s="16">
        <v>191782</v>
      </c>
      <c r="F143" s="17">
        <v>21683.000003000001</v>
      </c>
      <c r="G143" s="16">
        <v>0</v>
      </c>
      <c r="H143" s="16">
        <v>17282.999995999999</v>
      </c>
      <c r="I143" s="59">
        <f t="shared" si="11"/>
        <v>0.11306066264300091</v>
      </c>
      <c r="J143" s="59">
        <f t="shared" si="12"/>
        <v>0</v>
      </c>
      <c r="K143" s="59">
        <f t="shared" si="13"/>
        <v>9.0117946397472129E-2</v>
      </c>
      <c r="L143" s="73">
        <v>-933617.74779999512</v>
      </c>
      <c r="M143" s="73">
        <v>10701288.808399983</v>
      </c>
      <c r="N143" s="73">
        <v>-902143.19140000048</v>
      </c>
      <c r="O143" s="73">
        <v>22840120.723307818</v>
      </c>
      <c r="P143" s="61">
        <f t="shared" si="14"/>
        <v>8.7243486697336059E-2</v>
      </c>
      <c r="Q143" s="61">
        <f t="shared" si="15"/>
        <v>3.9498179643130522E-2</v>
      </c>
    </row>
    <row r="144" spans="1:17">
      <c r="A144" s="23">
        <v>4501800</v>
      </c>
      <c r="B144" s="18">
        <v>394771</v>
      </c>
      <c r="C144" s="16" t="s">
        <v>162</v>
      </c>
      <c r="D144" s="67" t="s">
        <v>20</v>
      </c>
      <c r="E144" s="16">
        <v>182172</v>
      </c>
      <c r="F144" s="17">
        <v>20474.999999</v>
      </c>
      <c r="G144" s="16">
        <v>3382</v>
      </c>
      <c r="H144" s="16">
        <v>12725</v>
      </c>
      <c r="I144" s="59">
        <f t="shared" si="11"/>
        <v>0.11239378169532091</v>
      </c>
      <c r="J144" s="59">
        <f t="shared" si="12"/>
        <v>1.8564872757613683E-2</v>
      </c>
      <c r="K144" s="59">
        <f t="shared" si="13"/>
        <v>6.985156884702369E-2</v>
      </c>
      <c r="L144" s="73">
        <v>-3684784.0663000643</v>
      </c>
      <c r="M144" s="73">
        <v>12275259.923399964</v>
      </c>
      <c r="N144" s="73">
        <v>-1569120.5115000019</v>
      </c>
      <c r="O144" s="73">
        <v>10951111.564800011</v>
      </c>
      <c r="P144" s="61">
        <f t="shared" si="14"/>
        <v>0.30017971833540319</v>
      </c>
      <c r="Q144" s="61">
        <f t="shared" si="15"/>
        <v>0.14328413168062334</v>
      </c>
    </row>
    <row r="145" spans="1:17">
      <c r="A145" s="23">
        <v>4502900</v>
      </c>
      <c r="B145" s="18">
        <v>512172</v>
      </c>
      <c r="C145" s="16" t="s">
        <v>163</v>
      </c>
      <c r="D145" s="67" t="s">
        <v>18</v>
      </c>
      <c r="E145" s="16">
        <v>187966</v>
      </c>
      <c r="F145" s="17">
        <v>27259</v>
      </c>
      <c r="G145" s="16">
        <v>0</v>
      </c>
      <c r="H145" s="16">
        <v>16270.000001</v>
      </c>
      <c r="I145" s="59">
        <f t="shared" si="11"/>
        <v>0.14502090803655981</v>
      </c>
      <c r="J145" s="59">
        <f t="shared" si="12"/>
        <v>0</v>
      </c>
      <c r="K145" s="59">
        <f t="shared" si="13"/>
        <v>8.655820734068928E-2</v>
      </c>
      <c r="L145" s="73">
        <v>-1174308.1211999985</v>
      </c>
      <c r="M145" s="73">
        <v>10825602.879100988</v>
      </c>
      <c r="N145" s="73">
        <v>-643752.08519999986</v>
      </c>
      <c r="O145" s="73">
        <v>23172592.416291766</v>
      </c>
      <c r="P145" s="61">
        <f t="shared" si="14"/>
        <v>0.10847507841498791</v>
      </c>
      <c r="Q145" s="61">
        <f t="shared" si="15"/>
        <v>2.778075381619375E-2</v>
      </c>
    </row>
    <row r="146" spans="1:17">
      <c r="A146" s="23">
        <v>4504000</v>
      </c>
      <c r="B146" s="18">
        <v>274361</v>
      </c>
      <c r="C146" s="16" t="s">
        <v>164</v>
      </c>
      <c r="D146" s="67" t="s">
        <v>18</v>
      </c>
      <c r="E146" s="16">
        <v>117453</v>
      </c>
      <c r="F146" s="17">
        <v>17420</v>
      </c>
      <c r="G146" s="16">
        <v>1109</v>
      </c>
      <c r="H146" s="16">
        <v>9366</v>
      </c>
      <c r="I146" s="59">
        <f t="shared" si="11"/>
        <v>0.14831464500693894</v>
      </c>
      <c r="J146" s="59">
        <f t="shared" si="12"/>
        <v>9.442074702221314E-3</v>
      </c>
      <c r="K146" s="59">
        <f t="shared" si="13"/>
        <v>7.974253531199714E-2</v>
      </c>
      <c r="L146" s="73">
        <v>-1852955.3978999995</v>
      </c>
      <c r="M146" s="73">
        <v>6920250.875999989</v>
      </c>
      <c r="N146" s="73">
        <v>-1886706.9424999976</v>
      </c>
      <c r="O146" s="73">
        <v>13728869.666799953</v>
      </c>
      <c r="P146" s="61">
        <f t="shared" si="14"/>
        <v>0.26775841383528515</v>
      </c>
      <c r="Q146" s="61">
        <f t="shared" si="15"/>
        <v>0.13742624034537637</v>
      </c>
    </row>
    <row r="147" spans="1:17">
      <c r="A147" s="23">
        <v>4505900</v>
      </c>
      <c r="B147" s="18">
        <v>836439</v>
      </c>
      <c r="C147" s="16" t="s">
        <v>165</v>
      </c>
      <c r="D147" s="67" t="s">
        <v>18</v>
      </c>
      <c r="E147" s="16">
        <v>266956</v>
      </c>
      <c r="F147" s="17">
        <v>52663</v>
      </c>
      <c r="G147" s="16">
        <v>4169</v>
      </c>
      <c r="H147" s="16">
        <v>28815</v>
      </c>
      <c r="I147" s="59">
        <f t="shared" si="11"/>
        <v>0.19727220965252701</v>
      </c>
      <c r="J147" s="59">
        <f t="shared" si="12"/>
        <v>1.5616805765744167E-2</v>
      </c>
      <c r="K147" s="59">
        <f t="shared" si="13"/>
        <v>0.10793913603739942</v>
      </c>
      <c r="L147" s="73">
        <v>-1797649.1889000079</v>
      </c>
      <c r="M147" s="73">
        <v>20841915.612099979</v>
      </c>
      <c r="N147" s="73">
        <v>-1951025.7966000002</v>
      </c>
      <c r="O147" s="73">
        <v>21831485.64770085</v>
      </c>
      <c r="P147" s="61">
        <f t="shared" si="14"/>
        <v>8.6251629761727136E-2</v>
      </c>
      <c r="Q147" s="61">
        <f t="shared" si="15"/>
        <v>8.9367523039160165E-2</v>
      </c>
    </row>
    <row r="148" spans="1:17">
      <c r="A148" s="23">
        <v>4508100</v>
      </c>
      <c r="B148" s="18">
        <v>831003</v>
      </c>
      <c r="C148" s="16" t="s">
        <v>166</v>
      </c>
      <c r="D148" s="67" t="s">
        <v>20</v>
      </c>
      <c r="E148" s="16">
        <v>378319</v>
      </c>
      <c r="F148" s="17">
        <v>33663</v>
      </c>
      <c r="G148" s="16">
        <v>3658</v>
      </c>
      <c r="H148" s="16">
        <v>24598.999997999999</v>
      </c>
      <c r="I148" s="59">
        <f t="shared" si="11"/>
        <v>8.8980463577034194E-2</v>
      </c>
      <c r="J148" s="59">
        <f t="shared" si="12"/>
        <v>9.6690887848614529E-3</v>
      </c>
      <c r="K148" s="59">
        <f t="shared" si="13"/>
        <v>6.5021846637361588E-2</v>
      </c>
      <c r="L148" s="73">
        <v>-2656825.7072000201</v>
      </c>
      <c r="M148" s="73">
        <v>18832118.849300861</v>
      </c>
      <c r="N148" s="73">
        <v>-973047.98320000013</v>
      </c>
      <c r="O148" s="73">
        <v>38163839.575502604</v>
      </c>
      <c r="P148" s="61">
        <f t="shared" si="14"/>
        <v>0.14107948916744725</v>
      </c>
      <c r="Q148" s="61">
        <f t="shared" si="15"/>
        <v>2.5496595573800712E-2</v>
      </c>
    </row>
    <row r="149" spans="1:17">
      <c r="A149" s="23">
        <v>4584200</v>
      </c>
      <c r="B149" s="18">
        <v>942176</v>
      </c>
      <c r="C149" s="16" t="s">
        <v>167</v>
      </c>
      <c r="D149" s="67" t="s">
        <v>18</v>
      </c>
      <c r="E149" s="16">
        <v>159289</v>
      </c>
      <c r="F149" s="17">
        <v>20288</v>
      </c>
      <c r="G149" s="16">
        <v>1451</v>
      </c>
      <c r="H149" s="16">
        <v>12735</v>
      </c>
      <c r="I149" s="59">
        <f t="shared" si="11"/>
        <v>0.12736598258511259</v>
      </c>
      <c r="J149" s="59">
        <f t="shared" si="12"/>
        <v>9.1092291369774432E-3</v>
      </c>
      <c r="K149" s="59">
        <f t="shared" si="13"/>
        <v>7.9949023473058406E-2</v>
      </c>
      <c r="L149" s="73">
        <v>-1738521.270800008</v>
      </c>
      <c r="M149" s="73">
        <v>9079885.3269959837</v>
      </c>
      <c r="N149" s="73">
        <v>-1452101.7138999996</v>
      </c>
      <c r="O149" s="73">
        <v>13150707.091696994</v>
      </c>
      <c r="P149" s="61">
        <f t="shared" si="14"/>
        <v>0.19146951841242973</v>
      </c>
      <c r="Q149" s="61">
        <f t="shared" si="15"/>
        <v>0.11042004842589931</v>
      </c>
    </row>
    <row r="150" spans="1:17">
      <c r="A150" s="23">
        <v>4585100</v>
      </c>
      <c r="B150" s="18">
        <v>1131080</v>
      </c>
      <c r="C150" s="16" t="s">
        <v>168</v>
      </c>
      <c r="D150" s="67" t="s">
        <v>18</v>
      </c>
      <c r="E150" s="16">
        <v>195556</v>
      </c>
      <c r="F150" s="17">
        <v>27044</v>
      </c>
      <c r="G150" s="16">
        <v>0</v>
      </c>
      <c r="H150" s="16">
        <v>13492</v>
      </c>
      <c r="I150" s="59">
        <f t="shared" si="11"/>
        <v>0.1382928675162102</v>
      </c>
      <c r="J150" s="59">
        <f t="shared" si="12"/>
        <v>0</v>
      </c>
      <c r="K150" s="59">
        <f t="shared" si="13"/>
        <v>6.8993025015852236E-2</v>
      </c>
      <c r="L150" s="73">
        <v>-1080874.7424999916</v>
      </c>
      <c r="M150" s="73">
        <v>9312466.1341989823</v>
      </c>
      <c r="N150" s="73">
        <v>-942248.50120000122</v>
      </c>
      <c r="O150" s="73">
        <v>20949597.886597916</v>
      </c>
      <c r="P150" s="61">
        <f t="shared" si="14"/>
        <v>0.11606750853359894</v>
      </c>
      <c r="Q150" s="61">
        <f t="shared" si="15"/>
        <v>4.4976925394963584E-2</v>
      </c>
    </row>
    <row r="151" spans="1:17">
      <c r="A151" s="23">
        <v>4588100</v>
      </c>
      <c r="B151" s="18">
        <v>476235</v>
      </c>
      <c r="C151" s="16" t="s">
        <v>169</v>
      </c>
      <c r="D151" s="67" t="s">
        <v>20</v>
      </c>
      <c r="E151" s="16">
        <v>299834</v>
      </c>
      <c r="F151" s="17">
        <v>47990.999997999999</v>
      </c>
      <c r="G151" s="16">
        <v>6027</v>
      </c>
      <c r="H151" s="16">
        <v>27413.999995999999</v>
      </c>
      <c r="I151" s="59">
        <f t="shared" si="11"/>
        <v>0.16005856573303895</v>
      </c>
      <c r="J151" s="59">
        <f t="shared" si="12"/>
        <v>2.0101122621183722E-2</v>
      </c>
      <c r="K151" s="59">
        <f t="shared" si="13"/>
        <v>9.1430591580674639E-2</v>
      </c>
      <c r="L151" s="73">
        <v>-2444857.3135000234</v>
      </c>
      <c r="M151" s="73">
        <v>22849061.092899855</v>
      </c>
      <c r="N151" s="73">
        <v>-1230682.9584000006</v>
      </c>
      <c r="O151" s="73">
        <v>45219185.338496454</v>
      </c>
      <c r="P151" s="61">
        <f t="shared" si="14"/>
        <v>0.10700034034482675</v>
      </c>
      <c r="Q151" s="61">
        <f t="shared" si="15"/>
        <v>2.7215947151358409E-2</v>
      </c>
    </row>
    <row r="152" spans="1:17">
      <c r="A152" s="23">
        <v>4678800</v>
      </c>
      <c r="B152" s="18">
        <v>989241</v>
      </c>
      <c r="C152" s="16" t="s">
        <v>170</v>
      </c>
      <c r="D152" s="67" t="s">
        <v>18</v>
      </c>
      <c r="E152" s="16">
        <v>196592</v>
      </c>
      <c r="F152" s="17">
        <v>21854</v>
      </c>
      <c r="G152" s="16">
        <v>2510</v>
      </c>
      <c r="H152" s="16">
        <v>24857</v>
      </c>
      <c r="I152" s="59">
        <f t="shared" si="11"/>
        <v>0.11116423862619028</v>
      </c>
      <c r="J152" s="59">
        <f t="shared" si="12"/>
        <v>1.2767559208919997E-2</v>
      </c>
      <c r="K152" s="59">
        <f t="shared" si="13"/>
        <v>0.12643952958411328</v>
      </c>
      <c r="L152" s="73">
        <v>-1833545.1599999943</v>
      </c>
      <c r="M152" s="73">
        <v>16942920.996199917</v>
      </c>
      <c r="N152" s="73">
        <v>-1454192.8186000015</v>
      </c>
      <c r="O152" s="73">
        <v>23881280.252300989</v>
      </c>
      <c r="P152" s="61">
        <f t="shared" si="14"/>
        <v>0.10821895235250376</v>
      </c>
      <c r="Q152" s="61">
        <f t="shared" si="15"/>
        <v>6.089258210769033E-2</v>
      </c>
    </row>
    <row r="153" spans="1:17">
      <c r="A153" s="23">
        <v>4679200</v>
      </c>
      <c r="B153" s="18">
        <v>1107485</v>
      </c>
      <c r="C153" s="16" t="s">
        <v>171</v>
      </c>
      <c r="D153" s="67" t="s">
        <v>18</v>
      </c>
      <c r="E153" s="16">
        <v>402129</v>
      </c>
      <c r="F153" s="17">
        <v>88768.000002999994</v>
      </c>
      <c r="G153" s="16">
        <v>8410</v>
      </c>
      <c r="H153" s="16">
        <v>65660.000006000002</v>
      </c>
      <c r="I153" s="59">
        <f t="shared" si="11"/>
        <v>0.22074508429633274</v>
      </c>
      <c r="J153" s="59">
        <f t="shared" si="12"/>
        <v>2.0913686901466944E-2</v>
      </c>
      <c r="K153" s="59">
        <f t="shared" si="13"/>
        <v>0.16328093722661136</v>
      </c>
      <c r="L153" s="73">
        <v>-4105002.3605000279</v>
      </c>
      <c r="M153" s="73">
        <v>56490476.946603328</v>
      </c>
      <c r="N153" s="73">
        <v>-2516494.396600008</v>
      </c>
      <c r="O153" s="73">
        <v>159403217.09350845</v>
      </c>
      <c r="P153" s="61">
        <f t="shared" si="14"/>
        <v>7.2667157056935675E-2</v>
      </c>
      <c r="Q153" s="61">
        <f t="shared" si="15"/>
        <v>1.5786973704073944E-2</v>
      </c>
    </row>
    <row r="154" spans="1:17">
      <c r="A154" s="23">
        <v>4680200</v>
      </c>
      <c r="B154" s="18">
        <v>730403</v>
      </c>
      <c r="C154" s="16" t="s">
        <v>172</v>
      </c>
      <c r="D154" s="67" t="s">
        <v>18</v>
      </c>
      <c r="E154" s="16">
        <v>315104</v>
      </c>
      <c r="F154" s="17">
        <v>65884.000001000008</v>
      </c>
      <c r="G154" s="16">
        <v>6991.0000030000001</v>
      </c>
      <c r="H154" s="16">
        <v>67353.000002000001</v>
      </c>
      <c r="I154" s="59">
        <f t="shared" si="11"/>
        <v>0.20908652381753329</v>
      </c>
      <c r="J154" s="59">
        <f t="shared" si="12"/>
        <v>2.2186325794023562E-2</v>
      </c>
      <c r="K154" s="59">
        <f t="shared" si="13"/>
        <v>0.21374847669975627</v>
      </c>
      <c r="L154" s="73">
        <v>-3793489.8669000054</v>
      </c>
      <c r="M154" s="73">
        <v>57821723.472696297</v>
      </c>
      <c r="N154" s="73">
        <v>-2698142.4339000033</v>
      </c>
      <c r="O154" s="73">
        <v>115977057.56749657</v>
      </c>
      <c r="P154" s="61">
        <f t="shared" si="14"/>
        <v>6.5606655060901284E-2</v>
      </c>
      <c r="Q154" s="61">
        <f t="shared" si="15"/>
        <v>2.3264449801459506E-2</v>
      </c>
    </row>
    <row r="155" spans="1:17">
      <c r="A155" s="23">
        <v>4683200</v>
      </c>
      <c r="B155" s="18">
        <v>1070584</v>
      </c>
      <c r="C155" s="16" t="s">
        <v>173</v>
      </c>
      <c r="D155" s="67" t="s">
        <v>31</v>
      </c>
      <c r="E155" s="16">
        <v>127636</v>
      </c>
      <c r="F155" s="17">
        <v>8165</v>
      </c>
      <c r="G155" s="16">
        <v>0</v>
      </c>
      <c r="H155" s="16">
        <v>0</v>
      </c>
      <c r="I155" s="59">
        <f t="shared" si="11"/>
        <v>6.3970979974301914E-2</v>
      </c>
      <c r="J155" s="59">
        <f t="shared" si="12"/>
        <v>0</v>
      </c>
      <c r="K155" s="59">
        <f t="shared" si="13"/>
        <v>0</v>
      </c>
      <c r="L155" s="73">
        <v>-8720.09</v>
      </c>
      <c r="M155" s="73">
        <v>142168.65760000001</v>
      </c>
      <c r="N155" s="73">
        <v>-381360.6963999999</v>
      </c>
      <c r="O155" s="73">
        <v>16225924.493799929</v>
      </c>
      <c r="P155" s="61">
        <f t="shared" si="14"/>
        <v>6.133623364816803E-2</v>
      </c>
      <c r="Q155" s="61">
        <f t="shared" si="15"/>
        <v>2.3503172133317967E-2</v>
      </c>
    </row>
    <row r="156" spans="1:17">
      <c r="A156" s="23">
        <v>4685500</v>
      </c>
      <c r="B156" s="18">
        <v>439022</v>
      </c>
      <c r="C156" s="16" t="s">
        <v>174</v>
      </c>
      <c r="D156" s="67" t="s">
        <v>31</v>
      </c>
      <c r="E156" s="16">
        <v>82027</v>
      </c>
      <c r="F156" s="17">
        <v>5718</v>
      </c>
      <c r="G156" s="16">
        <v>0</v>
      </c>
      <c r="H156" s="16">
        <v>0</v>
      </c>
      <c r="I156" s="59">
        <f t="shared" si="11"/>
        <v>6.9708754434515463E-2</v>
      </c>
      <c r="J156" s="59">
        <f t="shared" si="12"/>
        <v>0</v>
      </c>
      <c r="K156" s="59">
        <f t="shared" si="13"/>
        <v>0</v>
      </c>
      <c r="L156" s="73">
        <v>0</v>
      </c>
      <c r="M156" s="73">
        <v>16920.472900000001</v>
      </c>
      <c r="N156" s="73">
        <v>-63416.328600000001</v>
      </c>
      <c r="O156" s="73">
        <v>7440565.6534000179</v>
      </c>
      <c r="P156" s="61">
        <f t="shared" si="14"/>
        <v>0</v>
      </c>
      <c r="Q156" s="61">
        <f t="shared" si="15"/>
        <v>8.5230520842217786E-3</v>
      </c>
    </row>
    <row r="157" spans="1:17">
      <c r="A157" s="23">
        <v>4687300</v>
      </c>
      <c r="B157" s="18">
        <v>409072</v>
      </c>
      <c r="C157" s="16" t="s">
        <v>175</v>
      </c>
      <c r="D157" s="67" t="s">
        <v>18</v>
      </c>
      <c r="E157" s="16">
        <v>223374</v>
      </c>
      <c r="F157" s="17">
        <v>44355</v>
      </c>
      <c r="G157" s="16">
        <v>3014</v>
      </c>
      <c r="H157" s="16">
        <v>23991.999997999999</v>
      </c>
      <c r="I157" s="59">
        <f t="shared" si="11"/>
        <v>0.19856832039539069</v>
      </c>
      <c r="J157" s="59">
        <f t="shared" si="12"/>
        <v>1.3493065441815073E-2</v>
      </c>
      <c r="K157" s="59">
        <f t="shared" si="13"/>
        <v>0.10740730791408132</v>
      </c>
      <c r="L157" s="73">
        <v>-1870192.7206000173</v>
      </c>
      <c r="M157" s="73">
        <v>18203613.496699005</v>
      </c>
      <c r="N157" s="73">
        <v>-1651980.8357999995</v>
      </c>
      <c r="O157" s="73">
        <v>21045530.076591831</v>
      </c>
      <c r="P157" s="61">
        <f t="shared" si="14"/>
        <v>0.10273744391129558</v>
      </c>
      <c r="Q157" s="61">
        <f t="shared" si="15"/>
        <v>7.8495567932377108E-2</v>
      </c>
    </row>
    <row r="158" spans="1:17">
      <c r="A158" s="23">
        <v>4690600</v>
      </c>
      <c r="B158" s="18">
        <v>1057451</v>
      </c>
      <c r="C158" s="16" t="s">
        <v>176</v>
      </c>
      <c r="D158" s="67" t="s">
        <v>18</v>
      </c>
      <c r="E158" s="16">
        <v>205739</v>
      </c>
      <c r="F158" s="17">
        <v>33716</v>
      </c>
      <c r="G158" s="16">
        <v>0</v>
      </c>
      <c r="H158" s="16">
        <v>24903.999999</v>
      </c>
      <c r="I158" s="59">
        <f t="shared" si="11"/>
        <v>0.1638775341573547</v>
      </c>
      <c r="J158" s="59">
        <f t="shared" si="12"/>
        <v>0</v>
      </c>
      <c r="K158" s="59">
        <f t="shared" si="13"/>
        <v>0.12104656870598185</v>
      </c>
      <c r="L158" s="73">
        <v>-1270846.9224999992</v>
      </c>
      <c r="M158" s="73">
        <v>15259696.417399934</v>
      </c>
      <c r="N158" s="73">
        <v>-2013870.9045999979</v>
      </c>
      <c r="O158" s="73">
        <v>18844880.47729988</v>
      </c>
      <c r="P158" s="61">
        <f t="shared" si="14"/>
        <v>8.3281271641217625E-2</v>
      </c>
      <c r="Q158" s="61">
        <f t="shared" si="15"/>
        <v>0.10686567670332861</v>
      </c>
    </row>
    <row r="159" spans="1:17">
      <c r="A159" s="23">
        <v>4693900</v>
      </c>
      <c r="B159" s="18">
        <v>338875</v>
      </c>
      <c r="C159" s="16" t="s">
        <v>177</v>
      </c>
      <c r="D159" s="67" t="s">
        <v>31</v>
      </c>
      <c r="E159" s="16">
        <v>123341</v>
      </c>
      <c r="F159" s="17">
        <v>4305</v>
      </c>
      <c r="G159" s="16">
        <v>0</v>
      </c>
      <c r="H159" s="16">
        <v>0</v>
      </c>
      <c r="I159" s="59">
        <f t="shared" si="11"/>
        <v>3.4903235744805056E-2</v>
      </c>
      <c r="J159" s="59">
        <f t="shared" si="12"/>
        <v>0</v>
      </c>
      <c r="K159" s="59">
        <f t="shared" si="13"/>
        <v>0</v>
      </c>
      <c r="L159" s="73">
        <v>-68015.747899999988</v>
      </c>
      <c r="M159" s="73">
        <v>3956.6956000000005</v>
      </c>
      <c r="N159" s="73">
        <v>-354023.1075999997</v>
      </c>
      <c r="O159" s="73">
        <v>9446183.0832000133</v>
      </c>
      <c r="P159" s="61">
        <v>0</v>
      </c>
      <c r="Q159" s="61">
        <f t="shared" si="15"/>
        <v>3.7477900278010484E-2</v>
      </c>
    </row>
    <row r="160" spans="1:17">
      <c r="A160" s="23">
        <v>4695000</v>
      </c>
      <c r="B160" s="18">
        <v>496351</v>
      </c>
      <c r="C160" s="16" t="s">
        <v>178</v>
      </c>
      <c r="D160" s="67" t="s">
        <v>18</v>
      </c>
      <c r="E160" s="16">
        <v>114803</v>
      </c>
      <c r="F160" s="17">
        <v>14342</v>
      </c>
      <c r="G160" s="16">
        <v>0</v>
      </c>
      <c r="H160" s="16">
        <v>14508</v>
      </c>
      <c r="I160" s="59">
        <f t="shared" si="11"/>
        <v>0.12492704894471399</v>
      </c>
      <c r="J160" s="59">
        <f t="shared" si="12"/>
        <v>0</v>
      </c>
      <c r="K160" s="59">
        <f t="shared" si="13"/>
        <v>0.12637300418978598</v>
      </c>
      <c r="L160" s="73">
        <v>-677075.24300000037</v>
      </c>
      <c r="M160" s="73">
        <v>9014441.1257999931</v>
      </c>
      <c r="N160" s="73">
        <v>-803461.15080000029</v>
      </c>
      <c r="O160" s="73">
        <v>24075861.937699784</v>
      </c>
      <c r="P160" s="61">
        <f t="shared" si="14"/>
        <v>7.511006323643972E-2</v>
      </c>
      <c r="Q160" s="61">
        <f t="shared" si="15"/>
        <v>3.3372061730503645E-2</v>
      </c>
    </row>
    <row r="161" spans="1:17">
      <c r="A161" s="23">
        <v>4695200</v>
      </c>
      <c r="B161" s="18">
        <v>276421</v>
      </c>
      <c r="C161" s="16" t="s">
        <v>179</v>
      </c>
      <c r="D161" s="67" t="s">
        <v>18</v>
      </c>
      <c r="E161" s="16">
        <v>234812</v>
      </c>
      <c r="F161" s="17">
        <v>29060</v>
      </c>
      <c r="G161" s="16">
        <v>54</v>
      </c>
      <c r="H161" s="16">
        <v>17928</v>
      </c>
      <c r="I161" s="59">
        <f t="shared" si="11"/>
        <v>0.12375858133315162</v>
      </c>
      <c r="J161" s="59">
        <f t="shared" si="12"/>
        <v>2.2997121101136228E-4</v>
      </c>
      <c r="K161" s="59">
        <f t="shared" si="13"/>
        <v>7.635044205577228E-2</v>
      </c>
      <c r="L161" s="73">
        <v>-1544844.268200011</v>
      </c>
      <c r="M161" s="73">
        <v>12958177.127399979</v>
      </c>
      <c r="N161" s="73">
        <v>-1384691.668899999</v>
      </c>
      <c r="O161" s="73">
        <v>28430894.320099682</v>
      </c>
      <c r="P161" s="61">
        <f t="shared" si="14"/>
        <v>0.11921771503905809</v>
      </c>
      <c r="Q161" s="61">
        <f t="shared" si="15"/>
        <v>4.8703767574453993E-2</v>
      </c>
    </row>
    <row r="162" spans="1:17">
      <c r="A162" s="23">
        <v>4700200</v>
      </c>
      <c r="B162" s="18">
        <v>530181</v>
      </c>
      <c r="C162" s="16" t="s">
        <v>180</v>
      </c>
      <c r="D162" s="67" t="s">
        <v>20</v>
      </c>
      <c r="E162" s="16">
        <v>229933</v>
      </c>
      <c r="F162" s="17">
        <v>34834.000003000001</v>
      </c>
      <c r="G162" s="16">
        <v>4135</v>
      </c>
      <c r="H162" s="16">
        <v>21098.999999</v>
      </c>
      <c r="I162" s="59">
        <f t="shared" si="11"/>
        <v>0.15149630545854662</v>
      </c>
      <c r="J162" s="59">
        <f t="shared" si="12"/>
        <v>1.7983499541170688E-2</v>
      </c>
      <c r="K162" s="59">
        <f t="shared" si="13"/>
        <v>9.1761513132086303E-2</v>
      </c>
      <c r="L162" s="73">
        <v>-2626471.0510000256</v>
      </c>
      <c r="M162" s="73">
        <v>17352486.516499944</v>
      </c>
      <c r="N162" s="73">
        <v>-1266604.0155999982</v>
      </c>
      <c r="O162" s="73">
        <v>17006630.142202895</v>
      </c>
      <c r="P162" s="61">
        <f t="shared" si="14"/>
        <v>0.15135992461383532</v>
      </c>
      <c r="Q162" s="61">
        <f t="shared" si="15"/>
        <v>7.4477071883679649E-2</v>
      </c>
    </row>
    <row r="163" spans="1:17">
      <c r="A163" s="23">
        <v>4703500</v>
      </c>
      <c r="B163" s="18">
        <v>275128</v>
      </c>
      <c r="C163" s="16" t="s">
        <v>181</v>
      </c>
      <c r="D163" s="67" t="s">
        <v>31</v>
      </c>
      <c r="E163" s="16">
        <v>76347</v>
      </c>
      <c r="F163" s="17">
        <v>2429</v>
      </c>
      <c r="G163" s="16">
        <v>0</v>
      </c>
      <c r="H163" s="16">
        <v>0</v>
      </c>
      <c r="I163" s="59">
        <f t="shared" si="11"/>
        <v>3.1815264515960028E-2</v>
      </c>
      <c r="J163" s="59">
        <f t="shared" si="12"/>
        <v>0</v>
      </c>
      <c r="K163" s="59">
        <f t="shared" si="13"/>
        <v>0</v>
      </c>
      <c r="L163" s="73">
        <v>-94660.581700000024</v>
      </c>
      <c r="M163" s="73">
        <v>0</v>
      </c>
      <c r="N163" s="73">
        <v>-260296.43049999996</v>
      </c>
      <c r="O163" s="73">
        <v>7660432.9731990248</v>
      </c>
      <c r="P163" s="61">
        <v>0</v>
      </c>
      <c r="Q163" s="61">
        <f t="shared" si="15"/>
        <v>3.3979336600252139E-2</v>
      </c>
    </row>
    <row r="164" spans="1:17">
      <c r="A164" s="23">
        <v>4705400</v>
      </c>
      <c r="B164" s="18">
        <v>861319</v>
      </c>
      <c r="C164" s="16" t="s">
        <v>182</v>
      </c>
      <c r="D164" s="67" t="s">
        <v>18</v>
      </c>
      <c r="E164" s="16">
        <v>195589</v>
      </c>
      <c r="F164" s="17">
        <v>25783.000001</v>
      </c>
      <c r="G164" s="16">
        <v>2497</v>
      </c>
      <c r="H164" s="16">
        <v>22005.000001</v>
      </c>
      <c r="I164" s="59">
        <f t="shared" si="11"/>
        <v>0.13182234175234803</v>
      </c>
      <c r="J164" s="59">
        <f t="shared" si="12"/>
        <v>1.2766566626957548E-2</v>
      </c>
      <c r="K164" s="59">
        <f t="shared" si="13"/>
        <v>0.11250632704804463</v>
      </c>
      <c r="L164" s="73">
        <v>-1805647.3558999954</v>
      </c>
      <c r="M164" s="73">
        <v>16997073.650699966</v>
      </c>
      <c r="N164" s="73">
        <v>-1345388.4375999998</v>
      </c>
      <c r="O164" s="73">
        <v>36366459.37179473</v>
      </c>
      <c r="P164" s="61">
        <f t="shared" si="14"/>
        <v>0.10623283707578898</v>
      </c>
      <c r="Q164" s="61">
        <f t="shared" si="15"/>
        <v>3.6995309987297317E-2</v>
      </c>
    </row>
    <row r="165" spans="1:17">
      <c r="A165" s="23">
        <v>4707600</v>
      </c>
      <c r="B165" s="18">
        <v>386496</v>
      </c>
      <c r="C165" s="16" t="s">
        <v>183</v>
      </c>
      <c r="D165" s="67" t="s">
        <v>20</v>
      </c>
      <c r="E165" s="16">
        <v>274909</v>
      </c>
      <c r="F165" s="17">
        <v>39267.000002000001</v>
      </c>
      <c r="G165" s="16">
        <v>7971</v>
      </c>
      <c r="H165" s="16">
        <v>36943</v>
      </c>
      <c r="I165" s="59">
        <f t="shared" si="11"/>
        <v>0.14283635676532963</v>
      </c>
      <c r="J165" s="59">
        <f t="shared" si="12"/>
        <v>2.8995049270849626E-2</v>
      </c>
      <c r="K165" s="59">
        <f t="shared" si="13"/>
        <v>0.13438265025881291</v>
      </c>
      <c r="L165" s="73">
        <v>-3716668.0956000444</v>
      </c>
      <c r="M165" s="73">
        <v>32008750.168098897</v>
      </c>
      <c r="N165" s="73">
        <v>-610245.0499000001</v>
      </c>
      <c r="O165" s="73">
        <v>59188384.246101454</v>
      </c>
      <c r="P165" s="61">
        <f t="shared" si="14"/>
        <v>0.11611412742082673</v>
      </c>
      <c r="Q165" s="61">
        <f t="shared" si="15"/>
        <v>1.031021639926241E-2</v>
      </c>
    </row>
    <row r="166" spans="1:17">
      <c r="A166" s="23">
        <v>4710900</v>
      </c>
      <c r="B166" s="18">
        <v>347648</v>
      </c>
      <c r="C166" s="16" t="s">
        <v>184</v>
      </c>
      <c r="D166" s="67" t="s">
        <v>20</v>
      </c>
      <c r="E166" s="16">
        <v>175696</v>
      </c>
      <c r="F166" s="17">
        <v>20277</v>
      </c>
      <c r="G166" s="16">
        <v>3336</v>
      </c>
      <c r="H166" s="16">
        <v>17062</v>
      </c>
      <c r="I166" s="59">
        <f t="shared" si="11"/>
        <v>0.11540957107731536</v>
      </c>
      <c r="J166" s="59">
        <f t="shared" si="12"/>
        <v>1.8987341772151899E-2</v>
      </c>
      <c r="K166" s="59">
        <f t="shared" si="13"/>
        <v>9.7110918859848835E-2</v>
      </c>
      <c r="L166" s="73">
        <v>-2549842.6288000215</v>
      </c>
      <c r="M166" s="73">
        <v>15278115.666600974</v>
      </c>
      <c r="N166" s="73">
        <v>-1209409.4012999986</v>
      </c>
      <c r="O166" s="73">
        <v>13963166.054699974</v>
      </c>
      <c r="P166" s="61">
        <f t="shared" si="14"/>
        <v>0.16689509913674466</v>
      </c>
      <c r="Q166" s="61">
        <f t="shared" si="15"/>
        <v>8.6614267606802103E-2</v>
      </c>
    </row>
    <row r="167" spans="1:17">
      <c r="A167" s="23">
        <v>4713100</v>
      </c>
      <c r="B167" s="18">
        <v>545903</v>
      </c>
      <c r="C167" s="16" t="s">
        <v>185</v>
      </c>
      <c r="D167" s="67" t="s">
        <v>20</v>
      </c>
      <c r="E167" s="16">
        <v>212207</v>
      </c>
      <c r="F167" s="17">
        <v>30946</v>
      </c>
      <c r="G167" s="16">
        <v>7394</v>
      </c>
      <c r="H167" s="16">
        <v>29437</v>
      </c>
      <c r="I167" s="59">
        <f t="shared" si="11"/>
        <v>0.14582930817550788</v>
      </c>
      <c r="J167" s="59">
        <f t="shared" si="12"/>
        <v>3.4843336930449983E-2</v>
      </c>
      <c r="K167" s="59">
        <f t="shared" si="13"/>
        <v>0.13871832691664271</v>
      </c>
      <c r="L167" s="73">
        <v>-2213838.9111000048</v>
      </c>
      <c r="M167" s="73">
        <v>25205443.905596819</v>
      </c>
      <c r="N167" s="73">
        <v>-510609.8354999997</v>
      </c>
      <c r="O167" s="73">
        <v>30257314.983199734</v>
      </c>
      <c r="P167" s="61">
        <f t="shared" si="14"/>
        <v>8.7831776317513155E-2</v>
      </c>
      <c r="Q167" s="61">
        <f t="shared" si="15"/>
        <v>1.6875583170004146E-2</v>
      </c>
    </row>
    <row r="168" spans="1:17">
      <c r="A168" s="23">
        <v>4779100</v>
      </c>
      <c r="B168" s="18">
        <v>397475</v>
      </c>
      <c r="C168" s="16" t="s">
        <v>186</v>
      </c>
      <c r="D168" s="67" t="s">
        <v>20</v>
      </c>
      <c r="E168" s="16">
        <v>286788</v>
      </c>
      <c r="F168" s="17">
        <v>59301</v>
      </c>
      <c r="G168" s="16">
        <v>8882.9999989999997</v>
      </c>
      <c r="H168" s="16">
        <v>40470.000001</v>
      </c>
      <c r="I168" s="59">
        <f t="shared" si="11"/>
        <v>0.20677643416042513</v>
      </c>
      <c r="J168" s="59">
        <f t="shared" si="12"/>
        <v>3.0974099331213298E-2</v>
      </c>
      <c r="K168" s="59">
        <f t="shared" si="13"/>
        <v>0.14111469099474175</v>
      </c>
      <c r="L168" s="73">
        <v>-2333235.9923000159</v>
      </c>
      <c r="M168" s="73">
        <v>36206991.080804095</v>
      </c>
      <c r="N168" s="73">
        <v>-1665533.4766999981</v>
      </c>
      <c r="O168" s="73">
        <v>49565278.44050236</v>
      </c>
      <c r="P168" s="61">
        <f t="shared" si="14"/>
        <v>6.4441587733509026E-2</v>
      </c>
      <c r="Q168" s="61">
        <f t="shared" si="15"/>
        <v>3.3602827001149346E-2</v>
      </c>
    </row>
    <row r="169" spans="1:17">
      <c r="A169" s="23">
        <v>4779500</v>
      </c>
      <c r="B169" s="18">
        <v>800929</v>
      </c>
      <c r="C169" s="16" t="s">
        <v>187</v>
      </c>
      <c r="D169" s="67" t="s">
        <v>20</v>
      </c>
      <c r="E169" s="16">
        <v>293904</v>
      </c>
      <c r="F169" s="17">
        <v>65786.000002000001</v>
      </c>
      <c r="G169" s="16">
        <v>10206</v>
      </c>
      <c r="H169" s="16">
        <v>37427.999999</v>
      </c>
      <c r="I169" s="59">
        <f t="shared" si="11"/>
        <v>0.22383499374625729</v>
      </c>
      <c r="J169" s="59">
        <f t="shared" si="12"/>
        <v>3.472562469377756E-2</v>
      </c>
      <c r="K169" s="59">
        <f t="shared" si="13"/>
        <v>0.1273477053697806</v>
      </c>
      <c r="L169" s="73">
        <v>-3985681.4276000829</v>
      </c>
      <c r="M169" s="73">
        <v>32426600.174398657</v>
      </c>
      <c r="N169" s="73">
        <v>-1176133.1105999984</v>
      </c>
      <c r="O169" s="73">
        <v>58601780.869698845</v>
      </c>
      <c r="P169" s="61">
        <f t="shared" si="14"/>
        <v>0.12291394738159583</v>
      </c>
      <c r="Q169" s="61">
        <f t="shared" si="15"/>
        <v>2.0069920967335998E-2</v>
      </c>
    </row>
    <row r="170" spans="1:17">
      <c r="A170" s="23">
        <v>4790900</v>
      </c>
      <c r="B170" s="18">
        <v>591641</v>
      </c>
      <c r="C170" s="16" t="s">
        <v>188</v>
      </c>
      <c r="D170" s="67" t="s">
        <v>18</v>
      </c>
      <c r="E170" s="16">
        <v>228738</v>
      </c>
      <c r="F170" s="17">
        <v>34748</v>
      </c>
      <c r="G170" s="16">
        <v>2147</v>
      </c>
      <c r="H170" s="16">
        <v>25424</v>
      </c>
      <c r="I170" s="59">
        <f t="shared" si="11"/>
        <v>0.15191179427991852</v>
      </c>
      <c r="J170" s="59">
        <f t="shared" si="12"/>
        <v>9.3862847449920871E-3</v>
      </c>
      <c r="K170" s="59">
        <f t="shared" si="13"/>
        <v>0.11114900016612893</v>
      </c>
      <c r="L170" s="73">
        <v>-904010.54269999918</v>
      </c>
      <c r="M170" s="73">
        <v>18605436.38200001</v>
      </c>
      <c r="N170" s="73">
        <v>-650626.87299999944</v>
      </c>
      <c r="O170" s="73">
        <v>26480876.203299668</v>
      </c>
      <c r="P170" s="61">
        <f t="shared" si="14"/>
        <v>4.8588515965935199E-2</v>
      </c>
      <c r="Q170" s="61">
        <f t="shared" si="15"/>
        <v>2.4569688253703918E-2</v>
      </c>
    </row>
    <row r="171" spans="1:17">
      <c r="A171" s="23">
        <v>4793500</v>
      </c>
      <c r="B171" s="18">
        <v>772904</v>
      </c>
      <c r="C171" s="16" t="s">
        <v>189</v>
      </c>
      <c r="D171" s="67" t="s">
        <v>20</v>
      </c>
      <c r="E171" s="16">
        <v>275603</v>
      </c>
      <c r="F171" s="17">
        <v>32576</v>
      </c>
      <c r="G171" s="16">
        <v>6576.9999980000002</v>
      </c>
      <c r="H171" s="16">
        <v>27689</v>
      </c>
      <c r="I171" s="59">
        <f t="shared" si="11"/>
        <v>0.11819900363929275</v>
      </c>
      <c r="J171" s="59">
        <f t="shared" si="12"/>
        <v>2.3864036305845729E-2</v>
      </c>
      <c r="K171" s="59">
        <f t="shared" si="13"/>
        <v>0.10046697604888191</v>
      </c>
      <c r="L171" s="73">
        <v>-3147531.2530000373</v>
      </c>
      <c r="M171" s="73">
        <v>24690432.813401949</v>
      </c>
      <c r="N171" s="73">
        <v>-2717204.8992000022</v>
      </c>
      <c r="O171" s="73">
        <v>34743029.248997539</v>
      </c>
      <c r="P171" s="61">
        <f t="shared" si="14"/>
        <v>0.12747979254910266</v>
      </c>
      <c r="Q171" s="61">
        <f t="shared" si="15"/>
        <v>7.8208635168978635E-2</v>
      </c>
    </row>
    <row r="172" spans="1:17">
      <c r="A172" s="23">
        <v>4796200</v>
      </c>
      <c r="B172" s="18">
        <v>400002</v>
      </c>
      <c r="C172" s="16" t="s">
        <v>190</v>
      </c>
      <c r="D172" s="67" t="s">
        <v>20</v>
      </c>
      <c r="E172" s="16">
        <v>130965</v>
      </c>
      <c r="F172" s="17">
        <v>39035</v>
      </c>
      <c r="G172" s="16">
        <v>7411</v>
      </c>
      <c r="H172" s="16">
        <v>32751</v>
      </c>
      <c r="I172" s="59">
        <f t="shared" si="11"/>
        <v>0.29805673271484751</v>
      </c>
      <c r="J172" s="59">
        <f t="shared" si="12"/>
        <v>5.6587637918527854E-2</v>
      </c>
      <c r="K172" s="59">
        <f t="shared" si="13"/>
        <v>0.25007444737143514</v>
      </c>
      <c r="L172" s="73">
        <v>-2791616.2556000003</v>
      </c>
      <c r="M172" s="73">
        <v>37899299.213299483</v>
      </c>
      <c r="N172" s="73">
        <v>-1606145.8558000016</v>
      </c>
      <c r="O172" s="73">
        <v>54214400.594501019</v>
      </c>
      <c r="P172" s="61">
        <f t="shared" si="14"/>
        <v>7.3658782973495623E-2</v>
      </c>
      <c r="Q172" s="61">
        <f t="shared" si="15"/>
        <v>2.9625815985926687E-2</v>
      </c>
    </row>
    <row r="173" spans="1:17">
      <c r="A173" s="23">
        <v>4796300</v>
      </c>
      <c r="B173" s="18">
        <v>415162</v>
      </c>
      <c r="C173" s="16" t="s">
        <v>191</v>
      </c>
      <c r="D173" s="67" t="s">
        <v>20</v>
      </c>
      <c r="E173" s="16">
        <v>174226</v>
      </c>
      <c r="F173" s="17">
        <v>64259.999996999999</v>
      </c>
      <c r="G173" s="16">
        <v>10698.999999</v>
      </c>
      <c r="H173" s="16">
        <v>44334</v>
      </c>
      <c r="I173" s="59">
        <f t="shared" si="11"/>
        <v>0.36883128807985033</v>
      </c>
      <c r="J173" s="59">
        <f t="shared" si="12"/>
        <v>6.1408744957698616E-2</v>
      </c>
      <c r="K173" s="59">
        <f t="shared" si="13"/>
        <v>0.25446259456108733</v>
      </c>
      <c r="L173" s="73">
        <v>-3169872.4824999692</v>
      </c>
      <c r="M173" s="73">
        <v>53890436.107699044</v>
      </c>
      <c r="N173" s="73">
        <v>-1582744.3254</v>
      </c>
      <c r="O173" s="73">
        <v>74055473.947597727</v>
      </c>
      <c r="P173" s="61">
        <f t="shared" si="14"/>
        <v>5.8820687146881448E-2</v>
      </c>
      <c r="Q173" s="61">
        <f t="shared" si="15"/>
        <v>2.1372415042809165E-2</v>
      </c>
    </row>
    <row r="174" spans="1:17">
      <c r="A174" s="23">
        <v>4797200</v>
      </c>
      <c r="B174" s="18">
        <v>490460</v>
      </c>
      <c r="C174" s="16" t="s">
        <v>192</v>
      </c>
      <c r="D174" s="67" t="s">
        <v>31</v>
      </c>
      <c r="E174" s="16">
        <v>95135</v>
      </c>
      <c r="F174" s="17">
        <v>10856</v>
      </c>
      <c r="G174" s="16">
        <v>0</v>
      </c>
      <c r="H174" s="16">
        <v>12588</v>
      </c>
      <c r="I174" s="59">
        <f t="shared" si="11"/>
        <v>0.11411152572659905</v>
      </c>
      <c r="J174" s="59">
        <f t="shared" si="12"/>
        <v>0</v>
      </c>
      <c r="K174" s="59">
        <f t="shared" si="13"/>
        <v>0.13231723340516108</v>
      </c>
      <c r="L174" s="73">
        <v>-949794.34879999643</v>
      </c>
      <c r="M174" s="73">
        <v>8528057.2540999781</v>
      </c>
      <c r="N174" s="73">
        <v>-2045895.3968000007</v>
      </c>
      <c r="O174" s="73">
        <v>14031844.292499976</v>
      </c>
      <c r="P174" s="61">
        <f t="shared" si="14"/>
        <v>0.11137288605131843</v>
      </c>
      <c r="Q174" s="61">
        <f t="shared" si="15"/>
        <v>0.14580374141505634</v>
      </c>
    </row>
    <row r="175" spans="1:17">
      <c r="A175" s="23">
        <v>4798300</v>
      </c>
      <c r="B175" s="18">
        <v>328568</v>
      </c>
      <c r="C175" s="16" t="s">
        <v>193</v>
      </c>
      <c r="D175" s="67" t="s">
        <v>20</v>
      </c>
      <c r="E175" s="16">
        <v>153035</v>
      </c>
      <c r="F175" s="17">
        <v>22420.000001</v>
      </c>
      <c r="G175" s="16">
        <v>4638</v>
      </c>
      <c r="H175" s="16">
        <v>13451</v>
      </c>
      <c r="I175" s="59">
        <f t="shared" si="11"/>
        <v>0.1465024340902408</v>
      </c>
      <c r="J175" s="59">
        <f t="shared" si="12"/>
        <v>3.0306792563792595E-2</v>
      </c>
      <c r="K175" s="59">
        <f t="shared" si="13"/>
        <v>8.7894925997320877E-2</v>
      </c>
      <c r="L175" s="73">
        <v>-2852796.3038000311</v>
      </c>
      <c r="M175" s="73">
        <v>14491476.70819997</v>
      </c>
      <c r="N175" s="73">
        <v>-1316923.8964000002</v>
      </c>
      <c r="O175" s="73">
        <v>18848971.349400032</v>
      </c>
      <c r="P175" s="61">
        <f t="shared" si="14"/>
        <v>0.19686028975817091</v>
      </c>
      <c r="Q175" s="61">
        <f t="shared" si="15"/>
        <v>6.9867149351994645E-2</v>
      </c>
    </row>
    <row r="176" spans="1:17">
      <c r="A176" s="23">
        <v>4799400</v>
      </c>
      <c r="B176" s="18">
        <v>1087367</v>
      </c>
      <c r="C176" s="16" t="s">
        <v>194</v>
      </c>
      <c r="D176" s="67" t="s">
        <v>20</v>
      </c>
      <c r="E176" s="16">
        <v>248277</v>
      </c>
      <c r="F176" s="17">
        <v>28051.000001</v>
      </c>
      <c r="G176" s="16">
        <v>4988.9999990000006</v>
      </c>
      <c r="H176" s="16">
        <v>16818.999999</v>
      </c>
      <c r="I176" s="59">
        <f t="shared" si="11"/>
        <v>0.11298267661120442</v>
      </c>
      <c r="J176" s="59">
        <f t="shared" si="12"/>
        <v>2.009449122955409E-2</v>
      </c>
      <c r="K176" s="59">
        <f t="shared" si="13"/>
        <v>6.7742883952198546E-2</v>
      </c>
      <c r="L176" s="73">
        <v>-3310389.9863000256</v>
      </c>
      <c r="M176" s="73">
        <v>14958187.605096951</v>
      </c>
      <c r="N176" s="73">
        <v>-2356232.2111000004</v>
      </c>
      <c r="O176" s="73">
        <v>29763326.403797608</v>
      </c>
      <c r="P176" s="61">
        <f t="shared" si="14"/>
        <v>0.22130956461409948</v>
      </c>
      <c r="Q176" s="61">
        <f t="shared" si="15"/>
        <v>7.9165620775484308E-2</v>
      </c>
    </row>
    <row r="177" spans="1:17">
      <c r="A177" s="23">
        <v>4808200</v>
      </c>
      <c r="B177" s="18">
        <v>376175</v>
      </c>
      <c r="C177" s="16" t="s">
        <v>195</v>
      </c>
      <c r="D177" s="67" t="s">
        <v>20</v>
      </c>
      <c r="E177" s="16">
        <v>215561</v>
      </c>
      <c r="F177" s="17">
        <v>15907</v>
      </c>
      <c r="G177" s="16">
        <v>4389</v>
      </c>
      <c r="H177" s="16">
        <v>22570</v>
      </c>
      <c r="I177" s="59">
        <f t="shared" si="11"/>
        <v>7.3793496968375547E-2</v>
      </c>
      <c r="J177" s="59">
        <f t="shared" si="12"/>
        <v>2.0360825937901568E-2</v>
      </c>
      <c r="K177" s="59">
        <f t="shared" si="13"/>
        <v>0.10470354099303678</v>
      </c>
      <c r="L177" s="73">
        <v>-2213618.1898000119</v>
      </c>
      <c r="M177" s="73">
        <v>19612157.789299905</v>
      </c>
      <c r="N177" s="73">
        <v>-609548.14520000003</v>
      </c>
      <c r="O177" s="73">
        <v>22444841.984100763</v>
      </c>
      <c r="P177" s="61">
        <f t="shared" si="14"/>
        <v>0.11286969101419979</v>
      </c>
      <c r="Q177" s="61">
        <f t="shared" si="15"/>
        <v>2.7157604657309917E-2</v>
      </c>
    </row>
    <row r="178" spans="1:17">
      <c r="A178" s="23">
        <v>4878300</v>
      </c>
      <c r="B178" s="18">
        <v>1043260</v>
      </c>
      <c r="C178" s="16" t="s">
        <v>196</v>
      </c>
      <c r="D178" s="67" t="s">
        <v>18</v>
      </c>
      <c r="E178" s="16">
        <v>226457</v>
      </c>
      <c r="F178" s="17">
        <v>40093.000002000001</v>
      </c>
      <c r="G178" s="16">
        <v>0</v>
      </c>
      <c r="H178" s="16">
        <v>27295.000002000001</v>
      </c>
      <c r="I178" s="59">
        <f t="shared" si="11"/>
        <v>0.17704464866177685</v>
      </c>
      <c r="J178" s="59">
        <f t="shared" si="12"/>
        <v>0</v>
      </c>
      <c r="K178" s="59">
        <f t="shared" si="13"/>
        <v>0.12053060846871592</v>
      </c>
      <c r="L178" s="73">
        <v>-1969811.799099993</v>
      </c>
      <c r="M178" s="73">
        <v>19298141.096301988</v>
      </c>
      <c r="N178" s="73">
        <v>-2587670.6174999992</v>
      </c>
      <c r="O178" s="73">
        <v>41346730.138499349</v>
      </c>
      <c r="P178" s="61">
        <f t="shared" si="14"/>
        <v>0.10207261877038813</v>
      </c>
      <c r="Q178" s="61">
        <f t="shared" si="15"/>
        <v>6.2584649592170069E-2</v>
      </c>
    </row>
    <row r="179" spans="1:17">
      <c r="A179" s="23">
        <v>4890500</v>
      </c>
      <c r="B179" s="18">
        <v>811748</v>
      </c>
      <c r="C179" s="16" t="s">
        <v>197</v>
      </c>
      <c r="D179" s="67" t="s">
        <v>20</v>
      </c>
      <c r="E179" s="16">
        <v>145640</v>
      </c>
      <c r="F179" s="17">
        <v>20645.000001</v>
      </c>
      <c r="G179" s="16">
        <v>2240</v>
      </c>
      <c r="H179" s="16">
        <v>13900.999997999999</v>
      </c>
      <c r="I179" s="59">
        <f t="shared" ref="I179:I233" si="16">F179/$E179</f>
        <v>0.14175363911700081</v>
      </c>
      <c r="J179" s="59">
        <f t="shared" ref="J179:J233" si="17">G179/$E179</f>
        <v>1.5380390002746498E-2</v>
      </c>
      <c r="K179" s="59">
        <f t="shared" ref="K179:K233" si="18">H179/$E179</f>
        <v>9.5447679195276025E-2</v>
      </c>
      <c r="L179" s="73">
        <v>-3085217.7792000421</v>
      </c>
      <c r="M179" s="73">
        <v>11598059.692404971</v>
      </c>
      <c r="N179" s="73">
        <v>-2909525.7234000033</v>
      </c>
      <c r="O179" s="73">
        <v>16528724.069699936</v>
      </c>
      <c r="P179" s="61">
        <f t="shared" ref="P179:P233" si="19">ABS(L179/M179)</f>
        <v>0.26601154512253528</v>
      </c>
      <c r="Q179" s="61">
        <f t="shared" ref="Q179:Q233" si="20">ABS(N179/O179)</f>
        <v>0.17602845271848155</v>
      </c>
    </row>
    <row r="180" spans="1:17">
      <c r="A180" s="23">
        <v>4893400</v>
      </c>
      <c r="B180" s="18">
        <v>868798</v>
      </c>
      <c r="C180" s="16" t="s">
        <v>198</v>
      </c>
      <c r="D180" s="67" t="s">
        <v>20</v>
      </c>
      <c r="E180" s="16">
        <v>393284</v>
      </c>
      <c r="F180" s="17">
        <v>68978</v>
      </c>
      <c r="G180" s="16">
        <v>5762.9999980000002</v>
      </c>
      <c r="H180" s="16">
        <v>32625</v>
      </c>
      <c r="I180" s="59">
        <f t="shared" si="16"/>
        <v>0.17538979465221061</v>
      </c>
      <c r="J180" s="59">
        <f t="shared" si="17"/>
        <v>1.4653532810894926E-2</v>
      </c>
      <c r="K180" s="59">
        <f t="shared" si="18"/>
        <v>8.2955319819774012E-2</v>
      </c>
      <c r="L180" s="73">
        <v>-2707832.404800043</v>
      </c>
      <c r="M180" s="73">
        <v>24947617.707394682</v>
      </c>
      <c r="N180" s="73">
        <v>-1193079.8933999999</v>
      </c>
      <c r="O180" s="73">
        <v>58473589.134298906</v>
      </c>
      <c r="P180" s="61">
        <f t="shared" si="19"/>
        <v>0.10854072066357738</v>
      </c>
      <c r="Q180" s="61">
        <f t="shared" si="20"/>
        <v>2.0403739723583583E-2</v>
      </c>
    </row>
    <row r="181" spans="1:17">
      <c r="A181" s="23">
        <v>4895300</v>
      </c>
      <c r="B181" s="18">
        <v>668533</v>
      </c>
      <c r="C181" s="16" t="s">
        <v>199</v>
      </c>
      <c r="D181" s="67" t="s">
        <v>18</v>
      </c>
      <c r="E181" s="16">
        <v>122284</v>
      </c>
      <c r="F181" s="17">
        <v>19021</v>
      </c>
      <c r="G181" s="16">
        <v>1127</v>
      </c>
      <c r="H181" s="16">
        <v>12919</v>
      </c>
      <c r="I181" s="59">
        <f t="shared" si="16"/>
        <v>0.15554774132347648</v>
      </c>
      <c r="J181" s="59">
        <f t="shared" si="17"/>
        <v>9.2162506951032029E-3</v>
      </c>
      <c r="K181" s="59">
        <f t="shared" si="18"/>
        <v>0.10564750907723006</v>
      </c>
      <c r="L181" s="73">
        <v>-1516325.390799999</v>
      </c>
      <c r="M181" s="73">
        <v>8743545.2111999933</v>
      </c>
      <c r="N181" s="73">
        <v>-1693017.8622999978</v>
      </c>
      <c r="O181" s="73">
        <v>12744437.407500014</v>
      </c>
      <c r="P181" s="61">
        <f t="shared" si="19"/>
        <v>0.17342226227156357</v>
      </c>
      <c r="Q181" s="61">
        <f t="shared" si="20"/>
        <v>0.13284367196182928</v>
      </c>
    </row>
    <row r="182" spans="1:17">
      <c r="A182" s="23">
        <v>4896400</v>
      </c>
      <c r="B182" s="18">
        <v>288671</v>
      </c>
      <c r="C182" s="16" t="s">
        <v>200</v>
      </c>
      <c r="D182" s="67" t="s">
        <v>20</v>
      </c>
      <c r="E182" s="16">
        <v>167634</v>
      </c>
      <c r="F182" s="17">
        <v>27686.999997999999</v>
      </c>
      <c r="G182" s="16">
        <v>2730</v>
      </c>
      <c r="H182" s="16">
        <v>20472.999999</v>
      </c>
      <c r="I182" s="59">
        <f t="shared" si="16"/>
        <v>0.16516339166278918</v>
      </c>
      <c r="J182" s="59">
        <f t="shared" si="17"/>
        <v>1.6285479079423029E-2</v>
      </c>
      <c r="K182" s="59">
        <f t="shared" si="18"/>
        <v>0.122129162335803</v>
      </c>
      <c r="L182" s="73">
        <v>-2421906.5949000055</v>
      </c>
      <c r="M182" s="73">
        <v>17511293.248700999</v>
      </c>
      <c r="N182" s="73">
        <v>-1126482.5486999999</v>
      </c>
      <c r="O182" s="73">
        <v>29423727.502299715</v>
      </c>
      <c r="P182" s="61">
        <f t="shared" si="19"/>
        <v>0.13830541014323225</v>
      </c>
      <c r="Q182" s="61">
        <f t="shared" si="20"/>
        <v>3.8284834870495443E-2</v>
      </c>
    </row>
    <row r="183" spans="1:17">
      <c r="A183" s="23">
        <v>4898600</v>
      </c>
      <c r="B183" s="18">
        <v>756556</v>
      </c>
      <c r="C183" s="16" t="s">
        <v>201</v>
      </c>
      <c r="D183" s="67" t="s">
        <v>18</v>
      </c>
      <c r="E183" s="16">
        <v>168578</v>
      </c>
      <c r="F183" s="17">
        <v>29318.999999</v>
      </c>
      <c r="G183" s="16">
        <v>2422</v>
      </c>
      <c r="H183" s="16">
        <v>23836.999997999999</v>
      </c>
      <c r="I183" s="59">
        <f t="shared" si="16"/>
        <v>0.17391949126813699</v>
      </c>
      <c r="J183" s="59">
        <f t="shared" si="17"/>
        <v>1.4367236531457248E-2</v>
      </c>
      <c r="K183" s="59">
        <f t="shared" si="18"/>
        <v>0.14140041997176381</v>
      </c>
      <c r="L183" s="73">
        <v>-1761347.9535000145</v>
      </c>
      <c r="M183" s="73">
        <v>17420762.175201904</v>
      </c>
      <c r="N183" s="73">
        <v>-665497.53710000031</v>
      </c>
      <c r="O183" s="73">
        <v>30490179.565395586</v>
      </c>
      <c r="P183" s="61">
        <f t="shared" si="19"/>
        <v>0.10110625102311867</v>
      </c>
      <c r="Q183" s="61">
        <f t="shared" si="20"/>
        <v>2.1826619147080971E-2</v>
      </c>
    </row>
    <row r="184" spans="1:17">
      <c r="A184" s="23">
        <v>4899700</v>
      </c>
      <c r="B184" s="18">
        <v>644555</v>
      </c>
      <c r="C184" s="16" t="s">
        <v>202</v>
      </c>
      <c r="D184" s="67" t="s">
        <v>20</v>
      </c>
      <c r="E184" s="16">
        <v>288957</v>
      </c>
      <c r="F184" s="17">
        <v>55434</v>
      </c>
      <c r="G184" s="16">
        <v>10290.000002000001</v>
      </c>
      <c r="H184" s="16">
        <v>43359.000004000001</v>
      </c>
      <c r="I184" s="59">
        <f t="shared" si="16"/>
        <v>0.19184169270860371</v>
      </c>
      <c r="J184" s="59">
        <f t="shared" si="17"/>
        <v>3.5610834837017276E-2</v>
      </c>
      <c r="K184" s="59">
        <f t="shared" si="18"/>
        <v>0.150053468176926</v>
      </c>
      <c r="L184" s="73">
        <v>-2610764.3922000192</v>
      </c>
      <c r="M184" s="73">
        <v>36754436.967105746</v>
      </c>
      <c r="N184" s="73">
        <v>-825036.2145</v>
      </c>
      <c r="O184" s="73">
        <v>41957045.437792458</v>
      </c>
      <c r="P184" s="61">
        <f t="shared" si="19"/>
        <v>7.1032631911531793E-2</v>
      </c>
      <c r="Q184" s="61">
        <f t="shared" si="20"/>
        <v>1.9663830136067102E-2</v>
      </c>
    </row>
    <row r="185" spans="1:17">
      <c r="A185" s="23">
        <v>4901900</v>
      </c>
      <c r="B185" s="18">
        <v>826734</v>
      </c>
      <c r="C185" s="16" t="s">
        <v>203</v>
      </c>
      <c r="D185" s="67" t="s">
        <v>20</v>
      </c>
      <c r="E185" s="16">
        <v>162931</v>
      </c>
      <c r="F185" s="17">
        <v>39811.999999</v>
      </c>
      <c r="G185" s="16">
        <v>4855</v>
      </c>
      <c r="H185" s="16">
        <v>28679.999997999999</v>
      </c>
      <c r="I185" s="59">
        <f t="shared" si="16"/>
        <v>0.24434883477668462</v>
      </c>
      <c r="J185" s="59">
        <f t="shared" si="17"/>
        <v>2.9797889904315325E-2</v>
      </c>
      <c r="K185" s="59">
        <f t="shared" si="18"/>
        <v>0.1760254340671818</v>
      </c>
      <c r="L185" s="73">
        <v>-3976223.8215000313</v>
      </c>
      <c r="M185" s="73">
        <v>24658934.278901983</v>
      </c>
      <c r="N185" s="73">
        <v>-1368974.9880000025</v>
      </c>
      <c r="O185" s="73">
        <v>44548506.436698273</v>
      </c>
      <c r="P185" s="61">
        <f t="shared" si="19"/>
        <v>0.16124881053363532</v>
      </c>
      <c r="Q185" s="61">
        <f t="shared" si="20"/>
        <v>3.0729986199318795E-2</v>
      </c>
    </row>
    <row r="186" spans="1:17">
      <c r="A186" s="23">
        <v>4903000</v>
      </c>
      <c r="B186" s="18">
        <v>604874</v>
      </c>
      <c r="C186" s="16" t="s">
        <v>204</v>
      </c>
      <c r="D186" s="67" t="s">
        <v>18</v>
      </c>
      <c r="E186" s="16">
        <v>205999</v>
      </c>
      <c r="F186" s="17">
        <v>28740</v>
      </c>
      <c r="G186" s="16">
        <v>1049</v>
      </c>
      <c r="H186" s="16">
        <v>15164</v>
      </c>
      <c r="I186" s="59">
        <f t="shared" si="16"/>
        <v>0.13951524036524449</v>
      </c>
      <c r="J186" s="59">
        <f t="shared" si="17"/>
        <v>5.0922577294064538E-3</v>
      </c>
      <c r="K186" s="59">
        <f t="shared" si="18"/>
        <v>7.3612007825280712E-2</v>
      </c>
      <c r="L186" s="73">
        <v>-2970408.2388000228</v>
      </c>
      <c r="M186" s="73">
        <v>11234050.405599969</v>
      </c>
      <c r="N186" s="73">
        <v>-1393024.5835000016</v>
      </c>
      <c r="O186" s="73">
        <v>28248068.846399665</v>
      </c>
      <c r="P186" s="61">
        <f t="shared" si="19"/>
        <v>0.26441115461964892</v>
      </c>
      <c r="Q186" s="61">
        <f t="shared" si="20"/>
        <v>4.9313975800421787E-2</v>
      </c>
    </row>
    <row r="187" spans="1:17">
      <c r="A187" s="23">
        <v>5482400</v>
      </c>
      <c r="B187" s="18">
        <v>1078419</v>
      </c>
      <c r="C187" s="16" t="s">
        <v>205</v>
      </c>
      <c r="D187" s="67" t="s">
        <v>31</v>
      </c>
      <c r="E187" s="16">
        <v>76685</v>
      </c>
      <c r="F187" s="17">
        <v>2225</v>
      </c>
      <c r="G187" s="16">
        <v>0</v>
      </c>
      <c r="H187" s="16">
        <v>0</v>
      </c>
      <c r="I187" s="59">
        <f t="shared" si="16"/>
        <v>2.9014800808502314E-2</v>
      </c>
      <c r="J187" s="59">
        <f t="shared" si="17"/>
        <v>0</v>
      </c>
      <c r="K187" s="59">
        <f t="shared" si="18"/>
        <v>0</v>
      </c>
      <c r="L187" s="73">
        <v>0</v>
      </c>
      <c r="M187" s="73">
        <v>2808.3346000000001</v>
      </c>
      <c r="N187" s="73">
        <v>-278611.51039999997</v>
      </c>
      <c r="O187" s="73">
        <v>1352758.306499999</v>
      </c>
      <c r="P187" s="61">
        <f t="shared" si="19"/>
        <v>0</v>
      </c>
      <c r="Q187" s="61">
        <f t="shared" si="20"/>
        <v>0.20595808509271213</v>
      </c>
    </row>
    <row r="188" spans="1:17">
      <c r="A188" s="23">
        <v>5485400</v>
      </c>
      <c r="B188" s="18">
        <v>359593</v>
      </c>
      <c r="C188" s="16" t="s">
        <v>206</v>
      </c>
      <c r="D188" s="67" t="s">
        <v>18</v>
      </c>
      <c r="E188" s="16">
        <v>154738</v>
      </c>
      <c r="F188" s="17">
        <v>20104</v>
      </c>
      <c r="G188" s="16">
        <v>1610</v>
      </c>
      <c r="H188" s="16">
        <v>16722</v>
      </c>
      <c r="I188" s="59">
        <f t="shared" si="16"/>
        <v>0.12992283731210175</v>
      </c>
      <c r="J188" s="59">
        <f t="shared" si="17"/>
        <v>1.0404684046581965E-2</v>
      </c>
      <c r="K188" s="59">
        <f t="shared" si="18"/>
        <v>0.10806653827760472</v>
      </c>
      <c r="L188" s="73">
        <v>-1332066.2480000041</v>
      </c>
      <c r="M188" s="73">
        <v>12232107.645699965</v>
      </c>
      <c r="N188" s="73">
        <v>-2584290.8322000005</v>
      </c>
      <c r="O188" s="73">
        <v>13607967.683100006</v>
      </c>
      <c r="P188" s="61">
        <f t="shared" si="19"/>
        <v>0.10889916002891573</v>
      </c>
      <c r="Q188" s="61">
        <f t="shared" si="20"/>
        <v>0.18991012415538586</v>
      </c>
    </row>
    <row r="189" spans="1:17">
      <c r="A189" s="23">
        <v>5492000</v>
      </c>
      <c r="B189" s="18">
        <v>271087</v>
      </c>
      <c r="C189" s="16" t="s">
        <v>207</v>
      </c>
      <c r="D189" s="67" t="s">
        <v>31</v>
      </c>
      <c r="E189" s="16">
        <v>58686</v>
      </c>
      <c r="F189" s="17">
        <v>1645</v>
      </c>
      <c r="G189" s="16">
        <v>0</v>
      </c>
      <c r="H189" s="16">
        <v>0</v>
      </c>
      <c r="I189" s="59">
        <f t="shared" si="16"/>
        <v>2.8030535391745902E-2</v>
      </c>
      <c r="J189" s="59">
        <f t="shared" si="17"/>
        <v>0</v>
      </c>
      <c r="K189" s="59">
        <f t="shared" si="18"/>
        <v>0</v>
      </c>
      <c r="L189" s="73">
        <v>0</v>
      </c>
      <c r="M189" s="73">
        <v>0</v>
      </c>
      <c r="N189" s="73">
        <v>-103310.2896</v>
      </c>
      <c r="O189" s="73">
        <v>2402470.9934999961</v>
      </c>
      <c r="P189" s="61">
        <v>0</v>
      </c>
      <c r="Q189" s="61">
        <f t="shared" si="20"/>
        <v>4.3001680303117538E-2</v>
      </c>
    </row>
    <row r="190" spans="1:17">
      <c r="A190" s="23">
        <v>5494200</v>
      </c>
      <c r="B190" s="18">
        <v>777672</v>
      </c>
      <c r="C190" s="16" t="s">
        <v>208</v>
      </c>
      <c r="D190" s="67" t="s">
        <v>18</v>
      </c>
      <c r="E190" s="16">
        <v>196902</v>
      </c>
      <c r="F190" s="17">
        <v>17603</v>
      </c>
      <c r="G190" s="16">
        <v>1575</v>
      </c>
      <c r="H190" s="16">
        <v>20488</v>
      </c>
      <c r="I190" s="59">
        <f t="shared" si="16"/>
        <v>8.9399802947659243E-2</v>
      </c>
      <c r="J190" s="59">
        <f t="shared" si="17"/>
        <v>7.9989030075875312E-3</v>
      </c>
      <c r="K190" s="59">
        <f t="shared" si="18"/>
        <v>0.10405176179012909</v>
      </c>
      <c r="L190" s="73">
        <v>-1314849.0452000033</v>
      </c>
      <c r="M190" s="73">
        <v>14939683.651199933</v>
      </c>
      <c r="N190" s="73">
        <v>-1396697.457699999</v>
      </c>
      <c r="O190" s="73">
        <v>20486150.439099807</v>
      </c>
      <c r="P190" s="61">
        <f t="shared" si="19"/>
        <v>8.8010501152371898E-2</v>
      </c>
      <c r="Q190" s="61">
        <f t="shared" si="20"/>
        <v>6.8177643323084569E-2</v>
      </c>
    </row>
    <row r="191" spans="1:17">
      <c r="A191" s="23">
        <v>5495200</v>
      </c>
      <c r="B191" s="18">
        <v>869798</v>
      </c>
      <c r="C191" s="16" t="s">
        <v>209</v>
      </c>
      <c r="D191" s="67" t="s">
        <v>20</v>
      </c>
      <c r="E191" s="16">
        <v>224833</v>
      </c>
      <c r="F191" s="17">
        <v>39269.000001</v>
      </c>
      <c r="G191" s="16">
        <v>7254.9999989999997</v>
      </c>
      <c r="H191" s="16">
        <v>40292</v>
      </c>
      <c r="I191" s="59">
        <f t="shared" si="16"/>
        <v>0.17465852433139264</v>
      </c>
      <c r="J191" s="59">
        <f t="shared" si="17"/>
        <v>3.2268394759666065E-2</v>
      </c>
      <c r="K191" s="59">
        <f t="shared" si="18"/>
        <v>0.17920856813723965</v>
      </c>
      <c r="L191" s="73">
        <v>-3584402.572900035</v>
      </c>
      <c r="M191" s="73">
        <v>36438996.210301168</v>
      </c>
      <c r="N191" s="73">
        <v>-1734673.1079999984</v>
      </c>
      <c r="O191" s="73">
        <v>36812506.505699605</v>
      </c>
      <c r="P191" s="61">
        <f t="shared" si="19"/>
        <v>9.8367214953268597E-2</v>
      </c>
      <c r="Q191" s="61">
        <f t="shared" si="20"/>
        <v>4.7121841804806809E-2</v>
      </c>
    </row>
    <row r="192" spans="1:17">
      <c r="A192" s="23">
        <v>5501200</v>
      </c>
      <c r="B192" s="18">
        <v>943778</v>
      </c>
      <c r="C192" s="16" t="s">
        <v>210</v>
      </c>
      <c r="D192" s="67" t="s">
        <v>31</v>
      </c>
      <c r="E192" s="16">
        <v>159946</v>
      </c>
      <c r="F192" s="17">
        <v>5088</v>
      </c>
      <c r="G192" s="16">
        <v>0</v>
      </c>
      <c r="H192" s="16">
        <v>0</v>
      </c>
      <c r="I192" s="59">
        <f t="shared" si="16"/>
        <v>3.1810736123441659E-2</v>
      </c>
      <c r="J192" s="59">
        <f t="shared" si="17"/>
        <v>0</v>
      </c>
      <c r="K192" s="59">
        <f t="shared" si="18"/>
        <v>0</v>
      </c>
      <c r="L192" s="73">
        <v>-7524.4092999999993</v>
      </c>
      <c r="M192" s="73">
        <v>0</v>
      </c>
      <c r="N192" s="73">
        <v>-119179.0137</v>
      </c>
      <c r="O192" s="73">
        <v>11600499.395200003</v>
      </c>
      <c r="P192" s="61">
        <v>0</v>
      </c>
      <c r="Q192" s="61">
        <f t="shared" si="20"/>
        <v>1.0273610612773558E-2</v>
      </c>
    </row>
    <row r="193" spans="1:17">
      <c r="A193" s="23">
        <v>5504900</v>
      </c>
      <c r="B193" s="18">
        <v>1043618</v>
      </c>
      <c r="C193" s="16" t="s">
        <v>211</v>
      </c>
      <c r="D193" s="67" t="s">
        <v>20</v>
      </c>
      <c r="E193" s="16">
        <v>160981</v>
      </c>
      <c r="F193" s="17">
        <v>19254.000001</v>
      </c>
      <c r="G193" s="16">
        <v>11088</v>
      </c>
      <c r="H193" s="16">
        <v>25614.000002000001</v>
      </c>
      <c r="I193" s="59">
        <f t="shared" si="16"/>
        <v>0.1196041768966524</v>
      </c>
      <c r="J193" s="59">
        <f t="shared" si="17"/>
        <v>6.8877693640864449E-2</v>
      </c>
      <c r="K193" s="59">
        <f t="shared" si="18"/>
        <v>0.15911194490032984</v>
      </c>
      <c r="L193" s="73">
        <v>-2221319.2626000084</v>
      </c>
      <c r="M193" s="73">
        <v>25518662.178199813</v>
      </c>
      <c r="N193" s="73">
        <v>-364775.23719999992</v>
      </c>
      <c r="O193" s="73">
        <v>26422473.92590075</v>
      </c>
      <c r="P193" s="61">
        <f t="shared" si="19"/>
        <v>8.7046854066575877E-2</v>
      </c>
      <c r="Q193" s="61">
        <f t="shared" si="20"/>
        <v>1.3805491424571993E-2</v>
      </c>
    </row>
    <row r="194" spans="1:17">
      <c r="A194" s="23">
        <v>5507900</v>
      </c>
      <c r="B194" s="18">
        <v>295090</v>
      </c>
      <c r="C194" s="16" t="s">
        <v>212</v>
      </c>
      <c r="D194" s="67" t="s">
        <v>20</v>
      </c>
      <c r="E194" s="16">
        <v>291451</v>
      </c>
      <c r="F194" s="17">
        <v>46863.000003000001</v>
      </c>
      <c r="G194" s="16">
        <v>10902.000001</v>
      </c>
      <c r="H194" s="16">
        <v>46589</v>
      </c>
      <c r="I194" s="59">
        <f t="shared" si="16"/>
        <v>0.16079203709371387</v>
      </c>
      <c r="J194" s="59">
        <f t="shared" si="17"/>
        <v>3.74059447419978E-2</v>
      </c>
      <c r="K194" s="59">
        <f t="shared" si="18"/>
        <v>0.15985191335764845</v>
      </c>
      <c r="L194" s="73">
        <v>-2781816.8166000298</v>
      </c>
      <c r="M194" s="73">
        <v>43551335.551496595</v>
      </c>
      <c r="N194" s="73">
        <v>-1816449.7655999986</v>
      </c>
      <c r="O194" s="73">
        <v>45325933.931601241</v>
      </c>
      <c r="P194" s="61">
        <f t="shared" si="19"/>
        <v>6.3874431894533151E-2</v>
      </c>
      <c r="Q194" s="61">
        <f t="shared" si="20"/>
        <v>4.0075286001632057E-2</v>
      </c>
    </row>
    <row r="195" spans="1:17">
      <c r="A195" s="23">
        <v>5510100</v>
      </c>
      <c r="B195" s="18">
        <v>1008183</v>
      </c>
      <c r="C195" s="16" t="s">
        <v>213</v>
      </c>
      <c r="D195" s="67" t="s">
        <v>20</v>
      </c>
      <c r="E195" s="16">
        <v>211792</v>
      </c>
      <c r="F195" s="17">
        <v>19328</v>
      </c>
      <c r="G195" s="16">
        <v>4825</v>
      </c>
      <c r="H195" s="16">
        <v>21177</v>
      </c>
      <c r="I195" s="59">
        <f t="shared" si="16"/>
        <v>9.1259348795044201E-2</v>
      </c>
      <c r="J195" s="59">
        <f t="shared" si="17"/>
        <v>2.2781785903150262E-2</v>
      </c>
      <c r="K195" s="59">
        <f t="shared" si="18"/>
        <v>9.9989612449950901E-2</v>
      </c>
      <c r="L195" s="73">
        <v>-2115273.2361000134</v>
      </c>
      <c r="M195" s="73">
        <v>17290401.670511864</v>
      </c>
      <c r="N195" s="73">
        <v>-2134159.0795999984</v>
      </c>
      <c r="O195" s="73">
        <v>20350009.377200019</v>
      </c>
      <c r="P195" s="61">
        <f t="shared" si="19"/>
        <v>0.12233800442632475</v>
      </c>
      <c r="Q195" s="61">
        <f t="shared" si="20"/>
        <v>0.10487263371932853</v>
      </c>
    </row>
    <row r="196" spans="1:17">
      <c r="A196" s="23">
        <v>5510500</v>
      </c>
      <c r="B196" s="18">
        <v>563855</v>
      </c>
      <c r="C196" s="16" t="s">
        <v>214</v>
      </c>
      <c r="D196" s="67" t="s">
        <v>20</v>
      </c>
      <c r="E196" s="16">
        <v>153170</v>
      </c>
      <c r="F196" s="17">
        <v>16570.999999</v>
      </c>
      <c r="G196" s="16">
        <v>1878</v>
      </c>
      <c r="H196" s="16">
        <v>13670.000001</v>
      </c>
      <c r="I196" s="59">
        <f t="shared" si="16"/>
        <v>0.10818698177841614</v>
      </c>
      <c r="J196" s="59">
        <f t="shared" si="17"/>
        <v>1.2260886596592023E-2</v>
      </c>
      <c r="K196" s="59">
        <f t="shared" si="18"/>
        <v>8.9247241633479149E-2</v>
      </c>
      <c r="L196" s="73">
        <v>-3017280.0022000293</v>
      </c>
      <c r="M196" s="73">
        <v>11260723.678998971</v>
      </c>
      <c r="N196" s="73">
        <v>-1583115.1407999983</v>
      </c>
      <c r="O196" s="73">
        <v>12572836.955603996</v>
      </c>
      <c r="P196" s="61">
        <f t="shared" si="19"/>
        <v>0.26794725527518248</v>
      </c>
      <c r="Q196" s="61">
        <f t="shared" si="20"/>
        <v>0.12591550708802982</v>
      </c>
    </row>
    <row r="197" spans="1:17">
      <c r="A197" s="23">
        <v>5512300</v>
      </c>
      <c r="B197" s="18">
        <v>785013</v>
      </c>
      <c r="C197" s="16" t="s">
        <v>215</v>
      </c>
      <c r="D197" s="67" t="s">
        <v>18</v>
      </c>
      <c r="E197" s="16">
        <v>134548</v>
      </c>
      <c r="F197" s="17">
        <v>6592</v>
      </c>
      <c r="G197" s="16">
        <v>558</v>
      </c>
      <c r="H197" s="16">
        <v>7579</v>
      </c>
      <c r="I197" s="59">
        <f t="shared" si="16"/>
        <v>4.8993667687368077E-2</v>
      </c>
      <c r="J197" s="59">
        <f t="shared" si="17"/>
        <v>4.1472188364003928E-3</v>
      </c>
      <c r="K197" s="59">
        <f t="shared" si="18"/>
        <v>5.6329339715194576E-2</v>
      </c>
      <c r="L197" s="73">
        <v>-2751427.0587000186</v>
      </c>
      <c r="M197" s="73">
        <v>5651693.4136999939</v>
      </c>
      <c r="N197" s="73">
        <v>-3510565.4277999997</v>
      </c>
      <c r="O197" s="73">
        <v>7490873.2493000152</v>
      </c>
      <c r="P197" s="61">
        <f t="shared" si="19"/>
        <v>0.48683232746320221</v>
      </c>
      <c r="Q197" s="61">
        <f t="shared" si="20"/>
        <v>0.46864568535157697</v>
      </c>
    </row>
    <row r="198" spans="1:17">
      <c r="A198" s="23">
        <v>5513400</v>
      </c>
      <c r="B198" s="18">
        <v>935193</v>
      </c>
      <c r="C198" s="16" t="s">
        <v>216</v>
      </c>
      <c r="D198" s="67" t="s">
        <v>18</v>
      </c>
      <c r="E198" s="16">
        <v>133737</v>
      </c>
      <c r="F198" s="17">
        <v>10877</v>
      </c>
      <c r="G198" s="16">
        <v>1070</v>
      </c>
      <c r="H198" s="16">
        <v>15577</v>
      </c>
      <c r="I198" s="59">
        <f t="shared" si="16"/>
        <v>8.1331269581342486E-2</v>
      </c>
      <c r="J198" s="59">
        <f t="shared" si="17"/>
        <v>8.0007776456777115E-3</v>
      </c>
      <c r="K198" s="59">
        <f t="shared" si="18"/>
        <v>0.11647487232403897</v>
      </c>
      <c r="L198" s="73">
        <v>-1508721.3191000067</v>
      </c>
      <c r="M198" s="73">
        <v>11148791.749299964</v>
      </c>
      <c r="N198" s="73">
        <v>-907912.93930000032</v>
      </c>
      <c r="O198" s="73">
        <v>12376778.847199984</v>
      </c>
      <c r="P198" s="61">
        <f t="shared" si="19"/>
        <v>0.13532599343733726</v>
      </c>
      <c r="Q198" s="61">
        <f t="shared" si="20"/>
        <v>7.3356157568041119E-2</v>
      </c>
    </row>
    <row r="199" spans="1:17">
      <c r="A199" s="23">
        <v>5514500</v>
      </c>
      <c r="B199" s="18">
        <v>801035</v>
      </c>
      <c r="C199" s="16" t="s">
        <v>217</v>
      </c>
      <c r="D199" s="67" t="s">
        <v>18</v>
      </c>
      <c r="E199" s="16">
        <v>175197</v>
      </c>
      <c r="F199" s="17">
        <v>28546</v>
      </c>
      <c r="G199" s="16">
        <v>0</v>
      </c>
      <c r="H199" s="16">
        <v>23167</v>
      </c>
      <c r="I199" s="59">
        <f t="shared" si="16"/>
        <v>0.1629365799642688</v>
      </c>
      <c r="J199" s="59">
        <f t="shared" si="17"/>
        <v>0</v>
      </c>
      <c r="K199" s="59">
        <f t="shared" si="18"/>
        <v>0.13223399944062969</v>
      </c>
      <c r="L199" s="73">
        <v>-1119489.1358000098</v>
      </c>
      <c r="M199" s="73">
        <v>15610353.802999994</v>
      </c>
      <c r="N199" s="73">
        <v>-2322058.5522999992</v>
      </c>
      <c r="O199" s="73">
        <v>19267224.510199856</v>
      </c>
      <c r="P199" s="61">
        <f t="shared" si="19"/>
        <v>7.1714526776764445E-2</v>
      </c>
      <c r="Q199" s="61">
        <f t="shared" si="20"/>
        <v>0.12051858071569815</v>
      </c>
    </row>
    <row r="200" spans="1:17">
      <c r="A200" s="23">
        <v>5577200</v>
      </c>
      <c r="B200" s="18">
        <v>379937</v>
      </c>
      <c r="C200" s="16" t="s">
        <v>218</v>
      </c>
      <c r="D200" s="67" t="s">
        <v>18</v>
      </c>
      <c r="E200" s="16">
        <v>132507</v>
      </c>
      <c r="F200" s="17">
        <v>11112</v>
      </c>
      <c r="G200" s="16">
        <v>0</v>
      </c>
      <c r="H200" s="16">
        <v>12870</v>
      </c>
      <c r="I200" s="59">
        <f t="shared" si="16"/>
        <v>8.3859720618533362E-2</v>
      </c>
      <c r="J200" s="59">
        <f t="shared" si="17"/>
        <v>0</v>
      </c>
      <c r="K200" s="59">
        <f t="shared" si="18"/>
        <v>9.7126944236908236E-2</v>
      </c>
      <c r="L200" s="73">
        <v>-1055354.3876999889</v>
      </c>
      <c r="M200" s="73">
        <v>9340068.2426999677</v>
      </c>
      <c r="N200" s="73">
        <v>-2099056.0377999977</v>
      </c>
      <c r="O200" s="73">
        <v>14873799.730099952</v>
      </c>
      <c r="P200" s="61">
        <f t="shared" si="19"/>
        <v>0.11299214955145914</v>
      </c>
      <c r="Q200" s="61">
        <f t="shared" si="20"/>
        <v>0.14112439833058665</v>
      </c>
    </row>
    <row r="201" spans="1:17">
      <c r="A201" s="23">
        <v>5578300</v>
      </c>
      <c r="B201" s="18">
        <v>568407</v>
      </c>
      <c r="C201" s="16" t="s">
        <v>219</v>
      </c>
      <c r="D201" s="67" t="s">
        <v>20</v>
      </c>
      <c r="E201" s="16">
        <v>176202</v>
      </c>
      <c r="F201" s="17">
        <v>14588</v>
      </c>
      <c r="G201" s="16">
        <v>2032</v>
      </c>
      <c r="H201" s="16">
        <v>17457</v>
      </c>
      <c r="I201" s="59">
        <f t="shared" si="16"/>
        <v>8.2791341755485179E-2</v>
      </c>
      <c r="J201" s="59">
        <f t="shared" si="17"/>
        <v>1.1532218703533445E-2</v>
      </c>
      <c r="K201" s="59">
        <f t="shared" si="18"/>
        <v>9.9073790308850065E-2</v>
      </c>
      <c r="L201" s="73">
        <v>-3307028.4627000527</v>
      </c>
      <c r="M201" s="73">
        <v>13708030.005599968</v>
      </c>
      <c r="N201" s="73">
        <v>-1516781.2927000003</v>
      </c>
      <c r="O201" s="73">
        <v>11564010.598899998</v>
      </c>
      <c r="P201" s="61">
        <f t="shared" si="19"/>
        <v>0.2412475360317328</v>
      </c>
      <c r="Q201" s="61">
        <f t="shared" si="20"/>
        <v>0.13116394867748399</v>
      </c>
    </row>
    <row r="202" spans="1:17">
      <c r="A202" s="23">
        <v>5581600</v>
      </c>
      <c r="B202" s="18">
        <v>1026727</v>
      </c>
      <c r="C202" s="16" t="s">
        <v>220</v>
      </c>
      <c r="D202" s="67" t="s">
        <v>31</v>
      </c>
      <c r="E202" s="16">
        <v>147780</v>
      </c>
      <c r="F202" s="17">
        <v>5660</v>
      </c>
      <c r="G202" s="16">
        <v>0</v>
      </c>
      <c r="H202" s="16">
        <v>11023</v>
      </c>
      <c r="I202" s="59">
        <f t="shared" si="16"/>
        <v>3.8300175937203952E-2</v>
      </c>
      <c r="J202" s="59">
        <f t="shared" si="17"/>
        <v>0</v>
      </c>
      <c r="K202" s="59">
        <f t="shared" si="18"/>
        <v>7.4590607660035183E-2</v>
      </c>
      <c r="L202" s="73">
        <v>-1036604.4136999953</v>
      </c>
      <c r="M202" s="73">
        <v>6905001.0113999937</v>
      </c>
      <c r="N202" s="73">
        <v>-1234910.1025000003</v>
      </c>
      <c r="O202" s="73">
        <v>12318546.303399991</v>
      </c>
      <c r="P202" s="61">
        <f t="shared" si="19"/>
        <v>0.15012371641779426</v>
      </c>
      <c r="Q202" s="61">
        <f t="shared" si="20"/>
        <v>0.10024803837114755</v>
      </c>
    </row>
    <row r="203" spans="1:17">
      <c r="A203" s="23">
        <v>5592300</v>
      </c>
      <c r="B203" s="18">
        <v>660228</v>
      </c>
      <c r="C203" s="16" t="s">
        <v>221</v>
      </c>
      <c r="D203" s="67" t="s">
        <v>18</v>
      </c>
      <c r="E203" s="16">
        <v>233804</v>
      </c>
      <c r="F203" s="17">
        <v>45671</v>
      </c>
      <c r="G203" s="16">
        <v>3823</v>
      </c>
      <c r="H203" s="16">
        <v>44295</v>
      </c>
      <c r="I203" s="59">
        <f t="shared" si="16"/>
        <v>0.19533883081555492</v>
      </c>
      <c r="J203" s="59">
        <f t="shared" si="17"/>
        <v>1.635130280063643E-2</v>
      </c>
      <c r="K203" s="59">
        <f t="shared" si="18"/>
        <v>0.18945355939162717</v>
      </c>
      <c r="L203" s="73">
        <v>-2020611.0845000031</v>
      </c>
      <c r="M203" s="73">
        <v>34499531.00640101</v>
      </c>
      <c r="N203" s="73">
        <v>-677977.17080000043</v>
      </c>
      <c r="O203" s="73">
        <v>42069970.708698265</v>
      </c>
      <c r="P203" s="61">
        <f t="shared" si="19"/>
        <v>5.8569233423060182E-2</v>
      </c>
      <c r="Q203" s="61">
        <f t="shared" si="20"/>
        <v>1.6115465720061076E-2</v>
      </c>
    </row>
    <row r="204" spans="1:17">
      <c r="A204" s="23">
        <v>5594500</v>
      </c>
      <c r="B204" s="18">
        <v>339709</v>
      </c>
      <c r="C204" s="16" t="s">
        <v>222</v>
      </c>
      <c r="D204" s="67" t="s">
        <v>20</v>
      </c>
      <c r="E204" s="16">
        <v>272606</v>
      </c>
      <c r="F204" s="17">
        <v>38835.000005000002</v>
      </c>
      <c r="G204" s="16">
        <v>11538.000002000001</v>
      </c>
      <c r="H204" s="16">
        <v>45928</v>
      </c>
      <c r="I204" s="59">
        <f t="shared" si="16"/>
        <v>0.14245834649640873</v>
      </c>
      <c r="J204" s="59">
        <f t="shared" si="17"/>
        <v>4.2324820444157502E-2</v>
      </c>
      <c r="K204" s="59">
        <f t="shared" si="18"/>
        <v>0.16847758303192154</v>
      </c>
      <c r="L204" s="73">
        <v>-2711545.2002000189</v>
      </c>
      <c r="M204" s="73">
        <v>41356853.25199724</v>
      </c>
      <c r="N204" s="73">
        <v>-977722.86770000053</v>
      </c>
      <c r="O204" s="73">
        <v>44954030.22570435</v>
      </c>
      <c r="P204" s="61">
        <f t="shared" si="19"/>
        <v>6.5564591766155964E-2</v>
      </c>
      <c r="Q204" s="61">
        <f t="shared" si="20"/>
        <v>2.1749392941880136E-2</v>
      </c>
    </row>
    <row r="205" spans="1:17">
      <c r="A205" s="23">
        <v>5683000</v>
      </c>
      <c r="B205" s="18">
        <v>941155</v>
      </c>
      <c r="C205" s="16" t="s">
        <v>223</v>
      </c>
      <c r="D205" s="67" t="s">
        <v>20</v>
      </c>
      <c r="E205" s="16">
        <v>147275</v>
      </c>
      <c r="F205" s="17">
        <v>20038.999995999999</v>
      </c>
      <c r="G205" s="16">
        <v>5090</v>
      </c>
      <c r="H205" s="16">
        <v>21111.000001</v>
      </c>
      <c r="I205" s="59">
        <f t="shared" si="16"/>
        <v>0.1360651841520964</v>
      </c>
      <c r="J205" s="59">
        <f t="shared" si="17"/>
        <v>3.456119504328637E-2</v>
      </c>
      <c r="K205" s="59">
        <f t="shared" si="18"/>
        <v>0.14334408420302155</v>
      </c>
      <c r="L205" s="73">
        <v>-3299655.821400037</v>
      </c>
      <c r="M205" s="73">
        <v>16707116.685800821</v>
      </c>
      <c r="N205" s="73">
        <v>-1652513.5184999988</v>
      </c>
      <c r="O205" s="73">
        <v>17853446.902794898</v>
      </c>
      <c r="P205" s="61">
        <f t="shared" si="19"/>
        <v>0.1975000165171753</v>
      </c>
      <c r="Q205" s="61">
        <f t="shared" si="20"/>
        <v>9.2559914480228656E-2</v>
      </c>
    </row>
    <row r="206" spans="1:17">
      <c r="A206" s="23">
        <v>5686000</v>
      </c>
      <c r="B206" s="18">
        <v>736456</v>
      </c>
      <c r="C206" s="16" t="s">
        <v>224</v>
      </c>
      <c r="D206" s="67" t="s">
        <v>20</v>
      </c>
      <c r="E206" s="16">
        <v>248179</v>
      </c>
      <c r="F206" s="17">
        <v>29838.999999</v>
      </c>
      <c r="G206" s="16">
        <v>7131.0000030000001</v>
      </c>
      <c r="H206" s="16">
        <v>31858</v>
      </c>
      <c r="I206" s="59">
        <f t="shared" si="16"/>
        <v>0.12023176819553628</v>
      </c>
      <c r="J206" s="59">
        <f t="shared" si="17"/>
        <v>2.8733293320546863E-2</v>
      </c>
      <c r="K206" s="59">
        <f t="shared" si="18"/>
        <v>0.1283670254131091</v>
      </c>
      <c r="L206" s="73">
        <v>-2541098.3716000286</v>
      </c>
      <c r="M206" s="73">
        <v>26616827.703002572</v>
      </c>
      <c r="N206" s="73">
        <v>-499211.55099999998</v>
      </c>
      <c r="O206" s="73">
        <v>30532502.585698556</v>
      </c>
      <c r="P206" s="61">
        <f t="shared" si="19"/>
        <v>9.5469617940735066E-2</v>
      </c>
      <c r="Q206" s="61">
        <f t="shared" si="20"/>
        <v>1.6350168139634615E-2</v>
      </c>
    </row>
    <row r="207" spans="1:17">
      <c r="A207" s="23">
        <v>5688100</v>
      </c>
      <c r="B207" s="18">
        <v>663877</v>
      </c>
      <c r="C207" s="16" t="s">
        <v>225</v>
      </c>
      <c r="D207" s="67" t="s">
        <v>20</v>
      </c>
      <c r="E207" s="16">
        <v>476077</v>
      </c>
      <c r="F207" s="17">
        <v>101465.00459</v>
      </c>
      <c r="G207" s="16">
        <v>10046</v>
      </c>
      <c r="H207" s="16">
        <v>58546.000001</v>
      </c>
      <c r="I207" s="59">
        <f t="shared" si="16"/>
        <v>0.21312729787408338</v>
      </c>
      <c r="J207" s="59">
        <f t="shared" si="17"/>
        <v>2.1101628518075857E-2</v>
      </c>
      <c r="K207" s="59">
        <f t="shared" si="18"/>
        <v>0.1229759051602997</v>
      </c>
      <c r="L207" s="73">
        <v>-8944748.3600000106</v>
      </c>
      <c r="M207" s="73">
        <v>269542302.47972959</v>
      </c>
      <c r="N207" s="73">
        <v>-4548116.0987999942</v>
      </c>
      <c r="O207" s="73">
        <v>128923079.13163692</v>
      </c>
      <c r="P207" s="61">
        <f t="shared" si="19"/>
        <v>3.3184951963793077E-2</v>
      </c>
      <c r="Q207" s="61">
        <f t="shared" si="20"/>
        <v>3.5277749565352373E-2</v>
      </c>
    </row>
    <row r="208" spans="1:17">
      <c r="A208" s="23">
        <v>5781100</v>
      </c>
      <c r="B208" s="18">
        <v>550212</v>
      </c>
      <c r="C208" s="16" t="s">
        <v>226</v>
      </c>
      <c r="D208" s="67" t="s">
        <v>20</v>
      </c>
      <c r="E208" s="16">
        <v>301987</v>
      </c>
      <c r="F208" s="17">
        <v>78128.999998999992</v>
      </c>
      <c r="G208" s="16">
        <v>22255</v>
      </c>
      <c r="H208" s="16">
        <v>81992.000000999993</v>
      </c>
      <c r="I208" s="59">
        <f t="shared" si="16"/>
        <v>0.2587164348101077</v>
      </c>
      <c r="J208" s="59">
        <f t="shared" si="17"/>
        <v>7.3695225291154923E-2</v>
      </c>
      <c r="K208" s="59">
        <f t="shared" si="18"/>
        <v>0.27150837619169033</v>
      </c>
      <c r="L208" s="73">
        <v>-3704994.6255000313</v>
      </c>
      <c r="M208" s="73">
        <v>80059131.911204427</v>
      </c>
      <c r="N208" s="73">
        <v>-447617.51129999966</v>
      </c>
      <c r="O208" s="73">
        <v>95593905.762598664</v>
      </c>
      <c r="P208" s="61">
        <f t="shared" si="19"/>
        <v>4.6278226319132872E-2</v>
      </c>
      <c r="Q208" s="61">
        <f t="shared" si="20"/>
        <v>4.6824900366727257E-3</v>
      </c>
    </row>
    <row r="209" spans="1:17">
      <c r="A209" s="23">
        <v>5782200</v>
      </c>
      <c r="B209" s="18">
        <v>943424</v>
      </c>
      <c r="C209" s="16" t="s">
        <v>227</v>
      </c>
      <c r="D209" s="67" t="s">
        <v>20</v>
      </c>
      <c r="E209" s="16">
        <v>167635</v>
      </c>
      <c r="F209" s="17">
        <v>15768</v>
      </c>
      <c r="G209" s="16">
        <v>3989</v>
      </c>
      <c r="H209" s="16">
        <v>18765</v>
      </c>
      <c r="I209" s="59">
        <f t="shared" si="16"/>
        <v>9.406150266949026E-2</v>
      </c>
      <c r="J209" s="59">
        <f t="shared" si="17"/>
        <v>2.3795746711605573E-2</v>
      </c>
      <c r="K209" s="59">
        <f t="shared" si="18"/>
        <v>0.1119396307453694</v>
      </c>
      <c r="L209" s="73">
        <v>-3212286.2054000371</v>
      </c>
      <c r="M209" s="73">
        <v>15181272.888598902</v>
      </c>
      <c r="N209" s="73">
        <v>-1755756.8274999999</v>
      </c>
      <c r="O209" s="73">
        <v>15507578.901497986</v>
      </c>
      <c r="P209" s="61">
        <f t="shared" si="19"/>
        <v>0.21159531410653029</v>
      </c>
      <c r="Q209" s="61">
        <f t="shared" si="20"/>
        <v>0.11321927417892415</v>
      </c>
    </row>
    <row r="210" spans="1:17">
      <c r="A210" s="23">
        <v>5785200</v>
      </c>
      <c r="B210" s="18">
        <v>1131395</v>
      </c>
      <c r="C210" s="16" t="s">
        <v>228</v>
      </c>
      <c r="D210" s="67" t="s">
        <v>18</v>
      </c>
      <c r="E210" s="16">
        <v>152906</v>
      </c>
      <c r="F210" s="17">
        <v>15269.000001</v>
      </c>
      <c r="G210" s="16">
        <v>0</v>
      </c>
      <c r="H210" s="16">
        <v>18407.000004000001</v>
      </c>
      <c r="I210" s="59">
        <f t="shared" si="16"/>
        <v>9.9858736746759449E-2</v>
      </c>
      <c r="J210" s="59">
        <f t="shared" si="17"/>
        <v>0</v>
      </c>
      <c r="K210" s="59">
        <f t="shared" si="18"/>
        <v>0.12038114922893806</v>
      </c>
      <c r="L210" s="73">
        <v>-921469.29119999253</v>
      </c>
      <c r="M210" s="73">
        <v>12388159.545395955</v>
      </c>
      <c r="N210" s="73">
        <v>-2719561.686900001</v>
      </c>
      <c r="O210" s="73">
        <v>14348272.964400949</v>
      </c>
      <c r="P210" s="61">
        <f t="shared" si="19"/>
        <v>7.4383066170830472E-2</v>
      </c>
      <c r="Q210" s="61">
        <f t="shared" si="20"/>
        <v>0.1895393050890111</v>
      </c>
    </row>
    <row r="211" spans="1:17">
      <c r="A211" s="23">
        <v>5786300</v>
      </c>
      <c r="B211" s="18">
        <v>845996</v>
      </c>
      <c r="C211" s="16" t="s">
        <v>229</v>
      </c>
      <c r="D211" s="67" t="s">
        <v>31</v>
      </c>
      <c r="E211" s="16">
        <v>70934</v>
      </c>
      <c r="F211" s="17">
        <v>5135</v>
      </c>
      <c r="G211" s="16">
        <v>0</v>
      </c>
      <c r="H211" s="16">
        <v>5490</v>
      </c>
      <c r="I211" s="59">
        <f t="shared" si="16"/>
        <v>7.2391236924465002E-2</v>
      </c>
      <c r="J211" s="59">
        <f t="shared" si="17"/>
        <v>0</v>
      </c>
      <c r="K211" s="59">
        <f t="shared" si="18"/>
        <v>7.7395889136380291E-2</v>
      </c>
      <c r="L211" s="73">
        <v>-1361804.6911999921</v>
      </c>
      <c r="M211" s="73">
        <v>3616695.1282999995</v>
      </c>
      <c r="N211" s="73">
        <v>-1106990.6173000005</v>
      </c>
      <c r="O211" s="73">
        <v>4464175.4840000123</v>
      </c>
      <c r="P211" s="61">
        <f t="shared" si="19"/>
        <v>0.37653289616371349</v>
      </c>
      <c r="Q211" s="61">
        <f t="shared" si="20"/>
        <v>0.24797202109718799</v>
      </c>
    </row>
    <row r="212" spans="1:17">
      <c r="A212" s="23">
        <v>5787400</v>
      </c>
      <c r="B212" s="18">
        <v>366574</v>
      </c>
      <c r="C212" s="16" t="s">
        <v>230</v>
      </c>
      <c r="D212" s="67" t="s">
        <v>20</v>
      </c>
      <c r="E212" s="16">
        <v>135557</v>
      </c>
      <c r="F212" s="17">
        <v>16423</v>
      </c>
      <c r="G212" s="16">
        <v>3832</v>
      </c>
      <c r="H212" s="16">
        <v>16803</v>
      </c>
      <c r="I212" s="59">
        <f t="shared" si="16"/>
        <v>0.12115198772472097</v>
      </c>
      <c r="J212" s="59">
        <f t="shared" si="17"/>
        <v>2.8268551236749116E-2</v>
      </c>
      <c r="K212" s="59">
        <f t="shared" si="18"/>
        <v>0.12395523654256144</v>
      </c>
      <c r="L212" s="73">
        <v>-3175682.9605000606</v>
      </c>
      <c r="M212" s="73">
        <v>15028404.442999955</v>
      </c>
      <c r="N212" s="73">
        <v>-1160790.7914</v>
      </c>
      <c r="O212" s="73">
        <v>17390274.6281</v>
      </c>
      <c r="P212" s="61">
        <f t="shared" si="19"/>
        <v>0.2113120506268551</v>
      </c>
      <c r="Q212" s="61">
        <f t="shared" si="20"/>
        <v>6.674942266434028E-2</v>
      </c>
    </row>
    <row r="213" spans="1:17">
      <c r="A213" s="23">
        <v>5789600</v>
      </c>
      <c r="B213" s="18">
        <v>797836</v>
      </c>
      <c r="C213" s="16" t="s">
        <v>231</v>
      </c>
      <c r="D213" s="67" t="s">
        <v>20</v>
      </c>
      <c r="E213" s="16">
        <v>155786</v>
      </c>
      <c r="F213" s="17">
        <v>13726</v>
      </c>
      <c r="G213" s="16">
        <v>2629</v>
      </c>
      <c r="H213" s="16">
        <v>11441</v>
      </c>
      <c r="I213" s="59">
        <f t="shared" si="16"/>
        <v>8.810804565236928E-2</v>
      </c>
      <c r="J213" s="59">
        <f t="shared" si="17"/>
        <v>1.6875714120652689E-2</v>
      </c>
      <c r="K213" s="59">
        <f t="shared" si="18"/>
        <v>7.3440488875765472E-2</v>
      </c>
      <c r="L213" s="73">
        <v>-2922637.1241000374</v>
      </c>
      <c r="M213" s="73">
        <v>10129093.616499964</v>
      </c>
      <c r="N213" s="73">
        <v>-645879.77270000032</v>
      </c>
      <c r="O213" s="73">
        <v>12637137.738898007</v>
      </c>
      <c r="P213" s="61">
        <f t="shared" si="19"/>
        <v>0.28853885991725425</v>
      </c>
      <c r="Q213" s="61">
        <f t="shared" si="20"/>
        <v>5.1109656794507866E-2</v>
      </c>
    </row>
    <row r="214" spans="1:17">
      <c r="A214" s="23">
        <v>5799200</v>
      </c>
      <c r="B214" s="18">
        <v>577558</v>
      </c>
      <c r="C214" s="16" t="s">
        <v>232</v>
      </c>
      <c r="D214" s="67" t="s">
        <v>20</v>
      </c>
      <c r="E214" s="16">
        <v>357373</v>
      </c>
      <c r="F214" s="17">
        <v>43866.999999</v>
      </c>
      <c r="G214" s="16">
        <v>15280.999999</v>
      </c>
      <c r="H214" s="16">
        <v>63557.000001</v>
      </c>
      <c r="I214" s="59">
        <f t="shared" si="16"/>
        <v>0.12274850086324372</v>
      </c>
      <c r="J214" s="59">
        <f t="shared" si="17"/>
        <v>4.2759245939116834E-2</v>
      </c>
      <c r="K214" s="59">
        <f t="shared" si="18"/>
        <v>0.17784499668693493</v>
      </c>
      <c r="L214" s="73">
        <v>-2590756.6606000145</v>
      </c>
      <c r="M214" s="73">
        <v>51001867.356110573</v>
      </c>
      <c r="N214" s="73">
        <v>-1244039.7407000016</v>
      </c>
      <c r="O214" s="73">
        <v>74347174.210095689</v>
      </c>
      <c r="P214" s="61">
        <f t="shared" si="19"/>
        <v>5.0797290273914136E-2</v>
      </c>
      <c r="Q214" s="61">
        <f t="shared" si="20"/>
        <v>1.6732844979212028E-2</v>
      </c>
    </row>
    <row r="215" spans="1:17">
      <c r="A215" s="23">
        <v>5808800</v>
      </c>
      <c r="B215" s="18">
        <v>824718</v>
      </c>
      <c r="C215" s="16" t="s">
        <v>233</v>
      </c>
      <c r="D215" s="67" t="s">
        <v>31</v>
      </c>
      <c r="E215" s="16">
        <v>79461</v>
      </c>
      <c r="F215" s="17">
        <v>5085</v>
      </c>
      <c r="G215" s="16">
        <v>0</v>
      </c>
      <c r="H215" s="16">
        <v>0</v>
      </c>
      <c r="I215" s="59">
        <f t="shared" si="16"/>
        <v>6.3993657265828521E-2</v>
      </c>
      <c r="J215" s="59">
        <f t="shared" si="17"/>
        <v>0</v>
      </c>
      <c r="K215" s="59">
        <f t="shared" si="18"/>
        <v>0</v>
      </c>
      <c r="L215" s="73">
        <v>0</v>
      </c>
      <c r="M215" s="73">
        <v>38733.111199999999</v>
      </c>
      <c r="N215" s="73">
        <v>-783867.38290000055</v>
      </c>
      <c r="O215" s="73">
        <v>5660075.0842000172</v>
      </c>
      <c r="P215" s="61">
        <f t="shared" si="19"/>
        <v>0</v>
      </c>
      <c r="Q215" s="61">
        <f t="shared" si="20"/>
        <v>0.13849063329356712</v>
      </c>
    </row>
    <row r="216" spans="1:17">
      <c r="A216" s="23">
        <v>5809900</v>
      </c>
      <c r="B216" s="18">
        <v>535494</v>
      </c>
      <c r="C216" s="16" t="s">
        <v>234</v>
      </c>
      <c r="D216" s="67" t="s">
        <v>31</v>
      </c>
      <c r="E216" s="16">
        <v>111632</v>
      </c>
      <c r="F216" s="17">
        <v>7506</v>
      </c>
      <c r="G216" s="16">
        <v>0</v>
      </c>
      <c r="H216" s="16">
        <v>0</v>
      </c>
      <c r="I216" s="59">
        <f t="shared" si="16"/>
        <v>6.7238784577898808E-2</v>
      </c>
      <c r="J216" s="59">
        <f t="shared" si="17"/>
        <v>0</v>
      </c>
      <c r="K216" s="59">
        <f t="shared" si="18"/>
        <v>0</v>
      </c>
      <c r="L216" s="73">
        <v>0</v>
      </c>
      <c r="M216" s="73">
        <v>15.748100000000001</v>
      </c>
      <c r="N216" s="73">
        <v>-382758.99530000007</v>
      </c>
      <c r="O216" s="73">
        <v>9858283.2117999978</v>
      </c>
      <c r="P216" s="61">
        <f t="shared" si="19"/>
        <v>0</v>
      </c>
      <c r="Q216" s="61">
        <f t="shared" si="20"/>
        <v>3.8826130988187865E-2</v>
      </c>
    </row>
    <row r="217" spans="1:17">
      <c r="A217" s="23">
        <v>5811000</v>
      </c>
      <c r="B217" s="18">
        <v>778087</v>
      </c>
      <c r="C217" s="16" t="s">
        <v>235</v>
      </c>
      <c r="D217" s="67" t="s">
        <v>31</v>
      </c>
      <c r="E217" s="16">
        <v>180525</v>
      </c>
      <c r="F217" s="17">
        <v>15333</v>
      </c>
      <c r="G217" s="16">
        <v>0</v>
      </c>
      <c r="H217" s="16">
        <v>17883.000002000001</v>
      </c>
      <c r="I217" s="59">
        <f t="shared" si="16"/>
        <v>8.4935604486913174E-2</v>
      </c>
      <c r="J217" s="59">
        <f t="shared" si="17"/>
        <v>0</v>
      </c>
      <c r="K217" s="59">
        <f t="shared" si="18"/>
        <v>9.9061071884780499E-2</v>
      </c>
      <c r="L217" s="73">
        <v>-470161.23190000391</v>
      </c>
      <c r="M217" s="73">
        <v>10980987.19879999</v>
      </c>
      <c r="N217" s="73">
        <v>-1050599.3606000009</v>
      </c>
      <c r="O217" s="73">
        <v>16846970.596901022</v>
      </c>
      <c r="P217" s="61">
        <f t="shared" si="19"/>
        <v>4.2815934796043058E-2</v>
      </c>
      <c r="Q217" s="61">
        <f t="shared" si="20"/>
        <v>6.2361322147333559E-2</v>
      </c>
    </row>
    <row r="218" spans="1:17">
      <c r="A218" s="23">
        <v>5812100</v>
      </c>
      <c r="B218" s="18">
        <v>999265</v>
      </c>
      <c r="C218" s="16" t="s">
        <v>236</v>
      </c>
      <c r="D218" s="67" t="s">
        <v>18</v>
      </c>
      <c r="E218" s="16">
        <v>216613</v>
      </c>
      <c r="F218" s="17">
        <v>16195.000001</v>
      </c>
      <c r="G218" s="16">
        <v>1692</v>
      </c>
      <c r="H218" s="16">
        <v>20321</v>
      </c>
      <c r="I218" s="59">
        <f t="shared" si="16"/>
        <v>7.4764672485030909E-2</v>
      </c>
      <c r="J218" s="59">
        <f t="shared" si="17"/>
        <v>7.8111655348478623E-3</v>
      </c>
      <c r="K218" s="59">
        <f t="shared" si="18"/>
        <v>9.3812467395770344E-2</v>
      </c>
      <c r="L218" s="73">
        <v>-1512561.5217000092</v>
      </c>
      <c r="M218" s="73">
        <v>13778553.457200946</v>
      </c>
      <c r="N218" s="73">
        <v>-758640.0199999999</v>
      </c>
      <c r="O218" s="73">
        <v>18957466.009099927</v>
      </c>
      <c r="P218" s="61">
        <f t="shared" si="19"/>
        <v>0.10977651074899408</v>
      </c>
      <c r="Q218" s="61">
        <f t="shared" si="20"/>
        <v>4.0018007661774997E-2</v>
      </c>
    </row>
    <row r="219" spans="1:17">
      <c r="A219" s="23">
        <v>5812500</v>
      </c>
      <c r="B219" s="18">
        <v>780021</v>
      </c>
      <c r="C219" s="16" t="s">
        <v>237</v>
      </c>
      <c r="D219" s="67" t="s">
        <v>18</v>
      </c>
      <c r="E219" s="16">
        <v>306126</v>
      </c>
      <c r="F219" s="17">
        <v>18523.000001</v>
      </c>
      <c r="G219" s="16">
        <v>1732</v>
      </c>
      <c r="H219" s="16">
        <v>34445.000003000001</v>
      </c>
      <c r="I219" s="59">
        <f t="shared" si="16"/>
        <v>6.0507764779861889E-2</v>
      </c>
      <c r="J219" s="59">
        <f t="shared" si="17"/>
        <v>5.6578010361746471E-3</v>
      </c>
      <c r="K219" s="59">
        <f t="shared" si="18"/>
        <v>0.11251902812240712</v>
      </c>
      <c r="L219" s="73">
        <v>-2633270.3369000345</v>
      </c>
      <c r="M219" s="73">
        <v>24038931.165199015</v>
      </c>
      <c r="N219" s="73">
        <v>-1026268.4258000001</v>
      </c>
      <c r="O219" s="73">
        <v>20021571.303000797</v>
      </c>
      <c r="P219" s="61">
        <f t="shared" si="19"/>
        <v>0.1095419059526324</v>
      </c>
      <c r="Q219" s="61">
        <f t="shared" si="20"/>
        <v>5.125813605079961E-2</v>
      </c>
    </row>
    <row r="220" spans="1:17">
      <c r="A220" s="23">
        <v>5813200</v>
      </c>
      <c r="B220" s="18">
        <v>638735</v>
      </c>
      <c r="C220" s="16" t="s">
        <v>238</v>
      </c>
      <c r="D220" s="67" t="s">
        <v>20</v>
      </c>
      <c r="E220" s="16">
        <v>367140</v>
      </c>
      <c r="F220" s="17">
        <v>132463.00000500001</v>
      </c>
      <c r="G220" s="16">
        <v>22554.999999</v>
      </c>
      <c r="H220" s="16">
        <v>127278.000004</v>
      </c>
      <c r="I220" s="59">
        <f t="shared" si="16"/>
        <v>0.36079697119627391</v>
      </c>
      <c r="J220" s="59">
        <f t="shared" si="17"/>
        <v>6.1434330225527044E-2</v>
      </c>
      <c r="K220" s="59">
        <f t="shared" si="18"/>
        <v>0.34667429319605603</v>
      </c>
      <c r="L220" s="73">
        <v>-4702915.5053999647</v>
      </c>
      <c r="M220" s="73">
        <v>129923884.43029864</v>
      </c>
      <c r="N220" s="73">
        <v>-776123.7542000002</v>
      </c>
      <c r="O220" s="73">
        <v>143358988.6788944</v>
      </c>
      <c r="P220" s="61">
        <f t="shared" si="19"/>
        <v>3.6197466893956497E-2</v>
      </c>
      <c r="Q220" s="61">
        <f t="shared" si="20"/>
        <v>5.4138478608998638E-3</v>
      </c>
    </row>
    <row r="221" spans="1:17">
      <c r="A221" s="23">
        <v>5814200</v>
      </c>
      <c r="B221" s="18">
        <v>422834</v>
      </c>
      <c r="C221" s="16" t="s">
        <v>239</v>
      </c>
      <c r="D221" s="67" t="s">
        <v>20</v>
      </c>
      <c r="E221" s="16">
        <v>351448</v>
      </c>
      <c r="F221" s="17">
        <v>125498</v>
      </c>
      <c r="G221" s="16">
        <v>26073</v>
      </c>
      <c r="H221" s="16">
        <v>99881.000004000001</v>
      </c>
      <c r="I221" s="59">
        <f t="shared" si="16"/>
        <v>0.35708838860941022</v>
      </c>
      <c r="J221" s="59">
        <f t="shared" si="17"/>
        <v>7.4187361999499213E-2</v>
      </c>
      <c r="K221" s="59">
        <f t="shared" si="18"/>
        <v>0.28419851586578954</v>
      </c>
      <c r="L221" s="73">
        <v>-6106682.3395001516</v>
      </c>
      <c r="M221" s="73">
        <v>112051838.48029843</v>
      </c>
      <c r="N221" s="73">
        <v>-1132194.901100002</v>
      </c>
      <c r="O221" s="73">
        <v>124386108.91969436</v>
      </c>
      <c r="P221" s="61">
        <f t="shared" si="19"/>
        <v>5.4498725075125494E-2</v>
      </c>
      <c r="Q221" s="61">
        <f t="shared" si="20"/>
        <v>9.1022615863879542E-3</v>
      </c>
    </row>
    <row r="222" spans="1:17">
      <c r="A222" s="23">
        <v>5814300</v>
      </c>
      <c r="B222" s="18">
        <v>972623</v>
      </c>
      <c r="C222" s="16" t="s">
        <v>240</v>
      </c>
      <c r="D222" s="67" t="s">
        <v>20</v>
      </c>
      <c r="E222" s="16">
        <v>185121</v>
      </c>
      <c r="F222" s="17">
        <v>17274</v>
      </c>
      <c r="G222" s="16">
        <v>3419</v>
      </c>
      <c r="H222" s="16">
        <v>26880</v>
      </c>
      <c r="I222" s="59">
        <f t="shared" si="16"/>
        <v>9.331194191906915E-2</v>
      </c>
      <c r="J222" s="59">
        <f t="shared" si="17"/>
        <v>1.8469001355869943E-2</v>
      </c>
      <c r="K222" s="59">
        <f t="shared" si="18"/>
        <v>0.14520232712658207</v>
      </c>
      <c r="L222" s="73">
        <v>-4229932.9951000614</v>
      </c>
      <c r="M222" s="73">
        <v>21457703.817799915</v>
      </c>
      <c r="N222" s="73">
        <v>-953345.5555999995</v>
      </c>
      <c r="O222" s="73">
        <v>26081704.513798866</v>
      </c>
      <c r="P222" s="61">
        <f t="shared" si="19"/>
        <v>0.19712887413382901</v>
      </c>
      <c r="Q222" s="61">
        <f t="shared" si="20"/>
        <v>3.6552271922857635E-2</v>
      </c>
    </row>
    <row r="223" spans="1:17">
      <c r="A223" s="23">
        <v>5815500</v>
      </c>
      <c r="B223" s="18">
        <v>569212</v>
      </c>
      <c r="C223" s="16" t="s">
        <v>241</v>
      </c>
      <c r="D223" s="67" t="s">
        <v>20</v>
      </c>
      <c r="E223" s="16">
        <v>206428</v>
      </c>
      <c r="F223" s="17">
        <v>36190.000001</v>
      </c>
      <c r="G223" s="16">
        <v>8152</v>
      </c>
      <c r="H223" s="16">
        <v>42566</v>
      </c>
      <c r="I223" s="59">
        <f t="shared" si="16"/>
        <v>0.1753153641996241</v>
      </c>
      <c r="J223" s="59">
        <f t="shared" si="17"/>
        <v>3.9490766756447769E-2</v>
      </c>
      <c r="K223" s="59">
        <f t="shared" si="18"/>
        <v>0.20620264692774237</v>
      </c>
      <c r="L223" s="73">
        <v>-3321574.4608000321</v>
      </c>
      <c r="M223" s="73">
        <v>37258528.838498347</v>
      </c>
      <c r="N223" s="73">
        <v>-1405183.5980999989</v>
      </c>
      <c r="O223" s="73">
        <v>38014681.715193339</v>
      </c>
      <c r="P223" s="61">
        <f t="shared" si="19"/>
        <v>8.9149372354389064E-2</v>
      </c>
      <c r="Q223" s="61">
        <f t="shared" si="20"/>
        <v>3.6964234203712636E-2</v>
      </c>
    </row>
    <row r="224" spans="1:17">
      <c r="A224" s="23">
        <v>5816200</v>
      </c>
      <c r="B224" s="18">
        <v>922236</v>
      </c>
      <c r="C224" s="16" t="s">
        <v>242</v>
      </c>
      <c r="D224" s="67" t="s">
        <v>20</v>
      </c>
      <c r="E224" s="16">
        <v>216798</v>
      </c>
      <c r="F224" s="17">
        <v>16939</v>
      </c>
      <c r="G224" s="16">
        <v>4252</v>
      </c>
      <c r="H224" s="16">
        <v>27355</v>
      </c>
      <c r="I224" s="59">
        <f t="shared" si="16"/>
        <v>7.8132639599996306E-2</v>
      </c>
      <c r="J224" s="59">
        <f t="shared" si="17"/>
        <v>1.9612727054677627E-2</v>
      </c>
      <c r="K224" s="59">
        <f t="shared" si="18"/>
        <v>0.12617736325980866</v>
      </c>
      <c r="L224" s="73">
        <v>-3217529.4546000273</v>
      </c>
      <c r="M224" s="73">
        <v>20817794.252299778</v>
      </c>
      <c r="N224" s="73">
        <v>-1206928.0594999988</v>
      </c>
      <c r="O224" s="73">
        <v>26417011.469598826</v>
      </c>
      <c r="P224" s="61">
        <f t="shared" si="19"/>
        <v>0.15455669393238342</v>
      </c>
      <c r="Q224" s="61">
        <f t="shared" si="20"/>
        <v>4.5687532099872592E-2</v>
      </c>
    </row>
    <row r="225" spans="1:17">
      <c r="A225" s="23">
        <v>5817300</v>
      </c>
      <c r="B225" s="18">
        <v>528579</v>
      </c>
      <c r="C225" s="16" t="s">
        <v>243</v>
      </c>
      <c r="D225" s="67" t="s">
        <v>18</v>
      </c>
      <c r="E225" s="16">
        <v>293295</v>
      </c>
      <c r="F225" s="17">
        <v>38895.000006000002</v>
      </c>
      <c r="G225" s="16">
        <v>5050</v>
      </c>
      <c r="H225" s="16">
        <v>51844.000003000001</v>
      </c>
      <c r="I225" s="59">
        <f t="shared" si="16"/>
        <v>0.13261392115787859</v>
      </c>
      <c r="J225" s="59">
        <f t="shared" si="17"/>
        <v>1.7218159191257947E-2</v>
      </c>
      <c r="K225" s="59">
        <f t="shared" si="18"/>
        <v>0.17676400894321417</v>
      </c>
      <c r="L225" s="73">
        <v>-2226868.1734000039</v>
      </c>
      <c r="M225" s="73">
        <v>39500955.224898845</v>
      </c>
      <c r="N225" s="73">
        <v>-1385778.9770000002</v>
      </c>
      <c r="O225" s="73">
        <v>62639389.034902044</v>
      </c>
      <c r="P225" s="61">
        <f t="shared" si="19"/>
        <v>5.6375046140563469E-2</v>
      </c>
      <c r="Q225" s="61">
        <f t="shared" si="20"/>
        <v>2.2123124097328885E-2</v>
      </c>
    </row>
    <row r="226" spans="1:17">
      <c r="A226" s="23">
        <v>5818400</v>
      </c>
      <c r="B226" s="18">
        <v>1082957</v>
      </c>
      <c r="C226" s="16" t="s">
        <v>244</v>
      </c>
      <c r="D226" s="67" t="s">
        <v>20</v>
      </c>
      <c r="E226" s="16">
        <v>145321</v>
      </c>
      <c r="F226" s="17">
        <v>19203.999999</v>
      </c>
      <c r="G226" s="16">
        <v>8482.9999989999997</v>
      </c>
      <c r="H226" s="16">
        <v>23668.999995999999</v>
      </c>
      <c r="I226" s="59">
        <f t="shared" si="16"/>
        <v>0.13214882913687628</v>
      </c>
      <c r="J226" s="59">
        <f t="shared" si="17"/>
        <v>5.8374219823700634E-2</v>
      </c>
      <c r="K226" s="59">
        <f t="shared" si="18"/>
        <v>0.16287391358440967</v>
      </c>
      <c r="L226" s="73">
        <v>-2591533.9749000254</v>
      </c>
      <c r="M226" s="73">
        <v>24045533.802394975</v>
      </c>
      <c r="N226" s="73">
        <v>-835985.9076999994</v>
      </c>
      <c r="O226" s="73">
        <v>15853126.876197988</v>
      </c>
      <c r="P226" s="61">
        <f t="shared" si="19"/>
        <v>0.10777610495974535</v>
      </c>
      <c r="Q226" s="61">
        <f t="shared" si="20"/>
        <v>5.273318722725643E-2</v>
      </c>
    </row>
    <row r="227" spans="1:17">
      <c r="A227" s="23">
        <v>5819500</v>
      </c>
      <c r="B227" s="18">
        <v>464592</v>
      </c>
      <c r="C227" s="16" t="s">
        <v>245</v>
      </c>
      <c r="D227" s="67" t="s">
        <v>18</v>
      </c>
      <c r="E227" s="16">
        <v>239072</v>
      </c>
      <c r="F227" s="17">
        <v>34559.000002000001</v>
      </c>
      <c r="G227" s="16">
        <v>2884</v>
      </c>
      <c r="H227" s="16">
        <v>35270</v>
      </c>
      <c r="I227" s="59">
        <f t="shared" si="16"/>
        <v>0.14455477848514256</v>
      </c>
      <c r="J227" s="59">
        <f t="shared" si="17"/>
        <v>1.2063311471021283E-2</v>
      </c>
      <c r="K227" s="59">
        <f t="shared" si="18"/>
        <v>0.14752877794137331</v>
      </c>
      <c r="L227" s="73">
        <v>-1914687.0283999962</v>
      </c>
      <c r="M227" s="73">
        <v>23768762.494399682</v>
      </c>
      <c r="N227" s="73">
        <v>-1568207.9510999972</v>
      </c>
      <c r="O227" s="73">
        <v>38494733.168408424</v>
      </c>
      <c r="P227" s="61">
        <f t="shared" si="19"/>
        <v>8.0554762952052245E-2</v>
      </c>
      <c r="Q227" s="61">
        <f t="shared" si="20"/>
        <v>4.0738247080174143E-2</v>
      </c>
    </row>
    <row r="228" spans="1:17">
      <c r="A228" s="23">
        <v>5885500</v>
      </c>
      <c r="B228" s="18">
        <v>529014</v>
      </c>
      <c r="C228" s="16" t="s">
        <v>246</v>
      </c>
      <c r="D228" s="67" t="s">
        <v>31</v>
      </c>
      <c r="E228" s="16">
        <v>67698</v>
      </c>
      <c r="F228" s="17">
        <v>5623</v>
      </c>
      <c r="G228" s="16">
        <v>0</v>
      </c>
      <c r="H228" s="16">
        <v>0</v>
      </c>
      <c r="I228" s="59">
        <f t="shared" si="16"/>
        <v>8.3060060858518719E-2</v>
      </c>
      <c r="J228" s="59">
        <f t="shared" si="17"/>
        <v>0</v>
      </c>
      <c r="K228" s="59">
        <f t="shared" si="18"/>
        <v>0</v>
      </c>
      <c r="L228" s="73">
        <v>-13608.661399999999</v>
      </c>
      <c r="M228" s="73">
        <v>16830.510299999998</v>
      </c>
      <c r="N228" s="73">
        <v>-618312.26450000005</v>
      </c>
      <c r="O228" s="73">
        <v>7810775.8824999994</v>
      </c>
      <c r="P228" s="61">
        <f t="shared" si="19"/>
        <v>0.80857093204119901</v>
      </c>
      <c r="Q228" s="61">
        <f t="shared" si="20"/>
        <v>7.9161439759822746E-2</v>
      </c>
    </row>
    <row r="229" spans="1:17">
      <c r="A229" s="23">
        <v>5886600</v>
      </c>
      <c r="B229" s="18">
        <v>1051264</v>
      </c>
      <c r="C229" s="16" t="s">
        <v>247</v>
      </c>
      <c r="D229" s="67" t="s">
        <v>18</v>
      </c>
      <c r="E229" s="16">
        <v>126708</v>
      </c>
      <c r="F229" s="17">
        <v>10970</v>
      </c>
      <c r="G229" s="16">
        <v>963</v>
      </c>
      <c r="H229" s="16">
        <v>11088</v>
      </c>
      <c r="I229" s="59">
        <f t="shared" si="16"/>
        <v>8.6577011711967675E-2</v>
      </c>
      <c r="J229" s="59">
        <f t="shared" si="17"/>
        <v>7.6001515295009E-3</v>
      </c>
      <c r="K229" s="59">
        <f t="shared" si="18"/>
        <v>8.7508286769580459E-2</v>
      </c>
      <c r="L229" s="73">
        <v>-1959789.6774999981</v>
      </c>
      <c r="M229" s="73">
        <v>8424720.4956999775</v>
      </c>
      <c r="N229" s="73">
        <v>-1953830.7880999998</v>
      </c>
      <c r="O229" s="73">
        <v>9194232.0246000048</v>
      </c>
      <c r="P229" s="61">
        <f t="shared" si="19"/>
        <v>0.23262370288726911</v>
      </c>
      <c r="Q229" s="61">
        <f t="shared" si="20"/>
        <v>0.21250614329422485</v>
      </c>
    </row>
    <row r="230" spans="1:17">
      <c r="A230" s="23">
        <v>5893200</v>
      </c>
      <c r="B230" s="18">
        <v>913140</v>
      </c>
      <c r="C230" s="16" t="s">
        <v>248</v>
      </c>
      <c r="D230" s="67" t="s">
        <v>31</v>
      </c>
      <c r="E230" s="16">
        <v>93276</v>
      </c>
      <c r="F230" s="17">
        <v>3922</v>
      </c>
      <c r="G230" s="16">
        <v>0</v>
      </c>
      <c r="H230" s="16">
        <v>0</v>
      </c>
      <c r="I230" s="59">
        <f t="shared" si="16"/>
        <v>4.2047257601097815E-2</v>
      </c>
      <c r="J230" s="59">
        <f t="shared" si="17"/>
        <v>0</v>
      </c>
      <c r="K230" s="59">
        <f t="shared" si="18"/>
        <v>0</v>
      </c>
      <c r="L230" s="73">
        <v>0</v>
      </c>
      <c r="M230" s="73">
        <v>62632.209599999995</v>
      </c>
      <c r="N230" s="73">
        <v>-36500.6538</v>
      </c>
      <c r="O230" s="73">
        <v>4551774.1187000107</v>
      </c>
      <c r="P230" s="61">
        <f t="shared" si="19"/>
        <v>0</v>
      </c>
      <c r="Q230" s="61">
        <f t="shared" si="20"/>
        <v>8.0189949782535803E-3</v>
      </c>
    </row>
    <row r="231" spans="1:17">
      <c r="A231" s="23">
        <v>5894300</v>
      </c>
      <c r="B231" s="18">
        <v>387321</v>
      </c>
      <c r="C231" s="16" t="s">
        <v>249</v>
      </c>
      <c r="D231" s="67" t="s">
        <v>18</v>
      </c>
      <c r="E231" s="16">
        <v>206372</v>
      </c>
      <c r="F231" s="17">
        <v>20229</v>
      </c>
      <c r="G231" s="16">
        <v>2576</v>
      </c>
      <c r="H231" s="16">
        <v>24277</v>
      </c>
      <c r="I231" s="59">
        <f t="shared" si="16"/>
        <v>9.8022018490880547E-2</v>
      </c>
      <c r="J231" s="59">
        <f t="shared" si="17"/>
        <v>1.2482313492140407E-2</v>
      </c>
      <c r="K231" s="59">
        <f t="shared" si="18"/>
        <v>0.11763708254995833</v>
      </c>
      <c r="L231" s="73">
        <v>-1400147.5506000097</v>
      </c>
      <c r="M231" s="73">
        <v>18112406.867599949</v>
      </c>
      <c r="N231" s="73">
        <v>-2120742.0535000004</v>
      </c>
      <c r="O231" s="73">
        <v>18859991.130599845</v>
      </c>
      <c r="P231" s="61">
        <f t="shared" si="19"/>
        <v>7.730322981561541E-2</v>
      </c>
      <c r="Q231" s="61">
        <f t="shared" si="20"/>
        <v>0.11244660927009406</v>
      </c>
    </row>
    <row r="232" spans="1:17">
      <c r="A232" s="23">
        <v>5895500</v>
      </c>
      <c r="B232" s="18">
        <v>296273</v>
      </c>
      <c r="C232" s="16" t="s">
        <v>250</v>
      </c>
      <c r="D232" s="67" t="s">
        <v>20</v>
      </c>
      <c r="E232" s="16">
        <v>119398</v>
      </c>
      <c r="F232" s="17">
        <v>9436</v>
      </c>
      <c r="G232" s="16">
        <v>1749</v>
      </c>
      <c r="H232" s="16">
        <v>11465</v>
      </c>
      <c r="I232" s="59">
        <f t="shared" si="16"/>
        <v>7.9029799494128875E-2</v>
      </c>
      <c r="J232" s="59">
        <f t="shared" si="17"/>
        <v>1.4648486574314478E-2</v>
      </c>
      <c r="K232" s="59">
        <f t="shared" si="18"/>
        <v>9.6023383976281004E-2</v>
      </c>
      <c r="L232" s="73">
        <v>-2554188.0166000319</v>
      </c>
      <c r="M232" s="73">
        <v>8347340.2806999991</v>
      </c>
      <c r="N232" s="73">
        <v>-1145842.4246</v>
      </c>
      <c r="O232" s="73">
        <v>12741543.465900986</v>
      </c>
      <c r="P232" s="61">
        <f t="shared" si="19"/>
        <v>0.30598824664014301</v>
      </c>
      <c r="Q232" s="61">
        <f t="shared" si="20"/>
        <v>8.992964060174595E-2</v>
      </c>
    </row>
    <row r="233" spans="1:17">
      <c r="A233" s="23">
        <v>5898400</v>
      </c>
      <c r="B233" s="18">
        <v>1022247</v>
      </c>
      <c r="C233" s="16" t="s">
        <v>251</v>
      </c>
      <c r="D233" s="67" t="s">
        <v>18</v>
      </c>
      <c r="E233" s="16">
        <v>226731</v>
      </c>
      <c r="F233" s="17">
        <v>22949.999999</v>
      </c>
      <c r="G233" s="16">
        <v>3827.9999969999999</v>
      </c>
      <c r="H233" s="16">
        <v>36190.999996999999</v>
      </c>
      <c r="I233" s="59">
        <f t="shared" si="16"/>
        <v>0.10122127101719659</v>
      </c>
      <c r="J233" s="59">
        <f t="shared" si="17"/>
        <v>1.6883443362398613E-2</v>
      </c>
      <c r="K233" s="59">
        <f t="shared" si="18"/>
        <v>0.15962087229800953</v>
      </c>
      <c r="L233" s="73">
        <v>-1161374.4688000008</v>
      </c>
      <c r="M233" s="73">
        <v>25390418.832600772</v>
      </c>
      <c r="N233" s="73">
        <v>-886809.17390000005</v>
      </c>
      <c r="O233" s="73">
        <v>34467417.101805538</v>
      </c>
      <c r="P233" s="61">
        <f t="shared" si="19"/>
        <v>4.5740658177281429E-2</v>
      </c>
      <c r="Q233" s="61">
        <f t="shared" si="20"/>
        <v>2.5728912940608639E-2</v>
      </c>
    </row>
    <row r="234" spans="1:17">
      <c r="A234" s="23">
        <v>5900600</v>
      </c>
      <c r="B234" s="18">
        <v>428196</v>
      </c>
      <c r="C234" s="16" t="s">
        <v>252</v>
      </c>
      <c r="D234" s="67" t="s">
        <v>18</v>
      </c>
      <c r="E234" s="16">
        <v>147939</v>
      </c>
      <c r="F234" s="17">
        <v>16327</v>
      </c>
      <c r="G234" s="16">
        <v>1128</v>
      </c>
      <c r="H234" s="16">
        <v>17348.999997999999</v>
      </c>
      <c r="I234" s="59">
        <f t="shared" ref="I234:I292" si="21">F234/$E234</f>
        <v>0.11036305504295689</v>
      </c>
      <c r="J234" s="59">
        <f t="shared" ref="J234:J292" si="22">G234/$E234</f>
        <v>7.6247642609453894E-3</v>
      </c>
      <c r="K234" s="59">
        <f t="shared" ref="K234:K292" si="23">H234/$E234</f>
        <v>0.11727130775522343</v>
      </c>
      <c r="L234" s="73">
        <v>-2100650.8215000117</v>
      </c>
      <c r="M234" s="73">
        <v>12424231.296599953</v>
      </c>
      <c r="N234" s="73">
        <v>-1577973.2679000008</v>
      </c>
      <c r="O234" s="73">
        <v>16970942.520098947</v>
      </c>
      <c r="P234" s="61">
        <f t="shared" ref="P234:P292" si="24">ABS(L234/M234)</f>
        <v>0.16907692486978099</v>
      </c>
      <c r="Q234" s="61">
        <f t="shared" ref="Q234:Q292" si="25">ABS(N234/O234)</f>
        <v>9.2980885771735008E-2</v>
      </c>
    </row>
    <row r="235" spans="1:17">
      <c r="A235" s="23">
        <v>5901700</v>
      </c>
      <c r="B235" s="18">
        <v>337713</v>
      </c>
      <c r="C235" s="16" t="s">
        <v>253</v>
      </c>
      <c r="D235" s="67" t="s">
        <v>20</v>
      </c>
      <c r="E235" s="16">
        <v>303044</v>
      </c>
      <c r="F235" s="17">
        <v>57404.999995999999</v>
      </c>
      <c r="G235" s="16">
        <v>10832</v>
      </c>
      <c r="H235" s="16">
        <v>45267</v>
      </c>
      <c r="I235" s="59">
        <f t="shared" si="21"/>
        <v>0.18942793784400944</v>
      </c>
      <c r="J235" s="59">
        <f t="shared" si="22"/>
        <v>3.5743984371906387E-2</v>
      </c>
      <c r="K235" s="59">
        <f t="shared" si="23"/>
        <v>0.14937434827945778</v>
      </c>
      <c r="L235" s="73">
        <v>-2642426.183100021</v>
      </c>
      <c r="M235" s="73">
        <v>41334480.603999987</v>
      </c>
      <c r="N235" s="73">
        <v>-775153.32259999937</v>
      </c>
      <c r="O235" s="73">
        <v>64985397.173299149</v>
      </c>
      <c r="P235" s="61">
        <f t="shared" si="24"/>
        <v>6.3927891302553594E-2</v>
      </c>
      <c r="Q235" s="61">
        <f t="shared" si="25"/>
        <v>1.1928115489282416E-2</v>
      </c>
    </row>
    <row r="236" spans="1:17">
      <c r="A236" s="23">
        <v>5908000</v>
      </c>
      <c r="B236" s="18">
        <v>787376</v>
      </c>
      <c r="C236" s="16" t="s">
        <v>254</v>
      </c>
      <c r="D236" s="67" t="s">
        <v>18</v>
      </c>
      <c r="E236" s="16">
        <v>126595</v>
      </c>
      <c r="F236" s="17">
        <v>14110</v>
      </c>
      <c r="G236" s="16">
        <v>1433</v>
      </c>
      <c r="H236" s="16">
        <v>13103</v>
      </c>
      <c r="I236" s="59">
        <f t="shared" si="21"/>
        <v>0.11145779849125163</v>
      </c>
      <c r="J236" s="59">
        <f t="shared" si="22"/>
        <v>1.131956238398041E-2</v>
      </c>
      <c r="K236" s="59">
        <f t="shared" si="23"/>
        <v>0.10350329791855918</v>
      </c>
      <c r="L236" s="73">
        <v>-2078586.6270000061</v>
      </c>
      <c r="M236" s="73">
        <v>9291861.0809999853</v>
      </c>
      <c r="N236" s="73">
        <v>-1402000.4597999998</v>
      </c>
      <c r="O236" s="73">
        <v>11943199.764203014</v>
      </c>
      <c r="P236" s="61">
        <f t="shared" si="24"/>
        <v>0.22369970976538855</v>
      </c>
      <c r="Q236" s="61">
        <f t="shared" si="25"/>
        <v>0.11738901529573112</v>
      </c>
    </row>
    <row r="237" spans="1:17">
      <c r="A237" s="23">
        <v>5909500</v>
      </c>
      <c r="B237" s="18">
        <v>738209</v>
      </c>
      <c r="C237" s="16" t="s">
        <v>255</v>
      </c>
      <c r="D237" s="67" t="s">
        <v>20</v>
      </c>
      <c r="E237" s="16">
        <v>295277</v>
      </c>
      <c r="F237" s="17">
        <v>29528.999997999999</v>
      </c>
      <c r="G237" s="16">
        <v>5443</v>
      </c>
      <c r="H237" s="16">
        <v>27340.999999</v>
      </c>
      <c r="I237" s="59">
        <f t="shared" si="21"/>
        <v>0.10000440263887807</v>
      </c>
      <c r="J237" s="59">
        <f t="shared" si="22"/>
        <v>1.8433538677242046E-2</v>
      </c>
      <c r="K237" s="59">
        <f t="shared" si="23"/>
        <v>9.2594411345956501E-2</v>
      </c>
      <c r="L237" s="73">
        <v>-2956965.1432000389</v>
      </c>
      <c r="M237" s="73">
        <v>24203140.672698006</v>
      </c>
      <c r="N237" s="73">
        <v>-1243774.1083999993</v>
      </c>
      <c r="O237" s="73">
        <v>33071823.83460068</v>
      </c>
      <c r="P237" s="61">
        <f t="shared" si="24"/>
        <v>0.12217278671340367</v>
      </c>
      <c r="Q237" s="61">
        <f t="shared" si="25"/>
        <v>3.7608270853775161E-2</v>
      </c>
    </row>
    <row r="238" spans="1:17">
      <c r="A238" s="23">
        <v>5918200</v>
      </c>
      <c r="B238" s="18">
        <v>854182</v>
      </c>
      <c r="C238" s="16" t="s">
        <v>256</v>
      </c>
      <c r="D238" s="67" t="s">
        <v>18</v>
      </c>
      <c r="E238" s="16">
        <v>154877</v>
      </c>
      <c r="F238" s="17">
        <v>10211.999997999999</v>
      </c>
      <c r="G238" s="16">
        <v>0</v>
      </c>
      <c r="H238" s="16">
        <v>18013</v>
      </c>
      <c r="I238" s="59">
        <f t="shared" si="21"/>
        <v>6.5936194515647903E-2</v>
      </c>
      <c r="J238" s="59">
        <f t="shared" si="22"/>
        <v>0</v>
      </c>
      <c r="K238" s="59">
        <f t="shared" si="23"/>
        <v>0.11630519702731845</v>
      </c>
      <c r="L238" s="73">
        <v>-541203.92010000267</v>
      </c>
      <c r="M238" s="73">
        <v>11010556.494099991</v>
      </c>
      <c r="N238" s="73">
        <v>-645855.09849999973</v>
      </c>
      <c r="O238" s="73">
        <v>12594638.370999001</v>
      </c>
      <c r="P238" s="61">
        <f t="shared" si="24"/>
        <v>4.9153184981159385E-2</v>
      </c>
      <c r="Q238" s="61">
        <f t="shared" si="25"/>
        <v>5.1280162198795297E-2</v>
      </c>
    </row>
    <row r="239" spans="1:17">
      <c r="A239" s="23">
        <v>5918700</v>
      </c>
      <c r="B239" s="18">
        <v>814277</v>
      </c>
      <c r="C239" s="16" t="s">
        <v>257</v>
      </c>
      <c r="D239" s="67" t="s">
        <v>20</v>
      </c>
      <c r="E239" s="16">
        <v>327716</v>
      </c>
      <c r="F239" s="17">
        <v>132885.000337</v>
      </c>
      <c r="G239" s="16">
        <v>22342</v>
      </c>
      <c r="H239" s="16">
        <v>84781.00060900001</v>
      </c>
      <c r="I239" s="59">
        <f t="shared" si="21"/>
        <v>0.40548828966849348</v>
      </c>
      <c r="J239" s="59">
        <f t="shared" si="22"/>
        <v>6.8174883130515451E-2</v>
      </c>
      <c r="K239" s="59">
        <f t="shared" si="23"/>
        <v>0.25870265903709311</v>
      </c>
      <c r="L239" s="73">
        <v>-4420282.7514999704</v>
      </c>
      <c r="M239" s="73">
        <v>92364993.165873885</v>
      </c>
      <c r="N239" s="73">
        <v>-1142267.7608000007</v>
      </c>
      <c r="O239" s="73">
        <v>149358789.21918052</v>
      </c>
      <c r="P239" s="61">
        <f t="shared" si="24"/>
        <v>4.7856688989970426E-2</v>
      </c>
      <c r="Q239" s="61">
        <f t="shared" si="25"/>
        <v>7.6478107968842033E-3</v>
      </c>
    </row>
    <row r="240" spans="1:17">
      <c r="A240" s="23">
        <v>5918800</v>
      </c>
      <c r="B240" s="18">
        <v>831394</v>
      </c>
      <c r="C240" s="16" t="s">
        <v>258</v>
      </c>
      <c r="D240" s="67" t="s">
        <v>20</v>
      </c>
      <c r="E240" s="16">
        <v>329353</v>
      </c>
      <c r="F240" s="17">
        <v>134353.99882500002</v>
      </c>
      <c r="G240" s="16">
        <v>18708</v>
      </c>
      <c r="H240" s="16">
        <v>93437.999916000001</v>
      </c>
      <c r="I240" s="59">
        <f t="shared" si="21"/>
        <v>0.40793312593175107</v>
      </c>
      <c r="J240" s="59">
        <f t="shared" si="22"/>
        <v>5.6802275977446692E-2</v>
      </c>
      <c r="K240" s="59">
        <f t="shared" si="23"/>
        <v>0.28370168152711528</v>
      </c>
      <c r="L240" s="73">
        <v>-3408208.6012999667</v>
      </c>
      <c r="M240" s="73">
        <v>94837462.050731137</v>
      </c>
      <c r="N240" s="73">
        <v>-1102591.6106999994</v>
      </c>
      <c r="O240" s="73">
        <v>151448424.52916178</v>
      </c>
      <c r="P240" s="61">
        <f t="shared" si="24"/>
        <v>3.5937366180010422E-2</v>
      </c>
      <c r="Q240" s="61">
        <f t="shared" si="25"/>
        <v>7.2803108657475179E-3</v>
      </c>
    </row>
    <row r="241" spans="1:17">
      <c r="A241" s="23">
        <v>5919800</v>
      </c>
      <c r="B241" s="18">
        <v>244160</v>
      </c>
      <c r="C241" s="16" t="s">
        <v>259</v>
      </c>
      <c r="D241" s="67" t="s">
        <v>31</v>
      </c>
      <c r="E241" s="16">
        <v>140098</v>
      </c>
      <c r="F241" s="17">
        <v>10360</v>
      </c>
      <c r="G241" s="16">
        <v>0</v>
      </c>
      <c r="H241" s="16">
        <v>12919</v>
      </c>
      <c r="I241" s="59">
        <f t="shared" si="21"/>
        <v>7.3948236234635756E-2</v>
      </c>
      <c r="J241" s="59">
        <f t="shared" si="22"/>
        <v>0</v>
      </c>
      <c r="K241" s="59">
        <f t="shared" si="23"/>
        <v>9.2214021613442013E-2</v>
      </c>
      <c r="L241" s="73">
        <v>-750268.45089999936</v>
      </c>
      <c r="M241" s="73">
        <v>8224178.5820999872</v>
      </c>
      <c r="N241" s="73">
        <v>-795693.78050000011</v>
      </c>
      <c r="O241" s="73">
        <v>10586892.148600014</v>
      </c>
      <c r="P241" s="61">
        <f t="shared" si="24"/>
        <v>9.1227159455531115E-2</v>
      </c>
      <c r="Q241" s="61">
        <f t="shared" si="25"/>
        <v>7.5158391086965107E-2</v>
      </c>
    </row>
    <row r="242" spans="1:17">
      <c r="A242" s="23">
        <v>5920200</v>
      </c>
      <c r="B242" s="18">
        <v>552178</v>
      </c>
      <c r="C242" s="16" t="s">
        <v>260</v>
      </c>
      <c r="D242" s="67" t="s">
        <v>20</v>
      </c>
      <c r="E242" s="16">
        <v>171176</v>
      </c>
      <c r="F242" s="17">
        <v>34129</v>
      </c>
      <c r="G242" s="16">
        <v>8222</v>
      </c>
      <c r="H242" s="16">
        <v>28043</v>
      </c>
      <c r="I242" s="59">
        <f t="shared" si="21"/>
        <v>0.19937958592326027</v>
      </c>
      <c r="J242" s="59">
        <f t="shared" si="22"/>
        <v>4.8032434453428051E-2</v>
      </c>
      <c r="K242" s="59">
        <f t="shared" si="23"/>
        <v>0.16382553629013413</v>
      </c>
      <c r="L242" s="73">
        <v>-2561409.1240000175</v>
      </c>
      <c r="M242" s="73">
        <v>24889212.777499776</v>
      </c>
      <c r="N242" s="73">
        <v>-1318022.7509000003</v>
      </c>
      <c r="O242" s="73">
        <v>23888243.899399761</v>
      </c>
      <c r="P242" s="61">
        <f t="shared" si="24"/>
        <v>0.10291242020782473</v>
      </c>
      <c r="Q242" s="61">
        <f t="shared" si="25"/>
        <v>5.5174535074682417E-2</v>
      </c>
    </row>
    <row r="243" spans="1:17">
      <c r="A243" s="23">
        <v>5920900</v>
      </c>
      <c r="B243" s="18">
        <v>921793</v>
      </c>
      <c r="C243" s="16" t="s">
        <v>261</v>
      </c>
      <c r="D243" s="67" t="s">
        <v>20</v>
      </c>
      <c r="E243" s="16">
        <v>145902</v>
      </c>
      <c r="F243" s="17">
        <v>17436</v>
      </c>
      <c r="G243" s="16">
        <v>2481</v>
      </c>
      <c r="H243" s="16">
        <v>15839.999997999999</v>
      </c>
      <c r="I243" s="59">
        <f t="shared" si="21"/>
        <v>0.11950487313402147</v>
      </c>
      <c r="J243" s="59">
        <f t="shared" si="22"/>
        <v>1.7004564707817575E-2</v>
      </c>
      <c r="K243" s="59">
        <f t="shared" si="23"/>
        <v>0.10856602375567161</v>
      </c>
      <c r="L243" s="73">
        <v>-2485642.4957000185</v>
      </c>
      <c r="M243" s="73">
        <v>13164797.02429796</v>
      </c>
      <c r="N243" s="73">
        <v>-1386778.5467000008</v>
      </c>
      <c r="O243" s="73">
        <v>13526065.013103997</v>
      </c>
      <c r="P243" s="61">
        <f t="shared" si="24"/>
        <v>0.1888097849980008</v>
      </c>
      <c r="Q243" s="61">
        <f t="shared" si="25"/>
        <v>0.10252638482489145</v>
      </c>
    </row>
    <row r="244" spans="1:17">
      <c r="A244" s="23">
        <v>5921200</v>
      </c>
      <c r="B244" s="18">
        <v>1013822</v>
      </c>
      <c r="C244" s="16" t="s">
        <v>262</v>
      </c>
      <c r="D244" s="67" t="s">
        <v>18</v>
      </c>
      <c r="E244" s="16">
        <v>66411</v>
      </c>
      <c r="F244" s="17">
        <v>13479.999996</v>
      </c>
      <c r="G244" s="16">
        <v>1464</v>
      </c>
      <c r="H244" s="16">
        <v>12098.999997999999</v>
      </c>
      <c r="I244" s="59">
        <f t="shared" si="21"/>
        <v>0.20297842218909518</v>
      </c>
      <c r="J244" s="59">
        <f t="shared" si="22"/>
        <v>2.2044540814021775E-2</v>
      </c>
      <c r="K244" s="59">
        <f t="shared" si="23"/>
        <v>0.18218367436117511</v>
      </c>
      <c r="L244" s="73">
        <v>-1171884.0546999997</v>
      </c>
      <c r="M244" s="73">
        <v>8552459.4786009863</v>
      </c>
      <c r="N244" s="73">
        <v>-294621.15020000015</v>
      </c>
      <c r="O244" s="73">
        <v>13887858.388798011</v>
      </c>
      <c r="P244" s="61">
        <f t="shared" si="24"/>
        <v>0.13702304671915227</v>
      </c>
      <c r="Q244" s="61">
        <f t="shared" si="25"/>
        <v>2.1214296830506456E-2</v>
      </c>
    </row>
    <row r="245" spans="1:17">
      <c r="A245" s="23">
        <v>5987200</v>
      </c>
      <c r="B245" s="18">
        <v>368476</v>
      </c>
      <c r="C245" s="16" t="s">
        <v>263</v>
      </c>
      <c r="D245" s="67" t="s">
        <v>20</v>
      </c>
      <c r="E245" s="16">
        <v>263940</v>
      </c>
      <c r="F245" s="17">
        <v>41352</v>
      </c>
      <c r="G245" s="16">
        <v>9235</v>
      </c>
      <c r="H245" s="16">
        <v>40783</v>
      </c>
      <c r="I245" s="59">
        <f t="shared" si="21"/>
        <v>0.15667197090247784</v>
      </c>
      <c r="J245" s="59">
        <f t="shared" si="22"/>
        <v>3.4989012654391152E-2</v>
      </c>
      <c r="K245" s="59">
        <f t="shared" si="23"/>
        <v>0.15451617791922406</v>
      </c>
      <c r="L245" s="73">
        <v>-3276875.4464000305</v>
      </c>
      <c r="M245" s="73">
        <v>34805647.424901582</v>
      </c>
      <c r="N245" s="73">
        <v>-1175020.0841000017</v>
      </c>
      <c r="O245" s="73">
        <v>46440312.930598743</v>
      </c>
      <c r="P245" s="61">
        <f t="shared" si="24"/>
        <v>9.4147809014912945E-2</v>
      </c>
      <c r="Q245" s="61">
        <f t="shared" si="25"/>
        <v>2.5301726236340683E-2</v>
      </c>
    </row>
    <row r="246" spans="1:17">
      <c r="A246" s="23">
        <v>6482200</v>
      </c>
      <c r="B246" s="18">
        <v>901368</v>
      </c>
      <c r="C246" s="16" t="s">
        <v>264</v>
      </c>
      <c r="D246" s="67" t="s">
        <v>18</v>
      </c>
      <c r="E246" s="16">
        <v>216496</v>
      </c>
      <c r="F246" s="17">
        <v>18942.999999</v>
      </c>
      <c r="G246" s="16">
        <v>2684</v>
      </c>
      <c r="H246" s="16">
        <v>25648.999997999999</v>
      </c>
      <c r="I246" s="59">
        <f t="shared" si="21"/>
        <v>8.7498152386187272E-2</v>
      </c>
      <c r="J246" s="59">
        <f t="shared" si="22"/>
        <v>1.2397457689749465E-2</v>
      </c>
      <c r="K246" s="59">
        <f t="shared" si="23"/>
        <v>0.11847332051400487</v>
      </c>
      <c r="L246" s="73">
        <v>-1016739.3074999946</v>
      </c>
      <c r="M246" s="73">
        <v>16867046.33800184</v>
      </c>
      <c r="N246" s="73">
        <v>-1066920.4369000008</v>
      </c>
      <c r="O246" s="73">
        <v>23242859.502899755</v>
      </c>
      <c r="P246" s="61">
        <f t="shared" si="24"/>
        <v>6.0279629706669967E-2</v>
      </c>
      <c r="Q246" s="61">
        <f t="shared" si="25"/>
        <v>4.5903148739805139E-2</v>
      </c>
    </row>
    <row r="247" spans="1:17">
      <c r="A247" s="23">
        <v>6484400</v>
      </c>
      <c r="B247" s="18">
        <v>681116</v>
      </c>
      <c r="C247" s="16" t="s">
        <v>265</v>
      </c>
      <c r="D247" s="67" t="s">
        <v>20</v>
      </c>
      <c r="E247" s="16">
        <v>307498</v>
      </c>
      <c r="F247" s="17">
        <v>34722</v>
      </c>
      <c r="G247" s="16">
        <v>7844</v>
      </c>
      <c r="H247" s="16">
        <v>53737.999997999999</v>
      </c>
      <c r="I247" s="59">
        <f t="shared" si="21"/>
        <v>0.11291780759549655</v>
      </c>
      <c r="J247" s="59">
        <f t="shared" si="22"/>
        <v>2.5509109002334975E-2</v>
      </c>
      <c r="K247" s="59">
        <f t="shared" si="23"/>
        <v>0.17475886021372497</v>
      </c>
      <c r="L247" s="73">
        <v>-3580877.0827000467</v>
      </c>
      <c r="M247" s="73">
        <v>39950955.748696677</v>
      </c>
      <c r="N247" s="73">
        <v>-902867.07619999989</v>
      </c>
      <c r="O247" s="73">
        <v>59860690.190200917</v>
      </c>
      <c r="P247" s="61">
        <f t="shared" si="24"/>
        <v>8.9631825211512389E-2</v>
      </c>
      <c r="Q247" s="61">
        <f t="shared" si="25"/>
        <v>1.5082804313335457E-2</v>
      </c>
    </row>
    <row r="248" spans="1:17">
      <c r="A248" s="23">
        <v>6486300</v>
      </c>
      <c r="B248" s="18">
        <v>601563</v>
      </c>
      <c r="C248" s="16" t="s">
        <v>266</v>
      </c>
      <c r="D248" s="67" t="s">
        <v>20</v>
      </c>
      <c r="E248" s="16">
        <v>149366</v>
      </c>
      <c r="F248" s="17">
        <v>13422</v>
      </c>
      <c r="G248" s="16">
        <v>2615</v>
      </c>
      <c r="H248" s="16">
        <v>12706.000003000001</v>
      </c>
      <c r="I248" s="59">
        <f t="shared" si="21"/>
        <v>8.9859807452833979E-2</v>
      </c>
      <c r="J248" s="59">
        <f t="shared" si="22"/>
        <v>1.7507330985632608E-2</v>
      </c>
      <c r="K248" s="59">
        <f t="shared" si="23"/>
        <v>8.5066213214520042E-2</v>
      </c>
      <c r="L248" s="73">
        <v>-3172472.414300038</v>
      </c>
      <c r="M248" s="73">
        <v>10141512.469598955</v>
      </c>
      <c r="N248" s="73">
        <v>-1075467.1424000005</v>
      </c>
      <c r="O248" s="73">
        <v>12507123.465200013</v>
      </c>
      <c r="P248" s="61">
        <f t="shared" si="24"/>
        <v>0.31282044209974663</v>
      </c>
      <c r="Q248" s="61">
        <f t="shared" si="25"/>
        <v>8.5988368579905258E-2</v>
      </c>
    </row>
    <row r="249" spans="1:17">
      <c r="A249" s="23">
        <v>6488500</v>
      </c>
      <c r="B249" s="18">
        <v>885866</v>
      </c>
      <c r="C249" s="16" t="s">
        <v>267</v>
      </c>
      <c r="D249" s="67" t="s">
        <v>18</v>
      </c>
      <c r="E249" s="16">
        <v>141851</v>
      </c>
      <c r="F249" s="17">
        <v>12343</v>
      </c>
      <c r="G249" s="16">
        <v>1265</v>
      </c>
      <c r="H249" s="16">
        <v>15887</v>
      </c>
      <c r="I249" s="59">
        <f t="shared" si="21"/>
        <v>8.7013838464304091E-2</v>
      </c>
      <c r="J249" s="59">
        <f t="shared" si="22"/>
        <v>8.9178081226075241E-3</v>
      </c>
      <c r="K249" s="59">
        <f t="shared" si="23"/>
        <v>0.11199780050898478</v>
      </c>
      <c r="L249" s="73">
        <v>-1088905.2828999979</v>
      </c>
      <c r="M249" s="73">
        <v>10392360.737399984</v>
      </c>
      <c r="N249" s="73">
        <v>-471520.03130000009</v>
      </c>
      <c r="O249" s="73">
        <v>12645904.8114</v>
      </c>
      <c r="P249" s="61">
        <f t="shared" si="24"/>
        <v>0.10477939617523573</v>
      </c>
      <c r="Q249" s="61">
        <f t="shared" si="25"/>
        <v>3.7286381507073765E-2</v>
      </c>
    </row>
    <row r="250" spans="1:17">
      <c r="A250" s="23">
        <v>6489600</v>
      </c>
      <c r="B250" s="18">
        <v>760099</v>
      </c>
      <c r="C250" s="16" t="s">
        <v>268</v>
      </c>
      <c r="D250" s="67" t="s">
        <v>18</v>
      </c>
      <c r="E250" s="16">
        <v>178807</v>
      </c>
      <c r="F250" s="17">
        <v>13598.999997999999</v>
      </c>
      <c r="G250" s="16">
        <v>1909.000002</v>
      </c>
      <c r="H250" s="16">
        <v>18766</v>
      </c>
      <c r="I250" s="59">
        <f t="shared" si="21"/>
        <v>7.6054069460367885E-2</v>
      </c>
      <c r="J250" s="59">
        <f t="shared" si="22"/>
        <v>1.0676315815376355E-2</v>
      </c>
      <c r="K250" s="59">
        <f t="shared" si="23"/>
        <v>0.10495114844497139</v>
      </c>
      <c r="L250" s="73">
        <v>-1079402.1336999964</v>
      </c>
      <c r="M250" s="73">
        <v>12767516.356507957</v>
      </c>
      <c r="N250" s="73">
        <v>-406404.03150000033</v>
      </c>
      <c r="O250" s="73">
        <v>23837355.759597939</v>
      </c>
      <c r="P250" s="61">
        <f t="shared" si="24"/>
        <v>8.454284322493115E-2</v>
      </c>
      <c r="Q250" s="61">
        <f t="shared" si="25"/>
        <v>1.7049039985752811E-2</v>
      </c>
    </row>
    <row r="251" spans="1:17">
      <c r="A251" s="23">
        <v>6495100</v>
      </c>
      <c r="B251" s="18">
        <v>1124075</v>
      </c>
      <c r="C251" s="16" t="s">
        <v>269</v>
      </c>
      <c r="D251" s="67" t="s">
        <v>20</v>
      </c>
      <c r="E251" s="16">
        <v>165375</v>
      </c>
      <c r="F251" s="17">
        <v>25002</v>
      </c>
      <c r="G251" s="16">
        <v>4303</v>
      </c>
      <c r="H251" s="16">
        <v>23673</v>
      </c>
      <c r="I251" s="59">
        <f t="shared" si="21"/>
        <v>0.15118367346938774</v>
      </c>
      <c r="J251" s="59">
        <f t="shared" si="22"/>
        <v>2.601965230536659E-2</v>
      </c>
      <c r="K251" s="59">
        <f t="shared" si="23"/>
        <v>0.14314739229024942</v>
      </c>
      <c r="L251" s="73">
        <v>-3777893.84900002</v>
      </c>
      <c r="M251" s="73">
        <v>20634651.862699911</v>
      </c>
      <c r="N251" s="73">
        <v>-1724088.9288999997</v>
      </c>
      <c r="O251" s="73">
        <v>23634218.241099879</v>
      </c>
      <c r="P251" s="61">
        <f t="shared" si="24"/>
        <v>0.18308493276928525</v>
      </c>
      <c r="Q251" s="61">
        <f t="shared" si="25"/>
        <v>7.2948845242607224E-2</v>
      </c>
    </row>
    <row r="252" spans="1:17">
      <c r="A252" s="23">
        <v>6495900</v>
      </c>
      <c r="B252" s="18">
        <v>1059226</v>
      </c>
      <c r="C252" s="16" t="s">
        <v>270</v>
      </c>
      <c r="D252" s="67" t="s">
        <v>18</v>
      </c>
      <c r="E252" s="16">
        <v>240519</v>
      </c>
      <c r="F252" s="17">
        <v>22242</v>
      </c>
      <c r="G252" s="16">
        <v>2991</v>
      </c>
      <c r="H252" s="16">
        <v>22145</v>
      </c>
      <c r="I252" s="59">
        <f t="shared" si="21"/>
        <v>9.247502276327442E-2</v>
      </c>
      <c r="J252" s="59">
        <f t="shared" si="22"/>
        <v>1.2435607997704963E-2</v>
      </c>
      <c r="K252" s="59">
        <f t="shared" si="23"/>
        <v>9.2071728221055305E-2</v>
      </c>
      <c r="L252" s="73">
        <v>-859603.47959999647</v>
      </c>
      <c r="M252" s="73">
        <v>17270123.143001024</v>
      </c>
      <c r="N252" s="73">
        <v>-534189.82339999999</v>
      </c>
      <c r="O252" s="73">
        <v>21777956.949100841</v>
      </c>
      <c r="P252" s="61">
        <f t="shared" si="24"/>
        <v>4.97740214405109E-2</v>
      </c>
      <c r="Q252" s="61">
        <f t="shared" si="25"/>
        <v>2.4528922738184373E-2</v>
      </c>
    </row>
    <row r="253" spans="1:17">
      <c r="A253" s="23">
        <v>6497000</v>
      </c>
      <c r="B253" s="18">
        <v>1136371</v>
      </c>
      <c r="C253" s="16" t="s">
        <v>271</v>
      </c>
      <c r="D253" s="67" t="s">
        <v>31</v>
      </c>
      <c r="E253" s="16">
        <v>152040</v>
      </c>
      <c r="F253" s="17">
        <v>8498</v>
      </c>
      <c r="G253" s="16">
        <v>0</v>
      </c>
      <c r="H253" s="16">
        <v>17863.999999</v>
      </c>
      <c r="I253" s="59">
        <f t="shared" si="21"/>
        <v>5.5893186003683239E-2</v>
      </c>
      <c r="J253" s="59">
        <f t="shared" si="22"/>
        <v>0</v>
      </c>
      <c r="K253" s="59">
        <f t="shared" si="23"/>
        <v>0.1174953959418574</v>
      </c>
      <c r="L253" s="73">
        <v>-736516.52340000193</v>
      </c>
      <c r="M253" s="73">
        <v>10358934.061598012</v>
      </c>
      <c r="N253" s="73">
        <v>-685985.3800000007</v>
      </c>
      <c r="O253" s="73">
        <v>18333096.067998026</v>
      </c>
      <c r="P253" s="61">
        <f t="shared" si="24"/>
        <v>7.1099643942166751E-2</v>
      </c>
      <c r="Q253" s="61">
        <f t="shared" si="25"/>
        <v>3.7417868616171517E-2</v>
      </c>
    </row>
    <row r="254" spans="1:17">
      <c r="A254" s="23">
        <v>6507700</v>
      </c>
      <c r="B254" s="18">
        <v>616444</v>
      </c>
      <c r="C254" s="16" t="s">
        <v>272</v>
      </c>
      <c r="D254" s="67" t="s">
        <v>18</v>
      </c>
      <c r="E254" s="16">
        <v>210791</v>
      </c>
      <c r="F254" s="17">
        <v>17136</v>
      </c>
      <c r="G254" s="16">
        <v>2306</v>
      </c>
      <c r="H254" s="16">
        <v>24117</v>
      </c>
      <c r="I254" s="59">
        <f t="shared" si="21"/>
        <v>8.1293793378275164E-2</v>
      </c>
      <c r="J254" s="59">
        <f t="shared" si="22"/>
        <v>1.0939746004336049E-2</v>
      </c>
      <c r="K254" s="59">
        <f t="shared" si="23"/>
        <v>0.11441190563164462</v>
      </c>
      <c r="L254" s="73">
        <v>-1208887.0868000037</v>
      </c>
      <c r="M254" s="73">
        <v>15425871.843599958</v>
      </c>
      <c r="N254" s="73">
        <v>-580594.96089999995</v>
      </c>
      <c r="O254" s="73">
        <v>19673868.619003847</v>
      </c>
      <c r="P254" s="61">
        <f t="shared" si="24"/>
        <v>7.8367504868229465E-2</v>
      </c>
      <c r="Q254" s="61">
        <f t="shared" si="25"/>
        <v>2.9510970726884796E-2</v>
      </c>
    </row>
    <row r="255" spans="1:17">
      <c r="A255" s="23">
        <v>6514300</v>
      </c>
      <c r="B255" s="18">
        <v>986498</v>
      </c>
      <c r="C255" s="16" t="s">
        <v>273</v>
      </c>
      <c r="D255" s="67" t="s">
        <v>20</v>
      </c>
      <c r="E255" s="16">
        <v>248146</v>
      </c>
      <c r="F255" s="17">
        <v>15162</v>
      </c>
      <c r="G255" s="16">
        <v>5620</v>
      </c>
      <c r="H255" s="16">
        <v>31643</v>
      </c>
      <c r="I255" s="59">
        <f t="shared" si="21"/>
        <v>6.1101125950045534E-2</v>
      </c>
      <c r="J255" s="59">
        <f t="shared" si="22"/>
        <v>2.2647957250973218E-2</v>
      </c>
      <c r="K255" s="59">
        <f t="shared" si="23"/>
        <v>0.12751767104849565</v>
      </c>
      <c r="L255" s="73">
        <v>-3324115.5707000433</v>
      </c>
      <c r="M255" s="73">
        <v>26312753.055399898</v>
      </c>
      <c r="N255" s="73">
        <v>-1178336.1281999999</v>
      </c>
      <c r="O255" s="73">
        <v>24734286.682401843</v>
      </c>
      <c r="P255" s="61">
        <f t="shared" si="24"/>
        <v>0.12633096824575218</v>
      </c>
      <c r="Q255" s="61">
        <f t="shared" si="25"/>
        <v>4.7639786153136666E-2</v>
      </c>
    </row>
    <row r="256" spans="1:17">
      <c r="A256" s="23">
        <v>6515500</v>
      </c>
      <c r="B256" s="18">
        <v>972353</v>
      </c>
      <c r="C256" s="16" t="s">
        <v>274</v>
      </c>
      <c r="D256" s="67" t="s">
        <v>20</v>
      </c>
      <c r="E256" s="16">
        <v>296737</v>
      </c>
      <c r="F256" s="17">
        <v>29875</v>
      </c>
      <c r="G256" s="16">
        <v>4255</v>
      </c>
      <c r="H256" s="16">
        <v>35816</v>
      </c>
      <c r="I256" s="59">
        <f t="shared" si="21"/>
        <v>0.10067837849678335</v>
      </c>
      <c r="J256" s="59">
        <f t="shared" si="22"/>
        <v>1.4339297087993745E-2</v>
      </c>
      <c r="K256" s="59">
        <f t="shared" si="23"/>
        <v>0.12069947461893865</v>
      </c>
      <c r="L256" s="73">
        <v>-3199738.2604999957</v>
      </c>
      <c r="M256" s="73">
        <v>31124276.680399768</v>
      </c>
      <c r="N256" s="73">
        <v>-1448297.6518999995</v>
      </c>
      <c r="O256" s="73">
        <v>54922044.111194633</v>
      </c>
      <c r="P256" s="61">
        <f t="shared" si="24"/>
        <v>0.1028052247882439</v>
      </c>
      <c r="Q256" s="61">
        <f t="shared" si="25"/>
        <v>2.6370060971652662E-2</v>
      </c>
    </row>
    <row r="257" spans="1:17">
      <c r="A257" s="23">
        <v>6517300</v>
      </c>
      <c r="B257" s="18">
        <v>820277</v>
      </c>
      <c r="C257" s="16" t="s">
        <v>275</v>
      </c>
      <c r="D257" s="67" t="s">
        <v>18</v>
      </c>
      <c r="E257" s="16">
        <v>214553</v>
      </c>
      <c r="F257" s="17">
        <v>25694</v>
      </c>
      <c r="G257" s="16">
        <v>0</v>
      </c>
      <c r="H257" s="16">
        <v>34273</v>
      </c>
      <c r="I257" s="59">
        <f t="shared" si="21"/>
        <v>0.11975595773538474</v>
      </c>
      <c r="J257" s="59">
        <f t="shared" si="22"/>
        <v>0</v>
      </c>
      <c r="K257" s="59">
        <f t="shared" si="23"/>
        <v>0.15974141587393326</v>
      </c>
      <c r="L257" s="73">
        <v>-522325.48390000383</v>
      </c>
      <c r="M257" s="73">
        <v>23241988.377400097</v>
      </c>
      <c r="N257" s="73">
        <v>-555690.5987999998</v>
      </c>
      <c r="O257" s="73">
        <v>27815632.885299601</v>
      </c>
      <c r="P257" s="61">
        <f t="shared" si="24"/>
        <v>2.2473356212840186E-2</v>
      </c>
      <c r="Q257" s="61">
        <f t="shared" si="25"/>
        <v>1.9977636356197346E-2</v>
      </c>
    </row>
    <row r="258" spans="1:17">
      <c r="A258" s="23">
        <v>6577000</v>
      </c>
      <c r="B258" s="18">
        <v>1122918</v>
      </c>
      <c r="C258" s="16" t="s">
        <v>276</v>
      </c>
      <c r="D258" s="67" t="s">
        <v>20</v>
      </c>
      <c r="E258" s="16">
        <v>244231</v>
      </c>
      <c r="F258" s="17">
        <v>32109.000001</v>
      </c>
      <c r="G258" s="16">
        <v>5498</v>
      </c>
      <c r="H258" s="16">
        <v>36479.999996999999</v>
      </c>
      <c r="I258" s="59">
        <f t="shared" si="21"/>
        <v>0.13146979704050674</v>
      </c>
      <c r="J258" s="59">
        <f t="shared" si="22"/>
        <v>2.2511474792307282E-2</v>
      </c>
      <c r="K258" s="59">
        <f t="shared" si="23"/>
        <v>0.14936678798760189</v>
      </c>
      <c r="L258" s="73">
        <v>-3557893.6572000324</v>
      </c>
      <c r="M258" s="73">
        <v>29252285.305404011</v>
      </c>
      <c r="N258" s="73">
        <v>-1546081.135400001</v>
      </c>
      <c r="O258" s="73">
        <v>29783615.763499655</v>
      </c>
      <c r="P258" s="61">
        <f t="shared" si="24"/>
        <v>0.12162788719084297</v>
      </c>
      <c r="Q258" s="61">
        <f t="shared" si="25"/>
        <v>5.1910458007410593E-2</v>
      </c>
    </row>
    <row r="259" spans="1:17">
      <c r="A259" s="23">
        <v>6578500</v>
      </c>
      <c r="B259" s="18">
        <v>833126</v>
      </c>
      <c r="C259" s="16" t="s">
        <v>277</v>
      </c>
      <c r="D259" s="67" t="s">
        <v>20</v>
      </c>
      <c r="E259" s="16">
        <v>272850</v>
      </c>
      <c r="F259" s="17">
        <v>27870.999997999999</v>
      </c>
      <c r="G259" s="16">
        <v>7045</v>
      </c>
      <c r="H259" s="16">
        <v>40657.999996999999</v>
      </c>
      <c r="I259" s="59">
        <f t="shared" si="21"/>
        <v>0.10214770019424592</v>
      </c>
      <c r="J259" s="59">
        <f t="shared" si="22"/>
        <v>2.5820047645226316E-2</v>
      </c>
      <c r="K259" s="59">
        <f t="shared" si="23"/>
        <v>0.14901227779732454</v>
      </c>
      <c r="L259" s="73">
        <v>-3230521.4389000456</v>
      </c>
      <c r="M259" s="73">
        <v>33073497.270998128</v>
      </c>
      <c r="N259" s="73">
        <v>-1589579.5797999986</v>
      </c>
      <c r="O259" s="73">
        <v>48338927.62439514</v>
      </c>
      <c r="P259" s="61">
        <f t="shared" si="24"/>
        <v>9.7677043719620868E-2</v>
      </c>
      <c r="Q259" s="61">
        <f t="shared" si="25"/>
        <v>3.2884047245553452E-2</v>
      </c>
    </row>
    <row r="260" spans="1:17">
      <c r="A260" s="23">
        <v>6581400</v>
      </c>
      <c r="B260" s="18">
        <v>741576</v>
      </c>
      <c r="C260" s="16" t="s">
        <v>278</v>
      </c>
      <c r="D260" s="67" t="s">
        <v>18</v>
      </c>
      <c r="E260" s="16">
        <v>156797</v>
      </c>
      <c r="F260" s="17">
        <v>15764.999999</v>
      </c>
      <c r="G260" s="16">
        <v>1987</v>
      </c>
      <c r="H260" s="16">
        <v>17889</v>
      </c>
      <c r="I260" s="59">
        <f t="shared" si="21"/>
        <v>0.10054401550412316</v>
      </c>
      <c r="J260" s="59">
        <f t="shared" si="22"/>
        <v>1.2672436334878856E-2</v>
      </c>
      <c r="K260" s="59">
        <f t="shared" si="23"/>
        <v>0.11409019305216299</v>
      </c>
      <c r="L260" s="73">
        <v>-1821089.9148000106</v>
      </c>
      <c r="M260" s="73">
        <v>13242317.211999953</v>
      </c>
      <c r="N260" s="73">
        <v>-988938.72709999979</v>
      </c>
      <c r="O260" s="73">
        <v>18570424.421199013</v>
      </c>
      <c r="P260" s="61">
        <f t="shared" si="24"/>
        <v>0.13752048721123908</v>
      </c>
      <c r="Q260" s="61">
        <f t="shared" si="25"/>
        <v>5.3253426236778936E-2</v>
      </c>
    </row>
    <row r="261" spans="1:17">
      <c r="A261" s="23">
        <v>6585200</v>
      </c>
      <c r="B261" s="18">
        <v>737168</v>
      </c>
      <c r="C261" s="16" t="s">
        <v>279</v>
      </c>
      <c r="D261" s="67" t="s">
        <v>20</v>
      </c>
      <c r="E261" s="16">
        <v>431973</v>
      </c>
      <c r="F261" s="17">
        <v>45909.000002000001</v>
      </c>
      <c r="G261" s="16">
        <v>8506</v>
      </c>
      <c r="H261" s="16">
        <v>65366</v>
      </c>
      <c r="I261" s="59">
        <f t="shared" si="21"/>
        <v>0.10627747568019298</v>
      </c>
      <c r="J261" s="59">
        <f t="shared" si="22"/>
        <v>1.9691045505158888E-2</v>
      </c>
      <c r="K261" s="59">
        <f t="shared" si="23"/>
        <v>0.15131964266285161</v>
      </c>
      <c r="L261" s="73">
        <v>-3113287.2575000199</v>
      </c>
      <c r="M261" s="73">
        <v>49061661.017299838</v>
      </c>
      <c r="N261" s="73">
        <v>-918772.04420000059</v>
      </c>
      <c r="O261" s="73">
        <v>70587608.971488804</v>
      </c>
      <c r="P261" s="61">
        <f t="shared" si="24"/>
        <v>6.3456621584871142E-2</v>
      </c>
      <c r="Q261" s="61">
        <f t="shared" si="25"/>
        <v>1.3016052783018955E-2</v>
      </c>
    </row>
    <row r="262" spans="1:17">
      <c r="A262" s="23">
        <v>6678400</v>
      </c>
      <c r="B262" s="18">
        <v>342305</v>
      </c>
      <c r="C262" s="16" t="s">
        <v>280</v>
      </c>
      <c r="D262" s="67" t="s">
        <v>31</v>
      </c>
      <c r="E262" s="16">
        <v>100602</v>
      </c>
      <c r="F262" s="17">
        <v>8116</v>
      </c>
      <c r="G262" s="16">
        <v>0</v>
      </c>
      <c r="H262" s="16">
        <v>0</v>
      </c>
      <c r="I262" s="59">
        <f t="shared" si="21"/>
        <v>8.067434047036838E-2</v>
      </c>
      <c r="J262" s="59">
        <f t="shared" si="22"/>
        <v>0</v>
      </c>
      <c r="K262" s="59">
        <f t="shared" si="23"/>
        <v>0</v>
      </c>
      <c r="L262" s="73">
        <v>-210946.27229999998</v>
      </c>
      <c r="M262" s="73">
        <v>59760.000300000007</v>
      </c>
      <c r="N262" s="73">
        <v>-986148.25140000007</v>
      </c>
      <c r="O262" s="73">
        <v>8607764.1029000077</v>
      </c>
      <c r="P262" s="61">
        <f t="shared" si="24"/>
        <v>3.5298907503519534</v>
      </c>
      <c r="Q262" s="61">
        <f t="shared" si="25"/>
        <v>0.1145649717640102</v>
      </c>
    </row>
    <row r="263" spans="1:17">
      <c r="A263" s="23">
        <v>6680600</v>
      </c>
      <c r="B263" s="18">
        <v>996343</v>
      </c>
      <c r="C263" s="16" t="s">
        <v>281</v>
      </c>
      <c r="D263" s="67" t="s">
        <v>18</v>
      </c>
      <c r="E263" s="16">
        <v>200287</v>
      </c>
      <c r="F263" s="17">
        <v>16167</v>
      </c>
      <c r="G263" s="16">
        <v>1325</v>
      </c>
      <c r="H263" s="16">
        <v>16864</v>
      </c>
      <c r="I263" s="59">
        <f t="shared" si="21"/>
        <v>8.0719167993928712E-2</v>
      </c>
      <c r="J263" s="59">
        <f t="shared" si="22"/>
        <v>6.6155067478168824E-3</v>
      </c>
      <c r="K263" s="59">
        <f t="shared" si="23"/>
        <v>8.4199174185044467E-2</v>
      </c>
      <c r="L263" s="73">
        <v>-991901.15809999255</v>
      </c>
      <c r="M263" s="73">
        <v>12324018.815699955</v>
      </c>
      <c r="N263" s="73">
        <v>-949394.45990000002</v>
      </c>
      <c r="O263" s="73">
        <v>12341676.120100984</v>
      </c>
      <c r="P263" s="61">
        <f t="shared" si="24"/>
        <v>8.0485203157624072E-2</v>
      </c>
      <c r="Q263" s="61">
        <f t="shared" si="25"/>
        <v>7.6925893262886222E-2</v>
      </c>
    </row>
    <row r="264" spans="1:17">
      <c r="A264" s="23">
        <v>6683900</v>
      </c>
      <c r="B264" s="18">
        <v>1111931</v>
      </c>
      <c r="C264" s="16" t="s">
        <v>282</v>
      </c>
      <c r="D264" s="67" t="s">
        <v>18</v>
      </c>
      <c r="E264" s="16">
        <v>181399</v>
      </c>
      <c r="F264" s="17">
        <v>21232</v>
      </c>
      <c r="G264" s="16">
        <v>1166</v>
      </c>
      <c r="H264" s="16">
        <v>22896</v>
      </c>
      <c r="I264" s="59">
        <f t="shared" si="21"/>
        <v>0.11704584920534292</v>
      </c>
      <c r="J264" s="59">
        <f t="shared" si="22"/>
        <v>6.4278193374825657E-3</v>
      </c>
      <c r="K264" s="59">
        <f t="shared" si="23"/>
        <v>0.12621899789965765</v>
      </c>
      <c r="L264" s="73">
        <v>-2831395.2428000341</v>
      </c>
      <c r="M264" s="73">
        <v>16973142.221900016</v>
      </c>
      <c r="N264" s="73">
        <v>-1910418.8265000018</v>
      </c>
      <c r="O264" s="73">
        <v>20865644.471897826</v>
      </c>
      <c r="P264" s="61">
        <f t="shared" si="24"/>
        <v>0.16681620914875481</v>
      </c>
      <c r="Q264" s="61">
        <f t="shared" si="25"/>
        <v>9.1558103037410785E-2</v>
      </c>
    </row>
    <row r="265" spans="1:17">
      <c r="A265" s="23">
        <v>6685800</v>
      </c>
      <c r="B265" s="18">
        <v>563740</v>
      </c>
      <c r="C265" s="16" t="s">
        <v>283</v>
      </c>
      <c r="D265" s="67" t="s">
        <v>31</v>
      </c>
      <c r="E265" s="16">
        <v>132080</v>
      </c>
      <c r="F265" s="17">
        <v>4371</v>
      </c>
      <c r="G265" s="16">
        <v>0</v>
      </c>
      <c r="H265" s="16">
        <v>0</v>
      </c>
      <c r="I265" s="59">
        <f t="shared" si="21"/>
        <v>3.309357964869776E-2</v>
      </c>
      <c r="J265" s="59">
        <f t="shared" si="22"/>
        <v>0</v>
      </c>
      <c r="K265" s="59">
        <f t="shared" si="23"/>
        <v>0</v>
      </c>
      <c r="L265" s="73">
        <v>0</v>
      </c>
      <c r="M265" s="73">
        <v>0</v>
      </c>
      <c r="N265" s="73">
        <v>-56403.216600000014</v>
      </c>
      <c r="O265" s="73">
        <v>8287589.7188000157</v>
      </c>
      <c r="P265" s="61">
        <v>0</v>
      </c>
      <c r="Q265" s="61">
        <f t="shared" si="25"/>
        <v>6.8057443133377991E-3</v>
      </c>
    </row>
    <row r="266" spans="1:17">
      <c r="A266" s="23">
        <v>6692400</v>
      </c>
      <c r="B266" s="18">
        <v>994423</v>
      </c>
      <c r="C266" s="16" t="s">
        <v>284</v>
      </c>
      <c r="D266" s="67" t="s">
        <v>31</v>
      </c>
      <c r="E266" s="16">
        <v>78561</v>
      </c>
      <c r="F266" s="17">
        <v>2830</v>
      </c>
      <c r="G266" s="16">
        <v>0</v>
      </c>
      <c r="H266" s="16">
        <v>0</v>
      </c>
      <c r="I266" s="59">
        <f t="shared" si="21"/>
        <v>3.6022963047822709E-2</v>
      </c>
      <c r="J266" s="59">
        <f t="shared" si="22"/>
        <v>0</v>
      </c>
      <c r="K266" s="59">
        <f t="shared" si="23"/>
        <v>0</v>
      </c>
      <c r="L266" s="73">
        <v>-3684.8894999999993</v>
      </c>
      <c r="M266" s="73">
        <v>0</v>
      </c>
      <c r="N266" s="73">
        <v>-139157.48050000001</v>
      </c>
      <c r="O266" s="73">
        <v>4116395.8441010104</v>
      </c>
      <c r="P266" s="61">
        <v>0</v>
      </c>
      <c r="Q266" s="61">
        <f t="shared" si="25"/>
        <v>3.3805660526894966E-2</v>
      </c>
    </row>
    <row r="267" spans="1:17">
      <c r="A267" s="23">
        <v>6695400</v>
      </c>
      <c r="B267" s="18">
        <v>765684</v>
      </c>
      <c r="C267" s="16" t="s">
        <v>285</v>
      </c>
      <c r="D267" s="67" t="s">
        <v>31</v>
      </c>
      <c r="E267" s="16">
        <v>113975</v>
      </c>
      <c r="F267" s="17">
        <v>4262</v>
      </c>
      <c r="G267" s="16">
        <v>0</v>
      </c>
      <c r="H267" s="16">
        <v>0</v>
      </c>
      <c r="I267" s="59">
        <f t="shared" si="21"/>
        <v>3.7394165387146301E-2</v>
      </c>
      <c r="J267" s="59">
        <f t="shared" si="22"/>
        <v>0</v>
      </c>
      <c r="K267" s="59">
        <f t="shared" si="23"/>
        <v>0</v>
      </c>
      <c r="L267" s="73">
        <v>-20740.1574</v>
      </c>
      <c r="M267" s="73">
        <v>0</v>
      </c>
      <c r="N267" s="73">
        <v>-426836.89370000013</v>
      </c>
      <c r="O267" s="73">
        <v>3784711.8256990034</v>
      </c>
      <c r="P267" s="61">
        <v>0</v>
      </c>
      <c r="Q267" s="61">
        <f t="shared" si="25"/>
        <v>0.11277923217342103</v>
      </c>
    </row>
    <row r="268" spans="1:17">
      <c r="A268" s="23">
        <v>6696500</v>
      </c>
      <c r="B268" s="18">
        <v>252877</v>
      </c>
      <c r="C268" s="16" t="s">
        <v>286</v>
      </c>
      <c r="D268" s="67" t="s">
        <v>18</v>
      </c>
      <c r="E268" s="16">
        <v>115430</v>
      </c>
      <c r="F268" s="17">
        <v>10920</v>
      </c>
      <c r="G268" s="16">
        <v>1114</v>
      </c>
      <c r="H268" s="16">
        <v>17487</v>
      </c>
      <c r="I268" s="59">
        <f t="shared" si="21"/>
        <v>9.4602789569436019E-2</v>
      </c>
      <c r="J268" s="59">
        <f t="shared" si="22"/>
        <v>9.6508706575413675E-3</v>
      </c>
      <c r="K268" s="59">
        <f t="shared" si="23"/>
        <v>0.15149441219786883</v>
      </c>
      <c r="L268" s="73">
        <v>-1184237.3356000059</v>
      </c>
      <c r="M268" s="73">
        <v>12268103.950099956</v>
      </c>
      <c r="N268" s="73">
        <v>-527294.98860000039</v>
      </c>
      <c r="O268" s="73">
        <v>12881103.549099995</v>
      </c>
      <c r="P268" s="61">
        <f t="shared" si="24"/>
        <v>9.6529776762313557E-2</v>
      </c>
      <c r="Q268" s="61">
        <f t="shared" si="25"/>
        <v>4.0935544582035646E-2</v>
      </c>
    </row>
    <row r="269" spans="1:17">
      <c r="A269" s="23">
        <v>6697600</v>
      </c>
      <c r="B269" s="18">
        <v>784110</v>
      </c>
      <c r="C269" s="16" t="s">
        <v>287</v>
      </c>
      <c r="D269" s="67" t="s">
        <v>31</v>
      </c>
      <c r="E269" s="16">
        <v>124153</v>
      </c>
      <c r="F269" s="17">
        <v>9886</v>
      </c>
      <c r="G269" s="16">
        <v>0</v>
      </c>
      <c r="H269" s="16">
        <v>0</v>
      </c>
      <c r="I269" s="59">
        <f t="shared" si="21"/>
        <v>7.9627556321635401E-2</v>
      </c>
      <c r="J269" s="59">
        <f t="shared" si="22"/>
        <v>0</v>
      </c>
      <c r="K269" s="59">
        <f t="shared" si="23"/>
        <v>0</v>
      </c>
      <c r="L269" s="73">
        <v>-120750.2274</v>
      </c>
      <c r="M269" s="73">
        <v>0</v>
      </c>
      <c r="N269" s="73">
        <v>-373952.90979999985</v>
      </c>
      <c r="O269" s="73">
        <v>6336746.4614000162</v>
      </c>
      <c r="P269" s="61">
        <v>0</v>
      </c>
      <c r="Q269" s="61">
        <f t="shared" si="25"/>
        <v>5.901339308396128E-2</v>
      </c>
    </row>
    <row r="270" spans="1:17">
      <c r="A270" s="23">
        <v>6698700</v>
      </c>
      <c r="B270" s="18">
        <v>774648</v>
      </c>
      <c r="C270" s="16" t="s">
        <v>288</v>
      </c>
      <c r="D270" s="67" t="s">
        <v>31</v>
      </c>
      <c r="E270" s="16">
        <v>82480</v>
      </c>
      <c r="F270" s="17">
        <v>5077</v>
      </c>
      <c r="G270" s="16">
        <v>0</v>
      </c>
      <c r="H270" s="16">
        <v>0</v>
      </c>
      <c r="I270" s="59">
        <f t="shared" si="21"/>
        <v>6.1554316197866152E-2</v>
      </c>
      <c r="J270" s="59">
        <f t="shared" si="22"/>
        <v>0</v>
      </c>
      <c r="K270" s="59">
        <f t="shared" si="23"/>
        <v>0</v>
      </c>
      <c r="L270" s="73">
        <v>-855.71430000000009</v>
      </c>
      <c r="M270" s="73">
        <v>0</v>
      </c>
      <c r="N270" s="73">
        <v>-77708.961599999995</v>
      </c>
      <c r="O270" s="73">
        <v>3166637.906500001</v>
      </c>
      <c r="P270" s="61">
        <v>0</v>
      </c>
      <c r="Q270" s="61">
        <f t="shared" si="25"/>
        <v>2.4539894959411258E-2</v>
      </c>
    </row>
    <row r="271" spans="1:17">
      <c r="A271" s="23">
        <v>6699800</v>
      </c>
      <c r="B271" s="18">
        <v>990394</v>
      </c>
      <c r="C271" s="16" t="s">
        <v>289</v>
      </c>
      <c r="D271" s="67" t="s">
        <v>20</v>
      </c>
      <c r="E271" s="16">
        <v>256572</v>
      </c>
      <c r="F271" s="17">
        <v>40502</v>
      </c>
      <c r="G271" s="16">
        <v>8956</v>
      </c>
      <c r="H271" s="16">
        <v>53441.000002000001</v>
      </c>
      <c r="I271" s="59">
        <f t="shared" si="21"/>
        <v>0.15785822303291083</v>
      </c>
      <c r="J271" s="59">
        <f t="shared" si="22"/>
        <v>3.4906381054830612E-2</v>
      </c>
      <c r="K271" s="59">
        <f t="shared" si="23"/>
        <v>0.20828851161467346</v>
      </c>
      <c r="L271" s="73">
        <v>-5311023.0465000123</v>
      </c>
      <c r="M271" s="73">
        <v>44526516.165600002</v>
      </c>
      <c r="N271" s="73">
        <v>-764989.21109999972</v>
      </c>
      <c r="O271" s="73">
        <v>48868192.673900023</v>
      </c>
      <c r="P271" s="61">
        <f t="shared" si="24"/>
        <v>0.11927775860001297</v>
      </c>
      <c r="Q271" s="61">
        <f t="shared" si="25"/>
        <v>1.5654133481154343E-2</v>
      </c>
    </row>
    <row r="272" spans="1:17">
      <c r="A272" s="23">
        <v>6702000</v>
      </c>
      <c r="B272" s="18">
        <v>312777</v>
      </c>
      <c r="C272" s="16" t="s">
        <v>290</v>
      </c>
      <c r="D272" s="67" t="s">
        <v>18</v>
      </c>
      <c r="E272" s="16">
        <v>168595</v>
      </c>
      <c r="F272" s="17">
        <v>32015</v>
      </c>
      <c r="G272" s="16">
        <v>2285</v>
      </c>
      <c r="H272" s="16">
        <v>24000</v>
      </c>
      <c r="I272" s="59">
        <f t="shared" si="21"/>
        <v>0.18989293869924967</v>
      </c>
      <c r="J272" s="59">
        <f t="shared" si="22"/>
        <v>1.3553189596369999E-2</v>
      </c>
      <c r="K272" s="59">
        <f t="shared" si="23"/>
        <v>0.14235297606690589</v>
      </c>
      <c r="L272" s="73">
        <v>-3047561.8034000145</v>
      </c>
      <c r="M272" s="73">
        <v>16847279.803999882</v>
      </c>
      <c r="N272" s="73">
        <v>-1117697.9632000015</v>
      </c>
      <c r="O272" s="73">
        <v>29546999.161699619</v>
      </c>
      <c r="P272" s="61">
        <f t="shared" si="24"/>
        <v>0.18089340468343515</v>
      </c>
      <c r="Q272" s="61">
        <f t="shared" si="25"/>
        <v>3.7827799604395043E-2</v>
      </c>
    </row>
    <row r="273" spans="1:17">
      <c r="A273" s="23">
        <v>6704200</v>
      </c>
      <c r="B273" s="18">
        <v>904139</v>
      </c>
      <c r="C273" s="16" t="s">
        <v>291</v>
      </c>
      <c r="D273" s="67" t="s">
        <v>31</v>
      </c>
      <c r="E273" s="16">
        <v>102417</v>
      </c>
      <c r="F273" s="17">
        <v>8756</v>
      </c>
      <c r="G273" s="16">
        <v>0</v>
      </c>
      <c r="H273" s="16">
        <v>12317.000002000001</v>
      </c>
      <c r="I273" s="59">
        <f t="shared" si="21"/>
        <v>8.549361922337112E-2</v>
      </c>
      <c r="J273" s="59">
        <f t="shared" si="22"/>
        <v>0</v>
      </c>
      <c r="K273" s="59">
        <f t="shared" si="23"/>
        <v>0.12026323756798188</v>
      </c>
      <c r="L273" s="73">
        <v>-983042.74919999472</v>
      </c>
      <c r="M273" s="73">
        <v>8039359.5505019836</v>
      </c>
      <c r="N273" s="73">
        <v>-229867.46259999997</v>
      </c>
      <c r="O273" s="73">
        <v>7716021.2155970279</v>
      </c>
      <c r="P273" s="61">
        <f t="shared" si="24"/>
        <v>0.12227873912401552</v>
      </c>
      <c r="Q273" s="61">
        <f t="shared" si="25"/>
        <v>2.9790931903524314E-2</v>
      </c>
    </row>
    <row r="274" spans="1:17">
      <c r="A274" s="23">
        <v>6736000</v>
      </c>
      <c r="B274" s="18">
        <v>282957</v>
      </c>
      <c r="C274" s="16" t="s">
        <v>292</v>
      </c>
      <c r="D274" s="67" t="s">
        <v>20</v>
      </c>
      <c r="E274" s="16">
        <v>352560</v>
      </c>
      <c r="F274" s="17">
        <v>112133.00000499999</v>
      </c>
      <c r="G274" s="16">
        <v>19059</v>
      </c>
      <c r="H274" s="16">
        <v>93533.999998999992</v>
      </c>
      <c r="I274" s="59">
        <f t="shared" si="21"/>
        <v>0.31805366463864304</v>
      </c>
      <c r="J274" s="59">
        <f t="shared" si="22"/>
        <v>5.4058883594281827E-2</v>
      </c>
      <c r="K274" s="59">
        <f t="shared" si="23"/>
        <v>0.26529952348252778</v>
      </c>
      <c r="L274" s="73">
        <v>-4301797.3839999884</v>
      </c>
      <c r="M274" s="73">
        <v>94897645.075995892</v>
      </c>
      <c r="N274" s="73">
        <v>-1042384.5298000003</v>
      </c>
      <c r="O274" s="73">
        <v>126078707.88069658</v>
      </c>
      <c r="P274" s="61">
        <f t="shared" si="24"/>
        <v>4.5330918175630439E-2</v>
      </c>
      <c r="Q274" s="61">
        <f t="shared" si="25"/>
        <v>8.2677285270592125E-3</v>
      </c>
    </row>
    <row r="275" spans="1:17">
      <c r="A275" s="23">
        <v>6737100</v>
      </c>
      <c r="B275" s="18">
        <v>436132</v>
      </c>
      <c r="C275" s="16" t="s">
        <v>293</v>
      </c>
      <c r="D275" s="67" t="s">
        <v>20</v>
      </c>
      <c r="E275" s="16">
        <v>390920</v>
      </c>
      <c r="F275" s="17">
        <v>122886.999998</v>
      </c>
      <c r="G275" s="16">
        <v>23951</v>
      </c>
      <c r="H275" s="16">
        <v>126291.000006</v>
      </c>
      <c r="I275" s="59">
        <f t="shared" si="21"/>
        <v>0.3143533203673386</v>
      </c>
      <c r="J275" s="59">
        <f t="shared" si="22"/>
        <v>6.1268290187250586E-2</v>
      </c>
      <c r="K275" s="59">
        <f t="shared" si="23"/>
        <v>0.32306098435997138</v>
      </c>
      <c r="L275" s="73">
        <v>-4657573.9089000188</v>
      </c>
      <c r="M275" s="73">
        <v>127911575.26910204</v>
      </c>
      <c r="N275" s="73">
        <v>-1510289.7255999998</v>
      </c>
      <c r="O275" s="73">
        <v>143028011.30768251</v>
      </c>
      <c r="P275" s="61">
        <f t="shared" si="24"/>
        <v>3.6412450547195233E-2</v>
      </c>
      <c r="Q275" s="61">
        <f t="shared" si="25"/>
        <v>1.0559398203132795E-2</v>
      </c>
    </row>
    <row r="276" spans="1:17">
      <c r="A276" s="23">
        <v>6776500</v>
      </c>
      <c r="B276" s="18">
        <v>761536</v>
      </c>
      <c r="C276" s="16" t="s">
        <v>294</v>
      </c>
      <c r="D276" s="67" t="s">
        <v>31</v>
      </c>
      <c r="E276" s="16">
        <v>124249</v>
      </c>
      <c r="F276" s="17">
        <v>3130.0000009999999</v>
      </c>
      <c r="G276" s="16">
        <v>0</v>
      </c>
      <c r="H276" s="16">
        <v>0</v>
      </c>
      <c r="I276" s="59">
        <f t="shared" si="21"/>
        <v>2.5191349636616792E-2</v>
      </c>
      <c r="J276" s="59">
        <f t="shared" si="22"/>
        <v>0</v>
      </c>
      <c r="K276" s="59">
        <f t="shared" si="23"/>
        <v>0</v>
      </c>
      <c r="L276" s="73">
        <v>0</v>
      </c>
      <c r="M276" s="73">
        <v>0</v>
      </c>
      <c r="N276" s="73">
        <v>-121417.8633</v>
      </c>
      <c r="O276" s="73">
        <v>9328591.0779040102</v>
      </c>
      <c r="P276" s="61">
        <v>0</v>
      </c>
      <c r="Q276" s="61">
        <f t="shared" si="25"/>
        <v>1.3015670028413412E-2</v>
      </c>
    </row>
    <row r="277" spans="1:17">
      <c r="A277" s="23">
        <v>6778700</v>
      </c>
      <c r="B277" s="18">
        <v>485345</v>
      </c>
      <c r="C277" s="16" t="s">
        <v>295</v>
      </c>
      <c r="D277" s="67" t="s">
        <v>18</v>
      </c>
      <c r="E277" s="16">
        <v>222033</v>
      </c>
      <c r="F277" s="17">
        <v>16147</v>
      </c>
      <c r="G277" s="16">
        <v>0</v>
      </c>
      <c r="H277" s="16">
        <v>23760.000001</v>
      </c>
      <c r="I277" s="59">
        <f t="shared" si="21"/>
        <v>7.2723423995532194E-2</v>
      </c>
      <c r="J277" s="59">
        <f t="shared" si="22"/>
        <v>0</v>
      </c>
      <c r="K277" s="59">
        <f t="shared" si="23"/>
        <v>0.10701111997315714</v>
      </c>
      <c r="L277" s="73">
        <v>-1407877.4951999991</v>
      </c>
      <c r="M277" s="73">
        <v>15692480.959103988</v>
      </c>
      <c r="N277" s="73">
        <v>-1856487.6146</v>
      </c>
      <c r="O277" s="73">
        <v>19978382.040395912</v>
      </c>
      <c r="P277" s="61">
        <f t="shared" si="24"/>
        <v>8.9716692909747917E-2</v>
      </c>
      <c r="Q277" s="61">
        <f t="shared" si="25"/>
        <v>9.2924822983473682E-2</v>
      </c>
    </row>
    <row r="278" spans="1:17">
      <c r="A278" s="23">
        <v>6779800</v>
      </c>
      <c r="B278" s="18">
        <v>820366</v>
      </c>
      <c r="C278" s="16" t="s">
        <v>296</v>
      </c>
      <c r="D278" s="67" t="s">
        <v>20</v>
      </c>
      <c r="E278" s="16">
        <v>195924</v>
      </c>
      <c r="F278" s="17">
        <v>25995</v>
      </c>
      <c r="G278" s="16">
        <v>4745</v>
      </c>
      <c r="H278" s="16">
        <v>26602.999999</v>
      </c>
      <c r="I278" s="59">
        <f t="shared" si="21"/>
        <v>0.13267899797880811</v>
      </c>
      <c r="J278" s="59">
        <f t="shared" si="22"/>
        <v>2.4218574549315041E-2</v>
      </c>
      <c r="K278" s="59">
        <f t="shared" si="23"/>
        <v>0.1357822420887691</v>
      </c>
      <c r="L278" s="73">
        <v>-3089585.6897000503</v>
      </c>
      <c r="M278" s="73">
        <v>21320067.204501782</v>
      </c>
      <c r="N278" s="73">
        <v>-1029357.3957000002</v>
      </c>
      <c r="O278" s="73">
        <v>20692575.618604969</v>
      </c>
      <c r="P278" s="61">
        <f t="shared" si="24"/>
        <v>0.14491444422124886</v>
      </c>
      <c r="Q278" s="61">
        <f t="shared" si="25"/>
        <v>4.9745252339418365E-2</v>
      </c>
    </row>
    <row r="279" spans="1:17">
      <c r="A279" s="23">
        <v>6780900</v>
      </c>
      <c r="B279" s="18">
        <v>460846</v>
      </c>
      <c r="C279" s="16" t="s">
        <v>297</v>
      </c>
      <c r="D279" s="67" t="s">
        <v>18</v>
      </c>
      <c r="E279" s="16">
        <v>191886</v>
      </c>
      <c r="F279" s="17">
        <v>16431</v>
      </c>
      <c r="G279" s="16">
        <v>1373</v>
      </c>
      <c r="H279" s="16">
        <v>17966.999999</v>
      </c>
      <c r="I279" s="59">
        <f t="shared" si="21"/>
        <v>8.5628967199274569E-2</v>
      </c>
      <c r="J279" s="59">
        <f t="shared" si="22"/>
        <v>7.1552901201755205E-3</v>
      </c>
      <c r="K279" s="59">
        <f t="shared" si="23"/>
        <v>9.3633720016051192E-2</v>
      </c>
      <c r="L279" s="73">
        <v>-2199092.7358000106</v>
      </c>
      <c r="M279" s="73">
        <v>13254336.851999955</v>
      </c>
      <c r="N279" s="73">
        <v>-1869400.2837999996</v>
      </c>
      <c r="O279" s="73">
        <v>16783578.356297988</v>
      </c>
      <c r="P279" s="61">
        <f t="shared" si="24"/>
        <v>0.16591495752337004</v>
      </c>
      <c r="Q279" s="61">
        <f t="shared" si="25"/>
        <v>0.11138270064431836</v>
      </c>
    </row>
    <row r="280" spans="1:17">
      <c r="A280" s="23">
        <v>6782000</v>
      </c>
      <c r="B280" s="18">
        <v>1035561</v>
      </c>
      <c r="C280" s="16" t="s">
        <v>298</v>
      </c>
      <c r="D280" s="67" t="s">
        <v>18</v>
      </c>
      <c r="E280" s="16">
        <v>278024</v>
      </c>
      <c r="F280" s="17">
        <v>26731.999999</v>
      </c>
      <c r="G280" s="16">
        <v>3131</v>
      </c>
      <c r="H280" s="16">
        <v>40198.000006000002</v>
      </c>
      <c r="I280" s="59">
        <f t="shared" si="21"/>
        <v>9.6149972660633617E-2</v>
      </c>
      <c r="J280" s="59">
        <f t="shared" si="22"/>
        <v>1.1261617702068885E-2</v>
      </c>
      <c r="K280" s="59">
        <f t="shared" si="23"/>
        <v>0.14458464019652981</v>
      </c>
      <c r="L280" s="73">
        <v>-3247568.6825000145</v>
      </c>
      <c r="M280" s="73">
        <v>29414304.074294884</v>
      </c>
      <c r="N280" s="73">
        <v>-1384648.0613999995</v>
      </c>
      <c r="O280" s="73">
        <v>40899439.522696376</v>
      </c>
      <c r="P280" s="61">
        <f t="shared" si="24"/>
        <v>0.1104078027580486</v>
      </c>
      <c r="Q280" s="61">
        <f t="shared" si="25"/>
        <v>3.3854939763456049E-2</v>
      </c>
    </row>
    <row r="281" spans="1:17">
      <c r="A281" s="23">
        <v>6783500</v>
      </c>
      <c r="B281" s="18">
        <v>959118</v>
      </c>
      <c r="C281" s="16" t="s">
        <v>299</v>
      </c>
      <c r="D281" s="67" t="s">
        <v>18</v>
      </c>
      <c r="E281" s="16">
        <v>253701</v>
      </c>
      <c r="F281" s="17">
        <v>26088</v>
      </c>
      <c r="G281" s="16">
        <v>4734</v>
      </c>
      <c r="H281" s="16">
        <v>35781.000001</v>
      </c>
      <c r="I281" s="59">
        <f t="shared" si="21"/>
        <v>0.10282970898813958</v>
      </c>
      <c r="J281" s="59">
        <f t="shared" si="22"/>
        <v>1.8659760899641706E-2</v>
      </c>
      <c r="K281" s="59">
        <f t="shared" si="23"/>
        <v>0.14103610155655674</v>
      </c>
      <c r="L281" s="73">
        <v>-2714024.6447000406</v>
      </c>
      <c r="M281" s="73">
        <v>26286953.861495577</v>
      </c>
      <c r="N281" s="73">
        <v>-1462725.5731999974</v>
      </c>
      <c r="O281" s="73">
        <v>45530672.393101312</v>
      </c>
      <c r="P281" s="61">
        <f t="shared" si="24"/>
        <v>0.10324606871530562</v>
      </c>
      <c r="Q281" s="61">
        <f t="shared" si="25"/>
        <v>3.212615795723732E-2</v>
      </c>
    </row>
    <row r="282" spans="1:17">
      <c r="A282" s="23">
        <v>6876800</v>
      </c>
      <c r="B282" s="18">
        <v>956291</v>
      </c>
      <c r="C282" s="16" t="s">
        <v>300</v>
      </c>
      <c r="D282" s="67" t="s">
        <v>18</v>
      </c>
      <c r="E282" s="16">
        <v>206742</v>
      </c>
      <c r="F282" s="17">
        <v>24848</v>
      </c>
      <c r="G282" s="16">
        <v>2239</v>
      </c>
      <c r="H282" s="16">
        <v>28076.000002000001</v>
      </c>
      <c r="I282" s="59">
        <f t="shared" si="21"/>
        <v>0.12018844743690203</v>
      </c>
      <c r="J282" s="59">
        <f t="shared" si="22"/>
        <v>1.0829923286027996E-2</v>
      </c>
      <c r="K282" s="59">
        <f t="shared" si="23"/>
        <v>0.13580211085314065</v>
      </c>
      <c r="L282" s="73">
        <v>-1655040.334500002</v>
      </c>
      <c r="M282" s="73">
        <v>18429633.947801888</v>
      </c>
      <c r="N282" s="73">
        <v>-1557468.0483999995</v>
      </c>
      <c r="O282" s="73">
        <v>24593919.426397771</v>
      </c>
      <c r="P282" s="61">
        <f t="shared" si="24"/>
        <v>8.9803212542775415E-2</v>
      </c>
      <c r="Q282" s="61">
        <f t="shared" si="25"/>
        <v>6.3327362401956078E-2</v>
      </c>
    </row>
    <row r="283" spans="1:17">
      <c r="A283" s="23">
        <v>6877900</v>
      </c>
      <c r="B283" s="18">
        <v>974764</v>
      </c>
      <c r="C283" s="16" t="s">
        <v>301</v>
      </c>
      <c r="D283" s="67" t="s">
        <v>18</v>
      </c>
      <c r="E283" s="16">
        <v>225972</v>
      </c>
      <c r="F283" s="17">
        <v>33938</v>
      </c>
      <c r="G283" s="16">
        <v>3784</v>
      </c>
      <c r="H283" s="16">
        <v>31248.999997999999</v>
      </c>
      <c r="I283" s="59">
        <f t="shared" si="21"/>
        <v>0.15018674880073637</v>
      </c>
      <c r="J283" s="59">
        <f t="shared" si="22"/>
        <v>1.6745437487830351E-2</v>
      </c>
      <c r="K283" s="59">
        <f t="shared" si="23"/>
        <v>0.13828704440373144</v>
      </c>
      <c r="L283" s="73">
        <v>-1759023.2487000036</v>
      </c>
      <c r="M283" s="73">
        <v>23541143.793401904</v>
      </c>
      <c r="N283" s="73">
        <v>-925798.40160000033</v>
      </c>
      <c r="O283" s="73">
        <v>31886636.707801647</v>
      </c>
      <c r="P283" s="61">
        <f t="shared" si="24"/>
        <v>7.4721231225520213E-2</v>
      </c>
      <c r="Q283" s="61">
        <f t="shared" si="25"/>
        <v>2.9034056181079983E-2</v>
      </c>
    </row>
    <row r="284" spans="1:17">
      <c r="A284" s="23">
        <v>6879000</v>
      </c>
      <c r="B284" s="18">
        <v>559617</v>
      </c>
      <c r="C284" s="16" t="s">
        <v>302</v>
      </c>
      <c r="D284" s="67" t="s">
        <v>18</v>
      </c>
      <c r="E284" s="16">
        <v>259791</v>
      </c>
      <c r="F284" s="17">
        <v>16601</v>
      </c>
      <c r="G284" s="16">
        <v>0</v>
      </c>
      <c r="H284" s="16">
        <v>18301</v>
      </c>
      <c r="I284" s="59">
        <f t="shared" si="21"/>
        <v>6.390136686798234E-2</v>
      </c>
      <c r="J284" s="59">
        <f t="shared" si="22"/>
        <v>0</v>
      </c>
      <c r="K284" s="59">
        <f t="shared" si="23"/>
        <v>7.0445088551951376E-2</v>
      </c>
      <c r="L284" s="73">
        <v>-667389.07040000078</v>
      </c>
      <c r="M284" s="73">
        <v>12188922.071099959</v>
      </c>
      <c r="N284" s="73">
        <v>-1160359.4271000007</v>
      </c>
      <c r="O284" s="73">
        <v>25281131.40100079</v>
      </c>
      <c r="P284" s="61">
        <f t="shared" si="24"/>
        <v>5.4753740035994328E-2</v>
      </c>
      <c r="Q284" s="61">
        <f t="shared" si="25"/>
        <v>4.589823962760093E-2</v>
      </c>
    </row>
    <row r="285" spans="1:17">
      <c r="A285" s="23">
        <v>6880100</v>
      </c>
      <c r="B285" s="18">
        <v>674621</v>
      </c>
      <c r="C285" s="16" t="s">
        <v>303</v>
      </c>
      <c r="D285" s="67" t="s">
        <v>18</v>
      </c>
      <c r="E285" s="16">
        <v>194164</v>
      </c>
      <c r="F285" s="17">
        <v>22516</v>
      </c>
      <c r="G285" s="16">
        <v>3197</v>
      </c>
      <c r="H285" s="16">
        <v>33889</v>
      </c>
      <c r="I285" s="59">
        <f t="shared" si="21"/>
        <v>0.11596382439587154</v>
      </c>
      <c r="J285" s="59">
        <f t="shared" si="22"/>
        <v>1.6465462186605138E-2</v>
      </c>
      <c r="K285" s="59">
        <f t="shared" si="23"/>
        <v>0.17453801940627511</v>
      </c>
      <c r="L285" s="73">
        <v>-1447673.2856000019</v>
      </c>
      <c r="M285" s="73">
        <v>23745824.076199856</v>
      </c>
      <c r="N285" s="73">
        <v>-1017345.8090999993</v>
      </c>
      <c r="O285" s="73">
        <v>32486458.374901455</v>
      </c>
      <c r="P285" s="61">
        <f t="shared" si="24"/>
        <v>6.0965384100987542E-2</v>
      </c>
      <c r="Q285" s="61">
        <f t="shared" si="25"/>
        <v>3.1315996264030588E-2</v>
      </c>
    </row>
    <row r="286" spans="1:17">
      <c r="A286" s="23">
        <v>6881200</v>
      </c>
      <c r="B286" s="18">
        <v>672233</v>
      </c>
      <c r="C286" s="16" t="s">
        <v>304</v>
      </c>
      <c r="D286" s="67" t="s">
        <v>18</v>
      </c>
      <c r="E286" s="16">
        <v>174190</v>
      </c>
      <c r="F286" s="17">
        <v>25789</v>
      </c>
      <c r="G286" s="16">
        <v>3962</v>
      </c>
      <c r="H286" s="16">
        <v>33657</v>
      </c>
      <c r="I286" s="59">
        <f t="shared" si="21"/>
        <v>0.14805097881623513</v>
      </c>
      <c r="J286" s="59">
        <f t="shared" si="22"/>
        <v>2.2745278144554796E-2</v>
      </c>
      <c r="K286" s="59">
        <f t="shared" si="23"/>
        <v>0.19322004707503301</v>
      </c>
      <c r="L286" s="73">
        <v>-1182925.5267000038</v>
      </c>
      <c r="M286" s="73">
        <v>24768754.113799885</v>
      </c>
      <c r="N286" s="73">
        <v>-623217.84970000037</v>
      </c>
      <c r="O286" s="73">
        <v>40461823.743799403</v>
      </c>
      <c r="P286" s="61">
        <f t="shared" si="24"/>
        <v>4.7758781942162286E-2</v>
      </c>
      <c r="Q286" s="61">
        <f t="shared" si="25"/>
        <v>1.540261392185778E-2</v>
      </c>
    </row>
    <row r="287" spans="1:17">
      <c r="A287" s="23">
        <v>6885200</v>
      </c>
      <c r="B287" s="18">
        <v>605124</v>
      </c>
      <c r="C287" s="16" t="s">
        <v>305</v>
      </c>
      <c r="D287" s="67" t="s">
        <v>20</v>
      </c>
      <c r="E287" s="16">
        <v>301829</v>
      </c>
      <c r="F287" s="17">
        <v>53404</v>
      </c>
      <c r="G287" s="16">
        <v>12931</v>
      </c>
      <c r="H287" s="16">
        <v>60642</v>
      </c>
      <c r="I287" s="59">
        <f t="shared" si="21"/>
        <v>0.17693462192168413</v>
      </c>
      <c r="J287" s="59">
        <f t="shared" si="22"/>
        <v>4.2842139092002428E-2</v>
      </c>
      <c r="K287" s="59">
        <f t="shared" si="23"/>
        <v>0.20091508768209815</v>
      </c>
      <c r="L287" s="73">
        <v>-2553110.6055000252</v>
      </c>
      <c r="M287" s="73">
        <v>54980824.985902868</v>
      </c>
      <c r="N287" s="73">
        <v>-623752.41449999937</v>
      </c>
      <c r="O287" s="73">
        <v>90562652.405001953</v>
      </c>
      <c r="P287" s="61">
        <f t="shared" si="24"/>
        <v>4.6436382250623652E-2</v>
      </c>
      <c r="Q287" s="61">
        <f t="shared" si="25"/>
        <v>6.8875236969710074E-3</v>
      </c>
    </row>
    <row r="288" spans="1:17">
      <c r="A288" s="23">
        <v>6894100</v>
      </c>
      <c r="B288" s="18">
        <v>632550</v>
      </c>
      <c r="C288" s="16" t="s">
        <v>306</v>
      </c>
      <c r="D288" s="67" t="s">
        <v>31</v>
      </c>
      <c r="E288" s="16">
        <v>109856</v>
      </c>
      <c r="F288" s="17">
        <v>8605</v>
      </c>
      <c r="G288" s="16">
        <v>0</v>
      </c>
      <c r="H288" s="16">
        <v>10926.000001</v>
      </c>
      <c r="I288" s="59">
        <f t="shared" si="21"/>
        <v>7.8329813574133406E-2</v>
      </c>
      <c r="J288" s="59">
        <f t="shared" si="22"/>
        <v>0</v>
      </c>
      <c r="K288" s="59">
        <f t="shared" si="23"/>
        <v>9.9457471608287218E-2</v>
      </c>
      <c r="L288" s="73">
        <v>-545609.51950000145</v>
      </c>
      <c r="M288" s="73">
        <v>7464444.6861989852</v>
      </c>
      <c r="N288" s="73">
        <v>-764379.74630000035</v>
      </c>
      <c r="O288" s="73">
        <v>18356897.281799886</v>
      </c>
      <c r="P288" s="61">
        <f t="shared" si="24"/>
        <v>7.3094455440038175E-2</v>
      </c>
      <c r="Q288" s="61">
        <f t="shared" si="25"/>
        <v>4.1639920655755461E-2</v>
      </c>
    </row>
    <row r="289" spans="1:17">
      <c r="A289" s="23">
        <v>6897100</v>
      </c>
      <c r="B289" s="18">
        <v>679458</v>
      </c>
      <c r="C289" s="16" t="s">
        <v>307</v>
      </c>
      <c r="D289" s="67" t="s">
        <v>20</v>
      </c>
      <c r="E289" s="16">
        <v>591359</v>
      </c>
      <c r="F289" s="17">
        <v>201032</v>
      </c>
      <c r="G289" s="16">
        <v>26710.999999</v>
      </c>
      <c r="H289" s="16">
        <v>197359.00000100001</v>
      </c>
      <c r="I289" s="59">
        <f t="shared" si="21"/>
        <v>0.33994916793352259</v>
      </c>
      <c r="J289" s="59">
        <f t="shared" si="22"/>
        <v>4.5168839907737936E-2</v>
      </c>
      <c r="K289" s="59">
        <f t="shared" si="23"/>
        <v>0.33373805083037544</v>
      </c>
      <c r="L289" s="73">
        <v>-6487335.9986000592</v>
      </c>
      <c r="M289" s="73">
        <v>195295668.56269765</v>
      </c>
      <c r="N289" s="73">
        <v>-2505214.261600005</v>
      </c>
      <c r="O289" s="73">
        <v>249487108.34349641</v>
      </c>
      <c r="P289" s="61">
        <f t="shared" si="24"/>
        <v>3.3218022941032953E-2</v>
      </c>
      <c r="Q289" s="61">
        <f t="shared" si="25"/>
        <v>1.0041457766029339E-2</v>
      </c>
    </row>
    <row r="290" spans="1:17">
      <c r="A290" s="23">
        <v>6897500</v>
      </c>
      <c r="B290" s="18">
        <v>908437</v>
      </c>
      <c r="C290" s="16" t="s">
        <v>308</v>
      </c>
      <c r="D290" s="67" t="s">
        <v>20</v>
      </c>
      <c r="E290" s="16">
        <v>452237</v>
      </c>
      <c r="F290" s="17">
        <v>148921.00000199999</v>
      </c>
      <c r="G290" s="16">
        <v>21396</v>
      </c>
      <c r="H290" s="16">
        <v>126371</v>
      </c>
      <c r="I290" s="59">
        <f t="shared" si="21"/>
        <v>0.32929857575121008</v>
      </c>
      <c r="J290" s="59">
        <f t="shared" si="22"/>
        <v>4.7311476062330153E-2</v>
      </c>
      <c r="K290" s="59">
        <f t="shared" si="23"/>
        <v>0.2794353403193458</v>
      </c>
      <c r="L290" s="73">
        <v>-6289301.1704000682</v>
      </c>
      <c r="M290" s="73">
        <v>125651280.98729742</v>
      </c>
      <c r="N290" s="73">
        <v>-2541983.195500005</v>
      </c>
      <c r="O290" s="73">
        <v>165110909.34392473</v>
      </c>
      <c r="P290" s="61">
        <f t="shared" si="24"/>
        <v>5.005361760725606E-2</v>
      </c>
      <c r="Q290" s="61">
        <f t="shared" si="25"/>
        <v>1.5395610172584501E-2</v>
      </c>
    </row>
    <row r="291" spans="1:17">
      <c r="A291" s="23">
        <v>6903700</v>
      </c>
      <c r="B291" s="18">
        <v>1030958</v>
      </c>
      <c r="C291" s="16" t="s">
        <v>309</v>
      </c>
      <c r="D291" s="67" t="s">
        <v>18</v>
      </c>
      <c r="E291" s="16">
        <v>330083</v>
      </c>
      <c r="F291" s="17">
        <v>56130.999999</v>
      </c>
      <c r="G291" s="16">
        <v>0</v>
      </c>
      <c r="H291" s="16">
        <v>49077.000001</v>
      </c>
      <c r="I291" s="59">
        <f t="shared" si="21"/>
        <v>0.17005116894538647</v>
      </c>
      <c r="J291" s="59">
        <f t="shared" si="22"/>
        <v>0</v>
      </c>
      <c r="K291" s="59">
        <f t="shared" si="23"/>
        <v>0.14868078635070572</v>
      </c>
      <c r="L291" s="73">
        <v>-1433875.7300999982</v>
      </c>
      <c r="M291" s="73">
        <v>32103177.911098711</v>
      </c>
      <c r="N291" s="73">
        <v>-580660.10799999977</v>
      </c>
      <c r="O291" s="73">
        <v>54071339.286597282</v>
      </c>
      <c r="P291" s="61">
        <f t="shared" si="24"/>
        <v>4.4664604048569242E-2</v>
      </c>
      <c r="Q291" s="61">
        <f t="shared" si="25"/>
        <v>1.0738777985917738E-2</v>
      </c>
    </row>
    <row r="292" spans="1:17">
      <c r="A292" s="23">
        <v>6905600</v>
      </c>
      <c r="B292" s="18">
        <v>310028</v>
      </c>
      <c r="C292" s="16" t="s">
        <v>310</v>
      </c>
      <c r="D292" s="67" t="s">
        <v>20</v>
      </c>
      <c r="E292" s="16">
        <v>210345</v>
      </c>
      <c r="F292" s="17">
        <v>34792.999995999999</v>
      </c>
      <c r="G292" s="16">
        <v>8373</v>
      </c>
      <c r="H292" s="16">
        <v>33515</v>
      </c>
      <c r="I292" s="59">
        <f t="shared" si="21"/>
        <v>0.1654092086619601</v>
      </c>
      <c r="J292" s="59">
        <f t="shared" si="22"/>
        <v>3.9806032945874634E-2</v>
      </c>
      <c r="K292" s="59">
        <f t="shared" si="23"/>
        <v>0.15933347595616726</v>
      </c>
      <c r="L292" s="73">
        <v>-2694075.8332000393</v>
      </c>
      <c r="M292" s="73">
        <v>29555943.428100031</v>
      </c>
      <c r="N292" s="73">
        <v>-1078939.8763999995</v>
      </c>
      <c r="O292" s="73">
        <v>30997737.156199582</v>
      </c>
      <c r="P292" s="61">
        <f t="shared" si="24"/>
        <v>9.1151745494230191E-2</v>
      </c>
      <c r="Q292" s="61">
        <f t="shared" si="25"/>
        <v>3.4807052881413648E-2</v>
      </c>
    </row>
    <row r="293" spans="1:17">
      <c r="A293" s="23">
        <v>6908900</v>
      </c>
      <c r="B293" s="18">
        <v>361149</v>
      </c>
      <c r="C293" s="16" t="s">
        <v>311</v>
      </c>
      <c r="D293" s="67" t="s">
        <v>20</v>
      </c>
      <c r="E293" s="16">
        <v>382828</v>
      </c>
      <c r="F293" s="17">
        <v>153563.00000299999</v>
      </c>
      <c r="G293" s="16">
        <v>21734</v>
      </c>
      <c r="H293" s="16">
        <v>147034.00000500001</v>
      </c>
      <c r="I293" s="59">
        <f t="shared" ref="I293:I341" si="26">F293/$E293</f>
        <v>0.40112792168545663</v>
      </c>
      <c r="J293" s="59">
        <f t="shared" ref="J293:J341" si="27">G293/$E293</f>
        <v>5.6772231916160786E-2</v>
      </c>
      <c r="K293" s="59">
        <f t="shared" ref="K293:K341" si="28">H293/$E293</f>
        <v>0.38407326529146252</v>
      </c>
      <c r="L293" s="73">
        <v>-3528928.6789999874</v>
      </c>
      <c r="M293" s="73">
        <v>133132116.53810191</v>
      </c>
      <c r="N293" s="73">
        <v>-881565.2388000004</v>
      </c>
      <c r="O293" s="73">
        <v>158691278.58929962</v>
      </c>
      <c r="P293" s="61">
        <f t="shared" ref="P293:P341" si="29">ABS(L293/M293)</f>
        <v>2.6506967445304765E-2</v>
      </c>
      <c r="Q293" s="61">
        <f t="shared" ref="Q293:Q341" si="30">ABS(N293/O293)</f>
        <v>5.5552217276006203E-3</v>
      </c>
    </row>
    <row r="294" spans="1:17">
      <c r="A294" s="23">
        <v>6910000</v>
      </c>
      <c r="B294" s="18">
        <v>759854</v>
      </c>
      <c r="C294" s="16" t="s">
        <v>312</v>
      </c>
      <c r="D294" s="67" t="s">
        <v>20</v>
      </c>
      <c r="E294" s="16">
        <v>412199</v>
      </c>
      <c r="F294" s="17">
        <v>171304.99951700002</v>
      </c>
      <c r="G294" s="16">
        <v>28028.999516</v>
      </c>
      <c r="H294" s="16">
        <v>150845.00000200002</v>
      </c>
      <c r="I294" s="59">
        <f t="shared" si="26"/>
        <v>0.41558810069165625</v>
      </c>
      <c r="J294" s="59">
        <f t="shared" si="27"/>
        <v>6.799870818706498E-2</v>
      </c>
      <c r="K294" s="59">
        <f t="shared" si="28"/>
        <v>0.36595188246938981</v>
      </c>
      <c r="L294" s="73">
        <v>-4833364.8472000211</v>
      </c>
      <c r="M294" s="73">
        <v>146283190.19938743</v>
      </c>
      <c r="N294" s="73">
        <v>-1058066.1993000004</v>
      </c>
      <c r="O294" s="73">
        <v>174780721.87278605</v>
      </c>
      <c r="P294" s="61">
        <f t="shared" si="29"/>
        <v>3.304115011856134E-2</v>
      </c>
      <c r="Q294" s="61">
        <f t="shared" si="30"/>
        <v>6.053677934057926E-3</v>
      </c>
    </row>
    <row r="295" spans="1:17">
      <c r="A295" s="23">
        <v>6911100</v>
      </c>
      <c r="B295" s="18">
        <v>1062346</v>
      </c>
      <c r="C295" s="16" t="s">
        <v>313</v>
      </c>
      <c r="D295" s="67" t="s">
        <v>18</v>
      </c>
      <c r="E295" s="16">
        <v>201357</v>
      </c>
      <c r="F295" s="17">
        <v>19336</v>
      </c>
      <c r="G295" s="16">
        <v>1135</v>
      </c>
      <c r="H295" s="16">
        <v>21298</v>
      </c>
      <c r="I295" s="59">
        <f t="shared" si="26"/>
        <v>9.6028446987191901E-2</v>
      </c>
      <c r="J295" s="59">
        <f t="shared" si="27"/>
        <v>5.6367546199039519E-3</v>
      </c>
      <c r="K295" s="59">
        <f t="shared" si="28"/>
        <v>0.10577233470899944</v>
      </c>
      <c r="L295" s="73">
        <v>-1041170.7529999968</v>
      </c>
      <c r="M295" s="73">
        <v>15402288.286199961</v>
      </c>
      <c r="N295" s="73">
        <v>-1458325.8512999984</v>
      </c>
      <c r="O295" s="73">
        <v>37813645.516299523</v>
      </c>
      <c r="P295" s="61">
        <f t="shared" si="29"/>
        <v>6.7598446000576295E-2</v>
      </c>
      <c r="Q295" s="61">
        <f t="shared" si="30"/>
        <v>3.856612689383225E-2</v>
      </c>
    </row>
    <row r="296" spans="1:17">
      <c r="A296" s="23">
        <v>6977100</v>
      </c>
      <c r="B296" s="18">
        <v>373989</v>
      </c>
      <c r="C296" s="16" t="s">
        <v>314</v>
      </c>
      <c r="D296" s="67" t="s">
        <v>31</v>
      </c>
      <c r="E296" s="16">
        <v>167001</v>
      </c>
      <c r="F296" s="17">
        <v>8755</v>
      </c>
      <c r="G296" s="16">
        <v>0</v>
      </c>
      <c r="H296" s="16">
        <v>20294</v>
      </c>
      <c r="I296" s="59">
        <f t="shared" si="26"/>
        <v>5.2424835779426471E-2</v>
      </c>
      <c r="J296" s="59">
        <f t="shared" si="27"/>
        <v>0</v>
      </c>
      <c r="K296" s="59">
        <f t="shared" si="28"/>
        <v>0.12152023041778193</v>
      </c>
      <c r="L296" s="73">
        <v>-670955.78379999823</v>
      </c>
      <c r="M296" s="73">
        <v>12361825.680399973</v>
      </c>
      <c r="N296" s="73">
        <v>-207574.32959999988</v>
      </c>
      <c r="O296" s="73">
        <v>18630852.650700003</v>
      </c>
      <c r="P296" s="61">
        <f t="shared" si="29"/>
        <v>5.4276431422570354E-2</v>
      </c>
      <c r="Q296" s="61">
        <f t="shared" si="30"/>
        <v>1.1141429407000374E-2</v>
      </c>
    </row>
    <row r="297" spans="1:17">
      <c r="A297" s="23">
        <v>6977500</v>
      </c>
      <c r="B297" s="18">
        <v>885681</v>
      </c>
      <c r="C297" s="16" t="s">
        <v>315</v>
      </c>
      <c r="D297" s="67" t="s">
        <v>31</v>
      </c>
      <c r="E297" s="16">
        <v>122553</v>
      </c>
      <c r="F297" s="17">
        <v>9412</v>
      </c>
      <c r="G297" s="16">
        <v>0</v>
      </c>
      <c r="H297" s="16">
        <v>0</v>
      </c>
      <c r="I297" s="59">
        <f t="shared" si="26"/>
        <v>7.6799425554657991E-2</v>
      </c>
      <c r="J297" s="59">
        <f t="shared" si="27"/>
        <v>0</v>
      </c>
      <c r="K297" s="59">
        <f t="shared" si="28"/>
        <v>0</v>
      </c>
      <c r="L297" s="73">
        <v>0</v>
      </c>
      <c r="M297" s="73">
        <v>0</v>
      </c>
      <c r="N297" s="73">
        <v>-132595.29569999993</v>
      </c>
      <c r="O297" s="73">
        <v>12072366.387200005</v>
      </c>
      <c r="P297" s="61">
        <v>0</v>
      </c>
      <c r="Q297" s="61">
        <f t="shared" si="30"/>
        <v>1.0983372393384866E-2</v>
      </c>
    </row>
    <row r="298" spans="1:17">
      <c r="A298" s="23">
        <v>6979300</v>
      </c>
      <c r="B298" s="18">
        <v>1136370</v>
      </c>
      <c r="C298" s="16" t="s">
        <v>316</v>
      </c>
      <c r="D298" s="67" t="s">
        <v>18</v>
      </c>
      <c r="E298" s="16">
        <v>231632</v>
      </c>
      <c r="F298" s="17">
        <v>13461</v>
      </c>
      <c r="G298" s="16">
        <v>2313</v>
      </c>
      <c r="H298" s="16">
        <v>21569.999999</v>
      </c>
      <c r="I298" s="59">
        <f t="shared" si="26"/>
        <v>5.8113732126821853E-2</v>
      </c>
      <c r="J298" s="59">
        <f t="shared" si="27"/>
        <v>9.9856669199419774E-3</v>
      </c>
      <c r="K298" s="59">
        <f t="shared" si="28"/>
        <v>9.3121848444947156E-2</v>
      </c>
      <c r="L298" s="73">
        <v>-734081.13329999673</v>
      </c>
      <c r="M298" s="73">
        <v>13916073.357899953</v>
      </c>
      <c r="N298" s="73">
        <v>-741964.22510000016</v>
      </c>
      <c r="O298" s="73">
        <v>13414655.833800962</v>
      </c>
      <c r="P298" s="61">
        <f t="shared" si="29"/>
        <v>5.2750593822018736E-2</v>
      </c>
      <c r="Q298" s="61">
        <f t="shared" si="30"/>
        <v>5.5309970996830937E-2</v>
      </c>
    </row>
    <row r="299" spans="1:17">
      <c r="A299" s="23">
        <v>6980400</v>
      </c>
      <c r="B299" s="18">
        <v>994387</v>
      </c>
      <c r="C299" s="16" t="s">
        <v>317</v>
      </c>
      <c r="D299" s="67" t="s">
        <v>20</v>
      </c>
      <c r="E299" s="16">
        <v>319180</v>
      </c>
      <c r="F299" s="17">
        <v>33433</v>
      </c>
      <c r="G299" s="16">
        <v>6055</v>
      </c>
      <c r="H299" s="16">
        <v>50978</v>
      </c>
      <c r="I299" s="59">
        <f t="shared" si="26"/>
        <v>0.10474653800363432</v>
      </c>
      <c r="J299" s="59">
        <f t="shared" si="27"/>
        <v>1.8970486872611065E-2</v>
      </c>
      <c r="K299" s="59">
        <f t="shared" si="28"/>
        <v>0.15971552102262046</v>
      </c>
      <c r="L299" s="73">
        <v>-3285501.7138000331</v>
      </c>
      <c r="M299" s="73">
        <v>36163310.500996597</v>
      </c>
      <c r="N299" s="73">
        <v>-1047347.4025999999</v>
      </c>
      <c r="O299" s="73">
        <v>49496551.842899278</v>
      </c>
      <c r="P299" s="61">
        <f t="shared" si="29"/>
        <v>9.0851796151502517E-2</v>
      </c>
      <c r="Q299" s="61">
        <f t="shared" si="30"/>
        <v>2.1160007386459009E-2</v>
      </c>
    </row>
    <row r="300" spans="1:17">
      <c r="A300" s="23">
        <v>6982600</v>
      </c>
      <c r="B300" s="18">
        <v>343832</v>
      </c>
      <c r="C300" s="16" t="s">
        <v>318</v>
      </c>
      <c r="D300" s="67" t="s">
        <v>31</v>
      </c>
      <c r="E300" s="16">
        <v>235790</v>
      </c>
      <c r="F300" s="17">
        <v>7911</v>
      </c>
      <c r="G300" s="16">
        <v>0</v>
      </c>
      <c r="H300" s="16">
        <v>31899</v>
      </c>
      <c r="I300" s="59">
        <f t="shared" si="26"/>
        <v>3.3551041180711651E-2</v>
      </c>
      <c r="J300" s="59">
        <f t="shared" si="27"/>
        <v>0</v>
      </c>
      <c r="K300" s="59">
        <f t="shared" si="28"/>
        <v>0.13528563552313499</v>
      </c>
      <c r="L300" s="73">
        <v>-557617.36679999821</v>
      </c>
      <c r="M300" s="73">
        <v>17524160.467899885</v>
      </c>
      <c r="N300" s="73">
        <v>-390103.34329999995</v>
      </c>
      <c r="O300" s="73">
        <v>21072315.032900982</v>
      </c>
      <c r="P300" s="61">
        <f t="shared" si="29"/>
        <v>3.1819919009610835E-2</v>
      </c>
      <c r="Q300" s="61">
        <f t="shared" si="30"/>
        <v>1.8512600190862618E-2</v>
      </c>
    </row>
    <row r="301" spans="1:17">
      <c r="A301" s="23">
        <v>6986700</v>
      </c>
      <c r="B301" s="18">
        <v>277337</v>
      </c>
      <c r="C301" s="16" t="s">
        <v>319</v>
      </c>
      <c r="D301" s="67" t="s">
        <v>18</v>
      </c>
      <c r="E301" s="16">
        <v>344965</v>
      </c>
      <c r="F301" s="17">
        <v>35670</v>
      </c>
      <c r="G301" s="16">
        <v>1504</v>
      </c>
      <c r="H301" s="16">
        <v>43166.999999</v>
      </c>
      <c r="I301" s="59">
        <f t="shared" si="26"/>
        <v>0.1034017943849376</v>
      </c>
      <c r="J301" s="59">
        <f t="shared" si="27"/>
        <v>4.3598625947559901E-3</v>
      </c>
      <c r="K301" s="59">
        <f t="shared" si="28"/>
        <v>0.12513443392518081</v>
      </c>
      <c r="L301" s="73">
        <v>-1304071.3888000064</v>
      </c>
      <c r="M301" s="73">
        <v>27373597.876001775</v>
      </c>
      <c r="N301" s="73">
        <v>-730770.66359999997</v>
      </c>
      <c r="O301" s="73">
        <v>42634132.384501226</v>
      </c>
      <c r="P301" s="61">
        <f t="shared" si="29"/>
        <v>4.7639751073543596E-2</v>
      </c>
      <c r="Q301" s="61">
        <f t="shared" si="30"/>
        <v>1.7140507446227679E-2</v>
      </c>
    </row>
    <row r="302" spans="1:17">
      <c r="A302" s="23">
        <v>6991100</v>
      </c>
      <c r="B302" s="18">
        <v>1001593</v>
      </c>
      <c r="C302" s="16" t="s">
        <v>320</v>
      </c>
      <c r="D302" s="67" t="s">
        <v>18</v>
      </c>
      <c r="E302" s="16">
        <v>395715</v>
      </c>
      <c r="F302" s="17">
        <v>52729.999999</v>
      </c>
      <c r="G302" s="16">
        <v>11065</v>
      </c>
      <c r="H302" s="16">
        <v>66305.999998999992</v>
      </c>
      <c r="I302" s="59">
        <f t="shared" si="26"/>
        <v>0.1332524670507815</v>
      </c>
      <c r="J302" s="59">
        <f t="shared" si="27"/>
        <v>2.7962043389813375E-2</v>
      </c>
      <c r="K302" s="59">
        <f t="shared" si="28"/>
        <v>0.16755998635128816</v>
      </c>
      <c r="L302" s="73">
        <v>-1609739.6741000076</v>
      </c>
      <c r="M302" s="73">
        <v>51858292.146998435</v>
      </c>
      <c r="N302" s="73">
        <v>-126052.60880000003</v>
      </c>
      <c r="O302" s="73">
        <v>73107974.270600706</v>
      </c>
      <c r="P302" s="61">
        <f t="shared" si="29"/>
        <v>3.1041123944788057E-2</v>
      </c>
      <c r="Q302" s="61">
        <f t="shared" si="30"/>
        <v>1.7241978054737352E-3</v>
      </c>
    </row>
    <row r="303" spans="1:17">
      <c r="A303" s="23">
        <v>6991500</v>
      </c>
      <c r="B303" s="18">
        <v>739366</v>
      </c>
      <c r="C303" s="16" t="s">
        <v>321</v>
      </c>
      <c r="D303" s="67" t="s">
        <v>31</v>
      </c>
      <c r="E303" s="16">
        <v>134345</v>
      </c>
      <c r="F303" s="17">
        <v>3827</v>
      </c>
      <c r="G303" s="16">
        <v>0</v>
      </c>
      <c r="H303" s="16">
        <v>8671</v>
      </c>
      <c r="I303" s="59">
        <f t="shared" si="26"/>
        <v>2.8486359745431539E-2</v>
      </c>
      <c r="J303" s="59">
        <f t="shared" si="27"/>
        <v>0</v>
      </c>
      <c r="K303" s="59">
        <f t="shared" si="28"/>
        <v>6.4542781644274072E-2</v>
      </c>
      <c r="L303" s="73">
        <v>-762247.3446999928</v>
      </c>
      <c r="M303" s="73">
        <v>4922641.8875000058</v>
      </c>
      <c r="N303" s="73">
        <v>-267177.79259999993</v>
      </c>
      <c r="O303" s="73">
        <v>9579070.8797019999</v>
      </c>
      <c r="P303" s="61">
        <f t="shared" si="29"/>
        <v>0.15484517503407197</v>
      </c>
      <c r="Q303" s="61">
        <f t="shared" si="30"/>
        <v>2.7891827501365318E-2</v>
      </c>
    </row>
    <row r="304" spans="1:17">
      <c r="A304" s="23">
        <v>6995200</v>
      </c>
      <c r="B304" s="18">
        <v>380953</v>
      </c>
      <c r="C304" s="16" t="s">
        <v>322</v>
      </c>
      <c r="D304" s="67" t="s">
        <v>31</v>
      </c>
      <c r="E304" s="16">
        <v>123282</v>
      </c>
      <c r="F304" s="17">
        <v>6397</v>
      </c>
      <c r="G304" s="16">
        <v>0</v>
      </c>
      <c r="H304" s="16">
        <v>0</v>
      </c>
      <c r="I304" s="59">
        <f t="shared" si="26"/>
        <v>5.1889164679353027E-2</v>
      </c>
      <c r="J304" s="59">
        <f t="shared" si="27"/>
        <v>0</v>
      </c>
      <c r="K304" s="59">
        <f t="shared" si="28"/>
        <v>0</v>
      </c>
      <c r="L304" s="73">
        <v>0</v>
      </c>
      <c r="M304" s="73">
        <v>0</v>
      </c>
      <c r="N304" s="73">
        <v>-5805.4317000000001</v>
      </c>
      <c r="O304" s="73">
        <v>5230397.6831000159</v>
      </c>
      <c r="P304" s="61">
        <v>0</v>
      </c>
      <c r="Q304" s="61">
        <f t="shared" si="30"/>
        <v>1.1099407830417909E-3</v>
      </c>
    </row>
    <row r="305" spans="1:17">
      <c r="A305" s="23">
        <v>6999600</v>
      </c>
      <c r="B305" s="18">
        <v>896602</v>
      </c>
      <c r="C305" s="16" t="s">
        <v>323</v>
      </c>
      <c r="D305" s="67" t="s">
        <v>18</v>
      </c>
      <c r="E305" s="16">
        <v>179902</v>
      </c>
      <c r="F305" s="17">
        <v>24390</v>
      </c>
      <c r="G305" s="16">
        <v>3713</v>
      </c>
      <c r="H305" s="16">
        <v>20196</v>
      </c>
      <c r="I305" s="59">
        <f t="shared" si="26"/>
        <v>0.13557381240897823</v>
      </c>
      <c r="J305" s="59">
        <f t="shared" si="27"/>
        <v>2.0639014574601728E-2</v>
      </c>
      <c r="K305" s="59">
        <f t="shared" si="28"/>
        <v>0.11226111994308012</v>
      </c>
      <c r="L305" s="73">
        <v>-1571211.085600008</v>
      </c>
      <c r="M305" s="73">
        <v>14813266.078499876</v>
      </c>
      <c r="N305" s="73">
        <v>-488190.12389999989</v>
      </c>
      <c r="O305" s="73">
        <v>23364622.391898859</v>
      </c>
      <c r="P305" s="61">
        <f t="shared" si="29"/>
        <v>0.10606783657794952</v>
      </c>
      <c r="Q305" s="61">
        <f t="shared" si="30"/>
        <v>2.0894415313524112E-2</v>
      </c>
    </row>
    <row r="306" spans="1:17">
      <c r="A306" s="23">
        <v>7000700</v>
      </c>
      <c r="B306" s="18">
        <v>359810</v>
      </c>
      <c r="C306" s="16" t="s">
        <v>324</v>
      </c>
      <c r="D306" s="67" t="s">
        <v>18</v>
      </c>
      <c r="E306" s="16">
        <v>198143</v>
      </c>
      <c r="F306" s="17">
        <v>18671.000001</v>
      </c>
      <c r="G306" s="16">
        <v>2777</v>
      </c>
      <c r="H306" s="16">
        <v>31345.000003000001</v>
      </c>
      <c r="I306" s="59">
        <f t="shared" si="26"/>
        <v>9.4229924857300029E-2</v>
      </c>
      <c r="J306" s="59">
        <f t="shared" si="27"/>
        <v>1.4015130486567782E-2</v>
      </c>
      <c r="K306" s="59">
        <f t="shared" si="28"/>
        <v>0.15819382972398724</v>
      </c>
      <c r="L306" s="73">
        <v>-1202445.3919000058</v>
      </c>
      <c r="M306" s="73">
        <v>20145689.646504808</v>
      </c>
      <c r="N306" s="73">
        <v>-637209.61489999958</v>
      </c>
      <c r="O306" s="73">
        <v>28142286.750997748</v>
      </c>
      <c r="P306" s="61">
        <f t="shared" si="29"/>
        <v>5.9687477222137436E-2</v>
      </c>
      <c r="Q306" s="61">
        <f t="shared" si="30"/>
        <v>2.2642424922253632E-2</v>
      </c>
    </row>
    <row r="307" spans="1:17">
      <c r="A307" s="23">
        <v>7002900</v>
      </c>
      <c r="B307" s="18">
        <v>641618</v>
      </c>
      <c r="C307" s="16" t="s">
        <v>325</v>
      </c>
      <c r="D307" s="67" t="s">
        <v>20</v>
      </c>
      <c r="E307" s="16">
        <v>369187</v>
      </c>
      <c r="F307" s="17">
        <v>34231</v>
      </c>
      <c r="G307" s="16">
        <v>7941</v>
      </c>
      <c r="H307" s="16">
        <v>62636</v>
      </c>
      <c r="I307" s="59">
        <f t="shared" si="26"/>
        <v>9.2719949510681576E-2</v>
      </c>
      <c r="J307" s="59">
        <f t="shared" si="27"/>
        <v>2.1509424763060454E-2</v>
      </c>
      <c r="K307" s="59">
        <f t="shared" si="28"/>
        <v>0.16965927836028896</v>
      </c>
      <c r="L307" s="73">
        <v>-2269902.5173999914</v>
      </c>
      <c r="M307" s="73">
        <v>45211116.128699355</v>
      </c>
      <c r="N307" s="73">
        <v>-725509.8433000003</v>
      </c>
      <c r="O307" s="73">
        <v>67128852.674995795</v>
      </c>
      <c r="P307" s="61">
        <f t="shared" si="29"/>
        <v>5.0206734798106223E-2</v>
      </c>
      <c r="Q307" s="61">
        <f t="shared" si="30"/>
        <v>1.080771999504527E-2</v>
      </c>
    </row>
    <row r="308" spans="1:17">
      <c r="A308" s="23">
        <v>7375200</v>
      </c>
      <c r="B308" s="18">
        <v>1086515</v>
      </c>
      <c r="C308" s="16" t="s">
        <v>326</v>
      </c>
      <c r="D308" s="67" t="s">
        <v>18</v>
      </c>
      <c r="E308" s="16">
        <v>190573</v>
      </c>
      <c r="F308" s="17">
        <v>16026</v>
      </c>
      <c r="G308" s="16">
        <v>0</v>
      </c>
      <c r="H308" s="16">
        <v>14379</v>
      </c>
      <c r="I308" s="59">
        <f t="shared" si="26"/>
        <v>8.4093759346811986E-2</v>
      </c>
      <c r="J308" s="59">
        <f t="shared" si="27"/>
        <v>0</v>
      </c>
      <c r="K308" s="59">
        <f t="shared" si="28"/>
        <v>7.5451401825022427E-2</v>
      </c>
      <c r="L308" s="73">
        <v>-717770.14679999545</v>
      </c>
      <c r="M308" s="73">
        <v>9279562.871599976</v>
      </c>
      <c r="N308" s="73">
        <v>-2365241.7483000006</v>
      </c>
      <c r="O308" s="73">
        <v>30748241.315698802</v>
      </c>
      <c r="P308" s="61">
        <f t="shared" si="29"/>
        <v>7.7349564492603953E-2</v>
      </c>
      <c r="Q308" s="61">
        <f t="shared" si="30"/>
        <v>7.6922830285334212E-2</v>
      </c>
    </row>
    <row r="309" spans="1:17">
      <c r="A309" s="23">
        <v>7383200</v>
      </c>
      <c r="B309" s="18">
        <v>559661</v>
      </c>
      <c r="C309" s="16" t="s">
        <v>327</v>
      </c>
      <c r="D309" s="67" t="s">
        <v>20</v>
      </c>
      <c r="E309" s="16">
        <v>307231</v>
      </c>
      <c r="F309" s="17">
        <v>39465</v>
      </c>
      <c r="G309" s="16">
        <v>8480.9999979999993</v>
      </c>
      <c r="H309" s="16">
        <v>49461</v>
      </c>
      <c r="I309" s="59">
        <f t="shared" si="26"/>
        <v>0.12845383441124106</v>
      </c>
      <c r="J309" s="59">
        <f t="shared" si="27"/>
        <v>2.7604636244389399E-2</v>
      </c>
      <c r="K309" s="59">
        <f t="shared" si="28"/>
        <v>0.16098961367830719</v>
      </c>
      <c r="L309" s="73">
        <v>-4274699.809100043</v>
      </c>
      <c r="M309" s="73">
        <v>41500459.246501878</v>
      </c>
      <c r="N309" s="73">
        <v>-3416432.8243999975</v>
      </c>
      <c r="O309" s="73">
        <v>61794363.179396018</v>
      </c>
      <c r="P309" s="61">
        <f t="shared" si="29"/>
        <v>0.10300367481982413</v>
      </c>
      <c r="Q309" s="61">
        <f t="shared" si="30"/>
        <v>5.5287127314213223E-2</v>
      </c>
    </row>
    <row r="310" spans="1:17">
      <c r="A310" s="23">
        <v>7387200</v>
      </c>
      <c r="B310" s="18">
        <v>567450</v>
      </c>
      <c r="C310" s="16" t="s">
        <v>328</v>
      </c>
      <c r="D310" s="67" t="s">
        <v>18</v>
      </c>
      <c r="E310" s="16">
        <v>203367</v>
      </c>
      <c r="F310" s="17">
        <v>19949.999995999999</v>
      </c>
      <c r="G310" s="16">
        <v>0</v>
      </c>
      <c r="H310" s="16">
        <v>19698.999996999999</v>
      </c>
      <c r="I310" s="59">
        <f t="shared" si="26"/>
        <v>9.8098511538253497E-2</v>
      </c>
      <c r="J310" s="59">
        <f t="shared" si="27"/>
        <v>0</v>
      </c>
      <c r="K310" s="59">
        <f t="shared" si="28"/>
        <v>9.6864289668431941E-2</v>
      </c>
      <c r="L310" s="73">
        <v>-629986.52840000193</v>
      </c>
      <c r="M310" s="73">
        <v>12984394.958496962</v>
      </c>
      <c r="N310" s="73">
        <v>-2616202.8631999977</v>
      </c>
      <c r="O310" s="73">
        <v>28997757.420199636</v>
      </c>
      <c r="P310" s="61">
        <f t="shared" si="29"/>
        <v>4.8518743492760134E-2</v>
      </c>
      <c r="Q310" s="61">
        <f t="shared" si="30"/>
        <v>9.0220868644744545E-2</v>
      </c>
    </row>
    <row r="311" spans="1:17">
      <c r="A311" s="23">
        <v>7391200</v>
      </c>
      <c r="B311" s="18">
        <v>830815</v>
      </c>
      <c r="C311" s="16" t="s">
        <v>329</v>
      </c>
      <c r="D311" s="67" t="s">
        <v>31</v>
      </c>
      <c r="E311" s="16">
        <v>86873</v>
      </c>
      <c r="F311" s="17">
        <v>7725</v>
      </c>
      <c r="G311" s="16">
        <v>0</v>
      </c>
      <c r="H311" s="16">
        <v>10848.000002000001</v>
      </c>
      <c r="I311" s="59">
        <f t="shared" si="26"/>
        <v>8.8922910455492499E-2</v>
      </c>
      <c r="J311" s="59">
        <f t="shared" si="27"/>
        <v>0</v>
      </c>
      <c r="K311" s="59">
        <f t="shared" si="28"/>
        <v>0.12487193952090984</v>
      </c>
      <c r="L311" s="73">
        <v>-740535.5209999982</v>
      </c>
      <c r="M311" s="73">
        <v>6357716.8682000022</v>
      </c>
      <c r="N311" s="73">
        <v>-1581682.9209000017</v>
      </c>
      <c r="O311" s="73">
        <v>12078807.278200995</v>
      </c>
      <c r="P311" s="61">
        <f t="shared" si="29"/>
        <v>0.11647821637103804</v>
      </c>
      <c r="Q311" s="61">
        <f t="shared" si="30"/>
        <v>0.13094694570998866</v>
      </c>
    </row>
    <row r="312" spans="1:17">
      <c r="A312" s="23">
        <v>7395200</v>
      </c>
      <c r="B312" s="18">
        <v>356269</v>
      </c>
      <c r="C312" s="16" t="s">
        <v>330</v>
      </c>
      <c r="D312" s="67" t="s">
        <v>20</v>
      </c>
      <c r="E312" s="16">
        <v>268818</v>
      </c>
      <c r="F312" s="17">
        <v>37551.999999</v>
      </c>
      <c r="G312" s="16">
        <v>9318</v>
      </c>
      <c r="H312" s="16">
        <v>40037</v>
      </c>
      <c r="I312" s="59">
        <f t="shared" si="26"/>
        <v>0.13969302650492155</v>
      </c>
      <c r="J312" s="59">
        <f t="shared" si="27"/>
        <v>3.4662857397942101E-2</v>
      </c>
      <c r="K312" s="59">
        <f t="shared" si="28"/>
        <v>0.14893719914589054</v>
      </c>
      <c r="L312" s="73">
        <v>-4083508.8838000372</v>
      </c>
      <c r="M312" s="73">
        <v>35905188.665004566</v>
      </c>
      <c r="N312" s="73">
        <v>-2345203.6719999928</v>
      </c>
      <c r="O312" s="73">
        <v>68959919.470799938</v>
      </c>
      <c r="P312" s="61">
        <f t="shared" si="29"/>
        <v>0.11373032800075715</v>
      </c>
      <c r="Q312" s="61">
        <f t="shared" si="30"/>
        <v>3.4008213611575265E-2</v>
      </c>
    </row>
    <row r="313" spans="1:17">
      <c r="A313" s="23">
        <v>7399200</v>
      </c>
      <c r="B313" s="18">
        <v>264926</v>
      </c>
      <c r="C313" s="16" t="s">
        <v>331</v>
      </c>
      <c r="D313" s="67" t="s">
        <v>18</v>
      </c>
      <c r="E313" s="16">
        <v>203426</v>
      </c>
      <c r="F313" s="17">
        <v>20846</v>
      </c>
      <c r="G313" s="16">
        <v>3413</v>
      </c>
      <c r="H313" s="16">
        <v>24155</v>
      </c>
      <c r="I313" s="59">
        <f t="shared" si="26"/>
        <v>0.10247460993186712</v>
      </c>
      <c r="J313" s="59">
        <f t="shared" si="27"/>
        <v>1.6777599716850354E-2</v>
      </c>
      <c r="K313" s="59">
        <f t="shared" si="28"/>
        <v>0.11874096723132736</v>
      </c>
      <c r="L313" s="73">
        <v>-1584969.1255000101</v>
      </c>
      <c r="M313" s="73">
        <v>17380397.214099877</v>
      </c>
      <c r="N313" s="73">
        <v>-3894058.9530999977</v>
      </c>
      <c r="O313" s="73">
        <v>38078850.447998494</v>
      </c>
      <c r="P313" s="61">
        <f t="shared" si="29"/>
        <v>9.1192917283513017E-2</v>
      </c>
      <c r="Q313" s="61">
        <f t="shared" si="30"/>
        <v>0.10226303859718218</v>
      </c>
    </row>
    <row r="314" spans="1:17">
      <c r="A314" s="23">
        <v>7403200</v>
      </c>
      <c r="B314" s="18">
        <v>580066</v>
      </c>
      <c r="C314" s="16" t="s">
        <v>332</v>
      </c>
      <c r="D314" s="67" t="s">
        <v>20</v>
      </c>
      <c r="E314" s="16">
        <v>268899</v>
      </c>
      <c r="F314" s="17">
        <v>29719</v>
      </c>
      <c r="G314" s="16">
        <v>7025</v>
      </c>
      <c r="H314" s="16">
        <v>28966</v>
      </c>
      <c r="I314" s="59">
        <f t="shared" si="26"/>
        <v>0.11052105065470678</v>
      </c>
      <c r="J314" s="59">
        <f t="shared" si="27"/>
        <v>2.6125050669582258E-2</v>
      </c>
      <c r="K314" s="59">
        <f t="shared" si="28"/>
        <v>0.10772074273240138</v>
      </c>
      <c r="L314" s="73">
        <v>-5361652.4275000133</v>
      </c>
      <c r="M314" s="73">
        <v>26913085.682799775</v>
      </c>
      <c r="N314" s="73">
        <v>-2016482.7375999989</v>
      </c>
      <c r="O314" s="73">
        <v>71891992.998700678</v>
      </c>
      <c r="P314" s="61">
        <f t="shared" si="29"/>
        <v>0.19922102172500641</v>
      </c>
      <c r="Q314" s="61">
        <f t="shared" si="30"/>
        <v>2.8048780587240685E-2</v>
      </c>
    </row>
    <row r="315" spans="1:17">
      <c r="A315" s="23">
        <v>7407200</v>
      </c>
      <c r="B315" s="18">
        <v>848204</v>
      </c>
      <c r="C315" s="16" t="s">
        <v>333</v>
      </c>
      <c r="D315" s="67" t="s">
        <v>18</v>
      </c>
      <c r="E315" s="16">
        <v>201471</v>
      </c>
      <c r="F315" s="17">
        <v>16397</v>
      </c>
      <c r="G315" s="16">
        <v>2726</v>
      </c>
      <c r="H315" s="16">
        <v>17577</v>
      </c>
      <c r="I315" s="59">
        <f t="shared" si="26"/>
        <v>8.1386403005891672E-2</v>
      </c>
      <c r="J315" s="59">
        <f t="shared" si="27"/>
        <v>1.3530483295362609E-2</v>
      </c>
      <c r="K315" s="59">
        <f t="shared" si="28"/>
        <v>8.7243325342108796E-2</v>
      </c>
      <c r="L315" s="73">
        <v>-2151380.9980000048</v>
      </c>
      <c r="M315" s="73">
        <v>13604403.583601881</v>
      </c>
      <c r="N315" s="73">
        <v>-1664378.4657000015</v>
      </c>
      <c r="O315" s="73">
        <v>39932279.260901459</v>
      </c>
      <c r="P315" s="61">
        <f t="shared" si="29"/>
        <v>0.15813857511498555</v>
      </c>
      <c r="Q315" s="61">
        <f t="shared" si="30"/>
        <v>4.1680026697840655E-2</v>
      </c>
    </row>
    <row r="316" spans="1:17">
      <c r="A316" s="23">
        <v>7413200</v>
      </c>
      <c r="B316" s="18">
        <v>906588</v>
      </c>
      <c r="C316" s="16" t="s">
        <v>334</v>
      </c>
      <c r="D316" s="67" t="s">
        <v>18</v>
      </c>
      <c r="E316" s="16">
        <v>109572</v>
      </c>
      <c r="F316" s="17">
        <v>11231</v>
      </c>
      <c r="G316" s="16">
        <v>1251</v>
      </c>
      <c r="H316" s="16">
        <v>12592</v>
      </c>
      <c r="I316" s="59">
        <f t="shared" si="26"/>
        <v>0.10249881356550944</v>
      </c>
      <c r="J316" s="59">
        <f t="shared" si="27"/>
        <v>1.141715036688205E-2</v>
      </c>
      <c r="K316" s="59">
        <f t="shared" si="28"/>
        <v>0.11491987003979119</v>
      </c>
      <c r="L316" s="73">
        <v>-1176734.9433999946</v>
      </c>
      <c r="M316" s="73">
        <v>9049700.1478999835</v>
      </c>
      <c r="N316" s="73">
        <v>-1518251.1391999989</v>
      </c>
      <c r="O316" s="73">
        <v>12774214.17459999</v>
      </c>
      <c r="P316" s="61">
        <f t="shared" si="29"/>
        <v>0.13003026886731273</v>
      </c>
      <c r="Q316" s="61">
        <f t="shared" si="30"/>
        <v>0.11885280131116489</v>
      </c>
    </row>
    <row r="317" spans="1:17">
      <c r="A317" s="23">
        <v>7415200</v>
      </c>
      <c r="B317" s="18">
        <v>1035862</v>
      </c>
      <c r="C317" s="16" t="s">
        <v>335</v>
      </c>
      <c r="D317" s="67" t="s">
        <v>20</v>
      </c>
      <c r="E317" s="16">
        <v>274194</v>
      </c>
      <c r="F317" s="17">
        <v>27123</v>
      </c>
      <c r="G317" s="16">
        <v>5677</v>
      </c>
      <c r="H317" s="16">
        <v>29144</v>
      </c>
      <c r="I317" s="59">
        <f t="shared" si="26"/>
        <v>9.8919013545154158E-2</v>
      </c>
      <c r="J317" s="59">
        <f t="shared" si="27"/>
        <v>2.0704318839945439E-2</v>
      </c>
      <c r="K317" s="59">
        <f t="shared" si="28"/>
        <v>0.10628970728754093</v>
      </c>
      <c r="L317" s="73">
        <v>-3433483.1399000604</v>
      </c>
      <c r="M317" s="73">
        <v>27802333.422101077</v>
      </c>
      <c r="N317" s="73">
        <v>-2028421.8849000011</v>
      </c>
      <c r="O317" s="73">
        <v>37879825.365399525</v>
      </c>
      <c r="P317" s="61">
        <f t="shared" si="29"/>
        <v>0.1234962219815212</v>
      </c>
      <c r="Q317" s="61">
        <f t="shared" si="30"/>
        <v>5.3548871076708221E-2</v>
      </c>
    </row>
    <row r="318" spans="1:17">
      <c r="A318" s="23">
        <v>7423200</v>
      </c>
      <c r="B318" s="18">
        <v>696472</v>
      </c>
      <c r="C318" s="16" t="s">
        <v>336</v>
      </c>
      <c r="D318" s="67" t="s">
        <v>20</v>
      </c>
      <c r="E318" s="16">
        <v>369607</v>
      </c>
      <c r="F318" s="17">
        <v>28995</v>
      </c>
      <c r="G318" s="16">
        <v>6619</v>
      </c>
      <c r="H318" s="16">
        <v>28018</v>
      </c>
      <c r="I318" s="59">
        <f t="shared" si="26"/>
        <v>7.8448189563509352E-2</v>
      </c>
      <c r="J318" s="59">
        <f t="shared" si="27"/>
        <v>1.7908210612894236E-2</v>
      </c>
      <c r="K318" s="59">
        <f t="shared" si="28"/>
        <v>7.5804841358524055E-2</v>
      </c>
      <c r="L318" s="73">
        <v>-3450825.3787000501</v>
      </c>
      <c r="M318" s="73">
        <v>25642169.236599695</v>
      </c>
      <c r="N318" s="73">
        <v>-1732836.1327999998</v>
      </c>
      <c r="O318" s="73">
        <v>59928785.538499013</v>
      </c>
      <c r="P318" s="61">
        <f t="shared" si="29"/>
        <v>0.13457618764073215</v>
      </c>
      <c r="Q318" s="61">
        <f t="shared" si="30"/>
        <v>2.8914921556132719E-2</v>
      </c>
    </row>
    <row r="319" spans="1:17">
      <c r="A319" s="23">
        <v>7427200</v>
      </c>
      <c r="B319" s="18">
        <v>1019386</v>
      </c>
      <c r="C319" s="16" t="s">
        <v>337</v>
      </c>
      <c r="D319" s="67" t="s">
        <v>18</v>
      </c>
      <c r="E319" s="16">
        <v>166197</v>
      </c>
      <c r="F319" s="17">
        <v>12110.999999</v>
      </c>
      <c r="G319" s="16">
        <v>0</v>
      </c>
      <c r="H319" s="16">
        <v>17587.999999</v>
      </c>
      <c r="I319" s="59">
        <f t="shared" si="26"/>
        <v>7.2871351462421102E-2</v>
      </c>
      <c r="J319" s="59">
        <f t="shared" si="27"/>
        <v>0</v>
      </c>
      <c r="K319" s="59">
        <f t="shared" si="28"/>
        <v>0.10582621827710488</v>
      </c>
      <c r="L319" s="73">
        <v>-750804.74489999749</v>
      </c>
      <c r="M319" s="73">
        <v>11002896.526699973</v>
      </c>
      <c r="N319" s="73">
        <v>-2410877.0441999976</v>
      </c>
      <c r="O319" s="73">
        <v>17095482.286001906</v>
      </c>
      <c r="P319" s="61">
        <f t="shared" si="29"/>
        <v>6.8237008598424173E-2</v>
      </c>
      <c r="Q319" s="61">
        <f t="shared" si="30"/>
        <v>0.14102421937368026</v>
      </c>
    </row>
    <row r="320" spans="1:17">
      <c r="A320" s="23">
        <v>7435200</v>
      </c>
      <c r="B320" s="18">
        <v>315632</v>
      </c>
      <c r="C320" s="16" t="s">
        <v>338</v>
      </c>
      <c r="D320" s="67" t="s">
        <v>20</v>
      </c>
      <c r="E320" s="16">
        <v>131095</v>
      </c>
      <c r="F320" s="17">
        <v>16002.000001</v>
      </c>
      <c r="G320" s="16">
        <v>5768.0000010000003</v>
      </c>
      <c r="H320" s="16">
        <v>20346.999999</v>
      </c>
      <c r="I320" s="59">
        <f t="shared" si="26"/>
        <v>0.12206415195850338</v>
      </c>
      <c r="J320" s="59">
        <f t="shared" si="27"/>
        <v>4.3998626957549872E-2</v>
      </c>
      <c r="K320" s="59">
        <f t="shared" si="28"/>
        <v>0.15520805521949732</v>
      </c>
      <c r="L320" s="73">
        <v>-3370678.6750000357</v>
      </c>
      <c r="M320" s="73">
        <v>17799633.525600843</v>
      </c>
      <c r="N320" s="73">
        <v>-1715167.3290999981</v>
      </c>
      <c r="O320" s="73">
        <v>19159622.756700862</v>
      </c>
      <c r="P320" s="61">
        <f t="shared" si="29"/>
        <v>0.18936786929641325</v>
      </c>
      <c r="Q320" s="61">
        <f t="shared" si="30"/>
        <v>8.9519890390333368E-2</v>
      </c>
    </row>
    <row r="321" spans="1:17">
      <c r="A321" s="23">
        <v>7439200</v>
      </c>
      <c r="B321" s="18">
        <v>963468</v>
      </c>
      <c r="C321" s="16" t="s">
        <v>339</v>
      </c>
      <c r="D321" s="67" t="s">
        <v>20</v>
      </c>
      <c r="E321" s="16">
        <v>159132</v>
      </c>
      <c r="F321" s="17">
        <v>21112</v>
      </c>
      <c r="G321" s="16">
        <v>3683</v>
      </c>
      <c r="H321" s="16">
        <v>18575</v>
      </c>
      <c r="I321" s="59">
        <f t="shared" si="26"/>
        <v>0.1326697333031697</v>
      </c>
      <c r="J321" s="59">
        <f t="shared" si="27"/>
        <v>2.3144307870195811E-2</v>
      </c>
      <c r="K321" s="59">
        <f t="shared" si="28"/>
        <v>0.11672699394213609</v>
      </c>
      <c r="L321" s="73">
        <v>-2818913.0517000677</v>
      </c>
      <c r="M321" s="73">
        <v>15469488.239999898</v>
      </c>
      <c r="N321" s="73">
        <v>-3627349.5061000031</v>
      </c>
      <c r="O321" s="73">
        <v>19520567.939999856</v>
      </c>
      <c r="P321" s="61">
        <f t="shared" si="29"/>
        <v>0.18222406636640531</v>
      </c>
      <c r="Q321" s="61">
        <f t="shared" si="30"/>
        <v>0.18582192471291539</v>
      </c>
    </row>
    <row r="322" spans="1:17">
      <c r="A322" s="23">
        <v>7443200</v>
      </c>
      <c r="B322" s="18">
        <v>668254</v>
      </c>
      <c r="C322" s="16" t="s">
        <v>340</v>
      </c>
      <c r="D322" s="67" t="s">
        <v>18</v>
      </c>
      <c r="E322" s="16">
        <v>155897</v>
      </c>
      <c r="F322" s="17">
        <v>19520</v>
      </c>
      <c r="G322" s="16">
        <v>0</v>
      </c>
      <c r="H322" s="16">
        <v>23016.000003000001</v>
      </c>
      <c r="I322" s="59">
        <f t="shared" si="26"/>
        <v>0.12521087641198997</v>
      </c>
      <c r="J322" s="59">
        <f t="shared" si="27"/>
        <v>0</v>
      </c>
      <c r="K322" s="59">
        <f t="shared" si="28"/>
        <v>0.14763593913288903</v>
      </c>
      <c r="L322" s="73">
        <v>-865255.8836999936</v>
      </c>
      <c r="M322" s="73">
        <v>13759165.150402926</v>
      </c>
      <c r="N322" s="73">
        <v>-1955636.0992999997</v>
      </c>
      <c r="O322" s="73">
        <v>23090705.168603778</v>
      </c>
      <c r="P322" s="61">
        <f t="shared" si="29"/>
        <v>6.2885783711568818E-2</v>
      </c>
      <c r="Q322" s="61">
        <f t="shared" si="30"/>
        <v>8.4693649891604883E-2</v>
      </c>
    </row>
    <row r="323" spans="1:17">
      <c r="A323" s="23">
        <v>7451200</v>
      </c>
      <c r="B323" s="18">
        <v>520846</v>
      </c>
      <c r="C323" s="16" t="s">
        <v>341</v>
      </c>
      <c r="D323" s="67" t="s">
        <v>31</v>
      </c>
      <c r="E323" s="16">
        <v>141496</v>
      </c>
      <c r="F323" s="17">
        <v>7741</v>
      </c>
      <c r="G323" s="16">
        <v>0</v>
      </c>
      <c r="H323" s="16">
        <v>12584</v>
      </c>
      <c r="I323" s="59">
        <f t="shared" si="26"/>
        <v>5.4708260304178212E-2</v>
      </c>
      <c r="J323" s="59">
        <f t="shared" si="27"/>
        <v>0</v>
      </c>
      <c r="K323" s="59">
        <f t="shared" si="28"/>
        <v>8.8935376265053434E-2</v>
      </c>
      <c r="L323" s="73">
        <v>-788377.62089999509</v>
      </c>
      <c r="M323" s="73">
        <v>8239662.3890999826</v>
      </c>
      <c r="N323" s="73">
        <v>-2131928.6674000015</v>
      </c>
      <c r="O323" s="73">
        <v>11626985.532400001</v>
      </c>
      <c r="P323" s="61">
        <f t="shared" si="29"/>
        <v>9.5680815993494789E-2</v>
      </c>
      <c r="Q323" s="61">
        <f t="shared" si="30"/>
        <v>0.18336039564675854</v>
      </c>
    </row>
    <row r="324" spans="1:17">
      <c r="A324" s="23">
        <v>7475200</v>
      </c>
      <c r="B324" s="18">
        <v>879293</v>
      </c>
      <c r="C324" s="16" t="s">
        <v>342</v>
      </c>
      <c r="D324" s="67" t="s">
        <v>31</v>
      </c>
      <c r="E324" s="16">
        <v>127195</v>
      </c>
      <c r="F324" s="17">
        <v>7228</v>
      </c>
      <c r="G324" s="16">
        <v>0</v>
      </c>
      <c r="H324" s="16">
        <v>0</v>
      </c>
      <c r="I324" s="59">
        <f t="shared" si="26"/>
        <v>5.6826133102716302E-2</v>
      </c>
      <c r="J324" s="59">
        <f t="shared" si="27"/>
        <v>0</v>
      </c>
      <c r="K324" s="59">
        <f t="shared" si="28"/>
        <v>0</v>
      </c>
      <c r="L324" s="73">
        <v>-80078.424799999979</v>
      </c>
      <c r="M324" s="73">
        <v>56.692999999999998</v>
      </c>
      <c r="N324" s="73">
        <v>-571135.52559999982</v>
      </c>
      <c r="O324" s="73">
        <v>13910068.27739794</v>
      </c>
      <c r="P324" s="61">
        <v>0</v>
      </c>
      <c r="Q324" s="61">
        <f t="shared" si="30"/>
        <v>4.1059146095495526E-2</v>
      </c>
    </row>
    <row r="325" spans="1:17">
      <c r="A325" s="23">
        <v>7480200</v>
      </c>
      <c r="B325" s="18">
        <v>1035331</v>
      </c>
      <c r="C325" s="16" t="s">
        <v>343</v>
      </c>
      <c r="D325" s="67" t="s">
        <v>20</v>
      </c>
      <c r="E325" s="16">
        <v>121703</v>
      </c>
      <c r="F325" s="17">
        <v>19667</v>
      </c>
      <c r="G325" s="16">
        <v>2015</v>
      </c>
      <c r="H325" s="16">
        <v>16299.000007000001</v>
      </c>
      <c r="I325" s="59">
        <f t="shared" si="26"/>
        <v>0.16159831721485912</v>
      </c>
      <c r="J325" s="59">
        <f t="shared" si="27"/>
        <v>1.6556699506174867E-2</v>
      </c>
      <c r="K325" s="59">
        <f t="shared" si="28"/>
        <v>0.13392438976031815</v>
      </c>
      <c r="L325" s="73">
        <v>-2993255.6673000222</v>
      </c>
      <c r="M325" s="73">
        <v>12106796.703403989</v>
      </c>
      <c r="N325" s="73">
        <v>-2769001.8532000007</v>
      </c>
      <c r="O325" s="73">
        <v>13551252.183900997</v>
      </c>
      <c r="P325" s="61">
        <f t="shared" si="29"/>
        <v>0.24723762532978091</v>
      </c>
      <c r="Q325" s="61">
        <f t="shared" si="30"/>
        <v>0.20433549723837319</v>
      </c>
    </row>
    <row r="326" spans="1:17">
      <c r="A326" s="23">
        <v>7495200</v>
      </c>
      <c r="B326" s="18">
        <v>598404</v>
      </c>
      <c r="C326" s="16" t="s">
        <v>344</v>
      </c>
      <c r="D326" s="67" t="s">
        <v>18</v>
      </c>
      <c r="E326" s="16">
        <v>162075</v>
      </c>
      <c r="F326" s="17">
        <v>51082.000956000003</v>
      </c>
      <c r="G326" s="16">
        <v>3328.0000009999999</v>
      </c>
      <c r="H326" s="16">
        <v>38144.001905999998</v>
      </c>
      <c r="I326" s="59">
        <f t="shared" si="26"/>
        <v>0.31517507916705229</v>
      </c>
      <c r="J326" s="59">
        <f t="shared" si="27"/>
        <v>2.0533703538485267E-2</v>
      </c>
      <c r="K326" s="59">
        <f t="shared" si="28"/>
        <v>0.23534784455344746</v>
      </c>
      <c r="L326" s="73">
        <v>-1879976.4456000042</v>
      </c>
      <c r="M326" s="73">
        <v>27331148.697062694</v>
      </c>
      <c r="N326" s="73">
        <v>-1285157.4847999986</v>
      </c>
      <c r="O326" s="73">
        <v>44164141.988999508</v>
      </c>
      <c r="P326" s="61">
        <f t="shared" si="29"/>
        <v>6.8785123758887137E-2</v>
      </c>
      <c r="Q326" s="61">
        <f t="shared" si="30"/>
        <v>2.9099568720708038E-2</v>
      </c>
    </row>
    <row r="327" spans="1:17">
      <c r="A327" s="23">
        <v>7510200</v>
      </c>
      <c r="B327" s="18">
        <v>1065409</v>
      </c>
      <c r="C327" s="16" t="s">
        <v>345</v>
      </c>
      <c r="D327" s="67" t="s">
        <v>20</v>
      </c>
      <c r="E327" s="16">
        <v>188063</v>
      </c>
      <c r="F327" s="17">
        <v>41303.999996999999</v>
      </c>
      <c r="G327" s="16">
        <v>5898.0000010000003</v>
      </c>
      <c r="H327" s="16">
        <v>22961</v>
      </c>
      <c r="I327" s="59">
        <f t="shared" si="26"/>
        <v>0.21962852872175812</v>
      </c>
      <c r="J327" s="59">
        <f t="shared" si="27"/>
        <v>3.1361830881140897E-2</v>
      </c>
      <c r="K327" s="59">
        <f t="shared" si="28"/>
        <v>0.12209206489314751</v>
      </c>
      <c r="L327" s="73">
        <v>-3962989.9263000493</v>
      </c>
      <c r="M327" s="73">
        <v>21879485.473600924</v>
      </c>
      <c r="N327" s="73">
        <v>-2055200.7356999973</v>
      </c>
      <c r="O327" s="73">
        <v>21943791.595299859</v>
      </c>
      <c r="P327" s="61">
        <f t="shared" si="29"/>
        <v>0.18112811341389468</v>
      </c>
      <c r="Q327" s="61">
        <f t="shared" si="30"/>
        <v>9.3657503388803631E-2</v>
      </c>
    </row>
    <row r="328" spans="1:17">
      <c r="A328" s="23">
        <v>7525200</v>
      </c>
      <c r="B328" s="18">
        <v>708923</v>
      </c>
      <c r="C328" s="16" t="s">
        <v>346</v>
      </c>
      <c r="D328" s="67" t="s">
        <v>18</v>
      </c>
      <c r="E328" s="16">
        <v>232939</v>
      </c>
      <c r="F328" s="17">
        <v>30773</v>
      </c>
      <c r="G328" s="16">
        <v>0</v>
      </c>
      <c r="H328" s="16">
        <v>18734</v>
      </c>
      <c r="I328" s="59">
        <f t="shared" si="26"/>
        <v>0.13210754746950917</v>
      </c>
      <c r="J328" s="59">
        <f t="shared" si="27"/>
        <v>0</v>
      </c>
      <c r="K328" s="59">
        <f t="shared" si="28"/>
        <v>8.0424488814668224E-2</v>
      </c>
      <c r="L328" s="73">
        <v>-625618.90400000103</v>
      </c>
      <c r="M328" s="73">
        <v>11450682.692799978</v>
      </c>
      <c r="N328" s="73">
        <v>-931797.85800000106</v>
      </c>
      <c r="O328" s="73">
        <v>25469900.495999839</v>
      </c>
      <c r="P328" s="61">
        <f t="shared" si="29"/>
        <v>5.4635947985300568E-2</v>
      </c>
      <c r="Q328" s="61">
        <f t="shared" si="30"/>
        <v>3.6584275550913287E-2</v>
      </c>
    </row>
    <row r="329" spans="1:17">
      <c r="A329" s="23">
        <v>7530200</v>
      </c>
      <c r="B329" s="18">
        <v>631809</v>
      </c>
      <c r="C329" s="16" t="s">
        <v>347</v>
      </c>
      <c r="D329" s="67" t="s">
        <v>20</v>
      </c>
      <c r="E329" s="16">
        <v>184800</v>
      </c>
      <c r="F329" s="17">
        <v>24615</v>
      </c>
      <c r="G329" s="16">
        <v>3061</v>
      </c>
      <c r="H329" s="16">
        <v>16610</v>
      </c>
      <c r="I329" s="59">
        <f t="shared" si="26"/>
        <v>0.13319805194805195</v>
      </c>
      <c r="J329" s="59">
        <f t="shared" si="27"/>
        <v>1.6563852813852815E-2</v>
      </c>
      <c r="K329" s="59">
        <f t="shared" si="28"/>
        <v>8.9880952380952381E-2</v>
      </c>
      <c r="L329" s="73">
        <v>-3051651.6494000545</v>
      </c>
      <c r="M329" s="73">
        <v>14837285.723299973</v>
      </c>
      <c r="N329" s="73">
        <v>-1716258.2070999998</v>
      </c>
      <c r="O329" s="73">
        <v>15915736.942000024</v>
      </c>
      <c r="P329" s="61">
        <f t="shared" si="29"/>
        <v>0.20567452203254694</v>
      </c>
      <c r="Q329" s="61">
        <f t="shared" si="30"/>
        <v>0.10783403956438659</v>
      </c>
    </row>
    <row r="330" spans="1:17">
      <c r="A330" s="23">
        <v>7535200</v>
      </c>
      <c r="B330" s="18">
        <v>1042945</v>
      </c>
      <c r="C330" s="16" t="s">
        <v>348</v>
      </c>
      <c r="D330" s="67" t="s">
        <v>31</v>
      </c>
      <c r="E330" s="16">
        <v>88523</v>
      </c>
      <c r="F330" s="17">
        <v>5587.0000010000003</v>
      </c>
      <c r="G330" s="16">
        <v>0</v>
      </c>
      <c r="H330" s="16">
        <v>3752</v>
      </c>
      <c r="I330" s="59">
        <f t="shared" si="26"/>
        <v>6.3113541124905401E-2</v>
      </c>
      <c r="J330" s="59">
        <f t="shared" si="27"/>
        <v>0</v>
      </c>
      <c r="K330" s="59">
        <f t="shared" si="28"/>
        <v>4.2384465054279681E-2</v>
      </c>
      <c r="L330" s="73">
        <v>-1302824.5756999974</v>
      </c>
      <c r="M330" s="73">
        <v>2294013.6132999989</v>
      </c>
      <c r="N330" s="73">
        <v>-1868861.1525000008</v>
      </c>
      <c r="O330" s="73">
        <v>3724092.3320000041</v>
      </c>
      <c r="P330" s="61">
        <f t="shared" si="29"/>
        <v>0.56792364620097002</v>
      </c>
      <c r="Q330" s="61">
        <f t="shared" si="30"/>
        <v>0.50182997248522532</v>
      </c>
    </row>
    <row r="331" spans="1:17">
      <c r="A331" s="23">
        <v>7555200</v>
      </c>
      <c r="B331" s="18">
        <v>1013737</v>
      </c>
      <c r="C331" s="16" t="s">
        <v>349</v>
      </c>
      <c r="D331" s="67" t="s">
        <v>20</v>
      </c>
      <c r="E331" s="16">
        <v>175810</v>
      </c>
      <c r="F331" s="17">
        <v>18759</v>
      </c>
      <c r="G331" s="16">
        <v>3796</v>
      </c>
      <c r="H331" s="16">
        <v>22563</v>
      </c>
      <c r="I331" s="59">
        <f t="shared" si="26"/>
        <v>0.10670041522097719</v>
      </c>
      <c r="J331" s="59">
        <f t="shared" si="27"/>
        <v>2.1591490813946873E-2</v>
      </c>
      <c r="K331" s="59">
        <f t="shared" si="28"/>
        <v>0.12833740970365737</v>
      </c>
      <c r="L331" s="73">
        <v>-2967901.4995000586</v>
      </c>
      <c r="M331" s="73">
        <v>19276374.736999948</v>
      </c>
      <c r="N331" s="73">
        <v>-1963808.4266999983</v>
      </c>
      <c r="O331" s="73">
        <v>17451145.175499909</v>
      </c>
      <c r="P331" s="61">
        <f t="shared" si="29"/>
        <v>0.153965750302796</v>
      </c>
      <c r="Q331" s="61">
        <f t="shared" si="30"/>
        <v>0.11253177983167759</v>
      </c>
    </row>
    <row r="332" spans="1:17">
      <c r="A332" s="23">
        <v>7560200</v>
      </c>
      <c r="B332" s="18">
        <v>349693</v>
      </c>
      <c r="C332" s="16" t="s">
        <v>350</v>
      </c>
      <c r="D332" s="67" t="s">
        <v>18</v>
      </c>
      <c r="E332" s="16">
        <v>66484</v>
      </c>
      <c r="F332" s="17">
        <v>13137</v>
      </c>
      <c r="G332" s="16">
        <v>0</v>
      </c>
      <c r="H332" s="16">
        <v>12749</v>
      </c>
      <c r="I332" s="59">
        <f t="shared" si="26"/>
        <v>0.19759641417483906</v>
      </c>
      <c r="J332" s="59">
        <f t="shared" si="27"/>
        <v>0</v>
      </c>
      <c r="K332" s="59">
        <f t="shared" si="28"/>
        <v>0.19176042356055592</v>
      </c>
      <c r="L332" s="73">
        <v>-1011009.1788999967</v>
      </c>
      <c r="M332" s="73">
        <v>8000103.8986999942</v>
      </c>
      <c r="N332" s="73">
        <v>-799909.56240000005</v>
      </c>
      <c r="O332" s="73">
        <v>13813510.481799908</v>
      </c>
      <c r="P332" s="61">
        <f t="shared" si="29"/>
        <v>0.12637450609413764</v>
      </c>
      <c r="Q332" s="61">
        <f t="shared" si="30"/>
        <v>5.7907768155960555E-2</v>
      </c>
    </row>
    <row r="333" spans="1:17">
      <c r="A333" s="23">
        <v>7565200</v>
      </c>
      <c r="B333" s="18">
        <v>910651</v>
      </c>
      <c r="C333" s="16" t="s">
        <v>351</v>
      </c>
      <c r="D333" s="67" t="s">
        <v>20</v>
      </c>
      <c r="E333" s="16">
        <v>370331</v>
      </c>
      <c r="F333" s="17">
        <v>36129</v>
      </c>
      <c r="G333" s="16">
        <v>9398</v>
      </c>
      <c r="H333" s="16">
        <v>55913.999995999999</v>
      </c>
      <c r="I333" s="59">
        <f t="shared" si="26"/>
        <v>9.755867048667273E-2</v>
      </c>
      <c r="J333" s="59">
        <f t="shared" si="27"/>
        <v>2.5377297606735596E-2</v>
      </c>
      <c r="K333" s="59">
        <f t="shared" si="28"/>
        <v>0.15098384957240954</v>
      </c>
      <c r="L333" s="73">
        <v>-2541510.1330000106</v>
      </c>
      <c r="M333" s="73">
        <v>45625514.388397962</v>
      </c>
      <c r="N333" s="73">
        <v>-937294.57869999949</v>
      </c>
      <c r="O333" s="73">
        <v>57190292.898698688</v>
      </c>
      <c r="P333" s="61">
        <f t="shared" si="29"/>
        <v>5.5703703663805421E-2</v>
      </c>
      <c r="Q333" s="61">
        <f t="shared" si="30"/>
        <v>1.6389050155071451E-2</v>
      </c>
    </row>
    <row r="334" spans="1:17">
      <c r="A334" s="23">
        <v>7570200</v>
      </c>
      <c r="B334" s="18">
        <v>897375</v>
      </c>
      <c r="C334" s="16" t="s">
        <v>352</v>
      </c>
      <c r="D334" s="67" t="s">
        <v>31</v>
      </c>
      <c r="E334" s="16">
        <v>58094</v>
      </c>
      <c r="F334" s="17">
        <v>5860</v>
      </c>
      <c r="G334" s="16">
        <v>0</v>
      </c>
      <c r="H334" s="16">
        <v>0</v>
      </c>
      <c r="I334" s="59">
        <f t="shared" si="26"/>
        <v>0.10087100216889869</v>
      </c>
      <c r="J334" s="59">
        <f t="shared" si="27"/>
        <v>0</v>
      </c>
      <c r="K334" s="59">
        <f t="shared" si="28"/>
        <v>0</v>
      </c>
      <c r="L334" s="73">
        <v>-105333.81809999996</v>
      </c>
      <c r="M334" s="73">
        <v>46549.716500000002</v>
      </c>
      <c r="N334" s="73">
        <v>-2038947.2970999985</v>
      </c>
      <c r="O334" s="73">
        <v>6938353.6378960051</v>
      </c>
      <c r="P334" s="61">
        <f t="shared" si="29"/>
        <v>2.2628240517855778</v>
      </c>
      <c r="Q334" s="61">
        <f t="shared" si="30"/>
        <v>0.29386615377510383</v>
      </c>
    </row>
    <row r="335" spans="1:17">
      <c r="A335" s="23">
        <v>7575200</v>
      </c>
      <c r="B335" s="18">
        <v>1036767</v>
      </c>
      <c r="C335" s="16" t="s">
        <v>353</v>
      </c>
      <c r="D335" s="67" t="s">
        <v>18</v>
      </c>
      <c r="E335" s="16">
        <v>196067</v>
      </c>
      <c r="F335" s="17">
        <v>16064.999999</v>
      </c>
      <c r="G335" s="16">
        <v>0</v>
      </c>
      <c r="H335" s="16">
        <v>15782.999997999999</v>
      </c>
      <c r="I335" s="59">
        <f t="shared" si="26"/>
        <v>8.193627687984209E-2</v>
      </c>
      <c r="J335" s="59">
        <f t="shared" si="27"/>
        <v>0</v>
      </c>
      <c r="K335" s="59">
        <f t="shared" si="28"/>
        <v>8.0497993022793229E-2</v>
      </c>
      <c r="L335" s="73">
        <v>-636113.21190000325</v>
      </c>
      <c r="M335" s="73">
        <v>10190237.210597984</v>
      </c>
      <c r="N335" s="73">
        <v>-1825426.5353999981</v>
      </c>
      <c r="O335" s="73">
        <v>14257489.572598971</v>
      </c>
      <c r="P335" s="61">
        <f t="shared" si="29"/>
        <v>6.2423788451012395E-2</v>
      </c>
      <c r="Q335" s="61">
        <f t="shared" si="30"/>
        <v>0.12803281574255743</v>
      </c>
    </row>
    <row r="336" spans="1:17">
      <c r="A336" s="23">
        <v>7580200</v>
      </c>
      <c r="B336" s="18">
        <v>960136</v>
      </c>
      <c r="C336" s="16" t="s">
        <v>354</v>
      </c>
      <c r="D336" s="67" t="s">
        <v>31</v>
      </c>
      <c r="E336" s="16">
        <v>98112</v>
      </c>
      <c r="F336" s="17">
        <v>11220</v>
      </c>
      <c r="G336" s="16">
        <v>0</v>
      </c>
      <c r="H336" s="16">
        <v>9104</v>
      </c>
      <c r="I336" s="59">
        <f t="shared" si="26"/>
        <v>0.11435909980430528</v>
      </c>
      <c r="J336" s="59">
        <f t="shared" si="27"/>
        <v>0</v>
      </c>
      <c r="K336" s="59">
        <f t="shared" si="28"/>
        <v>9.2791911285061965E-2</v>
      </c>
      <c r="L336" s="73">
        <v>-875245.46150000056</v>
      </c>
      <c r="M336" s="73">
        <v>5453739.3543000109</v>
      </c>
      <c r="N336" s="73">
        <v>-1162130.5391999991</v>
      </c>
      <c r="O336" s="73">
        <v>8497407.6714000106</v>
      </c>
      <c r="P336" s="61">
        <f t="shared" si="29"/>
        <v>0.16048538528155212</v>
      </c>
      <c r="Q336" s="61">
        <f t="shared" si="30"/>
        <v>0.13676294984780099</v>
      </c>
    </row>
    <row r="337" spans="1:17">
      <c r="A337" s="23">
        <v>7590200</v>
      </c>
      <c r="B337" s="18">
        <v>499751</v>
      </c>
      <c r="C337" s="16" t="s">
        <v>355</v>
      </c>
      <c r="D337" s="67" t="s">
        <v>18</v>
      </c>
      <c r="E337" s="16">
        <v>215868</v>
      </c>
      <c r="F337" s="17">
        <v>29170</v>
      </c>
      <c r="G337" s="16">
        <v>0</v>
      </c>
      <c r="H337" s="16">
        <v>25609</v>
      </c>
      <c r="I337" s="59">
        <f t="shared" si="26"/>
        <v>0.13512887505327328</v>
      </c>
      <c r="J337" s="59">
        <f t="shared" si="27"/>
        <v>0</v>
      </c>
      <c r="K337" s="59">
        <f t="shared" si="28"/>
        <v>0.11863268293586822</v>
      </c>
      <c r="L337" s="73">
        <v>-588620.66359999927</v>
      </c>
      <c r="M337" s="73">
        <v>15905261.960199965</v>
      </c>
      <c r="N337" s="73">
        <v>-1571555.0909999991</v>
      </c>
      <c r="O337" s="73">
        <v>25578476.662696742</v>
      </c>
      <c r="P337" s="61">
        <f t="shared" si="29"/>
        <v>3.7007920087887627E-2</v>
      </c>
      <c r="Q337" s="61">
        <f t="shared" si="30"/>
        <v>6.1440527194957274E-2</v>
      </c>
    </row>
    <row r="338" spans="1:17">
      <c r="A338" s="23">
        <v>7595200</v>
      </c>
      <c r="B338" s="18">
        <v>293080</v>
      </c>
      <c r="C338" s="16" t="s">
        <v>356</v>
      </c>
      <c r="D338" s="67" t="s">
        <v>18</v>
      </c>
      <c r="E338" s="16">
        <v>241051</v>
      </c>
      <c r="F338" s="17">
        <v>34568.000001</v>
      </c>
      <c r="G338" s="16">
        <v>3901</v>
      </c>
      <c r="H338" s="16">
        <v>32074</v>
      </c>
      <c r="I338" s="59">
        <f t="shared" si="26"/>
        <v>0.1434053374638562</v>
      </c>
      <c r="J338" s="59">
        <f t="shared" si="27"/>
        <v>1.6183297310527648E-2</v>
      </c>
      <c r="K338" s="59">
        <f t="shared" si="28"/>
        <v>0.13305897922016502</v>
      </c>
      <c r="L338" s="73">
        <v>-1902779.184300005</v>
      </c>
      <c r="M338" s="73">
        <v>25029872.664401911</v>
      </c>
      <c r="N338" s="73">
        <v>-1759962.8581000015</v>
      </c>
      <c r="O338" s="73">
        <v>37152724.283494458</v>
      </c>
      <c r="P338" s="61">
        <f t="shared" si="29"/>
        <v>7.6020330179553147E-2</v>
      </c>
      <c r="Q338" s="61">
        <f t="shared" si="30"/>
        <v>4.7371031116603367E-2</v>
      </c>
    </row>
    <row r="339" spans="1:17">
      <c r="A339" s="23">
        <v>7600200</v>
      </c>
      <c r="B339" s="18">
        <v>754041</v>
      </c>
      <c r="C339" s="16" t="s">
        <v>357</v>
      </c>
      <c r="D339" s="67" t="s">
        <v>18</v>
      </c>
      <c r="E339" s="16">
        <v>135949</v>
      </c>
      <c r="F339" s="17">
        <v>25166</v>
      </c>
      <c r="G339" s="16">
        <v>0</v>
      </c>
      <c r="H339" s="16">
        <v>20298</v>
      </c>
      <c r="I339" s="59">
        <f t="shared" si="26"/>
        <v>0.18511353522276736</v>
      </c>
      <c r="J339" s="59">
        <f t="shared" si="27"/>
        <v>0</v>
      </c>
      <c r="K339" s="59">
        <f t="shared" si="28"/>
        <v>0.1493059897461548</v>
      </c>
      <c r="L339" s="73">
        <v>-525181.117000003</v>
      </c>
      <c r="M339" s="73">
        <v>13481184.628799966</v>
      </c>
      <c r="N339" s="73">
        <v>-410126.35679999989</v>
      </c>
      <c r="O339" s="73">
        <v>29697331.887003921</v>
      </c>
      <c r="P339" s="61">
        <f t="shared" si="29"/>
        <v>3.8956599991817803E-2</v>
      </c>
      <c r="Q339" s="61">
        <f t="shared" si="30"/>
        <v>1.381020888881531E-2</v>
      </c>
    </row>
    <row r="340" spans="1:17">
      <c r="A340" s="23">
        <v>7610200</v>
      </c>
      <c r="B340" s="18">
        <v>396200</v>
      </c>
      <c r="C340" s="16" t="s">
        <v>358</v>
      </c>
      <c r="D340" s="67" t="s">
        <v>20</v>
      </c>
      <c r="E340" s="16">
        <v>312726</v>
      </c>
      <c r="F340" s="17">
        <v>115312.99856800001</v>
      </c>
      <c r="G340" s="16">
        <v>15208</v>
      </c>
      <c r="H340" s="16">
        <v>75142</v>
      </c>
      <c r="I340" s="59">
        <f t="shared" si="26"/>
        <v>0.36873492631888621</v>
      </c>
      <c r="J340" s="59">
        <f t="shared" si="27"/>
        <v>4.863043047268216E-2</v>
      </c>
      <c r="K340" s="59">
        <f t="shared" si="28"/>
        <v>0.24028062904907171</v>
      </c>
      <c r="L340" s="73">
        <v>-6084911.6009001406</v>
      </c>
      <c r="M340" s="73">
        <v>86839497.502599925</v>
      </c>
      <c r="N340" s="73">
        <v>-1408689.0204000017</v>
      </c>
      <c r="O340" s="73">
        <v>119952529.80569829</v>
      </c>
      <c r="P340" s="61">
        <f t="shared" si="29"/>
        <v>7.0070783179255067E-2</v>
      </c>
      <c r="Q340" s="61">
        <f t="shared" si="30"/>
        <v>1.1743720809238677E-2</v>
      </c>
    </row>
    <row r="341" spans="1:17">
      <c r="A341" s="23">
        <v>7615200</v>
      </c>
      <c r="B341" s="18">
        <v>970672</v>
      </c>
      <c r="C341" s="16" t="s">
        <v>359</v>
      </c>
      <c r="D341" s="67" t="s">
        <v>20</v>
      </c>
      <c r="E341" s="16">
        <v>274902</v>
      </c>
      <c r="F341" s="17">
        <v>89059.999998999992</v>
      </c>
      <c r="G341" s="16">
        <v>14016</v>
      </c>
      <c r="H341" s="16">
        <v>70055.999999000007</v>
      </c>
      <c r="I341" s="59">
        <f t="shared" si="26"/>
        <v>0.32396999657696196</v>
      </c>
      <c r="J341" s="59">
        <f t="shared" si="27"/>
        <v>5.0985442084815681E-2</v>
      </c>
      <c r="K341" s="59">
        <f t="shared" si="28"/>
        <v>0.25483990658125444</v>
      </c>
      <c r="L341" s="73">
        <v>-5988677.4820001498</v>
      </c>
      <c r="M341" s="73">
        <v>75878715.268202096</v>
      </c>
      <c r="N341" s="73">
        <v>-2263576.3886999995</v>
      </c>
      <c r="O341" s="73">
        <v>104807031.04599459</v>
      </c>
      <c r="P341" s="61">
        <f t="shared" si="29"/>
        <v>7.8924339465059154E-2</v>
      </c>
      <c r="Q341" s="61">
        <f t="shared" si="30"/>
        <v>2.159756235921451E-2</v>
      </c>
    </row>
    <row r="342" spans="1:17">
      <c r="A342" s="23">
        <v>7620200</v>
      </c>
      <c r="B342" s="18">
        <v>828378</v>
      </c>
      <c r="C342" s="16" t="s">
        <v>360</v>
      </c>
      <c r="D342" s="67" t="s">
        <v>20</v>
      </c>
      <c r="E342" s="16">
        <v>274443</v>
      </c>
      <c r="F342" s="17">
        <v>33524</v>
      </c>
      <c r="G342" s="16">
        <v>7164</v>
      </c>
      <c r="H342" s="16">
        <v>24890</v>
      </c>
      <c r="I342" s="59">
        <f t="shared" ref="I342:I380" si="31">F342/$E342</f>
        <v>0.12215286963048794</v>
      </c>
      <c r="J342" s="59">
        <f t="shared" ref="J342:J380" si="32">G342/$E342</f>
        <v>2.6103781113018004E-2</v>
      </c>
      <c r="K342" s="59">
        <f t="shared" ref="K342:K380" si="33">H342/$E342</f>
        <v>9.0692785022755185E-2</v>
      </c>
      <c r="L342" s="73">
        <v>-2961473.5741000478</v>
      </c>
      <c r="M342" s="73">
        <v>23682353.050799869</v>
      </c>
      <c r="N342" s="73">
        <v>-1358203.804300003</v>
      </c>
      <c r="O342" s="73">
        <v>38039185.290296517</v>
      </c>
      <c r="P342" s="61">
        <f t="shared" ref="P342:P376" si="34">ABS(L342/M342)</f>
        <v>0.12504980259974735</v>
      </c>
      <c r="Q342" s="61">
        <f t="shared" ref="Q342:Q380" si="35">ABS(N342/O342)</f>
        <v>3.5705386272993328E-2</v>
      </c>
    </row>
    <row r="343" spans="1:17">
      <c r="A343" s="23">
        <v>7625200</v>
      </c>
      <c r="B343" s="18">
        <v>558534</v>
      </c>
      <c r="C343" s="16" t="s">
        <v>361</v>
      </c>
      <c r="D343" s="67" t="s">
        <v>20</v>
      </c>
      <c r="E343" s="16">
        <v>417635</v>
      </c>
      <c r="F343" s="17">
        <v>97421</v>
      </c>
      <c r="G343" s="16">
        <v>14378</v>
      </c>
      <c r="H343" s="16">
        <v>69167.999998999992</v>
      </c>
      <c r="I343" s="59">
        <f t="shared" si="31"/>
        <v>0.23326828450680617</v>
      </c>
      <c r="J343" s="59">
        <f t="shared" si="32"/>
        <v>3.4427191207633462E-2</v>
      </c>
      <c r="K343" s="59">
        <f t="shared" si="33"/>
        <v>0.16561830306128555</v>
      </c>
      <c r="L343" s="73">
        <v>-5517232.8730000462</v>
      </c>
      <c r="M343" s="73">
        <v>70986894.534899294</v>
      </c>
      <c r="N343" s="73">
        <v>-3291994.0261999988</v>
      </c>
      <c r="O343" s="73">
        <v>153831733.89339656</v>
      </c>
      <c r="P343" s="61">
        <f t="shared" si="34"/>
        <v>7.7721851464957498E-2</v>
      </c>
      <c r="Q343" s="61">
        <f t="shared" si="35"/>
        <v>2.1399966982633824E-2</v>
      </c>
    </row>
    <row r="344" spans="1:17">
      <c r="A344" s="23">
        <v>7630200</v>
      </c>
      <c r="B344" s="18">
        <v>1001584</v>
      </c>
      <c r="C344" s="16" t="s">
        <v>362</v>
      </c>
      <c r="D344" s="67" t="s">
        <v>18</v>
      </c>
      <c r="E344" s="16">
        <v>166752</v>
      </c>
      <c r="F344" s="17">
        <v>18996</v>
      </c>
      <c r="G344" s="16">
        <v>0</v>
      </c>
      <c r="H344" s="16">
        <v>16596</v>
      </c>
      <c r="I344" s="59">
        <f t="shared" si="31"/>
        <v>0.11391767415083477</v>
      </c>
      <c r="J344" s="59">
        <f t="shared" si="32"/>
        <v>0</v>
      </c>
      <c r="K344" s="59">
        <f t="shared" si="33"/>
        <v>9.9525043177892916E-2</v>
      </c>
      <c r="L344" s="73">
        <v>-557465.03330000082</v>
      </c>
      <c r="M344" s="73">
        <v>11606276.008099955</v>
      </c>
      <c r="N344" s="73">
        <v>-2061540.7048000004</v>
      </c>
      <c r="O344" s="73">
        <v>30390254.622597728</v>
      </c>
      <c r="P344" s="61">
        <f t="shared" si="34"/>
        <v>4.8031343810103183E-2</v>
      </c>
      <c r="Q344" s="61">
        <f t="shared" si="35"/>
        <v>6.7835585137449639E-2</v>
      </c>
    </row>
    <row r="345" spans="1:17">
      <c r="A345" s="23">
        <v>7635200</v>
      </c>
      <c r="B345" s="18">
        <v>295056</v>
      </c>
      <c r="C345" s="16" t="s">
        <v>363</v>
      </c>
      <c r="D345" s="67" t="s">
        <v>18</v>
      </c>
      <c r="E345" s="16">
        <v>167588</v>
      </c>
      <c r="F345" s="17">
        <v>25273</v>
      </c>
      <c r="G345" s="16">
        <v>0</v>
      </c>
      <c r="H345" s="16">
        <v>13814</v>
      </c>
      <c r="I345" s="59">
        <f t="shared" si="31"/>
        <v>0.15080435353366589</v>
      </c>
      <c r="J345" s="59">
        <f t="shared" si="32"/>
        <v>0</v>
      </c>
      <c r="K345" s="59">
        <f t="shared" si="33"/>
        <v>8.242833615772012E-2</v>
      </c>
      <c r="L345" s="73">
        <v>-1189708.6156000008</v>
      </c>
      <c r="M345" s="73">
        <v>8252263.8349009985</v>
      </c>
      <c r="N345" s="73">
        <v>-1709800.5058999995</v>
      </c>
      <c r="O345" s="73">
        <v>16848187.082297936</v>
      </c>
      <c r="P345" s="61">
        <f t="shared" si="34"/>
        <v>0.14416754473704652</v>
      </c>
      <c r="Q345" s="61">
        <f t="shared" si="35"/>
        <v>0.10148275880058655</v>
      </c>
    </row>
    <row r="346" spans="1:17">
      <c r="A346" s="23">
        <v>7640200</v>
      </c>
      <c r="B346" s="18">
        <v>1015691</v>
      </c>
      <c r="C346" s="16" t="s">
        <v>364</v>
      </c>
      <c r="D346" s="67" t="s">
        <v>31</v>
      </c>
      <c r="E346" s="16">
        <v>103625</v>
      </c>
      <c r="F346" s="17">
        <v>11346</v>
      </c>
      <c r="G346" s="16">
        <v>0</v>
      </c>
      <c r="H346" s="16">
        <v>5934</v>
      </c>
      <c r="I346" s="59">
        <f t="shared" si="31"/>
        <v>0.10949095295536791</v>
      </c>
      <c r="J346" s="59">
        <f t="shared" si="32"/>
        <v>0</v>
      </c>
      <c r="K346" s="59">
        <f t="shared" si="33"/>
        <v>5.7264173703256933E-2</v>
      </c>
      <c r="L346" s="73">
        <v>-1133409.5887999996</v>
      </c>
      <c r="M346" s="73">
        <v>3973869.7289999994</v>
      </c>
      <c r="N346" s="73">
        <v>-1170063.7865000002</v>
      </c>
      <c r="O346" s="73">
        <v>20188054.964398898</v>
      </c>
      <c r="P346" s="61">
        <f t="shared" si="34"/>
        <v>0.28521558734770486</v>
      </c>
      <c r="Q346" s="61">
        <f t="shared" si="35"/>
        <v>5.7958222749213667E-2</v>
      </c>
    </row>
    <row r="347" spans="1:17">
      <c r="A347" s="23">
        <v>7650200</v>
      </c>
      <c r="B347" s="18">
        <v>729513</v>
      </c>
      <c r="C347" s="16" t="s">
        <v>365</v>
      </c>
      <c r="D347" s="67" t="s">
        <v>18</v>
      </c>
      <c r="E347" s="16">
        <v>143364</v>
      </c>
      <c r="F347" s="17">
        <v>29646.000012</v>
      </c>
      <c r="G347" s="16">
        <v>2046.0000009999999</v>
      </c>
      <c r="H347" s="16">
        <v>20141.999997999999</v>
      </c>
      <c r="I347" s="59">
        <f t="shared" si="31"/>
        <v>0.20678831514187662</v>
      </c>
      <c r="J347" s="59">
        <f t="shared" si="32"/>
        <v>1.4271365203258836E-2</v>
      </c>
      <c r="K347" s="59">
        <f t="shared" si="33"/>
        <v>0.14049552187438966</v>
      </c>
      <c r="L347" s="73">
        <v>-1497116.1525000087</v>
      </c>
      <c r="M347" s="73">
        <v>14011138.30029895</v>
      </c>
      <c r="N347" s="73">
        <v>-1254365.5409999995</v>
      </c>
      <c r="O347" s="73">
        <v>24846816.075404864</v>
      </c>
      <c r="P347" s="61">
        <f t="shared" si="34"/>
        <v>0.10685185745886652</v>
      </c>
      <c r="Q347" s="61">
        <f t="shared" si="35"/>
        <v>5.0483954853340715E-2</v>
      </c>
    </row>
    <row r="348" spans="1:17">
      <c r="A348" s="23">
        <v>7665200</v>
      </c>
      <c r="B348" s="18">
        <v>324586</v>
      </c>
      <c r="C348" s="16" t="s">
        <v>366</v>
      </c>
      <c r="D348" s="67" t="s">
        <v>20</v>
      </c>
      <c r="E348" s="16">
        <v>362293</v>
      </c>
      <c r="F348" s="17">
        <v>53585.000002000001</v>
      </c>
      <c r="G348" s="16">
        <v>16586</v>
      </c>
      <c r="H348" s="16">
        <v>48281</v>
      </c>
      <c r="I348" s="59">
        <f t="shared" si="31"/>
        <v>0.14790514860071821</v>
      </c>
      <c r="J348" s="59">
        <f t="shared" si="32"/>
        <v>4.5780625074180292E-2</v>
      </c>
      <c r="K348" s="59">
        <f t="shared" si="33"/>
        <v>0.13326506446439759</v>
      </c>
      <c r="L348" s="73">
        <v>-6672490.6599001316</v>
      </c>
      <c r="M348" s="73">
        <v>55000874.980899341</v>
      </c>
      <c r="N348" s="73">
        <v>-1922778.3906999987</v>
      </c>
      <c r="O348" s="73">
        <v>86144915.639797851</v>
      </c>
      <c r="P348" s="61">
        <f t="shared" si="34"/>
        <v>0.12131608201173798</v>
      </c>
      <c r="Q348" s="61">
        <f t="shared" si="35"/>
        <v>2.2320277133241508E-2</v>
      </c>
    </row>
    <row r="349" spans="1:17">
      <c r="A349" s="23">
        <v>7675200</v>
      </c>
      <c r="B349" s="18">
        <v>1053548</v>
      </c>
      <c r="C349" s="16" t="s">
        <v>367</v>
      </c>
      <c r="D349" s="67" t="s">
        <v>18</v>
      </c>
      <c r="E349" s="16">
        <v>165645</v>
      </c>
      <c r="F349" s="17">
        <v>23367</v>
      </c>
      <c r="G349" s="16">
        <v>3029</v>
      </c>
      <c r="H349" s="16">
        <v>26638.999999</v>
      </c>
      <c r="I349" s="59">
        <f t="shared" si="31"/>
        <v>0.14106673911074888</v>
      </c>
      <c r="J349" s="59">
        <f t="shared" si="32"/>
        <v>1.8286093754716411E-2</v>
      </c>
      <c r="K349" s="59">
        <f t="shared" si="33"/>
        <v>0.16081982552446497</v>
      </c>
      <c r="L349" s="73">
        <v>-1420579.8983000016</v>
      </c>
      <c r="M349" s="73">
        <v>19666316.969399959</v>
      </c>
      <c r="N349" s="73">
        <v>-895458.94750000059</v>
      </c>
      <c r="O349" s="73">
        <v>24757641.409299769</v>
      </c>
      <c r="P349" s="61">
        <f t="shared" si="34"/>
        <v>7.2234160596026692E-2</v>
      </c>
      <c r="Q349" s="61">
        <f t="shared" si="35"/>
        <v>3.6168992542384808E-2</v>
      </c>
    </row>
    <row r="350" spans="1:17">
      <c r="A350" s="23">
        <v>7690200</v>
      </c>
      <c r="B350" s="18">
        <v>803842</v>
      </c>
      <c r="C350" s="16" t="s">
        <v>368</v>
      </c>
      <c r="D350" s="67" t="s">
        <v>18</v>
      </c>
      <c r="E350" s="16">
        <v>170009</v>
      </c>
      <c r="F350" s="17">
        <v>28599.999999</v>
      </c>
      <c r="G350" s="16">
        <v>0</v>
      </c>
      <c r="H350" s="16">
        <v>18063</v>
      </c>
      <c r="I350" s="59">
        <f t="shared" si="31"/>
        <v>0.1682263880088701</v>
      </c>
      <c r="J350" s="59">
        <f t="shared" si="32"/>
        <v>0</v>
      </c>
      <c r="K350" s="59">
        <f t="shared" si="33"/>
        <v>0.10624731631854784</v>
      </c>
      <c r="L350" s="73">
        <v>-906498.47669999348</v>
      </c>
      <c r="M350" s="73">
        <v>12499290.934894972</v>
      </c>
      <c r="N350" s="73">
        <v>-1067414.5448000003</v>
      </c>
      <c r="O350" s="73">
        <v>21808031.63809276</v>
      </c>
      <c r="P350" s="61">
        <f t="shared" si="34"/>
        <v>7.2523992074564073E-2</v>
      </c>
      <c r="Q350" s="61">
        <f t="shared" si="35"/>
        <v>4.8945937098491474E-2</v>
      </c>
    </row>
    <row r="351" spans="1:17">
      <c r="A351" s="23">
        <v>7700200</v>
      </c>
      <c r="B351" s="18">
        <v>470683</v>
      </c>
      <c r="C351" s="16" t="s">
        <v>369</v>
      </c>
      <c r="D351" s="67" t="s">
        <v>18</v>
      </c>
      <c r="E351" s="16">
        <v>183020</v>
      </c>
      <c r="F351" s="17">
        <v>14870</v>
      </c>
      <c r="G351" s="16">
        <v>0</v>
      </c>
      <c r="H351" s="16">
        <v>25909</v>
      </c>
      <c r="I351" s="59">
        <f t="shared" si="31"/>
        <v>8.1247951043601788E-2</v>
      </c>
      <c r="J351" s="59">
        <f t="shared" si="32"/>
        <v>0</v>
      </c>
      <c r="K351" s="59">
        <f t="shared" si="33"/>
        <v>0.14156376352311223</v>
      </c>
      <c r="L351" s="73">
        <v>-529306.89000000234</v>
      </c>
      <c r="M351" s="73">
        <v>17470796.867899995</v>
      </c>
      <c r="N351" s="73">
        <v>-1399577.8495000002</v>
      </c>
      <c r="O351" s="73">
        <v>19705528.510699868</v>
      </c>
      <c r="P351" s="61">
        <f t="shared" si="34"/>
        <v>3.029666557296682E-2</v>
      </c>
      <c r="Q351" s="61">
        <f t="shared" si="35"/>
        <v>7.1024628887271207E-2</v>
      </c>
    </row>
    <row r="352" spans="1:17">
      <c r="A352" s="23">
        <v>7705200</v>
      </c>
      <c r="B352" s="18">
        <v>754546</v>
      </c>
      <c r="C352" s="16" t="s">
        <v>370</v>
      </c>
      <c r="D352" s="67" t="s">
        <v>20</v>
      </c>
      <c r="E352" s="16">
        <v>370497</v>
      </c>
      <c r="F352" s="17">
        <v>42063.000002000001</v>
      </c>
      <c r="G352" s="16">
        <v>8395</v>
      </c>
      <c r="H352" s="16">
        <v>44109.999999</v>
      </c>
      <c r="I352" s="59">
        <f t="shared" si="31"/>
        <v>0.11353128365951681</v>
      </c>
      <c r="J352" s="59">
        <f t="shared" si="32"/>
        <v>2.265875297235875E-2</v>
      </c>
      <c r="K352" s="59">
        <f t="shared" si="33"/>
        <v>0.11905629465015911</v>
      </c>
      <c r="L352" s="73">
        <v>-4047151.2154000141</v>
      </c>
      <c r="M352" s="73">
        <v>39756067.767900169</v>
      </c>
      <c r="N352" s="73">
        <v>-2253369.8178000003</v>
      </c>
      <c r="O352" s="73">
        <v>126998329.53530379</v>
      </c>
      <c r="P352" s="61">
        <f t="shared" si="34"/>
        <v>0.10179958538725914</v>
      </c>
      <c r="Q352" s="61">
        <f t="shared" si="35"/>
        <v>1.774330281386571E-2</v>
      </c>
    </row>
    <row r="353" spans="1:17">
      <c r="A353" s="23">
        <v>7715200</v>
      </c>
      <c r="B353" s="18">
        <v>1114405</v>
      </c>
      <c r="C353" s="16" t="s">
        <v>371</v>
      </c>
      <c r="D353" s="67" t="s">
        <v>18</v>
      </c>
      <c r="E353" s="16">
        <v>188904</v>
      </c>
      <c r="F353" s="17">
        <v>20128</v>
      </c>
      <c r="G353" s="16">
        <v>2442</v>
      </c>
      <c r="H353" s="16">
        <v>18641</v>
      </c>
      <c r="I353" s="59">
        <f t="shared" si="31"/>
        <v>0.10655147588192944</v>
      </c>
      <c r="J353" s="59">
        <f t="shared" si="32"/>
        <v>1.2927201118028205E-2</v>
      </c>
      <c r="K353" s="59">
        <f t="shared" si="33"/>
        <v>9.8679752678609234E-2</v>
      </c>
      <c r="L353" s="73">
        <v>-1036646.1560999989</v>
      </c>
      <c r="M353" s="73">
        <v>13687573.138399957</v>
      </c>
      <c r="N353" s="73">
        <v>-2050498.3453999974</v>
      </c>
      <c r="O353" s="73">
        <v>29934688.012401678</v>
      </c>
      <c r="P353" s="61">
        <f t="shared" si="34"/>
        <v>7.5736300775754634E-2</v>
      </c>
      <c r="Q353" s="61">
        <f t="shared" si="35"/>
        <v>6.8499071864403405E-2</v>
      </c>
    </row>
    <row r="354" spans="1:17">
      <c r="A354" s="23">
        <v>7720200</v>
      </c>
      <c r="B354" s="18">
        <v>755798</v>
      </c>
      <c r="C354" s="16" t="s">
        <v>372</v>
      </c>
      <c r="D354" s="67" t="s">
        <v>20</v>
      </c>
      <c r="E354" s="16">
        <v>140533</v>
      </c>
      <c r="F354" s="17">
        <v>14040</v>
      </c>
      <c r="G354" s="16">
        <v>4293</v>
      </c>
      <c r="H354" s="16">
        <v>15612</v>
      </c>
      <c r="I354" s="59">
        <f t="shared" si="31"/>
        <v>9.990536030683185E-2</v>
      </c>
      <c r="J354" s="59">
        <f t="shared" si="32"/>
        <v>3.0547985170742815E-2</v>
      </c>
      <c r="K354" s="59">
        <f t="shared" si="33"/>
        <v>0.11109134509332327</v>
      </c>
      <c r="L354" s="73">
        <v>-3287551.752600058</v>
      </c>
      <c r="M354" s="73">
        <v>14526114.16449997</v>
      </c>
      <c r="N354" s="73">
        <v>-1392847.8559000008</v>
      </c>
      <c r="O354" s="73">
        <v>22214907.972099848</v>
      </c>
      <c r="P354" s="61">
        <f t="shared" si="34"/>
        <v>0.22632010979470535</v>
      </c>
      <c r="Q354" s="61">
        <f t="shared" si="35"/>
        <v>6.2698790274049593E-2</v>
      </c>
    </row>
    <row r="355" spans="1:17">
      <c r="A355" s="23">
        <v>7735200</v>
      </c>
      <c r="B355" s="18">
        <v>614923</v>
      </c>
      <c r="C355" s="16" t="s">
        <v>373</v>
      </c>
      <c r="D355" s="67" t="s">
        <v>20</v>
      </c>
      <c r="E355" s="16">
        <v>270441</v>
      </c>
      <c r="F355" s="17">
        <v>32782.000001</v>
      </c>
      <c r="G355" s="16">
        <v>10443</v>
      </c>
      <c r="H355" s="16">
        <v>36935</v>
      </c>
      <c r="I355" s="59">
        <f t="shared" si="31"/>
        <v>0.12121682733387319</v>
      </c>
      <c r="J355" s="59">
        <f t="shared" si="32"/>
        <v>3.861470708953154E-2</v>
      </c>
      <c r="K355" s="59">
        <f t="shared" si="33"/>
        <v>0.13657322669269822</v>
      </c>
      <c r="L355" s="73">
        <v>-3162310.3433000417</v>
      </c>
      <c r="M355" s="73">
        <v>33827334.947299868</v>
      </c>
      <c r="N355" s="73">
        <v>-2147352.0048999973</v>
      </c>
      <c r="O355" s="73">
        <v>53285383.746997304</v>
      </c>
      <c r="P355" s="61">
        <f t="shared" si="34"/>
        <v>9.3483874748828258E-2</v>
      </c>
      <c r="Q355" s="61">
        <f t="shared" si="35"/>
        <v>4.0299081171973415E-2</v>
      </c>
    </row>
    <row r="356" spans="1:17">
      <c r="A356" s="23">
        <v>7740200</v>
      </c>
      <c r="B356" s="18">
        <v>346460</v>
      </c>
      <c r="C356" s="16" t="s">
        <v>374</v>
      </c>
      <c r="D356" s="67" t="s">
        <v>18</v>
      </c>
      <c r="E356" s="16">
        <v>126497</v>
      </c>
      <c r="F356" s="17">
        <v>14902</v>
      </c>
      <c r="G356" s="16">
        <v>1522</v>
      </c>
      <c r="H356" s="16">
        <v>15222.999999</v>
      </c>
      <c r="I356" s="59">
        <f t="shared" si="31"/>
        <v>0.11780516533988948</v>
      </c>
      <c r="J356" s="59">
        <f t="shared" si="32"/>
        <v>1.2031905895001463E-2</v>
      </c>
      <c r="K356" s="59">
        <f t="shared" si="33"/>
        <v>0.12034277491956331</v>
      </c>
      <c r="L356" s="73">
        <v>-1054728.7961999953</v>
      </c>
      <c r="M356" s="73">
        <v>11180087.56019997</v>
      </c>
      <c r="N356" s="73">
        <v>-960613.66649999993</v>
      </c>
      <c r="O356" s="73">
        <v>20177148.550402895</v>
      </c>
      <c r="P356" s="61">
        <f t="shared" si="34"/>
        <v>9.4339940588187135E-2</v>
      </c>
      <c r="Q356" s="61">
        <f t="shared" si="35"/>
        <v>4.7608990145479133E-2</v>
      </c>
    </row>
    <row r="357" spans="1:17">
      <c r="A357" s="23">
        <v>7750200</v>
      </c>
      <c r="B357" s="18">
        <v>971357</v>
      </c>
      <c r="C357" s="16" t="s">
        <v>375</v>
      </c>
      <c r="D357" s="67" t="s">
        <v>18</v>
      </c>
      <c r="E357" s="16">
        <v>252929</v>
      </c>
      <c r="F357" s="17">
        <v>19317</v>
      </c>
      <c r="G357" s="16">
        <v>1998</v>
      </c>
      <c r="H357" s="16">
        <v>25228.999999</v>
      </c>
      <c r="I357" s="59">
        <f t="shared" si="31"/>
        <v>7.6373211454597925E-2</v>
      </c>
      <c r="J357" s="59">
        <f t="shared" si="32"/>
        <v>7.8994500432927814E-3</v>
      </c>
      <c r="K357" s="59">
        <f t="shared" si="33"/>
        <v>9.9747359927094159E-2</v>
      </c>
      <c r="L357" s="73">
        <v>-1866692.130300011</v>
      </c>
      <c r="M357" s="73">
        <v>17941014.733496882</v>
      </c>
      <c r="N357" s="73">
        <v>-1930756.3525999968</v>
      </c>
      <c r="O357" s="73">
        <v>30824542.335698687</v>
      </c>
      <c r="P357" s="61">
        <f t="shared" si="34"/>
        <v>0.10404607309166254</v>
      </c>
      <c r="Q357" s="61">
        <f t="shared" si="35"/>
        <v>6.2636983594852563E-2</v>
      </c>
    </row>
    <row r="358" spans="1:17">
      <c r="A358" s="23">
        <v>7755200</v>
      </c>
      <c r="B358" s="18">
        <v>919134</v>
      </c>
      <c r="C358" s="16" t="s">
        <v>376</v>
      </c>
      <c r="D358" s="67" t="s">
        <v>20</v>
      </c>
      <c r="E358" s="16">
        <v>380610</v>
      </c>
      <c r="F358" s="17">
        <v>60905.999999</v>
      </c>
      <c r="G358" s="16">
        <v>10217</v>
      </c>
      <c r="H358" s="16">
        <v>50097.999993999998</v>
      </c>
      <c r="I358" s="59">
        <f t="shared" si="31"/>
        <v>0.16002206983263709</v>
      </c>
      <c r="J358" s="59">
        <f t="shared" si="32"/>
        <v>2.6843750821050418E-2</v>
      </c>
      <c r="K358" s="59">
        <f t="shared" si="33"/>
        <v>0.13162554844591576</v>
      </c>
      <c r="L358" s="73">
        <v>-3888602.8691000254</v>
      </c>
      <c r="M358" s="73">
        <v>46045844.037696294</v>
      </c>
      <c r="N358" s="73">
        <v>-2273563.1644000001</v>
      </c>
      <c r="O358" s="73">
        <v>88250053.57530275</v>
      </c>
      <c r="P358" s="61">
        <f t="shared" si="34"/>
        <v>8.4450680628561134E-2</v>
      </c>
      <c r="Q358" s="61">
        <f t="shared" si="35"/>
        <v>2.5762739763778103E-2</v>
      </c>
    </row>
    <row r="359" spans="1:17">
      <c r="A359" s="23">
        <v>7770200</v>
      </c>
      <c r="B359" s="18">
        <v>685861</v>
      </c>
      <c r="C359" s="16" t="s">
        <v>377</v>
      </c>
      <c r="D359" s="67" t="s">
        <v>20</v>
      </c>
      <c r="E359" s="16">
        <v>182024</v>
      </c>
      <c r="F359" s="17">
        <v>21510</v>
      </c>
      <c r="G359" s="16">
        <v>2633</v>
      </c>
      <c r="H359" s="16">
        <v>18562</v>
      </c>
      <c r="I359" s="59">
        <f t="shared" si="31"/>
        <v>0.11817123016745044</v>
      </c>
      <c r="J359" s="59">
        <f t="shared" si="32"/>
        <v>1.4465125477958951E-2</v>
      </c>
      <c r="K359" s="59">
        <f t="shared" si="33"/>
        <v>0.10197556366193469</v>
      </c>
      <c r="L359" s="73">
        <v>-2800578.1054000184</v>
      </c>
      <c r="M359" s="73">
        <v>14606199.853499951</v>
      </c>
      <c r="N359" s="73">
        <v>-1578667.9088999985</v>
      </c>
      <c r="O359" s="73">
        <v>13208654.503399979</v>
      </c>
      <c r="P359" s="61">
        <f t="shared" si="34"/>
        <v>0.19173899669248612</v>
      </c>
      <c r="Q359" s="61">
        <f t="shared" si="35"/>
        <v>0.1195176926229421</v>
      </c>
    </row>
    <row r="360" spans="1:17">
      <c r="A360" s="23">
        <v>7795200</v>
      </c>
      <c r="B360" s="18">
        <v>644444</v>
      </c>
      <c r="C360" s="16" t="s">
        <v>378</v>
      </c>
      <c r="D360" s="67" t="s">
        <v>20</v>
      </c>
      <c r="E360" s="16">
        <v>204363</v>
      </c>
      <c r="F360" s="17">
        <v>28477.000012</v>
      </c>
      <c r="G360" s="16">
        <v>3919.0000019999998</v>
      </c>
      <c r="H360" s="16">
        <v>26413.000002000001</v>
      </c>
      <c r="I360" s="59">
        <f t="shared" si="31"/>
        <v>0.13934518485244393</v>
      </c>
      <c r="J360" s="59">
        <f t="shared" si="32"/>
        <v>1.9176661147076526E-2</v>
      </c>
      <c r="K360" s="59">
        <f t="shared" si="33"/>
        <v>0.12924550922622979</v>
      </c>
      <c r="L360" s="73">
        <v>-1931263.31</v>
      </c>
      <c r="M360" s="73">
        <v>19859861.754201867</v>
      </c>
      <c r="N360" s="73">
        <v>-981433.94530000014</v>
      </c>
      <c r="O360" s="73">
        <v>21178442.096699718</v>
      </c>
      <c r="P360" s="61">
        <f t="shared" si="34"/>
        <v>9.7244549529222749E-2</v>
      </c>
      <c r="Q360" s="61">
        <f t="shared" si="35"/>
        <v>4.634117754359935E-2</v>
      </c>
    </row>
    <row r="361" spans="1:17">
      <c r="A361" s="23">
        <v>7800200</v>
      </c>
      <c r="B361" s="18">
        <v>615186</v>
      </c>
      <c r="C361" s="16" t="s">
        <v>379</v>
      </c>
      <c r="D361" s="67" t="s">
        <v>18</v>
      </c>
      <c r="E361" s="16">
        <v>144724</v>
      </c>
      <c r="F361" s="17">
        <v>24058.999996999999</v>
      </c>
      <c r="G361" s="16">
        <v>1804</v>
      </c>
      <c r="H361" s="16">
        <v>17256</v>
      </c>
      <c r="I361" s="59">
        <f t="shared" si="31"/>
        <v>0.16624056823332689</v>
      </c>
      <c r="J361" s="59">
        <f t="shared" si="32"/>
        <v>1.246510599485918E-2</v>
      </c>
      <c r="K361" s="59">
        <f t="shared" si="33"/>
        <v>0.11923385202177939</v>
      </c>
      <c r="L361" s="73">
        <v>-1366715.339500003</v>
      </c>
      <c r="M361" s="73">
        <v>13460221.801599959</v>
      </c>
      <c r="N361" s="73">
        <v>-1414835.3621</v>
      </c>
      <c r="O361" s="73">
        <v>27544710.21020072</v>
      </c>
      <c r="P361" s="61">
        <f t="shared" si="34"/>
        <v>0.10153735648973834</v>
      </c>
      <c r="Q361" s="61">
        <f t="shared" si="35"/>
        <v>5.1365048000252315E-2</v>
      </c>
    </row>
    <row r="362" spans="1:17">
      <c r="A362" s="23">
        <v>7805200</v>
      </c>
      <c r="B362" s="18">
        <v>1040778</v>
      </c>
      <c r="C362" s="16" t="s">
        <v>380</v>
      </c>
      <c r="D362" s="67" t="s">
        <v>18</v>
      </c>
      <c r="E362" s="16">
        <v>137045</v>
      </c>
      <c r="F362" s="17">
        <v>18904</v>
      </c>
      <c r="G362" s="16">
        <v>2137</v>
      </c>
      <c r="H362" s="16">
        <v>9912</v>
      </c>
      <c r="I362" s="59">
        <f t="shared" si="31"/>
        <v>0.13794009267029078</v>
      </c>
      <c r="J362" s="59">
        <f t="shared" si="32"/>
        <v>1.5593418220292605E-2</v>
      </c>
      <c r="K362" s="59">
        <f t="shared" si="33"/>
        <v>7.2326608048451244E-2</v>
      </c>
      <c r="L362" s="73">
        <v>-1832509.087000007</v>
      </c>
      <c r="M362" s="73">
        <v>8090692.9561999813</v>
      </c>
      <c r="N362" s="73">
        <v>-1724454.395599999</v>
      </c>
      <c r="O362" s="73">
        <v>12812248.185399959</v>
      </c>
      <c r="P362" s="61">
        <f t="shared" si="34"/>
        <v>0.22649593760639952</v>
      </c>
      <c r="Q362" s="61">
        <f t="shared" si="35"/>
        <v>0.13459420787407786</v>
      </c>
    </row>
    <row r="363" spans="1:17">
      <c r="A363" s="23">
        <v>7845200</v>
      </c>
      <c r="B363" s="18">
        <v>532758</v>
      </c>
      <c r="C363" s="16" t="s">
        <v>381</v>
      </c>
      <c r="D363" s="67" t="s">
        <v>18</v>
      </c>
      <c r="E363" s="16">
        <v>277564</v>
      </c>
      <c r="F363" s="17">
        <v>55451.000006000002</v>
      </c>
      <c r="G363" s="16">
        <v>1898</v>
      </c>
      <c r="H363" s="16">
        <v>34483.000003000001</v>
      </c>
      <c r="I363" s="59">
        <f t="shared" si="31"/>
        <v>0.19977734866913577</v>
      </c>
      <c r="J363" s="59">
        <f t="shared" si="32"/>
        <v>6.8380625729561467E-3</v>
      </c>
      <c r="K363" s="59">
        <f t="shared" si="33"/>
        <v>0.12423441081336196</v>
      </c>
      <c r="L363" s="73">
        <v>-961020.64139999321</v>
      </c>
      <c r="M363" s="73">
        <v>24128434.492201857</v>
      </c>
      <c r="N363" s="73">
        <v>-1223463.5209000017</v>
      </c>
      <c r="O363" s="73">
        <v>51641053.764900297</v>
      </c>
      <c r="P363" s="61">
        <f t="shared" si="34"/>
        <v>3.9829382287963538E-2</v>
      </c>
      <c r="Q363" s="61">
        <f t="shared" si="35"/>
        <v>2.3691683877519416E-2</v>
      </c>
    </row>
    <row r="364" spans="1:17">
      <c r="A364" s="23">
        <v>7850200</v>
      </c>
      <c r="B364" s="18">
        <v>934662</v>
      </c>
      <c r="C364" s="16" t="s">
        <v>382</v>
      </c>
      <c r="D364" s="67" t="s">
        <v>18</v>
      </c>
      <c r="E364" s="16">
        <v>195466</v>
      </c>
      <c r="F364" s="17">
        <v>36399.000001</v>
      </c>
      <c r="G364" s="16">
        <v>0</v>
      </c>
      <c r="H364" s="16">
        <v>19491.999996999999</v>
      </c>
      <c r="I364" s="59">
        <f t="shared" si="31"/>
        <v>0.18621652871087555</v>
      </c>
      <c r="J364" s="59">
        <f t="shared" si="32"/>
        <v>0</v>
      </c>
      <c r="K364" s="59">
        <f t="shared" si="33"/>
        <v>9.9720667517624539E-2</v>
      </c>
      <c r="L364" s="73">
        <v>-1055065.6736999936</v>
      </c>
      <c r="M364" s="73">
        <v>11929884.015699979</v>
      </c>
      <c r="N364" s="73">
        <v>-2094864.9872000003</v>
      </c>
      <c r="O364" s="73">
        <v>22307433.00559783</v>
      </c>
      <c r="P364" s="61">
        <f t="shared" si="34"/>
        <v>8.8438887780594097E-2</v>
      </c>
      <c r="Q364" s="61">
        <f t="shared" si="35"/>
        <v>9.3908832391172689E-2</v>
      </c>
    </row>
    <row r="365" spans="1:17">
      <c r="A365" s="23">
        <v>7860200</v>
      </c>
      <c r="B365" s="18">
        <v>483848</v>
      </c>
      <c r="C365" s="16" t="s">
        <v>383</v>
      </c>
      <c r="D365" s="67" t="s">
        <v>20</v>
      </c>
      <c r="E365" s="16">
        <v>238638</v>
      </c>
      <c r="F365" s="17">
        <v>36300</v>
      </c>
      <c r="G365" s="16">
        <v>4174</v>
      </c>
      <c r="H365" s="16">
        <v>24129</v>
      </c>
      <c r="I365" s="59">
        <f t="shared" si="31"/>
        <v>0.1521132426520504</v>
      </c>
      <c r="J365" s="59">
        <f t="shared" si="32"/>
        <v>1.7490927681257804E-2</v>
      </c>
      <c r="K365" s="59">
        <f t="shared" si="33"/>
        <v>0.10111130666532572</v>
      </c>
      <c r="L365" s="73">
        <v>-2897574.5280000321</v>
      </c>
      <c r="M365" s="73">
        <v>20528990.75359986</v>
      </c>
      <c r="N365" s="73">
        <v>-1763782.7964999974</v>
      </c>
      <c r="O365" s="73">
        <v>30179505.487593722</v>
      </c>
      <c r="P365" s="61">
        <f t="shared" si="34"/>
        <v>0.14114549335514354</v>
      </c>
      <c r="Q365" s="61">
        <f t="shared" si="35"/>
        <v>5.8443064854891619E-2</v>
      </c>
    </row>
    <row r="366" spans="1:17">
      <c r="A366" s="23">
        <v>7870200</v>
      </c>
      <c r="B366" s="18">
        <v>552210</v>
      </c>
      <c r="C366" s="16" t="s">
        <v>384</v>
      </c>
      <c r="D366" s="67" t="s">
        <v>18</v>
      </c>
      <c r="E366" s="16">
        <v>175948</v>
      </c>
      <c r="F366" s="17">
        <v>27363</v>
      </c>
      <c r="G366" s="16">
        <v>0</v>
      </c>
      <c r="H366" s="16">
        <v>18963.000001</v>
      </c>
      <c r="I366" s="59">
        <f t="shared" si="31"/>
        <v>0.15551753927296702</v>
      </c>
      <c r="J366" s="59">
        <f t="shared" si="32"/>
        <v>0</v>
      </c>
      <c r="K366" s="59">
        <f t="shared" si="33"/>
        <v>0.1077761611442017</v>
      </c>
      <c r="L366" s="73">
        <v>-627151.07909999613</v>
      </c>
      <c r="M366" s="73">
        <v>12305644.368198967</v>
      </c>
      <c r="N366" s="73">
        <v>-1232596.0880999998</v>
      </c>
      <c r="O366" s="73">
        <v>17544576.957497913</v>
      </c>
      <c r="P366" s="61">
        <f t="shared" si="34"/>
        <v>5.0964505420026611E-2</v>
      </c>
      <c r="Q366" s="61">
        <f t="shared" si="35"/>
        <v>7.0255104530932172E-2</v>
      </c>
    </row>
    <row r="367" spans="1:17">
      <c r="A367" s="23">
        <v>7885200</v>
      </c>
      <c r="B367" s="18">
        <v>739972</v>
      </c>
      <c r="C367" s="16" t="s">
        <v>385</v>
      </c>
      <c r="D367" s="67" t="s">
        <v>18</v>
      </c>
      <c r="E367" s="16">
        <v>108720</v>
      </c>
      <c r="F367" s="17">
        <v>27401</v>
      </c>
      <c r="G367" s="16">
        <v>2566</v>
      </c>
      <c r="H367" s="16">
        <v>17708</v>
      </c>
      <c r="I367" s="59">
        <f t="shared" si="31"/>
        <v>0.25203274466519499</v>
      </c>
      <c r="J367" s="59">
        <f t="shared" si="32"/>
        <v>2.3601913171449596E-2</v>
      </c>
      <c r="K367" s="59">
        <f t="shared" si="33"/>
        <v>0.16287711552612213</v>
      </c>
      <c r="L367" s="73">
        <v>-2594533.2623000215</v>
      </c>
      <c r="M367" s="73">
        <v>14912797.831394976</v>
      </c>
      <c r="N367" s="73">
        <v>-1157404.9378000004</v>
      </c>
      <c r="O367" s="73">
        <v>30641163.454196665</v>
      </c>
      <c r="P367" s="61">
        <f t="shared" si="34"/>
        <v>0.1739803148700852</v>
      </c>
      <c r="Q367" s="61">
        <f t="shared" si="35"/>
        <v>3.777287828936797E-2</v>
      </c>
    </row>
    <row r="368" spans="1:17">
      <c r="A368" s="23">
        <v>7890200</v>
      </c>
      <c r="B368" s="18">
        <v>840994</v>
      </c>
      <c r="C368" s="16" t="s">
        <v>386</v>
      </c>
      <c r="D368" s="67" t="s">
        <v>31</v>
      </c>
      <c r="E368" s="16">
        <v>64284</v>
      </c>
      <c r="F368" s="17">
        <v>25302</v>
      </c>
      <c r="G368" s="16">
        <v>0</v>
      </c>
      <c r="H368" s="16">
        <v>14893</v>
      </c>
      <c r="I368" s="59">
        <f t="shared" si="31"/>
        <v>0.39359716259100241</v>
      </c>
      <c r="J368" s="59">
        <f t="shared" si="32"/>
        <v>0</v>
      </c>
      <c r="K368" s="59">
        <f t="shared" si="33"/>
        <v>0.23167506689067263</v>
      </c>
      <c r="L368" s="73">
        <v>-1606381.5773000275</v>
      </c>
      <c r="M368" s="73">
        <v>12846925.176999955</v>
      </c>
      <c r="N368" s="73">
        <v>-546397.55460000027</v>
      </c>
      <c r="O368" s="73">
        <v>36052126.217099749</v>
      </c>
      <c r="P368" s="61">
        <f t="shared" si="34"/>
        <v>0.12504015981784941</v>
      </c>
      <c r="Q368" s="61">
        <f t="shared" si="35"/>
        <v>1.5155765052792933E-2</v>
      </c>
    </row>
    <row r="369" spans="1:17">
      <c r="A369" s="23">
        <v>7895200</v>
      </c>
      <c r="B369" s="18">
        <v>345437</v>
      </c>
      <c r="C369" s="16" t="s">
        <v>387</v>
      </c>
      <c r="D369" s="67" t="s">
        <v>31</v>
      </c>
      <c r="E369" s="16">
        <v>127704</v>
      </c>
      <c r="F369" s="17">
        <v>37534</v>
      </c>
      <c r="G369" s="16">
        <v>0</v>
      </c>
      <c r="H369" s="16">
        <v>31906</v>
      </c>
      <c r="I369" s="59">
        <f t="shared" si="31"/>
        <v>0.29391405124350062</v>
      </c>
      <c r="J369" s="59">
        <f t="shared" si="32"/>
        <v>0</v>
      </c>
      <c r="K369" s="59">
        <f t="shared" si="33"/>
        <v>0.24984338783436696</v>
      </c>
      <c r="L369" s="73">
        <v>-1441195.1809000149</v>
      </c>
      <c r="M369" s="73">
        <v>27729536.331398696</v>
      </c>
      <c r="N369" s="73">
        <v>-393950.78310000041</v>
      </c>
      <c r="O369" s="73">
        <v>69156642.602701232</v>
      </c>
      <c r="P369" s="61">
        <f t="shared" si="34"/>
        <v>5.1973288109694121E-2</v>
      </c>
      <c r="Q369" s="61">
        <f t="shared" si="35"/>
        <v>5.6964995447105881E-3</v>
      </c>
    </row>
    <row r="370" spans="1:17">
      <c r="A370" s="23">
        <v>7900200</v>
      </c>
      <c r="B370" s="18">
        <v>520784</v>
      </c>
      <c r="C370" s="16" t="s">
        <v>388</v>
      </c>
      <c r="D370" s="67" t="s">
        <v>18</v>
      </c>
      <c r="E370" s="16">
        <v>183991</v>
      </c>
      <c r="F370" s="17">
        <v>52698</v>
      </c>
      <c r="G370" s="16">
        <v>0</v>
      </c>
      <c r="H370" s="16">
        <v>17814.999999</v>
      </c>
      <c r="I370" s="59">
        <f t="shared" si="31"/>
        <v>0.28641618340027503</v>
      </c>
      <c r="J370" s="59">
        <f t="shared" si="32"/>
        <v>0</v>
      </c>
      <c r="K370" s="59">
        <f t="shared" si="33"/>
        <v>9.6825388192900735E-2</v>
      </c>
      <c r="L370" s="73">
        <v>-1454058.3482000178</v>
      </c>
      <c r="M370" s="73">
        <v>11126582.062501</v>
      </c>
      <c r="N370" s="73">
        <v>-1533426.6868</v>
      </c>
      <c r="O370" s="73">
        <v>17108307.910300899</v>
      </c>
      <c r="P370" s="61">
        <f t="shared" si="34"/>
        <v>0.13068328980383925</v>
      </c>
      <c r="Q370" s="61">
        <f t="shared" si="35"/>
        <v>8.9630528912606547E-2</v>
      </c>
    </row>
    <row r="371" spans="1:17">
      <c r="A371" s="23">
        <v>7905200</v>
      </c>
      <c r="B371" s="18">
        <v>587265</v>
      </c>
      <c r="C371" s="16" t="s">
        <v>389</v>
      </c>
      <c r="D371" s="67" t="s">
        <v>20</v>
      </c>
      <c r="E371" s="16">
        <v>193734</v>
      </c>
      <c r="F371" s="17">
        <v>24032</v>
      </c>
      <c r="G371" s="16">
        <v>3529</v>
      </c>
      <c r="H371" s="16">
        <v>16057.000002000001</v>
      </c>
      <c r="I371" s="59">
        <f t="shared" si="31"/>
        <v>0.1240463728617589</v>
      </c>
      <c r="J371" s="59">
        <f t="shared" si="32"/>
        <v>1.8215697812464512E-2</v>
      </c>
      <c r="K371" s="59">
        <f t="shared" si="33"/>
        <v>8.2881683142865994E-2</v>
      </c>
      <c r="L371" s="73">
        <v>-2293274.1463000183</v>
      </c>
      <c r="M371" s="73">
        <v>13172424.740697937</v>
      </c>
      <c r="N371" s="73">
        <v>-1565302.5683000009</v>
      </c>
      <c r="O371" s="73">
        <v>20469108.28870184</v>
      </c>
      <c r="P371" s="61">
        <f t="shared" si="34"/>
        <v>0.17409658369234379</v>
      </c>
      <c r="Q371" s="61">
        <f t="shared" si="35"/>
        <v>7.6471458659681218E-2</v>
      </c>
    </row>
    <row r="372" spans="1:17">
      <c r="A372" s="23">
        <v>7915200</v>
      </c>
      <c r="B372" s="18">
        <v>1032687</v>
      </c>
      <c r="C372" s="16" t="s">
        <v>390</v>
      </c>
      <c r="D372" s="67" t="s">
        <v>20</v>
      </c>
      <c r="E372" s="16">
        <v>227642</v>
      </c>
      <c r="F372" s="17">
        <v>51537</v>
      </c>
      <c r="G372" s="16">
        <v>7657</v>
      </c>
      <c r="H372" s="16">
        <v>32665.000004000001</v>
      </c>
      <c r="I372" s="59">
        <f t="shared" si="31"/>
        <v>0.22639495347958638</v>
      </c>
      <c r="J372" s="59">
        <f t="shared" si="32"/>
        <v>3.3636147986751123E-2</v>
      </c>
      <c r="K372" s="59">
        <f t="shared" si="33"/>
        <v>0.14349285283032129</v>
      </c>
      <c r="L372" s="73">
        <v>-3388088.2975000707</v>
      </c>
      <c r="M372" s="73">
        <v>29229928.453605868</v>
      </c>
      <c r="N372" s="73">
        <v>-939631.45490000024</v>
      </c>
      <c r="O372" s="73">
        <v>44583064.867402717</v>
      </c>
      <c r="P372" s="61">
        <f t="shared" si="34"/>
        <v>0.11591161787746725</v>
      </c>
      <c r="Q372" s="61">
        <f t="shared" si="35"/>
        <v>2.1075972629845369E-2</v>
      </c>
    </row>
    <row r="373" spans="1:17">
      <c r="A373" s="23">
        <v>8379200</v>
      </c>
      <c r="B373" s="18">
        <v>732105</v>
      </c>
      <c r="C373" s="16" t="s">
        <v>391</v>
      </c>
      <c r="D373" s="67" t="s">
        <v>20</v>
      </c>
      <c r="E373" s="16">
        <v>100991</v>
      </c>
      <c r="F373" s="17">
        <v>43429.999997999999</v>
      </c>
      <c r="G373" s="16">
        <v>10103.000001</v>
      </c>
      <c r="H373" s="16">
        <v>37930.999999</v>
      </c>
      <c r="I373" s="59">
        <f t="shared" si="31"/>
        <v>0.43003832022655486</v>
      </c>
      <c r="J373" s="59">
        <f t="shared" si="32"/>
        <v>0.10003861731243378</v>
      </c>
      <c r="K373" s="59">
        <f t="shared" si="33"/>
        <v>0.37558792366646532</v>
      </c>
      <c r="L373" s="73">
        <v>-8830265.0197000522</v>
      </c>
      <c r="M373" s="73">
        <v>47240652.999291852</v>
      </c>
      <c r="N373" s="73">
        <v>-1257858.9684000006</v>
      </c>
      <c r="O373" s="73">
        <v>22742415.552498668</v>
      </c>
      <c r="P373" s="61">
        <f t="shared" si="34"/>
        <v>0.18692089247437838</v>
      </c>
      <c r="Q373" s="61">
        <f t="shared" si="35"/>
        <v>5.5308943128594003E-2</v>
      </c>
    </row>
    <row r="374" spans="1:17">
      <c r="A374" s="23">
        <v>8380200</v>
      </c>
      <c r="B374" s="18">
        <v>745488</v>
      </c>
      <c r="C374" s="16" t="s">
        <v>392</v>
      </c>
      <c r="D374" s="67" t="s">
        <v>20</v>
      </c>
      <c r="E374" s="16">
        <v>323860</v>
      </c>
      <c r="F374" s="17">
        <v>239566</v>
      </c>
      <c r="G374" s="16">
        <v>33163.000001</v>
      </c>
      <c r="H374" s="16">
        <v>0</v>
      </c>
      <c r="I374" s="59">
        <f t="shared" si="31"/>
        <v>0.73972086704131412</v>
      </c>
      <c r="J374" s="59">
        <f t="shared" si="32"/>
        <v>0.10239918483604027</v>
      </c>
      <c r="K374" s="59">
        <f t="shared" si="33"/>
        <v>0</v>
      </c>
      <c r="L374" s="73">
        <v>-7211322.2612000313</v>
      </c>
      <c r="M374" s="73">
        <v>55595413.000293538</v>
      </c>
      <c r="N374" s="73">
        <v>-631547.18390000053</v>
      </c>
      <c r="O374" s="73">
        <v>36311843.113399632</v>
      </c>
      <c r="P374" s="61">
        <f t="shared" si="34"/>
        <v>0.12971074180457939</v>
      </c>
      <c r="Q374" s="61">
        <f t="shared" si="35"/>
        <v>1.7392319688309895E-2</v>
      </c>
    </row>
    <row r="375" spans="1:17">
      <c r="A375" s="23">
        <v>8484800</v>
      </c>
      <c r="B375" s="18" t="e">
        <v>#N/A</v>
      </c>
      <c r="C375" s="16" t="s">
        <v>393</v>
      </c>
      <c r="D375" s="67" t="s">
        <v>20</v>
      </c>
      <c r="E375" s="16">
        <v>24385</v>
      </c>
      <c r="F375" s="17">
        <v>9363</v>
      </c>
      <c r="G375" s="16">
        <v>4261</v>
      </c>
      <c r="H375" s="16">
        <v>9479</v>
      </c>
      <c r="I375" s="59">
        <f t="shared" si="31"/>
        <v>0.38396555259380766</v>
      </c>
      <c r="J375" s="59">
        <f t="shared" si="32"/>
        <v>0.17473856879229036</v>
      </c>
      <c r="K375" s="59">
        <f t="shared" si="33"/>
        <v>0.38872257535370103</v>
      </c>
      <c r="L375" s="73">
        <v>-3481184.5329000298</v>
      </c>
      <c r="M375" s="73">
        <v>13012079.054999918</v>
      </c>
      <c r="N375" s="73">
        <v>-562588.09770000051</v>
      </c>
      <c r="O375" s="73">
        <v>5559205.6575000007</v>
      </c>
      <c r="P375" s="61">
        <f t="shared" si="34"/>
        <v>0.26753484344704914</v>
      </c>
      <c r="Q375" s="61">
        <f t="shared" si="35"/>
        <v>0.10119936774438362</v>
      </c>
    </row>
    <row r="376" spans="1:17">
      <c r="A376" s="23">
        <v>8485000</v>
      </c>
      <c r="B376" s="18" t="e">
        <v>#N/A</v>
      </c>
      <c r="C376" s="16" t="s">
        <v>394</v>
      </c>
      <c r="D376" s="67" t="s">
        <v>20</v>
      </c>
      <c r="E376" s="16">
        <v>138940</v>
      </c>
      <c r="F376" s="17">
        <v>90154</v>
      </c>
      <c r="G376" s="16">
        <v>24781</v>
      </c>
      <c r="H376" s="16">
        <v>59360</v>
      </c>
      <c r="I376" s="59">
        <f t="shared" si="31"/>
        <v>0.64887001583417303</v>
      </c>
      <c r="J376" s="59">
        <f t="shared" si="32"/>
        <v>0.1783575644162948</v>
      </c>
      <c r="K376" s="59">
        <f t="shared" si="33"/>
        <v>0.42723477760184253</v>
      </c>
      <c r="L376" s="73">
        <v>-8360047.7768001286</v>
      </c>
      <c r="M376" s="73">
        <v>94435056.233798191</v>
      </c>
      <c r="N376" s="73">
        <v>-243574.59930000018</v>
      </c>
      <c r="O376" s="73">
        <v>21935110.403499894</v>
      </c>
      <c r="P376" s="61">
        <f t="shared" si="34"/>
        <v>8.8526952915691473E-2</v>
      </c>
      <c r="Q376" s="61">
        <f t="shared" si="35"/>
        <v>1.1104325203721619E-2</v>
      </c>
    </row>
    <row r="377" spans="1:17">
      <c r="A377" s="23">
        <v>2587700</v>
      </c>
      <c r="B377" s="18">
        <v>823592</v>
      </c>
      <c r="C377" s="16" t="s">
        <v>395</v>
      </c>
      <c r="D377" s="67" t="s">
        <v>20</v>
      </c>
      <c r="E377" s="16">
        <v>19273</v>
      </c>
      <c r="F377" s="17">
        <v>0</v>
      </c>
      <c r="G377" s="16">
        <v>0</v>
      </c>
      <c r="H377" s="16">
        <v>0</v>
      </c>
      <c r="I377" s="59">
        <f t="shared" si="31"/>
        <v>0</v>
      </c>
      <c r="J377" s="59">
        <f t="shared" si="32"/>
        <v>0</v>
      </c>
      <c r="K377" s="59">
        <f t="shared" si="33"/>
        <v>0</v>
      </c>
      <c r="L377" s="73">
        <v>0</v>
      </c>
      <c r="M377" s="73">
        <v>0</v>
      </c>
      <c r="N377" s="73">
        <v>-94390.684800000061</v>
      </c>
      <c r="O377" s="73">
        <v>1324538.4967</v>
      </c>
      <c r="P377" s="61">
        <v>0</v>
      </c>
      <c r="Q377" s="61">
        <f t="shared" si="35"/>
        <v>7.1263073919835634E-2</v>
      </c>
    </row>
    <row r="378" spans="1:17">
      <c r="A378" s="23">
        <v>4495200</v>
      </c>
      <c r="B378" s="18">
        <v>772740</v>
      </c>
      <c r="C378" s="16" t="s">
        <v>396</v>
      </c>
      <c r="D378" s="67" t="s">
        <v>20</v>
      </c>
      <c r="E378" s="16">
        <v>96891</v>
      </c>
      <c r="F378" s="17">
        <v>0</v>
      </c>
      <c r="G378" s="16">
        <v>0</v>
      </c>
      <c r="H378" s="16">
        <v>0</v>
      </c>
      <c r="I378" s="59">
        <f t="shared" si="31"/>
        <v>0</v>
      </c>
      <c r="J378" s="59">
        <f t="shared" si="32"/>
        <v>0</v>
      </c>
      <c r="K378" s="59">
        <f t="shared" si="33"/>
        <v>0</v>
      </c>
      <c r="L378" s="73">
        <v>0</v>
      </c>
      <c r="M378" s="73">
        <v>0</v>
      </c>
      <c r="N378" s="73">
        <v>-36626.091099999998</v>
      </c>
      <c r="O378" s="73">
        <v>2171388.9152989956</v>
      </c>
      <c r="P378" s="61">
        <v>0</v>
      </c>
      <c r="Q378" s="61">
        <f t="shared" si="35"/>
        <v>1.6867586843583322E-2</v>
      </c>
    </row>
    <row r="379" spans="1:17">
      <c r="A379" s="23">
        <v>4793100</v>
      </c>
      <c r="B379" s="18">
        <v>707372</v>
      </c>
      <c r="C379" s="16" t="s">
        <v>397</v>
      </c>
      <c r="D379" s="67" t="s">
        <v>20</v>
      </c>
      <c r="E379" s="16">
        <v>111882</v>
      </c>
      <c r="F379" s="17">
        <v>0</v>
      </c>
      <c r="G379" s="16">
        <v>0</v>
      </c>
      <c r="H379" s="16">
        <v>0</v>
      </c>
      <c r="I379" s="59">
        <f t="shared" si="31"/>
        <v>0</v>
      </c>
      <c r="J379" s="59">
        <f t="shared" si="32"/>
        <v>0</v>
      </c>
      <c r="K379" s="59">
        <f t="shared" si="33"/>
        <v>0</v>
      </c>
      <c r="L379" s="73">
        <v>0</v>
      </c>
      <c r="M379" s="73">
        <v>0</v>
      </c>
      <c r="N379" s="73">
        <v>-31980.314899999998</v>
      </c>
      <c r="O379" s="73">
        <v>845629.66940000025</v>
      </c>
      <c r="P379" s="61">
        <v>0</v>
      </c>
      <c r="Q379" s="61">
        <f t="shared" si="35"/>
        <v>3.7818345378883164E-2</v>
      </c>
    </row>
    <row r="380" spans="1:17">
      <c r="A380" s="23">
        <v>5892100</v>
      </c>
      <c r="B380" s="18">
        <v>964936</v>
      </c>
      <c r="C380" s="16" t="s">
        <v>398</v>
      </c>
      <c r="D380" s="67" t="s">
        <v>20</v>
      </c>
      <c r="E380" s="16">
        <v>98781</v>
      </c>
      <c r="F380" s="17">
        <v>0</v>
      </c>
      <c r="G380" s="16">
        <v>0</v>
      </c>
      <c r="H380" s="16">
        <v>0</v>
      </c>
      <c r="I380" s="59">
        <f t="shared" si="31"/>
        <v>0</v>
      </c>
      <c r="J380" s="59">
        <f t="shared" si="32"/>
        <v>0</v>
      </c>
      <c r="K380" s="59">
        <f t="shared" si="33"/>
        <v>0</v>
      </c>
      <c r="L380" s="73">
        <v>0</v>
      </c>
      <c r="M380" s="73">
        <v>0</v>
      </c>
      <c r="N380" s="73">
        <v>-34526.157599999999</v>
      </c>
      <c r="O380" s="73">
        <v>4484384.5309990114</v>
      </c>
      <c r="P380" s="61">
        <v>0</v>
      </c>
      <c r="Q380" s="61">
        <f t="shared" si="35"/>
        <v>7.6991964808843932E-3</v>
      </c>
    </row>
    <row r="381" spans="1:17">
      <c r="A381" s="13"/>
      <c r="B381" s="14"/>
      <c r="C381" s="14"/>
      <c r="D381" s="68"/>
      <c r="E381" s="19"/>
    </row>
    <row r="382" spans="1:17">
      <c r="A382" s="13"/>
      <c r="B382" s="14"/>
      <c r="C382" s="14"/>
      <c r="D382" s="68"/>
      <c r="E382" s="19"/>
    </row>
    <row r="383" spans="1:17">
      <c r="A383" s="13"/>
      <c r="B383" s="14"/>
      <c r="C383" s="14"/>
      <c r="D383" s="68"/>
      <c r="E383" s="19"/>
    </row>
    <row r="384" spans="1:17">
      <c r="A384" s="13"/>
      <c r="B384" s="14"/>
      <c r="C384" s="14"/>
      <c r="D384" s="68"/>
      <c r="E384" s="19"/>
    </row>
    <row r="385" spans="1:5">
      <c r="A385" s="13"/>
      <c r="B385" s="14"/>
      <c r="C385" s="14"/>
      <c r="D385" s="68"/>
      <c r="E385" s="19"/>
    </row>
    <row r="386" spans="1:5">
      <c r="A386" s="13"/>
      <c r="B386" s="14"/>
      <c r="C386" s="14"/>
      <c r="D386" s="68"/>
      <c r="E386" s="19"/>
    </row>
    <row r="387" spans="1:5">
      <c r="A387" s="13"/>
      <c r="B387" s="14"/>
      <c r="C387" s="14"/>
      <c r="D387" s="68"/>
      <c r="E387" s="19"/>
    </row>
    <row r="388" spans="1:5">
      <c r="A388" s="13"/>
      <c r="B388" s="14"/>
      <c r="C388" s="14"/>
      <c r="D388" s="68"/>
      <c r="E388" s="19"/>
    </row>
    <row r="389" spans="1:5">
      <c r="A389" s="13"/>
      <c r="B389" s="14"/>
      <c r="C389" s="14"/>
      <c r="D389" s="68"/>
      <c r="E389" s="19"/>
    </row>
    <row r="390" spans="1:5">
      <c r="A390" s="13"/>
      <c r="B390" s="14"/>
      <c r="C390" s="14"/>
      <c r="D390" s="68"/>
      <c r="E390" s="19"/>
    </row>
    <row r="391" spans="1:5">
      <c r="A391" s="13"/>
      <c r="B391" s="14"/>
      <c r="C391" s="14"/>
      <c r="D391" s="68"/>
      <c r="E391" s="19"/>
    </row>
    <row r="392" spans="1:5">
      <c r="A392" s="13"/>
      <c r="B392" s="14"/>
      <c r="C392" s="14"/>
      <c r="D392" s="68"/>
      <c r="E392" s="19"/>
    </row>
    <row r="393" spans="1:5">
      <c r="A393" s="13"/>
      <c r="B393" s="14"/>
      <c r="C393" s="14"/>
      <c r="D393" s="68"/>
      <c r="E393" s="19"/>
    </row>
    <row r="394" spans="1:5">
      <c r="A394" s="13"/>
      <c r="B394" s="14"/>
      <c r="C394" s="14"/>
      <c r="D394" s="68"/>
      <c r="E394" s="19"/>
    </row>
    <row r="395" spans="1:5">
      <c r="A395" s="13"/>
      <c r="B395" s="14"/>
      <c r="C395" s="14"/>
      <c r="D395" s="68"/>
      <c r="E395" s="19"/>
    </row>
    <row r="396" spans="1:5">
      <c r="A396" s="13"/>
      <c r="B396" s="14"/>
      <c r="C396" s="14"/>
      <c r="D396" s="68"/>
      <c r="E396" s="19"/>
    </row>
    <row r="397" spans="1:5">
      <c r="A397" s="13"/>
      <c r="B397" s="14"/>
      <c r="C397" s="14"/>
      <c r="D397" s="68"/>
      <c r="E397" s="19"/>
    </row>
    <row r="398" spans="1:5">
      <c r="A398" s="13"/>
      <c r="B398" s="14"/>
      <c r="C398" s="14"/>
      <c r="D398" s="68"/>
      <c r="E398" s="19"/>
    </row>
    <row r="399" spans="1:5">
      <c r="A399" s="13"/>
      <c r="B399" s="14"/>
      <c r="C399" s="14"/>
      <c r="D399" s="68"/>
      <c r="E399" s="19"/>
    </row>
    <row r="400" spans="1:5">
      <c r="A400" s="13"/>
      <c r="B400" s="14"/>
      <c r="C400" s="14"/>
      <c r="D400" s="68"/>
      <c r="E400" s="19"/>
    </row>
    <row r="401" spans="1:5">
      <c r="A401" s="13"/>
      <c r="B401" s="14"/>
      <c r="C401" s="14"/>
      <c r="D401" s="68"/>
      <c r="E401" s="19"/>
    </row>
    <row r="402" spans="1:5">
      <c r="A402" s="13"/>
      <c r="B402" s="14"/>
      <c r="C402" s="14"/>
      <c r="D402" s="68"/>
      <c r="E402" s="19"/>
    </row>
    <row r="403" spans="1:5">
      <c r="A403" s="13"/>
      <c r="B403" s="14"/>
      <c r="C403" s="14"/>
      <c r="D403" s="68"/>
      <c r="E403" s="19"/>
    </row>
    <row r="404" spans="1:5">
      <c r="A404" s="13"/>
      <c r="B404" s="14"/>
      <c r="C404" s="14"/>
      <c r="D404" s="68"/>
      <c r="E404" s="19"/>
    </row>
    <row r="405" spans="1:5">
      <c r="A405" s="13"/>
      <c r="B405" s="14"/>
      <c r="C405" s="14"/>
      <c r="D405" s="68"/>
      <c r="E405" s="19"/>
    </row>
    <row r="406" spans="1:5">
      <c r="A406" s="13"/>
      <c r="B406" s="14"/>
      <c r="C406" s="14"/>
      <c r="D406" s="68"/>
      <c r="E406" s="19"/>
    </row>
    <row r="407" spans="1:5">
      <c r="A407" s="13"/>
      <c r="B407" s="14"/>
      <c r="C407" s="14"/>
      <c r="D407" s="68"/>
      <c r="E407" s="19"/>
    </row>
    <row r="408" spans="1:5">
      <c r="A408" s="13"/>
      <c r="B408" s="14"/>
      <c r="C408" s="14"/>
      <c r="D408" s="68"/>
      <c r="E408" s="19"/>
    </row>
    <row r="409" spans="1:5">
      <c r="A409" s="13"/>
      <c r="B409" s="14"/>
      <c r="C409" s="14"/>
      <c r="D409" s="68"/>
      <c r="E409" s="19"/>
    </row>
    <row r="410" spans="1:5">
      <c r="A410" s="13"/>
      <c r="B410" s="14"/>
      <c r="C410" s="14"/>
      <c r="D410" s="68"/>
      <c r="E410" s="19"/>
    </row>
    <row r="411" spans="1:5">
      <c r="A411" s="13"/>
      <c r="B411" s="14"/>
      <c r="C411" s="14"/>
      <c r="D411" s="68"/>
      <c r="E411" s="19"/>
    </row>
    <row r="412" spans="1:5">
      <c r="A412" s="13"/>
      <c r="B412" s="14"/>
      <c r="C412" s="14"/>
      <c r="D412" s="68"/>
      <c r="E412" s="19"/>
    </row>
    <row r="413" spans="1:5">
      <c r="A413" s="13"/>
      <c r="B413" s="14"/>
      <c r="C413" s="14"/>
      <c r="D413" s="68"/>
      <c r="E413" s="19"/>
    </row>
    <row r="414" spans="1:5">
      <c r="A414" s="13"/>
      <c r="B414" s="14"/>
      <c r="C414" s="14"/>
      <c r="D414" s="68"/>
      <c r="E414" s="19"/>
    </row>
    <row r="415" spans="1:5">
      <c r="A415" s="13"/>
      <c r="B415" s="14"/>
      <c r="C415" s="14"/>
      <c r="D415" s="68"/>
      <c r="E415" s="19"/>
    </row>
    <row r="416" spans="1:5">
      <c r="A416" s="13"/>
      <c r="B416" s="14"/>
      <c r="C416" s="14"/>
      <c r="D416" s="68"/>
      <c r="E416" s="19"/>
    </row>
    <row r="417" spans="1:5">
      <c r="A417" s="13"/>
      <c r="B417" s="14"/>
      <c r="C417" s="14"/>
      <c r="D417" s="68"/>
      <c r="E417" s="19"/>
    </row>
    <row r="418" spans="1:5">
      <c r="A418" s="13"/>
      <c r="B418" s="14"/>
      <c r="C418" s="14"/>
      <c r="D418" s="68"/>
      <c r="E418" s="19"/>
    </row>
    <row r="419" spans="1:5">
      <c r="A419" s="13"/>
      <c r="B419" s="14"/>
      <c r="C419" s="14"/>
      <c r="D419" s="68"/>
      <c r="E419" s="19"/>
    </row>
    <row r="420" spans="1:5">
      <c r="A420" s="13"/>
      <c r="B420" s="14"/>
      <c r="C420" s="14"/>
      <c r="D420" s="68"/>
      <c r="E420" s="19"/>
    </row>
    <row r="421" spans="1:5">
      <c r="A421" s="13"/>
      <c r="B421" s="14"/>
      <c r="C421" s="14"/>
      <c r="D421" s="68"/>
      <c r="E421" s="19"/>
    </row>
    <row r="422" spans="1:5">
      <c r="A422" s="13"/>
      <c r="B422" s="14"/>
      <c r="C422" s="14"/>
      <c r="D422" s="68"/>
      <c r="E422" s="19"/>
    </row>
    <row r="423" spans="1:5">
      <c r="A423" s="13"/>
      <c r="B423" s="14"/>
      <c r="C423" s="14"/>
      <c r="D423" s="68"/>
      <c r="E423" s="19"/>
    </row>
    <row r="424" spans="1:5">
      <c r="A424" s="13"/>
      <c r="B424" s="14"/>
      <c r="C424" s="14"/>
      <c r="D424" s="68"/>
      <c r="E424" s="19"/>
    </row>
    <row r="425" spans="1:5">
      <c r="A425" s="13"/>
      <c r="B425" s="14"/>
      <c r="C425" s="14"/>
      <c r="D425" s="68"/>
      <c r="E425" s="19"/>
    </row>
    <row r="426" spans="1:5">
      <c r="A426" s="13"/>
      <c r="B426" s="14"/>
      <c r="C426" s="14"/>
      <c r="D426" s="68"/>
      <c r="E426" s="19"/>
    </row>
    <row r="427" spans="1:5">
      <c r="A427" s="13"/>
      <c r="B427" s="14"/>
      <c r="C427" s="14"/>
      <c r="D427" s="68"/>
      <c r="E427" s="19"/>
    </row>
    <row r="428" spans="1:5">
      <c r="A428" s="13"/>
      <c r="B428" s="14"/>
      <c r="C428" s="14"/>
      <c r="D428" s="68"/>
      <c r="E428" s="19"/>
    </row>
    <row r="429" spans="1:5">
      <c r="A429" s="13"/>
      <c r="B429" s="14"/>
      <c r="C429" s="14"/>
      <c r="D429" s="68"/>
      <c r="E429" s="19"/>
    </row>
    <row r="430" spans="1:5">
      <c r="A430" s="13"/>
      <c r="B430" s="14"/>
      <c r="C430" s="14"/>
      <c r="D430" s="68"/>
      <c r="E430" s="19"/>
    </row>
    <row r="431" spans="1:5">
      <c r="A431" s="13"/>
      <c r="B431" s="14"/>
      <c r="C431" s="14"/>
      <c r="D431" s="68"/>
      <c r="E431" s="19"/>
    </row>
    <row r="432" spans="1:5">
      <c r="A432" s="13"/>
      <c r="B432" s="14"/>
      <c r="C432" s="14"/>
      <c r="D432" s="68"/>
      <c r="E432" s="19"/>
    </row>
    <row r="433" spans="1:5">
      <c r="A433" s="13"/>
      <c r="B433" s="14"/>
      <c r="C433" s="14"/>
      <c r="D433" s="68"/>
      <c r="E433" s="19"/>
    </row>
    <row r="434" spans="1:5">
      <c r="A434" s="13"/>
      <c r="B434" s="14"/>
      <c r="C434" s="14"/>
      <c r="D434" s="68"/>
      <c r="E434" s="19"/>
    </row>
    <row r="435" spans="1:5">
      <c r="A435" s="13"/>
      <c r="B435" s="14"/>
      <c r="C435" s="14"/>
      <c r="D435" s="68"/>
      <c r="E435" s="19"/>
    </row>
    <row r="436" spans="1:5">
      <c r="A436" s="13"/>
      <c r="B436" s="14"/>
      <c r="C436" s="14"/>
      <c r="D436" s="68"/>
      <c r="E436" s="19"/>
    </row>
    <row r="437" spans="1:5">
      <c r="A437" s="13"/>
      <c r="B437" s="14"/>
      <c r="C437" s="14"/>
      <c r="D437" s="68"/>
      <c r="E437" s="19"/>
    </row>
    <row r="438" spans="1:5">
      <c r="A438" s="13"/>
      <c r="B438" s="14"/>
      <c r="C438" s="14"/>
      <c r="D438" s="68"/>
      <c r="E438" s="19"/>
    </row>
    <row r="439" spans="1:5">
      <c r="A439" s="13"/>
      <c r="B439" s="14"/>
      <c r="C439" s="14"/>
      <c r="D439" s="68"/>
      <c r="E439" s="19"/>
    </row>
    <row r="440" spans="1:5">
      <c r="A440" s="13"/>
      <c r="B440" s="14"/>
      <c r="C440" s="14"/>
      <c r="D440" s="68"/>
      <c r="E440" s="19"/>
    </row>
    <row r="441" spans="1:5">
      <c r="A441" s="13"/>
      <c r="B441" s="14"/>
      <c r="C441" s="14"/>
      <c r="D441" s="68"/>
      <c r="E441" s="19"/>
    </row>
    <row r="442" spans="1:5">
      <c r="A442" s="13"/>
      <c r="B442" s="14"/>
      <c r="C442" s="14"/>
      <c r="D442" s="68"/>
      <c r="E442" s="19"/>
    </row>
    <row r="443" spans="1:5">
      <c r="A443" s="13"/>
      <c r="B443" s="14"/>
      <c r="C443" s="14"/>
      <c r="D443" s="68"/>
      <c r="E443" s="19"/>
    </row>
    <row r="444" spans="1:5">
      <c r="A444" s="13"/>
      <c r="B444" s="14"/>
      <c r="C444" s="14"/>
      <c r="D444" s="68"/>
      <c r="E444" s="19"/>
    </row>
    <row r="445" spans="1:5">
      <c r="A445" s="13"/>
      <c r="B445" s="14"/>
      <c r="C445" s="14"/>
      <c r="D445" s="68"/>
      <c r="E445" s="19"/>
    </row>
    <row r="446" spans="1:5">
      <c r="A446" s="13"/>
      <c r="B446" s="14"/>
      <c r="C446" s="14"/>
      <c r="D446" s="68"/>
      <c r="E446" s="19"/>
    </row>
    <row r="447" spans="1:5">
      <c r="A447" s="13"/>
      <c r="B447" s="14"/>
      <c r="C447" s="14"/>
      <c r="D447" s="68"/>
      <c r="E447" s="19"/>
    </row>
    <row r="448" spans="1:5">
      <c r="A448" s="13"/>
      <c r="B448" s="14"/>
      <c r="C448" s="14"/>
      <c r="D448" s="68"/>
      <c r="E448" s="19"/>
    </row>
    <row r="449" spans="1:5">
      <c r="A449" s="13"/>
      <c r="B449" s="14"/>
      <c r="C449" s="14"/>
      <c r="D449" s="68"/>
      <c r="E449" s="19"/>
    </row>
    <row r="450" spans="1:5">
      <c r="A450" s="13"/>
      <c r="B450" s="14"/>
      <c r="C450" s="14"/>
      <c r="D450" s="68"/>
      <c r="E450" s="19"/>
    </row>
    <row r="451" spans="1:5">
      <c r="A451" s="13"/>
      <c r="B451" s="14"/>
      <c r="C451" s="14"/>
      <c r="D451" s="68"/>
      <c r="E451" s="19"/>
    </row>
    <row r="452" spans="1:5">
      <c r="A452" s="13"/>
      <c r="B452" s="14"/>
      <c r="C452" s="14"/>
      <c r="D452" s="68"/>
      <c r="E452" s="19"/>
    </row>
    <row r="453" spans="1:5">
      <c r="A453" s="13"/>
      <c r="B453" s="14"/>
      <c r="C453" s="14"/>
      <c r="D453" s="68"/>
      <c r="E453" s="19"/>
    </row>
    <row r="454" spans="1:5">
      <c r="A454" s="13"/>
      <c r="B454" s="14"/>
      <c r="C454" s="14"/>
      <c r="D454" s="68"/>
      <c r="E454" s="19"/>
    </row>
    <row r="455" spans="1:5">
      <c r="A455" s="13"/>
      <c r="B455" s="14"/>
      <c r="C455" s="14"/>
      <c r="D455" s="68"/>
      <c r="E455" s="19"/>
    </row>
    <row r="456" spans="1:5">
      <c r="A456" s="13"/>
      <c r="B456" s="14"/>
      <c r="C456" s="14"/>
      <c r="D456" s="68"/>
      <c r="E456" s="19"/>
    </row>
    <row r="457" spans="1:5">
      <c r="A457" s="13"/>
      <c r="B457" s="14"/>
      <c r="C457" s="14"/>
      <c r="D457" s="68"/>
      <c r="E457" s="19"/>
    </row>
    <row r="458" spans="1:5">
      <c r="A458" s="13"/>
      <c r="B458" s="14"/>
      <c r="C458" s="14"/>
      <c r="D458" s="68"/>
      <c r="E458" s="19"/>
    </row>
    <row r="459" spans="1:5">
      <c r="A459" s="13"/>
      <c r="B459" s="14"/>
      <c r="C459" s="14"/>
      <c r="D459" s="68"/>
      <c r="E459" s="19"/>
    </row>
    <row r="460" spans="1:5">
      <c r="A460" s="13"/>
      <c r="B460" s="14"/>
      <c r="C460" s="14"/>
      <c r="D460" s="68"/>
      <c r="E460" s="19"/>
    </row>
    <row r="461" spans="1:5">
      <c r="A461" s="13"/>
      <c r="B461" s="14"/>
      <c r="C461" s="14"/>
      <c r="D461" s="68"/>
      <c r="E461" s="19"/>
    </row>
    <row r="462" spans="1:5">
      <c r="A462" s="13"/>
      <c r="B462" s="14"/>
      <c r="C462" s="14"/>
      <c r="D462" s="68"/>
      <c r="E462" s="19"/>
    </row>
    <row r="463" spans="1:5">
      <c r="A463" s="13"/>
      <c r="B463" s="14"/>
      <c r="C463" s="14"/>
      <c r="D463" s="68"/>
      <c r="E463" s="19"/>
    </row>
    <row r="464" spans="1:5">
      <c r="A464" s="13"/>
      <c r="B464" s="14"/>
      <c r="C464" s="14"/>
      <c r="D464" s="68"/>
      <c r="E464" s="19"/>
    </row>
    <row r="465" spans="1:5">
      <c r="A465" s="13"/>
      <c r="B465" s="14"/>
      <c r="C465" s="14"/>
      <c r="D465" s="68"/>
      <c r="E465" s="19"/>
    </row>
    <row r="466" spans="1:5">
      <c r="A466" s="13"/>
      <c r="B466" s="14"/>
      <c r="C466" s="14"/>
      <c r="D466" s="68"/>
      <c r="E466" s="19"/>
    </row>
    <row r="467" spans="1:5">
      <c r="A467" s="13"/>
      <c r="B467" s="14"/>
      <c r="C467" s="14"/>
      <c r="D467" s="68"/>
      <c r="E467" s="19"/>
    </row>
    <row r="468" spans="1:5">
      <c r="A468" s="13"/>
      <c r="B468" s="14"/>
      <c r="C468" s="14"/>
      <c r="D468" s="68"/>
      <c r="E468" s="19"/>
    </row>
    <row r="469" spans="1:5">
      <c r="A469" s="13"/>
      <c r="B469" s="14"/>
      <c r="C469" s="14"/>
      <c r="D469" s="68"/>
      <c r="E469" s="19"/>
    </row>
    <row r="470" spans="1:5">
      <c r="A470" s="13"/>
      <c r="B470" s="14"/>
      <c r="C470" s="14"/>
      <c r="D470" s="68"/>
      <c r="E470" s="19"/>
    </row>
    <row r="471" spans="1:5">
      <c r="A471" s="13"/>
      <c r="B471" s="14"/>
      <c r="C471" s="14"/>
      <c r="D471" s="68"/>
      <c r="E471" s="19"/>
    </row>
    <row r="472" spans="1:5">
      <c r="A472" s="13"/>
      <c r="B472" s="14"/>
      <c r="C472" s="14"/>
      <c r="D472" s="68"/>
      <c r="E472" s="19"/>
    </row>
    <row r="473" spans="1:5">
      <c r="A473" s="13"/>
      <c r="B473" s="14"/>
      <c r="C473" s="14"/>
      <c r="D473" s="68"/>
      <c r="E473" s="19"/>
    </row>
    <row r="474" spans="1:5">
      <c r="A474" s="13"/>
      <c r="B474" s="14"/>
      <c r="C474" s="14"/>
      <c r="D474" s="68"/>
      <c r="E474" s="19"/>
    </row>
    <row r="475" spans="1:5">
      <c r="A475" s="13"/>
      <c r="B475" s="14"/>
      <c r="C475" s="14"/>
      <c r="D475" s="68"/>
      <c r="E475" s="19"/>
    </row>
    <row r="476" spans="1:5">
      <c r="A476" s="13"/>
      <c r="B476" s="14"/>
      <c r="C476" s="14"/>
      <c r="D476" s="68"/>
      <c r="E476" s="19"/>
    </row>
    <row r="477" spans="1:5">
      <c r="A477" s="13"/>
      <c r="B477" s="14"/>
      <c r="C477" s="14"/>
      <c r="D477" s="68"/>
      <c r="E477" s="19"/>
    </row>
    <row r="478" spans="1:5">
      <c r="A478" s="13"/>
      <c r="B478" s="14"/>
      <c r="C478" s="14"/>
      <c r="D478" s="68"/>
      <c r="E478" s="19"/>
    </row>
    <row r="479" spans="1:5">
      <c r="A479" s="13"/>
      <c r="B479" s="14"/>
      <c r="C479" s="14"/>
      <c r="D479" s="68"/>
      <c r="E479" s="19"/>
    </row>
    <row r="480" spans="1:5">
      <c r="A480" s="13"/>
      <c r="B480" s="14"/>
      <c r="C480" s="14"/>
      <c r="D480" s="68"/>
      <c r="E480" s="19"/>
    </row>
    <row r="481" spans="1:5">
      <c r="A481" s="13"/>
      <c r="B481" s="14"/>
      <c r="C481" s="14"/>
      <c r="D481" s="68"/>
      <c r="E481" s="19"/>
    </row>
    <row r="482" spans="1:5">
      <c r="A482" s="13"/>
      <c r="B482" s="14"/>
      <c r="C482" s="14"/>
      <c r="D482" s="68"/>
      <c r="E482" s="19"/>
    </row>
    <row r="483" spans="1:5">
      <c r="A483" s="13"/>
      <c r="B483" s="14"/>
      <c r="C483" s="14"/>
      <c r="D483" s="68"/>
      <c r="E483" s="19"/>
    </row>
    <row r="484" spans="1:5">
      <c r="A484" s="13"/>
      <c r="B484" s="14"/>
      <c r="C484" s="14"/>
      <c r="D484" s="68"/>
      <c r="E484" s="19"/>
    </row>
    <row r="485" spans="1:5">
      <c r="A485" s="13"/>
      <c r="B485" s="14"/>
      <c r="C485" s="14"/>
      <c r="D485" s="68"/>
      <c r="E485" s="19"/>
    </row>
    <row r="486" spans="1:5">
      <c r="A486" s="13"/>
      <c r="B486" s="14"/>
      <c r="C486" s="14"/>
      <c r="D486" s="68"/>
      <c r="E486" s="19"/>
    </row>
    <row r="487" spans="1:5">
      <c r="A487" s="13"/>
      <c r="B487" s="14"/>
      <c r="C487" s="14"/>
      <c r="D487" s="68"/>
      <c r="E487" s="19"/>
    </row>
    <row r="488" spans="1:5">
      <c r="A488" s="13"/>
      <c r="B488" s="14"/>
      <c r="C488" s="14"/>
      <c r="D488" s="68"/>
      <c r="E488" s="19"/>
    </row>
    <row r="489" spans="1:5">
      <c r="A489" s="13"/>
      <c r="B489" s="14"/>
      <c r="C489" s="14"/>
      <c r="D489" s="68"/>
      <c r="E489" s="19"/>
    </row>
    <row r="490" spans="1:5">
      <c r="A490" s="13"/>
      <c r="B490" s="14"/>
      <c r="C490" s="14"/>
      <c r="D490" s="68"/>
      <c r="E490" s="19"/>
    </row>
    <row r="491" spans="1:5">
      <c r="A491" s="13"/>
      <c r="B491" s="14"/>
      <c r="C491" s="14"/>
      <c r="D491" s="68"/>
      <c r="E491" s="19"/>
    </row>
    <row r="492" spans="1:5">
      <c r="A492" s="13"/>
      <c r="B492" s="14"/>
      <c r="C492" s="14"/>
      <c r="D492" s="68"/>
      <c r="E492" s="19"/>
    </row>
    <row r="493" spans="1:5">
      <c r="A493" s="13"/>
      <c r="B493" s="14"/>
      <c r="C493" s="14"/>
      <c r="D493" s="68"/>
      <c r="E493" s="19"/>
    </row>
    <row r="494" spans="1:5">
      <c r="A494" s="13"/>
      <c r="B494" s="14"/>
      <c r="C494" s="14"/>
      <c r="D494" s="68"/>
      <c r="E494" s="19"/>
    </row>
    <row r="495" spans="1:5">
      <c r="A495" s="13"/>
      <c r="B495" s="14"/>
      <c r="C495" s="14"/>
      <c r="D495" s="68"/>
      <c r="E495" s="19"/>
    </row>
    <row r="496" spans="1:5">
      <c r="A496" s="13"/>
      <c r="B496" s="14"/>
      <c r="C496" s="14"/>
      <c r="D496" s="68"/>
      <c r="E496" s="19"/>
    </row>
    <row r="497" spans="1:5">
      <c r="A497" s="13"/>
      <c r="B497" s="14"/>
      <c r="C497" s="14"/>
      <c r="D497" s="68"/>
      <c r="E497" s="19"/>
    </row>
    <row r="498" spans="1:5">
      <c r="A498" s="13"/>
      <c r="B498" s="14"/>
      <c r="C498" s="14"/>
      <c r="D498" s="68"/>
      <c r="E498" s="19"/>
    </row>
    <row r="499" spans="1:5">
      <c r="A499" s="13"/>
      <c r="B499" s="14"/>
      <c r="C499" s="14"/>
      <c r="D499" s="68"/>
      <c r="E499" s="19"/>
    </row>
    <row r="500" spans="1:5">
      <c r="A500" s="13"/>
      <c r="B500" s="14"/>
      <c r="C500" s="14"/>
      <c r="D500" s="68"/>
      <c r="E500" s="19"/>
    </row>
    <row r="501" spans="1:5">
      <c r="A501" s="13"/>
      <c r="B501" s="14"/>
      <c r="C501" s="14"/>
      <c r="D501" s="68"/>
      <c r="E501" s="19"/>
    </row>
    <row r="502" spans="1:5">
      <c r="A502" s="13"/>
      <c r="B502" s="14"/>
      <c r="C502" s="14"/>
      <c r="D502" s="68"/>
      <c r="E502" s="19"/>
    </row>
    <row r="503" spans="1:5">
      <c r="A503" s="13"/>
      <c r="B503" s="14"/>
      <c r="C503" s="14"/>
      <c r="D503" s="68"/>
      <c r="E503" s="19"/>
    </row>
    <row r="504" spans="1:5">
      <c r="A504" s="13"/>
      <c r="B504" s="14"/>
      <c r="C504" s="14"/>
      <c r="D504" s="68"/>
      <c r="E504" s="19"/>
    </row>
    <row r="505" spans="1:5">
      <c r="A505" s="13"/>
      <c r="B505" s="14"/>
      <c r="C505" s="14"/>
      <c r="D505" s="68"/>
      <c r="E505" s="19"/>
    </row>
    <row r="506" spans="1:5">
      <c r="A506" s="13"/>
      <c r="B506" s="14"/>
      <c r="C506" s="14"/>
      <c r="D506" s="68"/>
      <c r="E506" s="19"/>
    </row>
    <row r="507" spans="1:5">
      <c r="A507" s="13"/>
      <c r="B507" s="14"/>
      <c r="C507" s="14"/>
      <c r="D507" s="68"/>
      <c r="E507" s="19"/>
    </row>
    <row r="508" spans="1:5">
      <c r="A508" s="13"/>
      <c r="B508" s="14"/>
      <c r="C508" s="14"/>
      <c r="D508" s="68"/>
      <c r="E508" s="19"/>
    </row>
    <row r="509" spans="1:5">
      <c r="A509" s="13"/>
      <c r="B509" s="14"/>
      <c r="C509" s="14"/>
      <c r="D509" s="68"/>
      <c r="E509" s="19"/>
    </row>
    <row r="510" spans="1:5">
      <c r="A510" s="13"/>
      <c r="B510" s="14"/>
      <c r="C510" s="14"/>
      <c r="D510" s="68"/>
      <c r="E510" s="19"/>
    </row>
    <row r="511" spans="1:5">
      <c r="A511" s="13"/>
      <c r="B511" s="14"/>
      <c r="C511" s="14"/>
      <c r="D511" s="68"/>
      <c r="E511" s="19"/>
    </row>
    <row r="512" spans="1:5">
      <c r="A512" s="13"/>
      <c r="B512" s="14"/>
      <c r="C512" s="14"/>
      <c r="D512" s="68"/>
      <c r="E512" s="19"/>
    </row>
    <row r="513" spans="1:5">
      <c r="A513" s="13"/>
      <c r="B513" s="14"/>
      <c r="C513" s="14"/>
      <c r="D513" s="68"/>
      <c r="E513" s="19"/>
    </row>
    <row r="514" spans="1:5">
      <c r="A514" s="13"/>
      <c r="B514" s="14"/>
      <c r="C514" s="14"/>
      <c r="D514" s="68"/>
      <c r="E514" s="19"/>
    </row>
    <row r="515" spans="1:5">
      <c r="A515" s="13"/>
      <c r="B515" s="14"/>
      <c r="C515" s="14"/>
      <c r="D515" s="68"/>
      <c r="E515" s="19"/>
    </row>
    <row r="516" spans="1:5">
      <c r="A516" s="13"/>
      <c r="B516" s="14"/>
      <c r="C516" s="14"/>
      <c r="D516" s="68"/>
      <c r="E516" s="19"/>
    </row>
    <row r="517" spans="1:5">
      <c r="A517" s="13"/>
      <c r="B517" s="14"/>
      <c r="C517" s="14"/>
      <c r="D517" s="68"/>
      <c r="E517" s="19"/>
    </row>
    <row r="518" spans="1:5">
      <c r="A518" s="13"/>
      <c r="B518" s="14"/>
      <c r="C518" s="14"/>
      <c r="D518" s="68"/>
      <c r="E518" s="19"/>
    </row>
    <row r="519" spans="1:5">
      <c r="A519" s="13"/>
      <c r="B519" s="14"/>
      <c r="C519" s="14"/>
      <c r="D519" s="68"/>
      <c r="E519" s="19"/>
    </row>
    <row r="520" spans="1:5">
      <c r="A520" s="13"/>
      <c r="B520" s="14"/>
      <c r="C520" s="14"/>
      <c r="D520" s="68"/>
      <c r="E520" s="19"/>
    </row>
    <row r="521" spans="1:5">
      <c r="A521" s="13"/>
      <c r="B521" s="14"/>
      <c r="C521" s="14"/>
      <c r="D521" s="68"/>
      <c r="E521" s="19"/>
    </row>
    <row r="522" spans="1:5">
      <c r="A522" s="13"/>
      <c r="B522" s="14"/>
      <c r="C522" s="14"/>
      <c r="D522" s="68"/>
      <c r="E522" s="19"/>
    </row>
    <row r="523" spans="1:5">
      <c r="A523" s="13"/>
      <c r="B523" s="14"/>
      <c r="C523" s="14"/>
      <c r="D523" s="68"/>
      <c r="E523" s="19"/>
    </row>
    <row r="524" spans="1:5">
      <c r="A524" s="13"/>
      <c r="B524" s="14"/>
      <c r="C524" s="14"/>
      <c r="D524" s="68"/>
      <c r="E524" s="19"/>
    </row>
    <row r="525" spans="1:5">
      <c r="A525" s="13"/>
      <c r="B525" s="14"/>
      <c r="C525" s="14"/>
      <c r="D525" s="68"/>
      <c r="E525" s="19"/>
    </row>
    <row r="526" spans="1:5">
      <c r="A526" s="13"/>
      <c r="B526" s="14"/>
      <c r="C526" s="14"/>
      <c r="D526" s="68"/>
      <c r="E526" s="19"/>
    </row>
    <row r="527" spans="1:5">
      <c r="A527" s="13"/>
      <c r="B527" s="14"/>
      <c r="C527" s="14"/>
      <c r="D527" s="68"/>
      <c r="E527" s="19"/>
    </row>
    <row r="528" spans="1:5">
      <c r="A528" s="13"/>
      <c r="B528" s="14"/>
      <c r="C528" s="14"/>
      <c r="D528" s="68"/>
      <c r="E528" s="19"/>
    </row>
    <row r="529" spans="1:5">
      <c r="A529" s="13"/>
      <c r="B529" s="14"/>
      <c r="C529" s="14"/>
      <c r="D529" s="68"/>
      <c r="E529" s="19"/>
    </row>
    <row r="530" spans="1:5">
      <c r="A530" s="13"/>
      <c r="B530" s="14"/>
      <c r="C530" s="14"/>
      <c r="D530" s="68"/>
      <c r="E530" s="19"/>
    </row>
    <row r="531" spans="1:5">
      <c r="A531" s="13"/>
      <c r="B531" s="14"/>
      <c r="C531" s="14"/>
      <c r="D531" s="68"/>
      <c r="E531" s="19"/>
    </row>
    <row r="532" spans="1:5">
      <c r="A532" s="13"/>
      <c r="B532" s="14"/>
      <c r="C532" s="14"/>
      <c r="D532" s="68"/>
      <c r="E532" s="19"/>
    </row>
    <row r="533" spans="1:5">
      <c r="A533" s="13"/>
      <c r="B533" s="14"/>
      <c r="C533" s="14"/>
      <c r="D533" s="68"/>
      <c r="E533" s="19"/>
    </row>
    <row r="534" spans="1:5">
      <c r="A534" s="13"/>
      <c r="B534" s="14"/>
      <c r="C534" s="14"/>
      <c r="D534" s="68"/>
      <c r="E534" s="19"/>
    </row>
    <row r="535" spans="1:5">
      <c r="A535" s="13"/>
      <c r="B535" s="14"/>
      <c r="C535" s="14"/>
      <c r="D535" s="68"/>
      <c r="E535" s="19"/>
    </row>
    <row r="536" spans="1:5">
      <c r="A536" s="13"/>
      <c r="B536" s="14"/>
      <c r="C536" s="14"/>
      <c r="D536" s="68"/>
      <c r="E536" s="19"/>
    </row>
    <row r="537" spans="1:5">
      <c r="A537" s="13"/>
      <c r="B537" s="14"/>
      <c r="C537" s="14"/>
      <c r="D537" s="68"/>
      <c r="E537" s="19"/>
    </row>
    <row r="538" spans="1:5">
      <c r="A538" s="13"/>
      <c r="B538" s="14"/>
      <c r="C538" s="14"/>
      <c r="D538" s="68"/>
      <c r="E538" s="19"/>
    </row>
    <row r="539" spans="1:5">
      <c r="A539" s="13"/>
      <c r="B539" s="14"/>
      <c r="C539" s="14"/>
      <c r="D539" s="68"/>
      <c r="E539" s="19"/>
    </row>
    <row r="540" spans="1:5">
      <c r="A540" s="13"/>
      <c r="B540" s="14"/>
      <c r="C540" s="14"/>
      <c r="D540" s="68"/>
      <c r="E540" s="19"/>
    </row>
    <row r="541" spans="1:5">
      <c r="A541" s="13"/>
      <c r="B541" s="14"/>
      <c r="C541" s="14"/>
      <c r="D541" s="68"/>
      <c r="E541" s="19"/>
    </row>
    <row r="542" spans="1:5">
      <c r="A542" s="13"/>
      <c r="B542" s="14"/>
      <c r="C542" s="14"/>
      <c r="D542" s="68"/>
      <c r="E542" s="19"/>
    </row>
    <row r="543" spans="1:5">
      <c r="A543" s="13"/>
      <c r="B543" s="14"/>
      <c r="C543" s="14"/>
      <c r="D543" s="68"/>
      <c r="E543" s="19"/>
    </row>
    <row r="544" spans="1:5">
      <c r="A544" s="13"/>
      <c r="B544" s="14"/>
      <c r="C544" s="14"/>
      <c r="D544" s="68"/>
      <c r="E544" s="19"/>
    </row>
    <row r="545" spans="1:5">
      <c r="A545" s="13"/>
      <c r="B545" s="14"/>
      <c r="C545" s="14"/>
      <c r="D545" s="68"/>
      <c r="E545" s="19"/>
    </row>
    <row r="546" spans="1:5">
      <c r="A546" s="13"/>
      <c r="B546" s="14"/>
      <c r="C546" s="14"/>
      <c r="D546" s="68"/>
      <c r="E546" s="19"/>
    </row>
    <row r="547" spans="1:5">
      <c r="A547" s="13"/>
      <c r="B547" s="14"/>
      <c r="C547" s="14"/>
      <c r="D547" s="68"/>
      <c r="E547" s="19"/>
    </row>
    <row r="548" spans="1:5">
      <c r="A548" s="13"/>
      <c r="B548" s="14"/>
      <c r="C548" s="14"/>
      <c r="D548" s="68"/>
      <c r="E548" s="19"/>
    </row>
    <row r="549" spans="1:5">
      <c r="A549" s="13"/>
      <c r="B549" s="14"/>
      <c r="C549" s="14"/>
      <c r="D549" s="68"/>
      <c r="E549" s="19"/>
    </row>
    <row r="550" spans="1:5">
      <c r="A550" s="13"/>
      <c r="B550" s="14"/>
      <c r="C550" s="14"/>
      <c r="D550" s="68"/>
      <c r="E550" s="19"/>
    </row>
    <row r="551" spans="1:5">
      <c r="A551" s="13"/>
      <c r="B551" s="14"/>
      <c r="C551" s="14"/>
      <c r="D551" s="68"/>
      <c r="E551" s="19"/>
    </row>
    <row r="552" spans="1:5">
      <c r="A552" s="13"/>
      <c r="B552" s="14"/>
      <c r="C552" s="14"/>
      <c r="D552" s="68"/>
      <c r="E552" s="19"/>
    </row>
    <row r="553" spans="1:5">
      <c r="A553" s="13"/>
      <c r="B553" s="14"/>
      <c r="C553" s="14"/>
      <c r="D553" s="68"/>
      <c r="E553" s="19"/>
    </row>
    <row r="554" spans="1:5">
      <c r="A554" s="13"/>
      <c r="B554" s="14"/>
      <c r="C554" s="14"/>
      <c r="D554" s="68"/>
      <c r="E554" s="19"/>
    </row>
    <row r="555" spans="1:5">
      <c r="A555" s="13"/>
      <c r="B555" s="14"/>
      <c r="C555" s="14"/>
      <c r="D555" s="68"/>
      <c r="E555" s="19"/>
    </row>
    <row r="556" spans="1:5">
      <c r="A556" s="13"/>
      <c r="B556" s="14"/>
      <c r="C556" s="14"/>
      <c r="D556" s="68"/>
      <c r="E556" s="19"/>
    </row>
    <row r="557" spans="1:5">
      <c r="A557" s="13"/>
      <c r="B557" s="14"/>
      <c r="C557" s="14"/>
      <c r="D557" s="68"/>
      <c r="E557" s="19"/>
    </row>
    <row r="558" spans="1:5">
      <c r="A558" s="13"/>
      <c r="B558" s="14"/>
      <c r="C558" s="14"/>
      <c r="D558" s="68"/>
      <c r="E558" s="19"/>
    </row>
    <row r="559" spans="1:5">
      <c r="A559" s="13"/>
      <c r="B559" s="14"/>
      <c r="C559" s="14"/>
      <c r="D559" s="68"/>
      <c r="E559" s="19"/>
    </row>
    <row r="560" spans="1:5">
      <c r="A560" s="13"/>
      <c r="B560" s="14"/>
      <c r="C560" s="14"/>
      <c r="D560" s="68"/>
      <c r="E560" s="19"/>
    </row>
    <row r="561" spans="1:5">
      <c r="A561" s="13"/>
      <c r="B561" s="14"/>
      <c r="C561" s="14"/>
      <c r="D561" s="68"/>
      <c r="E561" s="19"/>
    </row>
    <row r="562" spans="1:5">
      <c r="A562" s="13"/>
      <c r="B562" s="14"/>
      <c r="C562" s="14"/>
      <c r="D562" s="68"/>
      <c r="E562" s="19"/>
    </row>
    <row r="563" spans="1:5">
      <c r="A563" s="13"/>
      <c r="B563" s="14"/>
      <c r="C563" s="14"/>
      <c r="D563" s="68"/>
      <c r="E563" s="19"/>
    </row>
    <row r="564" spans="1:5">
      <c r="A564" s="13"/>
      <c r="B564" s="14"/>
      <c r="C564" s="14"/>
      <c r="D564" s="68"/>
      <c r="E564" s="19"/>
    </row>
    <row r="565" spans="1:5">
      <c r="A565" s="13"/>
      <c r="B565" s="14"/>
      <c r="C565" s="14"/>
      <c r="D565" s="68"/>
      <c r="E565" s="19"/>
    </row>
    <row r="566" spans="1:5">
      <c r="A566" s="13"/>
      <c r="B566" s="14"/>
      <c r="C566" s="14"/>
      <c r="D566" s="68"/>
      <c r="E566" s="19"/>
    </row>
    <row r="567" spans="1:5">
      <c r="A567" s="13"/>
      <c r="B567" s="14"/>
      <c r="C567" s="14"/>
      <c r="D567" s="68"/>
      <c r="E567" s="19"/>
    </row>
    <row r="568" spans="1:5">
      <c r="A568" s="13"/>
      <c r="B568" s="14"/>
      <c r="C568" s="14"/>
      <c r="D568" s="68"/>
      <c r="E568" s="19"/>
    </row>
    <row r="569" spans="1:5">
      <c r="A569" s="13"/>
      <c r="B569" s="14"/>
      <c r="C569" s="14"/>
      <c r="D569" s="68"/>
      <c r="E569" s="19"/>
    </row>
    <row r="570" spans="1:5">
      <c r="A570" s="13"/>
      <c r="B570" s="14"/>
      <c r="C570" s="14"/>
      <c r="D570" s="68"/>
      <c r="E570" s="19"/>
    </row>
    <row r="571" spans="1:5">
      <c r="A571" s="13"/>
      <c r="B571" s="14"/>
      <c r="C571" s="14"/>
      <c r="D571" s="68"/>
      <c r="E571" s="19"/>
    </row>
    <row r="572" spans="1:5">
      <c r="A572" s="13"/>
      <c r="B572" s="14"/>
      <c r="C572" s="14"/>
      <c r="D572" s="68"/>
      <c r="E572" s="19"/>
    </row>
    <row r="573" spans="1:5">
      <c r="A573" s="13"/>
      <c r="B573" s="14"/>
      <c r="C573" s="14"/>
      <c r="D573" s="68"/>
      <c r="E573" s="19"/>
    </row>
    <row r="574" spans="1:5">
      <c r="A574" s="13"/>
      <c r="B574" s="14"/>
      <c r="C574" s="14"/>
      <c r="D574" s="68"/>
      <c r="E574" s="19"/>
    </row>
    <row r="575" spans="1:5">
      <c r="A575" s="13"/>
      <c r="B575" s="14"/>
      <c r="C575" s="14"/>
      <c r="D575" s="68"/>
      <c r="E575" s="19"/>
    </row>
    <row r="576" spans="1:5">
      <c r="A576" s="13"/>
      <c r="B576" s="14"/>
      <c r="C576" s="14"/>
      <c r="D576" s="68"/>
      <c r="E576" s="19"/>
    </row>
    <row r="577" spans="1:5">
      <c r="A577" s="13"/>
      <c r="B577" s="14"/>
      <c r="C577" s="14"/>
      <c r="D577" s="68"/>
      <c r="E577" s="19"/>
    </row>
    <row r="578" spans="1:5">
      <c r="A578" s="13"/>
      <c r="B578" s="14"/>
      <c r="C578" s="14"/>
      <c r="D578" s="68"/>
      <c r="E578" s="19"/>
    </row>
    <row r="579" spans="1:5">
      <c r="A579" s="13"/>
      <c r="B579" s="14"/>
      <c r="C579" s="14"/>
      <c r="D579" s="68"/>
      <c r="E579" s="19"/>
    </row>
    <row r="580" spans="1:5">
      <c r="A580" s="13"/>
      <c r="B580" s="14"/>
      <c r="C580" s="14"/>
      <c r="D580" s="68"/>
      <c r="E580" s="19"/>
    </row>
    <row r="581" spans="1:5">
      <c r="A581" s="13"/>
      <c r="B581" s="14"/>
      <c r="C581" s="14"/>
      <c r="D581" s="68"/>
      <c r="E581" s="19"/>
    </row>
    <row r="582" spans="1:5">
      <c r="A582" s="13"/>
      <c r="B582" s="14"/>
      <c r="C582" s="14"/>
      <c r="D582" s="68"/>
      <c r="E582" s="19"/>
    </row>
    <row r="583" spans="1:5">
      <c r="A583" s="13"/>
      <c r="B583" s="14"/>
      <c r="C583" s="14"/>
      <c r="D583" s="68"/>
      <c r="E583" s="19"/>
    </row>
    <row r="584" spans="1:5">
      <c r="A584" s="13"/>
      <c r="B584" s="14"/>
      <c r="C584" s="14"/>
      <c r="D584" s="68"/>
      <c r="E584" s="19"/>
    </row>
    <row r="585" spans="1:5">
      <c r="A585" s="13"/>
      <c r="B585" s="14"/>
      <c r="C585" s="14"/>
      <c r="D585" s="68"/>
      <c r="E585" s="19"/>
    </row>
    <row r="586" spans="1:5">
      <c r="A586" s="13"/>
      <c r="B586" s="14"/>
      <c r="C586" s="14"/>
      <c r="D586" s="68"/>
      <c r="E586" s="19"/>
    </row>
    <row r="587" spans="1:5">
      <c r="A587" s="13"/>
      <c r="B587" s="14"/>
      <c r="C587" s="14"/>
      <c r="D587" s="68"/>
      <c r="E587" s="19"/>
    </row>
    <row r="588" spans="1:5">
      <c r="A588" s="13"/>
      <c r="B588" s="14"/>
      <c r="C588" s="14"/>
      <c r="D588" s="68"/>
      <c r="E588" s="19"/>
    </row>
    <row r="589" spans="1:5">
      <c r="A589" s="13"/>
      <c r="B589" s="14"/>
      <c r="C589" s="14"/>
      <c r="D589" s="68"/>
      <c r="E589" s="19"/>
    </row>
    <row r="590" spans="1:5">
      <c r="A590" s="13"/>
      <c r="B590" s="14"/>
      <c r="C590" s="14"/>
      <c r="D590" s="68"/>
      <c r="E590" s="19"/>
    </row>
    <row r="591" spans="1:5">
      <c r="A591" s="13"/>
      <c r="B591" s="14"/>
      <c r="C591" s="14"/>
      <c r="D591" s="68"/>
      <c r="E591" s="19"/>
    </row>
    <row r="592" spans="1:5">
      <c r="A592" s="13"/>
      <c r="B592" s="14"/>
      <c r="C592" s="14"/>
      <c r="D592" s="68"/>
      <c r="E592" s="19"/>
    </row>
    <row r="593" spans="1:5">
      <c r="A593" s="13"/>
      <c r="B593" s="14"/>
      <c r="C593" s="14"/>
      <c r="D593" s="68"/>
      <c r="E593" s="19"/>
    </row>
    <row r="594" spans="1:5">
      <c r="A594" s="13"/>
      <c r="B594" s="14"/>
      <c r="C594" s="14"/>
      <c r="D594" s="68"/>
      <c r="E594" s="19"/>
    </row>
    <row r="595" spans="1:5">
      <c r="A595" s="13"/>
      <c r="B595" s="14"/>
      <c r="C595" s="14"/>
      <c r="D595" s="68"/>
      <c r="E595" s="19"/>
    </row>
    <row r="596" spans="1:5">
      <c r="A596" s="13"/>
      <c r="B596" s="14"/>
      <c r="C596" s="14"/>
      <c r="D596" s="68"/>
      <c r="E596" s="19"/>
    </row>
    <row r="597" spans="1:5">
      <c r="A597" s="13"/>
      <c r="B597" s="14"/>
      <c r="C597" s="14"/>
      <c r="D597" s="68"/>
      <c r="E597" s="19"/>
    </row>
    <row r="598" spans="1:5">
      <c r="A598" s="13"/>
      <c r="B598" s="14"/>
      <c r="C598" s="14"/>
      <c r="D598" s="68"/>
      <c r="E598" s="19"/>
    </row>
    <row r="599" spans="1:5">
      <c r="A599" s="13"/>
      <c r="B599" s="14"/>
      <c r="C599" s="14"/>
      <c r="D599" s="68"/>
      <c r="E599" s="19"/>
    </row>
    <row r="600" spans="1:5">
      <c r="A600" s="13"/>
      <c r="B600" s="14"/>
      <c r="C600" s="14"/>
      <c r="D600" s="68"/>
      <c r="E600" s="19"/>
    </row>
    <row r="601" spans="1:5">
      <c r="A601" s="13"/>
      <c r="B601" s="14"/>
      <c r="C601" s="14"/>
      <c r="D601" s="68"/>
      <c r="E601" s="19"/>
    </row>
    <row r="602" spans="1:5">
      <c r="A602" s="13"/>
      <c r="B602" s="14"/>
      <c r="C602" s="14"/>
      <c r="D602" s="68"/>
      <c r="E602" s="19"/>
    </row>
    <row r="603" spans="1:5">
      <c r="A603" s="13"/>
      <c r="B603" s="14"/>
      <c r="C603" s="14"/>
      <c r="D603" s="68"/>
      <c r="E603" s="19"/>
    </row>
    <row r="604" spans="1:5">
      <c r="A604" s="13"/>
      <c r="B604" s="14"/>
      <c r="C604" s="14"/>
      <c r="D604" s="68"/>
      <c r="E604" s="19"/>
    </row>
    <row r="605" spans="1:5">
      <c r="A605" s="13"/>
      <c r="B605" s="14"/>
      <c r="C605" s="14"/>
      <c r="D605" s="68"/>
      <c r="E605" s="19"/>
    </row>
    <row r="606" spans="1:5">
      <c r="A606" s="13"/>
      <c r="B606" s="14"/>
      <c r="C606" s="14"/>
      <c r="D606" s="68"/>
      <c r="E606" s="19"/>
    </row>
    <row r="607" spans="1:5">
      <c r="A607" s="13"/>
      <c r="B607" s="14"/>
      <c r="C607" s="14"/>
      <c r="D607" s="68"/>
      <c r="E607" s="19"/>
    </row>
    <row r="608" spans="1:5">
      <c r="A608" s="13"/>
      <c r="B608" s="14"/>
      <c r="C608" s="14"/>
      <c r="D608" s="68"/>
      <c r="E608" s="19"/>
    </row>
    <row r="609" spans="1:5">
      <c r="A609" s="13"/>
      <c r="B609" s="14"/>
      <c r="C609" s="14"/>
      <c r="D609" s="68"/>
      <c r="E609" s="19"/>
    </row>
    <row r="610" spans="1:5">
      <c r="A610" s="13"/>
      <c r="B610" s="14"/>
      <c r="C610" s="14"/>
      <c r="D610" s="68"/>
      <c r="E610" s="19"/>
    </row>
    <row r="611" spans="1:5">
      <c r="A611" s="13"/>
      <c r="B611" s="14"/>
      <c r="C611" s="14"/>
      <c r="D611" s="68"/>
      <c r="E611" s="19"/>
    </row>
    <row r="612" spans="1:5">
      <c r="A612" s="13"/>
      <c r="B612" s="14"/>
      <c r="C612" s="14"/>
      <c r="D612" s="68"/>
      <c r="E612" s="19"/>
    </row>
    <row r="613" spans="1:5">
      <c r="A613" s="13"/>
      <c r="B613" s="14"/>
      <c r="C613" s="14"/>
      <c r="D613" s="68"/>
      <c r="E613" s="19"/>
    </row>
    <row r="614" spans="1:5">
      <c r="A614" s="13"/>
      <c r="B614" s="14"/>
      <c r="C614" s="14"/>
      <c r="D614" s="68"/>
      <c r="E614" s="19"/>
    </row>
    <row r="615" spans="1:5">
      <c r="A615" s="13"/>
      <c r="B615" s="14"/>
      <c r="C615" s="14"/>
      <c r="D615" s="68"/>
      <c r="E615" s="19"/>
    </row>
    <row r="616" spans="1:5">
      <c r="A616" s="13"/>
      <c r="B616" s="14"/>
      <c r="C616" s="14"/>
      <c r="D616" s="68"/>
      <c r="E616" s="19"/>
    </row>
    <row r="617" spans="1:5">
      <c r="A617" s="13"/>
      <c r="B617" s="14"/>
      <c r="C617" s="14"/>
      <c r="D617" s="68"/>
      <c r="E617" s="19"/>
    </row>
    <row r="618" spans="1:5">
      <c r="A618" s="13"/>
      <c r="B618" s="14"/>
      <c r="C618" s="14"/>
      <c r="D618" s="68"/>
      <c r="E618" s="19"/>
    </row>
    <row r="619" spans="1:5">
      <c r="A619" s="13"/>
      <c r="B619" s="14"/>
      <c r="C619" s="14"/>
      <c r="D619" s="68"/>
      <c r="E619" s="19"/>
    </row>
    <row r="620" spans="1:5">
      <c r="A620" s="13"/>
      <c r="B620" s="14"/>
      <c r="C620" s="14"/>
      <c r="D620" s="68"/>
      <c r="E620" s="19"/>
    </row>
    <row r="621" spans="1:5">
      <c r="A621" s="13"/>
      <c r="B621" s="14"/>
      <c r="C621" s="14"/>
      <c r="D621" s="68"/>
      <c r="E621" s="19"/>
    </row>
    <row r="622" spans="1:5">
      <c r="A622" s="13"/>
      <c r="B622" s="14"/>
      <c r="C622" s="14"/>
      <c r="D622" s="68"/>
      <c r="E622" s="19"/>
    </row>
    <row r="623" spans="1:5">
      <c r="A623" s="13"/>
      <c r="B623" s="14"/>
      <c r="C623" s="14"/>
      <c r="D623" s="68"/>
      <c r="E623" s="19"/>
    </row>
    <row r="624" spans="1:5">
      <c r="A624" s="13"/>
      <c r="B624" s="14"/>
      <c r="C624" s="14"/>
      <c r="D624" s="68"/>
      <c r="E624" s="19"/>
    </row>
    <row r="625" spans="1:5">
      <c r="A625" s="13"/>
      <c r="B625" s="14"/>
      <c r="C625" s="14"/>
      <c r="D625" s="68"/>
      <c r="E625" s="19"/>
    </row>
    <row r="626" spans="1:5">
      <c r="A626" s="13"/>
      <c r="B626" s="14"/>
      <c r="C626" s="14"/>
      <c r="D626" s="68"/>
      <c r="E626" s="19"/>
    </row>
    <row r="627" spans="1:5">
      <c r="A627" s="13"/>
      <c r="B627" s="14"/>
      <c r="C627" s="14"/>
      <c r="D627" s="68"/>
      <c r="E627" s="19"/>
    </row>
    <row r="628" spans="1:5">
      <c r="A628" s="13"/>
      <c r="B628" s="14"/>
      <c r="C628" s="14"/>
      <c r="D628" s="68"/>
      <c r="E628" s="19"/>
    </row>
    <row r="629" spans="1:5">
      <c r="A629" s="13"/>
      <c r="B629" s="14"/>
      <c r="C629" s="14"/>
      <c r="D629" s="68"/>
      <c r="E629" s="19"/>
    </row>
    <row r="630" spans="1:5">
      <c r="A630" s="13"/>
      <c r="B630" s="14"/>
      <c r="C630" s="14"/>
      <c r="D630" s="68"/>
      <c r="E630" s="19"/>
    </row>
    <row r="631" spans="1:5">
      <c r="A631" s="13"/>
      <c r="B631" s="14"/>
      <c r="C631" s="14"/>
      <c r="D631" s="68"/>
      <c r="E631" s="19"/>
    </row>
    <row r="632" spans="1:5">
      <c r="A632" s="13"/>
      <c r="B632" s="14"/>
      <c r="C632" s="14"/>
      <c r="D632" s="68"/>
      <c r="E632" s="19"/>
    </row>
    <row r="633" spans="1:5">
      <c r="A633" s="13"/>
      <c r="B633" s="14"/>
      <c r="C633" s="14"/>
      <c r="D633" s="68"/>
      <c r="E633" s="19"/>
    </row>
    <row r="634" spans="1:5">
      <c r="A634" s="13"/>
      <c r="B634" s="14"/>
      <c r="C634" s="14"/>
      <c r="D634" s="68"/>
      <c r="E634" s="19"/>
    </row>
    <row r="635" spans="1:5">
      <c r="A635" s="13"/>
      <c r="B635" s="14"/>
      <c r="C635" s="14"/>
      <c r="D635" s="68"/>
      <c r="E635" s="19"/>
    </row>
    <row r="636" spans="1:5">
      <c r="A636" s="13"/>
      <c r="B636" s="14"/>
      <c r="C636" s="14"/>
      <c r="D636" s="68"/>
      <c r="E636" s="19"/>
    </row>
    <row r="637" spans="1:5">
      <c r="A637" s="13"/>
      <c r="B637" s="14"/>
      <c r="C637" s="14"/>
      <c r="D637" s="68"/>
      <c r="E637" s="19"/>
    </row>
    <row r="638" spans="1:5">
      <c r="A638" s="13"/>
      <c r="B638" s="14"/>
      <c r="C638" s="14"/>
      <c r="D638" s="68"/>
      <c r="E638" s="19"/>
    </row>
    <row r="639" spans="1:5">
      <c r="A639" s="13"/>
      <c r="B639" s="14"/>
      <c r="C639" s="14"/>
      <c r="D639" s="68"/>
      <c r="E639" s="19"/>
    </row>
    <row r="640" spans="1:5">
      <c r="A640" s="13"/>
      <c r="B640" s="14"/>
      <c r="C640" s="14"/>
      <c r="D640" s="68"/>
      <c r="E640" s="19"/>
    </row>
    <row r="641" spans="1:5">
      <c r="A641" s="13"/>
      <c r="B641" s="14"/>
      <c r="C641" s="14"/>
      <c r="D641" s="68"/>
      <c r="E641" s="19"/>
    </row>
    <row r="642" spans="1:5">
      <c r="A642" s="13"/>
      <c r="B642" s="14"/>
      <c r="C642" s="14"/>
      <c r="D642" s="68"/>
      <c r="E642" s="19"/>
    </row>
    <row r="643" spans="1:5">
      <c r="A643" s="13"/>
      <c r="B643" s="14"/>
      <c r="C643" s="14"/>
      <c r="D643" s="68"/>
      <c r="E643" s="19"/>
    </row>
    <row r="644" spans="1:5">
      <c r="A644" s="13"/>
      <c r="B644" s="14"/>
      <c r="C644" s="14"/>
      <c r="D644" s="68"/>
      <c r="E644" s="19"/>
    </row>
    <row r="645" spans="1:5">
      <c r="A645" s="13"/>
      <c r="B645" s="14"/>
      <c r="C645" s="14"/>
      <c r="D645" s="68"/>
      <c r="E645" s="19"/>
    </row>
    <row r="646" spans="1:5">
      <c r="A646" s="13"/>
      <c r="B646" s="15"/>
      <c r="C646" s="15"/>
      <c r="D646" s="69"/>
      <c r="E646" s="20"/>
    </row>
    <row r="647" spans="1:5">
      <c r="A647" s="13"/>
      <c r="B647" s="15"/>
      <c r="C647" s="15"/>
      <c r="D647" s="69"/>
      <c r="E647" s="20"/>
    </row>
    <row r="648" spans="1:5">
      <c r="A648" s="13"/>
      <c r="B648" s="15"/>
      <c r="C648" s="15"/>
      <c r="D648" s="69"/>
      <c r="E648" s="20"/>
    </row>
    <row r="649" spans="1:5">
      <c r="A649" s="13"/>
      <c r="B649" s="15"/>
      <c r="C649" s="15"/>
      <c r="D649" s="69"/>
      <c r="E649" s="20"/>
    </row>
    <row r="650" spans="1:5">
      <c r="A650" s="13"/>
      <c r="B650" s="15"/>
      <c r="C650" s="15"/>
      <c r="D650" s="69"/>
      <c r="E650" s="20"/>
    </row>
    <row r="651" spans="1:5">
      <c r="A651" s="13"/>
      <c r="B651" s="15"/>
      <c r="C651" s="15"/>
      <c r="D651" s="69"/>
      <c r="E651" s="20"/>
    </row>
    <row r="652" spans="1:5">
      <c r="A652" s="13"/>
      <c r="B652" s="15"/>
      <c r="C652" s="15"/>
      <c r="D652" s="69"/>
      <c r="E652" s="20"/>
    </row>
    <row r="653" spans="1:5">
      <c r="A653" s="13"/>
      <c r="B653" s="15"/>
      <c r="C653" s="15"/>
      <c r="D653" s="69"/>
      <c r="E653" s="20"/>
    </row>
    <row r="654" spans="1:5">
      <c r="A654" s="13"/>
      <c r="B654" s="15"/>
      <c r="C654" s="15"/>
      <c r="D654" s="69"/>
      <c r="E654" s="20"/>
    </row>
    <row r="655" spans="1:5">
      <c r="A655" s="13"/>
      <c r="B655" s="15"/>
      <c r="C655" s="15"/>
      <c r="D655" s="69"/>
      <c r="E655" s="20"/>
    </row>
    <row r="656" spans="1:5">
      <c r="A656" s="13"/>
      <c r="B656" s="15"/>
      <c r="C656" s="15"/>
      <c r="D656" s="69"/>
      <c r="E656" s="20"/>
    </row>
    <row r="657" spans="1:5">
      <c r="A657" s="13"/>
      <c r="B657" s="15"/>
      <c r="C657" s="15"/>
      <c r="D657" s="69"/>
      <c r="E657" s="20"/>
    </row>
    <row r="658" spans="1:5">
      <c r="A658" s="13"/>
      <c r="B658" s="15"/>
      <c r="C658" s="15"/>
      <c r="D658" s="69"/>
      <c r="E658" s="20"/>
    </row>
    <row r="659" spans="1:5">
      <c r="A659" s="13"/>
      <c r="B659" s="15"/>
      <c r="C659" s="15"/>
      <c r="D659" s="69"/>
      <c r="E659" s="20"/>
    </row>
    <row r="660" spans="1:5">
      <c r="A660" s="13"/>
      <c r="B660" s="15"/>
      <c r="C660" s="15"/>
      <c r="D660" s="69"/>
      <c r="E660" s="20"/>
    </row>
    <row r="661" spans="1:5">
      <c r="A661" s="13"/>
      <c r="B661" s="15"/>
      <c r="C661" s="15"/>
      <c r="D661" s="69"/>
      <c r="E661" s="20"/>
    </row>
    <row r="662" spans="1:5">
      <c r="A662" s="13"/>
      <c r="B662" s="15"/>
      <c r="C662" s="15"/>
      <c r="D662" s="69"/>
      <c r="E662" s="20"/>
    </row>
    <row r="663" spans="1:5">
      <c r="A663" s="13"/>
      <c r="B663" s="15"/>
      <c r="C663" s="15"/>
      <c r="D663" s="69"/>
      <c r="E663" s="20"/>
    </row>
    <row r="664" spans="1:5">
      <c r="A664" s="13"/>
      <c r="B664" s="15"/>
      <c r="C664" s="15"/>
      <c r="D664" s="69"/>
      <c r="E664" s="20"/>
    </row>
    <row r="665" spans="1:5">
      <c r="A665" s="13"/>
      <c r="B665" s="15"/>
      <c r="C665" s="15"/>
      <c r="D665" s="69"/>
      <c r="E665" s="20"/>
    </row>
    <row r="666" spans="1:5">
      <c r="A666" s="13"/>
      <c r="B666" s="15"/>
      <c r="C666" s="15"/>
      <c r="D666" s="69"/>
      <c r="E666" s="20"/>
    </row>
    <row r="667" spans="1:5">
      <c r="A667" s="13"/>
      <c r="B667" s="15"/>
      <c r="C667" s="15"/>
      <c r="D667" s="69"/>
      <c r="E667" s="20"/>
    </row>
    <row r="668" spans="1:5">
      <c r="A668" s="13"/>
      <c r="B668" s="15"/>
      <c r="C668" s="15"/>
      <c r="D668" s="69"/>
      <c r="E668" s="20"/>
    </row>
    <row r="669" spans="1:5">
      <c r="A669" s="13"/>
      <c r="B669" s="15"/>
      <c r="C669" s="15"/>
      <c r="D669" s="69"/>
      <c r="E669" s="20"/>
    </row>
    <row r="670" spans="1:5">
      <c r="A670" s="13"/>
      <c r="B670" s="15"/>
      <c r="C670" s="15"/>
      <c r="D670" s="69"/>
      <c r="E670" s="20"/>
    </row>
    <row r="671" spans="1:5">
      <c r="A671" s="13"/>
      <c r="B671" s="15"/>
      <c r="C671" s="15"/>
      <c r="D671" s="69"/>
      <c r="E671" s="20"/>
    </row>
    <row r="672" spans="1:5">
      <c r="A672" s="13"/>
      <c r="B672" s="15"/>
      <c r="C672" s="15"/>
      <c r="D672" s="69"/>
      <c r="E672" s="20"/>
    </row>
    <row r="673" spans="1:5">
      <c r="A673" s="13"/>
      <c r="B673" s="15"/>
      <c r="C673" s="15"/>
      <c r="D673" s="69"/>
      <c r="E673" s="20"/>
    </row>
    <row r="674" spans="1:5">
      <c r="A674" s="13"/>
      <c r="B674" s="15"/>
      <c r="C674" s="15"/>
      <c r="D674" s="69"/>
      <c r="E674" s="20"/>
    </row>
    <row r="675" spans="1:5">
      <c r="A675" s="13"/>
      <c r="B675" s="15"/>
      <c r="C675" s="15"/>
      <c r="D675" s="69"/>
      <c r="E675" s="20"/>
    </row>
    <row r="676" spans="1:5">
      <c r="A676" s="13"/>
      <c r="B676" s="15"/>
      <c r="C676" s="15"/>
      <c r="D676" s="69"/>
      <c r="E676" s="20"/>
    </row>
    <row r="677" spans="1:5">
      <c r="A677" s="13"/>
      <c r="B677" s="15"/>
      <c r="C677" s="15"/>
      <c r="D677" s="69"/>
      <c r="E677" s="20"/>
    </row>
    <row r="678" spans="1:5">
      <c r="A678" s="13"/>
      <c r="B678" s="15"/>
      <c r="C678" s="15"/>
      <c r="D678" s="69"/>
      <c r="E678" s="20"/>
    </row>
    <row r="679" spans="1:5">
      <c r="A679" s="13"/>
      <c r="B679" s="15"/>
      <c r="C679" s="15"/>
      <c r="D679" s="69"/>
      <c r="E679" s="20"/>
    </row>
    <row r="680" spans="1:5">
      <c r="A680" s="13"/>
      <c r="B680" s="15"/>
      <c r="C680" s="15"/>
      <c r="D680" s="69"/>
      <c r="E680" s="20"/>
    </row>
    <row r="681" spans="1:5">
      <c r="A681" s="13"/>
      <c r="B681" s="15"/>
      <c r="C681" s="15"/>
      <c r="D681" s="69"/>
      <c r="E681" s="20"/>
    </row>
    <row r="682" spans="1:5">
      <c r="A682" s="13"/>
      <c r="B682" s="15"/>
      <c r="C682" s="15"/>
      <c r="D682" s="69"/>
      <c r="E682" s="20"/>
    </row>
    <row r="683" spans="1:5">
      <c r="A683" s="13"/>
      <c r="B683" s="15"/>
      <c r="C683" s="15"/>
      <c r="D683" s="69"/>
      <c r="E683" s="20"/>
    </row>
    <row r="684" spans="1:5">
      <c r="A684" s="13"/>
      <c r="B684" s="15"/>
      <c r="C684" s="15"/>
      <c r="D684" s="69"/>
      <c r="E684" s="20"/>
    </row>
    <row r="685" spans="1:5">
      <c r="A685" s="13"/>
      <c r="B685" s="15"/>
      <c r="C685" s="15"/>
      <c r="D685" s="69"/>
      <c r="E685" s="20"/>
    </row>
    <row r="686" spans="1:5">
      <c r="A686" s="13"/>
      <c r="B686" s="15"/>
      <c r="C686" s="15"/>
      <c r="D686" s="69"/>
      <c r="E686" s="20"/>
    </row>
    <row r="687" spans="1:5">
      <c r="A687" s="13"/>
      <c r="B687" s="15"/>
      <c r="C687" s="15"/>
      <c r="D687" s="69"/>
      <c r="E687" s="20"/>
    </row>
    <row r="688" spans="1:5">
      <c r="A688" s="13"/>
      <c r="B688" s="15"/>
      <c r="C688" s="15"/>
      <c r="D688" s="69"/>
      <c r="E688" s="20"/>
    </row>
    <row r="689" spans="1:5">
      <c r="A689" s="13"/>
      <c r="B689" s="15"/>
      <c r="C689" s="15"/>
      <c r="D689" s="69"/>
      <c r="E689" s="20"/>
    </row>
    <row r="690" spans="1:5">
      <c r="A690" s="13"/>
      <c r="B690" s="15"/>
      <c r="C690" s="15"/>
      <c r="D690" s="69"/>
      <c r="E690" s="20"/>
    </row>
    <row r="691" spans="1:5">
      <c r="A691" s="13"/>
      <c r="B691" s="15"/>
      <c r="C691" s="15"/>
      <c r="D691" s="69"/>
      <c r="E691" s="20"/>
    </row>
    <row r="692" spans="1:5">
      <c r="A692" s="13"/>
      <c r="B692" s="15"/>
      <c r="C692" s="15"/>
      <c r="D692" s="69"/>
      <c r="E692" s="20"/>
    </row>
    <row r="693" spans="1:5">
      <c r="A693" s="13"/>
      <c r="B693" s="15"/>
      <c r="C693" s="15"/>
      <c r="D693" s="69"/>
      <c r="E693" s="20"/>
    </row>
    <row r="694" spans="1:5">
      <c r="A694" s="13"/>
      <c r="B694" s="15"/>
      <c r="C694" s="15"/>
      <c r="D694" s="69"/>
      <c r="E694" s="20"/>
    </row>
    <row r="695" spans="1:5">
      <c r="A695" s="13"/>
      <c r="B695" s="15"/>
      <c r="C695" s="15"/>
      <c r="D695" s="69"/>
      <c r="E695" s="20"/>
    </row>
    <row r="696" spans="1:5">
      <c r="A696" s="13"/>
      <c r="B696" s="15"/>
      <c r="C696" s="15"/>
      <c r="D696" s="69"/>
      <c r="E696" s="20"/>
    </row>
    <row r="697" spans="1:5">
      <c r="A697" s="13"/>
      <c r="B697" s="15"/>
      <c r="C697" s="15"/>
      <c r="D697" s="69"/>
      <c r="E697" s="20"/>
    </row>
    <row r="698" spans="1:5">
      <c r="A698" s="13"/>
      <c r="B698" s="15"/>
      <c r="C698" s="15"/>
      <c r="D698" s="69"/>
      <c r="E698" s="20"/>
    </row>
    <row r="699" spans="1:5">
      <c r="A699" s="13"/>
      <c r="B699" s="15"/>
      <c r="C699" s="15"/>
      <c r="D699" s="69"/>
      <c r="E699" s="20"/>
    </row>
    <row r="700" spans="1:5">
      <c r="A700" s="13"/>
      <c r="B700" s="15"/>
      <c r="C700" s="15"/>
      <c r="D700" s="69"/>
      <c r="E700" s="20"/>
    </row>
    <row r="701" spans="1:5">
      <c r="A701" s="13"/>
      <c r="B701" s="15"/>
      <c r="C701" s="15"/>
      <c r="D701" s="69"/>
      <c r="E701" s="20"/>
    </row>
    <row r="702" spans="1:5">
      <c r="A702" s="13"/>
      <c r="B702" s="15"/>
      <c r="C702" s="15"/>
      <c r="D702" s="69"/>
      <c r="E702" s="20"/>
    </row>
    <row r="703" spans="1:5">
      <c r="A703" s="13"/>
      <c r="B703" s="15"/>
      <c r="C703" s="15"/>
      <c r="D703" s="69"/>
      <c r="E703" s="20"/>
    </row>
    <row r="704" spans="1:5">
      <c r="A704" s="13"/>
      <c r="B704" s="15"/>
      <c r="C704" s="15"/>
      <c r="D704" s="69"/>
      <c r="E704" s="20"/>
    </row>
    <row r="705" spans="1:5">
      <c r="A705" s="13"/>
      <c r="B705" s="15"/>
      <c r="C705" s="15"/>
      <c r="D705" s="69"/>
      <c r="E705" s="20"/>
    </row>
    <row r="706" spans="1:5">
      <c r="A706" s="13"/>
      <c r="B706" s="15"/>
      <c r="C706" s="15"/>
      <c r="D706" s="69"/>
      <c r="E706" s="20"/>
    </row>
    <row r="707" spans="1:5">
      <c r="A707" s="13"/>
      <c r="B707" s="15"/>
      <c r="C707" s="15"/>
      <c r="D707" s="69"/>
      <c r="E707" s="20"/>
    </row>
    <row r="708" spans="1:5">
      <c r="A708" s="13"/>
      <c r="B708" s="15"/>
      <c r="C708" s="15"/>
      <c r="D708" s="69"/>
      <c r="E708" s="20"/>
    </row>
    <row r="709" spans="1:5">
      <c r="A709" s="13"/>
      <c r="B709" s="15"/>
      <c r="C709" s="15"/>
      <c r="D709" s="69"/>
      <c r="E709" s="20"/>
    </row>
    <row r="710" spans="1:5">
      <c r="A710" s="13"/>
      <c r="B710" s="15"/>
      <c r="C710" s="15"/>
      <c r="D710" s="69"/>
      <c r="E710" s="20"/>
    </row>
    <row r="711" spans="1:5">
      <c r="A711" s="13"/>
      <c r="B711" s="15"/>
      <c r="C711" s="15"/>
      <c r="D711" s="69"/>
      <c r="E711" s="20"/>
    </row>
    <row r="712" spans="1:5">
      <c r="A712" s="13"/>
      <c r="B712" s="15"/>
      <c r="C712" s="15"/>
      <c r="D712" s="69"/>
      <c r="E712" s="20"/>
    </row>
    <row r="713" spans="1:5">
      <c r="A713" s="13"/>
      <c r="B713" s="15"/>
      <c r="C713" s="15"/>
      <c r="D713" s="69"/>
      <c r="E713" s="20"/>
    </row>
    <row r="714" spans="1:5">
      <c r="A714" s="13"/>
      <c r="B714" s="15"/>
      <c r="C714" s="15"/>
      <c r="D714" s="69"/>
      <c r="E714" s="20"/>
    </row>
    <row r="715" spans="1:5">
      <c r="A715" s="13"/>
      <c r="B715" s="15"/>
      <c r="C715" s="15"/>
      <c r="D715" s="69"/>
      <c r="E715" s="20"/>
    </row>
    <row r="716" spans="1:5">
      <c r="A716" s="13"/>
      <c r="B716" s="15"/>
      <c r="C716" s="15"/>
      <c r="D716" s="69"/>
      <c r="E716" s="20"/>
    </row>
    <row r="717" spans="1:5">
      <c r="A717" s="13"/>
      <c r="B717" s="15"/>
      <c r="C717" s="15"/>
      <c r="D717" s="69"/>
      <c r="E717" s="20"/>
    </row>
    <row r="718" spans="1:5">
      <c r="A718" s="13"/>
      <c r="B718" s="15"/>
      <c r="C718" s="15"/>
      <c r="D718" s="69"/>
      <c r="E718" s="20"/>
    </row>
    <row r="719" spans="1:5">
      <c r="A719" s="13"/>
      <c r="B719" s="15"/>
      <c r="C719" s="15"/>
      <c r="D719" s="69"/>
      <c r="E719" s="20"/>
    </row>
    <row r="720" spans="1:5">
      <c r="A720" s="13"/>
      <c r="B720" s="15"/>
      <c r="C720" s="15"/>
      <c r="D720" s="69"/>
      <c r="E720" s="20"/>
    </row>
    <row r="721" spans="1:5">
      <c r="A721" s="13"/>
      <c r="B721" s="15"/>
      <c r="C721" s="15"/>
      <c r="D721" s="69"/>
      <c r="E721" s="20"/>
    </row>
    <row r="722" spans="1:5">
      <c r="A722" s="13"/>
      <c r="B722" s="15"/>
      <c r="C722" s="15"/>
      <c r="D722" s="69"/>
      <c r="E722" s="20"/>
    </row>
    <row r="723" spans="1:5">
      <c r="A723" s="13"/>
      <c r="B723" s="15"/>
      <c r="C723" s="15"/>
      <c r="D723" s="69"/>
      <c r="E723" s="20"/>
    </row>
    <row r="724" spans="1:5">
      <c r="A724" s="13"/>
      <c r="B724" s="15"/>
      <c r="C724" s="15"/>
      <c r="D724" s="69"/>
      <c r="E724" s="20"/>
    </row>
    <row r="725" spans="1:5">
      <c r="A725" s="13"/>
      <c r="B725" s="15"/>
      <c r="C725" s="15"/>
      <c r="D725" s="69"/>
      <c r="E725" s="20"/>
    </row>
    <row r="726" spans="1:5">
      <c r="A726" s="13"/>
      <c r="B726" s="15"/>
      <c r="C726" s="15"/>
      <c r="D726" s="69"/>
      <c r="E726" s="20"/>
    </row>
    <row r="727" spans="1:5">
      <c r="A727" s="13"/>
      <c r="B727" s="15"/>
      <c r="C727" s="15"/>
      <c r="D727" s="69"/>
      <c r="E727" s="20"/>
    </row>
    <row r="728" spans="1:5">
      <c r="A728" s="13"/>
      <c r="B728" s="15"/>
      <c r="C728" s="15"/>
      <c r="D728" s="69"/>
      <c r="E728" s="20"/>
    </row>
    <row r="729" spans="1:5">
      <c r="A729" s="13"/>
      <c r="B729" s="15"/>
      <c r="C729" s="15"/>
      <c r="D729" s="69"/>
      <c r="E729" s="20"/>
    </row>
    <row r="730" spans="1:5">
      <c r="A730" s="13"/>
      <c r="B730" s="15"/>
      <c r="C730" s="15"/>
      <c r="D730" s="69"/>
      <c r="E730" s="20"/>
    </row>
    <row r="731" spans="1:5">
      <c r="A731" s="13"/>
      <c r="B731" s="15"/>
      <c r="C731" s="15"/>
      <c r="D731" s="69"/>
      <c r="E731" s="20"/>
    </row>
    <row r="732" spans="1:5">
      <c r="A732" s="13"/>
      <c r="B732" s="15"/>
      <c r="C732" s="15"/>
      <c r="D732" s="69"/>
      <c r="E732" s="20"/>
    </row>
    <row r="733" spans="1:5">
      <c r="A733" s="13"/>
      <c r="B733" s="15"/>
      <c r="C733" s="15"/>
      <c r="D733" s="69"/>
      <c r="E733" s="20"/>
    </row>
    <row r="734" spans="1:5">
      <c r="A734" s="13"/>
      <c r="B734" s="15"/>
      <c r="C734" s="15"/>
      <c r="D734" s="69"/>
      <c r="E734" s="20"/>
    </row>
    <row r="735" spans="1:5">
      <c r="A735" s="13"/>
      <c r="B735" s="15"/>
      <c r="C735" s="15"/>
      <c r="D735" s="69"/>
      <c r="E735" s="20"/>
    </row>
    <row r="736" spans="1:5">
      <c r="A736" s="13"/>
      <c r="B736" s="15"/>
      <c r="C736" s="15"/>
      <c r="D736" s="69"/>
      <c r="E736" s="20"/>
    </row>
    <row r="737" spans="1:5">
      <c r="A737" s="13"/>
      <c r="B737" s="15"/>
      <c r="C737" s="15"/>
      <c r="D737" s="69"/>
      <c r="E737" s="20"/>
    </row>
    <row r="738" spans="1:5">
      <c r="A738" s="13"/>
      <c r="B738" s="15"/>
      <c r="C738" s="15"/>
      <c r="D738" s="69"/>
      <c r="E738" s="20"/>
    </row>
    <row r="739" spans="1:5">
      <c r="A739" s="13"/>
      <c r="B739" s="15"/>
      <c r="C739" s="15"/>
      <c r="D739" s="69"/>
      <c r="E739" s="20"/>
    </row>
    <row r="740" spans="1:5">
      <c r="A740" s="13"/>
      <c r="B740" s="15"/>
      <c r="C740" s="15"/>
      <c r="D740" s="69"/>
      <c r="E740" s="20"/>
    </row>
    <row r="741" spans="1:5">
      <c r="A741" s="13"/>
      <c r="B741" s="15"/>
      <c r="C741" s="15"/>
      <c r="D741" s="69"/>
      <c r="E741" s="20"/>
    </row>
    <row r="742" spans="1:5">
      <c r="A742" s="13"/>
      <c r="B742" s="15"/>
      <c r="C742" s="15"/>
      <c r="D742" s="69"/>
      <c r="E742" s="20"/>
    </row>
    <row r="743" spans="1:5">
      <c r="A743" s="13"/>
      <c r="B743" s="15"/>
      <c r="C743" s="15"/>
      <c r="D743" s="69"/>
      <c r="E743" s="20"/>
    </row>
    <row r="744" spans="1:5">
      <c r="A744" s="13"/>
      <c r="B744" s="15"/>
      <c r="C744" s="15"/>
      <c r="D744" s="69"/>
      <c r="E744" s="20"/>
    </row>
    <row r="745" spans="1:5">
      <c r="A745" s="13"/>
      <c r="B745" s="15"/>
      <c r="C745" s="15"/>
      <c r="D745" s="69"/>
      <c r="E745" s="20"/>
    </row>
    <row r="746" spans="1:5">
      <c r="A746" s="13"/>
      <c r="B746" s="15"/>
      <c r="C746" s="15"/>
      <c r="D746" s="69"/>
      <c r="E746" s="20"/>
    </row>
    <row r="747" spans="1:5">
      <c r="A747" s="13"/>
      <c r="B747" s="15"/>
      <c r="C747" s="15"/>
      <c r="D747" s="69"/>
      <c r="E747" s="20"/>
    </row>
    <row r="748" spans="1:5">
      <c r="A748" s="13"/>
      <c r="B748" s="15"/>
      <c r="C748" s="15"/>
      <c r="D748" s="69"/>
      <c r="E748" s="20"/>
    </row>
    <row r="749" spans="1:5">
      <c r="A749" s="13"/>
      <c r="B749" s="15"/>
      <c r="C749" s="15"/>
      <c r="D749" s="69"/>
      <c r="E749" s="20"/>
    </row>
    <row r="750" spans="1:5">
      <c r="A750" s="13"/>
      <c r="B750" s="15"/>
      <c r="C750" s="15"/>
      <c r="D750" s="69"/>
      <c r="E750" s="20"/>
    </row>
    <row r="751" spans="1:5">
      <c r="A751" s="13"/>
      <c r="B751" s="15"/>
      <c r="C751" s="15"/>
      <c r="D751" s="69"/>
      <c r="E751" s="20"/>
    </row>
    <row r="752" spans="1:5">
      <c r="A752" s="13"/>
      <c r="B752" s="15"/>
      <c r="C752" s="15"/>
      <c r="D752" s="69"/>
      <c r="E752" s="20"/>
    </row>
    <row r="753" spans="1:5">
      <c r="A753" s="13"/>
      <c r="B753" s="15"/>
      <c r="C753" s="15"/>
      <c r="D753" s="69"/>
      <c r="E753" s="20"/>
    </row>
    <row r="754" spans="1:5">
      <c r="A754" s="13"/>
      <c r="B754" s="15"/>
      <c r="C754" s="15"/>
      <c r="D754" s="69"/>
      <c r="E754" s="20"/>
    </row>
    <row r="755" spans="1:5">
      <c r="A755" s="13"/>
      <c r="B755" s="15"/>
      <c r="C755" s="15"/>
      <c r="D755" s="69"/>
      <c r="E755" s="20"/>
    </row>
    <row r="756" spans="1:5">
      <c r="A756" s="13"/>
      <c r="B756" s="15"/>
      <c r="C756" s="15"/>
      <c r="D756" s="69"/>
      <c r="E756" s="20"/>
    </row>
    <row r="757" spans="1:5">
      <c r="A757" s="13"/>
      <c r="B757" s="15"/>
      <c r="C757" s="15"/>
      <c r="D757" s="69"/>
      <c r="E757" s="20"/>
    </row>
    <row r="758" spans="1:5">
      <c r="A758" s="13"/>
      <c r="B758" s="15"/>
      <c r="C758" s="15"/>
      <c r="D758" s="69"/>
      <c r="E758" s="20"/>
    </row>
    <row r="759" spans="1:5">
      <c r="A759" s="13"/>
      <c r="B759" s="15"/>
      <c r="C759" s="15"/>
      <c r="D759" s="69"/>
      <c r="E759" s="20"/>
    </row>
    <row r="760" spans="1:5">
      <c r="A760" s="13"/>
      <c r="B760" s="15"/>
      <c r="C760" s="15"/>
      <c r="D760" s="69"/>
      <c r="E760" s="20"/>
    </row>
    <row r="761" spans="1:5">
      <c r="A761" s="13"/>
      <c r="B761" s="15"/>
      <c r="C761" s="15"/>
      <c r="D761" s="69"/>
      <c r="E761" s="20"/>
    </row>
    <row r="762" spans="1:5">
      <c r="A762" s="13"/>
      <c r="B762" s="15"/>
      <c r="C762" s="15"/>
      <c r="D762" s="69"/>
      <c r="E762" s="20"/>
    </row>
    <row r="763" spans="1:5">
      <c r="A763" s="13"/>
      <c r="B763" s="15"/>
      <c r="C763" s="15"/>
      <c r="D763" s="69"/>
      <c r="E763" s="20"/>
    </row>
    <row r="764" spans="1:5">
      <c r="A764" s="13"/>
      <c r="B764" s="15"/>
      <c r="C764" s="15"/>
      <c r="D764" s="69"/>
      <c r="E764" s="20"/>
    </row>
    <row r="765" spans="1:5">
      <c r="A765" s="13"/>
      <c r="B765" s="15"/>
      <c r="C765" s="15"/>
      <c r="D765" s="69"/>
      <c r="E765" s="20"/>
    </row>
    <row r="766" spans="1:5">
      <c r="A766" s="13"/>
      <c r="B766" s="15"/>
      <c r="C766" s="15"/>
      <c r="D766" s="69"/>
      <c r="E766" s="20"/>
    </row>
    <row r="767" spans="1:5">
      <c r="A767" s="13"/>
      <c r="B767" s="15"/>
      <c r="C767" s="15"/>
      <c r="D767" s="69"/>
      <c r="E767" s="20"/>
    </row>
    <row r="768" spans="1:5">
      <c r="A768" s="13"/>
      <c r="B768" s="15"/>
      <c r="C768" s="15"/>
      <c r="D768" s="69"/>
      <c r="E768" s="20"/>
    </row>
    <row r="769" spans="1:5">
      <c r="A769" s="13"/>
      <c r="B769" s="15"/>
      <c r="C769" s="15"/>
      <c r="D769" s="69"/>
      <c r="E769" s="20"/>
    </row>
    <row r="770" spans="1:5">
      <c r="A770" s="13"/>
      <c r="B770" s="15"/>
      <c r="C770" s="15"/>
      <c r="D770" s="69"/>
      <c r="E770" s="20"/>
    </row>
    <row r="771" spans="1:5">
      <c r="A771" s="13"/>
      <c r="B771" s="15"/>
      <c r="C771" s="15"/>
      <c r="D771" s="69"/>
      <c r="E771" s="20"/>
    </row>
    <row r="772" spans="1:5">
      <c r="A772" s="13"/>
      <c r="B772" s="15"/>
      <c r="C772" s="15"/>
      <c r="D772" s="69"/>
      <c r="E772" s="20"/>
    </row>
    <row r="773" spans="1:5">
      <c r="A773" s="13"/>
      <c r="B773" s="15"/>
      <c r="C773" s="15"/>
      <c r="D773" s="69"/>
      <c r="E773" s="20"/>
    </row>
    <row r="774" spans="1:5">
      <c r="A774" s="13"/>
      <c r="B774" s="15"/>
      <c r="C774" s="15"/>
      <c r="D774" s="69"/>
      <c r="E774" s="20"/>
    </row>
    <row r="775" spans="1:5">
      <c r="A775" s="13"/>
      <c r="B775" s="15"/>
      <c r="C775" s="15"/>
      <c r="D775" s="69"/>
      <c r="E775" s="20"/>
    </row>
    <row r="776" spans="1:5">
      <c r="A776" s="13"/>
      <c r="B776" s="15"/>
      <c r="C776" s="15"/>
      <c r="D776" s="69"/>
      <c r="E776" s="20"/>
    </row>
    <row r="777" spans="1:5">
      <c r="A777" s="13"/>
      <c r="B777" s="15"/>
      <c r="C777" s="15"/>
      <c r="D777" s="69"/>
      <c r="E777" s="20"/>
    </row>
    <row r="778" spans="1:5">
      <c r="A778" s="13"/>
      <c r="B778" s="15"/>
      <c r="C778" s="15"/>
      <c r="D778" s="69"/>
      <c r="E778" s="20"/>
    </row>
    <row r="779" spans="1:5">
      <c r="A779" s="13"/>
      <c r="B779" s="15"/>
      <c r="C779" s="15"/>
      <c r="D779" s="69"/>
      <c r="E779" s="20"/>
    </row>
    <row r="780" spans="1:5">
      <c r="A780" s="13"/>
      <c r="B780" s="15"/>
      <c r="C780" s="15"/>
      <c r="D780" s="69"/>
      <c r="E780" s="20"/>
    </row>
    <row r="781" spans="1:5">
      <c r="A781" s="13"/>
      <c r="B781" s="15"/>
      <c r="C781" s="15"/>
      <c r="D781" s="69"/>
      <c r="E781" s="20"/>
    </row>
    <row r="782" spans="1:5">
      <c r="A782" s="13"/>
      <c r="B782" s="15"/>
      <c r="C782" s="15"/>
      <c r="D782" s="69"/>
      <c r="E782" s="20"/>
    </row>
    <row r="783" spans="1:5">
      <c r="A783" s="13"/>
      <c r="B783" s="15"/>
      <c r="C783" s="15"/>
      <c r="D783" s="69"/>
      <c r="E783" s="20"/>
    </row>
    <row r="784" spans="1:5">
      <c r="A784" s="13"/>
      <c r="B784" s="15"/>
      <c r="C784" s="15"/>
      <c r="D784" s="69"/>
      <c r="E784" s="20"/>
    </row>
    <row r="785" spans="1:5">
      <c r="A785" s="13"/>
      <c r="B785" s="15"/>
      <c r="C785" s="15"/>
      <c r="D785" s="69"/>
      <c r="E785" s="20"/>
    </row>
    <row r="786" spans="1:5">
      <c r="A786" s="13"/>
      <c r="B786" s="15"/>
      <c r="C786" s="15"/>
      <c r="D786" s="69"/>
      <c r="E786" s="20"/>
    </row>
    <row r="787" spans="1:5">
      <c r="A787" s="13"/>
      <c r="B787" s="15"/>
      <c r="C787" s="15"/>
      <c r="D787" s="69"/>
      <c r="E787" s="20"/>
    </row>
    <row r="788" spans="1:5">
      <c r="A788" s="13"/>
      <c r="B788" s="15"/>
      <c r="C788" s="15"/>
      <c r="D788" s="69"/>
      <c r="E788" s="20"/>
    </row>
    <row r="789" spans="1:5">
      <c r="A789" s="13"/>
      <c r="B789" s="15"/>
      <c r="C789" s="15"/>
      <c r="D789" s="69"/>
      <c r="E789" s="20"/>
    </row>
    <row r="790" spans="1:5">
      <c r="A790" s="13"/>
      <c r="B790" s="15"/>
      <c r="C790" s="15"/>
      <c r="D790" s="69"/>
      <c r="E790" s="20"/>
    </row>
    <row r="791" spans="1:5">
      <c r="A791" s="13"/>
      <c r="B791" s="15"/>
      <c r="C791" s="15"/>
      <c r="D791" s="69"/>
      <c r="E791" s="20"/>
    </row>
    <row r="792" spans="1:5">
      <c r="A792" s="13"/>
      <c r="B792" s="15"/>
      <c r="C792" s="15"/>
      <c r="D792" s="69"/>
      <c r="E792" s="20"/>
    </row>
    <row r="793" spans="1:5">
      <c r="A793" s="13"/>
      <c r="B793" s="15"/>
      <c r="C793" s="15"/>
      <c r="D793" s="69"/>
      <c r="E793" s="20"/>
    </row>
    <row r="794" spans="1:5">
      <c r="A794" s="13"/>
      <c r="B794" s="15"/>
      <c r="C794" s="15"/>
      <c r="D794" s="69"/>
      <c r="E794" s="20"/>
    </row>
    <row r="795" spans="1:5">
      <c r="A795" s="13"/>
      <c r="B795" s="15"/>
      <c r="C795" s="15"/>
      <c r="D795" s="69"/>
      <c r="E795" s="20"/>
    </row>
    <row r="796" spans="1:5">
      <c r="A796" s="13"/>
      <c r="B796" s="15"/>
      <c r="C796" s="15"/>
      <c r="D796" s="69"/>
      <c r="E796" s="20"/>
    </row>
    <row r="797" spans="1:5">
      <c r="A797" s="13"/>
      <c r="B797" s="15"/>
      <c r="C797" s="15"/>
      <c r="D797" s="69"/>
      <c r="E797" s="20"/>
    </row>
    <row r="798" spans="1:5">
      <c r="A798" s="13"/>
      <c r="B798" s="15"/>
      <c r="C798" s="15"/>
      <c r="D798" s="69"/>
      <c r="E798" s="20"/>
    </row>
    <row r="799" spans="1:5">
      <c r="A799" s="13"/>
      <c r="B799" s="15"/>
      <c r="C799" s="15"/>
      <c r="D799" s="69"/>
      <c r="E799" s="20"/>
    </row>
    <row r="800" spans="1:5">
      <c r="A800" s="13"/>
      <c r="B800" s="15"/>
      <c r="C800" s="15"/>
      <c r="D800" s="69"/>
      <c r="E800" s="20"/>
    </row>
    <row r="801" spans="1:5">
      <c r="A801" s="13"/>
      <c r="B801" s="15"/>
      <c r="C801" s="15"/>
      <c r="D801" s="69"/>
      <c r="E801" s="20"/>
    </row>
    <row r="802" spans="1:5">
      <c r="A802" s="13"/>
      <c r="B802" s="15"/>
      <c r="C802" s="15"/>
      <c r="D802" s="69"/>
      <c r="E802" s="20"/>
    </row>
    <row r="803" spans="1:5">
      <c r="A803" s="13"/>
      <c r="B803" s="15"/>
      <c r="C803" s="15"/>
      <c r="D803" s="69"/>
      <c r="E803" s="20"/>
    </row>
    <row r="804" spans="1:5">
      <c r="A804" s="13"/>
      <c r="B804" s="15"/>
      <c r="C804" s="15"/>
      <c r="D804" s="69"/>
      <c r="E804" s="20"/>
    </row>
    <row r="805" spans="1:5">
      <c r="A805" s="13"/>
      <c r="B805" s="15"/>
      <c r="C805" s="15"/>
      <c r="D805" s="69"/>
      <c r="E805" s="20"/>
    </row>
    <row r="806" spans="1:5">
      <c r="A806" s="13"/>
      <c r="B806" s="15"/>
      <c r="C806" s="15"/>
      <c r="D806" s="69"/>
      <c r="E806" s="20"/>
    </row>
    <row r="807" spans="1:5">
      <c r="A807" s="13"/>
      <c r="B807" s="15"/>
      <c r="C807" s="15"/>
      <c r="D807" s="69"/>
      <c r="E807" s="20"/>
    </row>
    <row r="808" spans="1:5">
      <c r="A808" s="13"/>
      <c r="B808" s="15"/>
      <c r="C808" s="15"/>
      <c r="D808" s="69"/>
      <c r="E808" s="20"/>
    </row>
    <row r="809" spans="1:5">
      <c r="A809" s="13"/>
      <c r="B809" s="15"/>
      <c r="C809" s="15"/>
      <c r="D809" s="69"/>
      <c r="E809" s="20"/>
    </row>
    <row r="810" spans="1:5">
      <c r="A810" s="13"/>
      <c r="B810" s="15"/>
      <c r="C810" s="15"/>
      <c r="D810" s="69"/>
      <c r="E810" s="20"/>
    </row>
    <row r="811" spans="1:5">
      <c r="A811" s="13"/>
      <c r="B811" s="15"/>
      <c r="C811" s="15"/>
      <c r="D811" s="69"/>
      <c r="E811" s="20"/>
    </row>
    <row r="812" spans="1:5">
      <c r="A812" s="13"/>
      <c r="B812" s="15"/>
      <c r="C812" s="15"/>
      <c r="D812" s="69"/>
      <c r="E812" s="20"/>
    </row>
    <row r="813" spans="1:5">
      <c r="A813" s="13"/>
      <c r="B813" s="15"/>
      <c r="C813" s="15"/>
      <c r="D813" s="69"/>
      <c r="E813" s="20"/>
    </row>
    <row r="814" spans="1:5">
      <c r="A814" s="13"/>
      <c r="B814" s="15"/>
      <c r="C814" s="15"/>
      <c r="D814" s="69"/>
      <c r="E814" s="20"/>
    </row>
    <row r="815" spans="1:5">
      <c r="A815" s="13"/>
      <c r="B815" s="15"/>
      <c r="C815" s="15"/>
      <c r="D815" s="69"/>
      <c r="E815" s="20"/>
    </row>
    <row r="816" spans="1:5">
      <c r="A816" s="15"/>
      <c r="B816" s="15"/>
      <c r="C816" s="15"/>
      <c r="D816" s="69"/>
      <c r="E816" s="20"/>
    </row>
    <row r="817" spans="1:5">
      <c r="A817" s="15"/>
      <c r="B817" s="15"/>
      <c r="C817" s="15"/>
      <c r="D817" s="69"/>
      <c r="E817" s="20"/>
    </row>
    <row r="818" spans="1:5">
      <c r="A818" s="15"/>
      <c r="B818" s="15"/>
      <c r="C818" s="15"/>
      <c r="D818" s="69"/>
      <c r="E818" s="20"/>
    </row>
    <row r="819" spans="1:5">
      <c r="A819" s="15"/>
      <c r="B819" s="15"/>
      <c r="C819" s="15"/>
      <c r="D819" s="69"/>
      <c r="E819" s="20"/>
    </row>
    <row r="820" spans="1:5">
      <c r="A820" s="15"/>
      <c r="B820" s="15"/>
      <c r="C820" s="15"/>
      <c r="D820" s="69"/>
      <c r="E820" s="20"/>
    </row>
    <row r="821" spans="1:5">
      <c r="A821" s="15"/>
      <c r="B821" s="15"/>
      <c r="C821" s="15"/>
      <c r="D821" s="69"/>
      <c r="E821" s="20"/>
    </row>
    <row r="822" spans="1:5">
      <c r="A822" s="15"/>
      <c r="B822" s="15"/>
      <c r="C822" s="15"/>
      <c r="D822" s="69"/>
      <c r="E822" s="20"/>
    </row>
    <row r="823" spans="1:5">
      <c r="A823" s="15"/>
      <c r="B823" s="15"/>
      <c r="C823" s="15"/>
      <c r="D823" s="69"/>
      <c r="E823" s="20"/>
    </row>
    <row r="824" spans="1:5">
      <c r="A824" s="15"/>
      <c r="B824" s="15"/>
      <c r="C824" s="15"/>
      <c r="D824" s="69"/>
      <c r="E824" s="20"/>
    </row>
    <row r="825" spans="1:5">
      <c r="A825" s="15"/>
      <c r="B825" s="15"/>
      <c r="C825" s="15"/>
      <c r="D825" s="69"/>
      <c r="E825" s="20"/>
    </row>
    <row r="826" spans="1:5">
      <c r="A826" s="15"/>
      <c r="B826" s="15"/>
      <c r="C826" s="15"/>
      <c r="D826" s="69"/>
      <c r="E826" s="20"/>
    </row>
    <row r="827" spans="1:5">
      <c r="A827" s="15"/>
      <c r="B827" s="15"/>
      <c r="C827" s="15"/>
      <c r="D827" s="69"/>
      <c r="E827" s="20"/>
    </row>
    <row r="828" spans="1:5">
      <c r="A828" s="15"/>
      <c r="B828" s="15"/>
      <c r="C828" s="15"/>
      <c r="D828" s="69"/>
      <c r="E828" s="20"/>
    </row>
    <row r="829" spans="1:5">
      <c r="A829" s="15"/>
      <c r="B829" s="15"/>
      <c r="C829" s="15"/>
      <c r="D829" s="69"/>
      <c r="E829" s="20"/>
    </row>
    <row r="830" spans="1:5">
      <c r="A830" s="15"/>
      <c r="B830" s="15"/>
      <c r="C830" s="15"/>
      <c r="D830" s="69"/>
      <c r="E830" s="20"/>
    </row>
    <row r="831" spans="1:5">
      <c r="A831" s="15"/>
      <c r="B831" s="15"/>
      <c r="C831" s="15"/>
      <c r="D831" s="69"/>
      <c r="E831" s="20"/>
    </row>
    <row r="832" spans="1:5">
      <c r="A832" s="15"/>
      <c r="B832" s="15"/>
      <c r="C832" s="15"/>
      <c r="D832" s="69"/>
      <c r="E832" s="20"/>
    </row>
    <row r="833" spans="1:5">
      <c r="A833" s="15"/>
      <c r="B833" s="15"/>
      <c r="C833" s="15"/>
      <c r="D833" s="69"/>
      <c r="E833" s="20"/>
    </row>
    <row r="834" spans="1:5">
      <c r="A834" s="15"/>
      <c r="B834" s="15"/>
      <c r="C834" s="15"/>
      <c r="D834" s="69"/>
      <c r="E834" s="20"/>
    </row>
    <row r="835" spans="1:5">
      <c r="A835" s="15"/>
      <c r="B835" s="15"/>
      <c r="C835" s="15"/>
      <c r="D835" s="69"/>
      <c r="E835" s="20"/>
    </row>
    <row r="836" spans="1:5">
      <c r="A836" s="15"/>
      <c r="B836" s="15"/>
      <c r="C836" s="15"/>
      <c r="D836" s="69"/>
      <c r="E836" s="20"/>
    </row>
    <row r="837" spans="1:5">
      <c r="A837" s="15"/>
      <c r="B837" s="15"/>
      <c r="C837" s="15"/>
      <c r="D837" s="69"/>
      <c r="E837" s="20"/>
    </row>
    <row r="838" spans="1:5">
      <c r="A838" s="15"/>
      <c r="B838" s="15"/>
      <c r="C838" s="15"/>
      <c r="D838" s="69"/>
      <c r="E838" s="20"/>
    </row>
    <row r="839" spans="1:5">
      <c r="A839" s="15"/>
      <c r="B839" s="15"/>
      <c r="C839" s="15"/>
      <c r="D839" s="69"/>
      <c r="E839" s="20"/>
    </row>
    <row r="840" spans="1:5">
      <c r="A840" s="15"/>
      <c r="B840" s="15"/>
      <c r="C840" s="15"/>
      <c r="D840" s="69"/>
      <c r="E840" s="20"/>
    </row>
    <row r="841" spans="1:5">
      <c r="A841" s="15"/>
      <c r="B841" s="15"/>
      <c r="C841" s="15"/>
      <c r="D841" s="69"/>
      <c r="E841" s="20"/>
    </row>
    <row r="842" spans="1:5">
      <c r="A842" s="15"/>
      <c r="B842" s="15"/>
      <c r="C842" s="15"/>
      <c r="D842" s="69"/>
      <c r="E842" s="20"/>
    </row>
    <row r="843" spans="1:5">
      <c r="A843" s="15"/>
      <c r="B843" s="15"/>
      <c r="C843" s="15"/>
      <c r="D843" s="69"/>
      <c r="E843" s="20"/>
    </row>
    <row r="844" spans="1:5">
      <c r="A844" s="15"/>
      <c r="B844" s="15"/>
      <c r="C844" s="15"/>
      <c r="D844" s="69"/>
      <c r="E844" s="20"/>
    </row>
    <row r="845" spans="1:5">
      <c r="A845" s="15"/>
      <c r="B845" s="15"/>
      <c r="C845" s="15"/>
      <c r="D845" s="69"/>
      <c r="E845" s="20"/>
    </row>
    <row r="846" spans="1:5">
      <c r="A846" s="15"/>
      <c r="B846" s="15"/>
      <c r="C846" s="15"/>
      <c r="D846" s="69"/>
      <c r="E846" s="20"/>
    </row>
    <row r="847" spans="1:5">
      <c r="A847" s="15"/>
      <c r="B847" s="15"/>
      <c r="C847" s="15"/>
      <c r="D847" s="69"/>
      <c r="E847" s="20"/>
    </row>
    <row r="848" spans="1:5">
      <c r="A848" s="15"/>
      <c r="B848" s="15"/>
      <c r="C848" s="15"/>
      <c r="D848" s="69"/>
      <c r="E848" s="20"/>
    </row>
    <row r="849" spans="1:5">
      <c r="A849" s="15"/>
      <c r="B849" s="15"/>
      <c r="C849" s="15"/>
      <c r="D849" s="69"/>
      <c r="E849" s="20"/>
    </row>
    <row r="850" spans="1:5">
      <c r="A850" s="15"/>
      <c r="B850" s="15"/>
      <c r="C850" s="15"/>
      <c r="D850" s="69"/>
      <c r="E850" s="20"/>
    </row>
    <row r="851" spans="1:5">
      <c r="A851" s="15"/>
      <c r="B851" s="15"/>
      <c r="C851" s="15"/>
      <c r="D851" s="69"/>
      <c r="E851" s="20"/>
    </row>
    <row r="852" spans="1:5">
      <c r="A852" s="15"/>
      <c r="B852" s="15"/>
      <c r="C852" s="15"/>
      <c r="D852" s="69"/>
      <c r="E852" s="20"/>
    </row>
    <row r="853" spans="1:5">
      <c r="A853" s="15"/>
      <c r="B853" s="15"/>
      <c r="C853" s="15"/>
      <c r="D853" s="69"/>
      <c r="E853" s="20"/>
    </row>
    <row r="854" spans="1:5">
      <c r="A854" s="15"/>
      <c r="B854" s="15"/>
      <c r="C854" s="15"/>
      <c r="D854" s="69"/>
      <c r="E854" s="20"/>
    </row>
    <row r="855" spans="1:5">
      <c r="A855" s="15"/>
      <c r="B855" s="15"/>
      <c r="C855" s="15"/>
      <c r="D855" s="69"/>
      <c r="E855" s="20"/>
    </row>
    <row r="856" spans="1:5">
      <c r="A856" s="15"/>
      <c r="B856" s="15"/>
      <c r="C856" s="15"/>
      <c r="D856" s="69"/>
      <c r="E856" s="20"/>
    </row>
    <row r="857" spans="1:5">
      <c r="A857" s="15"/>
      <c r="B857" s="15"/>
      <c r="C857" s="15"/>
      <c r="D857" s="69"/>
      <c r="E857" s="20"/>
    </row>
    <row r="858" spans="1:5">
      <c r="A858" s="15"/>
      <c r="B858" s="15"/>
      <c r="C858" s="15"/>
      <c r="D858" s="69"/>
      <c r="E858" s="20"/>
    </row>
    <row r="859" spans="1:5">
      <c r="A859" s="15"/>
      <c r="B859" s="15"/>
      <c r="C859" s="15"/>
      <c r="D859" s="69"/>
      <c r="E859" s="20"/>
    </row>
    <row r="860" spans="1:5">
      <c r="A860" s="15"/>
      <c r="B860" s="15"/>
      <c r="C860" s="15"/>
      <c r="D860" s="69"/>
      <c r="E860" s="20"/>
    </row>
    <row r="861" spans="1:5">
      <c r="A861" s="15"/>
      <c r="B861" s="15"/>
      <c r="C861" s="15"/>
      <c r="D861" s="69"/>
      <c r="E861" s="20"/>
    </row>
    <row r="862" spans="1:5">
      <c r="A862" s="15"/>
      <c r="B862" s="15"/>
      <c r="C862" s="15"/>
      <c r="D862" s="69"/>
      <c r="E862" s="20"/>
    </row>
    <row r="863" spans="1:5">
      <c r="A863" s="15"/>
      <c r="B863" s="15"/>
      <c r="C863" s="15"/>
      <c r="D863" s="69"/>
      <c r="E863" s="20"/>
    </row>
    <row r="864" spans="1:5">
      <c r="A864" s="15"/>
      <c r="B864" s="15"/>
      <c r="C864" s="15"/>
      <c r="D864" s="69"/>
      <c r="E864" s="20"/>
    </row>
    <row r="865" spans="1:5">
      <c r="A865" s="15"/>
      <c r="B865" s="15"/>
      <c r="C865" s="15"/>
      <c r="D865" s="69"/>
      <c r="E865" s="20"/>
    </row>
    <row r="866" spans="1:5">
      <c r="A866" s="15"/>
      <c r="B866" s="15"/>
      <c r="C866" s="15"/>
      <c r="D866" s="69"/>
      <c r="E866" s="20"/>
    </row>
    <row r="867" spans="1:5">
      <c r="A867" s="15"/>
      <c r="B867" s="15"/>
      <c r="C867" s="15"/>
      <c r="D867" s="69"/>
      <c r="E867" s="20"/>
    </row>
    <row r="868" spans="1:5">
      <c r="A868" s="15"/>
      <c r="B868" s="15"/>
      <c r="C868" s="15"/>
      <c r="D868" s="69"/>
      <c r="E868" s="20"/>
    </row>
    <row r="869" spans="1:5">
      <c r="A869" s="15"/>
      <c r="B869" s="15"/>
      <c r="C869" s="15"/>
      <c r="D869" s="69"/>
      <c r="E869" s="20"/>
    </row>
    <row r="870" spans="1:5">
      <c r="A870" s="15"/>
      <c r="B870" s="15"/>
      <c r="C870" s="15"/>
      <c r="D870" s="69"/>
      <c r="E870" s="20"/>
    </row>
    <row r="871" spans="1:5">
      <c r="A871" s="15"/>
      <c r="B871" s="15"/>
      <c r="C871" s="15"/>
      <c r="D871" s="69"/>
      <c r="E871" s="20"/>
    </row>
    <row r="872" spans="1:5">
      <c r="A872" s="15"/>
      <c r="B872" s="15"/>
      <c r="C872" s="15"/>
      <c r="D872" s="69"/>
      <c r="E872" s="20"/>
    </row>
    <row r="873" spans="1:5">
      <c r="A873" s="15"/>
      <c r="B873" s="15"/>
      <c r="C873" s="15"/>
      <c r="D873" s="69"/>
      <c r="E873" s="20"/>
    </row>
    <row r="874" spans="1:5">
      <c r="A874" s="15"/>
      <c r="B874" s="15"/>
      <c r="C874" s="15"/>
      <c r="D874" s="69"/>
      <c r="E874" s="20"/>
    </row>
    <row r="875" spans="1:5">
      <c r="A875" s="15"/>
      <c r="B875" s="15"/>
      <c r="C875" s="15"/>
      <c r="D875" s="69"/>
      <c r="E875" s="20"/>
    </row>
    <row r="876" spans="1:5">
      <c r="A876" s="15"/>
      <c r="B876" s="15"/>
      <c r="C876" s="15"/>
      <c r="D876" s="69"/>
      <c r="E876" s="20"/>
    </row>
    <row r="877" spans="1:5">
      <c r="A877" s="15"/>
      <c r="B877" s="15"/>
      <c r="C877" s="15"/>
      <c r="D877" s="69"/>
      <c r="E877" s="20"/>
    </row>
    <row r="878" spans="1:5">
      <c r="A878" s="15"/>
      <c r="B878" s="15"/>
      <c r="C878" s="15"/>
      <c r="D878" s="69"/>
      <c r="E878" s="20"/>
    </row>
    <row r="879" spans="1:5">
      <c r="A879" s="15"/>
      <c r="B879" s="15"/>
      <c r="C879" s="15"/>
      <c r="D879" s="69"/>
      <c r="E879" s="20"/>
    </row>
    <row r="880" spans="1:5">
      <c r="A880" s="15"/>
      <c r="B880" s="15"/>
      <c r="C880" s="15"/>
      <c r="D880" s="69"/>
      <c r="E880" s="20"/>
    </row>
    <row r="881" spans="1:5">
      <c r="A881" s="15"/>
      <c r="B881" s="15"/>
      <c r="C881" s="15"/>
      <c r="D881" s="69"/>
      <c r="E881" s="20"/>
    </row>
    <row r="882" spans="1:5">
      <c r="A882" s="15"/>
      <c r="B882" s="15"/>
      <c r="C882" s="15"/>
      <c r="D882" s="69"/>
      <c r="E882" s="20"/>
    </row>
    <row r="883" spans="1:5">
      <c r="A883" s="15"/>
      <c r="B883" s="15"/>
      <c r="C883" s="15"/>
      <c r="D883" s="69"/>
      <c r="E883" s="20"/>
    </row>
    <row r="884" spans="1:5">
      <c r="A884" s="15"/>
      <c r="B884" s="15"/>
      <c r="C884" s="15"/>
      <c r="D884" s="69"/>
      <c r="E884" s="20"/>
    </row>
    <row r="885" spans="1:5">
      <c r="A885" s="15"/>
      <c r="B885" s="15"/>
      <c r="C885" s="15"/>
      <c r="D885" s="69"/>
      <c r="E885" s="20"/>
    </row>
    <row r="886" spans="1:5">
      <c r="A886" s="15"/>
      <c r="B886" s="15"/>
      <c r="C886" s="15"/>
      <c r="D886" s="69"/>
      <c r="E886" s="20"/>
    </row>
    <row r="887" spans="1:5">
      <c r="A887" s="15"/>
      <c r="B887" s="15"/>
      <c r="C887" s="15"/>
      <c r="D887" s="69"/>
      <c r="E887" s="20"/>
    </row>
    <row r="888" spans="1:5">
      <c r="A888" s="15"/>
      <c r="B888" s="15"/>
      <c r="C888" s="15"/>
      <c r="D888" s="69"/>
      <c r="E888" s="20"/>
    </row>
    <row r="889" spans="1:5">
      <c r="A889" s="15"/>
      <c r="B889" s="15"/>
      <c r="C889" s="15"/>
      <c r="D889" s="69"/>
      <c r="E889" s="20"/>
    </row>
    <row r="890" spans="1:5">
      <c r="A890" s="15"/>
      <c r="B890" s="15"/>
      <c r="C890" s="15"/>
      <c r="D890" s="69"/>
      <c r="E890" s="20"/>
    </row>
    <row r="891" spans="1:5">
      <c r="A891" s="15"/>
      <c r="B891" s="15"/>
      <c r="C891" s="15"/>
      <c r="D891" s="69"/>
      <c r="E891" s="20"/>
    </row>
    <row r="892" spans="1:5">
      <c r="A892" s="15"/>
      <c r="B892" s="15"/>
      <c r="C892" s="15"/>
      <c r="D892" s="69"/>
      <c r="E892" s="20"/>
    </row>
    <row r="893" spans="1:5">
      <c r="A893" s="15"/>
      <c r="B893" s="15"/>
      <c r="C893" s="15"/>
      <c r="D893" s="69"/>
      <c r="E893" s="20"/>
    </row>
    <row r="894" spans="1:5">
      <c r="A894" s="15"/>
      <c r="B894" s="15"/>
      <c r="C894" s="15"/>
      <c r="D894" s="69"/>
      <c r="E894" s="20"/>
    </row>
    <row r="895" spans="1:5">
      <c r="A895" s="15"/>
      <c r="B895" s="15"/>
      <c r="C895" s="15"/>
      <c r="D895" s="69"/>
      <c r="E895" s="20"/>
    </row>
    <row r="896" spans="1:5">
      <c r="A896" s="15"/>
      <c r="B896" s="15"/>
      <c r="C896" s="15"/>
      <c r="D896" s="69"/>
      <c r="E896" s="20"/>
    </row>
    <row r="897" spans="1:5">
      <c r="A897" s="15"/>
      <c r="B897" s="15"/>
      <c r="C897" s="15"/>
      <c r="D897" s="69"/>
      <c r="E897" s="20"/>
    </row>
    <row r="898" spans="1:5">
      <c r="A898" s="15"/>
      <c r="B898" s="15"/>
      <c r="C898" s="15"/>
      <c r="D898" s="69"/>
      <c r="E898" s="20"/>
    </row>
    <row r="899" spans="1:5">
      <c r="A899" s="15"/>
      <c r="B899" s="15"/>
      <c r="C899" s="15"/>
      <c r="D899" s="69"/>
      <c r="E899" s="20"/>
    </row>
    <row r="900" spans="1:5">
      <c r="A900" s="15"/>
      <c r="B900" s="15"/>
      <c r="C900" s="15"/>
      <c r="D900" s="69"/>
      <c r="E900" s="20"/>
    </row>
    <row r="901" spans="1:5">
      <c r="A901" s="15"/>
      <c r="B901" s="15"/>
      <c r="C901" s="15"/>
      <c r="D901" s="69"/>
      <c r="E901" s="20"/>
    </row>
    <row r="902" spans="1:5">
      <c r="A902" s="15"/>
      <c r="B902" s="15"/>
      <c r="C902" s="15"/>
      <c r="D902" s="69"/>
      <c r="E902" s="20"/>
    </row>
    <row r="903" spans="1:5">
      <c r="A903" s="15"/>
      <c r="B903" s="15"/>
      <c r="C903" s="15"/>
      <c r="D903" s="69"/>
      <c r="E903" s="20"/>
    </row>
    <row r="904" spans="1:5">
      <c r="A904" s="15"/>
      <c r="B904" s="15"/>
      <c r="C904" s="15"/>
      <c r="D904" s="69"/>
      <c r="E904" s="20"/>
    </row>
    <row r="905" spans="1:5">
      <c r="A905" s="15"/>
      <c r="B905" s="15"/>
      <c r="C905" s="15"/>
      <c r="D905" s="69"/>
      <c r="E905" s="20"/>
    </row>
    <row r="906" spans="1:5">
      <c r="A906" s="15"/>
      <c r="B906" s="15"/>
      <c r="C906" s="15"/>
      <c r="D906" s="69"/>
      <c r="E906" s="20"/>
    </row>
    <row r="907" spans="1:5">
      <c r="A907" s="15"/>
      <c r="B907" s="15"/>
      <c r="C907" s="15"/>
      <c r="D907" s="69"/>
      <c r="E907" s="20"/>
    </row>
    <row r="908" spans="1:5">
      <c r="A908" s="15"/>
      <c r="B908" s="15"/>
      <c r="C908" s="15"/>
      <c r="D908" s="69"/>
      <c r="E908" s="20"/>
    </row>
    <row r="909" spans="1:5">
      <c r="A909" s="15"/>
      <c r="B909" s="15"/>
      <c r="C909" s="15"/>
      <c r="D909" s="69"/>
      <c r="E909" s="20"/>
    </row>
    <row r="910" spans="1:5">
      <c r="A910" s="15"/>
      <c r="B910" s="15"/>
      <c r="C910" s="15"/>
      <c r="D910" s="69"/>
      <c r="E910" s="20"/>
    </row>
    <row r="911" spans="1:5">
      <c r="A911" s="15"/>
      <c r="B911" s="15"/>
      <c r="C911" s="15"/>
      <c r="D911" s="69"/>
      <c r="E911" s="20"/>
    </row>
    <row r="912" spans="1:5">
      <c r="A912" s="15"/>
      <c r="B912" s="15"/>
      <c r="C912" s="15"/>
      <c r="D912" s="69"/>
      <c r="E912" s="20"/>
    </row>
    <row r="913" spans="1:5">
      <c r="A913" s="15"/>
      <c r="B913" s="15"/>
      <c r="C913" s="15"/>
      <c r="D913" s="69"/>
      <c r="E913" s="20"/>
    </row>
    <row r="914" spans="1:5">
      <c r="A914" s="15"/>
      <c r="B914" s="15"/>
      <c r="C914" s="15"/>
      <c r="D914" s="69"/>
      <c r="E914" s="20"/>
    </row>
    <row r="915" spans="1:5">
      <c r="A915" s="15"/>
      <c r="B915" s="15"/>
      <c r="C915" s="15"/>
      <c r="D915" s="69"/>
      <c r="E915" s="20"/>
    </row>
    <row r="916" spans="1:5">
      <c r="A916" s="15"/>
      <c r="B916" s="15"/>
      <c r="C916" s="15"/>
      <c r="D916" s="69"/>
      <c r="E916" s="20"/>
    </row>
    <row r="917" spans="1:5">
      <c r="A917" s="15"/>
      <c r="B917" s="15"/>
      <c r="C917" s="15"/>
      <c r="D917" s="69"/>
      <c r="E917" s="20"/>
    </row>
    <row r="918" spans="1:5">
      <c r="A918" s="15"/>
      <c r="B918" s="15"/>
      <c r="C918" s="15"/>
      <c r="D918" s="69"/>
      <c r="E918" s="20"/>
    </row>
    <row r="919" spans="1:5">
      <c r="A919" s="15"/>
      <c r="B919" s="15"/>
      <c r="C919" s="15"/>
      <c r="D919" s="69"/>
      <c r="E919" s="20"/>
    </row>
    <row r="920" spans="1:5">
      <c r="A920" s="15"/>
      <c r="B920" s="15"/>
      <c r="C920" s="15"/>
      <c r="D920" s="69"/>
      <c r="E920" s="20"/>
    </row>
    <row r="921" spans="1:5">
      <c r="A921" s="15"/>
      <c r="B921" s="15"/>
      <c r="C921" s="15"/>
      <c r="D921" s="69"/>
      <c r="E921" s="20"/>
    </row>
    <row r="922" spans="1:5">
      <c r="A922" s="15"/>
      <c r="B922" s="15"/>
      <c r="C922" s="15"/>
      <c r="D922" s="69"/>
      <c r="E922" s="20"/>
    </row>
    <row r="923" spans="1:5">
      <c r="A923" s="15"/>
      <c r="B923" s="15"/>
      <c r="C923" s="15"/>
      <c r="D923" s="69"/>
      <c r="E923" s="20"/>
    </row>
    <row r="924" spans="1:5">
      <c r="A924" s="15"/>
      <c r="B924" s="15"/>
      <c r="C924" s="15"/>
      <c r="D924" s="69"/>
      <c r="E924" s="20"/>
    </row>
    <row r="925" spans="1:5">
      <c r="A925" s="15"/>
      <c r="B925" s="15"/>
      <c r="C925" s="15"/>
      <c r="D925" s="69"/>
      <c r="E925" s="20"/>
    </row>
    <row r="926" spans="1:5">
      <c r="A926" s="15"/>
      <c r="B926" s="15"/>
      <c r="C926" s="15"/>
      <c r="D926" s="69"/>
      <c r="E926" s="20"/>
    </row>
    <row r="927" spans="1:5">
      <c r="A927" s="15"/>
      <c r="B927" s="15"/>
      <c r="C927" s="15"/>
      <c r="D927" s="69"/>
      <c r="E927" s="20"/>
    </row>
    <row r="928" spans="1:5">
      <c r="A928" s="15"/>
      <c r="B928" s="15"/>
      <c r="C928" s="15"/>
      <c r="D928" s="69"/>
      <c r="E928" s="20"/>
    </row>
    <row r="929" spans="1:5">
      <c r="A929" s="15"/>
      <c r="B929" s="15"/>
      <c r="C929" s="15"/>
      <c r="D929" s="69"/>
      <c r="E929" s="20"/>
    </row>
    <row r="930" spans="1:5">
      <c r="A930" s="15"/>
      <c r="B930" s="15"/>
      <c r="C930" s="15"/>
      <c r="D930" s="69"/>
      <c r="E930" s="20"/>
    </row>
    <row r="931" spans="1:5">
      <c r="A931" s="15"/>
      <c r="B931" s="15"/>
      <c r="C931" s="15"/>
      <c r="D931" s="69"/>
      <c r="E931" s="20"/>
    </row>
    <row r="932" spans="1:5">
      <c r="A932" s="15"/>
      <c r="B932" s="15"/>
      <c r="C932" s="15"/>
      <c r="D932" s="69"/>
      <c r="E932" s="20"/>
    </row>
    <row r="933" spans="1:5">
      <c r="A933" s="15"/>
      <c r="B933" s="15"/>
      <c r="C933" s="15"/>
      <c r="D933" s="69"/>
      <c r="E933" s="20"/>
    </row>
    <row r="934" spans="1:5">
      <c r="A934" s="15"/>
      <c r="B934" s="15"/>
      <c r="C934" s="15"/>
      <c r="D934" s="69"/>
      <c r="E934" s="20"/>
    </row>
    <row r="935" spans="1:5">
      <c r="A935" s="15"/>
      <c r="B935" s="15"/>
      <c r="C935" s="15"/>
      <c r="D935" s="69"/>
      <c r="E935" s="20"/>
    </row>
    <row r="936" spans="1:5">
      <c r="A936" s="15"/>
      <c r="B936" s="15"/>
      <c r="C936" s="15"/>
      <c r="D936" s="69"/>
      <c r="E936" s="20"/>
    </row>
    <row r="937" spans="1:5">
      <c r="A937" s="15"/>
      <c r="B937" s="15"/>
      <c r="C937" s="15"/>
      <c r="D937" s="69"/>
      <c r="E937" s="20"/>
    </row>
    <row r="938" spans="1:5">
      <c r="A938" s="15"/>
      <c r="B938" s="15"/>
      <c r="C938" s="15"/>
      <c r="D938" s="69"/>
      <c r="E938" s="20"/>
    </row>
    <row r="939" spans="1:5">
      <c r="A939" s="15"/>
      <c r="B939" s="15"/>
      <c r="C939" s="15"/>
      <c r="D939" s="69"/>
      <c r="E939" s="20"/>
    </row>
    <row r="940" spans="1:5">
      <c r="A940" s="15"/>
      <c r="B940" s="15"/>
      <c r="C940" s="15"/>
      <c r="D940" s="69"/>
      <c r="E940" s="20"/>
    </row>
    <row r="941" spans="1:5">
      <c r="A941" s="15"/>
      <c r="B941" s="15"/>
      <c r="C941" s="15"/>
      <c r="D941" s="69"/>
      <c r="E941" s="20"/>
    </row>
    <row r="942" spans="1:5">
      <c r="A942" s="15"/>
      <c r="B942" s="15"/>
      <c r="C942" s="15"/>
      <c r="D942" s="69"/>
      <c r="E942" s="20"/>
    </row>
    <row r="943" spans="1:5">
      <c r="A943" s="15"/>
      <c r="B943" s="15"/>
      <c r="C943" s="15"/>
      <c r="D943" s="69"/>
      <c r="E943" s="20"/>
    </row>
    <row r="944" spans="1:5">
      <c r="A944" s="15"/>
      <c r="B944" s="15"/>
      <c r="C944" s="15"/>
      <c r="D944" s="69"/>
      <c r="E944" s="20"/>
    </row>
    <row r="945" spans="1:5">
      <c r="A945" s="15"/>
      <c r="B945" s="15"/>
      <c r="C945" s="15"/>
      <c r="D945" s="69"/>
      <c r="E945" s="20"/>
    </row>
    <row r="946" spans="1:5">
      <c r="A946" s="15"/>
      <c r="B946" s="15"/>
      <c r="C946" s="15"/>
      <c r="D946" s="69"/>
      <c r="E946" s="20"/>
    </row>
    <row r="947" spans="1:5">
      <c r="A947" s="15"/>
      <c r="B947" s="15"/>
      <c r="C947" s="15"/>
      <c r="D947" s="69"/>
      <c r="E947" s="20"/>
    </row>
    <row r="948" spans="1:5">
      <c r="A948" s="15"/>
      <c r="B948" s="15"/>
      <c r="C948" s="15"/>
      <c r="D948" s="69"/>
      <c r="E948" s="20"/>
    </row>
    <row r="949" spans="1:5">
      <c r="A949" s="15"/>
      <c r="B949" s="15"/>
      <c r="C949" s="15"/>
      <c r="D949" s="69"/>
      <c r="E949" s="20"/>
    </row>
    <row r="950" spans="1:5">
      <c r="A950" s="15"/>
      <c r="B950" s="15"/>
      <c r="C950" s="15"/>
      <c r="D950" s="69"/>
      <c r="E950" s="20"/>
    </row>
    <row r="951" spans="1:5">
      <c r="A951" s="15"/>
      <c r="B951" s="15"/>
      <c r="C951" s="15"/>
      <c r="D951" s="69"/>
      <c r="E951" s="20"/>
    </row>
    <row r="952" spans="1:5">
      <c r="A952" s="15"/>
      <c r="B952" s="15"/>
      <c r="C952" s="15"/>
      <c r="D952" s="69"/>
      <c r="E952" s="20"/>
    </row>
    <row r="953" spans="1:5">
      <c r="A953" s="15"/>
      <c r="B953" s="15"/>
      <c r="C953" s="15"/>
      <c r="D953" s="69"/>
      <c r="E953" s="20"/>
    </row>
    <row r="954" spans="1:5">
      <c r="A954" s="15"/>
      <c r="B954" s="15"/>
      <c r="C954" s="15"/>
      <c r="D954" s="69"/>
      <c r="E954" s="20"/>
    </row>
    <row r="955" spans="1:5">
      <c r="A955" s="15"/>
      <c r="B955" s="15"/>
      <c r="C955" s="15"/>
      <c r="D955" s="69"/>
      <c r="E955" s="20"/>
    </row>
    <row r="956" spans="1:5">
      <c r="A956" s="15"/>
      <c r="B956" s="15"/>
      <c r="C956" s="15"/>
      <c r="D956" s="69"/>
      <c r="E956" s="20"/>
    </row>
    <row r="957" spans="1:5">
      <c r="A957" s="15"/>
      <c r="B957" s="15"/>
      <c r="C957" s="15"/>
      <c r="D957" s="69"/>
      <c r="E957" s="20"/>
    </row>
    <row r="958" spans="1:5">
      <c r="A958" s="15"/>
      <c r="B958" s="15"/>
      <c r="C958" s="15"/>
      <c r="D958" s="69"/>
      <c r="E958" s="20"/>
    </row>
    <row r="959" spans="1:5">
      <c r="A959" s="15"/>
      <c r="B959" s="15"/>
      <c r="C959" s="15"/>
      <c r="D959" s="69"/>
      <c r="E959" s="20"/>
    </row>
    <row r="960" spans="1:5">
      <c r="A960" s="15"/>
      <c r="B960" s="15"/>
      <c r="C960" s="15"/>
      <c r="D960" s="69"/>
      <c r="E960" s="20"/>
    </row>
    <row r="961" spans="1:5">
      <c r="A961" s="15"/>
      <c r="B961" s="15"/>
      <c r="C961" s="15"/>
      <c r="D961" s="69"/>
      <c r="E961" s="20"/>
    </row>
    <row r="962" spans="1:5">
      <c r="A962" s="15"/>
      <c r="B962" s="15"/>
      <c r="C962" s="15"/>
      <c r="D962" s="69"/>
      <c r="E962" s="20"/>
    </row>
    <row r="963" spans="1:5">
      <c r="A963" s="15"/>
      <c r="B963" s="15"/>
      <c r="C963" s="15"/>
      <c r="D963" s="69"/>
      <c r="E963" s="20"/>
    </row>
    <row r="964" spans="1:5">
      <c r="A964" s="15"/>
      <c r="B964" s="15"/>
      <c r="C964" s="15"/>
      <c r="D964" s="69"/>
      <c r="E964" s="20"/>
    </row>
    <row r="965" spans="1:5">
      <c r="A965" s="15"/>
      <c r="B965" s="15"/>
      <c r="C965" s="15"/>
      <c r="D965" s="69"/>
      <c r="E965" s="20"/>
    </row>
    <row r="966" spans="1:5">
      <c r="A966" s="15"/>
      <c r="B966" s="15"/>
      <c r="C966" s="15"/>
      <c r="D966" s="69"/>
      <c r="E966" s="20"/>
    </row>
    <row r="967" spans="1:5">
      <c r="A967" s="15"/>
      <c r="B967" s="15"/>
      <c r="C967" s="15"/>
      <c r="D967" s="69"/>
      <c r="E967" s="20"/>
    </row>
    <row r="968" spans="1:5">
      <c r="A968" s="15"/>
      <c r="B968" s="15"/>
      <c r="C968" s="15"/>
      <c r="D968" s="69"/>
      <c r="E968" s="20"/>
    </row>
    <row r="969" spans="1:5">
      <c r="A969" s="15"/>
      <c r="B969" s="15"/>
      <c r="C969" s="15"/>
      <c r="D969" s="69"/>
      <c r="E969" s="20"/>
    </row>
    <row r="970" spans="1:5">
      <c r="A970" s="15"/>
      <c r="B970" s="15"/>
      <c r="C970" s="15"/>
      <c r="D970" s="69"/>
      <c r="E970" s="20"/>
    </row>
    <row r="971" spans="1:5">
      <c r="A971" s="15"/>
      <c r="B971" s="15"/>
      <c r="C971" s="15"/>
      <c r="D971" s="69"/>
      <c r="E971" s="20"/>
    </row>
    <row r="972" spans="1:5">
      <c r="A972" s="15"/>
      <c r="B972" s="15"/>
      <c r="C972" s="15"/>
      <c r="D972" s="69"/>
      <c r="E972" s="20"/>
    </row>
    <row r="973" spans="1:5">
      <c r="A973" s="15"/>
      <c r="B973" s="15"/>
      <c r="C973" s="15"/>
      <c r="D973" s="69"/>
      <c r="E973" s="20"/>
    </row>
    <row r="974" spans="1:5">
      <c r="A974" s="15"/>
      <c r="B974" s="15"/>
      <c r="C974" s="15"/>
      <c r="D974" s="69"/>
      <c r="E974" s="20"/>
    </row>
    <row r="975" spans="1:5">
      <c r="A975" s="15"/>
      <c r="B975" s="15"/>
      <c r="C975" s="15"/>
      <c r="D975" s="69"/>
      <c r="E975" s="20"/>
    </row>
    <row r="976" spans="1:5">
      <c r="A976" s="15"/>
      <c r="B976" s="15"/>
      <c r="C976" s="15"/>
      <c r="D976" s="69"/>
      <c r="E976" s="20"/>
    </row>
    <row r="977" spans="1:5">
      <c r="A977" s="15"/>
      <c r="B977" s="15"/>
      <c r="C977" s="15"/>
      <c r="D977" s="69"/>
      <c r="E977" s="20"/>
    </row>
    <row r="978" spans="1:5">
      <c r="A978" s="15"/>
      <c r="B978" s="15"/>
      <c r="C978" s="15"/>
      <c r="D978" s="69"/>
      <c r="E978" s="20"/>
    </row>
    <row r="979" spans="1:5">
      <c r="A979" s="15"/>
      <c r="B979" s="15"/>
      <c r="C979" s="15"/>
      <c r="D979" s="69"/>
      <c r="E979" s="20"/>
    </row>
    <row r="980" spans="1:5">
      <c r="A980" s="15"/>
      <c r="B980" s="15"/>
      <c r="C980" s="15"/>
      <c r="D980" s="69"/>
      <c r="E980" s="20"/>
    </row>
    <row r="981" spans="1:5">
      <c r="A981" s="15"/>
      <c r="B981" s="15"/>
      <c r="C981" s="15"/>
      <c r="D981" s="69"/>
      <c r="E981" s="20"/>
    </row>
    <row r="982" spans="1:5">
      <c r="A982" s="15"/>
      <c r="B982" s="15"/>
      <c r="C982" s="15"/>
      <c r="D982" s="69"/>
      <c r="E982" s="20"/>
    </row>
    <row r="983" spans="1:5">
      <c r="A983" s="15"/>
      <c r="B983" s="15"/>
      <c r="C983" s="15"/>
      <c r="D983" s="69"/>
      <c r="E983" s="20"/>
    </row>
    <row r="984" spans="1:5">
      <c r="A984" s="15"/>
      <c r="B984" s="15"/>
      <c r="C984" s="15"/>
      <c r="D984" s="69"/>
      <c r="E984" s="20"/>
    </row>
    <row r="985" spans="1:5">
      <c r="A985" s="15"/>
      <c r="B985" s="15"/>
      <c r="C985" s="15"/>
      <c r="D985" s="69"/>
      <c r="E985" s="20"/>
    </row>
    <row r="986" spans="1:5">
      <c r="A986" s="15"/>
      <c r="B986" s="15"/>
      <c r="C986" s="15"/>
      <c r="D986" s="69"/>
      <c r="E986" s="20"/>
    </row>
    <row r="987" spans="1:5">
      <c r="A987" s="15"/>
      <c r="B987" s="15"/>
      <c r="C987" s="15"/>
      <c r="D987" s="69"/>
      <c r="E987" s="20"/>
    </row>
    <row r="988" spans="1:5">
      <c r="A988" s="15"/>
      <c r="B988" s="15"/>
      <c r="C988" s="15"/>
      <c r="D988" s="69"/>
      <c r="E988" s="20"/>
    </row>
    <row r="989" spans="1:5">
      <c r="A989" s="15"/>
      <c r="B989" s="15"/>
      <c r="C989" s="15"/>
      <c r="D989" s="69"/>
      <c r="E989" s="20"/>
    </row>
    <row r="990" spans="1:5">
      <c r="A990" s="15"/>
      <c r="B990" s="15"/>
      <c r="C990" s="15"/>
      <c r="D990" s="69"/>
      <c r="E990" s="20"/>
    </row>
    <row r="991" spans="1:5">
      <c r="A991" s="15"/>
      <c r="B991" s="15"/>
      <c r="C991" s="15"/>
      <c r="D991" s="69"/>
      <c r="E991" s="20"/>
    </row>
    <row r="992" spans="1:5">
      <c r="A992" s="15"/>
      <c r="B992" s="15"/>
      <c r="C992" s="15"/>
      <c r="D992" s="69"/>
      <c r="E992" s="20"/>
    </row>
    <row r="993" spans="1:5">
      <c r="A993" s="15"/>
      <c r="B993" s="15"/>
      <c r="C993" s="15"/>
      <c r="D993" s="69"/>
      <c r="E993" s="20"/>
    </row>
    <row r="994" spans="1:5">
      <c r="A994" s="15"/>
      <c r="B994" s="15"/>
      <c r="C994" s="15"/>
      <c r="D994" s="69"/>
      <c r="E994" s="20"/>
    </row>
    <row r="995" spans="1:5">
      <c r="A995" s="15"/>
      <c r="B995" s="15"/>
      <c r="C995" s="15"/>
      <c r="D995" s="69"/>
      <c r="E995" s="20"/>
    </row>
    <row r="996" spans="1:5">
      <c r="A996" s="15"/>
      <c r="B996" s="15"/>
      <c r="C996" s="15"/>
      <c r="D996" s="69"/>
      <c r="E996" s="20"/>
    </row>
    <row r="997" spans="1:5">
      <c r="A997" s="15"/>
      <c r="B997" s="15"/>
      <c r="C997" s="15"/>
      <c r="D997" s="69"/>
      <c r="E997" s="20"/>
    </row>
    <row r="998" spans="1:5">
      <c r="A998" s="15"/>
      <c r="B998" s="15"/>
      <c r="C998" s="15"/>
      <c r="D998" s="69"/>
      <c r="E998" s="20"/>
    </row>
    <row r="999" spans="1:5">
      <c r="A999" s="15"/>
      <c r="B999" s="15"/>
      <c r="C999" s="15"/>
      <c r="D999" s="69"/>
      <c r="E999" s="20"/>
    </row>
    <row r="1000" spans="1:5">
      <c r="A1000" s="15"/>
      <c r="B1000" s="15"/>
      <c r="C1000" s="15"/>
      <c r="D1000" s="69"/>
      <c r="E1000" s="20"/>
    </row>
  </sheetData>
  <autoFilter ref="A1:Q380" xr:uid="{9AFB63BE-8E88-4AE0-ADE6-FB9A7A5DB06C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404A-EBD8-46C1-8C30-8D7F58F968DE}">
  <sheetPr codeName="Sheet3"/>
  <dimension ref="A1:F4"/>
  <sheetViews>
    <sheetView workbookViewId="0">
      <selection activeCell="F2" sqref="F2"/>
    </sheetView>
  </sheetViews>
  <sheetFormatPr defaultColWidth="9.21875" defaultRowHeight="15.6"/>
  <cols>
    <col min="1" max="1" width="17.6640625" style="33" customWidth="1"/>
    <col min="2" max="4" width="11.33203125" style="33" bestFit="1" customWidth="1"/>
    <col min="5" max="5" width="12.5546875" style="33" customWidth="1"/>
    <col min="6" max="6" width="14.109375" style="33" customWidth="1"/>
    <col min="7" max="16384" width="9.21875" style="33"/>
  </cols>
  <sheetData>
    <row r="1" spans="1:6">
      <c r="A1" s="65" t="s">
        <v>399</v>
      </c>
      <c r="B1" s="33" t="s">
        <v>400</v>
      </c>
      <c r="C1" s="33" t="s">
        <v>401</v>
      </c>
      <c r="D1" s="33" t="s">
        <v>402</v>
      </c>
      <c r="E1" s="33" t="s">
        <v>403</v>
      </c>
      <c r="F1" s="33" t="s">
        <v>404</v>
      </c>
    </row>
    <row r="2" spans="1:6">
      <c r="A2" s="64" t="str" cm="1">
        <f t="array" ref="A2:A4">_xlfn.UNIQUE('Data 2024'!D2:D380)</f>
        <v>Region 1</v>
      </c>
      <c r="B2" s="62">
        <f>AVERAGEIFS('Data 2024'!I:I,'Data 2024'!$D:$D,$A2)</f>
        <v>0.12593511365919102</v>
      </c>
      <c r="C2" s="62">
        <f>AVERAGEIFS('Data 2024'!J:J,'Data 2024'!$D:$D,$A2)</f>
        <v>8.6204904784926966E-3</v>
      </c>
      <c r="D2" s="62">
        <f>AVERAGEIFS('Data 2024'!K:K,'Data 2024'!$D:$D,$A2)</f>
        <v>0.12149038663679158</v>
      </c>
      <c r="E2" s="62">
        <f>AVERAGEIFS('Data 2024'!P:P,'Data 2024'!$D:$D,$A2)</f>
        <v>9.751535617514151E-2</v>
      </c>
      <c r="F2" s="62">
        <f>AVERAGEIFS('Data 2024'!Q:Q,'Data 2024'!$D:$D,$A2)</f>
        <v>6.1319597993442901E-2</v>
      </c>
    </row>
    <row r="3" spans="1:6">
      <c r="A3" s="64" t="str">
        <v>Region 2</v>
      </c>
      <c r="B3" s="62">
        <f>AVERAGEIFS('Data 2024'!I:I,'Data 2024'!$D:$D,$A3)</f>
        <v>0.16655609398253757</v>
      </c>
      <c r="C3" s="62">
        <f>AVERAGEIFS('Data 2024'!J:J,'Data 2024'!$D:$D,$A3)</f>
        <v>3.3123757127788471E-2</v>
      </c>
      <c r="D3" s="62">
        <f>AVERAGEIFS('Data 2024'!K:K,'Data 2024'!$D:$D,$A3)</f>
        <v>0.1465202044810778</v>
      </c>
      <c r="E3" s="62">
        <f>AVERAGEIFS('Data 2024'!P:P,'Data 2024'!$D:$D,$A3)</f>
        <v>0.12460791593583712</v>
      </c>
      <c r="F3" s="62">
        <f>AVERAGEIFS('Data 2024'!Q:Q,'Data 2024'!$D:$D,$A3)</f>
        <v>4.5521278077317963E-2</v>
      </c>
    </row>
    <row r="4" spans="1:6">
      <c r="A4" s="64" t="str">
        <v>Region 12</v>
      </c>
      <c r="B4" s="62">
        <f>AVERAGEIFS('Data 2024'!I:I,'Data 2024'!$D:$D,$A4)</f>
        <v>7.3679814617913675E-2</v>
      </c>
      <c r="C4" s="62">
        <f>AVERAGEIFS('Data 2024'!J:J,'Data 2024'!$D:$D,$A4)</f>
        <v>0</v>
      </c>
      <c r="D4" s="62">
        <f>AVERAGEIFS('Data 2024'!K:K,'Data 2024'!$D:$D,$A4)</f>
        <v>4.5669203475303663E-2</v>
      </c>
      <c r="E4" s="62">
        <f>AVERAGEIFS('Data 2024'!P:P,'Data 2024'!$D:$D,$A4)</f>
        <v>0.23299057460020547</v>
      </c>
      <c r="F4" s="62">
        <f>AVERAGEIFS('Data 2024'!Q:Q,'Data 2024'!$D:$D,$A4)</f>
        <v>6.7489919690736908E-2</v>
      </c>
    </row>
  </sheetData>
  <phoneticPr fontId="3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698A-81A0-4B37-94B4-0BE7EB6B0CBE}">
  <dimension ref="A1:C380"/>
  <sheetViews>
    <sheetView workbookViewId="0">
      <selection activeCell="C3" sqref="C3"/>
    </sheetView>
  </sheetViews>
  <sheetFormatPr defaultRowHeight="15.6"/>
  <cols>
    <col min="2" max="2" width="36.33203125" customWidth="1"/>
    <col min="3" max="3" width="23.6640625" bestFit="1" customWidth="1"/>
  </cols>
  <sheetData>
    <row r="1" spans="1:3">
      <c r="A1" s="74" t="s">
        <v>405</v>
      </c>
      <c r="B1" s="74" t="s">
        <v>406</v>
      </c>
    </row>
    <row r="2" spans="1:3">
      <c r="A2" s="23">
        <v>11012</v>
      </c>
      <c r="B2" s="16" t="s">
        <v>407</v>
      </c>
      <c r="C2" t="str" cm="1">
        <f t="array" ref="C2">_xlfn._xlws.SORT(_xlfn.UNIQUE(_xlfn._xlws.FILTER('Data 2024'!C2:C380, ISNUMBER(SEARCH(Riport!#REF!,'Data 2024'!C2:C380)), "Nem elérhető")),,1)</f>
        <v>Nem elérhető</v>
      </c>
    </row>
    <row r="3" spans="1:3">
      <c r="A3" s="23">
        <v>11045</v>
      </c>
      <c r="B3" s="16" t="s">
        <v>408</v>
      </c>
    </row>
    <row r="4" spans="1:3">
      <c r="A4" s="23">
        <v>11215</v>
      </c>
      <c r="B4" s="16" t="s">
        <v>409</v>
      </c>
    </row>
    <row r="5" spans="1:3">
      <c r="A5" s="23">
        <v>11311</v>
      </c>
      <c r="B5" s="16" t="s">
        <v>410</v>
      </c>
    </row>
    <row r="6" spans="1:3">
      <c r="A6" s="23">
        <v>11399</v>
      </c>
      <c r="B6" s="16" t="s">
        <v>411</v>
      </c>
    </row>
    <row r="7" spans="1:3">
      <c r="A7" s="23">
        <v>11514</v>
      </c>
      <c r="B7" s="16" t="s">
        <v>412</v>
      </c>
    </row>
    <row r="8" spans="1:3">
      <c r="A8" s="23">
        <v>11761</v>
      </c>
      <c r="B8" s="16" t="s">
        <v>413</v>
      </c>
    </row>
    <row r="9" spans="1:3">
      <c r="A9" s="23">
        <v>11783</v>
      </c>
      <c r="B9" s="16" t="s">
        <v>414</v>
      </c>
    </row>
    <row r="10" spans="1:3">
      <c r="A10" s="23">
        <v>11800</v>
      </c>
      <c r="B10" s="16" t="s">
        <v>415</v>
      </c>
    </row>
    <row r="11" spans="1:3">
      <c r="A11" s="23">
        <v>12063</v>
      </c>
      <c r="B11" s="16" t="s">
        <v>416</v>
      </c>
    </row>
    <row r="12" spans="1:3">
      <c r="A12" s="23">
        <v>12070</v>
      </c>
      <c r="B12" s="16" t="s">
        <v>417</v>
      </c>
    </row>
    <row r="13" spans="1:3">
      <c r="A13" s="23">
        <v>12081</v>
      </c>
      <c r="B13" s="16" t="s">
        <v>418</v>
      </c>
    </row>
    <row r="14" spans="1:3">
      <c r="A14" s="23">
        <v>12092</v>
      </c>
      <c r="B14" s="16" t="s">
        <v>419</v>
      </c>
    </row>
    <row r="15" spans="1:3">
      <c r="A15" s="23">
        <v>12144</v>
      </c>
      <c r="B15" s="16" t="s">
        <v>420</v>
      </c>
    </row>
    <row r="16" spans="1:3">
      <c r="A16" s="23">
        <v>12177</v>
      </c>
      <c r="B16" s="16" t="s">
        <v>421</v>
      </c>
    </row>
    <row r="17" spans="1:2">
      <c r="A17" s="23">
        <v>12233</v>
      </c>
      <c r="B17" s="16" t="s">
        <v>422</v>
      </c>
    </row>
    <row r="18" spans="1:2">
      <c r="A18" s="23">
        <v>12251</v>
      </c>
      <c r="B18" s="16" t="s">
        <v>423</v>
      </c>
    </row>
    <row r="19" spans="1:2">
      <c r="A19" s="23">
        <v>12284</v>
      </c>
      <c r="B19" s="16" t="s">
        <v>424</v>
      </c>
    </row>
    <row r="20" spans="1:2">
      <c r="A20" s="23">
        <v>12303</v>
      </c>
      <c r="B20" s="16" t="s">
        <v>425</v>
      </c>
    </row>
    <row r="21" spans="1:2">
      <c r="A21" s="23">
        <v>12325</v>
      </c>
      <c r="B21" s="16" t="s">
        <v>426</v>
      </c>
    </row>
    <row r="22" spans="1:2">
      <c r="A22" s="23">
        <v>12336</v>
      </c>
      <c r="B22" s="16" t="s">
        <v>427</v>
      </c>
    </row>
    <row r="23" spans="1:2">
      <c r="A23" s="23">
        <v>12347</v>
      </c>
      <c r="B23" s="16" t="s">
        <v>428</v>
      </c>
    </row>
    <row r="24" spans="1:2">
      <c r="A24" s="23">
        <v>12358</v>
      </c>
      <c r="B24" s="16" t="s">
        <v>429</v>
      </c>
    </row>
    <row r="25" spans="1:2">
      <c r="A25" s="23">
        <v>12380</v>
      </c>
      <c r="B25" s="16" t="s">
        <v>430</v>
      </c>
    </row>
    <row r="26" spans="1:2">
      <c r="A26" s="23">
        <v>12391</v>
      </c>
      <c r="B26" s="16" t="s">
        <v>431</v>
      </c>
    </row>
    <row r="27" spans="1:2">
      <c r="A27" s="23">
        <v>12403</v>
      </c>
      <c r="B27" s="16" t="s">
        <v>432</v>
      </c>
    </row>
    <row r="28" spans="1:2">
      <c r="A28" s="23">
        <v>12410</v>
      </c>
      <c r="B28" s="16" t="s">
        <v>433</v>
      </c>
    </row>
    <row r="29" spans="1:2">
      <c r="A29" s="23">
        <v>12432</v>
      </c>
      <c r="B29" s="16" t="s">
        <v>434</v>
      </c>
    </row>
    <row r="30" spans="1:2">
      <c r="A30" s="23">
        <v>12465</v>
      </c>
      <c r="B30" s="16" t="s">
        <v>435</v>
      </c>
    </row>
    <row r="31" spans="1:2">
      <c r="A31" s="23">
        <v>12476</v>
      </c>
      <c r="B31" s="16" t="s">
        <v>436</v>
      </c>
    </row>
    <row r="32" spans="1:2">
      <c r="A32" s="23">
        <v>12539</v>
      </c>
      <c r="B32" s="16" t="s">
        <v>437</v>
      </c>
    </row>
    <row r="33" spans="1:2">
      <c r="A33" s="23">
        <v>12560</v>
      </c>
      <c r="B33" s="16" t="s">
        <v>438</v>
      </c>
    </row>
    <row r="34" spans="1:2">
      <c r="A34" s="23">
        <v>17052</v>
      </c>
      <c r="B34" s="16" t="s">
        <v>439</v>
      </c>
    </row>
    <row r="35" spans="1:2">
      <c r="A35" s="23">
        <v>17100</v>
      </c>
      <c r="B35" s="16" t="s">
        <v>440</v>
      </c>
    </row>
    <row r="36" spans="1:2">
      <c r="A36" s="23">
        <v>17115</v>
      </c>
      <c r="B36" s="16" t="s">
        <v>441</v>
      </c>
    </row>
    <row r="37" spans="1:2">
      <c r="A37" s="23">
        <v>17137</v>
      </c>
      <c r="B37" s="16" t="s">
        <v>442</v>
      </c>
    </row>
    <row r="38" spans="1:2">
      <c r="A38" s="23">
        <v>17148</v>
      </c>
      <c r="B38" s="16" t="s">
        <v>443</v>
      </c>
    </row>
    <row r="39" spans="1:2">
      <c r="A39" s="23">
        <v>17222</v>
      </c>
      <c r="B39" s="16" t="s">
        <v>444</v>
      </c>
    </row>
    <row r="40" spans="1:2">
      <c r="A40" s="23">
        <v>17288</v>
      </c>
      <c r="B40" s="16" t="s">
        <v>445</v>
      </c>
    </row>
    <row r="41" spans="1:2">
      <c r="A41" s="23">
        <v>17290</v>
      </c>
      <c r="B41" s="16" t="s">
        <v>446</v>
      </c>
    </row>
    <row r="42" spans="1:2">
      <c r="A42" s="23">
        <v>17299</v>
      </c>
      <c r="B42" s="16" t="s">
        <v>447</v>
      </c>
    </row>
    <row r="43" spans="1:2">
      <c r="A43" s="23">
        <v>17307</v>
      </c>
      <c r="B43" s="16" t="s">
        <v>448</v>
      </c>
    </row>
    <row r="44" spans="1:2">
      <c r="A44" s="23">
        <v>17318</v>
      </c>
      <c r="B44" s="16" t="s">
        <v>449</v>
      </c>
    </row>
    <row r="45" spans="1:2">
      <c r="A45" s="23">
        <v>17329</v>
      </c>
      <c r="B45" s="16" t="s">
        <v>450</v>
      </c>
    </row>
    <row r="46" spans="1:2">
      <c r="A46" s="23">
        <v>17340</v>
      </c>
      <c r="B46" s="16" t="s">
        <v>451</v>
      </c>
    </row>
    <row r="47" spans="1:2">
      <c r="A47" s="23">
        <v>17351</v>
      </c>
      <c r="B47" s="16" t="s">
        <v>452</v>
      </c>
    </row>
    <row r="48" spans="1:2">
      <c r="A48" s="23">
        <v>17362</v>
      </c>
      <c r="B48" s="16" t="s">
        <v>453</v>
      </c>
    </row>
    <row r="49" spans="1:2">
      <c r="A49" s="23">
        <v>17363</v>
      </c>
      <c r="B49" s="16" t="s">
        <v>454</v>
      </c>
    </row>
    <row r="50" spans="1:2">
      <c r="A50" s="23">
        <v>17400</v>
      </c>
      <c r="B50" s="16" t="s">
        <v>455</v>
      </c>
    </row>
    <row r="51" spans="1:2">
      <c r="A51" s="23">
        <v>17414</v>
      </c>
      <c r="B51" s="16" t="s">
        <v>456</v>
      </c>
    </row>
    <row r="52" spans="1:2">
      <c r="A52" s="23">
        <v>17447</v>
      </c>
      <c r="B52" s="16" t="s">
        <v>457</v>
      </c>
    </row>
    <row r="53" spans="1:2">
      <c r="A53" s="23">
        <v>17469</v>
      </c>
      <c r="B53" s="16" t="s">
        <v>458</v>
      </c>
    </row>
    <row r="54" spans="1:2">
      <c r="A54" s="23">
        <v>17480</v>
      </c>
      <c r="B54" s="16" t="s">
        <v>459</v>
      </c>
    </row>
    <row r="55" spans="1:2">
      <c r="A55" s="23">
        <v>17510</v>
      </c>
      <c r="B55" s="16" t="s">
        <v>460</v>
      </c>
    </row>
    <row r="56" spans="1:2">
      <c r="A56" s="23">
        <v>17521</v>
      </c>
      <c r="B56" s="16" t="s">
        <v>461</v>
      </c>
    </row>
    <row r="57" spans="1:2">
      <c r="A57" s="23">
        <v>17820</v>
      </c>
      <c r="B57" s="16" t="s">
        <v>462</v>
      </c>
    </row>
    <row r="58" spans="1:2">
      <c r="A58" s="23">
        <v>18077</v>
      </c>
      <c r="B58" s="16" t="s">
        <v>463</v>
      </c>
    </row>
    <row r="59" spans="1:2">
      <c r="A59" s="23">
        <v>18107</v>
      </c>
      <c r="B59" s="16" t="s">
        <v>464</v>
      </c>
    </row>
    <row r="60" spans="1:2">
      <c r="A60" s="23">
        <v>18118</v>
      </c>
      <c r="B60" s="16" t="s">
        <v>465</v>
      </c>
    </row>
    <row r="61" spans="1:2">
      <c r="A61" s="23">
        <v>18129</v>
      </c>
      <c r="B61" s="16" t="s">
        <v>466</v>
      </c>
    </row>
    <row r="62" spans="1:2">
      <c r="A62" s="23">
        <v>18133</v>
      </c>
      <c r="B62" s="16" t="s">
        <v>467</v>
      </c>
    </row>
    <row r="63" spans="1:2">
      <c r="A63" s="23">
        <v>18140</v>
      </c>
      <c r="B63" s="16" t="s">
        <v>468</v>
      </c>
    </row>
    <row r="64" spans="1:2">
      <c r="A64" s="23">
        <v>18151</v>
      </c>
      <c r="B64" s="16" t="s">
        <v>469</v>
      </c>
    </row>
    <row r="65" spans="1:2">
      <c r="A65" s="23">
        <v>18184</v>
      </c>
      <c r="B65" s="16" t="s">
        <v>470</v>
      </c>
    </row>
    <row r="66" spans="1:2">
      <c r="A66" s="23">
        <v>18195</v>
      </c>
      <c r="B66" s="16" t="s">
        <v>471</v>
      </c>
    </row>
    <row r="67" spans="1:2">
      <c r="A67" s="23">
        <v>18200</v>
      </c>
      <c r="B67" s="16" t="s">
        <v>472</v>
      </c>
    </row>
    <row r="68" spans="1:2">
      <c r="A68" s="23">
        <v>18210</v>
      </c>
      <c r="B68" s="16" t="s">
        <v>473</v>
      </c>
    </row>
    <row r="69" spans="1:2">
      <c r="A69" s="23">
        <v>18214</v>
      </c>
      <c r="B69" s="16" t="s">
        <v>474</v>
      </c>
    </row>
    <row r="70" spans="1:2">
      <c r="A70" s="23">
        <v>18225</v>
      </c>
      <c r="B70" s="16" t="s">
        <v>475</v>
      </c>
    </row>
    <row r="71" spans="1:2">
      <c r="A71" s="23">
        <v>18247</v>
      </c>
      <c r="B71" s="16" t="s">
        <v>476</v>
      </c>
    </row>
    <row r="72" spans="1:2">
      <c r="A72" s="23">
        <v>18258</v>
      </c>
      <c r="B72" s="16" t="s">
        <v>477</v>
      </c>
    </row>
    <row r="73" spans="1:2">
      <c r="A73" s="23">
        <v>18269</v>
      </c>
      <c r="B73" s="16" t="s">
        <v>478</v>
      </c>
    </row>
    <row r="74" spans="1:2">
      <c r="A74" s="23">
        <v>18280</v>
      </c>
      <c r="B74" s="16" t="s">
        <v>479</v>
      </c>
    </row>
    <row r="75" spans="1:2">
      <c r="A75" s="23">
        <v>18303</v>
      </c>
      <c r="B75" s="16" t="s">
        <v>480</v>
      </c>
    </row>
    <row r="76" spans="1:2">
      <c r="A76" s="23">
        <v>18310</v>
      </c>
      <c r="B76" s="16" t="s">
        <v>481</v>
      </c>
    </row>
    <row r="77" spans="1:2">
      <c r="A77" s="23">
        <v>18332</v>
      </c>
      <c r="B77" s="16" t="s">
        <v>482</v>
      </c>
    </row>
    <row r="78" spans="1:2" ht="30.95">
      <c r="A78" s="23">
        <v>18350</v>
      </c>
      <c r="B78" s="16" t="s">
        <v>483</v>
      </c>
    </row>
    <row r="79" spans="1:2">
      <c r="A79" s="23">
        <v>18354</v>
      </c>
      <c r="B79" s="16" t="s">
        <v>484</v>
      </c>
    </row>
    <row r="80" spans="1:2" ht="30.95">
      <c r="A80" s="23">
        <v>18355</v>
      </c>
      <c r="B80" s="16" t="s">
        <v>485</v>
      </c>
    </row>
    <row r="81" spans="1:2">
      <c r="A81" s="23">
        <v>18500</v>
      </c>
      <c r="B81" s="16" t="s">
        <v>486</v>
      </c>
    </row>
    <row r="82" spans="1:2">
      <c r="A82" s="23">
        <v>18510</v>
      </c>
      <c r="B82" s="16" t="s">
        <v>487</v>
      </c>
    </row>
    <row r="83" spans="1:2">
      <c r="A83" s="23">
        <v>21010</v>
      </c>
      <c r="B83" s="16" t="s">
        <v>488</v>
      </c>
    </row>
    <row r="84" spans="1:2">
      <c r="A84" s="23">
        <v>21054</v>
      </c>
      <c r="B84" s="16" t="s">
        <v>489</v>
      </c>
    </row>
    <row r="85" spans="1:2">
      <c r="A85" s="23">
        <v>21183</v>
      </c>
      <c r="B85" s="16" t="s">
        <v>490</v>
      </c>
    </row>
    <row r="86" spans="1:2">
      <c r="A86" s="23">
        <v>21194</v>
      </c>
      <c r="B86" s="16" t="s">
        <v>491</v>
      </c>
    </row>
    <row r="87" spans="1:2">
      <c r="A87" s="23">
        <v>21213</v>
      </c>
      <c r="B87" s="16" t="s">
        <v>492</v>
      </c>
    </row>
    <row r="88" spans="1:2">
      <c r="A88" s="23">
        <v>21224</v>
      </c>
      <c r="B88" s="16" t="s">
        <v>493</v>
      </c>
    </row>
    <row r="89" spans="1:2">
      <c r="A89" s="23">
        <v>21271</v>
      </c>
      <c r="B89" s="16" t="s">
        <v>494</v>
      </c>
    </row>
    <row r="90" spans="1:2">
      <c r="A90" s="23">
        <v>21279</v>
      </c>
      <c r="B90" s="16" t="s">
        <v>495</v>
      </c>
    </row>
    <row r="91" spans="1:2">
      <c r="A91" s="23">
        <v>21283</v>
      </c>
      <c r="B91" s="16" t="s">
        <v>496</v>
      </c>
    </row>
    <row r="92" spans="1:2">
      <c r="A92" s="23">
        <v>21290</v>
      </c>
      <c r="B92" s="16" t="s">
        <v>497</v>
      </c>
    </row>
    <row r="93" spans="1:2">
      <c r="A93" s="23">
        <v>22024</v>
      </c>
      <c r="B93" s="16" t="s">
        <v>498</v>
      </c>
    </row>
    <row r="94" spans="1:2">
      <c r="A94" s="23">
        <v>22046</v>
      </c>
      <c r="B94" s="16" t="s">
        <v>499</v>
      </c>
    </row>
    <row r="95" spans="1:2">
      <c r="A95" s="23">
        <v>22079</v>
      </c>
      <c r="B95" s="16" t="s">
        <v>500</v>
      </c>
    </row>
    <row r="96" spans="1:2">
      <c r="A96" s="23">
        <v>22120</v>
      </c>
      <c r="B96" s="16" t="s">
        <v>501</v>
      </c>
    </row>
    <row r="97" spans="1:2">
      <c r="A97" s="23">
        <v>22153</v>
      </c>
      <c r="B97" s="16" t="s">
        <v>502</v>
      </c>
    </row>
    <row r="98" spans="1:2">
      <c r="A98" s="23">
        <v>22186</v>
      </c>
      <c r="B98" s="16" t="s">
        <v>503</v>
      </c>
    </row>
    <row r="99" spans="1:2">
      <c r="A99" s="23">
        <v>22227</v>
      </c>
      <c r="B99" s="16" t="s">
        <v>504</v>
      </c>
    </row>
    <row r="100" spans="1:2">
      <c r="A100" s="23">
        <v>22238</v>
      </c>
      <c r="B100" s="16" t="s">
        <v>505</v>
      </c>
    </row>
    <row r="101" spans="1:2">
      <c r="A101" s="23">
        <v>22249</v>
      </c>
      <c r="B101" s="16" t="s">
        <v>506</v>
      </c>
    </row>
    <row r="102" spans="1:2">
      <c r="A102" s="23">
        <v>22250</v>
      </c>
      <c r="B102" s="16" t="s">
        <v>507</v>
      </c>
    </row>
    <row r="103" spans="1:2">
      <c r="A103" s="23">
        <v>22271</v>
      </c>
      <c r="B103" s="16" t="s">
        <v>508</v>
      </c>
    </row>
    <row r="104" spans="1:2">
      <c r="A104" s="23">
        <v>22282</v>
      </c>
      <c r="B104" s="16" t="s">
        <v>509</v>
      </c>
    </row>
    <row r="105" spans="1:2">
      <c r="A105" s="23">
        <v>22350</v>
      </c>
      <c r="B105" s="16" t="s">
        <v>510</v>
      </c>
    </row>
    <row r="106" spans="1:2">
      <c r="A106" s="23">
        <v>23027</v>
      </c>
      <c r="B106" s="16" t="s">
        <v>511</v>
      </c>
    </row>
    <row r="107" spans="1:2">
      <c r="A107" s="23">
        <v>23123</v>
      </c>
      <c r="B107" s="16" t="s">
        <v>512</v>
      </c>
    </row>
    <row r="108" spans="1:2">
      <c r="A108" s="23">
        <v>23145</v>
      </c>
      <c r="B108" s="16" t="s">
        <v>513</v>
      </c>
    </row>
    <row r="109" spans="1:2">
      <c r="A109" s="23">
        <v>23208</v>
      </c>
      <c r="B109" s="16" t="s">
        <v>514</v>
      </c>
    </row>
    <row r="110" spans="1:2">
      <c r="A110" s="23">
        <v>23223</v>
      </c>
      <c r="B110" s="16" t="s">
        <v>515</v>
      </c>
    </row>
    <row r="111" spans="1:2">
      <c r="A111" s="23">
        <v>23230</v>
      </c>
      <c r="B111" s="16" t="s">
        <v>516</v>
      </c>
    </row>
    <row r="112" spans="1:2">
      <c r="A112" s="23">
        <v>23241</v>
      </c>
      <c r="B112" s="16" t="s">
        <v>517</v>
      </c>
    </row>
    <row r="113" spans="1:2">
      <c r="A113" s="23">
        <v>24023</v>
      </c>
      <c r="B113" s="16" t="s">
        <v>518</v>
      </c>
    </row>
    <row r="114" spans="1:2">
      <c r="A114" s="23">
        <v>24052</v>
      </c>
      <c r="B114" s="16" t="s">
        <v>519</v>
      </c>
    </row>
    <row r="115" spans="1:2">
      <c r="A115" s="23">
        <v>24096</v>
      </c>
      <c r="B115" s="16" t="s">
        <v>520</v>
      </c>
    </row>
    <row r="116" spans="1:2">
      <c r="A116" s="23">
        <v>24159</v>
      </c>
      <c r="B116" s="16" t="s">
        <v>521</v>
      </c>
    </row>
    <row r="117" spans="1:2">
      <c r="A117" s="23">
        <v>24163</v>
      </c>
      <c r="B117" s="16" t="s">
        <v>522</v>
      </c>
    </row>
    <row r="118" spans="1:2">
      <c r="A118" s="23">
        <v>24170</v>
      </c>
      <c r="B118" s="16" t="s">
        <v>523</v>
      </c>
    </row>
    <row r="119" spans="1:2">
      <c r="A119" s="23">
        <v>24200</v>
      </c>
      <c r="B119" s="16" t="s">
        <v>524</v>
      </c>
    </row>
    <row r="120" spans="1:2">
      <c r="A120" s="23">
        <v>24266</v>
      </c>
      <c r="B120" s="16" t="s">
        <v>525</v>
      </c>
    </row>
    <row r="121" spans="1:2">
      <c r="A121" s="23">
        <v>24299</v>
      </c>
      <c r="B121" s="16" t="s">
        <v>526</v>
      </c>
    </row>
    <row r="122" spans="1:2">
      <c r="A122" s="23">
        <v>25022</v>
      </c>
      <c r="B122" s="16" t="s">
        <v>527</v>
      </c>
    </row>
    <row r="123" spans="1:2">
      <c r="A123" s="23">
        <v>25033</v>
      </c>
      <c r="B123" s="16" t="s">
        <v>528</v>
      </c>
    </row>
    <row r="124" spans="1:2">
      <c r="A124" s="23">
        <v>25055</v>
      </c>
      <c r="B124" s="16" t="s">
        <v>529</v>
      </c>
    </row>
    <row r="125" spans="1:2">
      <c r="A125" s="23">
        <v>25077</v>
      </c>
      <c r="B125" s="16" t="s">
        <v>530</v>
      </c>
    </row>
    <row r="126" spans="1:2">
      <c r="A126" s="23">
        <v>25118</v>
      </c>
      <c r="B126" s="16" t="s">
        <v>531</v>
      </c>
    </row>
    <row r="127" spans="1:2">
      <c r="A127" s="23">
        <v>25173</v>
      </c>
      <c r="B127" s="16" t="s">
        <v>532</v>
      </c>
    </row>
    <row r="128" spans="1:2">
      <c r="A128" s="23">
        <v>25195</v>
      </c>
      <c r="B128" s="16" t="s">
        <v>533</v>
      </c>
    </row>
    <row r="129" spans="1:2">
      <c r="A129" s="23">
        <v>25236</v>
      </c>
      <c r="B129" s="16" t="s">
        <v>534</v>
      </c>
    </row>
    <row r="130" spans="1:2">
      <c r="A130" s="23">
        <v>25247</v>
      </c>
      <c r="B130" s="16" t="s">
        <v>535</v>
      </c>
    </row>
    <row r="131" spans="1:2">
      <c r="A131" s="23">
        <v>25280</v>
      </c>
      <c r="B131" s="16" t="s">
        <v>536</v>
      </c>
    </row>
    <row r="132" spans="1:2">
      <c r="A132" s="23">
        <v>25291</v>
      </c>
      <c r="B132" s="16" t="s">
        <v>537</v>
      </c>
    </row>
    <row r="133" spans="1:2">
      <c r="A133" s="23">
        <v>25321</v>
      </c>
      <c r="B133" s="16" t="s">
        <v>538</v>
      </c>
    </row>
    <row r="134" spans="1:2">
      <c r="A134" s="23">
        <v>25332</v>
      </c>
      <c r="B134" s="16" t="s">
        <v>539</v>
      </c>
    </row>
    <row r="135" spans="1:2">
      <c r="A135" s="23">
        <v>25524</v>
      </c>
      <c r="B135" s="16" t="s">
        <v>540</v>
      </c>
    </row>
    <row r="136" spans="1:2">
      <c r="A136" s="23">
        <v>25535</v>
      </c>
      <c r="B136" s="16" t="s">
        <v>541</v>
      </c>
    </row>
    <row r="137" spans="1:2">
      <c r="A137" s="23">
        <v>25546</v>
      </c>
      <c r="B137" s="16" t="s">
        <v>542</v>
      </c>
    </row>
    <row r="138" spans="1:2">
      <c r="A138" s="23">
        <v>27412</v>
      </c>
      <c r="B138" s="16" t="s">
        <v>543</v>
      </c>
    </row>
    <row r="139" spans="1:2">
      <c r="A139" s="23">
        <v>31148</v>
      </c>
      <c r="B139" s="16" t="s">
        <v>544</v>
      </c>
    </row>
    <row r="140" spans="1:2">
      <c r="A140" s="23">
        <v>31211</v>
      </c>
      <c r="B140" s="16" t="s">
        <v>545</v>
      </c>
    </row>
    <row r="141" spans="1:2">
      <c r="A141" s="23">
        <v>31233</v>
      </c>
      <c r="B141" s="16" t="s">
        <v>546</v>
      </c>
    </row>
    <row r="142" spans="1:2">
      <c r="A142" s="23">
        <v>31244</v>
      </c>
      <c r="B142" s="16" t="s">
        <v>547</v>
      </c>
    </row>
    <row r="143" spans="1:2">
      <c r="A143" s="23">
        <v>31255</v>
      </c>
      <c r="B143" s="16" t="s">
        <v>548</v>
      </c>
    </row>
    <row r="144" spans="1:2">
      <c r="A144" s="23">
        <v>31266</v>
      </c>
      <c r="B144" s="16" t="s">
        <v>549</v>
      </c>
    </row>
    <row r="145" spans="1:2">
      <c r="A145" s="23">
        <v>31277</v>
      </c>
      <c r="B145" s="16" t="s">
        <v>550</v>
      </c>
    </row>
    <row r="146" spans="1:2">
      <c r="A146" s="23">
        <v>31288</v>
      </c>
      <c r="B146" s="16" t="s">
        <v>551</v>
      </c>
    </row>
    <row r="147" spans="1:2">
      <c r="A147" s="23">
        <v>31307</v>
      </c>
      <c r="B147" s="16" t="s">
        <v>552</v>
      </c>
    </row>
    <row r="148" spans="1:2">
      <c r="A148" s="23">
        <v>31329</v>
      </c>
      <c r="B148" s="16" t="s">
        <v>553</v>
      </c>
    </row>
    <row r="149" spans="1:2">
      <c r="A149" s="23">
        <v>32090</v>
      </c>
      <c r="B149" s="16" t="s">
        <v>554</v>
      </c>
    </row>
    <row r="150" spans="1:2">
      <c r="A150" s="23">
        <v>32099</v>
      </c>
      <c r="B150" s="16" t="s">
        <v>555</v>
      </c>
    </row>
    <row r="151" spans="1:2">
      <c r="A151" s="23">
        <v>32129</v>
      </c>
      <c r="B151" s="16" t="s">
        <v>556</v>
      </c>
    </row>
    <row r="152" spans="1:2">
      <c r="A152" s="23">
        <v>33036</v>
      </c>
      <c r="B152" s="16" t="s">
        <v>557</v>
      </c>
    </row>
    <row r="153" spans="1:2">
      <c r="A153" s="23">
        <v>33040</v>
      </c>
      <c r="B153" s="16" t="s">
        <v>558</v>
      </c>
    </row>
    <row r="154" spans="1:2">
      <c r="A154" s="23">
        <v>33050</v>
      </c>
      <c r="B154" s="16" t="s">
        <v>559</v>
      </c>
    </row>
    <row r="155" spans="1:2">
      <c r="A155" s="23">
        <v>33080</v>
      </c>
      <c r="B155" s="16" t="s">
        <v>560</v>
      </c>
    </row>
    <row r="156" spans="1:2">
      <c r="A156" s="23">
        <v>33103</v>
      </c>
      <c r="B156" s="16" t="s">
        <v>561</v>
      </c>
    </row>
    <row r="157" spans="1:2">
      <c r="A157" s="23">
        <v>33121</v>
      </c>
      <c r="B157" s="16" t="s">
        <v>562</v>
      </c>
    </row>
    <row r="158" spans="1:2">
      <c r="A158" s="23">
        <v>33154</v>
      </c>
      <c r="B158" s="16" t="s">
        <v>563</v>
      </c>
    </row>
    <row r="159" spans="1:2">
      <c r="A159" s="23">
        <v>33187</v>
      </c>
      <c r="B159" s="16" t="s">
        <v>564</v>
      </c>
    </row>
    <row r="160" spans="1:2">
      <c r="A160" s="23">
        <v>33198</v>
      </c>
      <c r="B160" s="16" t="s">
        <v>565</v>
      </c>
    </row>
    <row r="161" spans="1:2">
      <c r="A161" s="23">
        <v>33200</v>
      </c>
      <c r="B161" s="16" t="s">
        <v>566</v>
      </c>
    </row>
    <row r="162" spans="1:2">
      <c r="A162" s="23">
        <v>33250</v>
      </c>
      <c r="B162" s="16" t="s">
        <v>567</v>
      </c>
    </row>
    <row r="163" spans="1:2">
      <c r="A163" s="23">
        <v>33283</v>
      </c>
      <c r="B163" s="16" t="s">
        <v>568</v>
      </c>
    </row>
    <row r="164" spans="1:2">
      <c r="A164" s="23">
        <v>33302</v>
      </c>
      <c r="B164" s="16" t="s">
        <v>569</v>
      </c>
    </row>
    <row r="165" spans="1:2">
      <c r="A165" s="23">
        <v>33324</v>
      </c>
      <c r="B165" s="16" t="s">
        <v>570</v>
      </c>
    </row>
    <row r="166" spans="1:2">
      <c r="A166" s="23">
        <v>33357</v>
      </c>
      <c r="B166" s="16" t="s">
        <v>571</v>
      </c>
    </row>
    <row r="167" spans="1:2">
      <c r="A167" s="23">
        <v>33379</v>
      </c>
      <c r="B167" s="16" t="s">
        <v>572</v>
      </c>
    </row>
    <row r="168" spans="1:2">
      <c r="A168" s="23">
        <v>34039</v>
      </c>
      <c r="B168" s="16" t="s">
        <v>573</v>
      </c>
    </row>
    <row r="169" spans="1:2">
      <c r="A169" s="23">
        <v>34043</v>
      </c>
      <c r="B169" s="16" t="s">
        <v>574</v>
      </c>
    </row>
    <row r="170" spans="1:2">
      <c r="A170" s="23">
        <v>34157</v>
      </c>
      <c r="B170" s="16" t="s">
        <v>575</v>
      </c>
    </row>
    <row r="171" spans="1:2">
      <c r="A171" s="23">
        <v>34183</v>
      </c>
      <c r="B171" s="16" t="s">
        <v>576</v>
      </c>
    </row>
    <row r="172" spans="1:2">
      <c r="A172" s="23">
        <v>34210</v>
      </c>
      <c r="B172" s="16" t="s">
        <v>577</v>
      </c>
    </row>
    <row r="173" spans="1:2">
      <c r="A173" s="23">
        <v>34211</v>
      </c>
      <c r="B173" s="16" t="s">
        <v>578</v>
      </c>
    </row>
    <row r="174" spans="1:2">
      <c r="A174" s="23">
        <v>34220</v>
      </c>
      <c r="B174" s="16" t="s">
        <v>579</v>
      </c>
    </row>
    <row r="175" spans="1:2">
      <c r="A175" s="23">
        <v>34231</v>
      </c>
      <c r="B175" s="16" t="s">
        <v>580</v>
      </c>
    </row>
    <row r="176" spans="1:2">
      <c r="A176" s="23">
        <v>34242</v>
      </c>
      <c r="B176" s="16" t="s">
        <v>581</v>
      </c>
    </row>
    <row r="177" spans="1:2">
      <c r="A177" s="23">
        <v>34330</v>
      </c>
      <c r="B177" s="16" t="s">
        <v>582</v>
      </c>
    </row>
    <row r="178" spans="1:2">
      <c r="A178" s="23">
        <v>35031</v>
      </c>
      <c r="B178" s="16" t="s">
        <v>583</v>
      </c>
    </row>
    <row r="179" spans="1:2">
      <c r="A179" s="23">
        <v>35153</v>
      </c>
      <c r="B179" s="16" t="s">
        <v>584</v>
      </c>
    </row>
    <row r="180" spans="1:2">
      <c r="A180" s="23">
        <v>35182</v>
      </c>
      <c r="B180" s="16" t="s">
        <v>585</v>
      </c>
    </row>
    <row r="181" spans="1:2">
      <c r="A181" s="23">
        <v>35201</v>
      </c>
      <c r="B181" s="16" t="s">
        <v>586</v>
      </c>
    </row>
    <row r="182" spans="1:2">
      <c r="A182" s="23">
        <v>35212</v>
      </c>
      <c r="B182" s="16" t="s">
        <v>587</v>
      </c>
    </row>
    <row r="183" spans="1:2">
      <c r="A183" s="23">
        <v>35234</v>
      </c>
      <c r="B183" s="16" t="s">
        <v>588</v>
      </c>
    </row>
    <row r="184" spans="1:2">
      <c r="A184" s="23">
        <v>35245</v>
      </c>
      <c r="B184" s="16" t="s">
        <v>589</v>
      </c>
    </row>
    <row r="185" spans="1:2">
      <c r="A185" s="23">
        <v>35267</v>
      </c>
      <c r="B185" s="16" t="s">
        <v>590</v>
      </c>
    </row>
    <row r="186" spans="1:2">
      <c r="A186" s="23">
        <v>35278</v>
      </c>
      <c r="B186" s="16" t="s">
        <v>591</v>
      </c>
    </row>
    <row r="187" spans="1:2">
      <c r="A187" s="23">
        <v>41072</v>
      </c>
      <c r="B187" s="16" t="s">
        <v>592</v>
      </c>
    </row>
    <row r="188" spans="1:2">
      <c r="A188" s="23">
        <v>41102</v>
      </c>
      <c r="B188" s="16" t="s">
        <v>593</v>
      </c>
    </row>
    <row r="189" spans="1:2">
      <c r="A189" s="23">
        <v>41168</v>
      </c>
      <c r="B189" s="16" t="s">
        <v>594</v>
      </c>
    </row>
    <row r="190" spans="1:2">
      <c r="A190" s="23">
        <v>41190</v>
      </c>
      <c r="B190" s="16" t="s">
        <v>595</v>
      </c>
    </row>
    <row r="191" spans="1:2">
      <c r="A191" s="23">
        <v>41200</v>
      </c>
      <c r="B191" s="16" t="s">
        <v>596</v>
      </c>
    </row>
    <row r="192" spans="1:2">
      <c r="A192" s="23">
        <v>41260</v>
      </c>
      <c r="B192" s="16" t="s">
        <v>597</v>
      </c>
    </row>
    <row r="193" spans="1:2">
      <c r="A193" s="23">
        <v>41297</v>
      </c>
      <c r="B193" s="16" t="s">
        <v>598</v>
      </c>
    </row>
    <row r="194" spans="1:2">
      <c r="A194" s="23">
        <v>41327</v>
      </c>
      <c r="B194" s="16" t="s">
        <v>599</v>
      </c>
    </row>
    <row r="195" spans="1:2">
      <c r="A195" s="23">
        <v>41349</v>
      </c>
      <c r="B195" s="16" t="s">
        <v>600</v>
      </c>
    </row>
    <row r="196" spans="1:2">
      <c r="A196" s="23">
        <v>41353</v>
      </c>
      <c r="B196" s="16" t="s">
        <v>601</v>
      </c>
    </row>
    <row r="197" spans="1:2">
      <c r="A197" s="23">
        <v>41371</v>
      </c>
      <c r="B197" s="16" t="s">
        <v>602</v>
      </c>
    </row>
    <row r="198" spans="1:2">
      <c r="A198" s="23">
        <v>41382</v>
      </c>
      <c r="B198" s="16" t="s">
        <v>603</v>
      </c>
    </row>
    <row r="199" spans="1:2">
      <c r="A199" s="23">
        <v>41393</v>
      </c>
      <c r="B199" s="16" t="s">
        <v>604</v>
      </c>
    </row>
    <row r="200" spans="1:2">
      <c r="A200" s="23">
        <v>42020</v>
      </c>
      <c r="B200" s="16" t="s">
        <v>605</v>
      </c>
    </row>
    <row r="201" spans="1:2">
      <c r="A201" s="23">
        <v>42031</v>
      </c>
      <c r="B201" s="16" t="s">
        <v>606</v>
      </c>
    </row>
    <row r="202" spans="1:2">
      <c r="A202" s="23">
        <v>42064</v>
      </c>
      <c r="B202" s="16" t="s">
        <v>607</v>
      </c>
    </row>
    <row r="203" spans="1:2">
      <c r="A203" s="23">
        <v>42171</v>
      </c>
      <c r="B203" s="16" t="s">
        <v>608</v>
      </c>
    </row>
    <row r="204" spans="1:2">
      <c r="A204" s="23">
        <v>42193</v>
      </c>
      <c r="B204" s="16" t="s">
        <v>609</v>
      </c>
    </row>
    <row r="205" spans="1:2">
      <c r="A205" s="23">
        <v>43078</v>
      </c>
      <c r="B205" s="16" t="s">
        <v>610</v>
      </c>
    </row>
    <row r="206" spans="1:2">
      <c r="A206" s="23">
        <v>43108</v>
      </c>
      <c r="B206" s="16" t="s">
        <v>611</v>
      </c>
    </row>
    <row r="207" spans="1:2">
      <c r="A207" s="23">
        <v>43129</v>
      </c>
      <c r="B207" s="16" t="s">
        <v>612</v>
      </c>
    </row>
    <row r="208" spans="1:2">
      <c r="A208" s="23">
        <v>44059</v>
      </c>
      <c r="B208" s="16" t="s">
        <v>613</v>
      </c>
    </row>
    <row r="209" spans="1:2">
      <c r="A209" s="23">
        <v>44070</v>
      </c>
      <c r="B209" s="16" t="s">
        <v>614</v>
      </c>
    </row>
    <row r="210" spans="1:2">
      <c r="A210" s="23">
        <v>44100</v>
      </c>
      <c r="B210" s="16" t="s">
        <v>615</v>
      </c>
    </row>
    <row r="211" spans="1:2">
      <c r="A211" s="23">
        <v>44111</v>
      </c>
      <c r="B211" s="16" t="s">
        <v>616</v>
      </c>
    </row>
    <row r="212" spans="1:2">
      <c r="A212" s="23">
        <v>44122</v>
      </c>
      <c r="B212" s="16" t="s">
        <v>617</v>
      </c>
    </row>
    <row r="213" spans="1:2">
      <c r="A213" s="23">
        <v>44144</v>
      </c>
      <c r="B213" s="16" t="s">
        <v>618</v>
      </c>
    </row>
    <row r="214" spans="1:2">
      <c r="A214" s="23">
        <v>44240</v>
      </c>
      <c r="B214" s="16" t="s">
        <v>619</v>
      </c>
    </row>
    <row r="215" spans="1:2">
      <c r="A215" s="23">
        <v>44336</v>
      </c>
      <c r="B215" s="16" t="s">
        <v>620</v>
      </c>
    </row>
    <row r="216" spans="1:2">
      <c r="A216" s="23">
        <v>44347</v>
      </c>
      <c r="B216" s="16" t="s">
        <v>621</v>
      </c>
    </row>
    <row r="217" spans="1:2">
      <c r="A217" s="23">
        <v>44358</v>
      </c>
      <c r="B217" s="16" t="s">
        <v>622</v>
      </c>
    </row>
    <row r="218" spans="1:2">
      <c r="A218" s="23">
        <v>44369</v>
      </c>
      <c r="B218" s="16" t="s">
        <v>623</v>
      </c>
    </row>
    <row r="219" spans="1:2">
      <c r="A219" s="23">
        <v>44373</v>
      </c>
      <c r="B219" s="16" t="s">
        <v>624</v>
      </c>
    </row>
    <row r="220" spans="1:2">
      <c r="A220" s="23">
        <v>44380</v>
      </c>
      <c r="B220" s="16" t="s">
        <v>625</v>
      </c>
    </row>
    <row r="221" spans="1:2">
      <c r="A221" s="23">
        <v>44390</v>
      </c>
      <c r="B221" s="16" t="s">
        <v>626</v>
      </c>
    </row>
    <row r="222" spans="1:2">
      <c r="A222" s="23">
        <v>44391</v>
      </c>
      <c r="B222" s="16" t="s">
        <v>627</v>
      </c>
    </row>
    <row r="223" spans="1:2">
      <c r="A223" s="23">
        <v>44403</v>
      </c>
      <c r="B223" s="16" t="s">
        <v>628</v>
      </c>
    </row>
    <row r="224" spans="1:2">
      <c r="A224" s="23">
        <v>44410</v>
      </c>
      <c r="B224" s="16" t="s">
        <v>629</v>
      </c>
    </row>
    <row r="225" spans="1:2">
      <c r="A225" s="23">
        <v>44421</v>
      </c>
      <c r="B225" s="16" t="s">
        <v>630</v>
      </c>
    </row>
    <row r="226" spans="1:2">
      <c r="A226" s="23">
        <v>44432</v>
      </c>
      <c r="B226" s="16" t="s">
        <v>631</v>
      </c>
    </row>
    <row r="227" spans="1:2">
      <c r="A227" s="23">
        <v>44443</v>
      </c>
      <c r="B227" s="16" t="s">
        <v>632</v>
      </c>
    </row>
    <row r="228" spans="1:2">
      <c r="A228" s="23">
        <v>45103</v>
      </c>
      <c r="B228" s="16" t="s">
        <v>633</v>
      </c>
    </row>
    <row r="229" spans="1:2">
      <c r="A229" s="23">
        <v>45114</v>
      </c>
      <c r="B229" s="16" t="s">
        <v>634</v>
      </c>
    </row>
    <row r="230" spans="1:2">
      <c r="A230" s="23">
        <v>45180</v>
      </c>
      <c r="B230" s="16" t="s">
        <v>635</v>
      </c>
    </row>
    <row r="231" spans="1:2">
      <c r="A231" s="23">
        <v>45191</v>
      </c>
      <c r="B231" s="16" t="s">
        <v>636</v>
      </c>
    </row>
    <row r="232" spans="1:2">
      <c r="A232" s="23">
        <v>45203</v>
      </c>
      <c r="B232" s="16" t="s">
        <v>637</v>
      </c>
    </row>
    <row r="233" spans="1:2">
      <c r="A233" s="23">
        <v>45232</v>
      </c>
      <c r="B233" s="16" t="s">
        <v>638</v>
      </c>
    </row>
    <row r="234" spans="1:2">
      <c r="A234" s="23">
        <v>45254</v>
      </c>
      <c r="B234" s="16" t="s">
        <v>639</v>
      </c>
    </row>
    <row r="235" spans="1:2">
      <c r="A235" s="23">
        <v>45265</v>
      </c>
      <c r="B235" s="16" t="s">
        <v>640</v>
      </c>
    </row>
    <row r="236" spans="1:2">
      <c r="A236" s="23">
        <v>45328</v>
      </c>
      <c r="B236" s="16" t="s">
        <v>641</v>
      </c>
    </row>
    <row r="237" spans="1:2">
      <c r="A237" s="23">
        <v>45343</v>
      </c>
      <c r="B237" s="16" t="s">
        <v>642</v>
      </c>
    </row>
    <row r="238" spans="1:2">
      <c r="A238" s="23">
        <v>45430</v>
      </c>
      <c r="B238" s="16" t="s">
        <v>643</v>
      </c>
    </row>
    <row r="239" spans="1:2">
      <c r="A239" s="23">
        <v>45435</v>
      </c>
      <c r="B239" s="16" t="s">
        <v>644</v>
      </c>
    </row>
    <row r="240" spans="1:2">
      <c r="A240" s="23">
        <v>45436</v>
      </c>
      <c r="B240" s="16" t="s">
        <v>645</v>
      </c>
    </row>
    <row r="241" spans="1:2">
      <c r="A241" s="23">
        <v>45446</v>
      </c>
      <c r="B241" s="16" t="s">
        <v>646</v>
      </c>
    </row>
    <row r="242" spans="1:2">
      <c r="A242" s="23">
        <v>45450</v>
      </c>
      <c r="B242" s="16" t="s">
        <v>647</v>
      </c>
    </row>
    <row r="243" spans="1:2">
      <c r="A243" s="23">
        <v>45457</v>
      </c>
      <c r="B243" s="16" t="s">
        <v>648</v>
      </c>
    </row>
    <row r="244" spans="1:2">
      <c r="A244" s="23">
        <v>45460</v>
      </c>
      <c r="B244" s="16" t="s">
        <v>649</v>
      </c>
    </row>
    <row r="245" spans="1:2">
      <c r="A245" s="23">
        <v>46120</v>
      </c>
      <c r="B245" s="16" t="s">
        <v>650</v>
      </c>
    </row>
    <row r="246" spans="1:2">
      <c r="A246" s="23">
        <v>51070</v>
      </c>
      <c r="B246" s="16" t="s">
        <v>651</v>
      </c>
    </row>
    <row r="247" spans="1:2">
      <c r="A247" s="23">
        <v>51092</v>
      </c>
      <c r="B247" s="16" t="s">
        <v>652</v>
      </c>
    </row>
    <row r="248" spans="1:2">
      <c r="A248" s="23">
        <v>51111</v>
      </c>
      <c r="B248" s="16" t="s">
        <v>653</v>
      </c>
    </row>
    <row r="249" spans="1:2">
      <c r="A249" s="23">
        <v>51133</v>
      </c>
      <c r="B249" s="16" t="s">
        <v>654</v>
      </c>
    </row>
    <row r="250" spans="1:2">
      <c r="A250" s="23">
        <v>51144</v>
      </c>
      <c r="B250" s="16" t="s">
        <v>655</v>
      </c>
    </row>
    <row r="251" spans="1:2">
      <c r="A251" s="23">
        <v>51199</v>
      </c>
      <c r="B251" s="16" t="s">
        <v>656</v>
      </c>
    </row>
    <row r="252" spans="1:2">
      <c r="A252" s="23">
        <v>51207</v>
      </c>
      <c r="B252" s="16" t="s">
        <v>657</v>
      </c>
    </row>
    <row r="253" spans="1:2">
      <c r="A253" s="23">
        <v>51218</v>
      </c>
      <c r="B253" s="16" t="s">
        <v>658</v>
      </c>
    </row>
    <row r="254" spans="1:2">
      <c r="A254" s="23">
        <v>51325</v>
      </c>
      <c r="B254" s="16" t="s">
        <v>659</v>
      </c>
    </row>
    <row r="255" spans="1:2">
      <c r="A255" s="23">
        <v>51391</v>
      </c>
      <c r="B255" s="16" t="s">
        <v>660</v>
      </c>
    </row>
    <row r="256" spans="1:2">
      <c r="A256" s="23">
        <v>51403</v>
      </c>
      <c r="B256" s="16" t="s">
        <v>661</v>
      </c>
    </row>
    <row r="257" spans="1:2">
      <c r="A257" s="23">
        <v>51421</v>
      </c>
      <c r="B257" s="16" t="s">
        <v>662</v>
      </c>
    </row>
    <row r="258" spans="1:2">
      <c r="A258" s="23">
        <v>52018</v>
      </c>
      <c r="B258" s="16" t="s">
        <v>663</v>
      </c>
    </row>
    <row r="259" spans="1:2">
      <c r="A259" s="23">
        <v>52033</v>
      </c>
      <c r="B259" s="16" t="s">
        <v>664</v>
      </c>
    </row>
    <row r="260" spans="1:2">
      <c r="A260" s="23">
        <v>52062</v>
      </c>
      <c r="B260" s="16" t="s">
        <v>665</v>
      </c>
    </row>
    <row r="261" spans="1:2">
      <c r="A261" s="23">
        <v>52100</v>
      </c>
      <c r="B261" s="16" t="s">
        <v>666</v>
      </c>
    </row>
    <row r="262" spans="1:2">
      <c r="A262" s="23">
        <v>53032</v>
      </c>
      <c r="B262" s="16" t="s">
        <v>667</v>
      </c>
    </row>
    <row r="263" spans="1:2">
      <c r="A263" s="23">
        <v>53054</v>
      </c>
      <c r="B263" s="16" t="s">
        <v>668</v>
      </c>
    </row>
    <row r="264" spans="1:2">
      <c r="A264" s="23">
        <v>53087</v>
      </c>
      <c r="B264" s="16" t="s">
        <v>669</v>
      </c>
    </row>
    <row r="265" spans="1:2">
      <c r="A265" s="23">
        <v>53106</v>
      </c>
      <c r="B265" s="16" t="s">
        <v>670</v>
      </c>
    </row>
    <row r="266" spans="1:2">
      <c r="A266" s="23">
        <v>53172</v>
      </c>
      <c r="B266" s="16" t="s">
        <v>671</v>
      </c>
    </row>
    <row r="267" spans="1:2">
      <c r="A267" s="23">
        <v>53202</v>
      </c>
      <c r="B267" s="16" t="s">
        <v>672</v>
      </c>
    </row>
    <row r="268" spans="1:2">
      <c r="A268" s="23">
        <v>53213</v>
      </c>
      <c r="B268" s="16" t="s">
        <v>673</v>
      </c>
    </row>
    <row r="269" spans="1:2">
      <c r="A269" s="23">
        <v>53224</v>
      </c>
      <c r="B269" s="16" t="s">
        <v>674</v>
      </c>
    </row>
    <row r="270" spans="1:2">
      <c r="A270" s="23">
        <v>53235</v>
      </c>
      <c r="B270" s="16" t="s">
        <v>675</v>
      </c>
    </row>
    <row r="271" spans="1:2">
      <c r="A271" s="23">
        <v>53246</v>
      </c>
      <c r="B271" s="16" t="s">
        <v>676</v>
      </c>
    </row>
    <row r="272" spans="1:2">
      <c r="A272" s="23">
        <v>53268</v>
      </c>
      <c r="B272" s="16" t="s">
        <v>677</v>
      </c>
    </row>
    <row r="273" spans="1:2">
      <c r="A273" s="23">
        <v>53290</v>
      </c>
      <c r="B273" s="16" t="s">
        <v>678</v>
      </c>
    </row>
    <row r="274" spans="1:2">
      <c r="A274" s="23">
        <v>53608</v>
      </c>
      <c r="B274" s="16" t="s">
        <v>679</v>
      </c>
    </row>
    <row r="275" spans="1:2">
      <c r="A275" s="23">
        <v>53619</v>
      </c>
      <c r="B275" s="16" t="s">
        <v>680</v>
      </c>
    </row>
    <row r="276" spans="1:2">
      <c r="A276" s="23">
        <v>54013</v>
      </c>
      <c r="B276" s="16" t="s">
        <v>681</v>
      </c>
    </row>
    <row r="277" spans="1:2">
      <c r="A277" s="23">
        <v>54035</v>
      </c>
      <c r="B277" s="16" t="s">
        <v>682</v>
      </c>
    </row>
    <row r="278" spans="1:2">
      <c r="A278" s="23">
        <v>54046</v>
      </c>
      <c r="B278" s="16" t="s">
        <v>683</v>
      </c>
    </row>
    <row r="279" spans="1:2">
      <c r="A279" s="23">
        <v>54057</v>
      </c>
      <c r="B279" s="16" t="s">
        <v>684</v>
      </c>
    </row>
    <row r="280" spans="1:2">
      <c r="A280" s="23">
        <v>54068</v>
      </c>
      <c r="B280" s="16" t="s">
        <v>685</v>
      </c>
    </row>
    <row r="281" spans="1:2">
      <c r="A281" s="23">
        <v>54083</v>
      </c>
      <c r="B281" s="16" t="s">
        <v>686</v>
      </c>
    </row>
    <row r="282" spans="1:2">
      <c r="A282" s="23">
        <v>55016</v>
      </c>
      <c r="B282" s="16" t="s">
        <v>687</v>
      </c>
    </row>
    <row r="283" spans="1:2">
      <c r="A283" s="23">
        <v>55027</v>
      </c>
      <c r="B283" s="16" t="s">
        <v>688</v>
      </c>
    </row>
    <row r="284" spans="1:2">
      <c r="A284" s="23">
        <v>55038</v>
      </c>
      <c r="B284" s="16" t="s">
        <v>689</v>
      </c>
    </row>
    <row r="285" spans="1:2">
      <c r="A285" s="23">
        <v>55049</v>
      </c>
      <c r="B285" s="16" t="s">
        <v>690</v>
      </c>
    </row>
    <row r="286" spans="1:2">
      <c r="A286" s="23">
        <v>55060</v>
      </c>
      <c r="B286" s="16" t="s">
        <v>691</v>
      </c>
    </row>
    <row r="287" spans="1:2">
      <c r="A287" s="23">
        <v>55100</v>
      </c>
      <c r="B287" s="16" t="s">
        <v>692</v>
      </c>
    </row>
    <row r="288" spans="1:2">
      <c r="A288" s="23">
        <v>55189</v>
      </c>
      <c r="B288" s="16" t="s">
        <v>693</v>
      </c>
    </row>
    <row r="289" spans="1:2">
      <c r="A289" s="23">
        <v>55219</v>
      </c>
      <c r="B289" s="16" t="s">
        <v>694</v>
      </c>
    </row>
    <row r="290" spans="1:2">
      <c r="A290" s="23">
        <v>55223</v>
      </c>
      <c r="B290" s="16" t="s">
        <v>695</v>
      </c>
    </row>
    <row r="291" spans="1:2">
      <c r="A291" s="23">
        <v>55285</v>
      </c>
      <c r="B291" s="16" t="s">
        <v>696</v>
      </c>
    </row>
    <row r="292" spans="1:2">
      <c r="A292" s="23">
        <v>55304</v>
      </c>
      <c r="B292" s="16" t="s">
        <v>697</v>
      </c>
    </row>
    <row r="293" spans="1:2">
      <c r="A293" s="23">
        <v>55337</v>
      </c>
      <c r="B293" s="16" t="s">
        <v>698</v>
      </c>
    </row>
    <row r="294" spans="1:2">
      <c r="A294" s="23">
        <v>55348</v>
      </c>
      <c r="B294" s="16" t="s">
        <v>699</v>
      </c>
    </row>
    <row r="295" spans="1:2">
      <c r="A295" s="23">
        <v>55359</v>
      </c>
      <c r="B295" s="16" t="s">
        <v>700</v>
      </c>
    </row>
    <row r="296" spans="1:2">
      <c r="A296" s="23">
        <v>56019</v>
      </c>
      <c r="B296" s="16" t="s">
        <v>701</v>
      </c>
    </row>
    <row r="297" spans="1:2">
      <c r="A297" s="23">
        <v>56023</v>
      </c>
      <c r="B297" s="16" t="s">
        <v>702</v>
      </c>
    </row>
    <row r="298" spans="1:2">
      <c r="A298" s="23">
        <v>56041</v>
      </c>
      <c r="B298" s="16" t="s">
        <v>703</v>
      </c>
    </row>
    <row r="299" spans="1:2">
      <c r="A299" s="23">
        <v>56052</v>
      </c>
      <c r="B299" s="16" t="s">
        <v>704</v>
      </c>
    </row>
    <row r="300" spans="1:2">
      <c r="A300" s="23">
        <v>56074</v>
      </c>
      <c r="B300" s="16" t="s">
        <v>705</v>
      </c>
    </row>
    <row r="301" spans="1:2">
      <c r="A301" s="23">
        <v>56115</v>
      </c>
      <c r="B301" s="16" t="s">
        <v>706</v>
      </c>
    </row>
    <row r="302" spans="1:2">
      <c r="A302" s="23">
        <v>56159</v>
      </c>
      <c r="B302" s="16" t="s">
        <v>707</v>
      </c>
    </row>
    <row r="303" spans="1:2">
      <c r="A303" s="23">
        <v>56163</v>
      </c>
      <c r="B303" s="16" t="s">
        <v>708</v>
      </c>
    </row>
    <row r="304" spans="1:2">
      <c r="A304" s="23">
        <v>56200</v>
      </c>
      <c r="B304" s="16" t="s">
        <v>709</v>
      </c>
    </row>
    <row r="305" spans="1:2">
      <c r="A305" s="23">
        <v>56244</v>
      </c>
      <c r="B305" s="16" t="s">
        <v>710</v>
      </c>
    </row>
    <row r="306" spans="1:2">
      <c r="A306" s="23">
        <v>56255</v>
      </c>
      <c r="B306" s="16" t="s">
        <v>711</v>
      </c>
    </row>
    <row r="307" spans="1:2">
      <c r="A307" s="23">
        <v>56277</v>
      </c>
      <c r="B307" s="16" t="s">
        <v>712</v>
      </c>
    </row>
    <row r="308" spans="1:2">
      <c r="A308" s="23">
        <v>60000</v>
      </c>
      <c r="B308" s="16" t="s">
        <v>713</v>
      </c>
    </row>
    <row r="309" spans="1:2">
      <c r="A309" s="23">
        <v>60080</v>
      </c>
      <c r="B309" s="16" t="s">
        <v>714</v>
      </c>
    </row>
    <row r="310" spans="1:2">
      <c r="A310" s="23">
        <v>60120</v>
      </c>
      <c r="B310" s="16" t="s">
        <v>715</v>
      </c>
    </row>
    <row r="311" spans="1:2">
      <c r="A311" s="23">
        <v>60160</v>
      </c>
      <c r="B311" s="16" t="s">
        <v>716</v>
      </c>
    </row>
    <row r="312" spans="1:2">
      <c r="A312" s="23">
        <v>60200</v>
      </c>
      <c r="B312" s="16" t="s">
        <v>717</v>
      </c>
    </row>
    <row r="313" spans="1:2">
      <c r="A313" s="23">
        <v>60240</v>
      </c>
      <c r="B313" s="16" t="s">
        <v>718</v>
      </c>
    </row>
    <row r="314" spans="1:2">
      <c r="A314" s="23">
        <v>60280</v>
      </c>
      <c r="B314" s="16" t="s">
        <v>719</v>
      </c>
    </row>
    <row r="315" spans="1:2">
      <c r="A315" s="23">
        <v>60320</v>
      </c>
      <c r="B315" s="16" t="s">
        <v>720</v>
      </c>
    </row>
    <row r="316" spans="1:2">
      <c r="A316" s="23">
        <v>60380</v>
      </c>
      <c r="B316" s="16" t="s">
        <v>721</v>
      </c>
    </row>
    <row r="317" spans="1:2">
      <c r="A317" s="23">
        <v>60400</v>
      </c>
      <c r="B317" s="16" t="s">
        <v>722</v>
      </c>
    </row>
    <row r="318" spans="1:2">
      <c r="A318" s="23">
        <v>60480</v>
      </c>
      <c r="B318" s="16" t="s">
        <v>723</v>
      </c>
    </row>
    <row r="319" spans="1:2">
      <c r="A319" s="23">
        <v>60520</v>
      </c>
      <c r="B319" s="16" t="s">
        <v>724</v>
      </c>
    </row>
    <row r="320" spans="1:2">
      <c r="A320" s="23">
        <v>60600</v>
      </c>
      <c r="B320" s="16" t="s">
        <v>725</v>
      </c>
    </row>
    <row r="321" spans="1:2">
      <c r="A321" s="23">
        <v>60640</v>
      </c>
      <c r="B321" s="16" t="s">
        <v>726</v>
      </c>
    </row>
    <row r="322" spans="1:2">
      <c r="A322" s="23">
        <v>60680</v>
      </c>
      <c r="B322" s="16" t="s">
        <v>727</v>
      </c>
    </row>
    <row r="323" spans="1:2">
      <c r="A323" s="23">
        <v>60760</v>
      </c>
      <c r="B323" s="16" t="s">
        <v>728</v>
      </c>
    </row>
    <row r="324" spans="1:2">
      <c r="A324" s="23">
        <v>61000</v>
      </c>
      <c r="B324" s="16" t="s">
        <v>729</v>
      </c>
    </row>
    <row r="325" spans="1:2">
      <c r="A325" s="23">
        <v>61050</v>
      </c>
      <c r="B325" s="16" t="s">
        <v>730</v>
      </c>
    </row>
    <row r="326" spans="1:2">
      <c r="A326" s="23">
        <v>61200</v>
      </c>
      <c r="B326" s="16" t="s">
        <v>731</v>
      </c>
    </row>
    <row r="327" spans="1:2">
      <c r="A327" s="23">
        <v>61350</v>
      </c>
      <c r="B327" s="16" t="s">
        <v>732</v>
      </c>
    </row>
    <row r="328" spans="1:2">
      <c r="A328" s="23">
        <v>61500</v>
      </c>
      <c r="B328" s="16" t="s">
        <v>733</v>
      </c>
    </row>
    <row r="329" spans="1:2">
      <c r="A329" s="23">
        <v>61550</v>
      </c>
      <c r="B329" s="16" t="s">
        <v>734</v>
      </c>
    </row>
    <row r="330" spans="1:2">
      <c r="A330" s="23">
        <v>61600</v>
      </c>
      <c r="B330" s="16" t="s">
        <v>735</v>
      </c>
    </row>
    <row r="331" spans="1:2">
      <c r="A331" s="23">
        <v>61800</v>
      </c>
      <c r="B331" s="16" t="s">
        <v>736</v>
      </c>
    </row>
    <row r="332" spans="1:2">
      <c r="A332" s="23">
        <v>61850</v>
      </c>
      <c r="B332" s="16" t="s">
        <v>737</v>
      </c>
    </row>
    <row r="333" spans="1:2">
      <c r="A333" s="23">
        <v>61900</v>
      </c>
      <c r="B333" s="16" t="s">
        <v>738</v>
      </c>
    </row>
    <row r="334" spans="1:2">
      <c r="A334" s="23">
        <v>61950</v>
      </c>
      <c r="B334" s="16" t="s">
        <v>739</v>
      </c>
    </row>
    <row r="335" spans="1:2">
      <c r="A335" s="23">
        <v>62000</v>
      </c>
      <c r="B335" s="16" t="s">
        <v>740</v>
      </c>
    </row>
    <row r="336" spans="1:2">
      <c r="A336" s="23">
        <v>62050</v>
      </c>
      <c r="B336" s="16" t="s">
        <v>741</v>
      </c>
    </row>
    <row r="337" spans="1:2">
      <c r="A337" s="23">
        <v>62150</v>
      </c>
      <c r="B337" s="16" t="s">
        <v>742</v>
      </c>
    </row>
    <row r="338" spans="1:2">
      <c r="A338" s="23">
        <v>62200</v>
      </c>
      <c r="B338" s="16" t="s">
        <v>743</v>
      </c>
    </row>
    <row r="339" spans="1:2">
      <c r="A339" s="23">
        <v>62250</v>
      </c>
      <c r="B339" s="16" t="s">
        <v>744</v>
      </c>
    </row>
    <row r="340" spans="1:2">
      <c r="A340" s="23">
        <v>62350</v>
      </c>
      <c r="B340" s="16" t="s">
        <v>745</v>
      </c>
    </row>
    <row r="341" spans="1:2">
      <c r="A341" s="23">
        <v>62400</v>
      </c>
      <c r="B341" s="16" t="s">
        <v>746</v>
      </c>
    </row>
    <row r="342" spans="1:2">
      <c r="A342" s="23">
        <v>62450</v>
      </c>
      <c r="B342" s="16" t="s">
        <v>747</v>
      </c>
    </row>
    <row r="343" spans="1:2">
      <c r="A343" s="23">
        <v>62500</v>
      </c>
      <c r="B343" s="16" t="s">
        <v>748</v>
      </c>
    </row>
    <row r="344" spans="1:2">
      <c r="A344" s="23">
        <v>62550</v>
      </c>
      <c r="B344" s="16" t="s">
        <v>749</v>
      </c>
    </row>
    <row r="345" spans="1:2">
      <c r="A345" s="23">
        <v>62600</v>
      </c>
      <c r="B345" s="16" t="s">
        <v>750</v>
      </c>
    </row>
    <row r="346" spans="1:2">
      <c r="A346" s="23">
        <v>62650</v>
      </c>
      <c r="B346" s="16" t="s">
        <v>751</v>
      </c>
    </row>
    <row r="347" spans="1:2">
      <c r="A347" s="23">
        <v>62750</v>
      </c>
      <c r="B347" s="16" t="s">
        <v>752</v>
      </c>
    </row>
    <row r="348" spans="1:2">
      <c r="A348" s="23">
        <v>62900</v>
      </c>
      <c r="B348" s="16" t="s">
        <v>753</v>
      </c>
    </row>
    <row r="349" spans="1:2">
      <c r="A349" s="23">
        <v>63000</v>
      </c>
      <c r="B349" s="16" t="s">
        <v>754</v>
      </c>
    </row>
    <row r="350" spans="1:2">
      <c r="A350" s="23">
        <v>63150</v>
      </c>
      <c r="B350" s="16" t="s">
        <v>755</v>
      </c>
    </row>
    <row r="351" spans="1:2">
      <c r="A351" s="23">
        <v>63250</v>
      </c>
      <c r="B351" s="16" t="s">
        <v>756</v>
      </c>
    </row>
    <row r="352" spans="1:2">
      <c r="A352" s="23">
        <v>63300</v>
      </c>
      <c r="B352" s="16" t="s">
        <v>757</v>
      </c>
    </row>
    <row r="353" spans="1:2">
      <c r="A353" s="23">
        <v>63400</v>
      </c>
      <c r="B353" s="16" t="s">
        <v>758</v>
      </c>
    </row>
    <row r="354" spans="1:2">
      <c r="A354" s="23">
        <v>63450</v>
      </c>
      <c r="B354" s="16" t="s">
        <v>759</v>
      </c>
    </row>
    <row r="355" spans="1:2">
      <c r="A355" s="23">
        <v>63600</v>
      </c>
      <c r="B355" s="16" t="s">
        <v>760</v>
      </c>
    </row>
    <row r="356" spans="1:2">
      <c r="A356" s="23">
        <v>63650</v>
      </c>
      <c r="B356" s="16" t="s">
        <v>761</v>
      </c>
    </row>
    <row r="357" spans="1:2">
      <c r="A357" s="23">
        <v>63750</v>
      </c>
      <c r="B357" s="16" t="s">
        <v>762</v>
      </c>
    </row>
    <row r="358" spans="1:2">
      <c r="A358" s="23">
        <v>63800</v>
      </c>
      <c r="B358" s="16" t="s">
        <v>763</v>
      </c>
    </row>
    <row r="359" spans="1:2">
      <c r="A359" s="23">
        <v>63950</v>
      </c>
      <c r="B359" s="16" t="s">
        <v>764</v>
      </c>
    </row>
    <row r="360" spans="1:2">
      <c r="A360" s="23">
        <v>64200</v>
      </c>
      <c r="B360" s="16" t="s">
        <v>765</v>
      </c>
    </row>
    <row r="361" spans="1:2">
      <c r="A361" s="23">
        <v>64250</v>
      </c>
      <c r="B361" s="16" t="s">
        <v>766</v>
      </c>
    </row>
    <row r="362" spans="1:2">
      <c r="A362" s="23">
        <v>64300</v>
      </c>
      <c r="B362" s="16" t="s">
        <v>767</v>
      </c>
    </row>
    <row r="363" spans="1:2">
      <c r="A363" s="23">
        <v>64700</v>
      </c>
      <c r="B363" s="16" t="s">
        <v>768</v>
      </c>
    </row>
    <row r="364" spans="1:2">
      <c r="A364" s="23">
        <v>64750</v>
      </c>
      <c r="B364" s="16" t="s">
        <v>769</v>
      </c>
    </row>
    <row r="365" spans="1:2">
      <c r="A365" s="23">
        <v>64850</v>
      </c>
      <c r="B365" s="16" t="s">
        <v>770</v>
      </c>
    </row>
    <row r="366" spans="1:2">
      <c r="A366" s="23">
        <v>64950</v>
      </c>
      <c r="B366" s="16" t="s">
        <v>771</v>
      </c>
    </row>
    <row r="367" spans="1:2">
      <c r="A367" s="23">
        <v>65100</v>
      </c>
      <c r="B367" s="16" t="s">
        <v>772</v>
      </c>
    </row>
    <row r="368" spans="1:2">
      <c r="A368" s="23">
        <v>65150</v>
      </c>
      <c r="B368" s="16" t="s">
        <v>773</v>
      </c>
    </row>
    <row r="369" spans="1:2">
      <c r="A369" s="23">
        <v>65200</v>
      </c>
      <c r="B369" s="16" t="s">
        <v>774</v>
      </c>
    </row>
    <row r="370" spans="1:2">
      <c r="A370" s="23">
        <v>65250</v>
      </c>
      <c r="B370" s="16" t="s">
        <v>775</v>
      </c>
    </row>
    <row r="371" spans="1:2">
      <c r="A371" s="23">
        <v>65300</v>
      </c>
      <c r="B371" s="16" t="s">
        <v>776</v>
      </c>
    </row>
    <row r="372" spans="1:2">
      <c r="A372" s="23">
        <v>65400</v>
      </c>
      <c r="B372" s="16" t="s">
        <v>777</v>
      </c>
    </row>
    <row r="373" spans="1:2">
      <c r="A373" s="23">
        <v>70040</v>
      </c>
      <c r="B373" s="16" t="s">
        <v>778</v>
      </c>
    </row>
    <row r="374" spans="1:2">
      <c r="A374" s="23">
        <v>70050</v>
      </c>
      <c r="B374" s="16" t="s">
        <v>779</v>
      </c>
    </row>
    <row r="375" spans="1:2">
      <c r="A375" s="23">
        <v>71096</v>
      </c>
      <c r="B375" s="16" t="s">
        <v>780</v>
      </c>
    </row>
    <row r="376" spans="1:2">
      <c r="A376" s="23">
        <v>71098</v>
      </c>
      <c r="B376" s="16" t="s">
        <v>781</v>
      </c>
    </row>
    <row r="377" spans="1:2">
      <c r="A377" s="23">
        <v>12125</v>
      </c>
      <c r="B377" s="16" t="s">
        <v>782</v>
      </c>
    </row>
    <row r="378" spans="1:2">
      <c r="A378" s="23">
        <v>31200</v>
      </c>
      <c r="B378" s="16" t="s">
        <v>783</v>
      </c>
    </row>
    <row r="379" spans="1:2">
      <c r="A379" s="23">
        <v>34179</v>
      </c>
      <c r="B379" s="16" t="s">
        <v>784</v>
      </c>
    </row>
    <row r="380" spans="1:2">
      <c r="A380" s="23">
        <v>45169</v>
      </c>
      <c r="B380" s="16" t="s">
        <v>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DE39-57B4-4158-999E-826E7F0F9561}">
  <sheetPr codeName="Sheet1">
    <tabColor theme="5"/>
    <pageSetUpPr autoPageBreaks="0" fitToPage="1"/>
  </sheetPr>
  <dimension ref="A1:R13"/>
  <sheetViews>
    <sheetView showGridLines="0" topLeftCell="A5" zoomScale="70" zoomScaleNormal="70" workbookViewId="0">
      <selection activeCell="C3" sqref="C3:D3"/>
    </sheetView>
  </sheetViews>
  <sheetFormatPr defaultColWidth="9" defaultRowHeight="47.1" customHeight="1"/>
  <cols>
    <col min="1" max="1" width="9" style="6" customWidth="1"/>
    <col min="2" max="2" width="17" style="6" customWidth="1"/>
    <col min="3" max="3" width="14" style="6" bestFit="1" customWidth="1"/>
    <col min="4" max="4" width="27" style="6" customWidth="1"/>
    <col min="5" max="5" width="20.88671875" style="6" customWidth="1"/>
    <col min="6" max="7" width="17.5546875" style="6" customWidth="1"/>
    <col min="8" max="8" width="17.77734375" style="6" customWidth="1"/>
    <col min="9" max="9" width="20.109375" style="6" customWidth="1"/>
    <col min="10" max="10" width="16.88671875" style="6" bestFit="1" customWidth="1"/>
    <col min="11" max="11" width="19.88671875" style="6" customWidth="1"/>
    <col min="12" max="12" width="9" style="6"/>
    <col min="13" max="13" width="9" style="4"/>
    <col min="14" max="14" width="14.21875" style="4" customWidth="1"/>
    <col min="15" max="15" width="9.21875" style="4" customWidth="1"/>
    <col min="16" max="18" width="9" style="4"/>
    <col min="19" max="16384" width="9" style="1"/>
  </cols>
  <sheetData>
    <row r="1" spans="1:18" s="4" customFormat="1" ht="30.6" customHeight="1">
      <c r="A1" s="101" t="s">
        <v>786</v>
      </c>
      <c r="B1" s="102"/>
      <c r="C1" s="89">
        <v>2506300</v>
      </c>
      <c r="D1" s="76"/>
      <c r="E1" s="95" t="s">
        <v>787</v>
      </c>
      <c r="F1" s="96"/>
      <c r="G1" s="96"/>
      <c r="H1" s="96"/>
      <c r="I1" s="96"/>
      <c r="J1" s="97"/>
      <c r="K1" s="21"/>
      <c r="L1" s="11"/>
      <c r="M1" s="11" t="s">
        <v>788</v>
      </c>
      <c r="N1" s="11"/>
      <c r="O1" s="11"/>
      <c r="P1" s="11"/>
    </row>
    <row r="2" spans="1:18" s="4" customFormat="1" ht="32.1" customHeight="1" thickBot="1">
      <c r="A2" s="93" t="s">
        <v>789</v>
      </c>
      <c r="B2" s="93"/>
      <c r="C2" s="94" t="str" cm="1">
        <f t="array" ref="C2">Kút_kategóriája</f>
        <v>Region 2</v>
      </c>
      <c r="D2" s="94"/>
      <c r="E2" s="98"/>
      <c r="F2" s="99"/>
      <c r="G2" s="99"/>
      <c r="H2" s="99"/>
      <c r="I2" s="99"/>
      <c r="J2" s="100"/>
      <c r="K2" s="21"/>
      <c r="L2" s="11"/>
      <c r="M2" s="11"/>
      <c r="N2" s="11"/>
      <c r="O2" s="11"/>
      <c r="P2" s="11"/>
    </row>
    <row r="3" spans="1:18" s="4" customFormat="1" ht="30.6" customHeight="1" thickBot="1">
      <c r="A3" s="107" t="s">
        <v>790</v>
      </c>
      <c r="B3" s="108"/>
      <c r="C3" s="109" t="str">
        <f>_xlfn.XLOOKUP(Kútkód,'Data for individual SES'!A:A,'Data for individual SES'!F:F)</f>
        <v>Partner 4</v>
      </c>
      <c r="D3" s="110"/>
      <c r="E3" s="87"/>
      <c r="F3" s="88"/>
      <c r="G3" s="88"/>
      <c r="H3" s="10"/>
      <c r="I3" s="10"/>
      <c r="J3" s="11"/>
    </row>
    <row r="4" spans="1:18" s="4" customFormat="1" ht="35.450000000000003" customHeight="1">
      <c r="A4" s="5"/>
      <c r="B4" s="8"/>
      <c r="C4" s="103" t="s">
        <v>791</v>
      </c>
      <c r="D4" s="104"/>
      <c r="E4" s="104"/>
      <c r="F4" s="104"/>
      <c r="G4" s="104"/>
      <c r="H4" s="105"/>
      <c r="I4" s="105"/>
      <c r="J4" s="106"/>
      <c r="K4" s="22"/>
      <c r="L4" s="12"/>
      <c r="M4" s="11"/>
      <c r="N4" s="11"/>
      <c r="O4" s="11"/>
      <c r="P4" s="10"/>
    </row>
    <row r="5" spans="1:18" s="4" customFormat="1" ht="332.1" customHeight="1" thickBot="1">
      <c r="A5" s="6"/>
      <c r="B5" s="9"/>
      <c r="C5" s="52"/>
      <c r="D5" s="53"/>
      <c r="E5" s="53"/>
      <c r="F5" s="53"/>
      <c r="G5" s="53"/>
      <c r="H5" s="53"/>
      <c r="I5" s="53"/>
      <c r="J5" s="3"/>
      <c r="K5" s="7"/>
      <c r="L5" s="12"/>
      <c r="M5" s="11"/>
      <c r="N5" s="11"/>
      <c r="O5" s="11"/>
      <c r="P5" s="11"/>
    </row>
    <row r="6" spans="1:18" s="4" customFormat="1" ht="9" customHeight="1" thickBot="1">
      <c r="A6" s="6"/>
      <c r="B6" s="9"/>
      <c r="C6" s="9"/>
      <c r="D6" s="9"/>
      <c r="E6" s="9"/>
      <c r="F6" s="9"/>
      <c r="G6" s="9"/>
      <c r="H6" s="9"/>
      <c r="I6" s="9"/>
      <c r="J6" s="9"/>
      <c r="K6" s="7"/>
      <c r="M6" s="25"/>
      <c r="N6" s="25"/>
      <c r="O6" s="25"/>
      <c r="P6" s="11"/>
    </row>
    <row r="7" spans="1:18" s="4" customFormat="1" ht="30.6" customHeight="1">
      <c r="A7" s="92"/>
      <c r="B7" s="92"/>
      <c r="C7" s="6"/>
      <c r="D7" s="45" t="s">
        <v>792</v>
      </c>
      <c r="E7" s="46" t="s">
        <v>400</v>
      </c>
      <c r="F7" s="46" t="s">
        <v>401</v>
      </c>
      <c r="G7" s="47" t="s">
        <v>402</v>
      </c>
      <c r="H7" s="46" t="s">
        <v>403</v>
      </c>
      <c r="I7" s="48" t="s">
        <v>404</v>
      </c>
      <c r="M7" s="25"/>
      <c r="N7" s="25"/>
      <c r="O7" s="25"/>
    </row>
    <row r="8" spans="1:18" s="4" customFormat="1" ht="36.950000000000003" customHeight="1">
      <c r="B8" s="6"/>
      <c r="C8" s="6"/>
      <c r="D8" s="49" t="s">
        <v>793</v>
      </c>
      <c r="E8" s="77">
        <f>_xlfn.XLOOKUP(Kútkód,'Data 2024'!$A2:$A380,'Data 2024'!$I2:$I380)</f>
        <v>0.11895077481649083</v>
      </c>
      <c r="F8" s="78">
        <f>_xlfn.XLOOKUP(Kútkód,'Data 2024'!$A2:$A380,'Data 2024'!$J2:$J380)</f>
        <v>2.2668315398984451E-2</v>
      </c>
      <c r="G8" s="78">
        <f>_xlfn.XLOOKUP(Kútkód,'Data 2024'!$A2:$A380,'Data 2024'!$K2:$K380)</f>
        <v>0.11787734483938014</v>
      </c>
      <c r="H8" s="78">
        <f>_xlfn.XLOOKUP(Kútkód,'Data 2024'!$A2:$A380,'Data 2024'!P2:P380)</f>
        <v>0.13484368544917286</v>
      </c>
      <c r="I8" s="79">
        <f>_xlfn.XLOOKUP(Kútkód,'Data 2024'!$A2:$A380,'Data 2024'!Q2:Q380)</f>
        <v>2.2576636985680076E-2</v>
      </c>
      <c r="O8" s="25"/>
    </row>
    <row r="9" spans="1:18" s="4" customFormat="1" ht="36.950000000000003" customHeight="1">
      <c r="B9" s="6"/>
      <c r="C9" s="6"/>
      <c r="D9" s="50" t="s">
        <v>794</v>
      </c>
      <c r="E9" s="80" cm="1">
        <f t="array" ref="E9">AVERAGEIFS('Data 2024'!$I2:$I380,'Data 2024'!$D$2:$D$380,Kút_kategóriája)</f>
        <v>0.16655609398253757</v>
      </c>
      <c r="F9" s="81" cm="1">
        <f t="array" ref="F9">AVERAGEIFS('Data 2024'!$J2:$J380,'Data 2024'!$D$2:$D$380,Kút_kategóriája)</f>
        <v>3.3123757127788471E-2</v>
      </c>
      <c r="G9" s="82" cm="1">
        <f t="array" ref="G9">AVERAGEIFS('Data 2024'!$K2:$K380,'Data 2024'!$D$2:$D$380,Kút_kategóriája)</f>
        <v>0.1465202044810778</v>
      </c>
      <c r="H9" s="81" cm="1">
        <f t="array" ref="H9">AVERAGEIFS('Data 2024'!$P2:$P380,'Data 2024'!$D$2:$D$380,Kút_kategóriája)</f>
        <v>0.12460791593583712</v>
      </c>
      <c r="I9" s="83" cm="1">
        <f t="array" ref="I9">AVERAGEIFS('Data 2024'!$Q2:$Q380,'Data 2024'!$D$2:$D$380,Kút_kategóriája)</f>
        <v>4.5521278077317963E-2</v>
      </c>
      <c r="O9" s="25"/>
    </row>
    <row r="10" spans="1:18" s="4" customFormat="1" ht="36.950000000000003" customHeight="1" thickBot="1">
      <c r="B10" s="6"/>
      <c r="C10" s="6"/>
      <c r="D10" s="51" t="s">
        <v>795</v>
      </c>
      <c r="E10" s="84">
        <f>E8/E9</f>
        <v>0.71417846067500912</v>
      </c>
      <c r="F10" s="84">
        <f>F8/F9</f>
        <v>0.68435217996352682</v>
      </c>
      <c r="G10" s="84">
        <f>G8/G9</f>
        <v>0.80451256027699092</v>
      </c>
      <c r="H10" s="85">
        <f>H8/H9</f>
        <v>1.0821438143512996</v>
      </c>
      <c r="I10" s="86">
        <f>I8/I9</f>
        <v>0.4959578891289832</v>
      </c>
      <c r="P10" s="25"/>
      <c r="Q10" s="25"/>
      <c r="R10" s="25"/>
    </row>
    <row r="11" spans="1:18" s="4" customFormat="1" ht="47.1" customHeight="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8" s="4" customFormat="1" ht="47.1" customHeight="1"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8" s="4" customFormat="1" ht="47.1" customHeight="1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</sheetData>
  <mergeCells count="8">
    <mergeCell ref="A7:B7"/>
    <mergeCell ref="A2:B2"/>
    <mergeCell ref="C2:D2"/>
    <mergeCell ref="E1:J2"/>
    <mergeCell ref="A1:B1"/>
    <mergeCell ref="C4:J4"/>
    <mergeCell ref="A3:B3"/>
    <mergeCell ref="C3:D3"/>
  </mergeCells>
  <dataValidations count="7">
    <dataValidation allowBlank="1" showInputMessage="1" showErrorMessage="1" prompt="Total Revenue is automatically calculated in this column under this heading" sqref="E7:F7" xr:uid="{43850642-0113-438B-BA7C-007880DDABC1}"/>
    <dataValidation allowBlank="1" showInputMessage="1" showErrorMessage="1" prompt="Pie chart illustrating the ratio of the % Income Per Product for each item out of 100% is in this cell" sqref="I5:I6" xr:uid="{920474A3-71A1-4113-8647-29D56A867320}"/>
    <dataValidation allowBlank="1" showInputMessage="1" showErrorMessage="1" prompt="Column chart comparing Product Profit Per Item is in this cell. % Income Per Product pie chart is in cell at right" sqref="B5:B6" xr:uid="{BB308402-BA9E-431E-B2F8-F3BCAD870876}"/>
    <dataValidation allowBlank="1" showInputMessage="1" showErrorMessage="1" prompt="Profit per Item including shipping cost is automatically calculated in this column under this heading" sqref="H7:I7" xr:uid="{0D262B7A-B7E0-4F3B-A4CE-FB8C5501CF1A}"/>
    <dataValidation allowBlank="1" showInputMessage="1" showErrorMessage="1" prompt="Enter sales Item in this column under this heading" sqref="D7" xr:uid="{0EEEFBA4-9C19-4A48-88B0-2EE6BAAEACE0}"/>
    <dataValidation allowBlank="1" showInputMessage="1" showErrorMessage="1" prompt="Enter total number of items sold in this column under this heading" sqref="G7" xr:uid="{AFD63DC1-2CED-4033-87EA-F225C37934B1}"/>
    <dataValidation allowBlank="1" showInputMessage="1" showErrorMessage="1" prompt="Title of this worksheet is in this cell. Product Profit Per Item column chart is in cell B3 and % Income Per Product pie chart is in cell I3" sqref="K4 P4 F3:I3" xr:uid="{1662CA9C-4BB0-4603-BAEE-17D361874700}"/>
  </dataValidations>
  <printOptions horizontalCentered="1"/>
  <pageMargins left="0.25" right="0.25" top="0.75" bottom="0.75" header="0.3" footer="0.3"/>
  <pageSetup scale="59" fitToHeight="0" orientation="landscape" r:id="rId1"/>
  <headerFooter differentFirst="1">
    <oddFooter>&amp;CPage &amp;P of &amp;N</oddFooter>
  </headerFooter>
  <ignoredErrors>
    <ignoredError sqref="F8" formula="1"/>
  </ignoredErrors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7EB7E-D477-403E-A44F-9FE236A7DABA}">
  <sheetPr codeName="Sheet4"/>
  <dimension ref="A1:K382"/>
  <sheetViews>
    <sheetView tabSelected="1" zoomScale="90" zoomScaleNormal="90" workbookViewId="0">
      <pane xSplit="3" ySplit="1" topLeftCell="D2" activePane="bottomRight" state="frozen"/>
      <selection pane="bottomRight" activeCell="I1" sqref="I1"/>
      <selection pane="bottomLeft" activeCell="F2" sqref="F2:J442"/>
      <selection pane="topRight" activeCell="F2" sqref="F2:J442"/>
    </sheetView>
  </sheetViews>
  <sheetFormatPr defaultRowHeight="18" customHeight="1"/>
  <cols>
    <col min="1" max="1" width="9.21875" customWidth="1"/>
    <col min="2" max="2" width="14" hidden="1" customWidth="1"/>
    <col min="3" max="3" width="38.6640625" bestFit="1" customWidth="1"/>
    <col min="4" max="4" width="17.33203125" bestFit="1" customWidth="1"/>
    <col min="5" max="5" width="17.6640625" customWidth="1"/>
    <col min="6" max="6" width="16.6640625" customWidth="1"/>
    <col min="7" max="11" width="11.21875" customWidth="1"/>
  </cols>
  <sheetData>
    <row r="1" spans="1:11" ht="61.5" customHeight="1">
      <c r="A1" s="44" t="s">
        <v>796</v>
      </c>
      <c r="B1" s="44" t="s">
        <v>797</v>
      </c>
      <c r="C1" s="44" t="s">
        <v>798</v>
      </c>
      <c r="D1" s="44" t="s">
        <v>799</v>
      </c>
      <c r="E1" s="44" t="s">
        <v>800</v>
      </c>
      <c r="F1" s="44" t="s">
        <v>801</v>
      </c>
      <c r="G1" s="44" t="s">
        <v>802</v>
      </c>
      <c r="H1" s="44" t="s">
        <v>803</v>
      </c>
      <c r="I1" s="44" t="s">
        <v>804</v>
      </c>
      <c r="J1" s="44" t="s">
        <v>805</v>
      </c>
      <c r="K1" s="44" t="s">
        <v>806</v>
      </c>
    </row>
    <row r="2" spans="1:11" ht="18" customHeight="1">
      <c r="A2" s="54">
        <v>2476400</v>
      </c>
      <c r="B2" s="54" t="str">
        <f>_xlfn.XLOOKUP(A2,'Data 2024'!A:A,'Data 2024'!D:D)</f>
        <v>Region 1</v>
      </c>
      <c r="C2" s="57" t="s">
        <v>807</v>
      </c>
      <c r="D2" s="57" t="s">
        <v>808</v>
      </c>
      <c r="E2" s="57" t="s">
        <v>809</v>
      </c>
      <c r="F2" s="57" t="s">
        <v>810</v>
      </c>
      <c r="G2" s="55">
        <f>_xlfn.XLOOKUP($A2,'Data 2024'!$A:$A,'Data 2024'!I:I)/_xlfn.XLOOKUP($B2,'Category Averages'!$A$2:$A$4,'Category Averages'!$B$2:$B$4)</f>
        <v>0.58523611712927914</v>
      </c>
      <c r="H2" s="55">
        <f>_xlfn.XLOOKUP($A2,'Data 2024'!$A:$A,'Data 2024'!J:J)/_xlfn.XLOOKUP($B2,'Category Averages'!$A$2:$A$4,'Category Averages'!C$2:C$4)</f>
        <v>0</v>
      </c>
      <c r="I2" s="55">
        <f>_xlfn.XLOOKUP($A2,'Data 2024'!$A:$A,'Data 2024'!K:K)/_xlfn.XLOOKUP($B2,'Category Averages'!$A$2:$A$4,'Category Averages'!D$2:D$4)</f>
        <v>0.80169363359877543</v>
      </c>
      <c r="J2" s="63">
        <f>_xlfn.XLOOKUP($A2,'Data 2024'!$A:$A,'Data 2024'!P:P)/_xlfn.XLOOKUP($B2,'Category Averages'!$A$2:$A$4,'Category Averages'!E$2:E$4)</f>
        <v>0.6708178901693721</v>
      </c>
      <c r="K2" s="63">
        <f>_xlfn.XLOOKUP($A2,'Data 2024'!$A:$A,'Data 2024'!Q:Q)/_xlfn.XLOOKUP($B2,'Category Averages'!$A$2:$A$4,'Category Averages'!F$2:F$4)</f>
        <v>0.60320767791736274</v>
      </c>
    </row>
    <row r="3" spans="1:11" ht="18" customHeight="1">
      <c r="A3" s="56">
        <v>2479700</v>
      </c>
      <c r="B3" s="54" t="str">
        <f>_xlfn.XLOOKUP(A3,'Data 2024'!A:A,'Data 2024'!D:D)</f>
        <v>Region 2</v>
      </c>
      <c r="C3" s="58" t="s">
        <v>811</v>
      </c>
      <c r="D3" s="58" t="s">
        <v>808</v>
      </c>
      <c r="E3" s="58" t="s">
        <v>809</v>
      </c>
      <c r="F3" s="58" t="s">
        <v>812</v>
      </c>
      <c r="G3" s="55">
        <f>_xlfn.XLOOKUP($A3,'Data 2024'!$A:$A,'Data 2024'!I:I)/_xlfn.XLOOKUP($B3,'Category Averages'!$A$2:$A$4,'Category Averages'!$B$2:$B$4)</f>
        <v>0.39770394543427023</v>
      </c>
      <c r="H3" s="55">
        <f>_xlfn.XLOOKUP($A3,'Data 2024'!$A:$A,'Data 2024'!J:J)/_xlfn.XLOOKUP($B3,'Category Averages'!$A$2:$A$4,'Category Averages'!C$2:C$4)</f>
        <v>0.422240315947428</v>
      </c>
      <c r="I3" s="55">
        <f>_xlfn.XLOOKUP($A3,'Data 2024'!$A:$A,'Data 2024'!K:K)/_xlfn.XLOOKUP($B3,'Category Averages'!$A$2:$A$4,'Category Averages'!D$2:D$4)</f>
        <v>0.55217954786436629</v>
      </c>
      <c r="J3" s="63">
        <f>_xlfn.XLOOKUP($A3,'Data 2024'!$A:$A,'Data 2024'!P:P)/_xlfn.XLOOKUP($B3,'Category Averages'!$A$2:$A$4,'Category Averages'!E$2:E$4)</f>
        <v>1.6126774835512507</v>
      </c>
      <c r="K3" s="63">
        <f>_xlfn.XLOOKUP($A3,'Data 2024'!$A:$A,'Data 2024'!Q:Q)/_xlfn.XLOOKUP($B3,'Category Averages'!$A$2:$A$4,'Category Averages'!F$2:F$4)</f>
        <v>1.2572401197700203</v>
      </c>
    </row>
    <row r="4" spans="1:11" ht="18" customHeight="1">
      <c r="A4" s="56">
        <v>2496700</v>
      </c>
      <c r="B4" s="54" t="str">
        <f>_xlfn.XLOOKUP(A4,'Data 2024'!A:A,'Data 2024'!D:D)</f>
        <v>Region 1</v>
      </c>
      <c r="C4" s="58" t="s">
        <v>813</v>
      </c>
      <c r="D4" s="58" t="s">
        <v>808</v>
      </c>
      <c r="E4" s="58" t="s">
        <v>814</v>
      </c>
      <c r="F4" s="58" t="s">
        <v>815</v>
      </c>
      <c r="G4" s="55">
        <f>_xlfn.XLOOKUP($A4,'Data 2024'!$A:$A,'Data 2024'!I:I)/_xlfn.XLOOKUP($B4,'Category Averages'!$A$2:$A$4,'Category Averages'!$B$2:$B$4)</f>
        <v>0.87903742593655587</v>
      </c>
      <c r="H4" s="55">
        <f>_xlfn.XLOOKUP($A4,'Data 2024'!$A:$A,'Data 2024'!J:J)/_xlfn.XLOOKUP($B4,'Category Averages'!$A$2:$A$4,'Category Averages'!C$2:C$4)</f>
        <v>2.068923818655735</v>
      </c>
      <c r="I4" s="55">
        <f>_xlfn.XLOOKUP($A4,'Data 2024'!$A:$A,'Data 2024'!K:K)/_xlfn.XLOOKUP($B4,'Category Averages'!$A$2:$A$4,'Category Averages'!D$2:D$4)</f>
        <v>0.88821619510748806</v>
      </c>
      <c r="J4" s="63">
        <f>_xlfn.XLOOKUP($A4,'Data 2024'!$A:$A,'Data 2024'!P:P)/_xlfn.XLOOKUP($B4,'Category Averages'!$A$2:$A$4,'Category Averages'!E$2:E$4)</f>
        <v>0.72566762350650449</v>
      </c>
      <c r="K4" s="63">
        <f>_xlfn.XLOOKUP($A4,'Data 2024'!$A:$A,'Data 2024'!Q:Q)/_xlfn.XLOOKUP($B4,'Category Averages'!$A$2:$A$4,'Category Averages'!F$2:F$4)</f>
        <v>0.79510479253153332</v>
      </c>
    </row>
    <row r="5" spans="1:11" ht="18" customHeight="1">
      <c r="A5" s="54">
        <v>2506300</v>
      </c>
      <c r="B5" s="54" t="str">
        <f>_xlfn.XLOOKUP(A5,'Data 2024'!A:A,'Data 2024'!D:D)</f>
        <v>Region 2</v>
      </c>
      <c r="C5" s="57" t="s">
        <v>816</v>
      </c>
      <c r="D5" s="57" t="s">
        <v>808</v>
      </c>
      <c r="E5" s="57" t="s">
        <v>809</v>
      </c>
      <c r="F5" s="57" t="s">
        <v>817</v>
      </c>
      <c r="G5" s="55">
        <f>_xlfn.XLOOKUP($A5,'Data 2024'!$A:$A,'Data 2024'!I:I)/_xlfn.XLOOKUP($B5,'Category Averages'!$A$2:$A$4,'Category Averages'!$B$2:$B$4)</f>
        <v>0.71417846067500912</v>
      </c>
      <c r="H5" s="55">
        <f>_xlfn.XLOOKUP($A5,'Data 2024'!$A:$A,'Data 2024'!J:J)/_xlfn.XLOOKUP($B5,'Category Averages'!$A$2:$A$4,'Category Averages'!C$2:C$4)</f>
        <v>0.68435217996352682</v>
      </c>
      <c r="I5" s="55">
        <f>_xlfn.XLOOKUP($A5,'Data 2024'!$A:$A,'Data 2024'!K:K)/_xlfn.XLOOKUP($B5,'Category Averages'!$A$2:$A$4,'Category Averages'!D$2:D$4)</f>
        <v>0.80451256027699092</v>
      </c>
      <c r="J5" s="63">
        <f>_xlfn.XLOOKUP($A5,'Data 2024'!$A:$A,'Data 2024'!P:P)/_xlfn.XLOOKUP($B5,'Category Averages'!$A$2:$A$4,'Category Averages'!E$2:E$4)</f>
        <v>1.0821438143512996</v>
      </c>
      <c r="K5" s="63">
        <f>_xlfn.XLOOKUP($A5,'Data 2024'!$A:$A,'Data 2024'!Q:Q)/_xlfn.XLOOKUP($B5,'Category Averages'!$A$2:$A$4,'Category Averages'!F$2:F$4)</f>
        <v>0.4959578891289832</v>
      </c>
    </row>
    <row r="6" spans="1:11" ht="18" customHeight="1">
      <c r="A6" s="56">
        <v>2515100</v>
      </c>
      <c r="B6" s="54" t="str">
        <f>_xlfn.XLOOKUP(A6,'Data 2024'!A:A,'Data 2024'!D:D)</f>
        <v>Region 2</v>
      </c>
      <c r="C6" s="58" t="s">
        <v>818</v>
      </c>
      <c r="D6" s="58" t="s">
        <v>808</v>
      </c>
      <c r="E6" s="58" t="s">
        <v>809</v>
      </c>
      <c r="F6" s="58" t="s">
        <v>819</v>
      </c>
      <c r="G6" s="55">
        <f>_xlfn.XLOOKUP($A6,'Data 2024'!$A:$A,'Data 2024'!I:I)/_xlfn.XLOOKUP($B6,'Category Averages'!$A$2:$A$4,'Category Averages'!$B$2:$B$4)</f>
        <v>0.74493254787003982</v>
      </c>
      <c r="H6" s="55">
        <f>_xlfn.XLOOKUP($A6,'Data 2024'!$A:$A,'Data 2024'!J:J)/_xlfn.XLOOKUP($B6,'Category Averages'!$A$2:$A$4,'Category Averages'!C$2:C$4)</f>
        <v>1.0080491758778281</v>
      </c>
      <c r="I6" s="55">
        <f>_xlfn.XLOOKUP($A6,'Data 2024'!$A:$A,'Data 2024'!K:K)/_xlfn.XLOOKUP($B6,'Category Averages'!$A$2:$A$4,'Category Averages'!D$2:D$4)</f>
        <v>0.7581939917224636</v>
      </c>
      <c r="J6" s="63">
        <f>_xlfn.XLOOKUP($A6,'Data 2024'!$A:$A,'Data 2024'!P:P)/_xlfn.XLOOKUP($B6,'Category Averages'!$A$2:$A$4,'Category Averages'!E$2:E$4)</f>
        <v>1.0896142917436187</v>
      </c>
      <c r="K6" s="63">
        <f>_xlfn.XLOOKUP($A6,'Data 2024'!$A:$A,'Data 2024'!Q:Q)/_xlfn.XLOOKUP($B6,'Category Averages'!$A$2:$A$4,'Category Averages'!F$2:F$4)</f>
        <v>0.71751454433062378</v>
      </c>
    </row>
    <row r="7" spans="1:11" ht="18" customHeight="1">
      <c r="A7" s="54">
        <v>2526600</v>
      </c>
      <c r="B7" s="54" t="str">
        <f>_xlfn.XLOOKUP(A7,'Data 2024'!A:A,'Data 2024'!D:D)</f>
        <v>Region 1</v>
      </c>
      <c r="C7" s="57" t="s">
        <v>820</v>
      </c>
      <c r="D7" s="57" t="s">
        <v>808</v>
      </c>
      <c r="E7" s="57" t="s">
        <v>821</v>
      </c>
      <c r="F7" s="57" t="s">
        <v>822</v>
      </c>
      <c r="G7" s="55">
        <f>_xlfn.XLOOKUP($A7,'Data 2024'!$A:$A,'Data 2024'!I:I)/_xlfn.XLOOKUP($B7,'Category Averages'!$A$2:$A$4,'Category Averages'!$B$2:$B$4)</f>
        <v>0.819293875621391</v>
      </c>
      <c r="H7" s="55">
        <f>_xlfn.XLOOKUP($A7,'Data 2024'!$A:$A,'Data 2024'!J:J)/_xlfn.XLOOKUP($B7,'Category Averages'!$A$2:$A$4,'Category Averages'!C$2:C$4)</f>
        <v>1.3475492538638743</v>
      </c>
      <c r="I7" s="55">
        <f>_xlfn.XLOOKUP($A7,'Data 2024'!$A:$A,'Data 2024'!K:K)/_xlfn.XLOOKUP($B7,'Category Averages'!$A$2:$A$4,'Category Averages'!D$2:D$4)</f>
        <v>1.2209775523055495</v>
      </c>
      <c r="J7" s="63">
        <f>_xlfn.XLOOKUP($A7,'Data 2024'!$A:$A,'Data 2024'!P:P)/_xlfn.XLOOKUP($B7,'Category Averages'!$A$2:$A$4,'Category Averages'!E$2:E$4)</f>
        <v>1.4715634887919962</v>
      </c>
      <c r="K7" s="63">
        <f>_xlfn.XLOOKUP($A7,'Data 2024'!$A:$A,'Data 2024'!Q:Q)/_xlfn.XLOOKUP($B7,'Category Averages'!$A$2:$A$4,'Category Averages'!F$2:F$4)</f>
        <v>2.0838197255960056</v>
      </c>
    </row>
    <row r="8" spans="1:11" ht="18" customHeight="1">
      <c r="A8" s="56">
        <v>2551300</v>
      </c>
      <c r="B8" s="54" t="str">
        <f>_xlfn.XLOOKUP(A8,'Data 2024'!A:A,'Data 2024'!D:D)</f>
        <v>Region 1</v>
      </c>
      <c r="C8" s="58" t="s">
        <v>823</v>
      </c>
      <c r="D8" s="58" t="s">
        <v>808</v>
      </c>
      <c r="E8" s="58" t="s">
        <v>809</v>
      </c>
      <c r="F8" s="58" t="s">
        <v>819</v>
      </c>
      <c r="G8" s="55">
        <f>_xlfn.XLOOKUP($A8,'Data 2024'!$A:$A,'Data 2024'!I:I)/_xlfn.XLOOKUP($B8,'Category Averages'!$A$2:$A$4,'Category Averages'!$B$2:$B$4)</f>
        <v>0.6816504609797106</v>
      </c>
      <c r="H8" s="55">
        <f>_xlfn.XLOOKUP($A8,'Data 2024'!$A:$A,'Data 2024'!J:J)/_xlfn.XLOOKUP($B8,'Category Averages'!$A$2:$A$4,'Category Averages'!C$2:C$4)</f>
        <v>1.4953621040274176</v>
      </c>
      <c r="I8" s="55">
        <f>_xlfn.XLOOKUP($A8,'Data 2024'!$A:$A,'Data 2024'!K:K)/_xlfn.XLOOKUP($B8,'Category Averages'!$A$2:$A$4,'Category Averages'!D$2:D$4)</f>
        <v>1.0691559878032928</v>
      </c>
      <c r="J8" s="63">
        <f>_xlfn.XLOOKUP($A8,'Data 2024'!$A:$A,'Data 2024'!P:P)/_xlfn.XLOOKUP($B8,'Category Averages'!$A$2:$A$4,'Category Averages'!E$2:E$4)</f>
        <v>1.1505189599170269</v>
      </c>
      <c r="K8" s="63">
        <f>_xlfn.XLOOKUP($A8,'Data 2024'!$A:$A,'Data 2024'!Q:Q)/_xlfn.XLOOKUP($B8,'Category Averages'!$A$2:$A$4,'Category Averages'!F$2:F$4)</f>
        <v>1.45933369426491</v>
      </c>
    </row>
    <row r="9" spans="1:11" ht="18" customHeight="1">
      <c r="A9" s="56">
        <v>2553500</v>
      </c>
      <c r="B9" s="54" t="str">
        <f>_xlfn.XLOOKUP(A9,'Data 2024'!A:A,'Data 2024'!D:D)</f>
        <v>Region 2</v>
      </c>
      <c r="C9" s="58" t="s">
        <v>824</v>
      </c>
      <c r="D9" s="58" t="s">
        <v>808</v>
      </c>
      <c r="E9" s="58" t="s">
        <v>809</v>
      </c>
      <c r="F9" s="58" t="s">
        <v>825</v>
      </c>
      <c r="G9" s="55">
        <f>_xlfn.XLOOKUP($A9,'Data 2024'!$A:$A,'Data 2024'!I:I)/_xlfn.XLOOKUP($B9,'Category Averages'!$A$2:$A$4,'Category Averages'!$B$2:$B$4)</f>
        <v>0.491804035966456</v>
      </c>
      <c r="H9" s="55">
        <f>_xlfn.XLOOKUP($A9,'Data 2024'!$A:$A,'Data 2024'!J:J)/_xlfn.XLOOKUP($B9,'Category Averages'!$A$2:$A$4,'Category Averages'!C$2:C$4)</f>
        <v>0.61315309270286045</v>
      </c>
      <c r="I9" s="55">
        <f>_xlfn.XLOOKUP($A9,'Data 2024'!$A:$A,'Data 2024'!K:K)/_xlfn.XLOOKUP($B9,'Category Averages'!$A$2:$A$4,'Category Averages'!D$2:D$4)</f>
        <v>0.79596412395560179</v>
      </c>
      <c r="J9" s="63">
        <f>_xlfn.XLOOKUP($A9,'Data 2024'!$A:$A,'Data 2024'!P:P)/_xlfn.XLOOKUP($B9,'Category Averages'!$A$2:$A$4,'Category Averages'!E$2:E$4)</f>
        <v>2.1544613346729178</v>
      </c>
      <c r="K9" s="63">
        <f>_xlfn.XLOOKUP($A9,'Data 2024'!$A:$A,'Data 2024'!Q:Q)/_xlfn.XLOOKUP($B9,'Category Averages'!$A$2:$A$4,'Category Averages'!F$2:F$4)</f>
        <v>2.5664315389991796</v>
      </c>
    </row>
    <row r="10" spans="1:11" ht="18" customHeight="1">
      <c r="A10" s="56">
        <v>2555200</v>
      </c>
      <c r="B10" s="54" t="str">
        <f>_xlfn.XLOOKUP(A10,'Data 2024'!A:A,'Data 2024'!D:D)</f>
        <v>Region 2</v>
      </c>
      <c r="C10" s="58" t="s">
        <v>826</v>
      </c>
      <c r="D10" s="58" t="s">
        <v>808</v>
      </c>
      <c r="E10" s="58" t="s">
        <v>809</v>
      </c>
      <c r="F10" s="58" t="s">
        <v>810</v>
      </c>
      <c r="G10" s="55">
        <f>_xlfn.XLOOKUP($A10,'Data 2024'!$A:$A,'Data 2024'!I:I)/_xlfn.XLOOKUP($B10,'Category Averages'!$A$2:$A$4,'Category Averages'!$B$2:$B$4)</f>
        <v>0.63752892928641558</v>
      </c>
      <c r="H10" s="55">
        <f>_xlfn.XLOOKUP($A10,'Data 2024'!$A:$A,'Data 2024'!J:J)/_xlfn.XLOOKUP($B10,'Category Averages'!$A$2:$A$4,'Category Averages'!C$2:C$4)</f>
        <v>0.79281541284228463</v>
      </c>
      <c r="I10" s="55">
        <f>_xlfn.XLOOKUP($A10,'Data 2024'!$A:$A,'Data 2024'!K:K)/_xlfn.XLOOKUP($B10,'Category Averages'!$A$2:$A$4,'Category Averages'!D$2:D$4)</f>
        <v>0.95108514083161277</v>
      </c>
      <c r="J10" s="63">
        <f>_xlfn.XLOOKUP($A10,'Data 2024'!$A:$A,'Data 2024'!P:P)/_xlfn.XLOOKUP($B10,'Category Averages'!$A$2:$A$4,'Category Averages'!E$2:E$4)</f>
        <v>1.2641131009778375</v>
      </c>
      <c r="K10" s="63">
        <f>_xlfn.XLOOKUP($A10,'Data 2024'!$A:$A,'Data 2024'!Q:Q)/_xlfn.XLOOKUP($B10,'Category Averages'!$A$2:$A$4,'Category Averages'!F$2:F$4)</f>
        <v>3.3683938713935584</v>
      </c>
    </row>
    <row r="11" spans="1:11" ht="18" customHeight="1">
      <c r="A11" s="56">
        <v>2581500</v>
      </c>
      <c r="B11" s="54" t="str">
        <f>_xlfn.XLOOKUP(A11,'Data 2024'!A:A,'Data 2024'!D:D)</f>
        <v>Region 2</v>
      </c>
      <c r="C11" s="58" t="s">
        <v>827</v>
      </c>
      <c r="D11" s="58" t="s">
        <v>808</v>
      </c>
      <c r="E11" s="58" t="s">
        <v>821</v>
      </c>
      <c r="F11" s="58" t="s">
        <v>828</v>
      </c>
      <c r="G11" s="55">
        <f>_xlfn.XLOOKUP($A11,'Data 2024'!$A:$A,'Data 2024'!I:I)/_xlfn.XLOOKUP($B11,'Category Averages'!$A$2:$A$4,'Category Averages'!$B$2:$B$4)</f>
        <v>0.64406222438121208</v>
      </c>
      <c r="H11" s="55">
        <f>_xlfn.XLOOKUP($A11,'Data 2024'!$A:$A,'Data 2024'!J:J)/_xlfn.XLOOKUP($B11,'Category Averages'!$A$2:$A$4,'Category Averages'!C$2:C$4)</f>
        <v>0.63227030267714313</v>
      </c>
      <c r="I11" s="55">
        <f>_xlfn.XLOOKUP($A11,'Data 2024'!$A:$A,'Data 2024'!K:K)/_xlfn.XLOOKUP($B11,'Category Averages'!$A$2:$A$4,'Category Averages'!D$2:D$4)</f>
        <v>1.1254495688632624</v>
      </c>
      <c r="J11" s="63">
        <f>_xlfn.XLOOKUP($A11,'Data 2024'!$A:$A,'Data 2024'!P:P)/_xlfn.XLOOKUP($B11,'Category Averages'!$A$2:$A$4,'Category Averages'!E$2:E$4)</f>
        <v>0.56468338121023665</v>
      </c>
      <c r="K11" s="63">
        <f>_xlfn.XLOOKUP($A11,'Data 2024'!$A:$A,'Data 2024'!Q:Q)/_xlfn.XLOOKUP($B11,'Category Averages'!$A$2:$A$4,'Category Averages'!F$2:F$4)</f>
        <v>0.66935252001850654</v>
      </c>
    </row>
    <row r="12" spans="1:11" ht="18" customHeight="1">
      <c r="A12" s="56">
        <v>2582200</v>
      </c>
      <c r="B12" s="54" t="str">
        <f>_xlfn.XLOOKUP(A12,'Data 2024'!A:A,'Data 2024'!D:D)</f>
        <v>Region 1</v>
      </c>
      <c r="C12" s="58" t="s">
        <v>829</v>
      </c>
      <c r="D12" s="58" t="s">
        <v>830</v>
      </c>
      <c r="E12" s="58" t="s">
        <v>831</v>
      </c>
      <c r="F12" s="58" t="s">
        <v>832</v>
      </c>
      <c r="G12" s="55">
        <f>_xlfn.XLOOKUP($A12,'Data 2024'!$A:$A,'Data 2024'!I:I)/_xlfn.XLOOKUP($B12,'Category Averages'!$A$2:$A$4,'Category Averages'!$B$2:$B$4)</f>
        <v>0.73443708726883705</v>
      </c>
      <c r="H12" s="55">
        <f>_xlfn.XLOOKUP($A12,'Data 2024'!$A:$A,'Data 2024'!J:J)/_xlfn.XLOOKUP($B12,'Category Averages'!$A$2:$A$4,'Category Averages'!C$2:C$4)</f>
        <v>2.0352208397972227</v>
      </c>
      <c r="I12" s="55">
        <f>_xlfn.XLOOKUP($A12,'Data 2024'!$A:$A,'Data 2024'!K:K)/_xlfn.XLOOKUP($B12,'Category Averages'!$A$2:$A$4,'Category Averages'!D$2:D$4)</f>
        <v>1.2209557073052564</v>
      </c>
      <c r="J12" s="63">
        <f>_xlfn.XLOOKUP($A12,'Data 2024'!$A:$A,'Data 2024'!P:P)/_xlfn.XLOOKUP($B12,'Category Averages'!$A$2:$A$4,'Category Averages'!E$2:E$4)</f>
        <v>1.0557612898010449</v>
      </c>
      <c r="K12" s="63">
        <f>_xlfn.XLOOKUP($A12,'Data 2024'!$A:$A,'Data 2024'!Q:Q)/_xlfn.XLOOKUP($B12,'Category Averages'!$A$2:$A$4,'Category Averages'!F$2:F$4)</f>
        <v>0.86872596223423015</v>
      </c>
    </row>
    <row r="13" spans="1:11" ht="18" customHeight="1">
      <c r="A13" s="56">
        <v>2583300</v>
      </c>
      <c r="B13" s="54" t="str">
        <f>_xlfn.XLOOKUP(A13,'Data 2024'!A:A,'Data 2024'!D:D)</f>
        <v>Region 12</v>
      </c>
      <c r="C13" s="58" t="s">
        <v>833</v>
      </c>
      <c r="D13" s="58" t="s">
        <v>808</v>
      </c>
      <c r="E13" s="58" t="s">
        <v>821</v>
      </c>
      <c r="F13" s="58" t="s">
        <v>834</v>
      </c>
      <c r="G13" s="55">
        <f>_xlfn.XLOOKUP($A13,'Data 2024'!$A:$A,'Data 2024'!I:I)/_xlfn.XLOOKUP($B13,'Category Averages'!$A$2:$A$4,'Category Averages'!$B$2:$B$4)</f>
        <v>1.5141456222584717</v>
      </c>
      <c r="H13" s="55" t="e">
        <f>_xlfn.XLOOKUP($A13,'Data 2024'!$A:$A,'Data 2024'!J:J)/_xlfn.XLOOKUP($B13,'Category Averages'!$A$2:$A$4,'Category Averages'!C$2:C$4)</f>
        <v>#DIV/0!</v>
      </c>
      <c r="I13" s="55">
        <f>_xlfn.XLOOKUP($A13,'Data 2024'!$A:$A,'Data 2024'!K:K)/_xlfn.XLOOKUP($B13,'Category Averages'!$A$2:$A$4,'Category Averages'!D$2:D$4)</f>
        <v>0.50562643859904288</v>
      </c>
      <c r="J13" s="63">
        <f>_xlfn.XLOOKUP($A13,'Data 2024'!$A:$A,'Data 2024'!P:P)/_xlfn.XLOOKUP($B13,'Category Averages'!$A$2:$A$4,'Category Averages'!E$2:E$4)</f>
        <v>0.16314418220952054</v>
      </c>
      <c r="K13" s="63">
        <f>_xlfn.XLOOKUP($A13,'Data 2024'!$A:$A,'Data 2024'!Q:Q)/_xlfn.XLOOKUP($B13,'Category Averages'!$A$2:$A$4,'Category Averages'!F$2:F$4)</f>
        <v>0.31090684071859254</v>
      </c>
    </row>
    <row r="14" spans="1:11" ht="18" customHeight="1">
      <c r="A14" s="56">
        <v>2584400</v>
      </c>
      <c r="B14" s="54" t="str">
        <f>_xlfn.XLOOKUP(A14,'Data 2024'!A:A,'Data 2024'!D:D)</f>
        <v>Region 2</v>
      </c>
      <c r="C14" s="58" t="s">
        <v>835</v>
      </c>
      <c r="D14" s="58" t="s">
        <v>808</v>
      </c>
      <c r="E14" s="58" t="s">
        <v>809</v>
      </c>
      <c r="F14" s="58" t="s">
        <v>836</v>
      </c>
      <c r="G14" s="55">
        <f>_xlfn.XLOOKUP($A14,'Data 2024'!$A:$A,'Data 2024'!I:I)/_xlfn.XLOOKUP($B14,'Category Averages'!$A$2:$A$4,'Category Averages'!$B$2:$B$4)</f>
        <v>0.62835985539315975</v>
      </c>
      <c r="H14" s="55">
        <f>_xlfn.XLOOKUP($A14,'Data 2024'!$A:$A,'Data 2024'!J:J)/_xlfn.XLOOKUP($B14,'Category Averages'!$A$2:$A$4,'Category Averages'!C$2:C$4)</f>
        <v>0.52102508665241387</v>
      </c>
      <c r="I14" s="55">
        <f>_xlfn.XLOOKUP($A14,'Data 2024'!$A:$A,'Data 2024'!K:K)/_xlfn.XLOOKUP($B14,'Category Averages'!$A$2:$A$4,'Category Averages'!D$2:D$4)</f>
        <v>0.91544879819233826</v>
      </c>
      <c r="J14" s="63">
        <f>_xlfn.XLOOKUP($A14,'Data 2024'!$A:$A,'Data 2024'!P:P)/_xlfn.XLOOKUP($B14,'Category Averages'!$A$2:$A$4,'Category Averages'!E$2:E$4)</f>
        <v>0.70459990488861957</v>
      </c>
      <c r="K14" s="63">
        <f>_xlfn.XLOOKUP($A14,'Data 2024'!$A:$A,'Data 2024'!Q:Q)/_xlfn.XLOOKUP($B14,'Category Averages'!$A$2:$A$4,'Category Averages'!F$2:F$4)</f>
        <v>0.49625757848762331</v>
      </c>
    </row>
    <row r="15" spans="1:11" ht="18" customHeight="1">
      <c r="A15" s="56">
        <v>2589600</v>
      </c>
      <c r="B15" s="54" t="str">
        <f>_xlfn.XLOOKUP(A15,'Data 2024'!A:A,'Data 2024'!D:D)</f>
        <v>Region 2</v>
      </c>
      <c r="C15" s="58" t="s">
        <v>837</v>
      </c>
      <c r="D15" s="58" t="s">
        <v>808</v>
      </c>
      <c r="E15" s="58" t="s">
        <v>838</v>
      </c>
      <c r="F15" s="58" t="s">
        <v>839</v>
      </c>
      <c r="G15" s="55">
        <f>_xlfn.XLOOKUP($A15,'Data 2024'!$A:$A,'Data 2024'!I:I)/_xlfn.XLOOKUP($B15,'Category Averages'!$A$2:$A$4,'Category Averages'!$B$2:$B$4)</f>
        <v>0.60162382374735901</v>
      </c>
      <c r="H15" s="55">
        <f>_xlfn.XLOOKUP($A15,'Data 2024'!$A:$A,'Data 2024'!J:J)/_xlfn.XLOOKUP($B15,'Category Averages'!$A$2:$A$4,'Category Averages'!C$2:C$4)</f>
        <v>0.94705080554937537</v>
      </c>
      <c r="I15" s="55">
        <f>_xlfn.XLOOKUP($A15,'Data 2024'!$A:$A,'Data 2024'!K:K)/_xlfn.XLOOKUP($B15,'Category Averages'!$A$2:$A$4,'Category Averages'!D$2:D$4)</f>
        <v>0.8929204333192059</v>
      </c>
      <c r="J15" s="63">
        <f>_xlfn.XLOOKUP($A15,'Data 2024'!$A:$A,'Data 2024'!P:P)/_xlfn.XLOOKUP($B15,'Category Averages'!$A$2:$A$4,'Category Averages'!E$2:E$4)</f>
        <v>0.73208599363500038</v>
      </c>
      <c r="K15" s="63">
        <f>_xlfn.XLOOKUP($A15,'Data 2024'!$A:$A,'Data 2024'!Q:Q)/_xlfn.XLOOKUP($B15,'Category Averages'!$A$2:$A$4,'Category Averages'!F$2:F$4)</f>
        <v>0.87593624902256795</v>
      </c>
    </row>
    <row r="16" spans="1:11" ht="18" customHeight="1">
      <c r="A16" s="56">
        <v>2592900</v>
      </c>
      <c r="B16" s="54" t="str">
        <f>_xlfn.XLOOKUP(A16,'Data 2024'!A:A,'Data 2024'!D:D)</f>
        <v>Region 2</v>
      </c>
      <c r="C16" s="58" t="s">
        <v>840</v>
      </c>
      <c r="D16" s="58" t="s">
        <v>808</v>
      </c>
      <c r="E16" s="58" t="s">
        <v>809</v>
      </c>
      <c r="F16" s="58" t="s">
        <v>841</v>
      </c>
      <c r="G16" s="55">
        <f>_xlfn.XLOOKUP($A16,'Data 2024'!$A:$A,'Data 2024'!I:I)/_xlfn.XLOOKUP($B16,'Category Averages'!$A$2:$A$4,'Category Averages'!$B$2:$B$4)</f>
        <v>0.47267506618593103</v>
      </c>
      <c r="H16" s="55">
        <f>_xlfn.XLOOKUP($A16,'Data 2024'!$A:$A,'Data 2024'!J:J)/_xlfn.XLOOKUP($B16,'Category Averages'!$A$2:$A$4,'Category Averages'!C$2:C$4)</f>
        <v>0.523218147393397</v>
      </c>
      <c r="I16" s="55">
        <f>_xlfn.XLOOKUP($A16,'Data 2024'!$A:$A,'Data 2024'!K:K)/_xlfn.XLOOKUP($B16,'Category Averages'!$A$2:$A$4,'Category Averages'!D$2:D$4)</f>
        <v>0.80728385033808547</v>
      </c>
      <c r="J16" s="63">
        <f>_xlfn.XLOOKUP($A16,'Data 2024'!$A:$A,'Data 2024'!P:P)/_xlfn.XLOOKUP($B16,'Category Averages'!$A$2:$A$4,'Category Averages'!E$2:E$4)</f>
        <v>0.66052268388797908</v>
      </c>
      <c r="K16" s="63">
        <f>_xlfn.XLOOKUP($A16,'Data 2024'!$A:$A,'Data 2024'!Q:Q)/_xlfn.XLOOKUP($B16,'Category Averages'!$A$2:$A$4,'Category Averages'!F$2:F$4)</f>
        <v>0.80759699293998122</v>
      </c>
    </row>
    <row r="17" spans="1:11" ht="18" customHeight="1">
      <c r="A17" s="56">
        <v>2598500</v>
      </c>
      <c r="B17" s="54" t="str">
        <f>_xlfn.XLOOKUP(A17,'Data 2024'!A:A,'Data 2024'!D:D)</f>
        <v>Region 1</v>
      </c>
      <c r="C17" s="58" t="s">
        <v>842</v>
      </c>
      <c r="D17" s="58" t="s">
        <v>808</v>
      </c>
      <c r="E17" s="58" t="s">
        <v>843</v>
      </c>
      <c r="F17" s="58" t="s">
        <v>844</v>
      </c>
      <c r="G17" s="55">
        <f>_xlfn.XLOOKUP($A17,'Data 2024'!$A:$A,'Data 2024'!I:I)/_xlfn.XLOOKUP($B17,'Category Averages'!$A$2:$A$4,'Category Averages'!$B$2:$B$4)</f>
        <v>0.87264923623281188</v>
      </c>
      <c r="H17" s="55">
        <f>_xlfn.XLOOKUP($A17,'Data 2024'!$A:$A,'Data 2024'!J:J)/_xlfn.XLOOKUP($B17,'Category Averages'!$A$2:$A$4,'Category Averages'!C$2:C$4)</f>
        <v>2.3600677951725544</v>
      </c>
      <c r="I17" s="55">
        <f>_xlfn.XLOOKUP($A17,'Data 2024'!$A:$A,'Data 2024'!K:K)/_xlfn.XLOOKUP($B17,'Category Averages'!$A$2:$A$4,'Category Averages'!D$2:D$4)</f>
        <v>1.0450635450045616</v>
      </c>
      <c r="J17" s="63">
        <f>_xlfn.XLOOKUP($A17,'Data 2024'!$A:$A,'Data 2024'!P:P)/_xlfn.XLOOKUP($B17,'Category Averages'!$A$2:$A$4,'Category Averages'!E$2:E$4)</f>
        <v>1.0821766105901558</v>
      </c>
      <c r="K17" s="63">
        <f>_xlfn.XLOOKUP($A17,'Data 2024'!$A:$A,'Data 2024'!Q:Q)/_xlfn.XLOOKUP($B17,'Category Averages'!$A$2:$A$4,'Category Averages'!F$2:F$4)</f>
        <v>1.0792250024033634</v>
      </c>
    </row>
    <row r="18" spans="1:11" ht="18" customHeight="1">
      <c r="A18" s="56">
        <v>2600300</v>
      </c>
      <c r="B18" s="54" t="str">
        <f>_xlfn.XLOOKUP(A18,'Data 2024'!A:A,'Data 2024'!D:D)</f>
        <v>Region 1</v>
      </c>
      <c r="C18" s="58" t="s">
        <v>845</v>
      </c>
      <c r="D18" s="58" t="s">
        <v>808</v>
      </c>
      <c r="E18" s="58" t="s">
        <v>838</v>
      </c>
      <c r="F18" s="58" t="s">
        <v>846</v>
      </c>
      <c r="G18" s="55">
        <f>_xlfn.XLOOKUP($A18,'Data 2024'!$A:$A,'Data 2024'!I:I)/_xlfn.XLOOKUP($B18,'Category Averages'!$A$2:$A$4,'Category Averages'!$B$2:$B$4)</f>
        <v>0.97711495290413219</v>
      </c>
      <c r="H18" s="55">
        <f>_xlfn.XLOOKUP($A18,'Data 2024'!$A:$A,'Data 2024'!J:J)/_xlfn.XLOOKUP($B18,'Category Averages'!$A$2:$A$4,'Category Averages'!C$2:C$4)</f>
        <v>0</v>
      </c>
      <c r="I18" s="55">
        <f>_xlfn.XLOOKUP($A18,'Data 2024'!$A:$A,'Data 2024'!K:K)/_xlfn.XLOOKUP($B18,'Category Averages'!$A$2:$A$4,'Category Averages'!D$2:D$4)</f>
        <v>1.2265114082544597</v>
      </c>
      <c r="J18" s="63">
        <f>_xlfn.XLOOKUP($A18,'Data 2024'!$A:$A,'Data 2024'!P:P)/_xlfn.XLOOKUP($B18,'Category Averages'!$A$2:$A$4,'Category Averages'!E$2:E$4)</f>
        <v>0.88874091339574712</v>
      </c>
      <c r="K18" s="63">
        <f>_xlfn.XLOOKUP($A18,'Data 2024'!$A:$A,'Data 2024'!Q:Q)/_xlfn.XLOOKUP($B18,'Category Averages'!$A$2:$A$4,'Category Averages'!F$2:F$4)</f>
        <v>1.0017036146821552</v>
      </c>
    </row>
    <row r="19" spans="1:11" ht="18" customHeight="1">
      <c r="A19" s="56">
        <v>2603600</v>
      </c>
      <c r="B19" s="54" t="str">
        <f>_xlfn.XLOOKUP(A19,'Data 2024'!A:A,'Data 2024'!D:D)</f>
        <v>Region 2</v>
      </c>
      <c r="C19" s="58" t="s">
        <v>847</v>
      </c>
      <c r="D19" s="58" t="s">
        <v>808</v>
      </c>
      <c r="E19" s="58" t="s">
        <v>821</v>
      </c>
      <c r="F19" s="58" t="s">
        <v>834</v>
      </c>
      <c r="G19" s="55">
        <f>_xlfn.XLOOKUP($A19,'Data 2024'!$A:$A,'Data 2024'!I:I)/_xlfn.XLOOKUP($B19,'Category Averages'!$A$2:$A$4,'Category Averages'!$B$2:$B$4)</f>
        <v>0.68002802798803863</v>
      </c>
      <c r="H19" s="55">
        <f>_xlfn.XLOOKUP($A19,'Data 2024'!$A:$A,'Data 2024'!J:J)/_xlfn.XLOOKUP($B19,'Category Averages'!$A$2:$A$4,'Category Averages'!C$2:C$4)</f>
        <v>0.71542151672304344</v>
      </c>
      <c r="I19" s="55">
        <f>_xlfn.XLOOKUP($A19,'Data 2024'!$A:$A,'Data 2024'!K:K)/_xlfn.XLOOKUP($B19,'Category Averages'!$A$2:$A$4,'Category Averages'!D$2:D$4)</f>
        <v>0.9170133061141752</v>
      </c>
      <c r="J19" s="63">
        <f>_xlfn.XLOOKUP($A19,'Data 2024'!$A:$A,'Data 2024'!P:P)/_xlfn.XLOOKUP($B19,'Category Averages'!$A$2:$A$4,'Category Averages'!E$2:E$4)</f>
        <v>1.0887512361348228</v>
      </c>
      <c r="K19" s="63">
        <f>_xlfn.XLOOKUP($A19,'Data 2024'!$A:$A,'Data 2024'!Q:Q)/_xlfn.XLOOKUP($B19,'Category Averages'!$A$2:$A$4,'Category Averages'!F$2:F$4)</f>
        <v>0.40375101603462937</v>
      </c>
    </row>
    <row r="20" spans="1:11" ht="18" customHeight="1">
      <c r="A20" s="56">
        <v>2605500</v>
      </c>
      <c r="B20" s="54" t="str">
        <f>_xlfn.XLOOKUP(A20,'Data 2024'!A:A,'Data 2024'!D:D)</f>
        <v>Region 2</v>
      </c>
      <c r="C20" s="58" t="s">
        <v>848</v>
      </c>
      <c r="D20" s="58" t="s">
        <v>808</v>
      </c>
      <c r="E20" s="58" t="s">
        <v>809</v>
      </c>
      <c r="F20" s="58" t="s">
        <v>812</v>
      </c>
      <c r="G20" s="55">
        <f>_xlfn.XLOOKUP($A20,'Data 2024'!$A:$A,'Data 2024'!I:I)/_xlfn.XLOOKUP($B20,'Category Averages'!$A$2:$A$4,'Category Averages'!$B$2:$B$4)</f>
        <v>0.4347630441265018</v>
      </c>
      <c r="H20" s="55">
        <f>_xlfn.XLOOKUP($A20,'Data 2024'!$A:$A,'Data 2024'!J:J)/_xlfn.XLOOKUP($B20,'Category Averages'!$A$2:$A$4,'Category Averages'!C$2:C$4)</f>
        <v>0.56291634526393786</v>
      </c>
      <c r="I20" s="55">
        <f>_xlfn.XLOOKUP($A20,'Data 2024'!$A:$A,'Data 2024'!K:K)/_xlfn.XLOOKUP($B20,'Category Averages'!$A$2:$A$4,'Category Averages'!D$2:D$4)</f>
        <v>0.75915160453299257</v>
      </c>
      <c r="J20" s="63">
        <f>_xlfn.XLOOKUP($A20,'Data 2024'!$A:$A,'Data 2024'!P:P)/_xlfn.XLOOKUP($B20,'Category Averages'!$A$2:$A$4,'Category Averages'!E$2:E$4)</f>
        <v>1.1651523633026104</v>
      </c>
      <c r="K20" s="63">
        <f>_xlfn.XLOOKUP($A20,'Data 2024'!$A:$A,'Data 2024'!Q:Q)/_xlfn.XLOOKUP($B20,'Category Averages'!$A$2:$A$4,'Category Averages'!F$2:F$4)</f>
        <v>0.96881853752444602</v>
      </c>
    </row>
    <row r="21" spans="1:11" ht="18" customHeight="1">
      <c r="A21" s="56">
        <v>2607700</v>
      </c>
      <c r="B21" s="54" t="str">
        <f>_xlfn.XLOOKUP(A21,'Data 2024'!A:A,'Data 2024'!D:D)</f>
        <v>Region 1</v>
      </c>
      <c r="C21" s="58" t="s">
        <v>849</v>
      </c>
      <c r="D21" s="58" t="s">
        <v>808</v>
      </c>
      <c r="E21" s="58" t="s">
        <v>821</v>
      </c>
      <c r="F21" s="58" t="s">
        <v>839</v>
      </c>
      <c r="G21" s="55">
        <f>_xlfn.XLOOKUP($A21,'Data 2024'!$A:$A,'Data 2024'!I:I)/_xlfn.XLOOKUP($B21,'Category Averages'!$A$2:$A$4,'Category Averages'!$B$2:$B$4)</f>
        <v>0.5475683470169177</v>
      </c>
      <c r="H21" s="55">
        <f>_xlfn.XLOOKUP($A21,'Data 2024'!$A:$A,'Data 2024'!J:J)/_xlfn.XLOOKUP($B21,'Category Averages'!$A$2:$A$4,'Category Averages'!C$2:C$4)</f>
        <v>0</v>
      </c>
      <c r="I21" s="55">
        <f>_xlfn.XLOOKUP($A21,'Data 2024'!$A:$A,'Data 2024'!K:K)/_xlfn.XLOOKUP($B21,'Category Averages'!$A$2:$A$4,'Category Averages'!D$2:D$4)</f>
        <v>0.5600222526509171</v>
      </c>
      <c r="J21" s="63">
        <f>_xlfn.XLOOKUP($A21,'Data 2024'!$A:$A,'Data 2024'!P:P)/_xlfn.XLOOKUP($B21,'Category Averages'!$A$2:$A$4,'Category Averages'!E$2:E$4)</f>
        <v>1.0189352103317026</v>
      </c>
      <c r="K21" s="63">
        <f>_xlfn.XLOOKUP($A21,'Data 2024'!$A:$A,'Data 2024'!Q:Q)/_xlfn.XLOOKUP($B21,'Category Averages'!$A$2:$A$4,'Category Averages'!F$2:F$4)</f>
        <v>0.53954217212633926</v>
      </c>
    </row>
    <row r="22" spans="1:11" ht="18" customHeight="1">
      <c r="A22" s="56">
        <v>2608800</v>
      </c>
      <c r="B22" s="54" t="str">
        <f>_xlfn.XLOOKUP(A22,'Data 2024'!A:A,'Data 2024'!D:D)</f>
        <v>Region 1</v>
      </c>
      <c r="C22" s="58" t="s">
        <v>850</v>
      </c>
      <c r="D22" s="58" t="s">
        <v>808</v>
      </c>
      <c r="E22" s="58" t="s">
        <v>821</v>
      </c>
      <c r="F22" s="58" t="s">
        <v>851</v>
      </c>
      <c r="G22" s="55">
        <f>_xlfn.XLOOKUP($A22,'Data 2024'!$A:$A,'Data 2024'!I:I)/_xlfn.XLOOKUP($B22,'Category Averages'!$A$2:$A$4,'Category Averages'!$B$2:$B$4)</f>
        <v>0.67056535694140129</v>
      </c>
      <c r="H22" s="55">
        <f>_xlfn.XLOOKUP($A22,'Data 2024'!$A:$A,'Data 2024'!J:J)/_xlfn.XLOOKUP($B22,'Category Averages'!$A$2:$A$4,'Category Averages'!C$2:C$4)</f>
        <v>1.9146988508241651</v>
      </c>
      <c r="I22" s="55">
        <f>_xlfn.XLOOKUP($A22,'Data 2024'!$A:$A,'Data 2024'!K:K)/_xlfn.XLOOKUP($B22,'Category Averages'!$A$2:$A$4,'Category Averages'!D$2:D$4)</f>
        <v>1.0765973098792192</v>
      </c>
      <c r="J22" s="63">
        <f>_xlfn.XLOOKUP($A22,'Data 2024'!$A:$A,'Data 2024'!P:P)/_xlfn.XLOOKUP($B22,'Category Averages'!$A$2:$A$4,'Category Averages'!E$2:E$4)</f>
        <v>0.485383046457528</v>
      </c>
      <c r="K22" s="63">
        <f>_xlfn.XLOOKUP($A22,'Data 2024'!$A:$A,'Data 2024'!Q:Q)/_xlfn.XLOOKUP($B22,'Category Averages'!$A$2:$A$4,'Category Averages'!F$2:F$4)</f>
        <v>0.11493325359257815</v>
      </c>
    </row>
    <row r="23" spans="1:11" ht="18" customHeight="1">
      <c r="A23" s="56">
        <v>2609900</v>
      </c>
      <c r="B23" s="54" t="str">
        <f>_xlfn.XLOOKUP(A23,'Data 2024'!A:A,'Data 2024'!D:D)</f>
        <v>Region 12</v>
      </c>
      <c r="C23" s="58" t="s">
        <v>852</v>
      </c>
      <c r="D23" s="58" t="s">
        <v>808</v>
      </c>
      <c r="E23" s="58" t="s">
        <v>821</v>
      </c>
      <c r="F23" s="58" t="s">
        <v>822</v>
      </c>
      <c r="G23" s="55">
        <f>_xlfn.XLOOKUP($A23,'Data 2024'!$A:$A,'Data 2024'!I:I)/_xlfn.XLOOKUP($B23,'Category Averages'!$A$2:$A$4,'Category Averages'!$B$2:$B$4)</f>
        <v>0.97879494574919457</v>
      </c>
      <c r="H23" s="55" t="e">
        <f>_xlfn.XLOOKUP($A23,'Data 2024'!$A:$A,'Data 2024'!J:J)/_xlfn.XLOOKUP($B23,'Category Averages'!$A$2:$A$4,'Category Averages'!C$2:C$4)</f>
        <v>#DIV/0!</v>
      </c>
      <c r="I23" s="55">
        <f>_xlfn.XLOOKUP($A23,'Data 2024'!$A:$A,'Data 2024'!K:K)/_xlfn.XLOOKUP($B23,'Category Averages'!$A$2:$A$4,'Category Averages'!D$2:D$4)</f>
        <v>0</v>
      </c>
      <c r="J23" s="63">
        <f>_xlfn.XLOOKUP($A23,'Data 2024'!$A:$A,'Data 2024'!P:P)/_xlfn.XLOOKUP($B23,'Category Averages'!$A$2:$A$4,'Category Averages'!E$2:E$4)</f>
        <v>0</v>
      </c>
      <c r="K23" s="63">
        <f>_xlfn.XLOOKUP($A23,'Data 2024'!$A:$A,'Data 2024'!Q:Q)/_xlfn.XLOOKUP($B23,'Category Averages'!$A$2:$A$4,'Category Averages'!F$2:F$4)</f>
        <v>1.4958586192356862</v>
      </c>
    </row>
    <row r="24" spans="1:11" ht="18" customHeight="1">
      <c r="A24" s="56">
        <v>2611000</v>
      </c>
      <c r="B24" s="54" t="str">
        <f>_xlfn.XLOOKUP(A24,'Data 2024'!A:A,'Data 2024'!D:D)</f>
        <v>Region 1</v>
      </c>
      <c r="C24" s="58" t="s">
        <v>853</v>
      </c>
      <c r="D24" s="58" t="s">
        <v>808</v>
      </c>
      <c r="E24" s="58" t="s">
        <v>809</v>
      </c>
      <c r="F24" s="58" t="s">
        <v>819</v>
      </c>
      <c r="G24" s="55">
        <f>_xlfn.XLOOKUP($A24,'Data 2024'!$A:$A,'Data 2024'!I:I)/_xlfn.XLOOKUP($B24,'Category Averages'!$A$2:$A$4,'Category Averages'!$B$2:$B$4)</f>
        <v>0.55930301323778109</v>
      </c>
      <c r="H24" s="55">
        <f>_xlfn.XLOOKUP($A24,'Data 2024'!$A:$A,'Data 2024'!J:J)/_xlfn.XLOOKUP($B24,'Category Averages'!$A$2:$A$4,'Category Averages'!C$2:C$4)</f>
        <v>0</v>
      </c>
      <c r="I24" s="55">
        <f>_xlfn.XLOOKUP($A24,'Data 2024'!$A:$A,'Data 2024'!K:K)/_xlfn.XLOOKUP($B24,'Category Averages'!$A$2:$A$4,'Category Averages'!D$2:D$4)</f>
        <v>0.97242941430789431</v>
      </c>
      <c r="J24" s="63">
        <f>_xlfn.XLOOKUP($A24,'Data 2024'!$A:$A,'Data 2024'!P:P)/_xlfn.XLOOKUP($B24,'Category Averages'!$A$2:$A$4,'Category Averages'!E$2:E$4)</f>
        <v>0.89322545810967791</v>
      </c>
      <c r="K24" s="63">
        <f>_xlfn.XLOOKUP($A24,'Data 2024'!$A:$A,'Data 2024'!Q:Q)/_xlfn.XLOOKUP($B24,'Category Averages'!$A$2:$A$4,'Category Averages'!F$2:F$4)</f>
        <v>1.5997857534212054</v>
      </c>
    </row>
    <row r="25" spans="1:11" ht="18" customHeight="1">
      <c r="A25" s="56">
        <v>2613200</v>
      </c>
      <c r="B25" s="54" t="str">
        <f>_xlfn.XLOOKUP(A25,'Data 2024'!A:A,'Data 2024'!D:D)</f>
        <v>Region 2</v>
      </c>
      <c r="C25" s="58" t="s">
        <v>854</v>
      </c>
      <c r="D25" s="58" t="s">
        <v>808</v>
      </c>
      <c r="E25" s="58" t="s">
        <v>821</v>
      </c>
      <c r="F25" s="58" t="s">
        <v>839</v>
      </c>
      <c r="G25" s="55">
        <f>_xlfn.XLOOKUP($A25,'Data 2024'!$A:$A,'Data 2024'!I:I)/_xlfn.XLOOKUP($B25,'Category Averages'!$A$2:$A$4,'Category Averages'!$B$2:$B$4)</f>
        <v>0.75941548726531116</v>
      </c>
      <c r="H25" s="55">
        <f>_xlfn.XLOOKUP($A25,'Data 2024'!$A:$A,'Data 2024'!J:J)/_xlfn.XLOOKUP($B25,'Category Averages'!$A$2:$A$4,'Category Averages'!C$2:C$4)</f>
        <v>1.4544917017295811</v>
      </c>
      <c r="I25" s="55">
        <f>_xlfn.XLOOKUP($A25,'Data 2024'!$A:$A,'Data 2024'!K:K)/_xlfn.XLOOKUP($B25,'Category Averages'!$A$2:$A$4,'Category Averages'!D$2:D$4)</f>
        <v>0.93252401600449408</v>
      </c>
      <c r="J25" s="63">
        <f>_xlfn.XLOOKUP($A25,'Data 2024'!$A:$A,'Data 2024'!P:P)/_xlfn.XLOOKUP($B25,'Category Averages'!$A$2:$A$4,'Category Averages'!E$2:E$4)</f>
        <v>0.88416571547297129</v>
      </c>
      <c r="K25" s="63">
        <f>_xlfn.XLOOKUP($A25,'Data 2024'!$A:$A,'Data 2024'!Q:Q)/_xlfn.XLOOKUP($B25,'Category Averages'!$A$2:$A$4,'Category Averages'!F$2:F$4)</f>
        <v>0.66602095722422749</v>
      </c>
    </row>
    <row r="26" spans="1:11" ht="18" customHeight="1">
      <c r="A26" s="56">
        <v>2614300</v>
      </c>
      <c r="B26" s="54" t="str">
        <f>_xlfn.XLOOKUP(A26,'Data 2024'!A:A,'Data 2024'!D:D)</f>
        <v>Region 2</v>
      </c>
      <c r="C26" s="58" t="s">
        <v>855</v>
      </c>
      <c r="D26" s="58" t="s">
        <v>808</v>
      </c>
      <c r="E26" s="58" t="s">
        <v>821</v>
      </c>
      <c r="F26" s="58" t="s">
        <v>851</v>
      </c>
      <c r="G26" s="55">
        <f>_xlfn.XLOOKUP($A26,'Data 2024'!$A:$A,'Data 2024'!I:I)/_xlfn.XLOOKUP($B26,'Category Averages'!$A$2:$A$4,'Category Averages'!$B$2:$B$4)</f>
        <v>0.67637097015704983</v>
      </c>
      <c r="H26" s="55">
        <f>_xlfn.XLOOKUP($A26,'Data 2024'!$A:$A,'Data 2024'!J:J)/_xlfn.XLOOKUP($B26,'Category Averages'!$A$2:$A$4,'Category Averages'!C$2:C$4)</f>
        <v>0.76363561002864677</v>
      </c>
      <c r="I26" s="55">
        <f>_xlfn.XLOOKUP($A26,'Data 2024'!$A:$A,'Data 2024'!K:K)/_xlfn.XLOOKUP($B26,'Category Averages'!$A$2:$A$4,'Category Averages'!D$2:D$4)</f>
        <v>0.89223483845906071</v>
      </c>
      <c r="J26" s="63">
        <f>_xlfn.XLOOKUP($A26,'Data 2024'!$A:$A,'Data 2024'!P:P)/_xlfn.XLOOKUP($B26,'Category Averages'!$A$2:$A$4,'Category Averages'!E$2:E$4)</f>
        <v>0.87971138991237452</v>
      </c>
      <c r="K26" s="63">
        <f>_xlfn.XLOOKUP($A26,'Data 2024'!$A:$A,'Data 2024'!Q:Q)/_xlfn.XLOOKUP($B26,'Category Averages'!$A$2:$A$4,'Category Averages'!F$2:F$4)</f>
        <v>1.1662462580310657</v>
      </c>
    </row>
    <row r="27" spans="1:11" ht="18" customHeight="1">
      <c r="A27" s="56">
        <v>2615500</v>
      </c>
      <c r="B27" s="54" t="str">
        <f>_xlfn.XLOOKUP(A27,'Data 2024'!A:A,'Data 2024'!D:D)</f>
        <v>Region 1</v>
      </c>
      <c r="C27" s="58" t="s">
        <v>856</v>
      </c>
      <c r="D27" s="58" t="s">
        <v>808</v>
      </c>
      <c r="E27" s="58" t="s">
        <v>809</v>
      </c>
      <c r="F27" s="58" t="s">
        <v>817</v>
      </c>
      <c r="G27" s="55">
        <f>_xlfn.XLOOKUP($A27,'Data 2024'!$A:$A,'Data 2024'!I:I)/_xlfn.XLOOKUP($B27,'Category Averages'!$A$2:$A$4,'Category Averages'!$B$2:$B$4)</f>
        <v>0.79715117302722682</v>
      </c>
      <c r="H27" s="55">
        <f>_xlfn.XLOOKUP($A27,'Data 2024'!$A:$A,'Data 2024'!J:J)/_xlfn.XLOOKUP($B27,'Category Averages'!$A$2:$A$4,'Category Averages'!C$2:C$4)</f>
        <v>0.84250658310080306</v>
      </c>
      <c r="I27" s="55">
        <f>_xlfn.XLOOKUP($A27,'Data 2024'!$A:$A,'Data 2024'!K:K)/_xlfn.XLOOKUP($B27,'Category Averages'!$A$2:$A$4,'Category Averages'!D$2:D$4)</f>
        <v>1.0179640561778205</v>
      </c>
      <c r="J27" s="63">
        <f>_xlfn.XLOOKUP($A27,'Data 2024'!$A:$A,'Data 2024'!P:P)/_xlfn.XLOOKUP($B27,'Category Averages'!$A$2:$A$4,'Category Averages'!E$2:E$4)</f>
        <v>1.2044256080955327</v>
      </c>
      <c r="K27" s="63">
        <f>_xlfn.XLOOKUP($A27,'Data 2024'!$A:$A,'Data 2024'!Q:Q)/_xlfn.XLOOKUP($B27,'Category Averages'!$A$2:$A$4,'Category Averages'!F$2:F$4)</f>
        <v>1.0071746182655805</v>
      </c>
    </row>
    <row r="28" spans="1:11" ht="18" customHeight="1">
      <c r="A28" s="56">
        <v>2616200</v>
      </c>
      <c r="B28" s="54" t="str">
        <f>_xlfn.XLOOKUP(A28,'Data 2024'!A:A,'Data 2024'!D:D)</f>
        <v>Region 2</v>
      </c>
      <c r="C28" s="58" t="s">
        <v>857</v>
      </c>
      <c r="D28" s="58" t="s">
        <v>808</v>
      </c>
      <c r="E28" s="58" t="s">
        <v>838</v>
      </c>
      <c r="F28" s="58" t="s">
        <v>858</v>
      </c>
      <c r="G28" s="55">
        <f>_xlfn.XLOOKUP($A28,'Data 2024'!$A:$A,'Data 2024'!I:I)/_xlfn.XLOOKUP($B28,'Category Averages'!$A$2:$A$4,'Category Averages'!$B$2:$B$4)</f>
        <v>0.54874018281103631</v>
      </c>
      <c r="H28" s="55">
        <f>_xlfn.XLOOKUP($A28,'Data 2024'!$A:$A,'Data 2024'!J:J)/_xlfn.XLOOKUP($B28,'Category Averages'!$A$2:$A$4,'Category Averages'!C$2:C$4)</f>
        <v>0.64668172984901529</v>
      </c>
      <c r="I28" s="55">
        <f>_xlfn.XLOOKUP($A28,'Data 2024'!$A:$A,'Data 2024'!K:K)/_xlfn.XLOOKUP($B28,'Category Averages'!$A$2:$A$4,'Category Averages'!D$2:D$4)</f>
        <v>0.77823021341768328</v>
      </c>
      <c r="J28" s="63">
        <f>_xlfn.XLOOKUP($A28,'Data 2024'!$A:$A,'Data 2024'!P:P)/_xlfn.XLOOKUP($B28,'Category Averages'!$A$2:$A$4,'Category Averages'!E$2:E$4)</f>
        <v>1.1409317133562724</v>
      </c>
      <c r="K28" s="63">
        <f>_xlfn.XLOOKUP($A28,'Data 2024'!$A:$A,'Data 2024'!Q:Q)/_xlfn.XLOOKUP($B28,'Category Averages'!$A$2:$A$4,'Category Averages'!F$2:F$4)</f>
        <v>0.75919982422371957</v>
      </c>
    </row>
    <row r="29" spans="1:11" ht="18" customHeight="1">
      <c r="A29" s="56">
        <v>2618400</v>
      </c>
      <c r="B29" s="54" t="str">
        <f>_xlfn.XLOOKUP(A29,'Data 2024'!A:A,'Data 2024'!D:D)</f>
        <v>Region 2</v>
      </c>
      <c r="C29" s="58" t="s">
        <v>859</v>
      </c>
      <c r="D29" s="58" t="s">
        <v>808</v>
      </c>
      <c r="E29" s="58" t="s">
        <v>821</v>
      </c>
      <c r="F29" s="58" t="s">
        <v>822</v>
      </c>
      <c r="G29" s="55">
        <f>_xlfn.XLOOKUP($A29,'Data 2024'!$A:$A,'Data 2024'!I:I)/_xlfn.XLOOKUP($B29,'Category Averages'!$A$2:$A$4,'Category Averages'!$B$2:$B$4)</f>
        <v>0.43558973277655794</v>
      </c>
      <c r="H29" s="55">
        <f>_xlfn.XLOOKUP($A29,'Data 2024'!$A:$A,'Data 2024'!J:J)/_xlfn.XLOOKUP($B29,'Category Averages'!$A$2:$A$4,'Category Averages'!C$2:C$4)</f>
        <v>0.36815605346787855</v>
      </c>
      <c r="I29" s="55">
        <f>_xlfn.XLOOKUP($A29,'Data 2024'!$A:$A,'Data 2024'!K:K)/_xlfn.XLOOKUP($B29,'Category Averages'!$A$2:$A$4,'Category Averages'!D$2:D$4)</f>
        <v>0.55895364082628618</v>
      </c>
      <c r="J29" s="63">
        <f>_xlfn.XLOOKUP($A29,'Data 2024'!$A:$A,'Data 2024'!P:P)/_xlfn.XLOOKUP($B29,'Category Averages'!$A$2:$A$4,'Category Averages'!E$2:E$4)</f>
        <v>1.6803495767699224</v>
      </c>
      <c r="K29" s="63">
        <f>_xlfn.XLOOKUP($A29,'Data 2024'!$A:$A,'Data 2024'!Q:Q)/_xlfn.XLOOKUP($B29,'Category Averages'!$A$2:$A$4,'Category Averages'!F$2:F$4)</f>
        <v>0.83658352586688822</v>
      </c>
    </row>
    <row r="30" spans="1:11" ht="18" customHeight="1">
      <c r="A30" s="56">
        <v>2621700</v>
      </c>
      <c r="B30" s="54" t="str">
        <f>_xlfn.XLOOKUP(A30,'Data 2024'!A:A,'Data 2024'!D:D)</f>
        <v>Region 2</v>
      </c>
      <c r="C30" s="58" t="s">
        <v>860</v>
      </c>
      <c r="D30" s="58" t="s">
        <v>808</v>
      </c>
      <c r="E30" s="58" t="s">
        <v>809</v>
      </c>
      <c r="F30" s="58" t="s">
        <v>810</v>
      </c>
      <c r="G30" s="55">
        <f>_xlfn.XLOOKUP($A30,'Data 2024'!$A:$A,'Data 2024'!I:I)/_xlfn.XLOOKUP($B30,'Category Averages'!$A$2:$A$4,'Category Averages'!$B$2:$B$4)</f>
        <v>0.81590707475851976</v>
      </c>
      <c r="H30" s="55">
        <f>_xlfn.XLOOKUP($A30,'Data 2024'!$A:$A,'Data 2024'!J:J)/_xlfn.XLOOKUP($B30,'Category Averages'!$A$2:$A$4,'Category Averages'!C$2:C$4)</f>
        <v>1.2535112993490487</v>
      </c>
      <c r="I30" s="55">
        <f>_xlfn.XLOOKUP($A30,'Data 2024'!$A:$A,'Data 2024'!K:K)/_xlfn.XLOOKUP($B30,'Category Averages'!$A$2:$A$4,'Category Averages'!D$2:D$4)</f>
        <v>1.0926683000661495</v>
      </c>
      <c r="J30" s="63">
        <f>_xlfn.XLOOKUP($A30,'Data 2024'!$A:$A,'Data 2024'!P:P)/_xlfn.XLOOKUP($B30,'Category Averages'!$A$2:$A$4,'Category Averages'!E$2:E$4)</f>
        <v>1.2013788770792284</v>
      </c>
      <c r="K30" s="63">
        <f>_xlfn.XLOOKUP($A30,'Data 2024'!$A:$A,'Data 2024'!Q:Q)/_xlfn.XLOOKUP($B30,'Category Averages'!$A$2:$A$4,'Category Averages'!F$2:F$4)</f>
        <v>1.7130044872451529</v>
      </c>
    </row>
    <row r="31" spans="1:11" ht="18" customHeight="1">
      <c r="A31" s="56">
        <v>2622800</v>
      </c>
      <c r="B31" s="54" t="str">
        <f>_xlfn.XLOOKUP(A31,'Data 2024'!A:A,'Data 2024'!D:D)</f>
        <v>Region 1</v>
      </c>
      <c r="C31" s="58" t="s">
        <v>861</v>
      </c>
      <c r="D31" s="58" t="s">
        <v>808</v>
      </c>
      <c r="E31" s="58" t="s">
        <v>809</v>
      </c>
      <c r="F31" s="58" t="s">
        <v>836</v>
      </c>
      <c r="G31" s="55">
        <f>_xlfn.XLOOKUP($A31,'Data 2024'!$A:$A,'Data 2024'!I:I)/_xlfn.XLOOKUP($B31,'Category Averages'!$A$2:$A$4,'Category Averages'!$B$2:$B$4)</f>
        <v>0.71087070461114565</v>
      </c>
      <c r="H31" s="55">
        <f>_xlfn.XLOOKUP($A31,'Data 2024'!$A:$A,'Data 2024'!J:J)/_xlfn.XLOOKUP($B31,'Category Averages'!$A$2:$A$4,'Category Averages'!C$2:C$4)</f>
        <v>0.94737361710138257</v>
      </c>
      <c r="I31" s="55">
        <f>_xlfn.XLOOKUP($A31,'Data 2024'!$A:$A,'Data 2024'!K:K)/_xlfn.XLOOKUP($B31,'Category Averages'!$A$2:$A$4,'Category Averages'!D$2:D$4)</f>
        <v>1.2540956353996211</v>
      </c>
      <c r="J31" s="63">
        <f>_xlfn.XLOOKUP($A31,'Data 2024'!$A:$A,'Data 2024'!P:P)/_xlfn.XLOOKUP($B31,'Category Averages'!$A$2:$A$4,'Category Averages'!E$2:E$4)</f>
        <v>0.72965949006941089</v>
      </c>
      <c r="K31" s="63">
        <f>_xlfn.XLOOKUP($A31,'Data 2024'!$A:$A,'Data 2024'!Q:Q)/_xlfn.XLOOKUP($B31,'Category Averages'!$A$2:$A$4,'Category Averages'!F$2:F$4)</f>
        <v>0.23514023601049661</v>
      </c>
    </row>
    <row r="32" spans="1:11" ht="18" customHeight="1">
      <c r="A32" s="56">
        <v>2629100</v>
      </c>
      <c r="B32" s="54" t="str">
        <f>_xlfn.XLOOKUP(A32,'Data 2024'!A:A,'Data 2024'!D:D)</f>
        <v>Region 1</v>
      </c>
      <c r="C32" s="58" t="s">
        <v>862</v>
      </c>
      <c r="D32" s="58" t="s">
        <v>808</v>
      </c>
      <c r="E32" s="58" t="s">
        <v>809</v>
      </c>
      <c r="F32" s="58" t="s">
        <v>841</v>
      </c>
      <c r="G32" s="55">
        <f>_xlfn.XLOOKUP($A32,'Data 2024'!$A:$A,'Data 2024'!I:I)/_xlfn.XLOOKUP($B32,'Category Averages'!$A$2:$A$4,'Category Averages'!$B$2:$B$4)</f>
        <v>0.64729701082458191</v>
      </c>
      <c r="H32" s="55">
        <f>_xlfn.XLOOKUP($A32,'Data 2024'!$A:$A,'Data 2024'!J:J)/_xlfn.XLOOKUP($B32,'Category Averages'!$A$2:$A$4,'Category Averages'!C$2:C$4)</f>
        <v>1.2183947212716359</v>
      </c>
      <c r="I32" s="55">
        <f>_xlfn.XLOOKUP($A32,'Data 2024'!$A:$A,'Data 2024'!K:K)/_xlfn.XLOOKUP($B32,'Category Averages'!$A$2:$A$4,'Category Averages'!D$2:D$4)</f>
        <v>1.0303391044606918</v>
      </c>
      <c r="J32" s="63">
        <f>_xlfn.XLOOKUP($A32,'Data 2024'!$A:$A,'Data 2024'!P:P)/_xlfn.XLOOKUP($B32,'Category Averages'!$A$2:$A$4,'Category Averages'!E$2:E$4)</f>
        <v>0.62296666697396119</v>
      </c>
      <c r="K32" s="63">
        <f>_xlfn.XLOOKUP($A32,'Data 2024'!$A:$A,'Data 2024'!Q:Q)/_xlfn.XLOOKUP($B32,'Category Averages'!$A$2:$A$4,'Category Averages'!F$2:F$4)</f>
        <v>1.1864271768791708</v>
      </c>
    </row>
    <row r="33" spans="1:11" ht="18" customHeight="1">
      <c r="A33" s="56">
        <v>2631200</v>
      </c>
      <c r="B33" s="54" t="str">
        <f>_xlfn.XLOOKUP(A33,'Data 2024'!A:A,'Data 2024'!D:D)</f>
        <v>Region 1</v>
      </c>
      <c r="C33" s="58" t="s">
        <v>863</v>
      </c>
      <c r="D33" s="58" t="s">
        <v>808</v>
      </c>
      <c r="E33" s="58" t="s">
        <v>838</v>
      </c>
      <c r="F33" s="58" t="s">
        <v>858</v>
      </c>
      <c r="G33" s="55">
        <f>_xlfn.XLOOKUP($A33,'Data 2024'!$A:$A,'Data 2024'!I:I)/_xlfn.XLOOKUP($B33,'Category Averages'!$A$2:$A$4,'Category Averages'!$B$2:$B$4)</f>
        <v>0.60632714784031194</v>
      </c>
      <c r="H33" s="55">
        <f>_xlfn.XLOOKUP($A33,'Data 2024'!$A:$A,'Data 2024'!J:J)/_xlfn.XLOOKUP($B33,'Category Averages'!$A$2:$A$4,'Category Averages'!C$2:C$4)</f>
        <v>0.66096641550386825</v>
      </c>
      <c r="I33" s="55">
        <f>_xlfn.XLOOKUP($A33,'Data 2024'!$A:$A,'Data 2024'!K:K)/_xlfn.XLOOKUP($B33,'Category Averages'!$A$2:$A$4,'Category Averages'!D$2:D$4)</f>
        <v>0.81141820602900405</v>
      </c>
      <c r="J33" s="63">
        <f>_xlfn.XLOOKUP($A33,'Data 2024'!$A:$A,'Data 2024'!P:P)/_xlfn.XLOOKUP($B33,'Category Averages'!$A$2:$A$4,'Category Averages'!E$2:E$4)</f>
        <v>1.1691418046761073</v>
      </c>
      <c r="K33" s="63">
        <f>_xlfn.XLOOKUP($A33,'Data 2024'!$A:$A,'Data 2024'!Q:Q)/_xlfn.XLOOKUP($B33,'Category Averages'!$A$2:$A$4,'Category Averages'!F$2:F$4)</f>
        <v>0.71807862492676289</v>
      </c>
    </row>
    <row r="34" spans="1:11" ht="18" customHeight="1">
      <c r="A34" s="56">
        <v>3080400</v>
      </c>
      <c r="B34" s="54" t="str">
        <f>_xlfn.XLOOKUP(A34,'Data 2024'!A:A,'Data 2024'!D:D)</f>
        <v>Region 1</v>
      </c>
      <c r="C34" s="58" t="s">
        <v>864</v>
      </c>
      <c r="D34" s="58" t="s">
        <v>865</v>
      </c>
      <c r="E34" s="58" t="s">
        <v>866</v>
      </c>
      <c r="F34" s="58" t="s">
        <v>867</v>
      </c>
      <c r="G34" s="55">
        <f>_xlfn.XLOOKUP($A34,'Data 2024'!$A:$A,'Data 2024'!I:I)/_xlfn.XLOOKUP($B34,'Category Averages'!$A$2:$A$4,'Category Averages'!$B$2:$B$4)</f>
        <v>0.9276950038337477</v>
      </c>
      <c r="H34" s="55">
        <f>_xlfn.XLOOKUP($A34,'Data 2024'!$A:$A,'Data 2024'!J:J)/_xlfn.XLOOKUP($B34,'Category Averages'!$A$2:$A$4,'Category Averages'!C$2:C$4)</f>
        <v>1.478769441083305</v>
      </c>
      <c r="I34" s="55">
        <f>_xlfn.XLOOKUP($A34,'Data 2024'!$A:$A,'Data 2024'!K:K)/_xlfn.XLOOKUP($B34,'Category Averages'!$A$2:$A$4,'Category Averages'!D$2:D$4)</f>
        <v>1.211956654913964</v>
      </c>
      <c r="J34" s="63">
        <f>_xlfn.XLOOKUP($A34,'Data 2024'!$A:$A,'Data 2024'!P:P)/_xlfn.XLOOKUP($B34,'Category Averages'!$A$2:$A$4,'Category Averages'!E$2:E$4)</f>
        <v>0.57272259846379792</v>
      </c>
      <c r="K34" s="63">
        <f>_xlfn.XLOOKUP($A34,'Data 2024'!$A:$A,'Data 2024'!Q:Q)/_xlfn.XLOOKUP($B34,'Category Averages'!$A$2:$A$4,'Category Averages'!F$2:F$4)</f>
        <v>0.63093044723547342</v>
      </c>
    </row>
    <row r="35" spans="1:11" ht="18" customHeight="1">
      <c r="A35" s="56">
        <v>3085200</v>
      </c>
      <c r="B35" s="54" t="str">
        <f>_xlfn.XLOOKUP(A35,'Data 2024'!A:A,'Data 2024'!D:D)</f>
        <v>Region 2</v>
      </c>
      <c r="C35" s="58" t="s">
        <v>868</v>
      </c>
      <c r="D35" s="58" t="s">
        <v>808</v>
      </c>
      <c r="E35" s="58" t="s">
        <v>843</v>
      </c>
      <c r="F35" s="58" t="s">
        <v>869</v>
      </c>
      <c r="G35" s="55">
        <f>_xlfn.XLOOKUP($A35,'Data 2024'!$A:$A,'Data 2024'!I:I)/_xlfn.XLOOKUP($B35,'Category Averages'!$A$2:$A$4,'Category Averages'!$B$2:$B$4)</f>
        <v>0.69149884922073623</v>
      </c>
      <c r="H35" s="55">
        <f>_xlfn.XLOOKUP($A35,'Data 2024'!$A:$A,'Data 2024'!J:J)/_xlfn.XLOOKUP($B35,'Category Averages'!$A$2:$A$4,'Category Averages'!C$2:C$4)</f>
        <v>0.63820087022687599</v>
      </c>
      <c r="I35" s="55">
        <f>_xlfn.XLOOKUP($A35,'Data 2024'!$A:$A,'Data 2024'!K:K)/_xlfn.XLOOKUP($B35,'Category Averages'!$A$2:$A$4,'Category Averages'!D$2:D$4)</f>
        <v>1.1309011973845815</v>
      </c>
      <c r="J35" s="63">
        <f>_xlfn.XLOOKUP($A35,'Data 2024'!$A:$A,'Data 2024'!P:P)/_xlfn.XLOOKUP($B35,'Category Averages'!$A$2:$A$4,'Category Averages'!E$2:E$4)</f>
        <v>0.46683657217838365</v>
      </c>
      <c r="K35" s="63">
        <f>_xlfn.XLOOKUP($A35,'Data 2024'!$A:$A,'Data 2024'!Q:Q)/_xlfn.XLOOKUP($B35,'Category Averages'!$A$2:$A$4,'Category Averages'!F$2:F$4)</f>
        <v>0.70328552341935591</v>
      </c>
    </row>
    <row r="36" spans="1:11" ht="18" customHeight="1">
      <c r="A36" s="56">
        <v>3086700</v>
      </c>
      <c r="B36" s="54" t="str">
        <f>_xlfn.XLOOKUP(A36,'Data 2024'!A:A,'Data 2024'!D:D)</f>
        <v>Region 1</v>
      </c>
      <c r="C36" s="58" t="s">
        <v>870</v>
      </c>
      <c r="D36" s="58" t="s">
        <v>808</v>
      </c>
      <c r="E36" s="58" t="s">
        <v>843</v>
      </c>
      <c r="F36" s="58" t="s">
        <v>844</v>
      </c>
      <c r="G36" s="55">
        <f>_xlfn.XLOOKUP($A36,'Data 2024'!$A:$A,'Data 2024'!I:I)/_xlfn.XLOOKUP($B36,'Category Averages'!$A$2:$A$4,'Category Averages'!$B$2:$B$4)</f>
        <v>0.77434602576712896</v>
      </c>
      <c r="H36" s="55">
        <f>_xlfn.XLOOKUP($A36,'Data 2024'!$A:$A,'Data 2024'!J:J)/_xlfn.XLOOKUP($B36,'Category Averages'!$A$2:$A$4,'Category Averages'!C$2:C$4)</f>
        <v>2.3214498166015476</v>
      </c>
      <c r="I36" s="55">
        <f>_xlfn.XLOOKUP($A36,'Data 2024'!$A:$A,'Data 2024'!K:K)/_xlfn.XLOOKUP($B36,'Category Averages'!$A$2:$A$4,'Category Averages'!D$2:D$4)</f>
        <v>0.88883838811512395</v>
      </c>
      <c r="J36" s="63">
        <f>_xlfn.XLOOKUP($A36,'Data 2024'!$A:$A,'Data 2024'!P:P)/_xlfn.XLOOKUP($B36,'Category Averages'!$A$2:$A$4,'Category Averages'!E$2:E$4)</f>
        <v>2.8463244205717677</v>
      </c>
      <c r="K36" s="63">
        <f>_xlfn.XLOOKUP($A36,'Data 2024'!$A:$A,'Data 2024'!Q:Q)/_xlfn.XLOOKUP($B36,'Category Averages'!$A$2:$A$4,'Category Averages'!F$2:F$4)</f>
        <v>3.1282723907106158</v>
      </c>
    </row>
    <row r="37" spans="1:11" ht="18" customHeight="1">
      <c r="A37" s="56">
        <v>3088900</v>
      </c>
      <c r="B37" s="54" t="str">
        <f>_xlfn.XLOOKUP(A37,'Data 2024'!A:A,'Data 2024'!D:D)</f>
        <v>Region 1</v>
      </c>
      <c r="C37" s="58" t="s">
        <v>871</v>
      </c>
      <c r="D37" s="58" t="s">
        <v>865</v>
      </c>
      <c r="E37" s="58" t="s">
        <v>872</v>
      </c>
      <c r="F37" s="58" t="s">
        <v>873</v>
      </c>
      <c r="G37" s="55">
        <f>_xlfn.XLOOKUP($A37,'Data 2024'!$A:$A,'Data 2024'!I:I)/_xlfn.XLOOKUP($B37,'Category Averages'!$A$2:$A$4,'Category Averages'!$B$2:$B$4)</f>
        <v>1.0709199966086365</v>
      </c>
      <c r="H37" s="55">
        <f>_xlfn.XLOOKUP($A37,'Data 2024'!$A:$A,'Data 2024'!J:J)/_xlfn.XLOOKUP($B37,'Category Averages'!$A$2:$A$4,'Category Averages'!C$2:C$4)</f>
        <v>0</v>
      </c>
      <c r="I37" s="55">
        <f>_xlfn.XLOOKUP($A37,'Data 2024'!$A:$A,'Data 2024'!K:K)/_xlfn.XLOOKUP($B37,'Category Averages'!$A$2:$A$4,'Category Averages'!D$2:D$4)</f>
        <v>1.6456664376897732</v>
      </c>
      <c r="J37" s="63">
        <f>_xlfn.XLOOKUP($A37,'Data 2024'!$A:$A,'Data 2024'!P:P)/_xlfn.XLOOKUP($B37,'Category Averages'!$A$2:$A$4,'Category Averages'!E$2:E$4)</f>
        <v>0.47595768558716295</v>
      </c>
      <c r="K37" s="63">
        <f>_xlfn.XLOOKUP($A37,'Data 2024'!$A:$A,'Data 2024'!Q:Q)/_xlfn.XLOOKUP($B37,'Category Averages'!$A$2:$A$4,'Category Averages'!F$2:F$4)</f>
        <v>0.18040578429177853</v>
      </c>
    </row>
    <row r="38" spans="1:11" ht="18" customHeight="1">
      <c r="A38" s="56">
        <v>3090000</v>
      </c>
      <c r="B38" s="54" t="str">
        <f>_xlfn.XLOOKUP(A38,'Data 2024'!A:A,'Data 2024'!D:D)</f>
        <v>Region 2</v>
      </c>
      <c r="C38" s="58" t="s">
        <v>874</v>
      </c>
      <c r="D38" s="58" t="s">
        <v>808</v>
      </c>
      <c r="E38" s="58" t="s">
        <v>843</v>
      </c>
      <c r="F38" s="58" t="s">
        <v>875</v>
      </c>
      <c r="G38" s="55">
        <f>_xlfn.XLOOKUP($A38,'Data 2024'!$A:$A,'Data 2024'!I:I)/_xlfn.XLOOKUP($B38,'Category Averages'!$A$2:$A$4,'Category Averages'!$B$2:$B$4)</f>
        <v>0.99440926669571583</v>
      </c>
      <c r="H38" s="55">
        <f>_xlfn.XLOOKUP($A38,'Data 2024'!$A:$A,'Data 2024'!J:J)/_xlfn.XLOOKUP($B38,'Category Averages'!$A$2:$A$4,'Category Averages'!C$2:C$4)</f>
        <v>0.93164249301551827</v>
      </c>
      <c r="I38" s="55">
        <f>_xlfn.XLOOKUP($A38,'Data 2024'!$A:$A,'Data 2024'!K:K)/_xlfn.XLOOKUP($B38,'Category Averages'!$A$2:$A$4,'Category Averages'!D$2:D$4)</f>
        <v>0.86967485789583032</v>
      </c>
      <c r="J38" s="63">
        <f>_xlfn.XLOOKUP($A38,'Data 2024'!$A:$A,'Data 2024'!P:P)/_xlfn.XLOOKUP($B38,'Category Averages'!$A$2:$A$4,'Category Averages'!E$2:E$4)</f>
        <v>0.95424572642196881</v>
      </c>
      <c r="K38" s="63">
        <f>_xlfn.XLOOKUP($A38,'Data 2024'!$A:$A,'Data 2024'!Q:Q)/_xlfn.XLOOKUP($B38,'Category Averages'!$A$2:$A$4,'Category Averages'!F$2:F$4)</f>
        <v>0.52563534375078669</v>
      </c>
    </row>
    <row r="39" spans="1:11" ht="18" customHeight="1">
      <c r="A39" s="56">
        <v>3097400</v>
      </c>
      <c r="B39" s="54" t="str">
        <f>_xlfn.XLOOKUP(A39,'Data 2024'!A:A,'Data 2024'!D:D)</f>
        <v>Region 1</v>
      </c>
      <c r="C39" s="58" t="s">
        <v>876</v>
      </c>
      <c r="D39" s="58" t="s">
        <v>808</v>
      </c>
      <c r="E39" s="58" t="s">
        <v>821</v>
      </c>
      <c r="F39" s="58" t="s">
        <v>877</v>
      </c>
      <c r="G39" s="55">
        <f>_xlfn.XLOOKUP($A39,'Data 2024'!$A:$A,'Data 2024'!I:I)/_xlfn.XLOOKUP($B39,'Category Averages'!$A$2:$A$4,'Category Averages'!$B$2:$B$4)</f>
        <v>0.65380966956181619</v>
      </c>
      <c r="H39" s="55">
        <f>_xlfn.XLOOKUP($A39,'Data 2024'!$A:$A,'Data 2024'!J:J)/_xlfn.XLOOKUP($B39,'Category Averages'!$A$2:$A$4,'Category Averages'!C$2:C$4)</f>
        <v>0</v>
      </c>
      <c r="I39" s="55">
        <f>_xlfn.XLOOKUP($A39,'Data 2024'!$A:$A,'Data 2024'!K:K)/_xlfn.XLOOKUP($B39,'Category Averages'!$A$2:$A$4,'Category Averages'!D$2:D$4)</f>
        <v>0.65101817897008807</v>
      </c>
      <c r="J39" s="63">
        <f>_xlfn.XLOOKUP($A39,'Data 2024'!$A:$A,'Data 2024'!P:P)/_xlfn.XLOOKUP($B39,'Category Averages'!$A$2:$A$4,'Category Averages'!E$2:E$4)</f>
        <v>1.0708854558482808</v>
      </c>
      <c r="K39" s="63">
        <f>_xlfn.XLOOKUP($A39,'Data 2024'!$A:$A,'Data 2024'!Q:Q)/_xlfn.XLOOKUP($B39,'Category Averages'!$A$2:$A$4,'Category Averages'!F$2:F$4)</f>
        <v>0.94092082823421597</v>
      </c>
    </row>
    <row r="40" spans="1:11" ht="18" customHeight="1">
      <c r="A40" s="56">
        <v>3104000</v>
      </c>
      <c r="B40" s="54" t="str">
        <f>_xlfn.XLOOKUP(A40,'Data 2024'!A:A,'Data 2024'!D:D)</f>
        <v>Region 2</v>
      </c>
      <c r="C40" s="58" t="s">
        <v>878</v>
      </c>
      <c r="D40" s="58" t="s">
        <v>808</v>
      </c>
      <c r="E40" s="58" t="s">
        <v>838</v>
      </c>
      <c r="F40" s="58" t="s">
        <v>839</v>
      </c>
      <c r="G40" s="55">
        <f>_xlfn.XLOOKUP($A40,'Data 2024'!$A:$A,'Data 2024'!I:I)/_xlfn.XLOOKUP($B40,'Category Averages'!$A$2:$A$4,'Category Averages'!$B$2:$B$4)</f>
        <v>0.3817263864504441</v>
      </c>
      <c r="H40" s="55">
        <f>_xlfn.XLOOKUP($A40,'Data 2024'!$A:$A,'Data 2024'!J:J)/_xlfn.XLOOKUP($B40,'Category Averages'!$A$2:$A$4,'Category Averages'!C$2:C$4)</f>
        <v>0.22832668280111132</v>
      </c>
      <c r="I40" s="55">
        <f>_xlfn.XLOOKUP($A40,'Data 2024'!$A:$A,'Data 2024'!K:K)/_xlfn.XLOOKUP($B40,'Category Averages'!$A$2:$A$4,'Category Averages'!D$2:D$4)</f>
        <v>0.41331864396394585</v>
      </c>
      <c r="J40" s="63">
        <f>_xlfn.XLOOKUP($A40,'Data 2024'!$A:$A,'Data 2024'!P:P)/_xlfn.XLOOKUP($B40,'Category Averages'!$A$2:$A$4,'Category Averages'!E$2:E$4)</f>
        <v>1.5759439101322719</v>
      </c>
      <c r="K40" s="63">
        <f>_xlfn.XLOOKUP($A40,'Data 2024'!$A:$A,'Data 2024'!Q:Q)/_xlfn.XLOOKUP($B40,'Category Averages'!$A$2:$A$4,'Category Averages'!F$2:F$4)</f>
        <v>1.4686598033925211</v>
      </c>
    </row>
    <row r="41" spans="1:11" ht="18" customHeight="1">
      <c r="A41" s="56">
        <v>3104200</v>
      </c>
      <c r="B41" s="54" t="str">
        <f>_xlfn.XLOOKUP(A41,'Data 2024'!A:A,'Data 2024'!D:D)</f>
        <v>Region 1</v>
      </c>
      <c r="C41" s="58" t="s">
        <v>879</v>
      </c>
      <c r="D41" s="58" t="s">
        <v>808</v>
      </c>
      <c r="E41" s="58" t="s">
        <v>838</v>
      </c>
      <c r="F41" s="58" t="s">
        <v>839</v>
      </c>
      <c r="G41" s="55">
        <f>_xlfn.XLOOKUP($A41,'Data 2024'!$A:$A,'Data 2024'!I:I)/_xlfn.XLOOKUP($B41,'Category Averages'!$A$2:$A$4,'Category Averages'!$B$2:$B$4)</f>
        <v>1.1260533186673747</v>
      </c>
      <c r="H41" s="55">
        <f>_xlfn.XLOOKUP($A41,'Data 2024'!$A:$A,'Data 2024'!J:J)/_xlfn.XLOOKUP($B41,'Category Averages'!$A$2:$A$4,'Category Averages'!C$2:C$4)</f>
        <v>1.8910157697808103</v>
      </c>
      <c r="I41" s="55">
        <f>_xlfn.XLOOKUP($A41,'Data 2024'!$A:$A,'Data 2024'!K:K)/_xlfn.XLOOKUP($B41,'Category Averages'!$A$2:$A$4,'Category Averages'!D$2:D$4)</f>
        <v>1.4150337476226211</v>
      </c>
      <c r="J41" s="63">
        <f>_xlfn.XLOOKUP($A41,'Data 2024'!$A:$A,'Data 2024'!P:P)/_xlfn.XLOOKUP($B41,'Category Averages'!$A$2:$A$4,'Category Averages'!E$2:E$4)</f>
        <v>0.41979887909250446</v>
      </c>
      <c r="K41" s="63">
        <f>_xlfn.XLOOKUP($A41,'Data 2024'!$A:$A,'Data 2024'!Q:Q)/_xlfn.XLOOKUP($B41,'Category Averages'!$A$2:$A$4,'Category Averages'!F$2:F$4)</f>
        <v>0.35921191247186413</v>
      </c>
    </row>
    <row r="42" spans="1:11" ht="18" customHeight="1">
      <c r="A42" s="56">
        <v>3105100</v>
      </c>
      <c r="B42" s="54" t="str">
        <f>_xlfn.XLOOKUP(A42,'Data 2024'!A:A,'Data 2024'!D:D)</f>
        <v>Region 12</v>
      </c>
      <c r="C42" s="58" t="s">
        <v>880</v>
      </c>
      <c r="D42" s="58" t="s">
        <v>808</v>
      </c>
      <c r="E42" s="58" t="s">
        <v>821</v>
      </c>
      <c r="F42" s="58" t="s">
        <v>881</v>
      </c>
      <c r="G42" s="55">
        <f>_xlfn.XLOOKUP($A42,'Data 2024'!$A:$A,'Data 2024'!I:I)/_xlfn.XLOOKUP($B42,'Category Averages'!$A$2:$A$4,'Category Averages'!$B$2:$B$4)</f>
        <v>0.50623620457251806</v>
      </c>
      <c r="H42" s="55" t="e">
        <f>_xlfn.XLOOKUP($A42,'Data 2024'!$A:$A,'Data 2024'!J:J)/_xlfn.XLOOKUP($B42,'Category Averages'!$A$2:$A$4,'Category Averages'!C$2:C$4)</f>
        <v>#DIV/0!</v>
      </c>
      <c r="I42" s="55">
        <f>_xlfn.XLOOKUP($A42,'Data 2024'!$A:$A,'Data 2024'!K:K)/_xlfn.XLOOKUP($B42,'Category Averages'!$A$2:$A$4,'Category Averages'!D$2:D$4)</f>
        <v>1.1503536037161224</v>
      </c>
      <c r="J42" s="63">
        <f>_xlfn.XLOOKUP($A42,'Data 2024'!$A:$A,'Data 2024'!P:P)/_xlfn.XLOOKUP($B42,'Category Averages'!$A$2:$A$4,'Category Averages'!E$2:E$4)</f>
        <v>0.63846118015358289</v>
      </c>
      <c r="K42" s="63">
        <f>_xlfn.XLOOKUP($A42,'Data 2024'!$A:$A,'Data 2024'!Q:Q)/_xlfn.XLOOKUP($B42,'Category Averages'!$A$2:$A$4,'Category Averages'!F$2:F$4)</f>
        <v>0.70864432966726276</v>
      </c>
    </row>
    <row r="43" spans="1:11" ht="18" customHeight="1">
      <c r="A43" s="56">
        <v>3105900</v>
      </c>
      <c r="B43" s="54" t="str">
        <f>_xlfn.XLOOKUP(A43,'Data 2024'!A:A,'Data 2024'!D:D)</f>
        <v>Region 1</v>
      </c>
      <c r="C43" s="58" t="s">
        <v>882</v>
      </c>
      <c r="D43" s="58" t="s">
        <v>865</v>
      </c>
      <c r="E43" s="58" t="s">
        <v>872</v>
      </c>
      <c r="F43" s="58" t="s">
        <v>873</v>
      </c>
      <c r="G43" s="55">
        <f>_xlfn.XLOOKUP($A43,'Data 2024'!$A:$A,'Data 2024'!I:I)/_xlfn.XLOOKUP($B43,'Category Averages'!$A$2:$A$4,'Category Averages'!$B$2:$B$4)</f>
        <v>0.55346924496239325</v>
      </c>
      <c r="H43" s="55">
        <f>_xlfn.XLOOKUP($A43,'Data 2024'!$A:$A,'Data 2024'!J:J)/_xlfn.XLOOKUP($B43,'Category Averages'!$A$2:$A$4,'Category Averages'!C$2:C$4)</f>
        <v>0</v>
      </c>
      <c r="I43" s="55">
        <f>_xlfn.XLOOKUP($A43,'Data 2024'!$A:$A,'Data 2024'!K:K)/_xlfn.XLOOKUP($B43,'Category Averages'!$A$2:$A$4,'Category Averages'!D$2:D$4)</f>
        <v>0.97554429404052034</v>
      </c>
      <c r="J43" s="63">
        <f>_xlfn.XLOOKUP($A43,'Data 2024'!$A:$A,'Data 2024'!P:P)/_xlfn.XLOOKUP($B43,'Category Averages'!$A$2:$A$4,'Category Averages'!E$2:E$4)</f>
        <v>0.3846310043220269</v>
      </c>
      <c r="K43" s="63">
        <f>_xlfn.XLOOKUP($A43,'Data 2024'!$A:$A,'Data 2024'!Q:Q)/_xlfn.XLOOKUP($B43,'Category Averages'!$A$2:$A$4,'Category Averages'!F$2:F$4)</f>
        <v>0.43408864675337577</v>
      </c>
    </row>
    <row r="44" spans="1:11" ht="18" customHeight="1">
      <c r="A44" s="56">
        <v>3107000</v>
      </c>
      <c r="B44" s="54" t="str">
        <f>_xlfn.XLOOKUP(A44,'Data 2024'!A:A,'Data 2024'!D:D)</f>
        <v>Region 12</v>
      </c>
      <c r="C44" s="58" t="s">
        <v>883</v>
      </c>
      <c r="D44" s="58" t="s">
        <v>808</v>
      </c>
      <c r="E44" s="58" t="s">
        <v>843</v>
      </c>
      <c r="F44" s="58" t="s">
        <v>875</v>
      </c>
      <c r="G44" s="55">
        <f>_xlfn.XLOOKUP($A44,'Data 2024'!$A:$A,'Data 2024'!I:I)/_xlfn.XLOOKUP($B44,'Category Averages'!$A$2:$A$4,'Category Averages'!$B$2:$B$4)</f>
        <v>1.6342681668260981</v>
      </c>
      <c r="H44" s="55" t="e">
        <f>_xlfn.XLOOKUP($A44,'Data 2024'!$A:$A,'Data 2024'!J:J)/_xlfn.XLOOKUP($B44,'Category Averages'!$A$2:$A$4,'Category Averages'!C$2:C$4)</f>
        <v>#DIV/0!</v>
      </c>
      <c r="I44" s="55">
        <f>_xlfn.XLOOKUP($A44,'Data 2024'!$A:$A,'Data 2024'!K:K)/_xlfn.XLOOKUP($B44,'Category Averages'!$A$2:$A$4,'Category Averages'!D$2:D$4)</f>
        <v>2.7029630428257012</v>
      </c>
      <c r="J44" s="63">
        <f>_xlfn.XLOOKUP($A44,'Data 2024'!$A:$A,'Data 2024'!P:P)/_xlfn.XLOOKUP($B44,'Category Averages'!$A$2:$A$4,'Category Averages'!E$2:E$4)</f>
        <v>0.63349708011893124</v>
      </c>
      <c r="K44" s="63">
        <f>_xlfn.XLOOKUP($A44,'Data 2024'!$A:$A,'Data 2024'!Q:Q)/_xlfn.XLOOKUP($B44,'Category Averages'!$A$2:$A$4,'Category Averages'!F$2:F$4)</f>
        <v>0.51521173585668789</v>
      </c>
    </row>
    <row r="45" spans="1:11" ht="18" customHeight="1">
      <c r="A45" s="56">
        <v>3108100</v>
      </c>
      <c r="B45" s="54" t="str">
        <f>_xlfn.XLOOKUP(A45,'Data 2024'!A:A,'Data 2024'!D:D)</f>
        <v>Region 12</v>
      </c>
      <c r="C45" s="58" t="s">
        <v>884</v>
      </c>
      <c r="D45" s="58" t="s">
        <v>808</v>
      </c>
      <c r="E45" s="58" t="s">
        <v>843</v>
      </c>
      <c r="F45" s="58" t="s">
        <v>875</v>
      </c>
      <c r="G45" s="55">
        <f>_xlfn.XLOOKUP($A45,'Data 2024'!$A:$A,'Data 2024'!I:I)/_xlfn.XLOOKUP($B45,'Category Averages'!$A$2:$A$4,'Category Averages'!$B$2:$B$4)</f>
        <v>0.74143112041905601</v>
      </c>
      <c r="H45" s="55" t="e">
        <f>_xlfn.XLOOKUP($A45,'Data 2024'!$A:$A,'Data 2024'!J:J)/_xlfn.XLOOKUP($B45,'Category Averages'!$A$2:$A$4,'Category Averages'!C$2:C$4)</f>
        <v>#DIV/0!</v>
      </c>
      <c r="I45" s="55">
        <f>_xlfn.XLOOKUP($A45,'Data 2024'!$A:$A,'Data 2024'!K:K)/_xlfn.XLOOKUP($B45,'Category Averages'!$A$2:$A$4,'Category Averages'!D$2:D$4)</f>
        <v>0</v>
      </c>
      <c r="J45" s="63">
        <f>_xlfn.XLOOKUP($A45,'Data 2024'!$A:$A,'Data 2024'!P:P)/_xlfn.XLOOKUP($B45,'Category Averages'!$A$2:$A$4,'Category Averages'!E$2:E$4)</f>
        <v>1.6131440881235863</v>
      </c>
      <c r="K45" s="63">
        <f>_xlfn.XLOOKUP($A45,'Data 2024'!$A:$A,'Data 2024'!Q:Q)/_xlfn.XLOOKUP($B45,'Category Averages'!$A$2:$A$4,'Category Averages'!F$2:F$4)</f>
        <v>1.4646744881208995</v>
      </c>
    </row>
    <row r="46" spans="1:11" ht="18" customHeight="1">
      <c r="A46" s="56">
        <v>3109200</v>
      </c>
      <c r="B46" s="54" t="str">
        <f>_xlfn.XLOOKUP(A46,'Data 2024'!A:A,'Data 2024'!D:D)</f>
        <v>Region 1</v>
      </c>
      <c r="C46" s="58" t="s">
        <v>885</v>
      </c>
      <c r="D46" s="58" t="s">
        <v>808</v>
      </c>
      <c r="E46" s="58" t="s">
        <v>838</v>
      </c>
      <c r="F46" s="58" t="s">
        <v>881</v>
      </c>
      <c r="G46" s="55">
        <f>_xlfn.XLOOKUP($A46,'Data 2024'!$A:$A,'Data 2024'!I:I)/_xlfn.XLOOKUP($B46,'Category Averages'!$A$2:$A$4,'Category Averages'!$B$2:$B$4)</f>
        <v>0.64378029795216107</v>
      </c>
      <c r="H46" s="55">
        <f>_xlfn.XLOOKUP($A46,'Data 2024'!$A:$A,'Data 2024'!J:J)/_xlfn.XLOOKUP($B46,'Category Averages'!$A$2:$A$4,'Category Averages'!C$2:C$4)</f>
        <v>0</v>
      </c>
      <c r="I46" s="55">
        <f>_xlfn.XLOOKUP($A46,'Data 2024'!$A:$A,'Data 2024'!K:K)/_xlfn.XLOOKUP($B46,'Category Averages'!$A$2:$A$4,'Category Averages'!D$2:D$4)</f>
        <v>0.87549987550909036</v>
      </c>
      <c r="J46" s="63">
        <f>_xlfn.XLOOKUP($A46,'Data 2024'!$A:$A,'Data 2024'!P:P)/_xlfn.XLOOKUP($B46,'Category Averages'!$A$2:$A$4,'Category Averages'!E$2:E$4)</f>
        <v>0.45194928533549983</v>
      </c>
      <c r="K46" s="63">
        <f>_xlfn.XLOOKUP($A46,'Data 2024'!$A:$A,'Data 2024'!Q:Q)/_xlfn.XLOOKUP($B46,'Category Averages'!$A$2:$A$4,'Category Averages'!F$2:F$4)</f>
        <v>0.58287935850705863</v>
      </c>
    </row>
    <row r="47" spans="1:11" ht="18" customHeight="1">
      <c r="A47" s="56">
        <v>3110300</v>
      </c>
      <c r="B47" s="54" t="str">
        <f>_xlfn.XLOOKUP(A47,'Data 2024'!A:A,'Data 2024'!D:D)</f>
        <v>Region 1</v>
      </c>
      <c r="C47" s="58" t="s">
        <v>886</v>
      </c>
      <c r="D47" s="58" t="s">
        <v>808</v>
      </c>
      <c r="E47" s="58" t="s">
        <v>843</v>
      </c>
      <c r="F47" s="58" t="s">
        <v>877</v>
      </c>
      <c r="G47" s="55">
        <f>_xlfn.XLOOKUP($A47,'Data 2024'!$A:$A,'Data 2024'!I:I)/_xlfn.XLOOKUP($B47,'Category Averages'!$A$2:$A$4,'Category Averages'!$B$2:$B$4)</f>
        <v>0.95482610251803712</v>
      </c>
      <c r="H47" s="55">
        <f>_xlfn.XLOOKUP($A47,'Data 2024'!$A:$A,'Data 2024'!J:J)/_xlfn.XLOOKUP($B47,'Category Averages'!$A$2:$A$4,'Category Averages'!C$2:C$4)</f>
        <v>1.5135178703945242</v>
      </c>
      <c r="I47" s="55">
        <f>_xlfn.XLOOKUP($A47,'Data 2024'!$A:$A,'Data 2024'!K:K)/_xlfn.XLOOKUP($B47,'Category Averages'!$A$2:$A$4,'Category Averages'!D$2:D$4)</f>
        <v>0.9963920745184528</v>
      </c>
      <c r="J47" s="63">
        <f>_xlfn.XLOOKUP($A47,'Data 2024'!$A:$A,'Data 2024'!P:P)/_xlfn.XLOOKUP($B47,'Category Averages'!$A$2:$A$4,'Category Averages'!E$2:E$4)</f>
        <v>0.82890969673230686</v>
      </c>
      <c r="K47" s="63">
        <f>_xlfn.XLOOKUP($A47,'Data 2024'!$A:$A,'Data 2024'!Q:Q)/_xlfn.XLOOKUP($B47,'Category Averages'!$A$2:$A$4,'Category Averages'!F$2:F$4)</f>
        <v>0.48562600017154151</v>
      </c>
    </row>
    <row r="48" spans="1:11" ht="18" customHeight="1">
      <c r="A48" s="56">
        <v>3111400</v>
      </c>
      <c r="B48" s="54" t="str">
        <f>_xlfn.XLOOKUP(A48,'Data 2024'!A:A,'Data 2024'!D:D)</f>
        <v>Region 1</v>
      </c>
      <c r="C48" s="58" t="s">
        <v>887</v>
      </c>
      <c r="D48" s="58" t="s">
        <v>808</v>
      </c>
      <c r="E48" s="58" t="s">
        <v>814</v>
      </c>
      <c r="F48" s="58" t="s">
        <v>888</v>
      </c>
      <c r="G48" s="55">
        <f>_xlfn.XLOOKUP($A48,'Data 2024'!$A:$A,'Data 2024'!I:I)/_xlfn.XLOOKUP($B48,'Category Averages'!$A$2:$A$4,'Category Averages'!$B$2:$B$4)</f>
        <v>0.44285153196628324</v>
      </c>
      <c r="H48" s="55">
        <f>_xlfn.XLOOKUP($A48,'Data 2024'!$A:$A,'Data 2024'!J:J)/_xlfn.XLOOKUP($B48,'Category Averages'!$A$2:$A$4,'Category Averages'!C$2:C$4)</f>
        <v>0</v>
      </c>
      <c r="I48" s="55">
        <f>_xlfn.XLOOKUP($A48,'Data 2024'!$A:$A,'Data 2024'!K:K)/_xlfn.XLOOKUP($B48,'Category Averages'!$A$2:$A$4,'Category Averages'!D$2:D$4)</f>
        <v>0.79758873270272457</v>
      </c>
      <c r="J48" s="63">
        <f>_xlfn.XLOOKUP($A48,'Data 2024'!$A:$A,'Data 2024'!P:P)/_xlfn.XLOOKUP($B48,'Category Averages'!$A$2:$A$4,'Category Averages'!E$2:E$4)</f>
        <v>0.57012770096190113</v>
      </c>
      <c r="K48" s="63">
        <f>_xlfn.XLOOKUP($A48,'Data 2024'!$A:$A,'Data 2024'!Q:Q)/_xlfn.XLOOKUP($B48,'Category Averages'!$A$2:$A$4,'Category Averages'!F$2:F$4)</f>
        <v>1.1619746700047313</v>
      </c>
    </row>
    <row r="49" spans="1:11" ht="18" customHeight="1">
      <c r="A49" s="56">
        <v>3111500</v>
      </c>
      <c r="B49" s="54" t="str">
        <f>_xlfn.XLOOKUP(A49,'Data 2024'!A:A,'Data 2024'!D:D)</f>
        <v>Region 2</v>
      </c>
      <c r="C49" s="58" t="s">
        <v>889</v>
      </c>
      <c r="D49" s="58" t="s">
        <v>808</v>
      </c>
      <c r="E49" s="58" t="s">
        <v>838</v>
      </c>
      <c r="F49" s="58" t="s">
        <v>890</v>
      </c>
      <c r="G49" s="55">
        <f>_xlfn.XLOOKUP($A49,'Data 2024'!$A:$A,'Data 2024'!I:I)/_xlfn.XLOOKUP($B49,'Category Averages'!$A$2:$A$4,'Category Averages'!$B$2:$B$4)</f>
        <v>0.73597069298547457</v>
      </c>
      <c r="H49" s="55">
        <f>_xlfn.XLOOKUP($A49,'Data 2024'!$A:$A,'Data 2024'!J:J)/_xlfn.XLOOKUP($B49,'Category Averages'!$A$2:$A$4,'Category Averages'!C$2:C$4)</f>
        <v>0.99828754538017572</v>
      </c>
      <c r="I49" s="55">
        <f>_xlfn.XLOOKUP($A49,'Data 2024'!$A:$A,'Data 2024'!K:K)/_xlfn.XLOOKUP($B49,'Category Averages'!$A$2:$A$4,'Category Averages'!D$2:D$4)</f>
        <v>1.2047394210188289</v>
      </c>
      <c r="J49" s="63">
        <f>_xlfn.XLOOKUP($A49,'Data 2024'!$A:$A,'Data 2024'!P:P)/_xlfn.XLOOKUP($B49,'Category Averages'!$A$2:$A$4,'Category Averages'!E$2:E$4)</f>
        <v>0.2168739569308277</v>
      </c>
      <c r="K49" s="63">
        <f>_xlfn.XLOOKUP($A49,'Data 2024'!$A:$A,'Data 2024'!Q:Q)/_xlfn.XLOOKUP($B49,'Category Averages'!$A$2:$A$4,'Category Averages'!F$2:F$4)</f>
        <v>0.23987532421177973</v>
      </c>
    </row>
    <row r="50" spans="1:11" ht="18" customHeight="1">
      <c r="A50" s="56">
        <v>3115200</v>
      </c>
      <c r="B50" s="54" t="str">
        <f>_xlfn.XLOOKUP(A50,'Data 2024'!A:A,'Data 2024'!D:D)</f>
        <v>Region 2</v>
      </c>
      <c r="C50" s="58" t="s">
        <v>891</v>
      </c>
      <c r="D50" s="58" t="s">
        <v>865</v>
      </c>
      <c r="E50" s="58" t="s">
        <v>866</v>
      </c>
      <c r="F50" s="58" t="s">
        <v>892</v>
      </c>
      <c r="G50" s="55">
        <f>_xlfn.XLOOKUP($A50,'Data 2024'!$A:$A,'Data 2024'!I:I)/_xlfn.XLOOKUP($B50,'Category Averages'!$A$2:$A$4,'Category Averages'!$B$2:$B$4)</f>
        <v>0.39221843758331837</v>
      </c>
      <c r="H50" s="55">
        <f>_xlfn.XLOOKUP($A50,'Data 2024'!$A:$A,'Data 2024'!J:J)/_xlfn.XLOOKUP($B50,'Category Averages'!$A$2:$A$4,'Category Averages'!C$2:C$4)</f>
        <v>0.68357730674612416</v>
      </c>
      <c r="I50" s="55">
        <f>_xlfn.XLOOKUP($A50,'Data 2024'!$A:$A,'Data 2024'!K:K)/_xlfn.XLOOKUP($B50,'Category Averages'!$A$2:$A$4,'Category Averages'!D$2:D$4)</f>
        <v>0.65396080718067906</v>
      </c>
      <c r="J50" s="63">
        <f>_xlfn.XLOOKUP($A50,'Data 2024'!$A:$A,'Data 2024'!P:P)/_xlfn.XLOOKUP($B50,'Category Averages'!$A$2:$A$4,'Category Averages'!E$2:E$4)</f>
        <v>1.0762261696603226</v>
      </c>
      <c r="K50" s="63">
        <f>_xlfn.XLOOKUP($A50,'Data 2024'!$A:$A,'Data 2024'!Q:Q)/_xlfn.XLOOKUP($B50,'Category Averages'!$A$2:$A$4,'Category Averages'!F$2:F$4)</f>
        <v>1.0936480060251226</v>
      </c>
    </row>
    <row r="51" spans="1:11" ht="18" customHeight="1">
      <c r="A51" s="56">
        <v>3116600</v>
      </c>
      <c r="B51" s="54" t="str">
        <f>_xlfn.XLOOKUP(A51,'Data 2024'!A:A,'Data 2024'!D:D)</f>
        <v>Region 1</v>
      </c>
      <c r="C51" s="58" t="s">
        <v>893</v>
      </c>
      <c r="D51" s="58" t="s">
        <v>865</v>
      </c>
      <c r="E51" s="58" t="s">
        <v>866</v>
      </c>
      <c r="F51" s="58" t="s">
        <v>892</v>
      </c>
      <c r="G51" s="55">
        <f>_xlfn.XLOOKUP($A51,'Data 2024'!$A:$A,'Data 2024'!I:I)/_xlfn.XLOOKUP($B51,'Category Averages'!$A$2:$A$4,'Category Averages'!$B$2:$B$4)</f>
        <v>0.54512245208637189</v>
      </c>
      <c r="H51" s="55">
        <f>_xlfn.XLOOKUP($A51,'Data 2024'!$A:$A,'Data 2024'!J:J)/_xlfn.XLOOKUP($B51,'Category Averages'!$A$2:$A$4,'Category Averages'!C$2:C$4)</f>
        <v>1.1073488434790726</v>
      </c>
      <c r="I51" s="55">
        <f>_xlfn.XLOOKUP($A51,'Data 2024'!$A:$A,'Data 2024'!K:K)/_xlfn.XLOOKUP($B51,'Category Averages'!$A$2:$A$4,'Category Averages'!D$2:D$4)</f>
        <v>1.1793904886960258</v>
      </c>
      <c r="J51" s="63">
        <f>_xlfn.XLOOKUP($A51,'Data 2024'!$A:$A,'Data 2024'!P:P)/_xlfn.XLOOKUP($B51,'Category Averages'!$A$2:$A$4,'Category Averages'!E$2:E$4)</f>
        <v>0.63323661313391166</v>
      </c>
      <c r="K51" s="63">
        <f>_xlfn.XLOOKUP($A51,'Data 2024'!$A:$A,'Data 2024'!Q:Q)/_xlfn.XLOOKUP($B51,'Category Averages'!$A$2:$A$4,'Category Averages'!F$2:F$4)</f>
        <v>0.79311575485846941</v>
      </c>
    </row>
    <row r="52" spans="1:11" ht="18" customHeight="1">
      <c r="A52" s="56">
        <v>3119900</v>
      </c>
      <c r="B52" s="54" t="str">
        <f>_xlfn.XLOOKUP(A52,'Data 2024'!A:A,'Data 2024'!D:D)</f>
        <v>Region 12</v>
      </c>
      <c r="C52" s="58" t="s">
        <v>894</v>
      </c>
      <c r="D52" s="58" t="s">
        <v>808</v>
      </c>
      <c r="E52" s="58" t="s">
        <v>843</v>
      </c>
      <c r="F52" s="58" t="s">
        <v>844</v>
      </c>
      <c r="G52" s="55">
        <f>_xlfn.XLOOKUP($A52,'Data 2024'!$A:$A,'Data 2024'!I:I)/_xlfn.XLOOKUP($B52,'Category Averages'!$A$2:$A$4,'Category Averages'!$B$2:$B$4)</f>
        <v>0.42455929560880901</v>
      </c>
      <c r="H52" s="55" t="e">
        <f>_xlfn.XLOOKUP($A52,'Data 2024'!$A:$A,'Data 2024'!J:J)/_xlfn.XLOOKUP($B52,'Category Averages'!$A$2:$A$4,'Category Averages'!C$2:C$4)</f>
        <v>#DIV/0!</v>
      </c>
      <c r="I52" s="55">
        <f>_xlfn.XLOOKUP($A52,'Data 2024'!$A:$A,'Data 2024'!K:K)/_xlfn.XLOOKUP($B52,'Category Averages'!$A$2:$A$4,'Category Averages'!D$2:D$4)</f>
        <v>0</v>
      </c>
      <c r="J52" s="63">
        <f>_xlfn.XLOOKUP($A52,'Data 2024'!$A:$A,'Data 2024'!P:P)/_xlfn.XLOOKUP($B52,'Category Averages'!$A$2:$A$4,'Category Averages'!E$2:E$4)</f>
        <v>7.751764242440677</v>
      </c>
      <c r="K52" s="63">
        <f>_xlfn.XLOOKUP($A52,'Data 2024'!$A:$A,'Data 2024'!Q:Q)/_xlfn.XLOOKUP($B52,'Category Averages'!$A$2:$A$4,'Category Averages'!F$2:F$4)</f>
        <v>1.6430884635357637</v>
      </c>
    </row>
    <row r="53" spans="1:11" ht="18" customHeight="1">
      <c r="A53" s="56">
        <v>3122100</v>
      </c>
      <c r="B53" s="54" t="str">
        <f>_xlfn.XLOOKUP(A53,'Data 2024'!A:A,'Data 2024'!D:D)</f>
        <v>Region 1</v>
      </c>
      <c r="C53" s="58" t="s">
        <v>895</v>
      </c>
      <c r="D53" s="58" t="s">
        <v>808</v>
      </c>
      <c r="E53" s="58" t="s">
        <v>843</v>
      </c>
      <c r="F53" s="58" t="s">
        <v>869</v>
      </c>
      <c r="G53" s="55">
        <f>_xlfn.XLOOKUP($A53,'Data 2024'!$A:$A,'Data 2024'!I:I)/_xlfn.XLOOKUP($B53,'Category Averages'!$A$2:$A$4,'Category Averages'!$B$2:$B$4)</f>
        <v>0.85610463846011697</v>
      </c>
      <c r="H53" s="55">
        <f>_xlfn.XLOOKUP($A53,'Data 2024'!$A:$A,'Data 2024'!J:J)/_xlfn.XLOOKUP($B53,'Category Averages'!$A$2:$A$4,'Category Averages'!C$2:C$4)</f>
        <v>1.7012602953107971</v>
      </c>
      <c r="I53" s="55">
        <f>_xlfn.XLOOKUP($A53,'Data 2024'!$A:$A,'Data 2024'!K:K)/_xlfn.XLOOKUP($B53,'Category Averages'!$A$2:$A$4,'Category Averages'!D$2:D$4)</f>
        <v>1.2337484342906699</v>
      </c>
      <c r="J53" s="63">
        <f>_xlfn.XLOOKUP($A53,'Data 2024'!$A:$A,'Data 2024'!P:P)/_xlfn.XLOOKUP($B53,'Category Averages'!$A$2:$A$4,'Category Averages'!E$2:E$4)</f>
        <v>0.59885958734271671</v>
      </c>
      <c r="K53" s="63">
        <f>_xlfn.XLOOKUP($A53,'Data 2024'!$A:$A,'Data 2024'!Q:Q)/_xlfn.XLOOKUP($B53,'Category Averages'!$A$2:$A$4,'Category Averages'!F$2:F$4)</f>
        <v>1.0890581346302128</v>
      </c>
    </row>
    <row r="54" spans="1:11" ht="18" customHeight="1">
      <c r="A54" s="56">
        <v>3123200</v>
      </c>
      <c r="B54" s="54" t="str">
        <f>_xlfn.XLOOKUP(A54,'Data 2024'!A:A,'Data 2024'!D:D)</f>
        <v>Region 12</v>
      </c>
      <c r="C54" s="58" t="s">
        <v>896</v>
      </c>
      <c r="D54" s="58" t="s">
        <v>808</v>
      </c>
      <c r="E54" s="58" t="s">
        <v>843</v>
      </c>
      <c r="F54" s="58" t="s">
        <v>875</v>
      </c>
      <c r="G54" s="55">
        <f>_xlfn.XLOOKUP($A54,'Data 2024'!$A:$A,'Data 2024'!I:I)/_xlfn.XLOOKUP($B54,'Category Averages'!$A$2:$A$4,'Category Averages'!$B$2:$B$4)</f>
        <v>0.74820774516411925</v>
      </c>
      <c r="H54" s="55" t="e">
        <f>_xlfn.XLOOKUP($A54,'Data 2024'!$A:$A,'Data 2024'!J:J)/_xlfn.XLOOKUP($B54,'Category Averages'!$A$2:$A$4,'Category Averages'!C$2:C$4)</f>
        <v>#DIV/0!</v>
      </c>
      <c r="I54" s="55">
        <f>_xlfn.XLOOKUP($A54,'Data 2024'!$A:$A,'Data 2024'!K:K)/_xlfn.XLOOKUP($B54,'Category Averages'!$A$2:$A$4,'Category Averages'!D$2:D$4)</f>
        <v>0</v>
      </c>
      <c r="J54" s="63">
        <f>_xlfn.XLOOKUP($A54,'Data 2024'!$A:$A,'Data 2024'!P:P)/_xlfn.XLOOKUP($B54,'Category Averages'!$A$2:$A$4,'Category Averages'!E$2:E$4)</f>
        <v>0</v>
      </c>
      <c r="K54" s="63">
        <f>_xlfn.XLOOKUP($A54,'Data 2024'!$A:$A,'Data 2024'!Q:Q)/_xlfn.XLOOKUP($B54,'Category Averages'!$A$2:$A$4,'Category Averages'!F$2:F$4)</f>
        <v>0.60269419414011349</v>
      </c>
    </row>
    <row r="55" spans="1:11" ht="18" customHeight="1">
      <c r="A55" s="56">
        <v>3126200</v>
      </c>
      <c r="B55" s="54" t="str">
        <f>_xlfn.XLOOKUP(A55,'Data 2024'!A:A,'Data 2024'!D:D)</f>
        <v>Region 2</v>
      </c>
      <c r="C55" s="58" t="s">
        <v>897</v>
      </c>
      <c r="D55" s="58" t="s">
        <v>830</v>
      </c>
      <c r="E55" s="58" t="s">
        <v>831</v>
      </c>
      <c r="F55" s="58" t="s">
        <v>898</v>
      </c>
      <c r="G55" s="55">
        <f>_xlfn.XLOOKUP($A55,'Data 2024'!$A:$A,'Data 2024'!I:I)/_xlfn.XLOOKUP($B55,'Category Averages'!$A$2:$A$4,'Category Averages'!$B$2:$B$4)</f>
        <v>0.65617589488930406</v>
      </c>
      <c r="H55" s="55">
        <f>_xlfn.XLOOKUP($A55,'Data 2024'!$A:$A,'Data 2024'!J:J)/_xlfn.XLOOKUP($B55,'Category Averages'!$A$2:$A$4,'Category Averages'!C$2:C$4)</f>
        <v>0.75065225407344549</v>
      </c>
      <c r="I55" s="55">
        <f>_xlfn.XLOOKUP($A55,'Data 2024'!$A:$A,'Data 2024'!K:K)/_xlfn.XLOOKUP($B55,'Category Averages'!$A$2:$A$4,'Category Averages'!D$2:D$4)</f>
        <v>0.78310311045071779</v>
      </c>
      <c r="J55" s="63">
        <f>_xlfn.XLOOKUP($A55,'Data 2024'!$A:$A,'Data 2024'!P:P)/_xlfn.XLOOKUP($B55,'Category Averages'!$A$2:$A$4,'Category Averages'!E$2:E$4)</f>
        <v>1.4195719198889314</v>
      </c>
      <c r="K55" s="63">
        <f>_xlfn.XLOOKUP($A55,'Data 2024'!$A:$A,'Data 2024'!Q:Q)/_xlfn.XLOOKUP($B55,'Category Averages'!$A$2:$A$4,'Category Averages'!F$2:F$4)</f>
        <v>1.4552602178166025</v>
      </c>
    </row>
    <row r="56" spans="1:11" ht="18" customHeight="1">
      <c r="A56" s="56">
        <v>3127300</v>
      </c>
      <c r="B56" s="54" t="str">
        <f>_xlfn.XLOOKUP(A56,'Data 2024'!A:A,'Data 2024'!D:D)</f>
        <v>Region 2</v>
      </c>
      <c r="C56" s="58" t="s">
        <v>899</v>
      </c>
      <c r="D56" s="58" t="s">
        <v>808</v>
      </c>
      <c r="E56" s="58" t="s">
        <v>843</v>
      </c>
      <c r="F56" s="58" t="s">
        <v>900</v>
      </c>
      <c r="G56" s="55">
        <f>_xlfn.XLOOKUP($A56,'Data 2024'!$A:$A,'Data 2024'!I:I)/_xlfn.XLOOKUP($B56,'Category Averages'!$A$2:$A$4,'Category Averages'!$B$2:$B$4)</f>
        <v>0.71314193792930991</v>
      </c>
      <c r="H56" s="55">
        <f>_xlfn.XLOOKUP($A56,'Data 2024'!$A:$A,'Data 2024'!J:J)/_xlfn.XLOOKUP($B56,'Category Averages'!$A$2:$A$4,'Category Averages'!C$2:C$4)</f>
        <v>0.82592996598052704</v>
      </c>
      <c r="I56" s="55">
        <f>_xlfn.XLOOKUP($A56,'Data 2024'!$A:$A,'Data 2024'!K:K)/_xlfn.XLOOKUP($B56,'Category Averages'!$A$2:$A$4,'Category Averages'!D$2:D$4)</f>
        <v>0.88478547603758428</v>
      </c>
      <c r="J56" s="63">
        <f>_xlfn.XLOOKUP($A56,'Data 2024'!$A:$A,'Data 2024'!P:P)/_xlfn.XLOOKUP($B56,'Category Averages'!$A$2:$A$4,'Category Averages'!E$2:E$4)</f>
        <v>0.9192560979706822</v>
      </c>
      <c r="K56" s="63">
        <f>_xlfn.XLOOKUP($A56,'Data 2024'!$A:$A,'Data 2024'!Q:Q)/_xlfn.XLOOKUP($B56,'Category Averages'!$A$2:$A$4,'Category Averages'!F$2:F$4)</f>
        <v>0.53190277450526768</v>
      </c>
    </row>
    <row r="57" spans="1:11" ht="18" customHeight="1">
      <c r="A57" s="56">
        <v>3157200</v>
      </c>
      <c r="B57" s="54" t="str">
        <f>_xlfn.XLOOKUP(A57,'Data 2024'!A:A,'Data 2024'!D:D)</f>
        <v>Region 2</v>
      </c>
      <c r="C57" s="58" t="s">
        <v>901</v>
      </c>
      <c r="D57" s="58" t="s">
        <v>808</v>
      </c>
      <c r="E57" s="58" t="s">
        <v>821</v>
      </c>
      <c r="F57" s="58" t="s">
        <v>819</v>
      </c>
      <c r="G57" s="55">
        <f>_xlfn.XLOOKUP($A57,'Data 2024'!$A:$A,'Data 2024'!I:I)/_xlfn.XLOOKUP($B57,'Category Averages'!$A$2:$A$4,'Category Averages'!$B$2:$B$4)</f>
        <v>0.64993677254201931</v>
      </c>
      <c r="H57" s="55">
        <f>_xlfn.XLOOKUP($A57,'Data 2024'!$A:$A,'Data 2024'!J:J)/_xlfn.XLOOKUP($B57,'Category Averages'!$A$2:$A$4,'Category Averages'!C$2:C$4)</f>
        <v>0.74573944931546055</v>
      </c>
      <c r="I57" s="55">
        <f>_xlfn.XLOOKUP($A57,'Data 2024'!$A:$A,'Data 2024'!K:K)/_xlfn.XLOOKUP($B57,'Category Averages'!$A$2:$A$4,'Category Averages'!D$2:D$4)</f>
        <v>0.79550517131289167</v>
      </c>
      <c r="J57" s="63">
        <f>_xlfn.XLOOKUP($A57,'Data 2024'!$A:$A,'Data 2024'!P:P)/_xlfn.XLOOKUP($B57,'Category Averages'!$A$2:$A$4,'Category Averages'!E$2:E$4)</f>
        <v>0.52016382174839559</v>
      </c>
      <c r="K57" s="63">
        <f>_xlfn.XLOOKUP($A57,'Data 2024'!$A:$A,'Data 2024'!Q:Q)/_xlfn.XLOOKUP($B57,'Category Averages'!$A$2:$A$4,'Category Averages'!F$2:F$4)</f>
        <v>0.30067861491756986</v>
      </c>
    </row>
    <row r="58" spans="1:11" ht="18" customHeight="1">
      <c r="A58" s="56">
        <v>3182900</v>
      </c>
      <c r="B58" s="54" t="str">
        <f>_xlfn.XLOOKUP(A58,'Data 2024'!A:A,'Data 2024'!D:D)</f>
        <v>Region 1</v>
      </c>
      <c r="C58" s="58" t="s">
        <v>902</v>
      </c>
      <c r="D58" s="58" t="s">
        <v>808</v>
      </c>
      <c r="E58" s="58" t="s">
        <v>814</v>
      </c>
      <c r="F58" s="58" t="s">
        <v>888</v>
      </c>
      <c r="G58" s="55">
        <f>_xlfn.XLOOKUP($A58,'Data 2024'!$A:$A,'Data 2024'!I:I)/_xlfn.XLOOKUP($B58,'Category Averages'!$A$2:$A$4,'Category Averages'!$B$2:$B$4)</f>
        <v>1.0230957833770344</v>
      </c>
      <c r="H58" s="55">
        <f>_xlfn.XLOOKUP($A58,'Data 2024'!$A:$A,'Data 2024'!J:J)/_xlfn.XLOOKUP($B58,'Category Averages'!$A$2:$A$4,'Category Averages'!C$2:C$4)</f>
        <v>1.7163820350368975</v>
      </c>
      <c r="I58" s="55">
        <f>_xlfn.XLOOKUP($A58,'Data 2024'!$A:$A,'Data 2024'!K:K)/_xlfn.XLOOKUP($B58,'Category Averages'!$A$2:$A$4,'Category Averages'!D$2:D$4)</f>
        <v>0.98689265941966076</v>
      </c>
      <c r="J58" s="63">
        <f>_xlfn.XLOOKUP($A58,'Data 2024'!$A:$A,'Data 2024'!P:P)/_xlfn.XLOOKUP($B58,'Category Averages'!$A$2:$A$4,'Category Averages'!E$2:E$4)</f>
        <v>0.66225588294904059</v>
      </c>
      <c r="K58" s="63">
        <f>_xlfn.XLOOKUP($A58,'Data 2024'!$A:$A,'Data 2024'!Q:Q)/_xlfn.XLOOKUP($B58,'Category Averages'!$A$2:$A$4,'Category Averages'!F$2:F$4)</f>
        <v>1.0605920689446966</v>
      </c>
    </row>
    <row r="59" spans="1:11" ht="18" customHeight="1">
      <c r="A59" s="56">
        <v>3185900</v>
      </c>
      <c r="B59" s="54" t="str">
        <f>_xlfn.XLOOKUP(A59,'Data 2024'!A:A,'Data 2024'!D:D)</f>
        <v>Region 2</v>
      </c>
      <c r="C59" s="58" t="s">
        <v>903</v>
      </c>
      <c r="D59" s="58" t="s">
        <v>808</v>
      </c>
      <c r="E59" s="58" t="s">
        <v>838</v>
      </c>
      <c r="F59" s="58" t="s">
        <v>839</v>
      </c>
      <c r="G59" s="55">
        <f>_xlfn.XLOOKUP($A59,'Data 2024'!$A:$A,'Data 2024'!I:I)/_xlfn.XLOOKUP($B59,'Category Averages'!$A$2:$A$4,'Category Averages'!$B$2:$B$4)</f>
        <v>0.58666883227527566</v>
      </c>
      <c r="H59" s="55">
        <f>_xlfn.XLOOKUP($A59,'Data 2024'!$A:$A,'Data 2024'!J:J)/_xlfn.XLOOKUP($B59,'Category Averages'!$A$2:$A$4,'Category Averages'!C$2:C$4)</f>
        <v>0.90234037077448981</v>
      </c>
      <c r="I59" s="55">
        <f>_xlfn.XLOOKUP($A59,'Data 2024'!$A:$A,'Data 2024'!K:K)/_xlfn.XLOOKUP($B59,'Category Averages'!$A$2:$A$4,'Category Averages'!D$2:D$4)</f>
        <v>0.51835490389141969</v>
      </c>
      <c r="J59" s="63">
        <f>_xlfn.XLOOKUP($A59,'Data 2024'!$A:$A,'Data 2024'!P:P)/_xlfn.XLOOKUP($B59,'Category Averages'!$A$2:$A$4,'Category Averages'!E$2:E$4)</f>
        <v>1.2172042517448511</v>
      </c>
      <c r="K59" s="63">
        <f>_xlfn.XLOOKUP($A59,'Data 2024'!$A:$A,'Data 2024'!Q:Q)/_xlfn.XLOOKUP($B59,'Category Averages'!$A$2:$A$4,'Category Averages'!F$2:F$4)</f>
        <v>0.65286291173985278</v>
      </c>
    </row>
    <row r="60" spans="1:11" ht="18" customHeight="1">
      <c r="A60" s="56">
        <v>3187000</v>
      </c>
      <c r="B60" s="54" t="str">
        <f>_xlfn.XLOOKUP(A60,'Data 2024'!A:A,'Data 2024'!D:D)</f>
        <v>Region 1</v>
      </c>
      <c r="C60" s="58" t="s">
        <v>904</v>
      </c>
      <c r="D60" s="58" t="s">
        <v>808</v>
      </c>
      <c r="E60" s="58" t="s">
        <v>838</v>
      </c>
      <c r="F60" s="58" t="s">
        <v>905</v>
      </c>
      <c r="G60" s="55">
        <f>_xlfn.XLOOKUP($A60,'Data 2024'!$A:$A,'Data 2024'!I:I)/_xlfn.XLOOKUP($B60,'Category Averages'!$A$2:$A$4,'Category Averages'!$B$2:$B$4)</f>
        <v>0.94268800900754579</v>
      </c>
      <c r="H60" s="55">
        <f>_xlfn.XLOOKUP($A60,'Data 2024'!$A:$A,'Data 2024'!J:J)/_xlfn.XLOOKUP($B60,'Category Averages'!$A$2:$A$4,'Category Averages'!C$2:C$4)</f>
        <v>0.69182913119794942</v>
      </c>
      <c r="I60" s="55">
        <f>_xlfn.XLOOKUP($A60,'Data 2024'!$A:$A,'Data 2024'!K:K)/_xlfn.XLOOKUP($B60,'Category Averages'!$A$2:$A$4,'Category Averages'!D$2:D$4)</f>
        <v>1.1011764216576407</v>
      </c>
      <c r="J60" s="63">
        <f>_xlfn.XLOOKUP($A60,'Data 2024'!$A:$A,'Data 2024'!P:P)/_xlfn.XLOOKUP($B60,'Category Averages'!$A$2:$A$4,'Category Averages'!E$2:E$4)</f>
        <v>0.71481628660628505</v>
      </c>
      <c r="K60" s="63">
        <f>_xlfn.XLOOKUP($A60,'Data 2024'!$A:$A,'Data 2024'!Q:Q)/_xlfn.XLOOKUP($B60,'Category Averages'!$A$2:$A$4,'Category Averages'!F$2:F$4)</f>
        <v>0.24608555665535645</v>
      </c>
    </row>
    <row r="61" spans="1:11" ht="18" customHeight="1">
      <c r="A61" s="56">
        <v>3188100</v>
      </c>
      <c r="B61" s="54" t="str">
        <f>_xlfn.XLOOKUP(A61,'Data 2024'!A:A,'Data 2024'!D:D)</f>
        <v>Region 2</v>
      </c>
      <c r="C61" s="58" t="s">
        <v>906</v>
      </c>
      <c r="D61" s="58" t="s">
        <v>865</v>
      </c>
      <c r="E61" s="58" t="s">
        <v>866</v>
      </c>
      <c r="F61" s="58" t="s">
        <v>907</v>
      </c>
      <c r="G61" s="55">
        <f>_xlfn.XLOOKUP($A61,'Data 2024'!$A:$A,'Data 2024'!I:I)/_xlfn.XLOOKUP($B61,'Category Averages'!$A$2:$A$4,'Category Averages'!$B$2:$B$4)</f>
        <v>0.56607547488421484</v>
      </c>
      <c r="H61" s="55">
        <f>_xlfn.XLOOKUP($A61,'Data 2024'!$A:$A,'Data 2024'!J:J)/_xlfn.XLOOKUP($B61,'Category Averages'!$A$2:$A$4,'Category Averages'!C$2:C$4)</f>
        <v>0.44719460753505363</v>
      </c>
      <c r="I61" s="55">
        <f>_xlfn.XLOOKUP($A61,'Data 2024'!$A:$A,'Data 2024'!K:K)/_xlfn.XLOOKUP($B61,'Category Averages'!$A$2:$A$4,'Category Averages'!D$2:D$4)</f>
        <v>0.58654640611648712</v>
      </c>
      <c r="J61" s="63">
        <f>_xlfn.XLOOKUP($A61,'Data 2024'!$A:$A,'Data 2024'!P:P)/_xlfn.XLOOKUP($B61,'Category Averages'!$A$2:$A$4,'Category Averages'!E$2:E$4)</f>
        <v>0.83807397970071518</v>
      </c>
      <c r="K61" s="63">
        <f>_xlfn.XLOOKUP($A61,'Data 2024'!$A:$A,'Data 2024'!Q:Q)/_xlfn.XLOOKUP($B61,'Category Averages'!$A$2:$A$4,'Category Averages'!F$2:F$4)</f>
        <v>0.59423648283753749</v>
      </c>
    </row>
    <row r="62" spans="1:11" ht="18" customHeight="1">
      <c r="A62" s="56">
        <v>3188500</v>
      </c>
      <c r="B62" s="54" t="str">
        <f>_xlfn.XLOOKUP(A62,'Data 2024'!A:A,'Data 2024'!D:D)</f>
        <v>Region 2</v>
      </c>
      <c r="C62" s="58" t="s">
        <v>908</v>
      </c>
      <c r="D62" s="58" t="s">
        <v>865</v>
      </c>
      <c r="E62" s="58" t="s">
        <v>866</v>
      </c>
      <c r="F62" s="58" t="s">
        <v>909</v>
      </c>
      <c r="G62" s="55">
        <f>_xlfn.XLOOKUP($A62,'Data 2024'!$A:$A,'Data 2024'!I:I)/_xlfn.XLOOKUP($B62,'Category Averages'!$A$2:$A$4,'Category Averages'!$B$2:$B$4)</f>
        <v>0.53579847644455547</v>
      </c>
      <c r="H62" s="55">
        <f>_xlfn.XLOOKUP($A62,'Data 2024'!$A:$A,'Data 2024'!J:J)/_xlfn.XLOOKUP($B62,'Category Averages'!$A$2:$A$4,'Category Averages'!C$2:C$4)</f>
        <v>0.57352199290254169</v>
      </c>
      <c r="I62" s="55">
        <f>_xlfn.XLOOKUP($A62,'Data 2024'!$A:$A,'Data 2024'!K:K)/_xlfn.XLOOKUP($B62,'Category Averages'!$A$2:$A$4,'Category Averages'!D$2:D$4)</f>
        <v>0.66425698826518398</v>
      </c>
      <c r="J62" s="63">
        <f>_xlfn.XLOOKUP($A62,'Data 2024'!$A:$A,'Data 2024'!P:P)/_xlfn.XLOOKUP($B62,'Category Averages'!$A$2:$A$4,'Category Averages'!E$2:E$4)</f>
        <v>0.99143358294569572</v>
      </c>
      <c r="K62" s="63">
        <f>_xlfn.XLOOKUP($A62,'Data 2024'!$A:$A,'Data 2024'!Q:Q)/_xlfn.XLOOKUP($B62,'Category Averages'!$A$2:$A$4,'Category Averages'!F$2:F$4)</f>
        <v>0.86335016802502706</v>
      </c>
    </row>
    <row r="63" spans="1:11" ht="18" customHeight="1">
      <c r="A63" s="56">
        <v>3189200</v>
      </c>
      <c r="B63" s="54" t="str">
        <f>_xlfn.XLOOKUP(A63,'Data 2024'!A:A,'Data 2024'!D:D)</f>
        <v>Region 12</v>
      </c>
      <c r="C63" s="58" t="s">
        <v>910</v>
      </c>
      <c r="D63" s="58" t="s">
        <v>808</v>
      </c>
      <c r="E63" s="58" t="s">
        <v>838</v>
      </c>
      <c r="F63" s="58" t="s">
        <v>905</v>
      </c>
      <c r="G63" s="55">
        <f>_xlfn.XLOOKUP($A63,'Data 2024'!$A:$A,'Data 2024'!I:I)/_xlfn.XLOOKUP($B63,'Category Averages'!$A$2:$A$4,'Category Averages'!$B$2:$B$4)</f>
        <v>0.59707407455557937</v>
      </c>
      <c r="H63" s="55" t="e">
        <f>_xlfn.XLOOKUP($A63,'Data 2024'!$A:$A,'Data 2024'!J:J)/_xlfn.XLOOKUP($B63,'Category Averages'!$A$2:$A$4,'Category Averages'!C$2:C$4)</f>
        <v>#DIV/0!</v>
      </c>
      <c r="I63" s="55">
        <f>_xlfn.XLOOKUP($A63,'Data 2024'!$A:$A,'Data 2024'!K:K)/_xlfn.XLOOKUP($B63,'Category Averages'!$A$2:$A$4,'Category Averages'!D$2:D$4)</f>
        <v>0</v>
      </c>
      <c r="J63" s="63">
        <f>_xlfn.XLOOKUP($A63,'Data 2024'!$A:$A,'Data 2024'!P:P)/_xlfn.XLOOKUP($B63,'Category Averages'!$A$2:$A$4,'Category Averages'!E$2:E$4)</f>
        <v>0</v>
      </c>
      <c r="K63" s="63">
        <f>_xlfn.XLOOKUP($A63,'Data 2024'!$A:$A,'Data 2024'!Q:Q)/_xlfn.XLOOKUP($B63,'Category Averages'!$A$2:$A$4,'Category Averages'!F$2:F$4)</f>
        <v>0.17286424361362723</v>
      </c>
    </row>
    <row r="64" spans="1:11" ht="18" customHeight="1">
      <c r="A64" s="56">
        <v>3190300</v>
      </c>
      <c r="B64" s="54" t="str">
        <f>_xlfn.XLOOKUP(A64,'Data 2024'!A:A,'Data 2024'!D:D)</f>
        <v>Region 12</v>
      </c>
      <c r="C64" s="58" t="s">
        <v>911</v>
      </c>
      <c r="D64" s="58" t="s">
        <v>865</v>
      </c>
      <c r="E64" s="58" t="s">
        <v>866</v>
      </c>
      <c r="F64" s="58" t="s">
        <v>907</v>
      </c>
      <c r="G64" s="55">
        <f>_xlfn.XLOOKUP($A64,'Data 2024'!$A:$A,'Data 2024'!I:I)/_xlfn.XLOOKUP($B64,'Category Averages'!$A$2:$A$4,'Category Averages'!$B$2:$B$4)</f>
        <v>0.68581552845250426</v>
      </c>
      <c r="H64" s="55" t="e">
        <f>_xlfn.XLOOKUP($A64,'Data 2024'!$A:$A,'Data 2024'!J:J)/_xlfn.XLOOKUP($B64,'Category Averages'!$A$2:$A$4,'Category Averages'!C$2:C$4)</f>
        <v>#DIV/0!</v>
      </c>
      <c r="I64" s="55">
        <f>_xlfn.XLOOKUP($A64,'Data 2024'!$A:$A,'Data 2024'!K:K)/_xlfn.XLOOKUP($B64,'Category Averages'!$A$2:$A$4,'Category Averages'!D$2:D$4)</f>
        <v>1.2787210535760234</v>
      </c>
      <c r="J64" s="63">
        <f>_xlfn.XLOOKUP($A64,'Data 2024'!$A:$A,'Data 2024'!P:P)/_xlfn.XLOOKUP($B64,'Category Averages'!$A$2:$A$4,'Category Averages'!E$2:E$4)</f>
        <v>0.89481772020968009</v>
      </c>
      <c r="K64" s="63">
        <f>_xlfn.XLOOKUP($A64,'Data 2024'!$A:$A,'Data 2024'!Q:Q)/_xlfn.XLOOKUP($B64,'Category Averages'!$A$2:$A$4,'Category Averages'!F$2:F$4)</f>
        <v>1.2827329997996204</v>
      </c>
    </row>
    <row r="65" spans="1:11" ht="18" customHeight="1">
      <c r="A65" s="56">
        <v>3193600</v>
      </c>
      <c r="B65" s="54" t="str">
        <f>_xlfn.XLOOKUP(A65,'Data 2024'!A:A,'Data 2024'!D:D)</f>
        <v>Region 2</v>
      </c>
      <c r="C65" s="58" t="s">
        <v>912</v>
      </c>
      <c r="D65" s="58" t="s">
        <v>808</v>
      </c>
      <c r="E65" s="58" t="s">
        <v>843</v>
      </c>
      <c r="F65" s="58" t="s">
        <v>913</v>
      </c>
      <c r="G65" s="55">
        <f>_xlfn.XLOOKUP($A65,'Data 2024'!$A:$A,'Data 2024'!I:I)/_xlfn.XLOOKUP($B65,'Category Averages'!$A$2:$A$4,'Category Averages'!$B$2:$B$4)</f>
        <v>0.65438543460679321</v>
      </c>
      <c r="H65" s="55">
        <f>_xlfn.XLOOKUP($A65,'Data 2024'!$A:$A,'Data 2024'!J:J)/_xlfn.XLOOKUP($B65,'Category Averages'!$A$2:$A$4,'Category Averages'!C$2:C$4)</f>
        <v>0.95073930152178177</v>
      </c>
      <c r="I65" s="55">
        <f>_xlfn.XLOOKUP($A65,'Data 2024'!$A:$A,'Data 2024'!K:K)/_xlfn.XLOOKUP($B65,'Category Averages'!$A$2:$A$4,'Category Averages'!D$2:D$4)</f>
        <v>0.91087649598003195</v>
      </c>
      <c r="J65" s="63">
        <f>_xlfn.XLOOKUP($A65,'Data 2024'!$A:$A,'Data 2024'!P:P)/_xlfn.XLOOKUP($B65,'Category Averages'!$A$2:$A$4,'Category Averages'!E$2:E$4)</f>
        <v>0.85175235241763037</v>
      </c>
      <c r="K65" s="63">
        <f>_xlfn.XLOOKUP($A65,'Data 2024'!$A:$A,'Data 2024'!Q:Q)/_xlfn.XLOOKUP($B65,'Category Averages'!$A$2:$A$4,'Category Averages'!F$2:F$4)</f>
        <v>0.46925885642140208</v>
      </c>
    </row>
    <row r="66" spans="1:11" ht="18" customHeight="1">
      <c r="A66" s="56">
        <v>3194700</v>
      </c>
      <c r="B66" s="54" t="str">
        <f>_xlfn.XLOOKUP(A66,'Data 2024'!A:A,'Data 2024'!D:D)</f>
        <v>Region 2</v>
      </c>
      <c r="C66" s="58" t="s">
        <v>914</v>
      </c>
      <c r="D66" s="58" t="s">
        <v>808</v>
      </c>
      <c r="E66" s="58" t="s">
        <v>821</v>
      </c>
      <c r="F66" s="58" t="s">
        <v>839</v>
      </c>
      <c r="G66" s="55">
        <f>_xlfn.XLOOKUP($A66,'Data 2024'!$A:$A,'Data 2024'!I:I)/_xlfn.XLOOKUP($B66,'Category Averages'!$A$2:$A$4,'Category Averages'!$B$2:$B$4)</f>
        <v>1.4094732204807947</v>
      </c>
      <c r="H66" s="55">
        <f>_xlfn.XLOOKUP($A66,'Data 2024'!$A:$A,'Data 2024'!J:J)/_xlfn.XLOOKUP($B66,'Category Averages'!$A$2:$A$4,'Category Averages'!C$2:C$4)</f>
        <v>1.5740116207580939</v>
      </c>
      <c r="I66" s="55">
        <f>_xlfn.XLOOKUP($A66,'Data 2024'!$A:$A,'Data 2024'!K:K)/_xlfn.XLOOKUP($B66,'Category Averages'!$A$2:$A$4,'Category Averages'!D$2:D$4)</f>
        <v>1.0327748382475048</v>
      </c>
      <c r="J66" s="63">
        <f>_xlfn.XLOOKUP($A66,'Data 2024'!$A:$A,'Data 2024'!P:P)/_xlfn.XLOOKUP($B66,'Category Averages'!$A$2:$A$4,'Category Averages'!E$2:E$4)</f>
        <v>0.5551468528860416</v>
      </c>
      <c r="K66" s="63">
        <f>_xlfn.XLOOKUP($A66,'Data 2024'!$A:$A,'Data 2024'!Q:Q)/_xlfn.XLOOKUP($B66,'Category Averages'!$A$2:$A$4,'Category Averages'!F$2:F$4)</f>
        <v>0.14497828720936301</v>
      </c>
    </row>
    <row r="67" spans="1:11" ht="18" customHeight="1">
      <c r="A67" s="56">
        <v>3195200</v>
      </c>
      <c r="B67" s="54" t="str">
        <f>_xlfn.XLOOKUP(A67,'Data 2024'!A:A,'Data 2024'!D:D)</f>
        <v>Region 1</v>
      </c>
      <c r="C67" s="58" t="s">
        <v>915</v>
      </c>
      <c r="D67" s="58" t="s">
        <v>808</v>
      </c>
      <c r="E67" s="58" t="s">
        <v>814</v>
      </c>
      <c r="F67" s="58" t="s">
        <v>916</v>
      </c>
      <c r="G67" s="55">
        <f>_xlfn.XLOOKUP($A67,'Data 2024'!$A:$A,'Data 2024'!I:I)/_xlfn.XLOOKUP($B67,'Category Averages'!$A$2:$A$4,'Category Averages'!$B$2:$B$4)</f>
        <v>1.5315686616170583</v>
      </c>
      <c r="H67" s="55">
        <f>_xlfn.XLOOKUP($A67,'Data 2024'!$A:$A,'Data 2024'!J:J)/_xlfn.XLOOKUP($B67,'Category Averages'!$A$2:$A$4,'Category Averages'!C$2:C$4)</f>
        <v>2.7737855809580489</v>
      </c>
      <c r="I67" s="55">
        <f>_xlfn.XLOOKUP($A67,'Data 2024'!$A:$A,'Data 2024'!K:K)/_xlfn.XLOOKUP($B67,'Category Averages'!$A$2:$A$4,'Category Averages'!D$2:D$4)</f>
        <v>1.7461854450960426</v>
      </c>
      <c r="J67" s="63">
        <f>_xlfn.XLOOKUP($A67,'Data 2024'!$A:$A,'Data 2024'!P:P)/_xlfn.XLOOKUP($B67,'Category Averages'!$A$2:$A$4,'Category Averages'!E$2:E$4)</f>
        <v>0.30509421689478056</v>
      </c>
      <c r="K67" s="63">
        <f>_xlfn.XLOOKUP($A67,'Data 2024'!$A:$A,'Data 2024'!Q:Q)/_xlfn.XLOOKUP($B67,'Category Averages'!$A$2:$A$4,'Category Averages'!F$2:F$4)</f>
        <v>0.16821236335571668</v>
      </c>
    </row>
    <row r="68" spans="1:11" ht="18" customHeight="1">
      <c r="A68" s="56">
        <v>3196200</v>
      </c>
      <c r="B68" s="54" t="str">
        <f>_xlfn.XLOOKUP(A68,'Data 2024'!A:A,'Data 2024'!D:D)</f>
        <v>Region 1</v>
      </c>
      <c r="C68" s="58" t="s">
        <v>917</v>
      </c>
      <c r="D68" s="58" t="s">
        <v>808</v>
      </c>
      <c r="E68" s="58" t="s">
        <v>814</v>
      </c>
      <c r="F68" s="58" t="s">
        <v>916</v>
      </c>
      <c r="G68" s="55">
        <f>_xlfn.XLOOKUP($A68,'Data 2024'!$A:$A,'Data 2024'!I:I)/_xlfn.XLOOKUP($B68,'Category Averages'!$A$2:$A$4,'Category Averages'!$B$2:$B$4)</f>
        <v>1.5414726952478823</v>
      </c>
      <c r="H68" s="55">
        <f>_xlfn.XLOOKUP($A68,'Data 2024'!$A:$A,'Data 2024'!J:J)/_xlfn.XLOOKUP($B68,'Category Averages'!$A$2:$A$4,'Category Averages'!C$2:C$4)</f>
        <v>2.4931548639164682</v>
      </c>
      <c r="I68" s="55">
        <f>_xlfn.XLOOKUP($A68,'Data 2024'!$A:$A,'Data 2024'!K:K)/_xlfn.XLOOKUP($B68,'Category Averages'!$A$2:$A$4,'Category Averages'!D$2:D$4)</f>
        <v>1.7841850879960617</v>
      </c>
      <c r="J68" s="63">
        <f>_xlfn.XLOOKUP($A68,'Data 2024'!$A:$A,'Data 2024'!P:P)/_xlfn.XLOOKUP($B68,'Category Averages'!$A$2:$A$4,'Category Averages'!E$2:E$4)</f>
        <v>0.36652801020411746</v>
      </c>
      <c r="K68" s="63">
        <f>_xlfn.XLOOKUP($A68,'Data 2024'!$A:$A,'Data 2024'!Q:Q)/_xlfn.XLOOKUP($B68,'Category Averages'!$A$2:$A$4,'Category Averages'!F$2:F$4)</f>
        <v>0.19205388124309528</v>
      </c>
    </row>
    <row r="69" spans="1:11" ht="18" customHeight="1">
      <c r="A69" s="56">
        <v>3196600</v>
      </c>
      <c r="B69" s="54" t="str">
        <f>_xlfn.XLOOKUP(A69,'Data 2024'!A:A,'Data 2024'!D:D)</f>
        <v>Region 2</v>
      </c>
      <c r="C69" s="58" t="s">
        <v>918</v>
      </c>
      <c r="D69" s="58" t="s">
        <v>865</v>
      </c>
      <c r="E69" s="58" t="s">
        <v>866</v>
      </c>
      <c r="F69" s="58" t="s">
        <v>892</v>
      </c>
      <c r="G69" s="55">
        <f>_xlfn.XLOOKUP($A69,'Data 2024'!$A:$A,'Data 2024'!I:I)/_xlfn.XLOOKUP($B69,'Category Averages'!$A$2:$A$4,'Category Averages'!$B$2:$B$4)</f>
        <v>0.57052535043344998</v>
      </c>
      <c r="H69" s="55">
        <f>_xlfn.XLOOKUP($A69,'Data 2024'!$A:$A,'Data 2024'!J:J)/_xlfn.XLOOKUP($B69,'Category Averages'!$A$2:$A$4,'Category Averages'!C$2:C$4)</f>
        <v>0.67656286297004131</v>
      </c>
      <c r="I69" s="55">
        <f>_xlfn.XLOOKUP($A69,'Data 2024'!$A:$A,'Data 2024'!K:K)/_xlfn.XLOOKUP($B69,'Category Averages'!$A$2:$A$4,'Category Averages'!D$2:D$4)</f>
        <v>0.70081792814935628</v>
      </c>
      <c r="J69" s="63">
        <f>_xlfn.XLOOKUP($A69,'Data 2024'!$A:$A,'Data 2024'!P:P)/_xlfn.XLOOKUP($B69,'Category Averages'!$A$2:$A$4,'Category Averages'!E$2:E$4)</f>
        <v>0.87882224630263761</v>
      </c>
      <c r="K69" s="63">
        <f>_xlfn.XLOOKUP($A69,'Data 2024'!$A:$A,'Data 2024'!Q:Q)/_xlfn.XLOOKUP($B69,'Category Averages'!$A$2:$A$4,'Category Averages'!F$2:F$4)</f>
        <v>0.92052983148576129</v>
      </c>
    </row>
    <row r="70" spans="1:11" ht="18" customHeight="1">
      <c r="A70" s="56">
        <v>3197700</v>
      </c>
      <c r="B70" s="54" t="str">
        <f>_xlfn.XLOOKUP(A70,'Data 2024'!A:A,'Data 2024'!D:D)</f>
        <v>Region 2</v>
      </c>
      <c r="C70" s="58" t="s">
        <v>919</v>
      </c>
      <c r="D70" s="58" t="s">
        <v>830</v>
      </c>
      <c r="E70" s="58" t="s">
        <v>831</v>
      </c>
      <c r="F70" s="58" t="s">
        <v>898</v>
      </c>
      <c r="G70" s="55">
        <f>_xlfn.XLOOKUP($A70,'Data 2024'!$A:$A,'Data 2024'!I:I)/_xlfn.XLOOKUP($B70,'Category Averages'!$A$2:$A$4,'Category Averages'!$B$2:$B$4)</f>
        <v>0.61880470522765085</v>
      </c>
      <c r="H70" s="55">
        <f>_xlfn.XLOOKUP($A70,'Data 2024'!$A:$A,'Data 2024'!J:J)/_xlfn.XLOOKUP($B70,'Category Averages'!$A$2:$A$4,'Category Averages'!C$2:C$4)</f>
        <v>0.77287860580886403</v>
      </c>
      <c r="I70" s="55">
        <f>_xlfn.XLOOKUP($A70,'Data 2024'!$A:$A,'Data 2024'!K:K)/_xlfn.XLOOKUP($B70,'Category Averages'!$A$2:$A$4,'Category Averages'!D$2:D$4)</f>
        <v>0.72780585674383269</v>
      </c>
      <c r="J70" s="63">
        <f>_xlfn.XLOOKUP($A70,'Data 2024'!$A:$A,'Data 2024'!P:P)/_xlfn.XLOOKUP($B70,'Category Averages'!$A$2:$A$4,'Category Averages'!E$2:E$4)</f>
        <v>1.5603827726646833</v>
      </c>
      <c r="K70" s="63">
        <f>_xlfn.XLOOKUP($A70,'Data 2024'!$A:$A,'Data 2024'!Q:Q)/_xlfn.XLOOKUP($B70,'Category Averages'!$A$2:$A$4,'Category Averages'!F$2:F$4)</f>
        <v>2.9130719999544876</v>
      </c>
    </row>
    <row r="71" spans="1:11" ht="18" customHeight="1">
      <c r="A71" s="56">
        <v>3199900</v>
      </c>
      <c r="B71" s="54" t="str">
        <f>_xlfn.XLOOKUP(A71,'Data 2024'!A:A,'Data 2024'!D:D)</f>
        <v>Region 1</v>
      </c>
      <c r="C71" s="58" t="s">
        <v>920</v>
      </c>
      <c r="D71" s="58" t="s">
        <v>808</v>
      </c>
      <c r="E71" s="58" t="s">
        <v>821</v>
      </c>
      <c r="F71" s="58" t="s">
        <v>828</v>
      </c>
      <c r="G71" s="55">
        <f>_xlfn.XLOOKUP($A71,'Data 2024'!$A:$A,'Data 2024'!I:I)/_xlfn.XLOOKUP($B71,'Category Averages'!$A$2:$A$4,'Category Averages'!$B$2:$B$4)</f>
        <v>0.57686455328886166</v>
      </c>
      <c r="H71" s="55">
        <f>_xlfn.XLOOKUP($A71,'Data 2024'!$A:$A,'Data 2024'!J:J)/_xlfn.XLOOKUP($B71,'Category Averages'!$A$2:$A$4,'Category Averages'!C$2:C$4)</f>
        <v>0.55776306843828538</v>
      </c>
      <c r="I71" s="55">
        <f>_xlfn.XLOOKUP($A71,'Data 2024'!$A:$A,'Data 2024'!K:K)/_xlfn.XLOOKUP($B71,'Category Averages'!$A$2:$A$4,'Category Averages'!D$2:D$4)</f>
        <v>0.8094246306685482</v>
      </c>
      <c r="J71" s="63">
        <f>_xlfn.XLOOKUP($A71,'Data 2024'!$A:$A,'Data 2024'!P:P)/_xlfn.XLOOKUP($B71,'Category Averages'!$A$2:$A$4,'Category Averages'!E$2:E$4)</f>
        <v>1.3077756692724434</v>
      </c>
      <c r="K71" s="63">
        <f>_xlfn.XLOOKUP($A71,'Data 2024'!$A:$A,'Data 2024'!Q:Q)/_xlfn.XLOOKUP($B71,'Category Averages'!$A$2:$A$4,'Category Averages'!F$2:F$4)</f>
        <v>1.4513346095927819</v>
      </c>
    </row>
    <row r="72" spans="1:11" ht="18" customHeight="1">
      <c r="A72" s="56">
        <v>3201000</v>
      </c>
      <c r="B72" s="54" t="str">
        <f>_xlfn.XLOOKUP(A72,'Data 2024'!A:A,'Data 2024'!D:D)</f>
        <v>Region 1</v>
      </c>
      <c r="C72" s="58" t="s">
        <v>921</v>
      </c>
      <c r="D72" s="58" t="s">
        <v>865</v>
      </c>
      <c r="E72" s="58" t="s">
        <v>866</v>
      </c>
      <c r="F72" s="58" t="s">
        <v>892</v>
      </c>
      <c r="G72" s="55">
        <f>_xlfn.XLOOKUP($A72,'Data 2024'!$A:$A,'Data 2024'!I:I)/_xlfn.XLOOKUP($B72,'Category Averages'!$A$2:$A$4,'Category Averages'!$B$2:$B$4)</f>
        <v>0.58761560249024836</v>
      </c>
      <c r="H72" s="55">
        <f>_xlfn.XLOOKUP($A72,'Data 2024'!$A:$A,'Data 2024'!J:J)/_xlfn.XLOOKUP($B72,'Category Averages'!$A$2:$A$4,'Category Averages'!C$2:C$4)</f>
        <v>1.1085079218043534</v>
      </c>
      <c r="I72" s="55">
        <f>_xlfn.XLOOKUP($A72,'Data 2024'!$A:$A,'Data 2024'!K:K)/_xlfn.XLOOKUP($B72,'Category Averages'!$A$2:$A$4,'Category Averages'!D$2:D$4)</f>
        <v>0.86636768010737975</v>
      </c>
      <c r="J72" s="63">
        <f>_xlfn.XLOOKUP($A72,'Data 2024'!$A:$A,'Data 2024'!P:P)/_xlfn.XLOOKUP($B72,'Category Averages'!$A$2:$A$4,'Category Averages'!E$2:E$4)</f>
        <v>0.89446064819622062</v>
      </c>
      <c r="K72" s="63">
        <f>_xlfn.XLOOKUP($A72,'Data 2024'!$A:$A,'Data 2024'!Q:Q)/_xlfn.XLOOKUP($B72,'Category Averages'!$A$2:$A$4,'Category Averages'!F$2:F$4)</f>
        <v>0.56920583006976044</v>
      </c>
    </row>
    <row r="73" spans="1:11" ht="18" customHeight="1">
      <c r="A73" s="56">
        <v>3202100</v>
      </c>
      <c r="B73" s="54" t="str">
        <f>_xlfn.XLOOKUP(A73,'Data 2024'!A:A,'Data 2024'!D:D)</f>
        <v>Region 12</v>
      </c>
      <c r="C73" s="58" t="s">
        <v>922</v>
      </c>
      <c r="D73" s="58" t="s">
        <v>808</v>
      </c>
      <c r="E73" s="58" t="s">
        <v>843</v>
      </c>
      <c r="F73" s="58" t="s">
        <v>877</v>
      </c>
      <c r="G73" s="55">
        <f>_xlfn.XLOOKUP($A73,'Data 2024'!$A:$A,'Data 2024'!I:I)/_xlfn.XLOOKUP($B73,'Category Averages'!$A$2:$A$4,'Category Averages'!$B$2:$B$4)</f>
        <v>0.68506696886445573</v>
      </c>
      <c r="H73" s="55" t="e">
        <f>_xlfn.XLOOKUP($A73,'Data 2024'!$A:$A,'Data 2024'!J:J)/_xlfn.XLOOKUP($B73,'Category Averages'!$A$2:$A$4,'Category Averages'!C$2:C$4)</f>
        <v>#DIV/0!</v>
      </c>
      <c r="I73" s="55">
        <f>_xlfn.XLOOKUP($A73,'Data 2024'!$A:$A,'Data 2024'!K:K)/_xlfn.XLOOKUP($B73,'Category Averages'!$A$2:$A$4,'Category Averages'!D$2:D$4)</f>
        <v>1.3786049004735632</v>
      </c>
      <c r="J73" s="63">
        <f>_xlfn.XLOOKUP($A73,'Data 2024'!$A:$A,'Data 2024'!P:P)/_xlfn.XLOOKUP($B73,'Category Averages'!$A$2:$A$4,'Category Averages'!E$2:E$4)</f>
        <v>0.75425913793181942</v>
      </c>
      <c r="K73" s="63">
        <f>_xlfn.XLOOKUP($A73,'Data 2024'!$A:$A,'Data 2024'!Q:Q)/_xlfn.XLOOKUP($B73,'Category Averages'!$A$2:$A$4,'Category Averages'!F$2:F$4)</f>
        <v>1.1958083378478312</v>
      </c>
    </row>
    <row r="74" spans="1:11" ht="18" customHeight="1">
      <c r="A74" s="54">
        <v>3203200</v>
      </c>
      <c r="B74" s="54" t="str">
        <f>_xlfn.XLOOKUP(A74,'Data 2024'!A:A,'Data 2024'!D:D)</f>
        <v>Region 12</v>
      </c>
      <c r="C74" s="57" t="s">
        <v>923</v>
      </c>
      <c r="D74" s="57" t="s">
        <v>808</v>
      </c>
      <c r="E74" s="57" t="s">
        <v>821</v>
      </c>
      <c r="F74" s="57" t="s">
        <v>828</v>
      </c>
      <c r="G74" s="55">
        <f>_xlfn.XLOOKUP($A74,'Data 2024'!$A:$A,'Data 2024'!I:I)/_xlfn.XLOOKUP($B74,'Category Averages'!$A$2:$A$4,'Category Averages'!$B$2:$B$4)</f>
        <v>2.4024967117831593</v>
      </c>
      <c r="H74" s="55" t="e">
        <f>_xlfn.XLOOKUP($A74,'Data 2024'!$A:$A,'Data 2024'!J:J)/_xlfn.XLOOKUP($B74,'Category Averages'!$A$2:$A$4,'Category Averages'!C$2:C$4)</f>
        <v>#DIV/0!</v>
      </c>
      <c r="I74" s="55">
        <f>_xlfn.XLOOKUP($A74,'Data 2024'!$A:$A,'Data 2024'!K:K)/_xlfn.XLOOKUP($B74,'Category Averages'!$A$2:$A$4,'Category Averages'!D$2:D$4)</f>
        <v>2.1547358248887964</v>
      </c>
      <c r="J74" s="63">
        <f>_xlfn.XLOOKUP($A74,'Data 2024'!$A:$A,'Data 2024'!P:P)/_xlfn.XLOOKUP($B74,'Category Averages'!$A$2:$A$4,'Category Averages'!E$2:E$4)</f>
        <v>0.5184863134597657</v>
      </c>
      <c r="K74" s="63">
        <f>_xlfn.XLOOKUP($A74,'Data 2024'!$A:$A,'Data 2024'!Q:Q)/_xlfn.XLOOKUP($B74,'Category Averages'!$A$2:$A$4,'Category Averages'!F$2:F$4)</f>
        <v>0.50833899403844784</v>
      </c>
    </row>
    <row r="75" spans="1:11" ht="18" customHeight="1">
      <c r="A75" s="56">
        <v>3205500</v>
      </c>
      <c r="B75" s="54" t="str">
        <f>_xlfn.XLOOKUP(A75,'Data 2024'!A:A,'Data 2024'!D:D)</f>
        <v>Region 2</v>
      </c>
      <c r="C75" s="58" t="s">
        <v>924</v>
      </c>
      <c r="D75" s="58" t="s">
        <v>808</v>
      </c>
      <c r="E75" s="58" t="s">
        <v>821</v>
      </c>
      <c r="F75" s="58" t="s">
        <v>877</v>
      </c>
      <c r="G75" s="55">
        <f>_xlfn.XLOOKUP($A75,'Data 2024'!$A:$A,'Data 2024'!I:I)/_xlfn.XLOOKUP($B75,'Category Averages'!$A$2:$A$4,'Category Averages'!$B$2:$B$4)</f>
        <v>0.70211229079943394</v>
      </c>
      <c r="H75" s="55">
        <f>_xlfn.XLOOKUP($A75,'Data 2024'!$A:$A,'Data 2024'!J:J)/_xlfn.XLOOKUP($B75,'Category Averages'!$A$2:$A$4,'Category Averages'!C$2:C$4)</f>
        <v>0.63370448697806037</v>
      </c>
      <c r="I75" s="55">
        <f>_xlfn.XLOOKUP($A75,'Data 2024'!$A:$A,'Data 2024'!K:K)/_xlfn.XLOOKUP($B75,'Category Averages'!$A$2:$A$4,'Category Averages'!D$2:D$4)</f>
        <v>0.69826227062724866</v>
      </c>
      <c r="J75" s="63">
        <f>_xlfn.XLOOKUP($A75,'Data 2024'!$A:$A,'Data 2024'!P:P)/_xlfn.XLOOKUP($B75,'Category Averages'!$A$2:$A$4,'Category Averages'!E$2:E$4)</f>
        <v>0.81687369290021139</v>
      </c>
      <c r="K75" s="63">
        <f>_xlfn.XLOOKUP($A75,'Data 2024'!$A:$A,'Data 2024'!Q:Q)/_xlfn.XLOOKUP($B75,'Category Averages'!$A$2:$A$4,'Category Averages'!F$2:F$4)</f>
        <v>0.49275388796558112</v>
      </c>
    </row>
    <row r="76" spans="1:11" ht="18" customHeight="1">
      <c r="A76" s="56">
        <v>3206200</v>
      </c>
      <c r="B76" s="54" t="str">
        <f>_xlfn.XLOOKUP(A76,'Data 2024'!A:A,'Data 2024'!D:D)</f>
        <v>Region 1</v>
      </c>
      <c r="C76" s="58" t="s">
        <v>925</v>
      </c>
      <c r="D76" s="58" t="s">
        <v>830</v>
      </c>
      <c r="E76" s="58" t="s">
        <v>831</v>
      </c>
      <c r="F76" s="58" t="s">
        <v>832</v>
      </c>
      <c r="G76" s="55">
        <f>_xlfn.XLOOKUP($A76,'Data 2024'!$A:$A,'Data 2024'!I:I)/_xlfn.XLOOKUP($B76,'Category Averages'!$A$2:$A$4,'Category Averages'!$B$2:$B$4)</f>
        <v>1.6383678883683406</v>
      </c>
      <c r="H76" s="55">
        <f>_xlfn.XLOOKUP($A76,'Data 2024'!$A:$A,'Data 2024'!J:J)/_xlfn.XLOOKUP($B76,'Category Averages'!$A$2:$A$4,'Category Averages'!C$2:C$4)</f>
        <v>1.9346833226519569</v>
      </c>
      <c r="I76" s="55">
        <f>_xlfn.XLOOKUP($A76,'Data 2024'!$A:$A,'Data 2024'!K:K)/_xlfn.XLOOKUP($B76,'Category Averages'!$A$2:$A$4,'Category Averages'!D$2:D$4)</f>
        <v>1.2542961425703771</v>
      </c>
      <c r="J76" s="63">
        <f>_xlfn.XLOOKUP($A76,'Data 2024'!$A:$A,'Data 2024'!P:P)/_xlfn.XLOOKUP($B76,'Category Averages'!$A$2:$A$4,'Category Averages'!E$2:E$4)</f>
        <v>0.75864739705631523</v>
      </c>
      <c r="K76" s="63">
        <f>_xlfn.XLOOKUP($A76,'Data 2024'!$A:$A,'Data 2024'!Q:Q)/_xlfn.XLOOKUP($B76,'Category Averages'!$A$2:$A$4,'Category Averages'!F$2:F$4)</f>
        <v>0.39438028728899377</v>
      </c>
    </row>
    <row r="77" spans="1:11" ht="18" customHeight="1">
      <c r="A77" s="56">
        <v>3208400</v>
      </c>
      <c r="B77" s="54" t="str">
        <f>_xlfn.XLOOKUP(A77,'Data 2024'!A:A,'Data 2024'!D:D)</f>
        <v>Region 2</v>
      </c>
      <c r="C77" s="58" t="s">
        <v>926</v>
      </c>
      <c r="D77" s="58" t="s">
        <v>830</v>
      </c>
      <c r="E77" s="58" t="s">
        <v>831</v>
      </c>
      <c r="F77" s="58" t="s">
        <v>832</v>
      </c>
      <c r="G77" s="55">
        <f>_xlfn.XLOOKUP($A77,'Data 2024'!$A:$A,'Data 2024'!I:I)/_xlfn.XLOOKUP($B77,'Category Averages'!$A$2:$A$4,'Category Averages'!$B$2:$B$4)</f>
        <v>1.488173242037552</v>
      </c>
      <c r="H77" s="55">
        <f>_xlfn.XLOOKUP($A77,'Data 2024'!$A:$A,'Data 2024'!J:J)/_xlfn.XLOOKUP($B77,'Category Averages'!$A$2:$A$4,'Category Averages'!C$2:C$4)</f>
        <v>1.9643628675829643</v>
      </c>
      <c r="I77" s="55">
        <f>_xlfn.XLOOKUP($A77,'Data 2024'!$A:$A,'Data 2024'!K:K)/_xlfn.XLOOKUP($B77,'Category Averages'!$A$2:$A$4,'Category Averages'!D$2:D$4)</f>
        <v>1.3334532090528863</v>
      </c>
      <c r="J77" s="63">
        <f>_xlfn.XLOOKUP($A77,'Data 2024'!$A:$A,'Data 2024'!P:P)/_xlfn.XLOOKUP($B77,'Category Averages'!$A$2:$A$4,'Category Averages'!E$2:E$4)</f>
        <v>0.56604247464204915</v>
      </c>
      <c r="K77" s="63">
        <f>_xlfn.XLOOKUP($A77,'Data 2024'!$A:$A,'Data 2024'!Q:Q)/_xlfn.XLOOKUP($B77,'Category Averages'!$A$2:$A$4,'Category Averages'!F$2:F$4)</f>
        <v>0.47815309540820605</v>
      </c>
    </row>
    <row r="78" spans="1:11" ht="18" customHeight="1">
      <c r="A78" s="56">
        <v>3210200</v>
      </c>
      <c r="B78" s="54" t="str">
        <f>_xlfn.XLOOKUP(A78,'Data 2024'!A:A,'Data 2024'!D:D)</f>
        <v>Region 2</v>
      </c>
      <c r="C78" s="58" t="s">
        <v>927</v>
      </c>
      <c r="D78" s="58" t="s">
        <v>808</v>
      </c>
      <c r="E78" s="58" t="s">
        <v>814</v>
      </c>
      <c r="F78" s="58" t="s">
        <v>916</v>
      </c>
      <c r="G78" s="55">
        <f>_xlfn.XLOOKUP($A78,'Data 2024'!$A:$A,'Data 2024'!I:I)/_xlfn.XLOOKUP($B78,'Category Averages'!$A$2:$A$4,'Category Averages'!$B$2:$B$4)</f>
        <v>2.0721117322005518</v>
      </c>
      <c r="H78" s="55">
        <f>_xlfn.XLOOKUP($A78,'Data 2024'!$A:$A,'Data 2024'!J:J)/_xlfn.XLOOKUP($B78,'Category Averages'!$A$2:$A$4,'Category Averages'!C$2:C$4)</f>
        <v>2.6174177672786398</v>
      </c>
      <c r="I78" s="55">
        <f>_xlfn.XLOOKUP($A78,'Data 2024'!$A:$A,'Data 2024'!K:K)/_xlfn.XLOOKUP($B78,'Category Averages'!$A$2:$A$4,'Category Averages'!D$2:D$4)</f>
        <v>1.7631524409504924</v>
      </c>
      <c r="J78" s="63">
        <f>_xlfn.XLOOKUP($A78,'Data 2024'!$A:$A,'Data 2024'!P:P)/_xlfn.XLOOKUP($B78,'Category Averages'!$A$2:$A$4,'Category Averages'!E$2:E$4)</f>
        <v>0.72592002498611918</v>
      </c>
      <c r="K78" s="63">
        <f>_xlfn.XLOOKUP($A78,'Data 2024'!$A:$A,'Data 2024'!Q:Q)/_xlfn.XLOOKUP($B78,'Category Averages'!$A$2:$A$4,'Category Averages'!F$2:F$4)</f>
        <v>0.73342099287290052</v>
      </c>
    </row>
    <row r="79" spans="1:11" ht="18" customHeight="1">
      <c r="A79" s="56">
        <v>3210600</v>
      </c>
      <c r="B79" s="54" t="str">
        <f>_xlfn.XLOOKUP(A79,'Data 2024'!A:A,'Data 2024'!D:D)</f>
        <v>Region 1</v>
      </c>
      <c r="C79" s="58" t="s">
        <v>928</v>
      </c>
      <c r="D79" s="58" t="s">
        <v>808</v>
      </c>
      <c r="E79" s="58" t="s">
        <v>843</v>
      </c>
      <c r="F79" s="58" t="s">
        <v>900</v>
      </c>
      <c r="G79" s="55">
        <f>_xlfn.XLOOKUP($A79,'Data 2024'!$A:$A,'Data 2024'!I:I)/_xlfn.XLOOKUP($B79,'Category Averages'!$A$2:$A$4,'Category Averages'!$B$2:$B$4)</f>
        <v>1.0851023132962621</v>
      </c>
      <c r="H79" s="55">
        <f>_xlfn.XLOOKUP($A79,'Data 2024'!$A:$A,'Data 2024'!J:J)/_xlfn.XLOOKUP($B79,'Category Averages'!$A$2:$A$4,'Category Averages'!C$2:C$4)</f>
        <v>0</v>
      </c>
      <c r="I79" s="55">
        <f>_xlfn.XLOOKUP($A79,'Data 2024'!$A:$A,'Data 2024'!K:K)/_xlfn.XLOOKUP($B79,'Category Averages'!$A$2:$A$4,'Category Averages'!D$2:D$4)</f>
        <v>1.0017828957813129</v>
      </c>
      <c r="J79" s="63">
        <f>_xlfn.XLOOKUP($A79,'Data 2024'!$A:$A,'Data 2024'!P:P)/_xlfn.XLOOKUP($B79,'Category Averages'!$A$2:$A$4,'Category Averages'!E$2:E$4)</f>
        <v>0.75760987245624212</v>
      </c>
      <c r="K79" s="63">
        <f>_xlfn.XLOOKUP($A79,'Data 2024'!$A:$A,'Data 2024'!Q:Q)/_xlfn.XLOOKUP($B79,'Category Averages'!$A$2:$A$4,'Category Averages'!F$2:F$4)</f>
        <v>0.97937494633043276</v>
      </c>
    </row>
    <row r="80" spans="1:11" ht="18" customHeight="1">
      <c r="A80" s="56">
        <v>3210700</v>
      </c>
      <c r="B80" s="54" t="str">
        <f>_xlfn.XLOOKUP(A80,'Data 2024'!A:A,'Data 2024'!D:D)</f>
        <v>Region 2</v>
      </c>
      <c r="C80" s="58" t="s">
        <v>929</v>
      </c>
      <c r="D80" s="58" t="s">
        <v>808</v>
      </c>
      <c r="E80" s="58" t="s">
        <v>814</v>
      </c>
      <c r="F80" s="58" t="s">
        <v>916</v>
      </c>
      <c r="G80" s="55">
        <f>_xlfn.XLOOKUP($A80,'Data 2024'!$A:$A,'Data 2024'!I:I)/_xlfn.XLOOKUP($B80,'Category Averages'!$A$2:$A$4,'Category Averages'!$B$2:$B$4)</f>
        <v>2.2866261605957869</v>
      </c>
      <c r="H80" s="55">
        <f>_xlfn.XLOOKUP($A80,'Data 2024'!$A:$A,'Data 2024'!J:J)/_xlfn.XLOOKUP($B80,'Category Averages'!$A$2:$A$4,'Category Averages'!C$2:C$4)</f>
        <v>2.3313678728858815</v>
      </c>
      <c r="I80" s="55">
        <f>_xlfn.XLOOKUP($A80,'Data 2024'!$A:$A,'Data 2024'!K:K)/_xlfn.XLOOKUP($B80,'Category Averages'!$A$2:$A$4,'Category Averages'!D$2:D$4)</f>
        <v>1.54489881003116</v>
      </c>
      <c r="J80" s="63">
        <f>_xlfn.XLOOKUP($A80,'Data 2024'!$A:$A,'Data 2024'!P:P)/_xlfn.XLOOKUP($B80,'Category Averages'!$A$2:$A$4,'Category Averages'!E$2:E$4)</f>
        <v>0.68040506366771147</v>
      </c>
      <c r="K80" s="63">
        <f>_xlfn.XLOOKUP($A80,'Data 2024'!$A:$A,'Data 2024'!Q:Q)/_xlfn.XLOOKUP($B80,'Category Averages'!$A$2:$A$4,'Category Averages'!F$2:F$4)</f>
        <v>0.55000189415988954</v>
      </c>
    </row>
    <row r="81" spans="1:11" ht="18" customHeight="1">
      <c r="A81" s="56">
        <v>3225200</v>
      </c>
      <c r="B81" s="54" t="str">
        <f>_xlfn.XLOOKUP(A81,'Data 2024'!A:A,'Data 2024'!D:D)</f>
        <v>Region 2</v>
      </c>
      <c r="C81" s="58" t="s">
        <v>930</v>
      </c>
      <c r="D81" s="58" t="s">
        <v>865</v>
      </c>
      <c r="E81" s="58" t="s">
        <v>931</v>
      </c>
      <c r="F81" s="58" t="s">
        <v>932</v>
      </c>
      <c r="G81" s="55">
        <f>_xlfn.XLOOKUP($A81,'Data 2024'!$A:$A,'Data 2024'!I:I)/_xlfn.XLOOKUP($B81,'Category Averages'!$A$2:$A$4,'Category Averages'!$B$2:$B$4)</f>
        <v>2.1945010320500198</v>
      </c>
      <c r="H81" s="55">
        <f>_xlfn.XLOOKUP($A81,'Data 2024'!$A:$A,'Data 2024'!J:J)/_xlfn.XLOOKUP($B81,'Category Averages'!$A$2:$A$4,'Category Averages'!C$2:C$4)</f>
        <v>1.7085235732525135</v>
      </c>
      <c r="I81" s="55">
        <f>_xlfn.XLOOKUP($A81,'Data 2024'!$A:$A,'Data 2024'!K:K)/_xlfn.XLOOKUP($B81,'Category Averages'!$A$2:$A$4,'Category Averages'!D$2:D$4)</f>
        <v>1.2760217963330216</v>
      </c>
      <c r="J81" s="63">
        <f>_xlfn.XLOOKUP($A81,'Data 2024'!$A:$A,'Data 2024'!P:P)/_xlfn.XLOOKUP($B81,'Category Averages'!$A$2:$A$4,'Category Averages'!E$2:E$4)</f>
        <v>0.60685818496113464</v>
      </c>
      <c r="K81" s="63">
        <f>_xlfn.XLOOKUP($A81,'Data 2024'!$A:$A,'Data 2024'!Q:Q)/_xlfn.XLOOKUP($B81,'Category Averages'!$A$2:$A$4,'Category Averages'!F$2:F$4)</f>
        <v>0.24165420363864734</v>
      </c>
    </row>
    <row r="82" spans="1:11" ht="18" customHeight="1">
      <c r="A82" s="56">
        <v>3226200</v>
      </c>
      <c r="B82" s="54" t="str">
        <f>_xlfn.XLOOKUP(A82,'Data 2024'!A:A,'Data 2024'!D:D)</f>
        <v>Region 2</v>
      </c>
      <c r="C82" s="58" t="s">
        <v>933</v>
      </c>
      <c r="D82" s="58" t="s">
        <v>865</v>
      </c>
      <c r="E82" s="58" t="s">
        <v>931</v>
      </c>
      <c r="F82" s="58" t="s">
        <v>932</v>
      </c>
      <c r="G82" s="55">
        <f>_xlfn.XLOOKUP($A82,'Data 2024'!$A:$A,'Data 2024'!I:I)/_xlfn.XLOOKUP($B82,'Category Averages'!$A$2:$A$4,'Category Averages'!$B$2:$B$4)</f>
        <v>1.9675941880303336</v>
      </c>
      <c r="H82" s="55">
        <f>_xlfn.XLOOKUP($A82,'Data 2024'!$A:$A,'Data 2024'!J:J)/_xlfn.XLOOKUP($B82,'Category Averages'!$A$2:$A$4,'Category Averages'!C$2:C$4)</f>
        <v>2.2239460491655683</v>
      </c>
      <c r="I82" s="55">
        <f>_xlfn.XLOOKUP($A82,'Data 2024'!$A:$A,'Data 2024'!K:K)/_xlfn.XLOOKUP($B82,'Category Averages'!$A$2:$A$4,'Category Averages'!D$2:D$4)</f>
        <v>1.5008400239859943</v>
      </c>
      <c r="J82" s="63">
        <f>_xlfn.XLOOKUP($A82,'Data 2024'!$A:$A,'Data 2024'!P:P)/_xlfn.XLOOKUP($B82,'Category Averages'!$A$2:$A$4,'Category Averages'!E$2:E$4)</f>
        <v>0.35472400986926023</v>
      </c>
      <c r="K82" s="63">
        <f>_xlfn.XLOOKUP($A82,'Data 2024'!$A:$A,'Data 2024'!Q:Q)/_xlfn.XLOOKUP($B82,'Category Averages'!$A$2:$A$4,'Category Averages'!F$2:F$4)</f>
        <v>0.24603687752414732</v>
      </c>
    </row>
    <row r="83" spans="1:11" ht="18" customHeight="1">
      <c r="A83" s="56">
        <v>3476200</v>
      </c>
      <c r="B83" s="54" t="str">
        <f>_xlfn.XLOOKUP(A83,'Data 2024'!A:A,'Data 2024'!D:D)</f>
        <v>Region 12</v>
      </c>
      <c r="C83" s="58" t="s">
        <v>934</v>
      </c>
      <c r="D83" s="58" t="s">
        <v>808</v>
      </c>
      <c r="E83" s="58" t="s">
        <v>814</v>
      </c>
      <c r="F83" s="58" t="s">
        <v>935</v>
      </c>
      <c r="G83" s="55">
        <f>_xlfn.XLOOKUP($A83,'Data 2024'!$A:$A,'Data 2024'!I:I)/_xlfn.XLOOKUP($B83,'Category Averages'!$A$2:$A$4,'Category Averages'!$B$2:$B$4)</f>
        <v>1.0542179295680374</v>
      </c>
      <c r="H83" s="55" t="e">
        <f>_xlfn.XLOOKUP($A83,'Data 2024'!$A:$A,'Data 2024'!J:J)/_xlfn.XLOOKUP($B83,'Category Averages'!$A$2:$A$4,'Category Averages'!C$2:C$4)</f>
        <v>#DIV/0!</v>
      </c>
      <c r="I83" s="55">
        <f>_xlfn.XLOOKUP($A83,'Data 2024'!$A:$A,'Data 2024'!K:K)/_xlfn.XLOOKUP($B83,'Category Averages'!$A$2:$A$4,'Category Averages'!D$2:D$4)</f>
        <v>2.332702185056454</v>
      </c>
      <c r="J83" s="63">
        <f>_xlfn.XLOOKUP($A83,'Data 2024'!$A:$A,'Data 2024'!P:P)/_xlfn.XLOOKUP($B83,'Category Averages'!$A$2:$A$4,'Category Averages'!E$2:E$4)</f>
        <v>0.25979802991816392</v>
      </c>
      <c r="K83" s="63">
        <f>_xlfn.XLOOKUP($A83,'Data 2024'!$A:$A,'Data 2024'!Q:Q)/_xlfn.XLOOKUP($B83,'Category Averages'!$A$2:$A$4,'Category Averages'!F$2:F$4)</f>
        <v>0.77225860818536085</v>
      </c>
    </row>
    <row r="84" spans="1:11" ht="18" customHeight="1">
      <c r="A84" s="56">
        <v>3480600</v>
      </c>
      <c r="B84" s="54" t="str">
        <f>_xlfn.XLOOKUP(A84,'Data 2024'!A:A,'Data 2024'!D:D)</f>
        <v>Region 2</v>
      </c>
      <c r="C84" s="58" t="s">
        <v>936</v>
      </c>
      <c r="D84" s="58" t="s">
        <v>808</v>
      </c>
      <c r="E84" s="58" t="s">
        <v>814</v>
      </c>
      <c r="F84" s="58" t="s">
        <v>935</v>
      </c>
      <c r="G84" s="55">
        <f>_xlfn.XLOOKUP($A84,'Data 2024'!$A:$A,'Data 2024'!I:I)/_xlfn.XLOOKUP($B84,'Category Averages'!$A$2:$A$4,'Category Averages'!$B$2:$B$4)</f>
        <v>0.79097890824043293</v>
      </c>
      <c r="H84" s="55">
        <f>_xlfn.XLOOKUP($A84,'Data 2024'!$A:$A,'Data 2024'!J:J)/_xlfn.XLOOKUP($B84,'Category Averages'!$A$2:$A$4,'Category Averages'!C$2:C$4)</f>
        <v>1.1817853149779758</v>
      </c>
      <c r="I84" s="55">
        <f>_xlfn.XLOOKUP($A84,'Data 2024'!$A:$A,'Data 2024'!K:K)/_xlfn.XLOOKUP($B84,'Category Averages'!$A$2:$A$4,'Category Averages'!D$2:D$4)</f>
        <v>0.84314855503178565</v>
      </c>
      <c r="J84" s="63">
        <f>_xlfn.XLOOKUP($A84,'Data 2024'!$A:$A,'Data 2024'!P:P)/_xlfn.XLOOKUP($B84,'Category Averages'!$A$2:$A$4,'Category Averages'!E$2:E$4)</f>
        <v>0.56098480166089237</v>
      </c>
      <c r="K84" s="63">
        <f>_xlfn.XLOOKUP($A84,'Data 2024'!$A:$A,'Data 2024'!Q:Q)/_xlfn.XLOOKUP($B84,'Category Averages'!$A$2:$A$4,'Category Averages'!F$2:F$4)</f>
        <v>0.34413443936550131</v>
      </c>
    </row>
    <row r="85" spans="1:11" ht="18" customHeight="1">
      <c r="A85" s="56">
        <v>3493500</v>
      </c>
      <c r="B85" s="54" t="str">
        <f>_xlfn.XLOOKUP(A85,'Data 2024'!A:A,'Data 2024'!D:D)</f>
        <v>Region 2</v>
      </c>
      <c r="C85" s="58" t="s">
        <v>937</v>
      </c>
      <c r="D85" s="58" t="s">
        <v>808</v>
      </c>
      <c r="E85" s="58" t="s">
        <v>821</v>
      </c>
      <c r="F85" s="58" t="s">
        <v>839</v>
      </c>
      <c r="G85" s="55">
        <f>_xlfn.XLOOKUP($A85,'Data 2024'!$A:$A,'Data 2024'!I:I)/_xlfn.XLOOKUP($B85,'Category Averages'!$A$2:$A$4,'Category Averages'!$B$2:$B$4)</f>
        <v>1.8370436276233113</v>
      </c>
      <c r="H85" s="55">
        <f>_xlfn.XLOOKUP($A85,'Data 2024'!$A:$A,'Data 2024'!J:J)/_xlfn.XLOOKUP($B85,'Category Averages'!$A$2:$A$4,'Category Averages'!C$2:C$4)</f>
        <v>1.584199134661997</v>
      </c>
      <c r="I85" s="55">
        <f>_xlfn.XLOOKUP($A85,'Data 2024'!$A:$A,'Data 2024'!K:K)/_xlfn.XLOOKUP($B85,'Category Averages'!$A$2:$A$4,'Category Averages'!D$2:D$4)</f>
        <v>1.7779471490962933</v>
      </c>
      <c r="J85" s="63">
        <f>_xlfn.XLOOKUP($A85,'Data 2024'!$A:$A,'Data 2024'!P:P)/_xlfn.XLOOKUP($B85,'Category Averages'!$A$2:$A$4,'Category Averages'!E$2:E$4)</f>
        <v>0.43168370483883367</v>
      </c>
      <c r="K85" s="63">
        <f>_xlfn.XLOOKUP($A85,'Data 2024'!$A:$A,'Data 2024'!Q:Q)/_xlfn.XLOOKUP($B85,'Category Averages'!$A$2:$A$4,'Category Averages'!F$2:F$4)</f>
        <v>0.48881357115725527</v>
      </c>
    </row>
    <row r="86" spans="1:11" ht="18" customHeight="1">
      <c r="A86" s="56">
        <v>3494600</v>
      </c>
      <c r="B86" s="54" t="str">
        <f>_xlfn.XLOOKUP(A86,'Data 2024'!A:A,'Data 2024'!D:D)</f>
        <v>Region 2</v>
      </c>
      <c r="C86" s="58" t="s">
        <v>938</v>
      </c>
      <c r="D86" s="58" t="s">
        <v>808</v>
      </c>
      <c r="E86" s="58" t="s">
        <v>821</v>
      </c>
      <c r="F86" s="58" t="s">
        <v>839</v>
      </c>
      <c r="G86" s="55">
        <f>_xlfn.XLOOKUP($A86,'Data 2024'!$A:$A,'Data 2024'!I:I)/_xlfn.XLOOKUP($B86,'Category Averages'!$A$2:$A$4,'Category Averages'!$B$2:$B$4)</f>
        <v>1.8545488038711511</v>
      </c>
      <c r="H86" s="55">
        <f>_xlfn.XLOOKUP($A86,'Data 2024'!$A:$A,'Data 2024'!J:J)/_xlfn.XLOOKUP($B86,'Category Averages'!$A$2:$A$4,'Category Averages'!C$2:C$4)</f>
        <v>1.9383475718440617</v>
      </c>
      <c r="I86" s="55">
        <f>_xlfn.XLOOKUP($A86,'Data 2024'!$A:$A,'Data 2024'!K:K)/_xlfn.XLOOKUP($B86,'Category Averages'!$A$2:$A$4,'Category Averages'!D$2:D$4)</f>
        <v>1.7139286429782834</v>
      </c>
      <c r="J86" s="63">
        <f>_xlfn.XLOOKUP($A86,'Data 2024'!$A:$A,'Data 2024'!P:P)/_xlfn.XLOOKUP($B86,'Category Averages'!$A$2:$A$4,'Category Averages'!E$2:E$4)</f>
        <v>0.38006386873448145</v>
      </c>
      <c r="K86" s="63">
        <f>_xlfn.XLOOKUP($A86,'Data 2024'!$A:$A,'Data 2024'!Q:Q)/_xlfn.XLOOKUP($B86,'Category Averages'!$A$2:$A$4,'Category Averages'!F$2:F$4)</f>
        <v>0.39175796677556146</v>
      </c>
    </row>
    <row r="87" spans="1:11" ht="18" customHeight="1">
      <c r="A87" s="54">
        <v>3496500</v>
      </c>
      <c r="B87" s="54" t="str">
        <f>_xlfn.XLOOKUP(A87,'Data 2024'!A:A,'Data 2024'!D:D)</f>
        <v>Region 2</v>
      </c>
      <c r="C87" s="57" t="s">
        <v>939</v>
      </c>
      <c r="D87" s="57" t="s">
        <v>808</v>
      </c>
      <c r="E87" s="57" t="s">
        <v>814</v>
      </c>
      <c r="F87" s="57" t="s">
        <v>916</v>
      </c>
      <c r="G87" s="55">
        <f>_xlfn.XLOOKUP($A87,'Data 2024'!$A:$A,'Data 2024'!I:I)/_xlfn.XLOOKUP($B87,'Category Averages'!$A$2:$A$4,'Category Averages'!$B$2:$B$4)</f>
        <v>0.48703290132821914</v>
      </c>
      <c r="H87" s="55">
        <f>_xlfn.XLOOKUP($A87,'Data 2024'!$A:$A,'Data 2024'!J:J)/_xlfn.XLOOKUP($B87,'Category Averages'!$A$2:$A$4,'Category Averages'!C$2:C$4)</f>
        <v>0.74535801918266531</v>
      </c>
      <c r="I87" s="55">
        <f>_xlfn.XLOOKUP($A87,'Data 2024'!$A:$A,'Data 2024'!K:K)/_xlfn.XLOOKUP($B87,'Category Averages'!$A$2:$A$4,'Category Averages'!D$2:D$4)</f>
        <v>0.5758006680922011</v>
      </c>
      <c r="J87" s="63">
        <f>_xlfn.XLOOKUP($A87,'Data 2024'!$A:$A,'Data 2024'!P:P)/_xlfn.XLOOKUP($B87,'Category Averages'!$A$2:$A$4,'Category Averages'!E$2:E$4)</f>
        <v>1.4727510247872273</v>
      </c>
      <c r="K87" s="63">
        <f>_xlfn.XLOOKUP($A87,'Data 2024'!$A:$A,'Data 2024'!Q:Q)/_xlfn.XLOOKUP($B87,'Category Averages'!$A$2:$A$4,'Category Averages'!F$2:F$4)</f>
        <v>1.9487117540980399</v>
      </c>
    </row>
    <row r="88" spans="1:11" ht="18" customHeight="1">
      <c r="A88" s="56">
        <v>3497600</v>
      </c>
      <c r="B88" s="54" t="str">
        <f>_xlfn.XLOOKUP(A88,'Data 2024'!A:A,'Data 2024'!D:D)</f>
        <v>Region 12</v>
      </c>
      <c r="C88" s="58" t="s">
        <v>940</v>
      </c>
      <c r="D88" s="58" t="s">
        <v>830</v>
      </c>
      <c r="E88" s="58" t="s">
        <v>831</v>
      </c>
      <c r="F88" s="58" t="s">
        <v>941</v>
      </c>
      <c r="G88" s="55">
        <f>_xlfn.XLOOKUP($A88,'Data 2024'!$A:$A,'Data 2024'!I:I)/_xlfn.XLOOKUP($B88,'Category Averages'!$A$2:$A$4,'Category Averages'!$B$2:$B$4)</f>
        <v>1.5475123805536473</v>
      </c>
      <c r="H88" s="55" t="e">
        <f>_xlfn.XLOOKUP($A88,'Data 2024'!$A:$A,'Data 2024'!J:J)/_xlfn.XLOOKUP($B88,'Category Averages'!$A$2:$A$4,'Category Averages'!C$2:C$4)</f>
        <v>#DIV/0!</v>
      </c>
      <c r="I88" s="55">
        <f>_xlfn.XLOOKUP($A88,'Data 2024'!$A:$A,'Data 2024'!K:K)/_xlfn.XLOOKUP($B88,'Category Averages'!$A$2:$A$4,'Category Averages'!D$2:D$4)</f>
        <v>1.9865797375957659</v>
      </c>
      <c r="J88" s="63">
        <f>_xlfn.XLOOKUP($A88,'Data 2024'!$A:$A,'Data 2024'!P:P)/_xlfn.XLOOKUP($B88,'Category Averages'!$A$2:$A$4,'Category Averages'!E$2:E$4)</f>
        <v>0.66062369814955013</v>
      </c>
      <c r="K88" s="63">
        <f>_xlfn.XLOOKUP($A88,'Data 2024'!$A:$A,'Data 2024'!Q:Q)/_xlfn.XLOOKUP($B88,'Category Averages'!$A$2:$A$4,'Category Averages'!F$2:F$4)</f>
        <v>0.36782203115668255</v>
      </c>
    </row>
    <row r="89" spans="1:11" ht="18" customHeight="1">
      <c r="A89" s="54">
        <v>3502300</v>
      </c>
      <c r="B89" s="54" t="str">
        <f>_xlfn.XLOOKUP(A89,'Data 2024'!A:A,'Data 2024'!D:D)</f>
        <v>Region 1</v>
      </c>
      <c r="C89" s="57" t="s">
        <v>942</v>
      </c>
      <c r="D89" s="57" t="s">
        <v>830</v>
      </c>
      <c r="E89" s="57" t="s">
        <v>831</v>
      </c>
      <c r="F89" s="57" t="s">
        <v>943</v>
      </c>
      <c r="G89" s="55">
        <f>_xlfn.XLOOKUP($A89,'Data 2024'!$A:$A,'Data 2024'!I:I)/_xlfn.XLOOKUP($B89,'Category Averages'!$A$2:$A$4,'Category Averages'!$B$2:$B$4)</f>
        <v>0.51254788338279933</v>
      </c>
      <c r="H89" s="55">
        <f>_xlfn.XLOOKUP($A89,'Data 2024'!$A:$A,'Data 2024'!J:J)/_xlfn.XLOOKUP($B89,'Category Averages'!$A$2:$A$4,'Category Averages'!C$2:C$4)</f>
        <v>7.2510007262274592E-2</v>
      </c>
      <c r="I89" s="55">
        <f>_xlfn.XLOOKUP($A89,'Data 2024'!$A:$A,'Data 2024'!K:K)/_xlfn.XLOOKUP($B89,'Category Averages'!$A$2:$A$4,'Category Averages'!D$2:D$4)</f>
        <v>0.61659622538042413</v>
      </c>
      <c r="J89" s="63">
        <f>_xlfn.XLOOKUP($A89,'Data 2024'!$A:$A,'Data 2024'!P:P)/_xlfn.XLOOKUP($B89,'Category Averages'!$A$2:$A$4,'Category Averages'!E$2:E$4)</f>
        <v>0.74671751293092659</v>
      </c>
      <c r="K89" s="63">
        <f>_xlfn.XLOOKUP($A89,'Data 2024'!$A:$A,'Data 2024'!Q:Q)/_xlfn.XLOOKUP($B89,'Category Averages'!$A$2:$A$4,'Category Averages'!F$2:F$4)</f>
        <v>0.20635812578315968</v>
      </c>
    </row>
    <row r="90" spans="1:11" ht="18" customHeight="1">
      <c r="A90" s="56">
        <v>3503100</v>
      </c>
      <c r="B90" s="54" t="str">
        <f>_xlfn.XLOOKUP(A90,'Data 2024'!A:A,'Data 2024'!D:D)</f>
        <v>Region 1</v>
      </c>
      <c r="C90" s="58" t="s">
        <v>944</v>
      </c>
      <c r="D90" s="58" t="s">
        <v>830</v>
      </c>
      <c r="E90" s="58" t="s">
        <v>831</v>
      </c>
      <c r="F90" s="58" t="s">
        <v>941</v>
      </c>
      <c r="G90" s="55">
        <f>_xlfn.XLOOKUP($A90,'Data 2024'!$A:$A,'Data 2024'!I:I)/_xlfn.XLOOKUP($B90,'Category Averages'!$A$2:$A$4,'Category Averages'!$B$2:$B$4)</f>
        <v>0.56308526477026966</v>
      </c>
      <c r="H90" s="55">
        <f>_xlfn.XLOOKUP($A90,'Data 2024'!$A:$A,'Data 2024'!J:J)/_xlfn.XLOOKUP($B90,'Category Averages'!$A$2:$A$4,'Category Averages'!C$2:C$4)</f>
        <v>0</v>
      </c>
      <c r="I90" s="55">
        <f>_xlfn.XLOOKUP($A90,'Data 2024'!$A:$A,'Data 2024'!K:K)/_xlfn.XLOOKUP($B90,'Category Averages'!$A$2:$A$4,'Category Averages'!D$2:D$4)</f>
        <v>0.58028386839061985</v>
      </c>
      <c r="J90" s="63">
        <f>_xlfn.XLOOKUP($A90,'Data 2024'!$A:$A,'Data 2024'!P:P)/_xlfn.XLOOKUP($B90,'Category Averages'!$A$2:$A$4,'Category Averages'!E$2:E$4)</f>
        <v>1.3644025885892583</v>
      </c>
      <c r="K90" s="63">
        <f>_xlfn.XLOOKUP($A90,'Data 2024'!$A:$A,'Data 2024'!Q:Q)/_xlfn.XLOOKUP($B90,'Category Averages'!$A$2:$A$4,'Category Averages'!F$2:F$4)</f>
        <v>0.45324157524582864</v>
      </c>
    </row>
    <row r="91" spans="1:11" ht="18" customHeight="1">
      <c r="A91" s="56">
        <v>3503500</v>
      </c>
      <c r="B91" s="54" t="str">
        <f>_xlfn.XLOOKUP(A91,'Data 2024'!A:A,'Data 2024'!D:D)</f>
        <v>Region 1</v>
      </c>
      <c r="C91" s="58" t="s">
        <v>945</v>
      </c>
      <c r="D91" s="58" t="s">
        <v>830</v>
      </c>
      <c r="E91" s="58" t="s">
        <v>831</v>
      </c>
      <c r="F91" s="58" t="s">
        <v>946</v>
      </c>
      <c r="G91" s="55">
        <f>_xlfn.XLOOKUP($A91,'Data 2024'!$A:$A,'Data 2024'!I:I)/_xlfn.XLOOKUP($B91,'Category Averages'!$A$2:$A$4,'Category Averages'!$B$2:$B$4)</f>
        <v>1.3702868619378334</v>
      </c>
      <c r="H91" s="55">
        <f>_xlfn.XLOOKUP($A91,'Data 2024'!$A:$A,'Data 2024'!J:J)/_xlfn.XLOOKUP($B91,'Category Averages'!$A$2:$A$4,'Category Averages'!C$2:C$4)</f>
        <v>0</v>
      </c>
      <c r="I91" s="55">
        <f>_xlfn.XLOOKUP($A91,'Data 2024'!$A:$A,'Data 2024'!K:K)/_xlfn.XLOOKUP($B91,'Category Averages'!$A$2:$A$4,'Category Averages'!D$2:D$4)</f>
        <v>1.0935410633223985</v>
      </c>
      <c r="J91" s="63">
        <f>_xlfn.XLOOKUP($A91,'Data 2024'!$A:$A,'Data 2024'!P:P)/_xlfn.XLOOKUP($B91,'Category Averages'!$A$2:$A$4,'Category Averages'!E$2:E$4)</f>
        <v>0.22432166486095709</v>
      </c>
      <c r="K91" s="63">
        <f>_xlfn.XLOOKUP($A91,'Data 2024'!$A:$A,'Data 2024'!Q:Q)/_xlfn.XLOOKUP($B91,'Category Averages'!$A$2:$A$4,'Category Averages'!F$2:F$4)</f>
        <v>0.2424161848881527</v>
      </c>
    </row>
    <row r="92" spans="1:11" ht="18" customHeight="1">
      <c r="A92" s="56">
        <v>3504200</v>
      </c>
      <c r="B92" s="54" t="str">
        <f>_xlfn.XLOOKUP(A92,'Data 2024'!A:A,'Data 2024'!D:D)</f>
        <v>Region 1</v>
      </c>
      <c r="C92" s="58" t="s">
        <v>947</v>
      </c>
      <c r="D92" s="58" t="s">
        <v>830</v>
      </c>
      <c r="E92" s="58" t="s">
        <v>948</v>
      </c>
      <c r="F92" s="58" t="s">
        <v>949</v>
      </c>
      <c r="G92" s="55">
        <f>_xlfn.XLOOKUP($A92,'Data 2024'!$A:$A,'Data 2024'!I:I)/_xlfn.XLOOKUP($B92,'Category Averages'!$A$2:$A$4,'Category Averages'!$B$2:$B$4)</f>
        <v>0.52057205969333809</v>
      </c>
      <c r="H92" s="55">
        <f>_xlfn.XLOOKUP($A92,'Data 2024'!$A:$A,'Data 2024'!J:J)/_xlfn.XLOOKUP($B92,'Category Averages'!$A$2:$A$4,'Category Averages'!C$2:C$4)</f>
        <v>0.57634608249763941</v>
      </c>
      <c r="I92" s="55">
        <f>_xlfn.XLOOKUP($A92,'Data 2024'!$A:$A,'Data 2024'!K:K)/_xlfn.XLOOKUP($B92,'Category Averages'!$A$2:$A$4,'Category Averages'!D$2:D$4)</f>
        <v>0.42760422491603778</v>
      </c>
      <c r="J92" s="63">
        <f>_xlfn.XLOOKUP($A92,'Data 2024'!$A:$A,'Data 2024'!P:P)/_xlfn.XLOOKUP($B92,'Category Averages'!$A$2:$A$4,'Category Averages'!E$2:E$4)</f>
        <v>2.2133407788628849</v>
      </c>
      <c r="K92" s="63">
        <f>_xlfn.XLOOKUP($A92,'Data 2024'!$A:$A,'Data 2024'!Q:Q)/_xlfn.XLOOKUP($B92,'Category Averages'!$A$2:$A$4,'Category Averages'!F$2:F$4)</f>
        <v>1.5674219908887788</v>
      </c>
    </row>
    <row r="93" spans="1:11" ht="18" customHeight="1">
      <c r="A93" s="56">
        <v>3577600</v>
      </c>
      <c r="B93" s="54" t="str">
        <f>_xlfn.XLOOKUP(A93,'Data 2024'!A:A,'Data 2024'!D:D)</f>
        <v>Region 12</v>
      </c>
      <c r="C93" s="58" t="s">
        <v>950</v>
      </c>
      <c r="D93" s="58" t="s">
        <v>830</v>
      </c>
      <c r="E93" s="58" t="s">
        <v>951</v>
      </c>
      <c r="F93" s="58" t="s">
        <v>952</v>
      </c>
      <c r="G93" s="55">
        <f>_xlfn.XLOOKUP($A93,'Data 2024'!$A:$A,'Data 2024'!I:I)/_xlfn.XLOOKUP($B93,'Category Averages'!$A$2:$A$4,'Category Averages'!$B$2:$B$4)</f>
        <v>0.79917688731181447</v>
      </c>
      <c r="H93" s="55" t="e">
        <f>_xlfn.XLOOKUP($A93,'Data 2024'!$A:$A,'Data 2024'!J:J)/_xlfn.XLOOKUP($B93,'Category Averages'!$A$2:$A$4,'Category Averages'!C$2:C$4)</f>
        <v>#DIV/0!</v>
      </c>
      <c r="I93" s="55">
        <f>_xlfn.XLOOKUP($A93,'Data 2024'!$A:$A,'Data 2024'!K:K)/_xlfn.XLOOKUP($B93,'Category Averages'!$A$2:$A$4,'Category Averages'!D$2:D$4)</f>
        <v>0</v>
      </c>
      <c r="J93" s="63">
        <f>_xlfn.XLOOKUP($A93,'Data 2024'!$A:$A,'Data 2024'!P:P)/_xlfn.XLOOKUP($B93,'Category Averages'!$A$2:$A$4,'Category Averages'!E$2:E$4)</f>
        <v>2.6936341341451686</v>
      </c>
      <c r="K93" s="63">
        <f>_xlfn.XLOOKUP($A93,'Data 2024'!$A:$A,'Data 2024'!Q:Q)/_xlfn.XLOOKUP($B93,'Category Averages'!$A$2:$A$4,'Category Averages'!F$2:F$4)</f>
        <v>0.17512280885262177</v>
      </c>
    </row>
    <row r="94" spans="1:11" ht="18" customHeight="1">
      <c r="A94" s="56">
        <v>3579800</v>
      </c>
      <c r="B94" s="54" t="str">
        <f>_xlfn.XLOOKUP(A94,'Data 2024'!A:A,'Data 2024'!D:D)</f>
        <v>Region 2</v>
      </c>
      <c r="C94" s="58" t="s">
        <v>953</v>
      </c>
      <c r="D94" s="58" t="s">
        <v>830</v>
      </c>
      <c r="E94" s="58" t="s">
        <v>831</v>
      </c>
      <c r="F94" s="58" t="s">
        <v>954</v>
      </c>
      <c r="G94" s="55">
        <f>_xlfn.XLOOKUP($A94,'Data 2024'!$A:$A,'Data 2024'!I:I)/_xlfn.XLOOKUP($B94,'Category Averages'!$A$2:$A$4,'Category Averages'!$B$2:$B$4)</f>
        <v>0.53801471856913996</v>
      </c>
      <c r="H94" s="55">
        <f>_xlfn.XLOOKUP($A94,'Data 2024'!$A:$A,'Data 2024'!J:J)/_xlfn.XLOOKUP($B94,'Category Averages'!$A$2:$A$4,'Category Averages'!C$2:C$4)</f>
        <v>0.60672907668579024</v>
      </c>
      <c r="I94" s="55">
        <f>_xlfn.XLOOKUP($A94,'Data 2024'!$A:$A,'Data 2024'!K:K)/_xlfn.XLOOKUP($B94,'Category Averages'!$A$2:$A$4,'Category Averages'!D$2:D$4)</f>
        <v>0.69594991114720173</v>
      </c>
      <c r="J94" s="63">
        <f>_xlfn.XLOOKUP($A94,'Data 2024'!$A:$A,'Data 2024'!P:P)/_xlfn.XLOOKUP($B94,'Category Averages'!$A$2:$A$4,'Category Averages'!E$2:E$4)</f>
        <v>1.202749278505894</v>
      </c>
      <c r="K94" s="63">
        <f>_xlfn.XLOOKUP($A94,'Data 2024'!$A:$A,'Data 2024'!Q:Q)/_xlfn.XLOOKUP($B94,'Category Averages'!$A$2:$A$4,'Category Averages'!F$2:F$4)</f>
        <v>1.8443625481827306</v>
      </c>
    </row>
    <row r="95" spans="1:11" ht="18" customHeight="1">
      <c r="A95" s="56">
        <v>3583100</v>
      </c>
      <c r="B95" s="54" t="str">
        <f>_xlfn.XLOOKUP(A95,'Data 2024'!A:A,'Data 2024'!D:D)</f>
        <v>Region 1</v>
      </c>
      <c r="C95" s="58" t="s">
        <v>955</v>
      </c>
      <c r="D95" s="58" t="s">
        <v>830</v>
      </c>
      <c r="E95" s="58" t="s">
        <v>831</v>
      </c>
      <c r="F95" s="58" t="s">
        <v>956</v>
      </c>
      <c r="G95" s="55">
        <f>_xlfn.XLOOKUP($A95,'Data 2024'!$A:$A,'Data 2024'!I:I)/_xlfn.XLOOKUP($B95,'Category Averages'!$A$2:$A$4,'Category Averages'!$B$2:$B$4)</f>
        <v>0.85514864786554612</v>
      </c>
      <c r="H95" s="55">
        <f>_xlfn.XLOOKUP($A95,'Data 2024'!$A:$A,'Data 2024'!J:J)/_xlfn.XLOOKUP($B95,'Category Averages'!$A$2:$A$4,'Category Averages'!C$2:C$4)</f>
        <v>0.92505000770953016</v>
      </c>
      <c r="I95" s="55">
        <f>_xlfn.XLOOKUP($A95,'Data 2024'!$A:$A,'Data 2024'!K:K)/_xlfn.XLOOKUP($B95,'Category Averages'!$A$2:$A$4,'Category Averages'!D$2:D$4)</f>
        <v>0.68519919161999632</v>
      </c>
      <c r="J95" s="63">
        <f>_xlfn.XLOOKUP($A95,'Data 2024'!$A:$A,'Data 2024'!P:P)/_xlfn.XLOOKUP($B95,'Category Averages'!$A$2:$A$4,'Category Averages'!E$2:E$4)</f>
        <v>1.6542082576727135</v>
      </c>
      <c r="K95" s="63">
        <f>_xlfn.XLOOKUP($A95,'Data 2024'!$A:$A,'Data 2024'!Q:Q)/_xlfn.XLOOKUP($B95,'Category Averages'!$A$2:$A$4,'Category Averages'!F$2:F$4)</f>
        <v>1.2329197104378422</v>
      </c>
    </row>
    <row r="96" spans="1:11" ht="18" customHeight="1">
      <c r="A96" s="54">
        <v>3587200</v>
      </c>
      <c r="B96" s="54" t="str">
        <f>_xlfn.XLOOKUP(A96,'Data 2024'!A:A,'Data 2024'!D:D)</f>
        <v>Region 1</v>
      </c>
      <c r="C96" s="57" t="s">
        <v>957</v>
      </c>
      <c r="D96" s="57" t="s">
        <v>830</v>
      </c>
      <c r="E96" s="57" t="s">
        <v>951</v>
      </c>
      <c r="F96" s="57" t="s">
        <v>958</v>
      </c>
      <c r="G96" s="55">
        <f>_xlfn.XLOOKUP($A96,'Data 2024'!$A:$A,'Data 2024'!I:I)/_xlfn.XLOOKUP($B96,'Category Averages'!$A$2:$A$4,'Category Averages'!$B$2:$B$4)</f>
        <v>0.4978379275515929</v>
      </c>
      <c r="H96" s="55">
        <f>_xlfn.XLOOKUP($A96,'Data 2024'!$A:$A,'Data 2024'!J:J)/_xlfn.XLOOKUP($B96,'Category Averages'!$A$2:$A$4,'Category Averages'!C$2:C$4)</f>
        <v>0.91229709493389777</v>
      </c>
      <c r="I96" s="55">
        <f>_xlfn.XLOOKUP($A96,'Data 2024'!$A:$A,'Data 2024'!K:K)/_xlfn.XLOOKUP($B96,'Category Averages'!$A$2:$A$4,'Category Averages'!D$2:D$4)</f>
        <v>0.82108817166221859</v>
      </c>
      <c r="J96" s="63">
        <f>_xlfn.XLOOKUP($A96,'Data 2024'!$A:$A,'Data 2024'!P:P)/_xlfn.XLOOKUP($B96,'Category Averages'!$A$2:$A$4,'Category Averages'!E$2:E$4)</f>
        <v>1.1333916017832775</v>
      </c>
      <c r="K96" s="63">
        <f>_xlfn.XLOOKUP($A96,'Data 2024'!$A:$A,'Data 2024'!Q:Q)/_xlfn.XLOOKUP($B96,'Category Averages'!$A$2:$A$4,'Category Averages'!F$2:F$4)</f>
        <v>1.2665555542913203</v>
      </c>
    </row>
    <row r="97" spans="1:11" ht="18" customHeight="1">
      <c r="A97" s="56">
        <v>3590500</v>
      </c>
      <c r="B97" s="54" t="str">
        <f>_xlfn.XLOOKUP(A97,'Data 2024'!A:A,'Data 2024'!D:D)</f>
        <v>Region 12</v>
      </c>
      <c r="C97" s="58" t="s">
        <v>959</v>
      </c>
      <c r="D97" s="58" t="s">
        <v>830</v>
      </c>
      <c r="E97" s="58" t="s">
        <v>951</v>
      </c>
      <c r="F97" s="58" t="s">
        <v>960</v>
      </c>
      <c r="G97" s="55">
        <f>_xlfn.XLOOKUP($A97,'Data 2024'!$A:$A,'Data 2024'!I:I)/_xlfn.XLOOKUP($B97,'Category Averages'!$A$2:$A$4,'Category Averages'!$B$2:$B$4)</f>
        <v>1.3162311051867046</v>
      </c>
      <c r="H97" s="55" t="e">
        <f>_xlfn.XLOOKUP($A97,'Data 2024'!$A:$A,'Data 2024'!J:J)/_xlfn.XLOOKUP($B97,'Category Averages'!$A$2:$A$4,'Category Averages'!C$2:C$4)</f>
        <v>#DIV/0!</v>
      </c>
      <c r="I97" s="55">
        <f>_xlfn.XLOOKUP($A97,'Data 2024'!$A:$A,'Data 2024'!K:K)/_xlfn.XLOOKUP($B97,'Category Averages'!$A$2:$A$4,'Category Averages'!D$2:D$4)</f>
        <v>0</v>
      </c>
      <c r="J97" s="63">
        <f>_xlfn.XLOOKUP($A97,'Data 2024'!$A:$A,'Data 2024'!P:P)/_xlfn.XLOOKUP($B97,'Category Averages'!$A$2:$A$4,'Category Averages'!E$2:E$4)</f>
        <v>3.0654482787348414</v>
      </c>
      <c r="K97" s="63">
        <f>_xlfn.XLOOKUP($A97,'Data 2024'!$A:$A,'Data 2024'!Q:Q)/_xlfn.XLOOKUP($B97,'Category Averages'!$A$2:$A$4,'Category Averages'!F$2:F$4)</f>
        <v>0.58392700970698652</v>
      </c>
    </row>
    <row r="98" spans="1:11" ht="18" customHeight="1">
      <c r="A98" s="56">
        <v>3593800</v>
      </c>
      <c r="B98" s="54" t="str">
        <f>_xlfn.XLOOKUP(A98,'Data 2024'!A:A,'Data 2024'!D:D)</f>
        <v>Region 2</v>
      </c>
      <c r="C98" s="58" t="s">
        <v>961</v>
      </c>
      <c r="D98" s="58" t="s">
        <v>830</v>
      </c>
      <c r="E98" s="58" t="s">
        <v>831</v>
      </c>
      <c r="F98" s="58" t="s">
        <v>962</v>
      </c>
      <c r="G98" s="55">
        <f>_xlfn.XLOOKUP($A98,'Data 2024'!$A:$A,'Data 2024'!I:I)/_xlfn.XLOOKUP($B98,'Category Averages'!$A$2:$A$4,'Category Averages'!$B$2:$B$4)</f>
        <v>0.88472537362887771</v>
      </c>
      <c r="H98" s="55">
        <f>_xlfn.XLOOKUP($A98,'Data 2024'!$A:$A,'Data 2024'!J:J)/_xlfn.XLOOKUP($B98,'Category Averages'!$A$2:$A$4,'Category Averages'!C$2:C$4)</f>
        <v>0.57663996511878324</v>
      </c>
      <c r="I98" s="55">
        <f>_xlfn.XLOOKUP($A98,'Data 2024'!$A:$A,'Data 2024'!K:K)/_xlfn.XLOOKUP($B98,'Category Averages'!$A$2:$A$4,'Category Averages'!D$2:D$4)</f>
        <v>0.56341000760949078</v>
      </c>
      <c r="J98" s="63">
        <f>_xlfn.XLOOKUP($A98,'Data 2024'!$A:$A,'Data 2024'!P:P)/_xlfn.XLOOKUP($B98,'Category Averages'!$A$2:$A$4,'Category Averages'!E$2:E$4)</f>
        <v>1.9761706808219548</v>
      </c>
      <c r="K98" s="63">
        <f>_xlfn.XLOOKUP($A98,'Data 2024'!$A:$A,'Data 2024'!Q:Q)/_xlfn.XLOOKUP($B98,'Category Averages'!$A$2:$A$4,'Category Averages'!F$2:F$4)</f>
        <v>0.52780986019684761</v>
      </c>
    </row>
    <row r="99" spans="1:11" ht="18" customHeight="1">
      <c r="A99" s="56">
        <v>3597900</v>
      </c>
      <c r="B99" s="54" t="str">
        <f>_xlfn.XLOOKUP(A99,'Data 2024'!A:A,'Data 2024'!D:D)</f>
        <v>Region 2</v>
      </c>
      <c r="C99" s="58" t="s">
        <v>963</v>
      </c>
      <c r="D99" s="58" t="s">
        <v>830</v>
      </c>
      <c r="E99" s="58" t="s">
        <v>831</v>
      </c>
      <c r="F99" s="58" t="s">
        <v>964</v>
      </c>
      <c r="G99" s="55">
        <f>_xlfn.XLOOKUP($A99,'Data 2024'!$A:$A,'Data 2024'!I:I)/_xlfn.XLOOKUP($B99,'Category Averages'!$A$2:$A$4,'Category Averages'!$B$2:$B$4)</f>
        <v>0.67022491934292916</v>
      </c>
      <c r="H99" s="55">
        <f>_xlfn.XLOOKUP($A99,'Data 2024'!$A:$A,'Data 2024'!J:J)/_xlfn.XLOOKUP($B99,'Category Averages'!$A$2:$A$4,'Category Averages'!C$2:C$4)</f>
        <v>0.55963343152454514</v>
      </c>
      <c r="I99" s="55">
        <f>_xlfn.XLOOKUP($A99,'Data 2024'!$A:$A,'Data 2024'!K:K)/_xlfn.XLOOKUP($B99,'Category Averages'!$A$2:$A$4,'Category Averages'!D$2:D$4)</f>
        <v>0.94476293275442091</v>
      </c>
      <c r="J99" s="63">
        <f>_xlfn.XLOOKUP($A99,'Data 2024'!$A:$A,'Data 2024'!P:P)/_xlfn.XLOOKUP($B99,'Category Averages'!$A$2:$A$4,'Category Averages'!E$2:E$4)</f>
        <v>0.72208678515418023</v>
      </c>
      <c r="K99" s="63">
        <f>_xlfn.XLOOKUP($A99,'Data 2024'!$A:$A,'Data 2024'!Q:Q)/_xlfn.XLOOKUP($B99,'Category Averages'!$A$2:$A$4,'Category Averages'!F$2:F$4)</f>
        <v>0.30671091712722848</v>
      </c>
    </row>
    <row r="100" spans="1:11" ht="18" customHeight="1">
      <c r="A100" s="56">
        <v>3599000</v>
      </c>
      <c r="B100" s="54" t="str">
        <f>_xlfn.XLOOKUP(A100,'Data 2024'!A:A,'Data 2024'!D:D)</f>
        <v>Region 1</v>
      </c>
      <c r="C100" s="58" t="s">
        <v>965</v>
      </c>
      <c r="D100" s="58" t="s">
        <v>830</v>
      </c>
      <c r="E100" s="58" t="s">
        <v>831</v>
      </c>
      <c r="F100" s="58" t="s">
        <v>954</v>
      </c>
      <c r="G100" s="55">
        <f>_xlfn.XLOOKUP($A100,'Data 2024'!$A:$A,'Data 2024'!I:I)/_xlfn.XLOOKUP($B100,'Category Averages'!$A$2:$A$4,'Category Averages'!$B$2:$B$4)</f>
        <v>0.55492640366052626</v>
      </c>
      <c r="H100" s="55">
        <f>_xlfn.XLOOKUP($A100,'Data 2024'!$A:$A,'Data 2024'!J:J)/_xlfn.XLOOKUP($B100,'Category Averages'!$A$2:$A$4,'Category Averages'!C$2:C$4)</f>
        <v>0</v>
      </c>
      <c r="I100" s="55">
        <f>_xlfn.XLOOKUP($A100,'Data 2024'!$A:$A,'Data 2024'!K:K)/_xlfn.XLOOKUP($B100,'Category Averages'!$A$2:$A$4,'Category Averages'!D$2:D$4)</f>
        <v>0.70570303770149612</v>
      </c>
      <c r="J100" s="63">
        <f>_xlfn.XLOOKUP($A100,'Data 2024'!$A:$A,'Data 2024'!P:P)/_xlfn.XLOOKUP($B100,'Category Averages'!$A$2:$A$4,'Category Averages'!E$2:E$4)</f>
        <v>0.61109701300606178</v>
      </c>
      <c r="K100" s="63">
        <f>_xlfn.XLOOKUP($A100,'Data 2024'!$A:$A,'Data 2024'!Q:Q)/_xlfn.XLOOKUP($B100,'Category Averages'!$A$2:$A$4,'Category Averages'!F$2:F$4)</f>
        <v>0.13113946878723873</v>
      </c>
    </row>
    <row r="101" spans="1:11" ht="18" customHeight="1">
      <c r="A101" s="56">
        <v>3600100</v>
      </c>
      <c r="B101" s="54" t="str">
        <f>_xlfn.XLOOKUP(A101,'Data 2024'!A:A,'Data 2024'!D:D)</f>
        <v>Region 2</v>
      </c>
      <c r="C101" s="58" t="s">
        <v>966</v>
      </c>
      <c r="D101" s="58" t="s">
        <v>830</v>
      </c>
      <c r="E101" s="58" t="s">
        <v>951</v>
      </c>
      <c r="F101" s="58" t="s">
        <v>960</v>
      </c>
      <c r="G101" s="55">
        <f>_xlfn.XLOOKUP($A101,'Data 2024'!$A:$A,'Data 2024'!I:I)/_xlfn.XLOOKUP($B101,'Category Averages'!$A$2:$A$4,'Category Averages'!$B$2:$B$4)</f>
        <v>1.1319640191619298</v>
      </c>
      <c r="H101" s="55">
        <f>_xlfn.XLOOKUP($A101,'Data 2024'!$A:$A,'Data 2024'!J:J)/_xlfn.XLOOKUP($B101,'Category Averages'!$A$2:$A$4,'Category Averages'!C$2:C$4)</f>
        <v>0.72092537356602004</v>
      </c>
      <c r="I101" s="55">
        <f>_xlfn.XLOOKUP($A101,'Data 2024'!$A:$A,'Data 2024'!K:K)/_xlfn.XLOOKUP($B101,'Category Averages'!$A$2:$A$4,'Category Averages'!D$2:D$4)</f>
        <v>1.0656759454167397</v>
      </c>
      <c r="J101" s="63">
        <f>_xlfn.XLOOKUP($A101,'Data 2024'!$A:$A,'Data 2024'!P:P)/_xlfn.XLOOKUP($B101,'Category Averages'!$A$2:$A$4,'Category Averages'!E$2:E$4)</f>
        <v>0.878767441977928</v>
      </c>
      <c r="K101" s="63">
        <f>_xlfn.XLOOKUP($A101,'Data 2024'!$A:$A,'Data 2024'!Q:Q)/_xlfn.XLOOKUP($B101,'Category Averages'!$A$2:$A$4,'Category Averages'!F$2:F$4)</f>
        <v>0.41944692683243456</v>
      </c>
    </row>
    <row r="102" spans="1:11" ht="18" customHeight="1">
      <c r="A102" s="56">
        <v>3600200</v>
      </c>
      <c r="B102" s="54" t="str">
        <f>_xlfn.XLOOKUP(A102,'Data 2024'!A:A,'Data 2024'!D:D)</f>
        <v>Region 2</v>
      </c>
      <c r="C102" s="58" t="s">
        <v>967</v>
      </c>
      <c r="D102" s="58" t="s">
        <v>830</v>
      </c>
      <c r="E102" s="58" t="s">
        <v>831</v>
      </c>
      <c r="F102" s="58" t="s">
        <v>962</v>
      </c>
      <c r="G102" s="55">
        <f>_xlfn.XLOOKUP($A102,'Data 2024'!$A:$A,'Data 2024'!I:I)/_xlfn.XLOOKUP($B102,'Category Averages'!$A$2:$A$4,'Category Averages'!$B$2:$B$4)</f>
        <v>0.60964391568342868</v>
      </c>
      <c r="H102" s="55">
        <f>_xlfn.XLOOKUP($A102,'Data 2024'!$A:$A,'Data 2024'!J:J)/_xlfn.XLOOKUP($B102,'Category Averages'!$A$2:$A$4,'Category Averages'!C$2:C$4)</f>
        <v>0.70500576143887894</v>
      </c>
      <c r="I102" s="55">
        <f>_xlfn.XLOOKUP($A102,'Data 2024'!$A:$A,'Data 2024'!K:K)/_xlfn.XLOOKUP($B102,'Category Averages'!$A$2:$A$4,'Category Averages'!D$2:D$4)</f>
        <v>0.704122828655527</v>
      </c>
      <c r="J102" s="63">
        <f>_xlfn.XLOOKUP($A102,'Data 2024'!$A:$A,'Data 2024'!P:P)/_xlfn.XLOOKUP($B102,'Category Averages'!$A$2:$A$4,'Category Averages'!E$2:E$4)</f>
        <v>1.1737378114792469</v>
      </c>
      <c r="K102" s="63">
        <f>_xlfn.XLOOKUP($A102,'Data 2024'!$A:$A,'Data 2024'!Q:Q)/_xlfn.XLOOKUP($B102,'Category Averages'!$A$2:$A$4,'Category Averages'!F$2:F$4)</f>
        <v>0.68733284879624368</v>
      </c>
    </row>
    <row r="103" spans="1:11" ht="18" customHeight="1">
      <c r="A103" s="56">
        <v>3602300</v>
      </c>
      <c r="B103" s="54" t="str">
        <f>_xlfn.XLOOKUP(A103,'Data 2024'!A:A,'Data 2024'!D:D)</f>
        <v>Region 1</v>
      </c>
      <c r="C103" s="58" t="s">
        <v>968</v>
      </c>
      <c r="D103" s="58" t="s">
        <v>830</v>
      </c>
      <c r="E103" s="58" t="s">
        <v>831</v>
      </c>
      <c r="F103" s="58" t="s">
        <v>969</v>
      </c>
      <c r="G103" s="55">
        <f>_xlfn.XLOOKUP($A103,'Data 2024'!$A:$A,'Data 2024'!I:I)/_xlfn.XLOOKUP($B103,'Category Averages'!$A$2:$A$4,'Category Averages'!$B$2:$B$4)</f>
        <v>1.1772306536876735</v>
      </c>
      <c r="H103" s="55">
        <f>_xlfn.XLOOKUP($A103,'Data 2024'!$A:$A,'Data 2024'!J:J)/_xlfn.XLOOKUP($B103,'Category Averages'!$A$2:$A$4,'Category Averages'!C$2:C$4)</f>
        <v>0.64495475687865844</v>
      </c>
      <c r="I103" s="55">
        <f>_xlfn.XLOOKUP($A103,'Data 2024'!$A:$A,'Data 2024'!K:K)/_xlfn.XLOOKUP($B103,'Category Averages'!$A$2:$A$4,'Category Averages'!D$2:D$4)</f>
        <v>0.75593220681379147</v>
      </c>
      <c r="J103" s="63">
        <f>_xlfn.XLOOKUP($A103,'Data 2024'!$A:$A,'Data 2024'!P:P)/_xlfn.XLOOKUP($B103,'Category Averages'!$A$2:$A$4,'Category Averages'!E$2:E$4)</f>
        <v>0.34459975629530337</v>
      </c>
      <c r="K103" s="63">
        <f>_xlfn.XLOOKUP($A103,'Data 2024'!$A:$A,'Data 2024'!Q:Q)/_xlfn.XLOOKUP($B103,'Category Averages'!$A$2:$A$4,'Category Averages'!F$2:F$4)</f>
        <v>0.10282625573349931</v>
      </c>
    </row>
    <row r="104" spans="1:11" ht="18" customHeight="1">
      <c r="A104" s="56">
        <v>3603400</v>
      </c>
      <c r="B104" s="54" t="str">
        <f>_xlfn.XLOOKUP(A104,'Data 2024'!A:A,'Data 2024'!D:D)</f>
        <v>Region 1</v>
      </c>
      <c r="C104" s="58" t="s">
        <v>970</v>
      </c>
      <c r="D104" s="58" t="s">
        <v>830</v>
      </c>
      <c r="E104" s="58" t="s">
        <v>831</v>
      </c>
      <c r="F104" s="58" t="s">
        <v>969</v>
      </c>
      <c r="G104" s="55">
        <f>_xlfn.XLOOKUP($A104,'Data 2024'!$A:$A,'Data 2024'!I:I)/_xlfn.XLOOKUP($B104,'Category Averages'!$A$2:$A$4,'Category Averages'!$B$2:$B$4)</f>
        <v>1.1353559031836731</v>
      </c>
      <c r="H104" s="55">
        <f>_xlfn.XLOOKUP($A104,'Data 2024'!$A:$A,'Data 2024'!J:J)/_xlfn.XLOOKUP($B104,'Category Averages'!$A$2:$A$4,'Category Averages'!C$2:C$4)</f>
        <v>0.74953020092883471</v>
      </c>
      <c r="I104" s="55">
        <f>_xlfn.XLOOKUP($A104,'Data 2024'!$A:$A,'Data 2024'!K:K)/_xlfn.XLOOKUP($B104,'Category Averages'!$A$2:$A$4,'Category Averages'!D$2:D$4)</f>
        <v>1.1245293563419119</v>
      </c>
      <c r="J104" s="63">
        <f>_xlfn.XLOOKUP($A104,'Data 2024'!$A:$A,'Data 2024'!P:P)/_xlfn.XLOOKUP($B104,'Category Averages'!$A$2:$A$4,'Category Averages'!E$2:E$4)</f>
        <v>0.32636821753568118</v>
      </c>
      <c r="K104" s="63">
        <f>_xlfn.XLOOKUP($A104,'Data 2024'!$A:$A,'Data 2024'!Q:Q)/_xlfn.XLOOKUP($B104,'Category Averages'!$A$2:$A$4,'Category Averages'!F$2:F$4)</f>
        <v>0.15690936365882602</v>
      </c>
    </row>
    <row r="105" spans="1:11" ht="18" customHeight="1">
      <c r="A105" s="56">
        <v>3610200</v>
      </c>
      <c r="B105" s="54" t="str">
        <f>_xlfn.XLOOKUP(A105,'Data 2024'!A:A,'Data 2024'!D:D)</f>
        <v>Region 1</v>
      </c>
      <c r="C105" s="58" t="s">
        <v>971</v>
      </c>
      <c r="D105" s="58" t="s">
        <v>830</v>
      </c>
      <c r="E105" s="58" t="s">
        <v>951</v>
      </c>
      <c r="F105" s="58" t="s">
        <v>958</v>
      </c>
      <c r="G105" s="55">
        <f>_xlfn.XLOOKUP($A105,'Data 2024'!$A:$A,'Data 2024'!I:I)/_xlfn.XLOOKUP($B105,'Category Averages'!$A$2:$A$4,'Category Averages'!$B$2:$B$4)</f>
        <v>1.6210110252386223</v>
      </c>
      <c r="H105" s="55">
        <f>_xlfn.XLOOKUP($A105,'Data 2024'!$A:$A,'Data 2024'!J:J)/_xlfn.XLOOKUP($B105,'Category Averages'!$A$2:$A$4,'Category Averages'!C$2:C$4)</f>
        <v>2.6386936178435771</v>
      </c>
      <c r="I105" s="55">
        <f>_xlfn.XLOOKUP($A105,'Data 2024'!$A:$A,'Data 2024'!K:K)/_xlfn.XLOOKUP($B105,'Category Averages'!$A$2:$A$4,'Category Averages'!D$2:D$4)</f>
        <v>1.3596198302452249</v>
      </c>
      <c r="J105" s="63">
        <f>_xlfn.XLOOKUP($A105,'Data 2024'!$A:$A,'Data 2024'!P:P)/_xlfn.XLOOKUP($B105,'Category Averages'!$A$2:$A$4,'Category Averages'!E$2:E$4)</f>
        <v>0.78024667007374127</v>
      </c>
      <c r="K105" s="63">
        <f>_xlfn.XLOOKUP($A105,'Data 2024'!$A:$A,'Data 2024'!Q:Q)/_xlfn.XLOOKUP($B105,'Category Averages'!$A$2:$A$4,'Category Averages'!F$2:F$4)</f>
        <v>0.32060981364834001</v>
      </c>
    </row>
    <row r="106" spans="1:11" ht="18" customHeight="1">
      <c r="A106" s="56">
        <v>3677900</v>
      </c>
      <c r="B106" s="54" t="str">
        <f>_xlfn.XLOOKUP(A106,'Data 2024'!A:A,'Data 2024'!D:D)</f>
        <v>Region 1</v>
      </c>
      <c r="C106" s="58" t="s">
        <v>972</v>
      </c>
      <c r="D106" s="58" t="s">
        <v>808</v>
      </c>
      <c r="E106" s="58" t="s">
        <v>843</v>
      </c>
      <c r="F106" s="58" t="s">
        <v>973</v>
      </c>
      <c r="G106" s="55">
        <f>_xlfn.XLOOKUP($A106,'Data 2024'!$A:$A,'Data 2024'!I:I)/_xlfn.XLOOKUP($B106,'Category Averages'!$A$2:$A$4,'Category Averages'!$B$2:$B$4)</f>
        <v>0.52015788697979981</v>
      </c>
      <c r="H106" s="55">
        <f>_xlfn.XLOOKUP($A106,'Data 2024'!$A:$A,'Data 2024'!J:J)/_xlfn.XLOOKUP($B106,'Category Averages'!$A$2:$A$4,'Category Averages'!C$2:C$4)</f>
        <v>0</v>
      </c>
      <c r="I106" s="55">
        <f>_xlfn.XLOOKUP($A106,'Data 2024'!$A:$A,'Data 2024'!K:K)/_xlfn.XLOOKUP($B106,'Category Averages'!$A$2:$A$4,'Category Averages'!D$2:D$4)</f>
        <v>0.7425866969970305</v>
      </c>
      <c r="J106" s="63">
        <f>_xlfn.XLOOKUP($A106,'Data 2024'!$A:$A,'Data 2024'!P:P)/_xlfn.XLOOKUP($B106,'Category Averages'!$A$2:$A$4,'Category Averages'!E$2:E$4)</f>
        <v>1.0990213092172074</v>
      </c>
      <c r="K106" s="63">
        <f>_xlfn.XLOOKUP($A106,'Data 2024'!$A:$A,'Data 2024'!Q:Q)/_xlfn.XLOOKUP($B106,'Category Averages'!$A$2:$A$4,'Category Averages'!F$2:F$4)</f>
        <v>1.4774759597392284</v>
      </c>
    </row>
    <row r="107" spans="1:11" ht="18" customHeight="1">
      <c r="A107" s="56">
        <v>3687500</v>
      </c>
      <c r="B107" s="54" t="str">
        <f>_xlfn.XLOOKUP(A107,'Data 2024'!A:A,'Data 2024'!D:D)</f>
        <v>Region 2</v>
      </c>
      <c r="C107" s="58" t="s">
        <v>974</v>
      </c>
      <c r="D107" s="58" t="s">
        <v>830</v>
      </c>
      <c r="E107" s="58" t="s">
        <v>831</v>
      </c>
      <c r="F107" s="58" t="s">
        <v>898</v>
      </c>
      <c r="G107" s="55">
        <f>_xlfn.XLOOKUP($A107,'Data 2024'!$A:$A,'Data 2024'!I:I)/_xlfn.XLOOKUP($B107,'Category Averages'!$A$2:$A$4,'Category Averages'!$B$2:$B$4)</f>
        <v>0.67852673447905421</v>
      </c>
      <c r="H107" s="55">
        <f>_xlfn.XLOOKUP($A107,'Data 2024'!$A:$A,'Data 2024'!J:J)/_xlfn.XLOOKUP($B107,'Category Averages'!$A$2:$A$4,'Category Averages'!C$2:C$4)</f>
        <v>0.49511266268733384</v>
      </c>
      <c r="I107" s="55">
        <f>_xlfn.XLOOKUP($A107,'Data 2024'!$A:$A,'Data 2024'!K:K)/_xlfn.XLOOKUP($B107,'Category Averages'!$A$2:$A$4,'Category Averages'!D$2:D$4)</f>
        <v>0.68387254543406195</v>
      </c>
      <c r="J107" s="63">
        <f>_xlfn.XLOOKUP($A107,'Data 2024'!$A:$A,'Data 2024'!P:P)/_xlfn.XLOOKUP($B107,'Category Averages'!$A$2:$A$4,'Category Averages'!E$2:E$4)</f>
        <v>2.6489220642668601</v>
      </c>
      <c r="K107" s="63">
        <f>_xlfn.XLOOKUP($A107,'Data 2024'!$A:$A,'Data 2024'!Q:Q)/_xlfn.XLOOKUP($B107,'Category Averages'!$A$2:$A$4,'Category Averages'!F$2:F$4)</f>
        <v>2.0928661583756281</v>
      </c>
    </row>
    <row r="108" spans="1:11" ht="18" customHeight="1">
      <c r="A108" s="56">
        <v>3689700</v>
      </c>
      <c r="B108" s="54" t="str">
        <f>_xlfn.XLOOKUP(A108,'Data 2024'!A:A,'Data 2024'!D:D)</f>
        <v>Region 2</v>
      </c>
      <c r="C108" s="58" t="s">
        <v>975</v>
      </c>
      <c r="D108" s="58" t="s">
        <v>830</v>
      </c>
      <c r="E108" s="58" t="s">
        <v>831</v>
      </c>
      <c r="F108" s="58" t="s">
        <v>976</v>
      </c>
      <c r="G108" s="55">
        <f>_xlfn.XLOOKUP($A108,'Data 2024'!$A:$A,'Data 2024'!I:I)/_xlfn.XLOOKUP($B108,'Category Averages'!$A$2:$A$4,'Category Averages'!$B$2:$B$4)</f>
        <v>0.51381829448232319</v>
      </c>
      <c r="H108" s="55">
        <f>_xlfn.XLOOKUP($A108,'Data 2024'!$A:$A,'Data 2024'!J:J)/_xlfn.XLOOKUP($B108,'Category Averages'!$A$2:$A$4,'Category Averages'!C$2:C$4)</f>
        <v>0.49730612230885246</v>
      </c>
      <c r="I108" s="55">
        <f>_xlfn.XLOOKUP($A108,'Data 2024'!$A:$A,'Data 2024'!K:K)/_xlfn.XLOOKUP($B108,'Category Averages'!$A$2:$A$4,'Category Averages'!D$2:D$4)</f>
        <v>0.67439579821715157</v>
      </c>
      <c r="J108" s="63">
        <f>_xlfn.XLOOKUP($A108,'Data 2024'!$A:$A,'Data 2024'!P:P)/_xlfn.XLOOKUP($B108,'Category Averages'!$A$2:$A$4,'Category Averages'!E$2:E$4)</f>
        <v>1.2209185465007966</v>
      </c>
      <c r="K108" s="63">
        <f>_xlfn.XLOOKUP($A108,'Data 2024'!$A:$A,'Data 2024'!Q:Q)/_xlfn.XLOOKUP($B108,'Category Averages'!$A$2:$A$4,'Category Averages'!F$2:F$4)</f>
        <v>1.8467660502931202</v>
      </c>
    </row>
    <row r="109" spans="1:11" ht="18" customHeight="1">
      <c r="A109" s="56">
        <v>3696000</v>
      </c>
      <c r="B109" s="54" t="str">
        <f>_xlfn.XLOOKUP(A109,'Data 2024'!A:A,'Data 2024'!D:D)</f>
        <v>Region 12</v>
      </c>
      <c r="C109" s="58" t="s">
        <v>977</v>
      </c>
      <c r="D109" s="58" t="s">
        <v>808</v>
      </c>
      <c r="E109" s="58" t="s">
        <v>843</v>
      </c>
      <c r="F109" s="58" t="s">
        <v>973</v>
      </c>
      <c r="G109" s="55">
        <f>_xlfn.XLOOKUP($A109,'Data 2024'!$A:$A,'Data 2024'!I:I)/_xlfn.XLOOKUP($B109,'Category Averages'!$A$2:$A$4,'Category Averages'!$B$2:$B$4)</f>
        <v>0.71074131565518561</v>
      </c>
      <c r="H109" s="55" t="e">
        <f>_xlfn.XLOOKUP($A109,'Data 2024'!$A:$A,'Data 2024'!J:J)/_xlfn.XLOOKUP($B109,'Category Averages'!$A$2:$A$4,'Category Averages'!C$2:C$4)</f>
        <v>#DIV/0!</v>
      </c>
      <c r="I109" s="55">
        <f>_xlfn.XLOOKUP($A109,'Data 2024'!$A:$A,'Data 2024'!K:K)/_xlfn.XLOOKUP($B109,'Category Averages'!$A$2:$A$4,'Category Averages'!D$2:D$4)</f>
        <v>0</v>
      </c>
      <c r="J109" s="63">
        <f>_xlfn.XLOOKUP($A109,'Data 2024'!$A:$A,'Data 2024'!P:P)/_xlfn.XLOOKUP($B109,'Category Averages'!$A$2:$A$4,'Category Averages'!E$2:E$4)</f>
        <v>1.2225278876807031</v>
      </c>
      <c r="K109" s="63">
        <f>_xlfn.XLOOKUP($A109,'Data 2024'!$A:$A,'Data 2024'!Q:Q)/_xlfn.XLOOKUP($B109,'Category Averages'!$A$2:$A$4,'Category Averages'!F$2:F$4)</f>
        <v>0.74031580501254179</v>
      </c>
    </row>
    <row r="110" spans="1:11" ht="18" customHeight="1">
      <c r="A110" s="56">
        <v>3697500</v>
      </c>
      <c r="B110" s="54" t="str">
        <f>_xlfn.XLOOKUP(A110,'Data 2024'!A:A,'Data 2024'!D:D)</f>
        <v>Region 2</v>
      </c>
      <c r="C110" s="58" t="s">
        <v>978</v>
      </c>
      <c r="D110" s="58" t="s">
        <v>808</v>
      </c>
      <c r="E110" s="58" t="s">
        <v>843</v>
      </c>
      <c r="F110" s="58" t="s">
        <v>877</v>
      </c>
      <c r="G110" s="55">
        <f>_xlfn.XLOOKUP($A110,'Data 2024'!$A:$A,'Data 2024'!I:I)/_xlfn.XLOOKUP($B110,'Category Averages'!$A$2:$A$4,'Category Averages'!$B$2:$B$4)</f>
        <v>0.87516051664468486</v>
      </c>
      <c r="H110" s="55">
        <f>_xlfn.XLOOKUP($A110,'Data 2024'!$A:$A,'Data 2024'!J:J)/_xlfn.XLOOKUP($B110,'Category Averages'!$A$2:$A$4,'Category Averages'!C$2:C$4)</f>
        <v>0.60055634791949108</v>
      </c>
      <c r="I110" s="55">
        <f>_xlfn.XLOOKUP($A110,'Data 2024'!$A:$A,'Data 2024'!K:K)/_xlfn.XLOOKUP($B110,'Category Averages'!$A$2:$A$4,'Category Averages'!D$2:D$4)</f>
        <v>0.82696012291948151</v>
      </c>
      <c r="J110" s="63">
        <f>_xlfn.XLOOKUP($A110,'Data 2024'!$A:$A,'Data 2024'!P:P)/_xlfn.XLOOKUP($B110,'Category Averages'!$A$2:$A$4,'Category Averages'!E$2:E$4)</f>
        <v>0.99635303131372033</v>
      </c>
      <c r="K110" s="63">
        <f>_xlfn.XLOOKUP($A110,'Data 2024'!$A:$A,'Data 2024'!Q:Q)/_xlfn.XLOOKUP($B110,'Category Averages'!$A$2:$A$4,'Category Averages'!F$2:F$4)</f>
        <v>1.1918835779655259</v>
      </c>
    </row>
    <row r="111" spans="1:11" ht="18" customHeight="1">
      <c r="A111" s="56">
        <v>3698200</v>
      </c>
      <c r="B111" s="54" t="str">
        <f>_xlfn.XLOOKUP(A111,'Data 2024'!A:A,'Data 2024'!D:D)</f>
        <v>Region 12</v>
      </c>
      <c r="C111" s="58" t="s">
        <v>979</v>
      </c>
      <c r="D111" s="58" t="s">
        <v>830</v>
      </c>
      <c r="E111" s="58" t="s">
        <v>831</v>
      </c>
      <c r="F111" s="58" t="s">
        <v>980</v>
      </c>
      <c r="G111" s="55">
        <f>_xlfn.XLOOKUP($A111,'Data 2024'!$A:$A,'Data 2024'!I:I)/_xlfn.XLOOKUP($B111,'Category Averages'!$A$2:$A$4,'Category Averages'!$B$2:$B$4)</f>
        <v>0.94822507597810812</v>
      </c>
      <c r="H111" s="55" t="e">
        <f>_xlfn.XLOOKUP($A111,'Data 2024'!$A:$A,'Data 2024'!J:J)/_xlfn.XLOOKUP($B111,'Category Averages'!$A$2:$A$4,'Category Averages'!C$2:C$4)</f>
        <v>#DIV/0!</v>
      </c>
      <c r="I111" s="55">
        <f>_xlfn.XLOOKUP($A111,'Data 2024'!$A:$A,'Data 2024'!K:K)/_xlfn.XLOOKUP($B111,'Category Averages'!$A$2:$A$4,'Category Averages'!D$2:D$4)</f>
        <v>0</v>
      </c>
      <c r="J111" s="63">
        <f>_xlfn.XLOOKUP($A111,'Data 2024'!$A:$A,'Data 2024'!P:P)/_xlfn.XLOOKUP($B111,'Category Averages'!$A$2:$A$4,'Category Averages'!E$2:E$4)</f>
        <v>0</v>
      </c>
      <c r="K111" s="63">
        <f>_xlfn.XLOOKUP($A111,'Data 2024'!$A:$A,'Data 2024'!Q:Q)/_xlfn.XLOOKUP($B111,'Category Averages'!$A$2:$A$4,'Category Averages'!F$2:F$4)</f>
        <v>0.30250726464542993</v>
      </c>
    </row>
    <row r="112" spans="1:11" ht="18" customHeight="1">
      <c r="A112" s="56">
        <v>3699300</v>
      </c>
      <c r="B112" s="54" t="str">
        <f>_xlfn.XLOOKUP(A112,'Data 2024'!A:A,'Data 2024'!D:D)</f>
        <v>Region 1</v>
      </c>
      <c r="C112" s="58" t="s">
        <v>981</v>
      </c>
      <c r="D112" s="58" t="s">
        <v>830</v>
      </c>
      <c r="E112" s="58" t="s">
        <v>831</v>
      </c>
      <c r="F112" s="58" t="s">
        <v>898</v>
      </c>
      <c r="G112" s="55">
        <f>_xlfn.XLOOKUP($A112,'Data 2024'!$A:$A,'Data 2024'!I:I)/_xlfn.XLOOKUP($B112,'Category Averages'!$A$2:$A$4,'Category Averages'!$B$2:$B$4)</f>
        <v>0.85088059252630055</v>
      </c>
      <c r="H112" s="55">
        <f>_xlfn.XLOOKUP($A112,'Data 2024'!$A:$A,'Data 2024'!J:J)/_xlfn.XLOOKUP($B112,'Category Averages'!$A$2:$A$4,'Category Averages'!C$2:C$4)</f>
        <v>1.4433759308107175</v>
      </c>
      <c r="I112" s="55">
        <f>_xlfn.XLOOKUP($A112,'Data 2024'!$A:$A,'Data 2024'!K:K)/_xlfn.XLOOKUP($B112,'Category Averages'!$A$2:$A$4,'Category Averages'!D$2:D$4)</f>
        <v>1.0795371712970159</v>
      </c>
      <c r="J112" s="63">
        <f>_xlfn.XLOOKUP($A112,'Data 2024'!$A:$A,'Data 2024'!P:P)/_xlfn.XLOOKUP($B112,'Category Averages'!$A$2:$A$4,'Category Averages'!E$2:E$4)</f>
        <v>1.0815251853396777</v>
      </c>
      <c r="K112" s="63">
        <f>_xlfn.XLOOKUP($A112,'Data 2024'!$A:$A,'Data 2024'!Q:Q)/_xlfn.XLOOKUP($B112,'Category Averages'!$A$2:$A$4,'Category Averages'!F$2:F$4)</f>
        <v>1.4833430346826117</v>
      </c>
    </row>
    <row r="113" spans="1:11" ht="18" customHeight="1">
      <c r="A113" s="56">
        <v>3777500</v>
      </c>
      <c r="B113" s="54" t="str">
        <f>_xlfn.XLOOKUP(A113,'Data 2024'!A:A,'Data 2024'!D:D)</f>
        <v>Region 2</v>
      </c>
      <c r="C113" s="58" t="s">
        <v>982</v>
      </c>
      <c r="D113" s="58" t="s">
        <v>830</v>
      </c>
      <c r="E113" s="58" t="s">
        <v>951</v>
      </c>
      <c r="F113" s="58" t="s">
        <v>983</v>
      </c>
      <c r="G113" s="55">
        <f>_xlfn.XLOOKUP($A113,'Data 2024'!$A:$A,'Data 2024'!I:I)/_xlfn.XLOOKUP($B113,'Category Averages'!$A$2:$A$4,'Category Averages'!$B$2:$B$4)</f>
        <v>0.81230524462797771</v>
      </c>
      <c r="H113" s="55">
        <f>_xlfn.XLOOKUP($A113,'Data 2024'!$A:$A,'Data 2024'!J:J)/_xlfn.XLOOKUP($B113,'Category Averages'!$A$2:$A$4,'Category Averages'!C$2:C$4)</f>
        <v>0.86580282666723984</v>
      </c>
      <c r="I113" s="55">
        <f>_xlfn.XLOOKUP($A113,'Data 2024'!$A:$A,'Data 2024'!K:K)/_xlfn.XLOOKUP($B113,'Category Averages'!$A$2:$A$4,'Category Averages'!D$2:D$4)</f>
        <v>0.67779336537295198</v>
      </c>
      <c r="J113" s="63">
        <f>_xlfn.XLOOKUP($A113,'Data 2024'!$A:$A,'Data 2024'!P:P)/_xlfn.XLOOKUP($B113,'Category Averages'!$A$2:$A$4,'Category Averages'!E$2:E$4)</f>
        <v>1.3214989753657642</v>
      </c>
      <c r="K113" s="63">
        <f>_xlfn.XLOOKUP($A113,'Data 2024'!$A:$A,'Data 2024'!Q:Q)/_xlfn.XLOOKUP($B113,'Category Averages'!$A$2:$A$4,'Category Averages'!F$2:F$4)</f>
        <v>0.74949551788473012</v>
      </c>
    </row>
    <row r="114" spans="1:11" ht="18" customHeight="1">
      <c r="A114" s="56">
        <v>3780400</v>
      </c>
      <c r="B114" s="54" t="str">
        <f>_xlfn.XLOOKUP(A114,'Data 2024'!A:A,'Data 2024'!D:D)</f>
        <v>Region 2</v>
      </c>
      <c r="C114" s="58" t="s">
        <v>984</v>
      </c>
      <c r="D114" s="58" t="s">
        <v>830</v>
      </c>
      <c r="E114" s="58" t="s">
        <v>951</v>
      </c>
      <c r="F114" s="58" t="s">
        <v>985</v>
      </c>
      <c r="G114" s="55">
        <f>_xlfn.XLOOKUP($A114,'Data 2024'!$A:$A,'Data 2024'!I:I)/_xlfn.XLOOKUP($B114,'Category Averages'!$A$2:$A$4,'Category Averages'!$B$2:$B$4)</f>
        <v>1.1013550434451693</v>
      </c>
      <c r="H114" s="55">
        <f>_xlfn.XLOOKUP($A114,'Data 2024'!$A:$A,'Data 2024'!J:J)/_xlfn.XLOOKUP($B114,'Category Averages'!$A$2:$A$4,'Category Averages'!C$2:C$4)</f>
        <v>0.96731307950119405</v>
      </c>
      <c r="I114" s="55">
        <f>_xlfn.XLOOKUP($A114,'Data 2024'!$A:$A,'Data 2024'!K:K)/_xlfn.XLOOKUP($B114,'Category Averages'!$A$2:$A$4,'Category Averages'!D$2:D$4)</f>
        <v>0.96244698387196315</v>
      </c>
      <c r="J114" s="63">
        <f>_xlfn.XLOOKUP($A114,'Data 2024'!$A:$A,'Data 2024'!P:P)/_xlfn.XLOOKUP($B114,'Category Averages'!$A$2:$A$4,'Category Averages'!E$2:E$4)</f>
        <v>1.6218219990598417</v>
      </c>
      <c r="K114" s="63">
        <f>_xlfn.XLOOKUP($A114,'Data 2024'!$A:$A,'Data 2024'!Q:Q)/_xlfn.XLOOKUP($B114,'Category Averages'!$A$2:$A$4,'Category Averages'!F$2:F$4)</f>
        <v>1.4915912340809385</v>
      </c>
    </row>
    <row r="115" spans="1:11" ht="18" customHeight="1">
      <c r="A115" s="56">
        <v>3784800</v>
      </c>
      <c r="B115" s="54" t="str">
        <f>_xlfn.XLOOKUP(A115,'Data 2024'!A:A,'Data 2024'!D:D)</f>
        <v>Region 2</v>
      </c>
      <c r="C115" s="58" t="s">
        <v>986</v>
      </c>
      <c r="D115" s="58" t="s">
        <v>830</v>
      </c>
      <c r="E115" s="58" t="s">
        <v>951</v>
      </c>
      <c r="F115" s="58" t="s">
        <v>952</v>
      </c>
      <c r="G115" s="55">
        <f>_xlfn.XLOOKUP($A115,'Data 2024'!$A:$A,'Data 2024'!I:I)/_xlfn.XLOOKUP($B115,'Category Averages'!$A$2:$A$4,'Category Averages'!$B$2:$B$4)</f>
        <v>0.73664993878044893</v>
      </c>
      <c r="H115" s="55">
        <f>_xlfn.XLOOKUP($A115,'Data 2024'!$A:$A,'Data 2024'!J:J)/_xlfn.XLOOKUP($B115,'Category Averages'!$A$2:$A$4,'Category Averages'!C$2:C$4)</f>
        <v>0.51506372382109189</v>
      </c>
      <c r="I115" s="55">
        <f>_xlfn.XLOOKUP($A115,'Data 2024'!$A:$A,'Data 2024'!K:K)/_xlfn.XLOOKUP($B115,'Category Averages'!$A$2:$A$4,'Category Averages'!D$2:D$4)</f>
        <v>0.73242518678304391</v>
      </c>
      <c r="J115" s="63">
        <f>_xlfn.XLOOKUP($A115,'Data 2024'!$A:$A,'Data 2024'!P:P)/_xlfn.XLOOKUP($B115,'Category Averages'!$A$2:$A$4,'Category Averages'!E$2:E$4)</f>
        <v>1.6532763792478906</v>
      </c>
      <c r="K115" s="63">
        <f>_xlfn.XLOOKUP($A115,'Data 2024'!$A:$A,'Data 2024'!Q:Q)/_xlfn.XLOOKUP($B115,'Category Averages'!$A$2:$A$4,'Category Averages'!F$2:F$4)</f>
        <v>1.285816242023359</v>
      </c>
    </row>
    <row r="116" spans="1:11" ht="18" customHeight="1">
      <c r="A116" s="56">
        <v>3791100</v>
      </c>
      <c r="B116" s="54" t="str">
        <f>_xlfn.XLOOKUP(A116,'Data 2024'!A:A,'Data 2024'!D:D)</f>
        <v>Region 2</v>
      </c>
      <c r="C116" s="58" t="s">
        <v>987</v>
      </c>
      <c r="D116" s="58" t="s">
        <v>830</v>
      </c>
      <c r="E116" s="58" t="s">
        <v>951</v>
      </c>
      <c r="F116" s="58" t="s">
        <v>988</v>
      </c>
      <c r="G116" s="55">
        <f>_xlfn.XLOOKUP($A116,'Data 2024'!$A:$A,'Data 2024'!I:I)/_xlfn.XLOOKUP($B116,'Category Averages'!$A$2:$A$4,'Category Averages'!$B$2:$B$4)</f>
        <v>1.272463840740939</v>
      </c>
      <c r="H116" s="55">
        <f>_xlfn.XLOOKUP($A116,'Data 2024'!$A:$A,'Data 2024'!J:J)/_xlfn.XLOOKUP($B116,'Category Averages'!$A$2:$A$4,'Category Averages'!C$2:C$4)</f>
        <v>1.0667702394480814</v>
      </c>
      <c r="I116" s="55">
        <f>_xlfn.XLOOKUP($A116,'Data 2024'!$A:$A,'Data 2024'!K:K)/_xlfn.XLOOKUP($B116,'Category Averages'!$A$2:$A$4,'Category Averages'!D$2:D$4)</f>
        <v>1.1021539259461526</v>
      </c>
      <c r="J116" s="63">
        <f>_xlfn.XLOOKUP($A116,'Data 2024'!$A:$A,'Data 2024'!P:P)/_xlfn.XLOOKUP($B116,'Category Averages'!$A$2:$A$4,'Category Averages'!E$2:E$4)</f>
        <v>0.76446168622657107</v>
      </c>
      <c r="K116" s="63">
        <f>_xlfn.XLOOKUP($A116,'Data 2024'!$A:$A,'Data 2024'!Q:Q)/_xlfn.XLOOKUP($B116,'Category Averages'!$A$2:$A$4,'Category Averages'!F$2:F$4)</f>
        <v>0.13207862775528145</v>
      </c>
    </row>
    <row r="117" spans="1:11" ht="18" customHeight="1">
      <c r="A117" s="56">
        <v>3791500</v>
      </c>
      <c r="B117" s="54" t="str">
        <f>_xlfn.XLOOKUP(A117,'Data 2024'!A:A,'Data 2024'!D:D)</f>
        <v>Region 12</v>
      </c>
      <c r="C117" s="58" t="s">
        <v>989</v>
      </c>
      <c r="D117" s="58" t="s">
        <v>830</v>
      </c>
      <c r="E117" s="58" t="s">
        <v>951</v>
      </c>
      <c r="F117" s="58" t="s">
        <v>985</v>
      </c>
      <c r="G117" s="55">
        <f>_xlfn.XLOOKUP($A117,'Data 2024'!$A:$A,'Data 2024'!I:I)/_xlfn.XLOOKUP($B117,'Category Averages'!$A$2:$A$4,'Category Averages'!$B$2:$B$4)</f>
        <v>0.58083688975752779</v>
      </c>
      <c r="H117" s="55" t="e">
        <f>_xlfn.XLOOKUP($A117,'Data 2024'!$A:$A,'Data 2024'!J:J)/_xlfn.XLOOKUP($B117,'Category Averages'!$A$2:$A$4,'Category Averages'!C$2:C$4)</f>
        <v>#DIV/0!</v>
      </c>
      <c r="I117" s="55">
        <f>_xlfn.XLOOKUP($A117,'Data 2024'!$A:$A,'Data 2024'!K:K)/_xlfn.XLOOKUP($B117,'Category Averages'!$A$2:$A$4,'Category Averages'!D$2:D$4)</f>
        <v>0</v>
      </c>
      <c r="J117" s="63">
        <f>_xlfn.XLOOKUP($A117,'Data 2024'!$A:$A,'Data 2024'!P:P)/_xlfn.XLOOKUP($B117,'Category Averages'!$A$2:$A$4,'Category Averages'!E$2:E$4)</f>
        <v>0</v>
      </c>
      <c r="K117" s="63">
        <f>_xlfn.XLOOKUP($A117,'Data 2024'!$A:$A,'Data 2024'!Q:Q)/_xlfn.XLOOKUP($B117,'Category Averages'!$A$2:$A$4,'Category Averages'!F$2:F$4)</f>
        <v>0.11254664834147306</v>
      </c>
    </row>
    <row r="118" spans="1:11" ht="18" customHeight="1">
      <c r="A118" s="56">
        <v>3792200</v>
      </c>
      <c r="B118" s="54" t="str">
        <f>_xlfn.XLOOKUP(A118,'Data 2024'!A:A,'Data 2024'!D:D)</f>
        <v>Region 1</v>
      </c>
      <c r="C118" s="58" t="s">
        <v>990</v>
      </c>
      <c r="D118" s="58" t="s">
        <v>830</v>
      </c>
      <c r="E118" s="58" t="s">
        <v>951</v>
      </c>
      <c r="F118" s="58" t="s">
        <v>991</v>
      </c>
      <c r="G118" s="55">
        <f>_xlfn.XLOOKUP($A118,'Data 2024'!$A:$A,'Data 2024'!I:I)/_xlfn.XLOOKUP($B118,'Category Averages'!$A$2:$A$4,'Category Averages'!$B$2:$B$4)</f>
        <v>1.0537830433346027</v>
      </c>
      <c r="H118" s="55">
        <f>_xlfn.XLOOKUP($A118,'Data 2024'!$A:$A,'Data 2024'!J:J)/_xlfn.XLOOKUP($B118,'Category Averages'!$A$2:$A$4,'Category Averages'!C$2:C$4)</f>
        <v>0.63969425076726849</v>
      </c>
      <c r="I118" s="55">
        <f>_xlfn.XLOOKUP($A118,'Data 2024'!$A:$A,'Data 2024'!K:K)/_xlfn.XLOOKUP($B118,'Category Averages'!$A$2:$A$4,'Category Averages'!D$2:D$4)</f>
        <v>0.70080053247034502</v>
      </c>
      <c r="J118" s="63">
        <f>_xlfn.XLOOKUP($A118,'Data 2024'!$A:$A,'Data 2024'!P:P)/_xlfn.XLOOKUP($B118,'Category Averages'!$A$2:$A$4,'Category Averages'!E$2:E$4)</f>
        <v>1.9648941011358882</v>
      </c>
      <c r="K118" s="63">
        <f>_xlfn.XLOOKUP($A118,'Data 2024'!$A:$A,'Data 2024'!Q:Q)/_xlfn.XLOOKUP($B118,'Category Averages'!$A$2:$A$4,'Category Averages'!F$2:F$4)</f>
        <v>1.1258804570455112</v>
      </c>
    </row>
    <row r="119" spans="1:11" ht="18" customHeight="1">
      <c r="A119" s="56">
        <v>3795200</v>
      </c>
      <c r="B119" s="54" t="str">
        <f>_xlfn.XLOOKUP(A119,'Data 2024'!A:A,'Data 2024'!D:D)</f>
        <v>Region 12</v>
      </c>
      <c r="C119" s="58" t="s">
        <v>992</v>
      </c>
      <c r="D119" s="58" t="s">
        <v>830</v>
      </c>
      <c r="E119" s="58" t="s">
        <v>951</v>
      </c>
      <c r="F119" s="58" t="s">
        <v>960</v>
      </c>
      <c r="G119" s="55">
        <f>_xlfn.XLOOKUP($A119,'Data 2024'!$A:$A,'Data 2024'!I:I)/_xlfn.XLOOKUP($B119,'Category Averages'!$A$2:$A$4,'Category Averages'!$B$2:$B$4)</f>
        <v>0.65453059670952951</v>
      </c>
      <c r="H119" s="55" t="e">
        <f>_xlfn.XLOOKUP($A119,'Data 2024'!$A:$A,'Data 2024'!J:J)/_xlfn.XLOOKUP($B119,'Category Averages'!$A$2:$A$4,'Category Averages'!C$2:C$4)</f>
        <v>#DIV/0!</v>
      </c>
      <c r="I119" s="55">
        <f>_xlfn.XLOOKUP($A119,'Data 2024'!$A:$A,'Data 2024'!K:K)/_xlfn.XLOOKUP($B119,'Category Averages'!$A$2:$A$4,'Category Averages'!D$2:D$4)</f>
        <v>1.5408975601824786</v>
      </c>
      <c r="J119" s="63">
        <f>_xlfn.XLOOKUP($A119,'Data 2024'!$A:$A,'Data 2024'!P:P)/_xlfn.XLOOKUP($B119,'Category Averages'!$A$2:$A$4,'Category Averages'!E$2:E$4)</f>
        <v>0.80434007518290396</v>
      </c>
      <c r="K119" s="63">
        <f>_xlfn.XLOOKUP($A119,'Data 2024'!$A:$A,'Data 2024'!Q:Q)/_xlfn.XLOOKUP($B119,'Category Averages'!$A$2:$A$4,'Category Averages'!F$2:F$4)</f>
        <v>0.85018295790038623</v>
      </c>
    </row>
    <row r="120" spans="1:11" ht="18" customHeight="1">
      <c r="A120" s="54">
        <v>3801800</v>
      </c>
      <c r="B120" s="54" t="str">
        <f>_xlfn.XLOOKUP(A120,'Data 2024'!A:A,'Data 2024'!D:D)</f>
        <v>Region 2</v>
      </c>
      <c r="C120" s="57" t="s">
        <v>993</v>
      </c>
      <c r="D120" s="57" t="s">
        <v>830</v>
      </c>
      <c r="E120" s="57" t="s">
        <v>951</v>
      </c>
      <c r="F120" s="57" t="s">
        <v>983</v>
      </c>
      <c r="G120" s="55">
        <f>_xlfn.XLOOKUP($A120,'Data 2024'!$A:$A,'Data 2024'!I:I)/_xlfn.XLOOKUP($B120,'Category Averages'!$A$2:$A$4,'Category Averages'!$B$2:$B$4)</f>
        <v>1.0326144159752426</v>
      </c>
      <c r="H120" s="55">
        <f>_xlfn.XLOOKUP($A120,'Data 2024'!$A:$A,'Data 2024'!J:J)/_xlfn.XLOOKUP($B120,'Category Averages'!$A$2:$A$4,'Category Averages'!C$2:C$4)</f>
        <v>0.91802199931160622</v>
      </c>
      <c r="I120" s="55">
        <f>_xlfn.XLOOKUP($A120,'Data 2024'!$A:$A,'Data 2024'!K:K)/_xlfn.XLOOKUP($B120,'Category Averages'!$A$2:$A$4,'Category Averages'!D$2:D$4)</f>
        <v>0.8568553158865746</v>
      </c>
      <c r="J120" s="63">
        <f>_xlfn.XLOOKUP($A120,'Data 2024'!$A:$A,'Data 2024'!P:P)/_xlfn.XLOOKUP($B120,'Category Averages'!$A$2:$A$4,'Category Averages'!E$2:E$4)</f>
        <v>0.68309949237001932</v>
      </c>
      <c r="K120" s="63">
        <f>_xlfn.XLOOKUP($A120,'Data 2024'!$A:$A,'Data 2024'!Q:Q)/_xlfn.XLOOKUP($B120,'Category Averages'!$A$2:$A$4,'Category Averages'!F$2:F$4)</f>
        <v>0.29567018990805916</v>
      </c>
    </row>
    <row r="121" spans="1:11" ht="18" customHeight="1">
      <c r="A121" s="56">
        <v>3805100</v>
      </c>
      <c r="B121" s="54" t="str">
        <f>_xlfn.XLOOKUP(A121,'Data 2024'!A:A,'Data 2024'!D:D)</f>
        <v>Region 1</v>
      </c>
      <c r="C121" s="58" t="s">
        <v>994</v>
      </c>
      <c r="D121" s="58" t="s">
        <v>830</v>
      </c>
      <c r="E121" s="58" t="s">
        <v>951</v>
      </c>
      <c r="F121" s="58" t="s">
        <v>991</v>
      </c>
      <c r="G121" s="55">
        <f>_xlfn.XLOOKUP($A121,'Data 2024'!$A:$A,'Data 2024'!I:I)/_xlfn.XLOOKUP($B121,'Category Averages'!$A$2:$A$4,'Category Averages'!$B$2:$B$4)</f>
        <v>2.565431172865662</v>
      </c>
      <c r="H121" s="55">
        <f>_xlfn.XLOOKUP($A121,'Data 2024'!$A:$A,'Data 2024'!J:J)/_xlfn.XLOOKUP($B121,'Category Averages'!$A$2:$A$4,'Category Averages'!C$2:C$4)</f>
        <v>0</v>
      </c>
      <c r="I121" s="55">
        <f>_xlfn.XLOOKUP($A121,'Data 2024'!$A:$A,'Data 2024'!K:K)/_xlfn.XLOOKUP($B121,'Category Averages'!$A$2:$A$4,'Category Averages'!D$2:D$4)</f>
        <v>1.3701684362022144</v>
      </c>
      <c r="J121" s="63">
        <f>_xlfn.XLOOKUP($A121,'Data 2024'!$A:$A,'Data 2024'!P:P)/_xlfn.XLOOKUP($B121,'Category Averages'!$A$2:$A$4,'Category Averages'!E$2:E$4)</f>
        <v>2.0618898212085215</v>
      </c>
      <c r="K121" s="63">
        <f>_xlfn.XLOOKUP($A121,'Data 2024'!$A:$A,'Data 2024'!Q:Q)/_xlfn.XLOOKUP($B121,'Category Averages'!$A$2:$A$4,'Category Averages'!F$2:F$4)</f>
        <v>2.11356334420321</v>
      </c>
    </row>
    <row r="122" spans="1:11" ht="18" customHeight="1">
      <c r="A122" s="56">
        <v>3877400</v>
      </c>
      <c r="B122" s="54" t="str">
        <f>_xlfn.XLOOKUP(A122,'Data 2024'!A:A,'Data 2024'!D:D)</f>
        <v>Region 1</v>
      </c>
      <c r="C122" s="58" t="s">
        <v>995</v>
      </c>
      <c r="D122" s="58" t="s">
        <v>830</v>
      </c>
      <c r="E122" s="58" t="s">
        <v>996</v>
      </c>
      <c r="F122" s="58" t="s">
        <v>997</v>
      </c>
      <c r="G122" s="55">
        <f>_xlfn.XLOOKUP($A122,'Data 2024'!$A:$A,'Data 2024'!I:I)/_xlfn.XLOOKUP($B122,'Category Averages'!$A$2:$A$4,'Category Averages'!$B$2:$B$4)</f>
        <v>2.1768627411235486</v>
      </c>
      <c r="H122" s="55">
        <f>_xlfn.XLOOKUP($A122,'Data 2024'!$A:$A,'Data 2024'!J:J)/_xlfn.XLOOKUP($B122,'Category Averages'!$A$2:$A$4,'Category Averages'!C$2:C$4)</f>
        <v>0</v>
      </c>
      <c r="I122" s="55">
        <f>_xlfn.XLOOKUP($A122,'Data 2024'!$A:$A,'Data 2024'!K:K)/_xlfn.XLOOKUP($B122,'Category Averages'!$A$2:$A$4,'Category Averages'!D$2:D$4)</f>
        <v>1.3265910052450756</v>
      </c>
      <c r="J122" s="63">
        <f>_xlfn.XLOOKUP($A122,'Data 2024'!$A:$A,'Data 2024'!P:P)/_xlfn.XLOOKUP($B122,'Category Averages'!$A$2:$A$4,'Category Averages'!E$2:E$4)</f>
        <v>0.82229594882195822</v>
      </c>
      <c r="K122" s="63">
        <f>_xlfn.XLOOKUP($A122,'Data 2024'!$A:$A,'Data 2024'!Q:Q)/_xlfn.XLOOKUP($B122,'Category Averages'!$A$2:$A$4,'Category Averages'!F$2:F$4)</f>
        <v>0.63724884403533055</v>
      </c>
    </row>
    <row r="123" spans="1:11" ht="18" customHeight="1">
      <c r="A123" s="56">
        <v>3878500</v>
      </c>
      <c r="B123" s="54" t="str">
        <f>_xlfn.XLOOKUP(A123,'Data 2024'!A:A,'Data 2024'!D:D)</f>
        <v>Region 2</v>
      </c>
      <c r="C123" s="58" t="s">
        <v>998</v>
      </c>
      <c r="D123" s="58" t="s">
        <v>830</v>
      </c>
      <c r="E123" s="58" t="s">
        <v>996</v>
      </c>
      <c r="F123" s="58" t="s">
        <v>999</v>
      </c>
      <c r="G123" s="55">
        <f>_xlfn.XLOOKUP($A123,'Data 2024'!$A:$A,'Data 2024'!I:I)/_xlfn.XLOOKUP($B123,'Category Averages'!$A$2:$A$4,'Category Averages'!$B$2:$B$4)</f>
        <v>1.7176926451688777</v>
      </c>
      <c r="H123" s="55">
        <f>_xlfn.XLOOKUP($A123,'Data 2024'!$A:$A,'Data 2024'!J:J)/_xlfn.XLOOKUP($B123,'Category Averages'!$A$2:$A$4,'Category Averages'!C$2:C$4)</f>
        <v>1.6542304845402653</v>
      </c>
      <c r="I123" s="55">
        <f>_xlfn.XLOOKUP($A123,'Data 2024'!$A:$A,'Data 2024'!K:K)/_xlfn.XLOOKUP($B123,'Category Averages'!$A$2:$A$4,'Category Averages'!D$2:D$4)</f>
        <v>1.5329473704701473</v>
      </c>
      <c r="J123" s="63">
        <f>_xlfn.XLOOKUP($A123,'Data 2024'!$A:$A,'Data 2024'!P:P)/_xlfn.XLOOKUP($B123,'Category Averages'!$A$2:$A$4,'Category Averages'!E$2:E$4)</f>
        <v>0.72616556172273106</v>
      </c>
      <c r="K123" s="63">
        <f>_xlfn.XLOOKUP($A123,'Data 2024'!$A:$A,'Data 2024'!Q:Q)/_xlfn.XLOOKUP($B123,'Category Averages'!$A$2:$A$4,'Category Averages'!F$2:F$4)</f>
        <v>0.25914435499931321</v>
      </c>
    </row>
    <row r="124" spans="1:11" ht="18" customHeight="1">
      <c r="A124" s="56">
        <v>3880700</v>
      </c>
      <c r="B124" s="54" t="str">
        <f>_xlfn.XLOOKUP(A124,'Data 2024'!A:A,'Data 2024'!D:D)</f>
        <v>Region 2</v>
      </c>
      <c r="C124" s="58" t="s">
        <v>1000</v>
      </c>
      <c r="D124" s="58" t="s">
        <v>830</v>
      </c>
      <c r="E124" s="58" t="s">
        <v>831</v>
      </c>
      <c r="F124" s="58" t="s">
        <v>946</v>
      </c>
      <c r="G124" s="55">
        <f>_xlfn.XLOOKUP($A124,'Data 2024'!$A:$A,'Data 2024'!I:I)/_xlfn.XLOOKUP($B124,'Category Averages'!$A$2:$A$4,'Category Averages'!$B$2:$B$4)</f>
        <v>1.0974572895185115</v>
      </c>
      <c r="H124" s="55">
        <f>_xlfn.XLOOKUP($A124,'Data 2024'!$A:$A,'Data 2024'!J:J)/_xlfn.XLOOKUP($B124,'Category Averages'!$A$2:$A$4,'Category Averages'!C$2:C$4)</f>
        <v>0.51502260629240948</v>
      </c>
      <c r="I124" s="55">
        <f>_xlfn.XLOOKUP($A124,'Data 2024'!$A:$A,'Data 2024'!K:K)/_xlfn.XLOOKUP($B124,'Category Averages'!$A$2:$A$4,'Category Averages'!D$2:D$4)</f>
        <v>1.2146733410442647</v>
      </c>
      <c r="J124" s="63">
        <f>_xlfn.XLOOKUP($A124,'Data 2024'!$A:$A,'Data 2024'!P:P)/_xlfn.XLOOKUP($B124,'Category Averages'!$A$2:$A$4,'Category Averages'!E$2:E$4)</f>
        <v>0.51631542622457482</v>
      </c>
      <c r="K124" s="63">
        <f>_xlfn.XLOOKUP($A124,'Data 2024'!$A:$A,'Data 2024'!Q:Q)/_xlfn.XLOOKUP($B124,'Category Averages'!$A$2:$A$4,'Category Averages'!F$2:F$4)</f>
        <v>0.51425138591999686</v>
      </c>
    </row>
    <row r="125" spans="1:11" ht="18" customHeight="1">
      <c r="A125" s="56">
        <v>3882900</v>
      </c>
      <c r="B125" s="54" t="str">
        <f>_xlfn.XLOOKUP(A125,'Data 2024'!A:A,'Data 2024'!D:D)</f>
        <v>Region 2</v>
      </c>
      <c r="C125" s="58" t="s">
        <v>1001</v>
      </c>
      <c r="D125" s="58" t="s">
        <v>830</v>
      </c>
      <c r="E125" s="58" t="s">
        <v>831</v>
      </c>
      <c r="F125" s="58" t="s">
        <v>1002</v>
      </c>
      <c r="G125" s="55">
        <f>_xlfn.XLOOKUP($A125,'Data 2024'!$A:$A,'Data 2024'!I:I)/_xlfn.XLOOKUP($B125,'Category Averages'!$A$2:$A$4,'Category Averages'!$B$2:$B$4)</f>
        <v>1.1481844859144599</v>
      </c>
      <c r="H125" s="55">
        <f>_xlfn.XLOOKUP($A125,'Data 2024'!$A:$A,'Data 2024'!J:J)/_xlfn.XLOOKUP($B125,'Category Averages'!$A$2:$A$4,'Category Averages'!C$2:C$4)</f>
        <v>1.0508942019801608</v>
      </c>
      <c r="I125" s="55">
        <f>_xlfn.XLOOKUP($A125,'Data 2024'!$A:$A,'Data 2024'!K:K)/_xlfn.XLOOKUP($B125,'Category Averages'!$A$2:$A$4,'Category Averages'!D$2:D$4)</f>
        <v>1.462578667246198</v>
      </c>
      <c r="J125" s="63">
        <f>_xlfn.XLOOKUP($A125,'Data 2024'!$A:$A,'Data 2024'!P:P)/_xlfn.XLOOKUP($B125,'Category Averages'!$A$2:$A$4,'Category Averages'!E$2:E$4)</f>
        <v>0.63735550858620027</v>
      </c>
      <c r="K125" s="63">
        <f>_xlfn.XLOOKUP($A125,'Data 2024'!$A:$A,'Data 2024'!Q:Q)/_xlfn.XLOOKUP($B125,'Category Averages'!$A$2:$A$4,'Category Averages'!F$2:F$4)</f>
        <v>0.3923051284996984</v>
      </c>
    </row>
    <row r="126" spans="1:11" ht="18" customHeight="1">
      <c r="A126" s="56">
        <v>3887000</v>
      </c>
      <c r="B126" s="54" t="str">
        <f>_xlfn.XLOOKUP(A126,'Data 2024'!A:A,'Data 2024'!D:D)</f>
        <v>Region 12</v>
      </c>
      <c r="C126" s="58" t="s">
        <v>1003</v>
      </c>
      <c r="D126" s="58" t="s">
        <v>830</v>
      </c>
      <c r="E126" s="58" t="s">
        <v>996</v>
      </c>
      <c r="F126" s="58" t="s">
        <v>999</v>
      </c>
      <c r="G126" s="55">
        <f>_xlfn.XLOOKUP($A126,'Data 2024'!$A:$A,'Data 2024'!I:I)/_xlfn.XLOOKUP($B126,'Category Averages'!$A$2:$A$4,'Category Averages'!$B$2:$B$4)</f>
        <v>1.2173364908069066</v>
      </c>
      <c r="H126" s="55" t="e">
        <f>_xlfn.XLOOKUP($A126,'Data 2024'!$A:$A,'Data 2024'!J:J)/_xlfn.XLOOKUP($B126,'Category Averages'!$A$2:$A$4,'Category Averages'!C$2:C$4)</f>
        <v>#DIV/0!</v>
      </c>
      <c r="I126" s="55">
        <f>_xlfn.XLOOKUP($A126,'Data 2024'!$A:$A,'Data 2024'!K:K)/_xlfn.XLOOKUP($B126,'Category Averages'!$A$2:$A$4,'Category Averages'!D$2:D$4)</f>
        <v>1.8365782554587762</v>
      </c>
      <c r="J126" s="63">
        <f>_xlfn.XLOOKUP($A126,'Data 2024'!$A:$A,'Data 2024'!P:P)/_xlfn.XLOOKUP($B126,'Category Averages'!$A$2:$A$4,'Category Averages'!E$2:E$4)</f>
        <v>0.38355858977303503</v>
      </c>
      <c r="K126" s="63">
        <f>_xlfn.XLOOKUP($A126,'Data 2024'!$A:$A,'Data 2024'!Q:Q)/_xlfn.XLOOKUP($B126,'Category Averages'!$A$2:$A$4,'Category Averages'!F$2:F$4)</f>
        <v>0.20692506825703066</v>
      </c>
    </row>
    <row r="127" spans="1:11" ht="18" customHeight="1">
      <c r="A127" s="56">
        <v>3892500</v>
      </c>
      <c r="B127" s="54" t="str">
        <f>_xlfn.XLOOKUP(A127,'Data 2024'!A:A,'Data 2024'!D:D)</f>
        <v>Region 1</v>
      </c>
      <c r="C127" s="58" t="s">
        <v>1004</v>
      </c>
      <c r="D127" s="58" t="s">
        <v>830</v>
      </c>
      <c r="E127" s="58" t="s">
        <v>996</v>
      </c>
      <c r="F127" s="58" t="s">
        <v>1005</v>
      </c>
      <c r="G127" s="55">
        <f>_xlfn.XLOOKUP($A127,'Data 2024'!$A:$A,'Data 2024'!I:I)/_xlfn.XLOOKUP($B127,'Category Averages'!$A$2:$A$4,'Category Averages'!$B$2:$B$4)</f>
        <v>1.6373111285877766</v>
      </c>
      <c r="H127" s="55">
        <f>_xlfn.XLOOKUP($A127,'Data 2024'!$A:$A,'Data 2024'!J:J)/_xlfn.XLOOKUP($B127,'Category Averages'!$A$2:$A$4,'Category Averages'!C$2:C$4)</f>
        <v>3.3031898839212062</v>
      </c>
      <c r="I127" s="55">
        <f>_xlfn.XLOOKUP($A127,'Data 2024'!$A:$A,'Data 2024'!K:K)/_xlfn.XLOOKUP($B127,'Category Averages'!$A$2:$A$4,'Category Averages'!D$2:D$4)</f>
        <v>1.5721608208540963</v>
      </c>
      <c r="J127" s="63">
        <f>_xlfn.XLOOKUP($A127,'Data 2024'!$A:$A,'Data 2024'!P:P)/_xlfn.XLOOKUP($B127,'Category Averages'!$A$2:$A$4,'Category Averages'!E$2:E$4)</f>
        <v>0.67912796278177434</v>
      </c>
      <c r="K127" s="63">
        <f>_xlfn.XLOOKUP($A127,'Data 2024'!$A:$A,'Data 2024'!Q:Q)/_xlfn.XLOOKUP($B127,'Category Averages'!$A$2:$A$4,'Category Averages'!F$2:F$4)</f>
        <v>0.12295885294963756</v>
      </c>
    </row>
    <row r="128" spans="1:11" ht="18" customHeight="1">
      <c r="A128" s="56">
        <v>3894700</v>
      </c>
      <c r="B128" s="54" t="str">
        <f>_xlfn.XLOOKUP(A128,'Data 2024'!A:A,'Data 2024'!D:D)</f>
        <v>Region 12</v>
      </c>
      <c r="C128" s="58" t="s">
        <v>1006</v>
      </c>
      <c r="D128" s="58" t="s">
        <v>830</v>
      </c>
      <c r="E128" s="58" t="s">
        <v>951</v>
      </c>
      <c r="F128" s="58" t="s">
        <v>983</v>
      </c>
      <c r="G128" s="55">
        <f>_xlfn.XLOOKUP($A128,'Data 2024'!$A:$A,'Data 2024'!I:I)/_xlfn.XLOOKUP($B128,'Category Averages'!$A$2:$A$4,'Category Averages'!$B$2:$B$4)</f>
        <v>0.64036989628908469</v>
      </c>
      <c r="H128" s="55" t="e">
        <f>_xlfn.XLOOKUP($A128,'Data 2024'!$A:$A,'Data 2024'!J:J)/_xlfn.XLOOKUP($B128,'Category Averages'!$A$2:$A$4,'Category Averages'!C$2:C$4)</f>
        <v>#DIV/0!</v>
      </c>
      <c r="I128" s="55">
        <f>_xlfn.XLOOKUP($A128,'Data 2024'!$A:$A,'Data 2024'!K:K)/_xlfn.XLOOKUP($B128,'Category Averages'!$A$2:$A$4,'Category Averages'!D$2:D$4)</f>
        <v>0</v>
      </c>
      <c r="J128" s="63">
        <f>_xlfn.XLOOKUP($A128,'Data 2024'!$A:$A,'Data 2024'!P:P)/_xlfn.XLOOKUP($B128,'Category Averages'!$A$2:$A$4,'Category Averages'!E$2:E$4)</f>
        <v>0</v>
      </c>
      <c r="K128" s="63">
        <f>_xlfn.XLOOKUP($A128,'Data 2024'!$A:$A,'Data 2024'!Q:Q)/_xlfn.XLOOKUP($B128,'Category Averages'!$A$2:$A$4,'Category Averages'!F$2:F$4)</f>
        <v>0.29028886270508397</v>
      </c>
    </row>
    <row r="129" spans="1:11" ht="18" customHeight="1">
      <c r="A129" s="56">
        <v>3898800</v>
      </c>
      <c r="B129" s="54" t="str">
        <f>_xlfn.XLOOKUP(A129,'Data 2024'!A:A,'Data 2024'!D:D)</f>
        <v>Region 12</v>
      </c>
      <c r="C129" s="58" t="s">
        <v>1007</v>
      </c>
      <c r="D129" s="58" t="s">
        <v>830</v>
      </c>
      <c r="E129" s="58" t="s">
        <v>996</v>
      </c>
      <c r="F129" s="58" t="s">
        <v>1005</v>
      </c>
      <c r="G129" s="55">
        <f>_xlfn.XLOOKUP($A129,'Data 2024'!$A:$A,'Data 2024'!I:I)/_xlfn.XLOOKUP($B129,'Category Averages'!$A$2:$A$4,'Category Averages'!$B$2:$B$4)</f>
        <v>0.54538270907029407</v>
      </c>
      <c r="H129" s="55" t="e">
        <f>_xlfn.XLOOKUP($A129,'Data 2024'!$A:$A,'Data 2024'!J:J)/_xlfn.XLOOKUP($B129,'Category Averages'!$A$2:$A$4,'Category Averages'!C$2:C$4)</f>
        <v>#DIV/0!</v>
      </c>
      <c r="I129" s="55">
        <f>_xlfn.XLOOKUP($A129,'Data 2024'!$A:$A,'Data 2024'!K:K)/_xlfn.XLOOKUP($B129,'Category Averages'!$A$2:$A$4,'Category Averages'!D$2:D$4)</f>
        <v>0</v>
      </c>
      <c r="J129" s="63">
        <f>_xlfn.XLOOKUP($A129,'Data 2024'!$A:$A,'Data 2024'!P:P)/_xlfn.XLOOKUP($B129,'Category Averages'!$A$2:$A$4,'Category Averages'!E$2:E$4)</f>
        <v>0</v>
      </c>
      <c r="K129" s="63">
        <f>_xlfn.XLOOKUP($A129,'Data 2024'!$A:$A,'Data 2024'!Q:Q)/_xlfn.XLOOKUP($B129,'Category Averages'!$A$2:$A$4,'Category Averages'!F$2:F$4)</f>
        <v>0.37013713915244345</v>
      </c>
    </row>
    <row r="130" spans="1:11" ht="18" customHeight="1">
      <c r="A130" s="56">
        <v>3899900</v>
      </c>
      <c r="B130" s="54" t="str">
        <f>_xlfn.XLOOKUP(A130,'Data 2024'!A:A,'Data 2024'!D:D)</f>
        <v>Region 2</v>
      </c>
      <c r="C130" s="58" t="s">
        <v>1008</v>
      </c>
      <c r="D130" s="58" t="s">
        <v>830</v>
      </c>
      <c r="E130" s="58" t="s">
        <v>996</v>
      </c>
      <c r="F130" s="58" t="s">
        <v>997</v>
      </c>
      <c r="G130" s="55">
        <f>_xlfn.XLOOKUP($A130,'Data 2024'!$A:$A,'Data 2024'!I:I)/_xlfn.XLOOKUP($B130,'Category Averages'!$A$2:$A$4,'Category Averages'!$B$2:$B$4)</f>
        <v>1.239982263270633</v>
      </c>
      <c r="H130" s="55">
        <f>_xlfn.XLOOKUP($A130,'Data 2024'!$A:$A,'Data 2024'!J:J)/_xlfn.XLOOKUP($B130,'Category Averages'!$A$2:$A$4,'Category Averages'!C$2:C$4)</f>
        <v>0.97153330816656869</v>
      </c>
      <c r="I130" s="55">
        <f>_xlfn.XLOOKUP($A130,'Data 2024'!$A:$A,'Data 2024'!K:K)/_xlfn.XLOOKUP($B130,'Category Averages'!$A$2:$A$4,'Category Averages'!D$2:D$4)</f>
        <v>0.68008281282915517</v>
      </c>
      <c r="J130" s="63">
        <f>_xlfn.XLOOKUP($A130,'Data 2024'!$A:$A,'Data 2024'!P:P)/_xlfn.XLOOKUP($B130,'Category Averages'!$A$2:$A$4,'Category Averages'!E$2:E$4)</f>
        <v>1.3423491666822827</v>
      </c>
      <c r="K130" s="63">
        <f>_xlfn.XLOOKUP($A130,'Data 2024'!$A:$A,'Data 2024'!Q:Q)/_xlfn.XLOOKUP($B130,'Category Averages'!$A$2:$A$4,'Category Averages'!F$2:F$4)</f>
        <v>0.65451794842561517</v>
      </c>
    </row>
    <row r="131" spans="1:11" ht="18" customHeight="1">
      <c r="A131" s="56">
        <v>3903200</v>
      </c>
      <c r="B131" s="54" t="str">
        <f>_xlfn.XLOOKUP(A131,'Data 2024'!A:A,'Data 2024'!D:D)</f>
        <v>Region 12</v>
      </c>
      <c r="C131" s="58" t="s">
        <v>1009</v>
      </c>
      <c r="D131" s="58" t="s">
        <v>830</v>
      </c>
      <c r="E131" s="58" t="s">
        <v>831</v>
      </c>
      <c r="F131" s="58" t="s">
        <v>1010</v>
      </c>
      <c r="G131" s="55">
        <f>_xlfn.XLOOKUP($A131,'Data 2024'!$A:$A,'Data 2024'!I:I)/_xlfn.XLOOKUP($B131,'Category Averages'!$A$2:$A$4,'Category Averages'!$B$2:$B$4)</f>
        <v>1.058693057145226</v>
      </c>
      <c r="H131" s="55" t="e">
        <f>_xlfn.XLOOKUP($A131,'Data 2024'!$A:$A,'Data 2024'!J:J)/_xlfn.XLOOKUP($B131,'Category Averages'!$A$2:$A$4,'Category Averages'!C$2:C$4)</f>
        <v>#DIV/0!</v>
      </c>
      <c r="I131" s="55">
        <f>_xlfn.XLOOKUP($A131,'Data 2024'!$A:$A,'Data 2024'!K:K)/_xlfn.XLOOKUP($B131,'Category Averages'!$A$2:$A$4,'Category Averages'!D$2:D$4)</f>
        <v>1.8592975805337257</v>
      </c>
      <c r="J131" s="63">
        <f>_xlfn.XLOOKUP($A131,'Data 2024'!$A:$A,'Data 2024'!P:P)/_xlfn.XLOOKUP($B131,'Category Averages'!$A$2:$A$4,'Category Averages'!E$2:E$4)</f>
        <v>0.83398007164853805</v>
      </c>
      <c r="K131" s="63">
        <f>_xlfn.XLOOKUP($A131,'Data 2024'!$A:$A,'Data 2024'!Q:Q)/_xlfn.XLOOKUP($B131,'Category Averages'!$A$2:$A$4,'Category Averages'!F$2:F$4)</f>
        <v>1.3807826491220543</v>
      </c>
    </row>
    <row r="132" spans="1:11" ht="18" customHeight="1">
      <c r="A132" s="56">
        <v>3904300</v>
      </c>
      <c r="B132" s="54" t="str">
        <f>_xlfn.XLOOKUP(A132,'Data 2024'!A:A,'Data 2024'!D:D)</f>
        <v>Region 1</v>
      </c>
      <c r="C132" s="58" t="s">
        <v>1011</v>
      </c>
      <c r="D132" s="58" t="s">
        <v>830</v>
      </c>
      <c r="E132" s="58" t="s">
        <v>831</v>
      </c>
      <c r="F132" s="58" t="s">
        <v>1010</v>
      </c>
      <c r="G132" s="55">
        <f>_xlfn.XLOOKUP($A132,'Data 2024'!$A:$A,'Data 2024'!I:I)/_xlfn.XLOOKUP($B132,'Category Averages'!$A$2:$A$4,'Category Averages'!$B$2:$B$4)</f>
        <v>1.2870739034938514</v>
      </c>
      <c r="H132" s="55">
        <f>_xlfn.XLOOKUP($A132,'Data 2024'!$A:$A,'Data 2024'!J:J)/_xlfn.XLOOKUP($B132,'Category Averages'!$A$2:$A$4,'Category Averages'!C$2:C$4)</f>
        <v>2.2822754336032851</v>
      </c>
      <c r="I132" s="55">
        <f>_xlfn.XLOOKUP($A132,'Data 2024'!$A:$A,'Data 2024'!K:K)/_xlfn.XLOOKUP($B132,'Category Averages'!$A$2:$A$4,'Category Averages'!D$2:D$4)</f>
        <v>1.2362619036317688</v>
      </c>
      <c r="J132" s="63">
        <f>_xlfn.XLOOKUP($A132,'Data 2024'!$A:$A,'Data 2024'!P:P)/_xlfn.XLOOKUP($B132,'Category Averages'!$A$2:$A$4,'Category Averages'!E$2:E$4)</f>
        <v>0.7027403124031778</v>
      </c>
      <c r="K132" s="63">
        <f>_xlfn.XLOOKUP($A132,'Data 2024'!$A:$A,'Data 2024'!Q:Q)/_xlfn.XLOOKUP($B132,'Category Averages'!$A$2:$A$4,'Category Averages'!F$2:F$4)</f>
        <v>0.29903890157348378</v>
      </c>
    </row>
    <row r="133" spans="1:11" ht="18" customHeight="1">
      <c r="A133" s="56">
        <v>3907300</v>
      </c>
      <c r="B133" s="54" t="str">
        <f>_xlfn.XLOOKUP(A133,'Data 2024'!A:A,'Data 2024'!D:D)</f>
        <v>Region 1</v>
      </c>
      <c r="C133" s="58" t="s">
        <v>1012</v>
      </c>
      <c r="D133" s="58" t="s">
        <v>830</v>
      </c>
      <c r="E133" s="58" t="s">
        <v>996</v>
      </c>
      <c r="F133" s="58" t="s">
        <v>1013</v>
      </c>
      <c r="G133" s="55">
        <f>_xlfn.XLOOKUP($A133,'Data 2024'!$A:$A,'Data 2024'!I:I)/_xlfn.XLOOKUP($B133,'Category Averages'!$A$2:$A$4,'Category Averages'!$B$2:$B$4)</f>
        <v>1.4526362092357765</v>
      </c>
      <c r="H133" s="55">
        <f>_xlfn.XLOOKUP($A133,'Data 2024'!$A:$A,'Data 2024'!J:J)/_xlfn.XLOOKUP($B133,'Category Averages'!$A$2:$A$4,'Category Averages'!C$2:C$4)</f>
        <v>1.2076496494675915</v>
      </c>
      <c r="I133" s="55">
        <f>_xlfn.XLOOKUP($A133,'Data 2024'!$A:$A,'Data 2024'!K:K)/_xlfn.XLOOKUP($B133,'Category Averages'!$A$2:$A$4,'Category Averages'!D$2:D$4)</f>
        <v>1.1495874900619276</v>
      </c>
      <c r="J133" s="63">
        <f>_xlfn.XLOOKUP($A133,'Data 2024'!$A:$A,'Data 2024'!P:P)/_xlfn.XLOOKUP($B133,'Category Averages'!$A$2:$A$4,'Category Averages'!E$2:E$4)</f>
        <v>1.1672238850892493</v>
      </c>
      <c r="K133" s="63">
        <f>_xlfn.XLOOKUP($A133,'Data 2024'!$A:$A,'Data 2024'!Q:Q)/_xlfn.XLOOKUP($B133,'Category Averages'!$A$2:$A$4,'Category Averages'!F$2:F$4)</f>
        <v>0.34086124727010125</v>
      </c>
    </row>
    <row r="134" spans="1:11" ht="18" customHeight="1">
      <c r="A134" s="56">
        <v>3908400</v>
      </c>
      <c r="B134" s="54" t="str">
        <f>_xlfn.XLOOKUP(A134,'Data 2024'!A:A,'Data 2024'!D:D)</f>
        <v>Region 1</v>
      </c>
      <c r="C134" s="58" t="s">
        <v>1014</v>
      </c>
      <c r="D134" s="58" t="s">
        <v>830</v>
      </c>
      <c r="E134" s="58" t="s">
        <v>831</v>
      </c>
      <c r="F134" s="58" t="s">
        <v>1015</v>
      </c>
      <c r="G134" s="55">
        <f>_xlfn.XLOOKUP($A134,'Data 2024'!$A:$A,'Data 2024'!I:I)/_xlfn.XLOOKUP($B134,'Category Averages'!$A$2:$A$4,'Category Averages'!$B$2:$B$4)</f>
        <v>0.93366824398706572</v>
      </c>
      <c r="H134" s="55">
        <f>_xlfn.XLOOKUP($A134,'Data 2024'!$A:$A,'Data 2024'!J:J)/_xlfn.XLOOKUP($B134,'Category Averages'!$A$2:$A$4,'Category Averages'!C$2:C$4)</f>
        <v>0</v>
      </c>
      <c r="I134" s="55">
        <f>_xlfn.XLOOKUP($A134,'Data 2024'!$A:$A,'Data 2024'!K:K)/_xlfn.XLOOKUP($B134,'Category Averages'!$A$2:$A$4,'Category Averages'!D$2:D$4)</f>
        <v>0.96934622391859049</v>
      </c>
      <c r="J134" s="63">
        <f>_xlfn.XLOOKUP($A134,'Data 2024'!$A:$A,'Data 2024'!P:P)/_xlfn.XLOOKUP($B134,'Category Averages'!$A$2:$A$4,'Category Averages'!E$2:E$4)</f>
        <v>0.81442573678808128</v>
      </c>
      <c r="K134" s="63">
        <f>_xlfn.XLOOKUP($A134,'Data 2024'!$A:$A,'Data 2024'!Q:Q)/_xlfn.XLOOKUP($B134,'Category Averages'!$A$2:$A$4,'Category Averages'!F$2:F$4)</f>
        <v>0.66065393499311842</v>
      </c>
    </row>
    <row r="135" spans="1:11" ht="18" customHeight="1">
      <c r="A135" s="54">
        <v>3927600</v>
      </c>
      <c r="B135" s="54" t="str">
        <f>_xlfn.XLOOKUP(A135,'Data 2024'!A:A,'Data 2024'!D:D)</f>
        <v>Region 1</v>
      </c>
      <c r="C135" s="57" t="s">
        <v>1016</v>
      </c>
      <c r="D135" s="57" t="s">
        <v>830</v>
      </c>
      <c r="E135" s="57" t="s">
        <v>996</v>
      </c>
      <c r="F135" s="57" t="s">
        <v>1013</v>
      </c>
      <c r="G135" s="55">
        <f>_xlfn.XLOOKUP($A135,'Data 2024'!$A:$A,'Data 2024'!I:I)/_xlfn.XLOOKUP($B135,'Category Averages'!$A$2:$A$4,'Category Averages'!$B$2:$B$4)</f>
        <v>1.2949504616133918</v>
      </c>
      <c r="H135" s="55">
        <f>_xlfn.XLOOKUP($A135,'Data 2024'!$A:$A,'Data 2024'!J:J)/_xlfn.XLOOKUP($B135,'Category Averages'!$A$2:$A$4,'Category Averages'!C$2:C$4)</f>
        <v>1.3012606036759744</v>
      </c>
      <c r="I135" s="55">
        <f>_xlfn.XLOOKUP($A135,'Data 2024'!$A:$A,'Data 2024'!K:K)/_xlfn.XLOOKUP($B135,'Category Averages'!$A$2:$A$4,'Category Averages'!D$2:D$4)</f>
        <v>0.74909237947926677</v>
      </c>
      <c r="J135" s="63">
        <f>_xlfn.XLOOKUP($A135,'Data 2024'!$A:$A,'Data 2024'!P:P)/_xlfn.XLOOKUP($B135,'Category Averages'!$A$2:$A$4,'Category Averages'!E$2:E$4)</f>
        <v>1.1378178335772102</v>
      </c>
      <c r="K135" s="63">
        <f>_xlfn.XLOOKUP($A135,'Data 2024'!$A:$A,'Data 2024'!Q:Q)/_xlfn.XLOOKUP($B135,'Category Averages'!$A$2:$A$4,'Category Averages'!F$2:F$4)</f>
        <v>1.3369037313845891</v>
      </c>
    </row>
    <row r="136" spans="1:11" ht="18" customHeight="1">
      <c r="A136" s="56">
        <v>3928700</v>
      </c>
      <c r="B136" s="54" t="str">
        <f>_xlfn.XLOOKUP(A136,'Data 2024'!A:A,'Data 2024'!D:D)</f>
        <v>Region 2</v>
      </c>
      <c r="C136" s="58" t="s">
        <v>1017</v>
      </c>
      <c r="D136" s="58" t="s">
        <v>830</v>
      </c>
      <c r="E136" s="58" t="s">
        <v>951</v>
      </c>
      <c r="F136" s="58" t="s">
        <v>983</v>
      </c>
      <c r="G136" s="55">
        <f>_xlfn.XLOOKUP($A136,'Data 2024'!$A:$A,'Data 2024'!I:I)/_xlfn.XLOOKUP($B136,'Category Averages'!$A$2:$A$4,'Category Averages'!$B$2:$B$4)</f>
        <v>0.84529246100557065</v>
      </c>
      <c r="H136" s="55">
        <f>_xlfn.XLOOKUP($A136,'Data 2024'!$A:$A,'Data 2024'!J:J)/_xlfn.XLOOKUP($B136,'Category Averages'!$A$2:$A$4,'Category Averages'!C$2:C$4)</f>
        <v>0.77348249934939484</v>
      </c>
      <c r="I136" s="55">
        <f>_xlfn.XLOOKUP($A136,'Data 2024'!$A:$A,'Data 2024'!K:K)/_xlfn.XLOOKUP($B136,'Category Averages'!$A$2:$A$4,'Category Averages'!D$2:D$4)</f>
        <v>0.51603135486660912</v>
      </c>
      <c r="J136" s="63">
        <f>_xlfn.XLOOKUP($A136,'Data 2024'!$A:$A,'Data 2024'!P:P)/_xlfn.XLOOKUP($B136,'Category Averages'!$A$2:$A$4,'Category Averages'!E$2:E$4)</f>
        <v>1.414346212034169</v>
      </c>
      <c r="K136" s="63">
        <f>_xlfn.XLOOKUP($A136,'Data 2024'!$A:$A,'Data 2024'!Q:Q)/_xlfn.XLOOKUP($B136,'Category Averages'!$A$2:$A$4,'Category Averages'!F$2:F$4)</f>
        <v>0.59499555271470095</v>
      </c>
    </row>
    <row r="137" spans="1:11" ht="18" customHeight="1">
      <c r="A137" s="56">
        <v>3929800</v>
      </c>
      <c r="B137" s="54" t="str">
        <f>_xlfn.XLOOKUP(A137,'Data 2024'!A:A,'Data 2024'!D:D)</f>
        <v>Region 2</v>
      </c>
      <c r="C137" s="58" t="s">
        <v>1018</v>
      </c>
      <c r="D137" s="58" t="s">
        <v>830</v>
      </c>
      <c r="E137" s="58" t="s">
        <v>996</v>
      </c>
      <c r="F137" s="58" t="s">
        <v>997</v>
      </c>
      <c r="G137" s="55">
        <f>_xlfn.XLOOKUP($A137,'Data 2024'!$A:$A,'Data 2024'!I:I)/_xlfn.XLOOKUP($B137,'Category Averages'!$A$2:$A$4,'Category Averages'!$B$2:$B$4)</f>
        <v>1.119234760336699</v>
      </c>
      <c r="H137" s="55">
        <f>_xlfn.XLOOKUP($A137,'Data 2024'!$A:$A,'Data 2024'!J:J)/_xlfn.XLOOKUP($B137,'Category Averages'!$A$2:$A$4,'Category Averages'!C$2:C$4)</f>
        <v>1.096186013290964</v>
      </c>
      <c r="I137" s="55">
        <f>_xlfn.XLOOKUP($A137,'Data 2024'!$A:$A,'Data 2024'!K:K)/_xlfn.XLOOKUP($B137,'Category Averages'!$A$2:$A$4,'Category Averages'!D$2:D$4)</f>
        <v>0.8957389475926687</v>
      </c>
      <c r="J137" s="63">
        <f>_xlfn.XLOOKUP($A137,'Data 2024'!$A:$A,'Data 2024'!P:P)/_xlfn.XLOOKUP($B137,'Category Averages'!$A$2:$A$4,'Category Averages'!E$2:E$4)</f>
        <v>1.070570260022355</v>
      </c>
      <c r="K137" s="63">
        <f>_xlfn.XLOOKUP($A137,'Data 2024'!$A:$A,'Data 2024'!Q:Q)/_xlfn.XLOOKUP($B137,'Category Averages'!$A$2:$A$4,'Category Averages'!F$2:F$4)</f>
        <v>0.62105665586768044</v>
      </c>
    </row>
    <row r="138" spans="1:11" ht="18" customHeight="1">
      <c r="A138" s="56">
        <v>4116400</v>
      </c>
      <c r="B138" s="54" t="str">
        <f>_xlfn.XLOOKUP(A138,'Data 2024'!A:A,'Data 2024'!D:D)</f>
        <v>Region 1</v>
      </c>
      <c r="C138" s="58" t="s">
        <v>1019</v>
      </c>
      <c r="D138" s="58" t="s">
        <v>808</v>
      </c>
      <c r="E138" s="58" t="s">
        <v>814</v>
      </c>
      <c r="F138" s="58" t="s">
        <v>1020</v>
      </c>
      <c r="G138" s="55">
        <f>_xlfn.XLOOKUP($A138,'Data 2024'!$A:$A,'Data 2024'!I:I)/_xlfn.XLOOKUP($B138,'Category Averages'!$A$2:$A$4,'Category Averages'!$B$2:$B$4)</f>
        <v>1.1208741640540487</v>
      </c>
      <c r="H138" s="55">
        <f>_xlfn.XLOOKUP($A138,'Data 2024'!$A:$A,'Data 2024'!J:J)/_xlfn.XLOOKUP($B138,'Category Averages'!$A$2:$A$4,'Category Averages'!C$2:C$4)</f>
        <v>1.700580784574645</v>
      </c>
      <c r="I138" s="55">
        <f>_xlfn.XLOOKUP($A138,'Data 2024'!$A:$A,'Data 2024'!K:K)/_xlfn.XLOOKUP($B138,'Category Averages'!$A$2:$A$4,'Category Averages'!D$2:D$4)</f>
        <v>0.7328999052049695</v>
      </c>
      <c r="J138" s="63">
        <f>_xlfn.XLOOKUP($A138,'Data 2024'!$A:$A,'Data 2024'!P:P)/_xlfn.XLOOKUP($B138,'Category Averages'!$A$2:$A$4,'Category Averages'!E$2:E$4)</f>
        <v>1.2738566035354231</v>
      </c>
      <c r="K138" s="63">
        <f>_xlfn.XLOOKUP($A138,'Data 2024'!$A:$A,'Data 2024'!Q:Q)/_xlfn.XLOOKUP($B138,'Category Averages'!$A$2:$A$4,'Category Averages'!F$2:F$4)</f>
        <v>0.81074831493968913</v>
      </c>
    </row>
    <row r="139" spans="1:11" ht="18" customHeight="1">
      <c r="A139" s="54">
        <v>4490000</v>
      </c>
      <c r="B139" s="54" t="str">
        <f>_xlfn.XLOOKUP(A139,'Data 2024'!A:A,'Data 2024'!D:D)</f>
        <v>Region 1</v>
      </c>
      <c r="C139" s="57" t="s">
        <v>1021</v>
      </c>
      <c r="D139" s="57" t="s">
        <v>830</v>
      </c>
      <c r="E139" s="57" t="s">
        <v>948</v>
      </c>
      <c r="F139" s="57" t="s">
        <v>1022</v>
      </c>
      <c r="G139" s="55">
        <f>_xlfn.XLOOKUP($A139,'Data 2024'!$A:$A,'Data 2024'!I:I)/_xlfn.XLOOKUP($B139,'Category Averages'!$A$2:$A$4,'Category Averages'!$B$2:$B$4)</f>
        <v>1.1658452564198929</v>
      </c>
      <c r="H139" s="55">
        <f>_xlfn.XLOOKUP($A139,'Data 2024'!$A:$A,'Data 2024'!J:J)/_xlfn.XLOOKUP($B139,'Category Averages'!$A$2:$A$4,'Category Averages'!C$2:C$4)</f>
        <v>0.96146200570306573</v>
      </c>
      <c r="I139" s="55">
        <f>_xlfn.XLOOKUP($A139,'Data 2024'!$A:$A,'Data 2024'!K:K)/_xlfn.XLOOKUP($B139,'Category Averages'!$A$2:$A$4,'Category Averages'!D$2:D$4)</f>
        <v>0.62406562208906879</v>
      </c>
      <c r="J139" s="63">
        <f>_xlfn.XLOOKUP($A139,'Data 2024'!$A:$A,'Data 2024'!P:P)/_xlfn.XLOOKUP($B139,'Category Averages'!$A$2:$A$4,'Category Averages'!E$2:E$4)</f>
        <v>1.5700859543255241</v>
      </c>
      <c r="K139" s="63">
        <f>_xlfn.XLOOKUP($A139,'Data 2024'!$A:$A,'Data 2024'!Q:Q)/_xlfn.XLOOKUP($B139,'Category Averages'!$A$2:$A$4,'Category Averages'!F$2:F$4)</f>
        <v>2.0810850118161728</v>
      </c>
    </row>
    <row r="140" spans="1:11" ht="18" customHeight="1">
      <c r="A140" s="56">
        <v>4496300</v>
      </c>
      <c r="B140" s="54" t="str">
        <f>_xlfn.XLOOKUP(A140,'Data 2024'!A:A,'Data 2024'!D:D)</f>
        <v>Region 1</v>
      </c>
      <c r="C140" s="58" t="s">
        <v>1023</v>
      </c>
      <c r="D140" s="58" t="s">
        <v>830</v>
      </c>
      <c r="E140" s="58" t="s">
        <v>948</v>
      </c>
      <c r="F140" s="58" t="s">
        <v>1024</v>
      </c>
      <c r="G140" s="55">
        <f>_xlfn.XLOOKUP($A140,'Data 2024'!$A:$A,'Data 2024'!I:I)/_xlfn.XLOOKUP($B140,'Category Averages'!$A$2:$A$4,'Category Averages'!$B$2:$B$4)</f>
        <v>0.82710546872485313</v>
      </c>
      <c r="H140" s="55">
        <f>_xlfn.XLOOKUP($A140,'Data 2024'!$A:$A,'Data 2024'!J:J)/_xlfn.XLOOKUP($B140,'Category Averages'!$A$2:$A$4,'Category Averages'!C$2:C$4)</f>
        <v>0.88359345623730223</v>
      </c>
      <c r="I140" s="55">
        <f>_xlfn.XLOOKUP($A140,'Data 2024'!$A:$A,'Data 2024'!K:K)/_xlfn.XLOOKUP($B140,'Category Averages'!$A$2:$A$4,'Category Averages'!D$2:D$4)</f>
        <v>0.71914369899227115</v>
      </c>
      <c r="J140" s="63">
        <f>_xlfn.XLOOKUP($A140,'Data 2024'!$A:$A,'Data 2024'!P:P)/_xlfn.XLOOKUP($B140,'Category Averages'!$A$2:$A$4,'Category Averages'!E$2:E$4)</f>
        <v>0.60676794181880533</v>
      </c>
      <c r="K140" s="63">
        <f>_xlfn.XLOOKUP($A140,'Data 2024'!$A:$A,'Data 2024'!Q:Q)/_xlfn.XLOOKUP($B140,'Category Averages'!$A$2:$A$4,'Category Averages'!F$2:F$4)</f>
        <v>0.5975073964991916</v>
      </c>
    </row>
    <row r="141" spans="1:11" ht="18" customHeight="1">
      <c r="A141" s="56">
        <v>4498500</v>
      </c>
      <c r="B141" s="54" t="str">
        <f>_xlfn.XLOOKUP(A141,'Data 2024'!A:A,'Data 2024'!D:D)</f>
        <v>Region 2</v>
      </c>
      <c r="C141" s="58" t="s">
        <v>1025</v>
      </c>
      <c r="D141" s="58" t="s">
        <v>830</v>
      </c>
      <c r="E141" s="58" t="s">
        <v>948</v>
      </c>
      <c r="F141" s="58" t="s">
        <v>1026</v>
      </c>
      <c r="G141" s="55">
        <f>_xlfn.XLOOKUP($A141,'Data 2024'!$A:$A,'Data 2024'!I:I)/_xlfn.XLOOKUP($B141,'Category Averages'!$A$2:$A$4,'Category Averages'!$B$2:$B$4)</f>
        <v>1.0084193905533478</v>
      </c>
      <c r="H141" s="55">
        <f>_xlfn.XLOOKUP($A141,'Data 2024'!$A:$A,'Data 2024'!J:J)/_xlfn.XLOOKUP($B141,'Category Averages'!$A$2:$A$4,'Category Averages'!C$2:C$4)</f>
        <v>0.66309500576457403</v>
      </c>
      <c r="I141" s="55">
        <f>_xlfn.XLOOKUP($A141,'Data 2024'!$A:$A,'Data 2024'!K:K)/_xlfn.XLOOKUP($B141,'Category Averages'!$A$2:$A$4,'Category Averages'!D$2:D$4)</f>
        <v>0.94759281761385605</v>
      </c>
      <c r="J141" s="63">
        <f>_xlfn.XLOOKUP($A141,'Data 2024'!$A:$A,'Data 2024'!P:P)/_xlfn.XLOOKUP($B141,'Category Averages'!$A$2:$A$4,'Category Averages'!E$2:E$4)</f>
        <v>0.92596814525322302</v>
      </c>
      <c r="K141" s="63">
        <f>_xlfn.XLOOKUP($A141,'Data 2024'!$A:$A,'Data 2024'!Q:Q)/_xlfn.XLOOKUP($B141,'Category Averages'!$A$2:$A$4,'Category Averages'!F$2:F$4)</f>
        <v>0.44259721835482629</v>
      </c>
    </row>
    <row r="142" spans="1:11" ht="18" customHeight="1">
      <c r="A142" s="56">
        <v>4499600</v>
      </c>
      <c r="B142" s="54" t="str">
        <f>_xlfn.XLOOKUP(A142,'Data 2024'!A:A,'Data 2024'!D:D)</f>
        <v>Region 2</v>
      </c>
      <c r="C142" s="58" t="s">
        <v>1027</v>
      </c>
      <c r="D142" s="58" t="s">
        <v>808</v>
      </c>
      <c r="E142" s="58" t="s">
        <v>814</v>
      </c>
      <c r="F142" s="58" t="s">
        <v>1028</v>
      </c>
      <c r="G142" s="55">
        <f>_xlfn.XLOOKUP($A142,'Data 2024'!$A:$A,'Data 2024'!I:I)/_xlfn.XLOOKUP($B142,'Category Averages'!$A$2:$A$4,'Category Averages'!$B$2:$B$4)</f>
        <v>0.81319650354338902</v>
      </c>
      <c r="H142" s="55">
        <f>_xlfn.XLOOKUP($A142,'Data 2024'!$A:$A,'Data 2024'!J:J)/_xlfn.XLOOKUP($B142,'Category Averages'!$A$2:$A$4,'Category Averages'!C$2:C$4)</f>
        <v>0.58098015629648869</v>
      </c>
      <c r="I142" s="55">
        <f>_xlfn.XLOOKUP($A142,'Data 2024'!$A:$A,'Data 2024'!K:K)/_xlfn.XLOOKUP($B142,'Category Averages'!$A$2:$A$4,'Category Averages'!D$2:D$4)</f>
        <v>0.63099309306657925</v>
      </c>
      <c r="J142" s="63">
        <f>_xlfn.XLOOKUP($A142,'Data 2024'!$A:$A,'Data 2024'!P:P)/_xlfn.XLOOKUP($B142,'Category Averages'!$A$2:$A$4,'Category Averages'!E$2:E$4)</f>
        <v>1.8245730621001182</v>
      </c>
      <c r="K142" s="63">
        <f>_xlfn.XLOOKUP($A142,'Data 2024'!$A:$A,'Data 2024'!Q:Q)/_xlfn.XLOOKUP($B142,'Category Averages'!$A$2:$A$4,'Category Averages'!F$2:F$4)</f>
        <v>4.7948375200566344</v>
      </c>
    </row>
    <row r="143" spans="1:11" ht="18" customHeight="1">
      <c r="A143" s="56">
        <v>4500700</v>
      </c>
      <c r="B143" s="54" t="str">
        <f>_xlfn.XLOOKUP(A143,'Data 2024'!A:A,'Data 2024'!D:D)</f>
        <v>Region 1</v>
      </c>
      <c r="C143" s="58" t="s">
        <v>1029</v>
      </c>
      <c r="D143" s="58" t="s">
        <v>830</v>
      </c>
      <c r="E143" s="58" t="s">
        <v>948</v>
      </c>
      <c r="F143" s="58" t="s">
        <v>1030</v>
      </c>
      <c r="G143" s="55">
        <f>_xlfn.XLOOKUP($A143,'Data 2024'!$A:$A,'Data 2024'!I:I)/_xlfn.XLOOKUP($B143,'Category Averages'!$A$2:$A$4,'Category Averages'!$B$2:$B$4)</f>
        <v>0.89776917142401369</v>
      </c>
      <c r="H143" s="55">
        <f>_xlfn.XLOOKUP($A143,'Data 2024'!$A:$A,'Data 2024'!J:J)/_xlfn.XLOOKUP($B143,'Category Averages'!$A$2:$A$4,'Category Averages'!C$2:C$4)</f>
        <v>0</v>
      </c>
      <c r="I143" s="55">
        <f>_xlfn.XLOOKUP($A143,'Data 2024'!$A:$A,'Data 2024'!K:K)/_xlfn.XLOOKUP($B143,'Category Averages'!$A$2:$A$4,'Category Averages'!D$2:D$4)</f>
        <v>0.74177018356925062</v>
      </c>
      <c r="J143" s="63">
        <f>_xlfn.XLOOKUP($A143,'Data 2024'!$A:$A,'Data 2024'!P:P)/_xlfn.XLOOKUP($B143,'Category Averages'!$A$2:$A$4,'Category Averages'!E$2:E$4)</f>
        <v>0.89466408286140331</v>
      </c>
      <c r="K143" s="63">
        <f>_xlfn.XLOOKUP($A143,'Data 2024'!$A:$A,'Data 2024'!Q:Q)/_xlfn.XLOOKUP($B143,'Category Averages'!$A$2:$A$4,'Category Averages'!F$2:F$4)</f>
        <v>0.64413631099398583</v>
      </c>
    </row>
    <row r="144" spans="1:11" ht="18" customHeight="1">
      <c r="A144" s="56">
        <v>4501800</v>
      </c>
      <c r="B144" s="54" t="str">
        <f>_xlfn.XLOOKUP(A144,'Data 2024'!A:A,'Data 2024'!D:D)</f>
        <v>Region 2</v>
      </c>
      <c r="C144" s="58" t="s">
        <v>1031</v>
      </c>
      <c r="D144" s="58" t="s">
        <v>830</v>
      </c>
      <c r="E144" s="58" t="s">
        <v>948</v>
      </c>
      <c r="F144" s="58" t="s">
        <v>1032</v>
      </c>
      <c r="G144" s="55">
        <f>_xlfn.XLOOKUP($A144,'Data 2024'!$A:$A,'Data 2024'!I:I)/_xlfn.XLOOKUP($B144,'Category Averages'!$A$2:$A$4,'Category Averages'!$B$2:$B$4)</f>
        <v>0.67481038374437829</v>
      </c>
      <c r="H144" s="55">
        <f>_xlfn.XLOOKUP($A144,'Data 2024'!$A:$A,'Data 2024'!J:J)/_xlfn.XLOOKUP($B144,'Category Averages'!$A$2:$A$4,'Category Averages'!C$2:C$4)</f>
        <v>0.56047001811998787</v>
      </c>
      <c r="I144" s="55">
        <f>_xlfn.XLOOKUP($A144,'Data 2024'!$A:$A,'Data 2024'!K:K)/_xlfn.XLOOKUP($B144,'Category Averages'!$A$2:$A$4,'Category Averages'!D$2:D$4)</f>
        <v>0.47673676879180577</v>
      </c>
      <c r="J144" s="63">
        <f>_xlfn.XLOOKUP($A144,'Data 2024'!$A:$A,'Data 2024'!P:P)/_xlfn.XLOOKUP($B144,'Category Averages'!$A$2:$A$4,'Category Averages'!E$2:E$4)</f>
        <v>2.40899397185947</v>
      </c>
      <c r="K144" s="63">
        <f>_xlfn.XLOOKUP($A144,'Data 2024'!$A:$A,'Data 2024'!Q:Q)/_xlfn.XLOOKUP($B144,'Category Averages'!$A$2:$A$4,'Category Averages'!F$2:F$4)</f>
        <v>3.1476298059394336</v>
      </c>
    </row>
    <row r="145" spans="1:11" ht="18" customHeight="1">
      <c r="A145" s="56">
        <v>4502900</v>
      </c>
      <c r="B145" s="54" t="str">
        <f>_xlfn.XLOOKUP(A145,'Data 2024'!A:A,'Data 2024'!D:D)</f>
        <v>Region 1</v>
      </c>
      <c r="C145" s="58" t="s">
        <v>1033</v>
      </c>
      <c r="D145" s="58" t="s">
        <v>830</v>
      </c>
      <c r="E145" s="58" t="s">
        <v>948</v>
      </c>
      <c r="F145" s="58" t="s">
        <v>1034</v>
      </c>
      <c r="G145" s="55">
        <f>_xlfn.XLOOKUP($A145,'Data 2024'!$A:$A,'Data 2024'!I:I)/_xlfn.XLOOKUP($B145,'Category Averages'!$A$2:$A$4,'Category Averages'!$B$2:$B$4)</f>
        <v>1.1515526037402029</v>
      </c>
      <c r="H145" s="55">
        <f>_xlfn.XLOOKUP($A145,'Data 2024'!$A:$A,'Data 2024'!J:J)/_xlfn.XLOOKUP($B145,'Category Averages'!$A$2:$A$4,'Category Averages'!C$2:C$4)</f>
        <v>0</v>
      </c>
      <c r="I145" s="55">
        <f>_xlfn.XLOOKUP($A145,'Data 2024'!$A:$A,'Data 2024'!K:K)/_xlfn.XLOOKUP($B145,'Category Averages'!$A$2:$A$4,'Category Averages'!D$2:D$4)</f>
        <v>0.71246960139705728</v>
      </c>
      <c r="J145" s="63">
        <f>_xlfn.XLOOKUP($A145,'Data 2024'!$A:$A,'Data 2024'!P:P)/_xlfn.XLOOKUP($B145,'Category Averages'!$A$2:$A$4,'Category Averages'!E$2:E$4)</f>
        <v>1.1123897062957171</v>
      </c>
      <c r="K145" s="63">
        <f>_xlfn.XLOOKUP($A145,'Data 2024'!$A:$A,'Data 2024'!Q:Q)/_xlfn.XLOOKUP($B145,'Category Averages'!$A$2:$A$4,'Category Averages'!F$2:F$4)</f>
        <v>0.45304853138737855</v>
      </c>
    </row>
    <row r="146" spans="1:11" ht="18" customHeight="1">
      <c r="A146" s="56">
        <v>4504000</v>
      </c>
      <c r="B146" s="54" t="str">
        <f>_xlfn.XLOOKUP(A146,'Data 2024'!A:A,'Data 2024'!D:D)</f>
        <v>Region 1</v>
      </c>
      <c r="C146" s="58" t="s">
        <v>1035</v>
      </c>
      <c r="D146" s="58" t="s">
        <v>830</v>
      </c>
      <c r="E146" s="58" t="s">
        <v>948</v>
      </c>
      <c r="F146" s="58" t="s">
        <v>1036</v>
      </c>
      <c r="G146" s="55">
        <f>_xlfn.XLOOKUP($A146,'Data 2024'!$A:$A,'Data 2024'!I:I)/_xlfn.XLOOKUP($B146,'Category Averages'!$A$2:$A$4,'Category Averages'!$B$2:$B$4)</f>
        <v>1.17770684201955</v>
      </c>
      <c r="H146" s="55">
        <f>_xlfn.XLOOKUP($A146,'Data 2024'!$A:$A,'Data 2024'!J:J)/_xlfn.XLOOKUP($B146,'Category Averages'!$A$2:$A$4,'Category Averages'!C$2:C$4)</f>
        <v>1.0953059719488574</v>
      </c>
      <c r="I146" s="55">
        <f>_xlfn.XLOOKUP($A146,'Data 2024'!$A:$A,'Data 2024'!K:K)/_xlfn.XLOOKUP($B146,'Category Averages'!$A$2:$A$4,'Category Averages'!D$2:D$4)</f>
        <v>0.65636909651457376</v>
      </c>
      <c r="J146" s="63">
        <f>_xlfn.XLOOKUP($A146,'Data 2024'!$A:$A,'Data 2024'!P:P)/_xlfn.XLOOKUP($B146,'Category Averages'!$A$2:$A$4,'Category Averages'!E$2:E$4)</f>
        <v>2.7458076792990456</v>
      </c>
      <c r="K146" s="63">
        <f>_xlfn.XLOOKUP($A146,'Data 2024'!$A:$A,'Data 2024'!Q:Q)/_xlfn.XLOOKUP($B146,'Category Averages'!$A$2:$A$4,'Category Averages'!F$2:F$4)</f>
        <v>2.2411471184150913</v>
      </c>
    </row>
    <row r="147" spans="1:11" ht="18" customHeight="1">
      <c r="A147" s="56">
        <v>4505900</v>
      </c>
      <c r="B147" s="54" t="str">
        <f>_xlfn.XLOOKUP(A147,'Data 2024'!A:A,'Data 2024'!D:D)</f>
        <v>Region 1</v>
      </c>
      <c r="C147" s="58" t="s">
        <v>1037</v>
      </c>
      <c r="D147" s="58" t="s">
        <v>830</v>
      </c>
      <c r="E147" s="58" t="s">
        <v>948</v>
      </c>
      <c r="F147" s="58" t="s">
        <v>1036</v>
      </c>
      <c r="G147" s="55">
        <f>_xlfn.XLOOKUP($A147,'Data 2024'!$A:$A,'Data 2024'!I:I)/_xlfn.XLOOKUP($B147,'Category Averages'!$A$2:$A$4,'Category Averages'!$B$2:$B$4)</f>
        <v>1.5664591385242272</v>
      </c>
      <c r="H147" s="55">
        <f>_xlfn.XLOOKUP($A147,'Data 2024'!$A:$A,'Data 2024'!J:J)/_xlfn.XLOOKUP($B147,'Category Averages'!$A$2:$A$4,'Category Averages'!C$2:C$4)</f>
        <v>1.8115913247287507</v>
      </c>
      <c r="I147" s="55">
        <f>_xlfn.XLOOKUP($A147,'Data 2024'!$A:$A,'Data 2024'!K:K)/_xlfn.XLOOKUP($B147,'Category Averages'!$A$2:$A$4,'Category Averages'!D$2:D$4)</f>
        <v>0.88845824781260208</v>
      </c>
      <c r="J147" s="63">
        <f>_xlfn.XLOOKUP($A147,'Data 2024'!$A:$A,'Data 2024'!P:P)/_xlfn.XLOOKUP($B147,'Category Averages'!$A$2:$A$4,'Category Averages'!E$2:E$4)</f>
        <v>0.88449279318444707</v>
      </c>
      <c r="K147" s="63">
        <f>_xlfn.XLOOKUP($A147,'Data 2024'!$A:$A,'Data 2024'!Q:Q)/_xlfn.XLOOKUP($B147,'Category Averages'!$A$2:$A$4,'Category Averages'!F$2:F$4)</f>
        <v>1.4574055597806841</v>
      </c>
    </row>
    <row r="148" spans="1:11" ht="18" customHeight="1">
      <c r="A148" s="56">
        <v>4508100</v>
      </c>
      <c r="B148" s="54" t="str">
        <f>_xlfn.XLOOKUP(A148,'Data 2024'!A:A,'Data 2024'!D:D)</f>
        <v>Region 2</v>
      </c>
      <c r="C148" s="58" t="s">
        <v>1038</v>
      </c>
      <c r="D148" s="58" t="s">
        <v>830</v>
      </c>
      <c r="E148" s="58" t="s">
        <v>948</v>
      </c>
      <c r="F148" s="58" t="s">
        <v>1039</v>
      </c>
      <c r="G148" s="55">
        <f>_xlfn.XLOOKUP($A148,'Data 2024'!$A:$A,'Data 2024'!I:I)/_xlfn.XLOOKUP($B148,'Category Averages'!$A$2:$A$4,'Category Averages'!$B$2:$B$4)</f>
        <v>0.53423721371830002</v>
      </c>
      <c r="H148" s="55">
        <f>_xlfn.XLOOKUP($A148,'Data 2024'!$A:$A,'Data 2024'!J:J)/_xlfn.XLOOKUP($B148,'Category Averages'!$A$2:$A$4,'Category Averages'!C$2:C$4)</f>
        <v>0.2919079725032091</v>
      </c>
      <c r="I148" s="55">
        <f>_xlfn.XLOOKUP($A148,'Data 2024'!$A:$A,'Data 2024'!K:K)/_xlfn.XLOOKUP($B148,'Category Averages'!$A$2:$A$4,'Category Averages'!D$2:D$4)</f>
        <v>0.44377392775041319</v>
      </c>
      <c r="J148" s="63">
        <f>_xlfn.XLOOKUP($A148,'Data 2024'!$A:$A,'Data 2024'!P:P)/_xlfn.XLOOKUP($B148,'Category Averages'!$A$2:$A$4,'Category Averages'!E$2:E$4)</f>
        <v>1.1321872138531845</v>
      </c>
      <c r="K148" s="63">
        <f>_xlfn.XLOOKUP($A148,'Data 2024'!$A:$A,'Data 2024'!Q:Q)/_xlfn.XLOOKUP($B148,'Category Averages'!$A$2:$A$4,'Category Averages'!F$2:F$4)</f>
        <v>0.56010280578007288</v>
      </c>
    </row>
    <row r="149" spans="1:11" ht="18" customHeight="1">
      <c r="A149" s="56">
        <v>4584200</v>
      </c>
      <c r="B149" s="54" t="str">
        <f>_xlfn.XLOOKUP(A149,'Data 2024'!A:A,'Data 2024'!D:D)</f>
        <v>Region 1</v>
      </c>
      <c r="C149" s="58" t="s">
        <v>1040</v>
      </c>
      <c r="D149" s="58" t="s">
        <v>830</v>
      </c>
      <c r="E149" s="58" t="s">
        <v>948</v>
      </c>
      <c r="F149" s="58" t="s">
        <v>1034</v>
      </c>
      <c r="G149" s="55">
        <f>_xlfn.XLOOKUP($A149,'Data 2024'!$A:$A,'Data 2024'!I:I)/_xlfn.XLOOKUP($B149,'Category Averages'!$A$2:$A$4,'Category Averages'!$B$2:$B$4)</f>
        <v>1.0113619536628506</v>
      </c>
      <c r="H149" s="55">
        <f>_xlfn.XLOOKUP($A149,'Data 2024'!$A:$A,'Data 2024'!J:J)/_xlfn.XLOOKUP($B149,'Category Averages'!$A$2:$A$4,'Category Averages'!C$2:C$4)</f>
        <v>1.0566949942934341</v>
      </c>
      <c r="I149" s="55">
        <f>_xlfn.XLOOKUP($A149,'Data 2024'!$A:$A,'Data 2024'!K:K)/_xlfn.XLOOKUP($B149,'Category Averages'!$A$2:$A$4,'Category Averages'!D$2:D$4)</f>
        <v>0.65806872203044764</v>
      </c>
      <c r="J149" s="63">
        <f>_xlfn.XLOOKUP($A149,'Data 2024'!$A:$A,'Data 2024'!P:P)/_xlfn.XLOOKUP($B149,'Category Averages'!$A$2:$A$4,'Category Averages'!E$2:E$4)</f>
        <v>1.9634806857346936</v>
      </c>
      <c r="K149" s="63">
        <f>_xlfn.XLOOKUP($A149,'Data 2024'!$A:$A,'Data 2024'!Q:Q)/_xlfn.XLOOKUP($B149,'Category Averages'!$A$2:$A$4,'Category Averages'!F$2:F$4)</f>
        <v>1.8007301423878688</v>
      </c>
    </row>
    <row r="150" spans="1:11" ht="18" customHeight="1">
      <c r="A150" s="56">
        <v>4585100</v>
      </c>
      <c r="B150" s="54" t="str">
        <f>_xlfn.XLOOKUP(A150,'Data 2024'!A:A,'Data 2024'!D:D)</f>
        <v>Region 1</v>
      </c>
      <c r="C150" s="58" t="s">
        <v>1041</v>
      </c>
      <c r="D150" s="58" t="s">
        <v>830</v>
      </c>
      <c r="E150" s="58" t="s">
        <v>948</v>
      </c>
      <c r="F150" s="58" t="s">
        <v>1039</v>
      </c>
      <c r="G150" s="55">
        <f>_xlfn.XLOOKUP($A150,'Data 2024'!$A:$A,'Data 2024'!I:I)/_xlfn.XLOOKUP($B150,'Category Averages'!$A$2:$A$4,'Category Averages'!$B$2:$B$4)</f>
        <v>1.0981279446053629</v>
      </c>
      <c r="H150" s="55">
        <f>_xlfn.XLOOKUP($A150,'Data 2024'!$A:$A,'Data 2024'!J:J)/_xlfn.XLOOKUP($B150,'Category Averages'!$A$2:$A$4,'Category Averages'!C$2:C$4)</f>
        <v>0</v>
      </c>
      <c r="I150" s="55">
        <f>_xlfn.XLOOKUP($A150,'Data 2024'!$A:$A,'Data 2024'!K:K)/_xlfn.XLOOKUP($B150,'Category Averages'!$A$2:$A$4,'Category Averages'!D$2:D$4)</f>
        <v>0.56788875997336496</v>
      </c>
      <c r="J150" s="63">
        <f>_xlfn.XLOOKUP($A150,'Data 2024'!$A:$A,'Data 2024'!P:P)/_xlfn.XLOOKUP($B150,'Category Averages'!$A$2:$A$4,'Category Averages'!E$2:E$4)</f>
        <v>1.1902485217316647</v>
      </c>
      <c r="K150" s="63">
        <f>_xlfn.XLOOKUP($A150,'Data 2024'!$A:$A,'Data 2024'!Q:Q)/_xlfn.XLOOKUP($B150,'Category Averages'!$A$2:$A$4,'Category Averages'!F$2:F$4)</f>
        <v>0.73348369635060406</v>
      </c>
    </row>
    <row r="151" spans="1:11" ht="18" customHeight="1">
      <c r="A151" s="54">
        <v>4588100</v>
      </c>
      <c r="B151" s="54" t="str">
        <f>_xlfn.XLOOKUP(A151,'Data 2024'!A:A,'Data 2024'!D:D)</f>
        <v>Region 2</v>
      </c>
      <c r="C151" s="57" t="s">
        <v>1042</v>
      </c>
      <c r="D151" s="57" t="s">
        <v>830</v>
      </c>
      <c r="E151" s="57" t="s">
        <v>948</v>
      </c>
      <c r="F151" s="57" t="s">
        <v>1032</v>
      </c>
      <c r="G151" s="55">
        <f>_xlfn.XLOOKUP($A151,'Data 2024'!$A:$A,'Data 2024'!I:I)/_xlfn.XLOOKUP($B151,'Category Averages'!$A$2:$A$4,'Category Averages'!$B$2:$B$4)</f>
        <v>0.96098894916339805</v>
      </c>
      <c r="H151" s="55">
        <f>_xlfn.XLOOKUP($A151,'Data 2024'!$A:$A,'Data 2024'!J:J)/_xlfn.XLOOKUP($B151,'Category Averages'!$A$2:$A$4,'Category Averages'!C$2:C$4)</f>
        <v>0.60684911266663988</v>
      </c>
      <c r="I151" s="55">
        <f>_xlfn.XLOOKUP($A151,'Data 2024'!$A:$A,'Data 2024'!K:K)/_xlfn.XLOOKUP($B151,'Category Averages'!$A$2:$A$4,'Category Averages'!D$2:D$4)</f>
        <v>0.62401354068873383</v>
      </c>
      <c r="J151" s="63">
        <f>_xlfn.XLOOKUP($A151,'Data 2024'!$A:$A,'Data 2024'!P:P)/_xlfn.XLOOKUP($B151,'Category Averages'!$A$2:$A$4,'Category Averages'!E$2:E$4)</f>
        <v>0.85869617143683852</v>
      </c>
      <c r="K151" s="63">
        <f>_xlfn.XLOOKUP($A151,'Data 2024'!$A:$A,'Data 2024'!Q:Q)/_xlfn.XLOOKUP($B151,'Category Averages'!$A$2:$A$4,'Category Averages'!F$2:F$4)</f>
        <v>0.59787308926458704</v>
      </c>
    </row>
    <row r="152" spans="1:11" ht="18" customHeight="1">
      <c r="A152" s="56">
        <v>4678800</v>
      </c>
      <c r="B152" s="54" t="str">
        <f>_xlfn.XLOOKUP(A152,'Data 2024'!A:A,'Data 2024'!D:D)</f>
        <v>Region 1</v>
      </c>
      <c r="C152" s="58" t="s">
        <v>1043</v>
      </c>
      <c r="D152" s="58" t="s">
        <v>830</v>
      </c>
      <c r="E152" s="58" t="s">
        <v>996</v>
      </c>
      <c r="F152" s="58" t="s">
        <v>1044</v>
      </c>
      <c r="G152" s="55">
        <f>_xlfn.XLOOKUP($A152,'Data 2024'!$A:$A,'Data 2024'!I:I)/_xlfn.XLOOKUP($B152,'Category Averages'!$A$2:$A$4,'Category Averages'!$B$2:$B$4)</f>
        <v>0.88271043235031266</v>
      </c>
      <c r="H152" s="55">
        <f>_xlfn.XLOOKUP($A152,'Data 2024'!$A:$A,'Data 2024'!J:J)/_xlfn.XLOOKUP($B152,'Category Averages'!$A$2:$A$4,'Category Averages'!C$2:C$4)</f>
        <v>1.4810710876340323</v>
      </c>
      <c r="I152" s="55">
        <f>_xlfn.XLOOKUP($A152,'Data 2024'!$A:$A,'Data 2024'!K:K)/_xlfn.XLOOKUP($B152,'Category Averages'!$A$2:$A$4,'Category Averages'!D$2:D$4)</f>
        <v>1.0407369100085069</v>
      </c>
      <c r="J152" s="63">
        <f>_xlfn.XLOOKUP($A152,'Data 2024'!$A:$A,'Data 2024'!P:P)/_xlfn.XLOOKUP($B152,'Category Averages'!$A$2:$A$4,'Category Averages'!E$2:E$4)</f>
        <v>1.1097631859964512</v>
      </c>
      <c r="K152" s="63">
        <f>_xlfn.XLOOKUP($A152,'Data 2024'!$A:$A,'Data 2024'!Q:Q)/_xlfn.XLOOKUP($B152,'Category Averages'!$A$2:$A$4,'Category Averages'!F$2:F$4)</f>
        <v>0.99303622496353883</v>
      </c>
    </row>
    <row r="153" spans="1:11" ht="18" customHeight="1">
      <c r="A153" s="56">
        <v>4679200</v>
      </c>
      <c r="B153" s="54" t="str">
        <f>_xlfn.XLOOKUP(A153,'Data 2024'!A:A,'Data 2024'!D:D)</f>
        <v>Region 1</v>
      </c>
      <c r="C153" s="58" t="s">
        <v>1045</v>
      </c>
      <c r="D153" s="58" t="s">
        <v>830</v>
      </c>
      <c r="E153" s="58" t="s">
        <v>996</v>
      </c>
      <c r="F153" s="58" t="s">
        <v>1044</v>
      </c>
      <c r="G153" s="55">
        <f>_xlfn.XLOOKUP($A153,'Data 2024'!$A:$A,'Data 2024'!I:I)/_xlfn.XLOOKUP($B153,'Category Averages'!$A$2:$A$4,'Category Averages'!$B$2:$B$4)</f>
        <v>1.7528477791644275</v>
      </c>
      <c r="H153" s="55">
        <f>_xlfn.XLOOKUP($A153,'Data 2024'!$A:$A,'Data 2024'!J:J)/_xlfn.XLOOKUP($B153,'Category Averages'!$A$2:$A$4,'Category Averages'!C$2:C$4)</f>
        <v>2.4260437330850957</v>
      </c>
      <c r="I153" s="55">
        <f>_xlfn.XLOOKUP($A153,'Data 2024'!$A:$A,'Data 2024'!K:K)/_xlfn.XLOOKUP($B153,'Category Averages'!$A$2:$A$4,'Category Averages'!D$2:D$4)</f>
        <v>1.3439823655739698</v>
      </c>
      <c r="J153" s="63">
        <f>_xlfn.XLOOKUP($A153,'Data 2024'!$A:$A,'Data 2024'!P:P)/_xlfn.XLOOKUP($B153,'Category Averages'!$A$2:$A$4,'Category Averages'!E$2:E$4)</f>
        <v>0.74518680859271569</v>
      </c>
      <c r="K153" s="63">
        <f>_xlfn.XLOOKUP($A153,'Data 2024'!$A:$A,'Data 2024'!Q:Q)/_xlfn.XLOOKUP($B153,'Category Averages'!$A$2:$A$4,'Category Averages'!F$2:F$4)</f>
        <v>0.25745396611638088</v>
      </c>
    </row>
    <row r="154" spans="1:11" ht="18" customHeight="1">
      <c r="A154" s="56">
        <v>4680200</v>
      </c>
      <c r="B154" s="54" t="str">
        <f>_xlfn.XLOOKUP(A154,'Data 2024'!A:A,'Data 2024'!D:D)</f>
        <v>Region 1</v>
      </c>
      <c r="C154" s="58" t="s">
        <v>1046</v>
      </c>
      <c r="D154" s="58" t="s">
        <v>830</v>
      </c>
      <c r="E154" s="58" t="s">
        <v>996</v>
      </c>
      <c r="F154" s="58" t="s">
        <v>1044</v>
      </c>
      <c r="G154" s="55">
        <f>_xlfn.XLOOKUP($A154,'Data 2024'!$A:$A,'Data 2024'!I:I)/_xlfn.XLOOKUP($B154,'Category Averages'!$A$2:$A$4,'Category Averages'!$B$2:$B$4)</f>
        <v>1.6602718474798763</v>
      </c>
      <c r="H154" s="55">
        <f>_xlfn.XLOOKUP($A154,'Data 2024'!$A:$A,'Data 2024'!J:J)/_xlfn.XLOOKUP($B154,'Category Averages'!$A$2:$A$4,'Category Averages'!C$2:C$4)</f>
        <v>2.5736732555272037</v>
      </c>
      <c r="I154" s="55">
        <f>_xlfn.XLOOKUP($A154,'Data 2024'!$A:$A,'Data 2024'!K:K)/_xlfn.XLOOKUP($B154,'Category Averages'!$A$2:$A$4,'Category Averages'!D$2:D$4)</f>
        <v>1.75938592852437</v>
      </c>
      <c r="J154" s="63">
        <f>_xlfn.XLOOKUP($A154,'Data 2024'!$A:$A,'Data 2024'!P:P)/_xlfn.XLOOKUP($B154,'Category Averages'!$A$2:$A$4,'Category Averages'!E$2:E$4)</f>
        <v>0.67278280707983151</v>
      </c>
      <c r="K154" s="63">
        <f>_xlfn.XLOOKUP($A154,'Data 2024'!$A:$A,'Data 2024'!Q:Q)/_xlfn.XLOOKUP($B154,'Category Averages'!$A$2:$A$4,'Category Averages'!F$2:F$4)</f>
        <v>0.37939664581537613</v>
      </c>
    </row>
    <row r="155" spans="1:11" ht="18" customHeight="1">
      <c r="A155" s="54">
        <v>4683200</v>
      </c>
      <c r="B155" s="54" t="str">
        <f>_xlfn.XLOOKUP(A155,'Data 2024'!A:A,'Data 2024'!D:D)</f>
        <v>Region 12</v>
      </c>
      <c r="C155" s="57" t="s">
        <v>1047</v>
      </c>
      <c r="D155" s="57" t="s">
        <v>830</v>
      </c>
      <c r="E155" s="57" t="s">
        <v>948</v>
      </c>
      <c r="F155" s="57" t="s">
        <v>1048</v>
      </c>
      <c r="G155" s="55">
        <f>_xlfn.XLOOKUP($A155,'Data 2024'!$A:$A,'Data 2024'!I:I)/_xlfn.XLOOKUP($B155,'Category Averages'!$A$2:$A$4,'Category Averages'!$B$2:$B$4)</f>
        <v>0.86822938285119866</v>
      </c>
      <c r="H155" s="55" t="e">
        <f>_xlfn.XLOOKUP($A155,'Data 2024'!$A:$A,'Data 2024'!J:J)/_xlfn.XLOOKUP($B155,'Category Averages'!$A$2:$A$4,'Category Averages'!C$2:C$4)</f>
        <v>#DIV/0!</v>
      </c>
      <c r="I155" s="55">
        <f>_xlfn.XLOOKUP($A155,'Data 2024'!$A:$A,'Data 2024'!K:K)/_xlfn.XLOOKUP($B155,'Category Averages'!$A$2:$A$4,'Category Averages'!D$2:D$4)</f>
        <v>0</v>
      </c>
      <c r="J155" s="63">
        <f>_xlfn.XLOOKUP($A155,'Data 2024'!$A:$A,'Data 2024'!P:P)/_xlfn.XLOOKUP($B155,'Category Averages'!$A$2:$A$4,'Category Averages'!E$2:E$4)</f>
        <v>0.26325628731298018</v>
      </c>
      <c r="K155" s="63">
        <f>_xlfn.XLOOKUP($A155,'Data 2024'!$A:$A,'Data 2024'!Q:Q)/_xlfn.XLOOKUP($B155,'Category Averages'!$A$2:$A$4,'Category Averages'!F$2:F$4)</f>
        <v>0.34824714921899386</v>
      </c>
    </row>
    <row r="156" spans="1:11" ht="18" customHeight="1">
      <c r="A156" s="56">
        <v>4685500</v>
      </c>
      <c r="B156" s="54" t="str">
        <f>_xlfn.XLOOKUP(A156,'Data 2024'!A:A,'Data 2024'!D:D)</f>
        <v>Region 12</v>
      </c>
      <c r="C156" s="58" t="s">
        <v>1049</v>
      </c>
      <c r="D156" s="58" t="s">
        <v>830</v>
      </c>
      <c r="E156" s="58" t="s">
        <v>948</v>
      </c>
      <c r="F156" s="58" t="s">
        <v>1024</v>
      </c>
      <c r="G156" s="55">
        <f>_xlfn.XLOOKUP($A156,'Data 2024'!$A:$A,'Data 2024'!I:I)/_xlfn.XLOOKUP($B156,'Category Averages'!$A$2:$A$4,'Category Averages'!$B$2:$B$4)</f>
        <v>0.94610382498936507</v>
      </c>
      <c r="H156" s="55" t="e">
        <f>_xlfn.XLOOKUP($A156,'Data 2024'!$A:$A,'Data 2024'!J:J)/_xlfn.XLOOKUP($B156,'Category Averages'!$A$2:$A$4,'Category Averages'!C$2:C$4)</f>
        <v>#DIV/0!</v>
      </c>
      <c r="I156" s="55">
        <f>_xlfn.XLOOKUP($A156,'Data 2024'!$A:$A,'Data 2024'!K:K)/_xlfn.XLOOKUP($B156,'Category Averages'!$A$2:$A$4,'Category Averages'!D$2:D$4)</f>
        <v>0</v>
      </c>
      <c r="J156" s="63">
        <f>_xlfn.XLOOKUP($A156,'Data 2024'!$A:$A,'Data 2024'!P:P)/_xlfn.XLOOKUP($B156,'Category Averages'!$A$2:$A$4,'Category Averages'!E$2:E$4)</f>
        <v>0</v>
      </c>
      <c r="K156" s="63">
        <f>_xlfn.XLOOKUP($A156,'Data 2024'!$A:$A,'Data 2024'!Q:Q)/_xlfn.XLOOKUP($B156,'Category Averages'!$A$2:$A$4,'Category Averages'!F$2:F$4)</f>
        <v>0.12628629761714741</v>
      </c>
    </row>
    <row r="157" spans="1:11" ht="18" customHeight="1">
      <c r="A157" s="56">
        <v>4687300</v>
      </c>
      <c r="B157" s="54" t="str">
        <f>_xlfn.XLOOKUP(A157,'Data 2024'!A:A,'Data 2024'!D:D)</f>
        <v>Region 1</v>
      </c>
      <c r="C157" s="58" t="s">
        <v>1050</v>
      </c>
      <c r="D157" s="58" t="s">
        <v>830</v>
      </c>
      <c r="E157" s="58" t="s">
        <v>948</v>
      </c>
      <c r="F157" s="58" t="s">
        <v>1024</v>
      </c>
      <c r="G157" s="55">
        <f>_xlfn.XLOOKUP($A157,'Data 2024'!$A:$A,'Data 2024'!I:I)/_xlfn.XLOOKUP($B157,'Category Averages'!$A$2:$A$4,'Category Averages'!$B$2:$B$4)</f>
        <v>1.5767510317476792</v>
      </c>
      <c r="H157" s="55">
        <f>_xlfn.XLOOKUP($A157,'Data 2024'!$A:$A,'Data 2024'!J:J)/_xlfn.XLOOKUP($B157,'Category Averages'!$A$2:$A$4,'Category Averages'!C$2:C$4)</f>
        <v>1.5652317551395698</v>
      </c>
      <c r="I157" s="55">
        <f>_xlfn.XLOOKUP($A157,'Data 2024'!$A:$A,'Data 2024'!K:K)/_xlfn.XLOOKUP($B157,'Category Averages'!$A$2:$A$4,'Category Averages'!D$2:D$4)</f>
        <v>0.88408071525187315</v>
      </c>
      <c r="J157" s="63">
        <f>_xlfn.XLOOKUP($A157,'Data 2024'!$A:$A,'Data 2024'!P:P)/_xlfn.XLOOKUP($B157,'Category Averages'!$A$2:$A$4,'Category Averages'!E$2:E$4)</f>
        <v>1.0535514399062953</v>
      </c>
      <c r="K157" s="63">
        <f>_xlfn.XLOOKUP($A157,'Data 2024'!$A:$A,'Data 2024'!Q:Q)/_xlfn.XLOOKUP($B157,'Category Averages'!$A$2:$A$4,'Category Averages'!F$2:F$4)</f>
        <v>1.2801057166221292</v>
      </c>
    </row>
    <row r="158" spans="1:11" ht="18" customHeight="1">
      <c r="A158" s="56">
        <v>4690600</v>
      </c>
      <c r="B158" s="54" t="str">
        <f>_xlfn.XLOOKUP(A158,'Data 2024'!A:A,'Data 2024'!D:D)</f>
        <v>Region 1</v>
      </c>
      <c r="C158" s="58" t="s">
        <v>1051</v>
      </c>
      <c r="D158" s="58" t="s">
        <v>830</v>
      </c>
      <c r="E158" s="58" t="s">
        <v>996</v>
      </c>
      <c r="F158" s="58" t="s">
        <v>1052</v>
      </c>
      <c r="G158" s="55">
        <f>_xlfn.XLOOKUP($A158,'Data 2024'!$A:$A,'Data 2024'!I:I)/_xlfn.XLOOKUP($B158,'Category Averages'!$A$2:$A$4,'Category Averages'!$B$2:$B$4)</f>
        <v>1.3012854746837683</v>
      </c>
      <c r="H158" s="55">
        <f>_xlfn.XLOOKUP($A158,'Data 2024'!$A:$A,'Data 2024'!J:J)/_xlfn.XLOOKUP($B158,'Category Averages'!$A$2:$A$4,'Category Averages'!C$2:C$4)</f>
        <v>0</v>
      </c>
      <c r="I158" s="55">
        <f>_xlfn.XLOOKUP($A158,'Data 2024'!$A:$A,'Data 2024'!K:K)/_xlfn.XLOOKUP($B158,'Category Averages'!$A$2:$A$4,'Category Averages'!D$2:D$4)</f>
        <v>0.99634688848150121</v>
      </c>
      <c r="J158" s="63">
        <f>_xlfn.XLOOKUP($A158,'Data 2024'!$A:$A,'Data 2024'!P:P)/_xlfn.XLOOKUP($B158,'Category Averages'!$A$2:$A$4,'Category Averages'!E$2:E$4)</f>
        <v>0.8540323791838601</v>
      </c>
      <c r="K158" s="63">
        <f>_xlfn.XLOOKUP($A158,'Data 2024'!$A:$A,'Data 2024'!Q:Q)/_xlfn.XLOOKUP($B158,'Category Averages'!$A$2:$A$4,'Category Averages'!F$2:F$4)</f>
        <v>1.7427654485725117</v>
      </c>
    </row>
    <row r="159" spans="1:11" ht="18" customHeight="1">
      <c r="A159" s="56">
        <v>4693900</v>
      </c>
      <c r="B159" s="54" t="str">
        <f>_xlfn.XLOOKUP(A159,'Data 2024'!A:A,'Data 2024'!D:D)</f>
        <v>Region 12</v>
      </c>
      <c r="C159" s="58" t="s">
        <v>1053</v>
      </c>
      <c r="D159" s="58" t="s">
        <v>830</v>
      </c>
      <c r="E159" s="58" t="s">
        <v>996</v>
      </c>
      <c r="F159" s="58" t="s">
        <v>1054</v>
      </c>
      <c r="G159" s="55">
        <f>_xlfn.XLOOKUP($A159,'Data 2024'!$A:$A,'Data 2024'!I:I)/_xlfn.XLOOKUP($B159,'Category Averages'!$A$2:$A$4,'Category Averages'!$B$2:$B$4)</f>
        <v>0.47371503207228588</v>
      </c>
      <c r="H159" s="55" t="e">
        <f>_xlfn.XLOOKUP($A159,'Data 2024'!$A:$A,'Data 2024'!J:J)/_xlfn.XLOOKUP($B159,'Category Averages'!$A$2:$A$4,'Category Averages'!C$2:C$4)</f>
        <v>#DIV/0!</v>
      </c>
      <c r="I159" s="55">
        <f>_xlfn.XLOOKUP($A159,'Data 2024'!$A:$A,'Data 2024'!K:K)/_xlfn.XLOOKUP($B159,'Category Averages'!$A$2:$A$4,'Category Averages'!D$2:D$4)</f>
        <v>0</v>
      </c>
      <c r="J159" s="63">
        <f>_xlfn.XLOOKUP($A159,'Data 2024'!$A:$A,'Data 2024'!P:P)/_xlfn.XLOOKUP($B159,'Category Averages'!$A$2:$A$4,'Category Averages'!E$2:E$4)</f>
        <v>0</v>
      </c>
      <c r="K159" s="63">
        <f>_xlfn.XLOOKUP($A159,'Data 2024'!$A:$A,'Data 2024'!Q:Q)/_xlfn.XLOOKUP($B159,'Category Averages'!$A$2:$A$4,'Category Averages'!F$2:F$4)</f>
        <v>0.55531108126587947</v>
      </c>
    </row>
    <row r="160" spans="1:11" ht="18" customHeight="1">
      <c r="A160" s="56">
        <v>4695000</v>
      </c>
      <c r="B160" s="54" t="str">
        <f>_xlfn.XLOOKUP(A160,'Data 2024'!A:A,'Data 2024'!D:D)</f>
        <v>Region 1</v>
      </c>
      <c r="C160" s="58" t="s">
        <v>1055</v>
      </c>
      <c r="D160" s="58" t="s">
        <v>830</v>
      </c>
      <c r="E160" s="58" t="s">
        <v>948</v>
      </c>
      <c r="F160" s="58" t="s">
        <v>1048</v>
      </c>
      <c r="G160" s="55">
        <f>_xlfn.XLOOKUP($A160,'Data 2024'!$A:$A,'Data 2024'!I:I)/_xlfn.XLOOKUP($B160,'Category Averages'!$A$2:$A$4,'Category Averages'!$B$2:$B$4)</f>
        <v>0.99199536423808621</v>
      </c>
      <c r="H160" s="55">
        <f>_xlfn.XLOOKUP($A160,'Data 2024'!$A:$A,'Data 2024'!J:J)/_xlfn.XLOOKUP($B160,'Category Averages'!$A$2:$A$4,'Category Averages'!C$2:C$4)</f>
        <v>0</v>
      </c>
      <c r="I160" s="55">
        <f>_xlfn.XLOOKUP($A160,'Data 2024'!$A:$A,'Data 2024'!K:K)/_xlfn.XLOOKUP($B160,'Category Averages'!$A$2:$A$4,'Category Averages'!D$2:D$4)</f>
        <v>1.0401893325732141</v>
      </c>
      <c r="J160" s="63">
        <f>_xlfn.XLOOKUP($A160,'Data 2024'!$A:$A,'Data 2024'!P:P)/_xlfn.XLOOKUP($B160,'Category Averages'!$A$2:$A$4,'Category Averages'!E$2:E$4)</f>
        <v>0.77023831099523465</v>
      </c>
      <c r="K160" s="63">
        <f>_xlfn.XLOOKUP($A160,'Data 2024'!$A:$A,'Data 2024'!Q:Q)/_xlfn.XLOOKUP($B160,'Category Averages'!$A$2:$A$4,'Category Averages'!F$2:F$4)</f>
        <v>0.5442315804821849</v>
      </c>
    </row>
    <row r="161" spans="1:11" ht="18" customHeight="1">
      <c r="A161" s="56">
        <v>4695200</v>
      </c>
      <c r="B161" s="54" t="str">
        <f>_xlfn.XLOOKUP(A161,'Data 2024'!A:A,'Data 2024'!D:D)</f>
        <v>Region 1</v>
      </c>
      <c r="C161" s="58" t="s">
        <v>1056</v>
      </c>
      <c r="D161" s="58" t="s">
        <v>830</v>
      </c>
      <c r="E161" s="58" t="s">
        <v>996</v>
      </c>
      <c r="F161" s="58" t="s">
        <v>1057</v>
      </c>
      <c r="G161" s="55">
        <f>_xlfn.XLOOKUP($A161,'Data 2024'!$A:$A,'Data 2024'!I:I)/_xlfn.XLOOKUP($B161,'Category Averages'!$A$2:$A$4,'Category Averages'!$B$2:$B$4)</f>
        <v>0.98271703369459296</v>
      </c>
      <c r="H161" s="55">
        <f>_xlfn.XLOOKUP($A161,'Data 2024'!$A:$A,'Data 2024'!J:J)/_xlfn.XLOOKUP($B161,'Category Averages'!$A$2:$A$4,'Category Averages'!C$2:C$4)</f>
        <v>2.6677276842323367E-2</v>
      </c>
      <c r="I161" s="55">
        <f>_xlfn.XLOOKUP($A161,'Data 2024'!$A:$A,'Data 2024'!K:K)/_xlfn.XLOOKUP($B161,'Category Averages'!$A$2:$A$4,'Category Averages'!D$2:D$4)</f>
        <v>0.62844842435171466</v>
      </c>
      <c r="J161" s="63">
        <f>_xlfn.XLOOKUP($A161,'Data 2024'!$A:$A,'Data 2024'!P:P)/_xlfn.XLOOKUP($B161,'Category Averages'!$A$2:$A$4,'Category Averages'!E$2:E$4)</f>
        <v>1.2225532440751001</v>
      </c>
      <c r="K161" s="63">
        <f>_xlfn.XLOOKUP($A161,'Data 2024'!$A:$A,'Data 2024'!Q:Q)/_xlfn.XLOOKUP($B161,'Category Averages'!$A$2:$A$4,'Category Averages'!F$2:F$4)</f>
        <v>0.79426103836594042</v>
      </c>
    </row>
    <row r="162" spans="1:11" ht="18" customHeight="1">
      <c r="A162" s="56">
        <v>4700200</v>
      </c>
      <c r="B162" s="54" t="str">
        <f>_xlfn.XLOOKUP(A162,'Data 2024'!A:A,'Data 2024'!D:D)</f>
        <v>Region 2</v>
      </c>
      <c r="C162" s="58" t="s">
        <v>1058</v>
      </c>
      <c r="D162" s="58" t="s">
        <v>830</v>
      </c>
      <c r="E162" s="58" t="s">
        <v>996</v>
      </c>
      <c r="F162" s="58" t="s">
        <v>1059</v>
      </c>
      <c r="G162" s="55">
        <f>_xlfn.XLOOKUP($A162,'Data 2024'!$A:$A,'Data 2024'!I:I)/_xlfn.XLOOKUP($B162,'Category Averages'!$A$2:$A$4,'Category Averages'!$B$2:$B$4)</f>
        <v>0.90958128181386211</v>
      </c>
      <c r="H162" s="55">
        <f>_xlfn.XLOOKUP($A162,'Data 2024'!$A:$A,'Data 2024'!J:J)/_xlfn.XLOOKUP($B162,'Category Averages'!$A$2:$A$4,'Category Averages'!C$2:C$4)</f>
        <v>0.54291847002113824</v>
      </c>
      <c r="I162" s="55">
        <f>_xlfn.XLOOKUP($A162,'Data 2024'!$A:$A,'Data 2024'!K:K)/_xlfn.XLOOKUP($B162,'Category Averages'!$A$2:$A$4,'Category Averages'!D$2:D$4)</f>
        <v>0.62627207938367813</v>
      </c>
      <c r="J162" s="63">
        <f>_xlfn.XLOOKUP($A162,'Data 2024'!$A:$A,'Data 2024'!P:P)/_xlfn.XLOOKUP($B162,'Category Averages'!$A$2:$A$4,'Category Averages'!E$2:E$4)</f>
        <v>1.2146894800148436</v>
      </c>
      <c r="K162" s="63">
        <f>_xlfn.XLOOKUP($A162,'Data 2024'!$A:$A,'Data 2024'!Q:Q)/_xlfn.XLOOKUP($B162,'Category Averages'!$A$2:$A$4,'Category Averages'!F$2:F$4)</f>
        <v>1.6360936034612259</v>
      </c>
    </row>
    <row r="163" spans="1:11" ht="18" customHeight="1">
      <c r="A163" s="56">
        <v>4703500</v>
      </c>
      <c r="B163" s="54" t="str">
        <f>_xlfn.XLOOKUP(A163,'Data 2024'!A:A,'Data 2024'!D:D)</f>
        <v>Region 12</v>
      </c>
      <c r="C163" s="58" t="s">
        <v>1060</v>
      </c>
      <c r="D163" s="58" t="s">
        <v>830</v>
      </c>
      <c r="E163" s="58" t="s">
        <v>996</v>
      </c>
      <c r="F163" s="58" t="s">
        <v>1052</v>
      </c>
      <c r="G163" s="55">
        <f>_xlfn.XLOOKUP($A163,'Data 2024'!$A:$A,'Data 2024'!I:I)/_xlfn.XLOOKUP($B163,'Category Averages'!$A$2:$A$4,'Category Averages'!$B$2:$B$4)</f>
        <v>0.43180435077024237</v>
      </c>
      <c r="H163" s="55" t="e">
        <f>_xlfn.XLOOKUP($A163,'Data 2024'!$A:$A,'Data 2024'!J:J)/_xlfn.XLOOKUP($B163,'Category Averages'!$A$2:$A$4,'Category Averages'!C$2:C$4)</f>
        <v>#DIV/0!</v>
      </c>
      <c r="I163" s="55">
        <f>_xlfn.XLOOKUP($A163,'Data 2024'!$A:$A,'Data 2024'!K:K)/_xlfn.XLOOKUP($B163,'Category Averages'!$A$2:$A$4,'Category Averages'!D$2:D$4)</f>
        <v>0</v>
      </c>
      <c r="J163" s="63">
        <f>_xlfn.XLOOKUP($A163,'Data 2024'!$A:$A,'Data 2024'!P:P)/_xlfn.XLOOKUP($B163,'Category Averages'!$A$2:$A$4,'Category Averages'!E$2:E$4)</f>
        <v>0</v>
      </c>
      <c r="K163" s="63">
        <f>_xlfn.XLOOKUP($A163,'Data 2024'!$A:$A,'Data 2024'!Q:Q)/_xlfn.XLOOKUP($B163,'Category Averages'!$A$2:$A$4,'Category Averages'!F$2:F$4)</f>
        <v>0.50347276683625763</v>
      </c>
    </row>
    <row r="164" spans="1:11" ht="18" customHeight="1">
      <c r="A164" s="56">
        <v>4705400</v>
      </c>
      <c r="B164" s="54" t="str">
        <f>_xlfn.XLOOKUP(A164,'Data 2024'!A:A,'Data 2024'!D:D)</f>
        <v>Region 1</v>
      </c>
      <c r="C164" s="58" t="s">
        <v>1061</v>
      </c>
      <c r="D164" s="58" t="s">
        <v>830</v>
      </c>
      <c r="E164" s="58" t="s">
        <v>996</v>
      </c>
      <c r="F164" s="58" t="s">
        <v>1054</v>
      </c>
      <c r="G164" s="55">
        <f>_xlfn.XLOOKUP($A164,'Data 2024'!$A:$A,'Data 2024'!I:I)/_xlfn.XLOOKUP($B164,'Category Averages'!$A$2:$A$4,'Category Averages'!$B$2:$B$4)</f>
        <v>1.0467481064025492</v>
      </c>
      <c r="H164" s="55">
        <f>_xlfn.XLOOKUP($A164,'Data 2024'!$A:$A,'Data 2024'!J:J)/_xlfn.XLOOKUP($B164,'Category Averages'!$A$2:$A$4,'Category Averages'!C$2:C$4)</f>
        <v>1.4809559454660866</v>
      </c>
      <c r="I164" s="55">
        <f>_xlfn.XLOOKUP($A164,'Data 2024'!$A:$A,'Data 2024'!K:K)/_xlfn.XLOOKUP($B164,'Category Averages'!$A$2:$A$4,'Category Averages'!D$2:D$4)</f>
        <v>0.9260512717306123</v>
      </c>
      <c r="J164" s="63">
        <f>_xlfn.XLOOKUP($A164,'Data 2024'!$A:$A,'Data 2024'!P:P)/_xlfn.XLOOKUP($B164,'Category Averages'!$A$2:$A$4,'Category Averages'!E$2:E$4)</f>
        <v>1.089395980721134</v>
      </c>
      <c r="K164" s="63">
        <f>_xlfn.XLOOKUP($A164,'Data 2024'!$A:$A,'Data 2024'!Q:Q)/_xlfn.XLOOKUP($B164,'Category Averages'!$A$2:$A$4,'Category Averages'!F$2:F$4)</f>
        <v>0.60331951281307072</v>
      </c>
    </row>
    <row r="165" spans="1:11" ht="18" customHeight="1">
      <c r="A165" s="56">
        <v>4707600</v>
      </c>
      <c r="B165" s="54" t="str">
        <f>_xlfn.XLOOKUP(A165,'Data 2024'!A:A,'Data 2024'!D:D)</f>
        <v>Region 2</v>
      </c>
      <c r="C165" s="58" t="s">
        <v>1062</v>
      </c>
      <c r="D165" s="58" t="s">
        <v>830</v>
      </c>
      <c r="E165" s="58" t="s">
        <v>831</v>
      </c>
      <c r="F165" s="58" t="s">
        <v>943</v>
      </c>
      <c r="G165" s="55">
        <f>_xlfn.XLOOKUP($A165,'Data 2024'!$A:$A,'Data 2024'!I:I)/_xlfn.XLOOKUP($B165,'Category Averages'!$A$2:$A$4,'Category Averages'!$B$2:$B$4)</f>
        <v>0.85758709483367923</v>
      </c>
      <c r="H165" s="55">
        <f>_xlfn.XLOOKUP($A165,'Data 2024'!$A:$A,'Data 2024'!J:J)/_xlfn.XLOOKUP($B165,'Category Averages'!$A$2:$A$4,'Category Averages'!C$2:C$4)</f>
        <v>0.87535508604864287</v>
      </c>
      <c r="I165" s="55">
        <f>_xlfn.XLOOKUP($A165,'Data 2024'!$A:$A,'Data 2024'!K:K)/_xlfn.XLOOKUP($B165,'Category Averages'!$A$2:$A$4,'Category Averages'!D$2:D$4)</f>
        <v>0.91716122520268262</v>
      </c>
      <c r="J165" s="63">
        <f>_xlfn.XLOOKUP($A165,'Data 2024'!$A:$A,'Data 2024'!P:P)/_xlfn.XLOOKUP($B165,'Category Averages'!$A$2:$A$4,'Category Averages'!E$2:E$4)</f>
        <v>0.93183588336888656</v>
      </c>
      <c r="K165" s="63">
        <f>_xlfn.XLOOKUP($A165,'Data 2024'!$A:$A,'Data 2024'!Q:Q)/_xlfn.XLOOKUP($B165,'Category Averages'!$A$2:$A$4,'Category Averages'!F$2:F$4)</f>
        <v>0.22649224351193503</v>
      </c>
    </row>
    <row r="166" spans="1:11" ht="18" customHeight="1">
      <c r="A166" s="54">
        <v>4710900</v>
      </c>
      <c r="B166" s="54" t="str">
        <f>_xlfn.XLOOKUP(A166,'Data 2024'!A:A,'Data 2024'!D:D)</f>
        <v>Region 2</v>
      </c>
      <c r="C166" s="57" t="s">
        <v>1063</v>
      </c>
      <c r="D166" s="57" t="s">
        <v>830</v>
      </c>
      <c r="E166" s="57" t="s">
        <v>948</v>
      </c>
      <c r="F166" s="57" t="s">
        <v>1064</v>
      </c>
      <c r="G166" s="55">
        <f>_xlfn.XLOOKUP($A166,'Data 2024'!$A:$A,'Data 2024'!I:I)/_xlfn.XLOOKUP($B166,'Category Averages'!$A$2:$A$4,'Category Averages'!$B$2:$B$4)</f>
        <v>0.69291713270734712</v>
      </c>
      <c r="H166" s="55">
        <f>_xlfn.XLOOKUP($A166,'Data 2024'!$A:$A,'Data 2024'!J:J)/_xlfn.XLOOKUP($B166,'Category Averages'!$A$2:$A$4,'Category Averages'!C$2:C$4)</f>
        <v>0.57322427823934485</v>
      </c>
      <c r="I166" s="55">
        <f>_xlfn.XLOOKUP($A166,'Data 2024'!$A:$A,'Data 2024'!K:K)/_xlfn.XLOOKUP($B166,'Category Averages'!$A$2:$A$4,'Category Averages'!D$2:D$4)</f>
        <v>0.66278175903303571</v>
      </c>
      <c r="J166" s="63">
        <f>_xlfn.XLOOKUP($A166,'Data 2024'!$A:$A,'Data 2024'!P:P)/_xlfn.XLOOKUP($B166,'Category Averages'!$A$2:$A$4,'Category Averages'!E$2:E$4)</f>
        <v>1.3393619328541053</v>
      </c>
      <c r="K166" s="63">
        <f>_xlfn.XLOOKUP($A166,'Data 2024'!$A:$A,'Data 2024'!Q:Q)/_xlfn.XLOOKUP($B166,'Category Averages'!$A$2:$A$4,'Category Averages'!F$2:F$4)</f>
        <v>1.9027204697479634</v>
      </c>
    </row>
    <row r="167" spans="1:11" ht="18" customHeight="1">
      <c r="A167" s="56">
        <v>4713100</v>
      </c>
      <c r="B167" s="54" t="str">
        <f>_xlfn.XLOOKUP(A167,'Data 2024'!A:A,'Data 2024'!D:D)</f>
        <v>Region 2</v>
      </c>
      <c r="C167" s="58" t="s">
        <v>1065</v>
      </c>
      <c r="D167" s="58" t="s">
        <v>830</v>
      </c>
      <c r="E167" s="58" t="s">
        <v>996</v>
      </c>
      <c r="F167" s="58" t="s">
        <v>1059</v>
      </c>
      <c r="G167" s="55">
        <f>_xlfn.XLOOKUP($A167,'Data 2024'!$A:$A,'Data 2024'!I:I)/_xlfn.XLOOKUP($B167,'Category Averages'!$A$2:$A$4,'Category Averages'!$B$2:$B$4)</f>
        <v>0.87555672499618797</v>
      </c>
      <c r="H167" s="55">
        <f>_xlfn.XLOOKUP($A167,'Data 2024'!$A:$A,'Data 2024'!J:J)/_xlfn.XLOOKUP($B167,'Category Averages'!$A$2:$A$4,'Category Averages'!C$2:C$4)</f>
        <v>1.0519137909394616</v>
      </c>
      <c r="I167" s="55">
        <f>_xlfn.XLOOKUP($A167,'Data 2024'!$A:$A,'Data 2024'!K:K)/_xlfn.XLOOKUP($B167,'Category Averages'!$A$2:$A$4,'Category Averages'!D$2:D$4)</f>
        <v>0.94675220668667126</v>
      </c>
      <c r="J167" s="63">
        <f>_xlfn.XLOOKUP($A167,'Data 2024'!$A:$A,'Data 2024'!P:P)/_xlfn.XLOOKUP($B167,'Category Averages'!$A$2:$A$4,'Category Averages'!E$2:E$4)</f>
        <v>0.70486514165552161</v>
      </c>
      <c r="K167" s="63">
        <f>_xlfn.XLOOKUP($A167,'Data 2024'!$A:$A,'Data 2024'!Q:Q)/_xlfn.XLOOKUP($B167,'Category Averages'!$A$2:$A$4,'Category Averages'!F$2:F$4)</f>
        <v>0.37071857124356089</v>
      </c>
    </row>
    <row r="168" spans="1:11" ht="18" customHeight="1">
      <c r="A168" s="56">
        <v>4779100</v>
      </c>
      <c r="B168" s="54" t="str">
        <f>_xlfn.XLOOKUP(A168,'Data 2024'!A:A,'Data 2024'!D:D)</f>
        <v>Region 2</v>
      </c>
      <c r="C168" s="58" t="s">
        <v>1066</v>
      </c>
      <c r="D168" s="58" t="s">
        <v>830</v>
      </c>
      <c r="E168" s="58" t="s">
        <v>948</v>
      </c>
      <c r="F168" s="58" t="s">
        <v>1067</v>
      </c>
      <c r="G168" s="55">
        <f>_xlfn.XLOOKUP($A168,'Data 2024'!$A:$A,'Data 2024'!I:I)/_xlfn.XLOOKUP($B168,'Category Averages'!$A$2:$A$4,'Category Averages'!$B$2:$B$4)</f>
        <v>1.2414822491100472</v>
      </c>
      <c r="H168" s="55">
        <f>_xlfn.XLOOKUP($A168,'Data 2024'!$A:$A,'Data 2024'!J:J)/_xlfn.XLOOKUP($B168,'Category Averages'!$A$2:$A$4,'Category Averages'!C$2:C$4)</f>
        <v>0.93510223528442182</v>
      </c>
      <c r="I168" s="55">
        <f>_xlfn.XLOOKUP($A168,'Data 2024'!$A:$A,'Data 2024'!K:K)/_xlfn.XLOOKUP($B168,'Category Averages'!$A$2:$A$4,'Category Averages'!D$2:D$4)</f>
        <v>0.96310738504986082</v>
      </c>
      <c r="J168" s="63">
        <f>_xlfn.XLOOKUP($A168,'Data 2024'!$A:$A,'Data 2024'!P:P)/_xlfn.XLOOKUP($B168,'Category Averages'!$A$2:$A$4,'Category Averages'!E$2:E$4)</f>
        <v>0.5171548472626023</v>
      </c>
      <c r="K168" s="63">
        <f>_xlfn.XLOOKUP($A168,'Data 2024'!$A:$A,'Data 2024'!Q:Q)/_xlfn.XLOOKUP($B168,'Category Averages'!$A$2:$A$4,'Category Averages'!F$2:F$4)</f>
        <v>0.73817846115996333</v>
      </c>
    </row>
    <row r="169" spans="1:11" ht="18" customHeight="1">
      <c r="A169" s="56">
        <v>4779500</v>
      </c>
      <c r="B169" s="54" t="str">
        <f>_xlfn.XLOOKUP(A169,'Data 2024'!A:A,'Data 2024'!D:D)</f>
        <v>Region 2</v>
      </c>
      <c r="C169" s="58" t="s">
        <v>1068</v>
      </c>
      <c r="D169" s="58" t="s">
        <v>830</v>
      </c>
      <c r="E169" s="58" t="s">
        <v>948</v>
      </c>
      <c r="F169" s="58" t="s">
        <v>1026</v>
      </c>
      <c r="G169" s="55">
        <f>_xlfn.XLOOKUP($A169,'Data 2024'!$A:$A,'Data 2024'!I:I)/_xlfn.XLOOKUP($B169,'Category Averages'!$A$2:$A$4,'Category Averages'!$B$2:$B$4)</f>
        <v>1.3439015552905862</v>
      </c>
      <c r="H169" s="55">
        <f>_xlfn.XLOOKUP($A169,'Data 2024'!$A:$A,'Data 2024'!J:J)/_xlfn.XLOOKUP($B169,'Category Averages'!$A$2:$A$4,'Category Averages'!C$2:C$4)</f>
        <v>1.0483600806457198</v>
      </c>
      <c r="I169" s="55">
        <f>_xlfn.XLOOKUP($A169,'Data 2024'!$A:$A,'Data 2024'!K:K)/_xlfn.XLOOKUP($B169,'Category Averages'!$A$2:$A$4,'Category Averages'!D$2:D$4)</f>
        <v>0.86914774532837058</v>
      </c>
      <c r="J169" s="63">
        <f>_xlfn.XLOOKUP($A169,'Data 2024'!$A:$A,'Data 2024'!P:P)/_xlfn.XLOOKUP($B169,'Category Averages'!$A$2:$A$4,'Category Averages'!E$2:E$4)</f>
        <v>0.98640561041793251</v>
      </c>
      <c r="K169" s="63">
        <f>_xlfn.XLOOKUP($A169,'Data 2024'!$A:$A,'Data 2024'!Q:Q)/_xlfn.XLOOKUP($B169,'Category Averages'!$A$2:$A$4,'Category Averages'!F$2:F$4)</f>
        <v>0.44089098142734934</v>
      </c>
    </row>
    <row r="170" spans="1:11" ht="18" customHeight="1">
      <c r="A170" s="56">
        <v>4790900</v>
      </c>
      <c r="B170" s="54" t="str">
        <f>_xlfn.XLOOKUP(A170,'Data 2024'!A:A,'Data 2024'!D:D)</f>
        <v>Region 1</v>
      </c>
      <c r="C170" s="58" t="s">
        <v>1069</v>
      </c>
      <c r="D170" s="58" t="s">
        <v>830</v>
      </c>
      <c r="E170" s="58" t="s">
        <v>948</v>
      </c>
      <c r="F170" s="58" t="s">
        <v>1070</v>
      </c>
      <c r="G170" s="55">
        <f>_xlfn.XLOOKUP($A170,'Data 2024'!$A:$A,'Data 2024'!I:I)/_xlfn.XLOOKUP($B170,'Category Averages'!$A$2:$A$4,'Category Averages'!$B$2:$B$4)</f>
        <v>1.2062703551531011</v>
      </c>
      <c r="H170" s="55">
        <f>_xlfn.XLOOKUP($A170,'Data 2024'!$A:$A,'Data 2024'!J:J)/_xlfn.XLOOKUP($B170,'Category Averages'!$A$2:$A$4,'Category Averages'!C$2:C$4)</f>
        <v>1.0888341873829539</v>
      </c>
      <c r="I170" s="55">
        <f>_xlfn.XLOOKUP($A170,'Data 2024'!$A:$A,'Data 2024'!K:K)/_xlfn.XLOOKUP($B170,'Category Averages'!$A$2:$A$4,'Category Averages'!D$2:D$4)</f>
        <v>0.91487897308632882</v>
      </c>
      <c r="J170" s="63">
        <f>_xlfn.XLOOKUP($A170,'Data 2024'!$A:$A,'Data 2024'!P:P)/_xlfn.XLOOKUP($B170,'Category Averages'!$A$2:$A$4,'Category Averages'!E$2:E$4)</f>
        <v>0.49826527709818613</v>
      </c>
      <c r="K170" s="63">
        <f>_xlfn.XLOOKUP($A170,'Data 2024'!$A:$A,'Data 2024'!Q:Q)/_xlfn.XLOOKUP($B170,'Category Averages'!$A$2:$A$4,'Category Averages'!F$2:F$4)</f>
        <v>0.40068247440779425</v>
      </c>
    </row>
    <row r="171" spans="1:11" ht="18" customHeight="1">
      <c r="A171" s="56">
        <v>4793500</v>
      </c>
      <c r="B171" s="54" t="str">
        <f>_xlfn.XLOOKUP(A171,'Data 2024'!A:A,'Data 2024'!D:D)</f>
        <v>Region 2</v>
      </c>
      <c r="C171" s="58" t="s">
        <v>1071</v>
      </c>
      <c r="D171" s="58" t="s">
        <v>808</v>
      </c>
      <c r="E171" s="58" t="s">
        <v>814</v>
      </c>
      <c r="F171" s="58" t="s">
        <v>1028</v>
      </c>
      <c r="G171" s="55">
        <f>_xlfn.XLOOKUP($A171,'Data 2024'!$A:$A,'Data 2024'!I:I)/_xlfn.XLOOKUP($B171,'Category Averages'!$A$2:$A$4,'Category Averages'!$B$2:$B$4)</f>
        <v>0.70966483911231271</v>
      </c>
      <c r="H171" s="55">
        <f>_xlfn.XLOOKUP($A171,'Data 2024'!$A:$A,'Data 2024'!J:J)/_xlfn.XLOOKUP($B171,'Category Averages'!$A$2:$A$4,'Category Averages'!C$2:C$4)</f>
        <v>0.72045076933091945</v>
      </c>
      <c r="I171" s="55">
        <f>_xlfn.XLOOKUP($A171,'Data 2024'!$A:$A,'Data 2024'!K:K)/_xlfn.XLOOKUP($B171,'Category Averages'!$A$2:$A$4,'Category Averages'!D$2:D$4)</f>
        <v>0.68568684028731763</v>
      </c>
      <c r="J171" s="63">
        <f>_xlfn.XLOOKUP($A171,'Data 2024'!$A:$A,'Data 2024'!P:P)/_xlfn.XLOOKUP($B171,'Category Averages'!$A$2:$A$4,'Category Averages'!E$2:E$4)</f>
        <v>1.0230473047534503</v>
      </c>
      <c r="K171" s="63">
        <f>_xlfn.XLOOKUP($A171,'Data 2024'!$A:$A,'Data 2024'!Q:Q)/_xlfn.XLOOKUP($B171,'Category Averages'!$A$2:$A$4,'Category Averages'!F$2:F$4)</f>
        <v>1.7180676481917125</v>
      </c>
    </row>
    <row r="172" spans="1:11" ht="18" customHeight="1">
      <c r="A172" s="56">
        <v>4796200</v>
      </c>
      <c r="B172" s="54" t="str">
        <f>_xlfn.XLOOKUP(A172,'Data 2024'!A:A,'Data 2024'!D:D)</f>
        <v>Region 2</v>
      </c>
      <c r="C172" s="58" t="s">
        <v>1072</v>
      </c>
      <c r="D172" s="58" t="s">
        <v>808</v>
      </c>
      <c r="E172" s="58" t="s">
        <v>814</v>
      </c>
      <c r="F172" s="58" t="s">
        <v>1020</v>
      </c>
      <c r="G172" s="55">
        <f>_xlfn.XLOOKUP($A172,'Data 2024'!$A:$A,'Data 2024'!I:I)/_xlfn.XLOOKUP($B172,'Category Averages'!$A$2:$A$4,'Category Averages'!$B$2:$B$4)</f>
        <v>1.7895276335316619</v>
      </c>
      <c r="H172" s="55">
        <f>_xlfn.XLOOKUP($A172,'Data 2024'!$A:$A,'Data 2024'!J:J)/_xlfn.XLOOKUP($B172,'Category Averages'!$A$2:$A$4,'Category Averages'!C$2:C$4)</f>
        <v>1.7083701495641888</v>
      </c>
      <c r="I172" s="55">
        <f>_xlfn.XLOOKUP($A172,'Data 2024'!$A:$A,'Data 2024'!K:K)/_xlfn.XLOOKUP($B172,'Category Averages'!$A$2:$A$4,'Category Averages'!D$2:D$4)</f>
        <v>1.7067574281452136</v>
      </c>
      <c r="J172" s="63">
        <f>_xlfn.XLOOKUP($A172,'Data 2024'!$A:$A,'Data 2024'!P:P)/_xlfn.XLOOKUP($B172,'Category Averages'!$A$2:$A$4,'Category Averages'!E$2:E$4)</f>
        <v>0.59112442753174588</v>
      </c>
      <c r="K172" s="63">
        <f>_xlfn.XLOOKUP($A172,'Data 2024'!$A:$A,'Data 2024'!Q:Q)/_xlfn.XLOOKUP($B172,'Category Averages'!$A$2:$A$4,'Category Averages'!F$2:F$4)</f>
        <v>0.65081248236499845</v>
      </c>
    </row>
    <row r="173" spans="1:11" ht="18" customHeight="1">
      <c r="A173" s="56">
        <v>4796300</v>
      </c>
      <c r="B173" s="54" t="str">
        <f>_xlfn.XLOOKUP(A173,'Data 2024'!A:A,'Data 2024'!D:D)</f>
        <v>Region 2</v>
      </c>
      <c r="C173" s="58" t="s">
        <v>1073</v>
      </c>
      <c r="D173" s="58" t="s">
        <v>808</v>
      </c>
      <c r="E173" s="58" t="s">
        <v>814</v>
      </c>
      <c r="F173" s="58" t="s">
        <v>1020</v>
      </c>
      <c r="G173" s="55">
        <f>_xlfn.XLOOKUP($A173,'Data 2024'!$A:$A,'Data 2024'!I:I)/_xlfn.XLOOKUP($B173,'Category Averages'!$A$2:$A$4,'Category Averages'!$B$2:$B$4)</f>
        <v>2.21445687912518</v>
      </c>
      <c r="H173" s="55">
        <f>_xlfn.XLOOKUP($A173,'Data 2024'!$A:$A,'Data 2024'!J:J)/_xlfn.XLOOKUP($B173,'Category Averages'!$A$2:$A$4,'Category Averages'!C$2:C$4)</f>
        <v>1.8539184646472684</v>
      </c>
      <c r="I173" s="55">
        <f>_xlfn.XLOOKUP($A173,'Data 2024'!$A:$A,'Data 2024'!K:K)/_xlfn.XLOOKUP($B173,'Category Averages'!$A$2:$A$4,'Category Averages'!D$2:D$4)</f>
        <v>1.736706520867227</v>
      </c>
      <c r="J173" s="63">
        <f>_xlfn.XLOOKUP($A173,'Data 2024'!$A:$A,'Data 2024'!P:P)/_xlfn.XLOOKUP($B173,'Category Averages'!$A$2:$A$4,'Category Averages'!E$2:E$4)</f>
        <v>0.47204615136304257</v>
      </c>
      <c r="K173" s="63">
        <f>_xlfn.XLOOKUP($A173,'Data 2024'!$A:$A,'Data 2024'!Q:Q)/_xlfn.XLOOKUP($B173,'Category Averages'!$A$2:$A$4,'Category Averages'!F$2:F$4)</f>
        <v>0.46950384403768464</v>
      </c>
    </row>
    <row r="174" spans="1:11" ht="18" customHeight="1">
      <c r="A174" s="56">
        <v>4797200</v>
      </c>
      <c r="B174" s="54" t="str">
        <f>_xlfn.XLOOKUP(A174,'Data 2024'!A:A,'Data 2024'!D:D)</f>
        <v>Region 12</v>
      </c>
      <c r="C174" s="58" t="s">
        <v>1074</v>
      </c>
      <c r="D174" s="58" t="s">
        <v>808</v>
      </c>
      <c r="E174" s="58" t="s">
        <v>814</v>
      </c>
      <c r="F174" s="58" t="s">
        <v>1075</v>
      </c>
      <c r="G174" s="55">
        <f>_xlfn.XLOOKUP($A174,'Data 2024'!$A:$A,'Data 2024'!I:I)/_xlfn.XLOOKUP($B174,'Category Averages'!$A$2:$A$4,'Category Averages'!$B$2:$B$4)</f>
        <v>1.5487488170044237</v>
      </c>
      <c r="H174" s="55" t="e">
        <f>_xlfn.XLOOKUP($A174,'Data 2024'!$A:$A,'Data 2024'!J:J)/_xlfn.XLOOKUP($B174,'Category Averages'!$A$2:$A$4,'Category Averages'!C$2:C$4)</f>
        <v>#DIV/0!</v>
      </c>
      <c r="I174" s="55">
        <f>_xlfn.XLOOKUP($A174,'Data 2024'!$A:$A,'Data 2024'!K:K)/_xlfn.XLOOKUP($B174,'Category Averages'!$A$2:$A$4,'Category Averages'!D$2:D$4)</f>
        <v>2.8972967193683088</v>
      </c>
      <c r="J174" s="63">
        <f>_xlfn.XLOOKUP($A174,'Data 2024'!$A:$A,'Data 2024'!P:P)/_xlfn.XLOOKUP($B174,'Category Averages'!$A$2:$A$4,'Category Averages'!E$2:E$4)</f>
        <v>0.47801455592109693</v>
      </c>
      <c r="K174" s="63">
        <f>_xlfn.XLOOKUP($A174,'Data 2024'!$A:$A,'Data 2024'!Q:Q)/_xlfn.XLOOKUP($B174,'Category Averages'!$A$2:$A$4,'Category Averages'!F$2:F$4)</f>
        <v>2.1603780547255282</v>
      </c>
    </row>
    <row r="175" spans="1:11" ht="18" customHeight="1">
      <c r="A175" s="56">
        <v>4798300</v>
      </c>
      <c r="B175" s="54" t="str">
        <f>_xlfn.XLOOKUP(A175,'Data 2024'!A:A,'Data 2024'!D:D)</f>
        <v>Region 2</v>
      </c>
      <c r="C175" s="58" t="s">
        <v>1076</v>
      </c>
      <c r="D175" s="58" t="s">
        <v>830</v>
      </c>
      <c r="E175" s="58" t="s">
        <v>948</v>
      </c>
      <c r="F175" s="58" t="s">
        <v>1067</v>
      </c>
      <c r="G175" s="55">
        <f>_xlfn.XLOOKUP($A175,'Data 2024'!$A:$A,'Data 2024'!I:I)/_xlfn.XLOOKUP($B175,'Category Averages'!$A$2:$A$4,'Category Averages'!$B$2:$B$4)</f>
        <v>0.87959816171962302</v>
      </c>
      <c r="H175" s="55">
        <f>_xlfn.XLOOKUP($A175,'Data 2024'!$A:$A,'Data 2024'!J:J)/_xlfn.XLOOKUP($B175,'Category Averages'!$A$2:$A$4,'Category Averages'!C$2:C$4)</f>
        <v>0.91495636943815639</v>
      </c>
      <c r="I175" s="55">
        <f>_xlfn.XLOOKUP($A175,'Data 2024'!$A:$A,'Data 2024'!K:K)/_xlfn.XLOOKUP($B175,'Category Averages'!$A$2:$A$4,'Category Averages'!D$2:D$4)</f>
        <v>0.59988263262812991</v>
      </c>
      <c r="J175" s="63">
        <f>_xlfn.XLOOKUP($A175,'Data 2024'!$A:$A,'Data 2024'!P:P)/_xlfn.XLOOKUP($B175,'Category Averages'!$A$2:$A$4,'Category Averages'!E$2:E$4)</f>
        <v>1.5798377517166555</v>
      </c>
      <c r="K175" s="63">
        <f>_xlfn.XLOOKUP($A175,'Data 2024'!$A:$A,'Data 2024'!Q:Q)/_xlfn.XLOOKUP($B175,'Category Averages'!$A$2:$A$4,'Category Averages'!F$2:F$4)</f>
        <v>1.5348239834858148</v>
      </c>
    </row>
    <row r="176" spans="1:11" ht="18" customHeight="1">
      <c r="A176" s="56">
        <v>4799400</v>
      </c>
      <c r="B176" s="54" t="str">
        <f>_xlfn.XLOOKUP(A176,'Data 2024'!A:A,'Data 2024'!D:D)</f>
        <v>Region 2</v>
      </c>
      <c r="C176" s="58" t="s">
        <v>1077</v>
      </c>
      <c r="D176" s="58" t="s">
        <v>808</v>
      </c>
      <c r="E176" s="58" t="s">
        <v>814</v>
      </c>
      <c r="F176" s="58" t="s">
        <v>1020</v>
      </c>
      <c r="G176" s="55">
        <f>_xlfn.XLOOKUP($A176,'Data 2024'!$A:$A,'Data 2024'!I:I)/_xlfn.XLOOKUP($B176,'Category Averages'!$A$2:$A$4,'Category Averages'!$B$2:$B$4)</f>
        <v>0.67834609896081011</v>
      </c>
      <c r="H176" s="55">
        <f>_xlfn.XLOOKUP($A176,'Data 2024'!$A:$A,'Data 2024'!J:J)/_xlfn.XLOOKUP($B176,'Category Averages'!$A$2:$A$4,'Category Averages'!C$2:C$4)</f>
        <v>0.60664891220012729</v>
      </c>
      <c r="I176" s="55">
        <f>_xlfn.XLOOKUP($A176,'Data 2024'!$A:$A,'Data 2024'!K:K)/_xlfn.XLOOKUP($B176,'Category Averages'!$A$2:$A$4,'Category Averages'!D$2:D$4)</f>
        <v>0.4623450000777683</v>
      </c>
      <c r="J176" s="63">
        <f>_xlfn.XLOOKUP($A176,'Data 2024'!$A:$A,'Data 2024'!P:P)/_xlfn.XLOOKUP($B176,'Category Averages'!$A$2:$A$4,'Category Averages'!E$2:E$4)</f>
        <v>1.7760473959620335</v>
      </c>
      <c r="K176" s="63">
        <f>_xlfn.XLOOKUP($A176,'Data 2024'!$A:$A,'Data 2024'!Q:Q)/_xlfn.XLOOKUP($B176,'Category Averages'!$A$2:$A$4,'Category Averages'!F$2:F$4)</f>
        <v>1.7390904675615957</v>
      </c>
    </row>
    <row r="177" spans="1:11" ht="18" customHeight="1">
      <c r="A177" s="56">
        <v>4808200</v>
      </c>
      <c r="B177" s="54" t="str">
        <f>_xlfn.XLOOKUP(A177,'Data 2024'!A:A,'Data 2024'!D:D)</f>
        <v>Region 2</v>
      </c>
      <c r="C177" s="58" t="s">
        <v>1078</v>
      </c>
      <c r="D177" s="58" t="s">
        <v>808</v>
      </c>
      <c r="E177" s="58" t="s">
        <v>838</v>
      </c>
      <c r="F177" s="58" t="s">
        <v>890</v>
      </c>
      <c r="G177" s="55">
        <f>_xlfn.XLOOKUP($A177,'Data 2024'!$A:$A,'Data 2024'!I:I)/_xlfn.XLOOKUP($B177,'Category Averages'!$A$2:$A$4,'Category Averages'!$B$2:$B$4)</f>
        <v>0.4430549204408718</v>
      </c>
      <c r="H177" s="55">
        <f>_xlfn.XLOOKUP($A177,'Data 2024'!$A:$A,'Data 2024'!J:J)/_xlfn.XLOOKUP($B177,'Category Averages'!$A$2:$A$4,'Category Averages'!C$2:C$4)</f>
        <v>0.6146895069708227</v>
      </c>
      <c r="I177" s="55">
        <f>_xlfn.XLOOKUP($A177,'Data 2024'!$A:$A,'Data 2024'!K:K)/_xlfn.XLOOKUP($B177,'Category Averages'!$A$2:$A$4,'Category Averages'!D$2:D$4)</f>
        <v>0.71460138459306211</v>
      </c>
      <c r="J177" s="63">
        <f>_xlfn.XLOOKUP($A177,'Data 2024'!$A:$A,'Data 2024'!P:P)/_xlfn.XLOOKUP($B177,'Category Averages'!$A$2:$A$4,'Category Averages'!E$2:E$4)</f>
        <v>0.90579872206769307</v>
      </c>
      <c r="K177" s="63">
        <f>_xlfn.XLOOKUP($A177,'Data 2024'!$A:$A,'Data 2024'!Q:Q)/_xlfn.XLOOKUP($B177,'Category Averages'!$A$2:$A$4,'Category Averages'!F$2:F$4)</f>
        <v>0.59659143601334486</v>
      </c>
    </row>
    <row r="178" spans="1:11" ht="18" customHeight="1">
      <c r="A178" s="56">
        <v>4878300</v>
      </c>
      <c r="B178" s="54" t="str">
        <f>_xlfn.XLOOKUP(A178,'Data 2024'!A:A,'Data 2024'!D:D)</f>
        <v>Region 1</v>
      </c>
      <c r="C178" s="58" t="s">
        <v>1079</v>
      </c>
      <c r="D178" s="58" t="s">
        <v>830</v>
      </c>
      <c r="E178" s="58" t="s">
        <v>951</v>
      </c>
      <c r="F178" s="58" t="s">
        <v>1080</v>
      </c>
      <c r="G178" s="55">
        <f>_xlfn.XLOOKUP($A178,'Data 2024'!$A:$A,'Data 2024'!I:I)/_xlfn.XLOOKUP($B178,'Category Averages'!$A$2:$A$4,'Category Averages'!$B$2:$B$4)</f>
        <v>1.4058402261096126</v>
      </c>
      <c r="H178" s="55">
        <f>_xlfn.XLOOKUP($A178,'Data 2024'!$A:$A,'Data 2024'!J:J)/_xlfn.XLOOKUP($B178,'Category Averages'!$A$2:$A$4,'Category Averages'!C$2:C$4)</f>
        <v>0</v>
      </c>
      <c r="I178" s="55">
        <f>_xlfn.XLOOKUP($A178,'Data 2024'!$A:$A,'Data 2024'!K:K)/_xlfn.XLOOKUP($B178,'Category Averages'!$A$2:$A$4,'Category Averages'!D$2:D$4)</f>
        <v>0.99209996614016038</v>
      </c>
      <c r="J178" s="63">
        <f>_xlfn.XLOOKUP($A178,'Data 2024'!$A:$A,'Data 2024'!P:P)/_xlfn.XLOOKUP($B178,'Category Averages'!$A$2:$A$4,'Category Averages'!E$2:E$4)</f>
        <v>1.0467337942863235</v>
      </c>
      <c r="K178" s="63">
        <f>_xlfn.XLOOKUP($A178,'Data 2024'!$A:$A,'Data 2024'!Q:Q)/_xlfn.XLOOKUP($B178,'Category Averages'!$A$2:$A$4,'Category Averages'!F$2:F$4)</f>
        <v>1.0206304613879309</v>
      </c>
    </row>
    <row r="179" spans="1:11" ht="18" customHeight="1">
      <c r="A179" s="54">
        <v>4890500</v>
      </c>
      <c r="B179" s="54" t="str">
        <f>_xlfn.XLOOKUP(A179,'Data 2024'!A:A,'Data 2024'!D:D)</f>
        <v>Region 2</v>
      </c>
      <c r="C179" s="57" t="s">
        <v>1081</v>
      </c>
      <c r="D179" s="57" t="s">
        <v>830</v>
      </c>
      <c r="E179" s="57" t="s">
        <v>996</v>
      </c>
      <c r="F179" s="57" t="s">
        <v>1059</v>
      </c>
      <c r="G179" s="55">
        <f>_xlfn.XLOOKUP($A179,'Data 2024'!$A:$A,'Data 2024'!I:I)/_xlfn.XLOOKUP($B179,'Category Averages'!$A$2:$A$4,'Category Averages'!$B$2:$B$4)</f>
        <v>0.85108647619860045</v>
      </c>
      <c r="H179" s="55">
        <f>_xlfn.XLOOKUP($A179,'Data 2024'!$A:$A,'Data 2024'!J:J)/_xlfn.XLOOKUP($B179,'Category Averages'!$A$2:$A$4,'Category Averages'!C$2:C$4)</f>
        <v>0.46433108247383709</v>
      </c>
      <c r="I179" s="55">
        <f>_xlfn.XLOOKUP($A179,'Data 2024'!$A:$A,'Data 2024'!K:K)/_xlfn.XLOOKUP($B179,'Category Averages'!$A$2:$A$4,'Category Averages'!D$2:D$4)</f>
        <v>0.65143015281283279</v>
      </c>
      <c r="J179" s="63">
        <f>_xlfn.XLOOKUP($A179,'Data 2024'!$A:$A,'Data 2024'!P:P)/_xlfn.XLOOKUP($B179,'Category Averages'!$A$2:$A$4,'Category Averages'!E$2:E$4)</f>
        <v>2.134788493369149</v>
      </c>
      <c r="K179" s="63">
        <f>_xlfn.XLOOKUP($A179,'Data 2024'!$A:$A,'Data 2024'!Q:Q)/_xlfn.XLOOKUP($B179,'Category Averages'!$A$2:$A$4,'Category Averages'!F$2:F$4)</f>
        <v>3.8669488237895462</v>
      </c>
    </row>
    <row r="180" spans="1:11" ht="18" customHeight="1">
      <c r="A180" s="56">
        <v>4893400</v>
      </c>
      <c r="B180" s="54" t="str">
        <f>_xlfn.XLOOKUP(A180,'Data 2024'!A:A,'Data 2024'!D:D)</f>
        <v>Region 2</v>
      </c>
      <c r="C180" s="58" t="s">
        <v>1082</v>
      </c>
      <c r="D180" s="58" t="s">
        <v>830</v>
      </c>
      <c r="E180" s="58" t="s">
        <v>996</v>
      </c>
      <c r="F180" s="58" t="s">
        <v>1083</v>
      </c>
      <c r="G180" s="55">
        <f>_xlfn.XLOOKUP($A180,'Data 2024'!$A:$A,'Data 2024'!I:I)/_xlfn.XLOOKUP($B180,'Category Averages'!$A$2:$A$4,'Category Averages'!$B$2:$B$4)</f>
        <v>1.0530373909380897</v>
      </c>
      <c r="H180" s="55">
        <f>_xlfn.XLOOKUP($A180,'Data 2024'!$A:$A,'Data 2024'!J:J)/_xlfn.XLOOKUP($B180,'Category Averages'!$A$2:$A$4,'Category Averages'!C$2:C$4)</f>
        <v>0.44238740051024156</v>
      </c>
      <c r="I180" s="55">
        <f>_xlfn.XLOOKUP($A180,'Data 2024'!$A:$A,'Data 2024'!K:K)/_xlfn.XLOOKUP($B180,'Category Averages'!$A$2:$A$4,'Category Averages'!D$2:D$4)</f>
        <v>0.56616983380259467</v>
      </c>
      <c r="J180" s="63">
        <f>_xlfn.XLOOKUP($A180,'Data 2024'!$A:$A,'Data 2024'!P:P)/_xlfn.XLOOKUP($B180,'Category Averages'!$A$2:$A$4,'Category Averages'!E$2:E$4)</f>
        <v>0.87105798896008324</v>
      </c>
      <c r="K180" s="63">
        <f>_xlfn.XLOOKUP($A180,'Data 2024'!$A:$A,'Data 2024'!Q:Q)/_xlfn.XLOOKUP($B180,'Category Averages'!$A$2:$A$4,'Category Averages'!F$2:F$4)</f>
        <v>0.44822422799570344</v>
      </c>
    </row>
    <row r="181" spans="1:11" ht="18" customHeight="1">
      <c r="A181" s="56">
        <v>4895300</v>
      </c>
      <c r="B181" s="54" t="str">
        <f>_xlfn.XLOOKUP(A181,'Data 2024'!A:A,'Data 2024'!D:D)</f>
        <v>Region 1</v>
      </c>
      <c r="C181" s="58" t="s">
        <v>1084</v>
      </c>
      <c r="D181" s="58" t="s">
        <v>830</v>
      </c>
      <c r="E181" s="58" t="s">
        <v>996</v>
      </c>
      <c r="F181" s="58" t="s">
        <v>1083</v>
      </c>
      <c r="G181" s="55">
        <f>_xlfn.XLOOKUP($A181,'Data 2024'!$A:$A,'Data 2024'!I:I)/_xlfn.XLOOKUP($B181,'Category Averages'!$A$2:$A$4,'Category Averages'!$B$2:$B$4)</f>
        <v>1.2351419457517143</v>
      </c>
      <c r="H181" s="55">
        <f>_xlfn.XLOOKUP($A181,'Data 2024'!$A:$A,'Data 2024'!J:J)/_xlfn.XLOOKUP($B181,'Category Averages'!$A$2:$A$4,'Category Averages'!C$2:C$4)</f>
        <v>1.0691097818734179</v>
      </c>
      <c r="I181" s="55">
        <f>_xlfn.XLOOKUP($A181,'Data 2024'!$A:$A,'Data 2024'!K:K)/_xlfn.XLOOKUP($B181,'Category Averages'!$A$2:$A$4,'Category Averages'!D$2:D$4)</f>
        <v>0.86959562811397173</v>
      </c>
      <c r="J181" s="63">
        <f>_xlfn.XLOOKUP($A181,'Data 2024'!$A:$A,'Data 2024'!P:P)/_xlfn.XLOOKUP($B181,'Category Averages'!$A$2:$A$4,'Category Averages'!E$2:E$4)</f>
        <v>1.7784097712783842</v>
      </c>
      <c r="K181" s="63">
        <f>_xlfn.XLOOKUP($A181,'Data 2024'!$A:$A,'Data 2024'!Q:Q)/_xlfn.XLOOKUP($B181,'Category Averages'!$A$2:$A$4,'Category Averages'!F$2:F$4)</f>
        <v>2.1664145935208947</v>
      </c>
    </row>
    <row r="182" spans="1:11" ht="18" customHeight="1">
      <c r="A182" s="56">
        <v>4896400</v>
      </c>
      <c r="B182" s="54" t="str">
        <f>_xlfn.XLOOKUP(A182,'Data 2024'!A:A,'Data 2024'!D:D)</f>
        <v>Region 2</v>
      </c>
      <c r="C182" s="58" t="s">
        <v>1085</v>
      </c>
      <c r="D182" s="58" t="s">
        <v>830</v>
      </c>
      <c r="E182" s="58" t="s">
        <v>996</v>
      </c>
      <c r="F182" s="58" t="s">
        <v>1083</v>
      </c>
      <c r="G182" s="55">
        <f>_xlfn.XLOOKUP($A182,'Data 2024'!$A:$A,'Data 2024'!I:I)/_xlfn.XLOOKUP($B182,'Category Averages'!$A$2:$A$4,'Category Averages'!$B$2:$B$4)</f>
        <v>0.99163823858708877</v>
      </c>
      <c r="H182" s="55">
        <f>_xlfn.XLOOKUP($A182,'Data 2024'!$A:$A,'Data 2024'!J:J)/_xlfn.XLOOKUP($B182,'Category Averages'!$A$2:$A$4,'Category Averages'!C$2:C$4)</f>
        <v>0.49165555153043533</v>
      </c>
      <c r="I182" s="55">
        <f>_xlfn.XLOOKUP($A182,'Data 2024'!$A:$A,'Data 2024'!K:K)/_xlfn.XLOOKUP($B182,'Category Averages'!$A$2:$A$4,'Category Averages'!D$2:D$4)</f>
        <v>0.83353120321078478</v>
      </c>
      <c r="J182" s="63">
        <f>_xlfn.XLOOKUP($A182,'Data 2024'!$A:$A,'Data 2024'!P:P)/_xlfn.XLOOKUP($B182,'Category Averages'!$A$2:$A$4,'Category Averages'!E$2:E$4)</f>
        <v>1.1099247516060555</v>
      </c>
      <c r="K182" s="63">
        <f>_xlfn.XLOOKUP($A182,'Data 2024'!$A:$A,'Data 2024'!Q:Q)/_xlfn.XLOOKUP($B182,'Category Averages'!$A$2:$A$4,'Category Averages'!F$2:F$4)</f>
        <v>0.84103163372233514</v>
      </c>
    </row>
    <row r="183" spans="1:11" ht="18" customHeight="1">
      <c r="A183" s="56">
        <v>4898600</v>
      </c>
      <c r="B183" s="54" t="str">
        <f>_xlfn.XLOOKUP(A183,'Data 2024'!A:A,'Data 2024'!D:D)</f>
        <v>Region 1</v>
      </c>
      <c r="C183" s="58" t="s">
        <v>1086</v>
      </c>
      <c r="D183" s="58" t="s">
        <v>830</v>
      </c>
      <c r="E183" s="58" t="s">
        <v>996</v>
      </c>
      <c r="F183" s="58" t="s">
        <v>1005</v>
      </c>
      <c r="G183" s="55">
        <f>_xlfn.XLOOKUP($A183,'Data 2024'!$A:$A,'Data 2024'!I:I)/_xlfn.XLOOKUP($B183,'Category Averages'!$A$2:$A$4,'Category Averages'!$B$2:$B$4)</f>
        <v>1.3810246103307025</v>
      </c>
      <c r="H183" s="55">
        <f>_xlfn.XLOOKUP($A183,'Data 2024'!$A:$A,'Data 2024'!J:J)/_xlfn.XLOOKUP($B183,'Category Averages'!$A$2:$A$4,'Category Averages'!C$2:C$4)</f>
        <v>1.6666379444768411</v>
      </c>
      <c r="I183" s="55">
        <f>_xlfn.XLOOKUP($A183,'Data 2024'!$A:$A,'Data 2024'!K:K)/_xlfn.XLOOKUP($B183,'Category Averages'!$A$2:$A$4,'Category Averages'!D$2:D$4)</f>
        <v>1.1638815538096474</v>
      </c>
      <c r="J183" s="63">
        <f>_xlfn.XLOOKUP($A183,'Data 2024'!$A:$A,'Data 2024'!P:P)/_xlfn.XLOOKUP($B183,'Category Averages'!$A$2:$A$4,'Category Averages'!E$2:E$4)</f>
        <v>1.0368238910139216</v>
      </c>
      <c r="K183" s="63">
        <f>_xlfn.XLOOKUP($A183,'Data 2024'!$A:$A,'Data 2024'!Q:Q)/_xlfn.XLOOKUP($B183,'Category Averages'!$A$2:$A$4,'Category Averages'!F$2:F$4)</f>
        <v>0.35594850359937064</v>
      </c>
    </row>
    <row r="184" spans="1:11" ht="18" customHeight="1">
      <c r="A184" s="56">
        <v>4899700</v>
      </c>
      <c r="B184" s="54" t="str">
        <f>_xlfn.XLOOKUP(A184,'Data 2024'!A:A,'Data 2024'!D:D)</f>
        <v>Region 2</v>
      </c>
      <c r="C184" s="58" t="s">
        <v>1087</v>
      </c>
      <c r="D184" s="58" t="s">
        <v>830</v>
      </c>
      <c r="E184" s="58" t="s">
        <v>996</v>
      </c>
      <c r="F184" s="58" t="s">
        <v>1059</v>
      </c>
      <c r="G184" s="55">
        <f>_xlfn.XLOOKUP($A184,'Data 2024'!$A:$A,'Data 2024'!I:I)/_xlfn.XLOOKUP($B184,'Category Averages'!$A$2:$A$4,'Category Averages'!$B$2:$B$4)</f>
        <v>1.1518143114518355</v>
      </c>
      <c r="H184" s="55">
        <f>_xlfn.XLOOKUP($A184,'Data 2024'!$A:$A,'Data 2024'!J:J)/_xlfn.XLOOKUP($B184,'Category Averages'!$A$2:$A$4,'Category Averages'!C$2:C$4)</f>
        <v>1.0750844084393532</v>
      </c>
      <c r="I184" s="55">
        <f>_xlfn.XLOOKUP($A184,'Data 2024'!$A:$A,'Data 2024'!K:K)/_xlfn.XLOOKUP($B184,'Category Averages'!$A$2:$A$4,'Category Averages'!D$2:D$4)</f>
        <v>1.0241145151848632</v>
      </c>
      <c r="J184" s="63">
        <f>_xlfn.XLOOKUP($A184,'Data 2024'!$A:$A,'Data 2024'!P:P)/_xlfn.XLOOKUP($B184,'Category Averages'!$A$2:$A$4,'Category Averages'!E$2:E$4)</f>
        <v>0.57004911267521552</v>
      </c>
      <c r="K184" s="63">
        <f>_xlfn.XLOOKUP($A184,'Data 2024'!$A:$A,'Data 2024'!Q:Q)/_xlfn.XLOOKUP($B184,'Category Averages'!$A$2:$A$4,'Category Averages'!F$2:F$4)</f>
        <v>0.43197008007262133</v>
      </c>
    </row>
    <row r="185" spans="1:11" ht="18" customHeight="1">
      <c r="A185" s="56">
        <v>4901900</v>
      </c>
      <c r="B185" s="54" t="str">
        <f>_xlfn.XLOOKUP(A185,'Data 2024'!A:A,'Data 2024'!D:D)</f>
        <v>Region 2</v>
      </c>
      <c r="C185" s="58" t="s">
        <v>1088</v>
      </c>
      <c r="D185" s="58" t="s">
        <v>830</v>
      </c>
      <c r="E185" s="58" t="s">
        <v>951</v>
      </c>
      <c r="F185" s="58" t="s">
        <v>1080</v>
      </c>
      <c r="G185" s="55">
        <f>_xlfn.XLOOKUP($A185,'Data 2024'!$A:$A,'Data 2024'!I:I)/_xlfn.XLOOKUP($B185,'Category Averages'!$A$2:$A$4,'Category Averages'!$B$2:$B$4)</f>
        <v>1.4670663134205295</v>
      </c>
      <c r="H185" s="55">
        <f>_xlfn.XLOOKUP($A185,'Data 2024'!$A:$A,'Data 2024'!J:J)/_xlfn.XLOOKUP($B185,'Category Averages'!$A$2:$A$4,'Category Averages'!C$2:C$4)</f>
        <v>0.89959269382871487</v>
      </c>
      <c r="I185" s="55">
        <f>_xlfn.XLOOKUP($A185,'Data 2024'!$A:$A,'Data 2024'!K:K)/_xlfn.XLOOKUP($B185,'Category Averages'!$A$2:$A$4,'Category Averages'!D$2:D$4)</f>
        <v>1.2013731122653082</v>
      </c>
      <c r="J185" s="63">
        <f>_xlfn.XLOOKUP($A185,'Data 2024'!$A:$A,'Data 2024'!P:P)/_xlfn.XLOOKUP($B185,'Category Averages'!$A$2:$A$4,'Category Averages'!E$2:E$4)</f>
        <v>1.2940494937469724</v>
      </c>
      <c r="K185" s="63">
        <f>_xlfn.XLOOKUP($A185,'Data 2024'!$A:$A,'Data 2024'!Q:Q)/_xlfn.XLOOKUP($B185,'Category Averages'!$A$2:$A$4,'Category Averages'!F$2:F$4)</f>
        <v>0.67506861620018366</v>
      </c>
    </row>
    <row r="186" spans="1:11" ht="18" customHeight="1">
      <c r="A186" s="56">
        <v>4903000</v>
      </c>
      <c r="B186" s="54" t="str">
        <f>_xlfn.XLOOKUP(A186,'Data 2024'!A:A,'Data 2024'!D:D)</f>
        <v>Region 1</v>
      </c>
      <c r="C186" s="58" t="s">
        <v>1089</v>
      </c>
      <c r="D186" s="58" t="s">
        <v>830</v>
      </c>
      <c r="E186" s="58" t="s">
        <v>951</v>
      </c>
      <c r="F186" s="58" t="s">
        <v>1080</v>
      </c>
      <c r="G186" s="55">
        <f>_xlfn.XLOOKUP($A186,'Data 2024'!$A:$A,'Data 2024'!I:I)/_xlfn.XLOOKUP($B186,'Category Averages'!$A$2:$A$4,'Category Averages'!$B$2:$B$4)</f>
        <v>1.1078343149219236</v>
      </c>
      <c r="H186" s="55">
        <f>_xlfn.XLOOKUP($A186,'Data 2024'!$A:$A,'Data 2024'!J:J)/_xlfn.XLOOKUP($B186,'Category Averages'!$A$2:$A$4,'Category Averages'!C$2:C$4)</f>
        <v>0.59071554479540955</v>
      </c>
      <c r="I186" s="55">
        <f>_xlfn.XLOOKUP($A186,'Data 2024'!$A:$A,'Data 2024'!K:K)/_xlfn.XLOOKUP($B186,'Category Averages'!$A$2:$A$4,'Category Averages'!D$2:D$4)</f>
        <v>0.60590808757034931</v>
      </c>
      <c r="J186" s="63">
        <f>_xlfn.XLOOKUP($A186,'Data 2024'!$A:$A,'Data 2024'!P:P)/_xlfn.XLOOKUP($B186,'Category Averages'!$A$2:$A$4,'Category Averages'!E$2:E$4)</f>
        <v>2.711482221782135</v>
      </c>
      <c r="K186" s="63">
        <f>_xlfn.XLOOKUP($A186,'Data 2024'!$A:$A,'Data 2024'!Q:Q)/_xlfn.XLOOKUP($B186,'Category Averages'!$A$2:$A$4,'Category Averages'!F$2:F$4)</f>
        <v>0.80421231407445115</v>
      </c>
    </row>
    <row r="187" spans="1:11" ht="18" customHeight="1">
      <c r="A187" s="56">
        <v>5482400</v>
      </c>
      <c r="B187" s="54" t="str">
        <f>_xlfn.XLOOKUP(A187,'Data 2024'!A:A,'Data 2024'!D:D)</f>
        <v>Region 12</v>
      </c>
      <c r="C187" s="58" t="s">
        <v>1090</v>
      </c>
      <c r="D187" s="58" t="s">
        <v>865</v>
      </c>
      <c r="E187" s="58" t="s">
        <v>1091</v>
      </c>
      <c r="F187" s="58" t="s">
        <v>1092</v>
      </c>
      <c r="G187" s="55">
        <f>_xlfn.XLOOKUP($A187,'Data 2024'!$A:$A,'Data 2024'!I:I)/_xlfn.XLOOKUP($B187,'Category Averages'!$A$2:$A$4,'Category Averages'!$B$2:$B$4)</f>
        <v>0.39379579005411863</v>
      </c>
      <c r="H187" s="55" t="e">
        <f>_xlfn.XLOOKUP($A187,'Data 2024'!$A:$A,'Data 2024'!J:J)/_xlfn.XLOOKUP($B187,'Category Averages'!$A$2:$A$4,'Category Averages'!C$2:C$4)</f>
        <v>#DIV/0!</v>
      </c>
      <c r="I187" s="55">
        <f>_xlfn.XLOOKUP($A187,'Data 2024'!$A:$A,'Data 2024'!K:K)/_xlfn.XLOOKUP($B187,'Category Averages'!$A$2:$A$4,'Category Averages'!D$2:D$4)</f>
        <v>0</v>
      </c>
      <c r="J187" s="63">
        <f>_xlfn.XLOOKUP($A187,'Data 2024'!$A:$A,'Data 2024'!P:P)/_xlfn.XLOOKUP($B187,'Category Averages'!$A$2:$A$4,'Category Averages'!E$2:E$4)</f>
        <v>0</v>
      </c>
      <c r="K187" s="63">
        <f>_xlfn.XLOOKUP($A187,'Data 2024'!$A:$A,'Data 2024'!Q:Q)/_xlfn.XLOOKUP($B187,'Category Averages'!$A$2:$A$4,'Category Averages'!F$2:F$4)</f>
        <v>3.0516866227799082</v>
      </c>
    </row>
    <row r="188" spans="1:11" ht="18" customHeight="1">
      <c r="A188" s="56">
        <v>5485400</v>
      </c>
      <c r="B188" s="54" t="str">
        <f>_xlfn.XLOOKUP(A188,'Data 2024'!A:A,'Data 2024'!D:D)</f>
        <v>Region 1</v>
      </c>
      <c r="C188" s="58" t="s">
        <v>1093</v>
      </c>
      <c r="D188" s="58" t="s">
        <v>865</v>
      </c>
      <c r="E188" s="58" t="s">
        <v>931</v>
      </c>
      <c r="F188" s="58" t="s">
        <v>1094</v>
      </c>
      <c r="G188" s="55">
        <f>_xlfn.XLOOKUP($A188,'Data 2024'!$A:$A,'Data 2024'!I:I)/_xlfn.XLOOKUP($B188,'Category Averages'!$A$2:$A$4,'Category Averages'!$B$2:$B$4)</f>
        <v>1.0316649069274071</v>
      </c>
      <c r="H188" s="55">
        <f>_xlfn.XLOOKUP($A188,'Data 2024'!$A:$A,'Data 2024'!J:J)/_xlfn.XLOOKUP($B188,'Category Averages'!$A$2:$A$4,'Category Averages'!C$2:C$4)</f>
        <v>1.2069712358642077</v>
      </c>
      <c r="I188" s="55">
        <f>_xlfn.XLOOKUP($A188,'Data 2024'!$A:$A,'Data 2024'!K:K)/_xlfn.XLOOKUP($B188,'Category Averages'!$A$2:$A$4,'Category Averages'!D$2:D$4)</f>
        <v>0.8895069088937968</v>
      </c>
      <c r="J188" s="63">
        <f>_xlfn.XLOOKUP($A188,'Data 2024'!$A:$A,'Data 2024'!P:P)/_xlfn.XLOOKUP($B188,'Category Averages'!$A$2:$A$4,'Category Averages'!E$2:E$4)</f>
        <v>1.1167385763666642</v>
      </c>
      <c r="K188" s="63">
        <f>_xlfn.XLOOKUP($A188,'Data 2024'!$A:$A,'Data 2024'!Q:Q)/_xlfn.XLOOKUP($B188,'Category Averages'!$A$2:$A$4,'Category Averages'!F$2:F$4)</f>
        <v>3.0970542920991351</v>
      </c>
    </row>
    <row r="189" spans="1:11" ht="18" customHeight="1">
      <c r="A189" s="56">
        <v>5492000</v>
      </c>
      <c r="B189" s="54" t="str">
        <f>_xlfn.XLOOKUP(A189,'Data 2024'!A:A,'Data 2024'!D:D)</f>
        <v>Region 12</v>
      </c>
      <c r="C189" s="58" t="s">
        <v>1095</v>
      </c>
      <c r="D189" s="58" t="s">
        <v>865</v>
      </c>
      <c r="E189" s="58" t="s">
        <v>872</v>
      </c>
      <c r="F189" s="58" t="s">
        <v>1096</v>
      </c>
      <c r="G189" s="55">
        <f>_xlfn.XLOOKUP($A189,'Data 2024'!$A:$A,'Data 2024'!I:I)/_xlfn.XLOOKUP($B189,'Category Averages'!$A$2:$A$4,'Category Averages'!$B$2:$B$4)</f>
        <v>0.3804371052927551</v>
      </c>
      <c r="H189" s="55" t="e">
        <f>_xlfn.XLOOKUP($A189,'Data 2024'!$A:$A,'Data 2024'!J:J)/_xlfn.XLOOKUP($B189,'Category Averages'!$A$2:$A$4,'Category Averages'!C$2:C$4)</f>
        <v>#DIV/0!</v>
      </c>
      <c r="I189" s="55">
        <f>_xlfn.XLOOKUP($A189,'Data 2024'!$A:$A,'Data 2024'!K:K)/_xlfn.XLOOKUP($B189,'Category Averages'!$A$2:$A$4,'Category Averages'!D$2:D$4)</f>
        <v>0</v>
      </c>
      <c r="J189" s="63">
        <f>_xlfn.XLOOKUP($A189,'Data 2024'!$A:$A,'Data 2024'!P:P)/_xlfn.XLOOKUP($B189,'Category Averages'!$A$2:$A$4,'Category Averages'!E$2:E$4)</f>
        <v>0</v>
      </c>
      <c r="K189" s="63">
        <f>_xlfn.XLOOKUP($A189,'Data 2024'!$A:$A,'Data 2024'!Q:Q)/_xlfn.XLOOKUP($B189,'Category Averages'!$A$2:$A$4,'Category Averages'!F$2:F$4)</f>
        <v>0.63715708212673405</v>
      </c>
    </row>
    <row r="190" spans="1:11" ht="18" customHeight="1">
      <c r="A190" s="56">
        <v>5494200</v>
      </c>
      <c r="B190" s="54" t="str">
        <f>_xlfn.XLOOKUP(A190,'Data 2024'!A:A,'Data 2024'!D:D)</f>
        <v>Region 1</v>
      </c>
      <c r="C190" s="58" t="s">
        <v>1097</v>
      </c>
      <c r="D190" s="58" t="s">
        <v>865</v>
      </c>
      <c r="E190" s="58" t="s">
        <v>931</v>
      </c>
      <c r="F190" s="58" t="s">
        <v>1094</v>
      </c>
      <c r="G190" s="55">
        <f>_xlfn.XLOOKUP($A190,'Data 2024'!$A:$A,'Data 2024'!I:I)/_xlfn.XLOOKUP($B190,'Category Averages'!$A$2:$A$4,'Category Averages'!$B$2:$B$4)</f>
        <v>0.70988781722622163</v>
      </c>
      <c r="H190" s="55">
        <f>_xlfn.XLOOKUP($A190,'Data 2024'!$A:$A,'Data 2024'!J:J)/_xlfn.XLOOKUP($B190,'Category Averages'!$A$2:$A$4,'Category Averages'!C$2:C$4)</f>
        <v>0.92789418740662533</v>
      </c>
      <c r="I190" s="55">
        <f>_xlfn.XLOOKUP($A190,'Data 2024'!$A:$A,'Data 2024'!K:K)/_xlfn.XLOOKUP($B190,'Category Averages'!$A$2:$A$4,'Category Averages'!D$2:D$4)</f>
        <v>0.85646086633342344</v>
      </c>
      <c r="J190" s="63">
        <f>_xlfn.XLOOKUP($A190,'Data 2024'!$A:$A,'Data 2024'!P:P)/_xlfn.XLOOKUP($B190,'Category Averages'!$A$2:$A$4,'Category Averages'!E$2:E$4)</f>
        <v>0.90252965896265092</v>
      </c>
      <c r="K190" s="63">
        <f>_xlfn.XLOOKUP($A190,'Data 2024'!$A:$A,'Data 2024'!Q:Q)/_xlfn.XLOOKUP($B190,'Category Averages'!$A$2:$A$4,'Category Averages'!F$2:F$4)</f>
        <v>1.1118410027798131</v>
      </c>
    </row>
    <row r="191" spans="1:11" ht="18" customHeight="1">
      <c r="A191" s="56">
        <v>5495200</v>
      </c>
      <c r="B191" s="54" t="str">
        <f>_xlfn.XLOOKUP(A191,'Data 2024'!A:A,'Data 2024'!D:D)</f>
        <v>Region 2</v>
      </c>
      <c r="C191" s="58" t="s">
        <v>1098</v>
      </c>
      <c r="D191" s="58" t="s">
        <v>865</v>
      </c>
      <c r="E191" s="58" t="s">
        <v>931</v>
      </c>
      <c r="F191" s="58" t="s">
        <v>1099</v>
      </c>
      <c r="G191" s="55">
        <f>_xlfn.XLOOKUP($A191,'Data 2024'!$A:$A,'Data 2024'!I:I)/_xlfn.XLOOKUP($B191,'Category Averages'!$A$2:$A$4,'Category Averages'!$B$2:$B$4)</f>
        <v>1.0486468561739</v>
      </c>
      <c r="H191" s="55">
        <f>_xlfn.XLOOKUP($A191,'Data 2024'!$A:$A,'Data 2024'!J:J)/_xlfn.XLOOKUP($B191,'Category Averages'!$A$2:$A$4,'Category Averages'!C$2:C$4)</f>
        <v>0.97417677092539667</v>
      </c>
      <c r="I191" s="55">
        <f>_xlfn.XLOOKUP($A191,'Data 2024'!$A:$A,'Data 2024'!K:K)/_xlfn.XLOOKUP($B191,'Category Averages'!$A$2:$A$4,'Category Averages'!D$2:D$4)</f>
        <v>1.2230979936994515</v>
      </c>
      <c r="J191" s="63">
        <f>_xlfn.XLOOKUP($A191,'Data 2024'!$A:$A,'Data 2024'!P:P)/_xlfn.XLOOKUP($B191,'Category Averages'!$A$2:$A$4,'Category Averages'!E$2:E$4)</f>
        <v>0.78941385235846229</v>
      </c>
      <c r="K191" s="63">
        <f>_xlfn.XLOOKUP($A191,'Data 2024'!$A:$A,'Data 2024'!Q:Q)/_xlfn.XLOOKUP($B191,'Category Averages'!$A$2:$A$4,'Category Averages'!F$2:F$4)</f>
        <v>1.0351607818385566</v>
      </c>
    </row>
    <row r="192" spans="1:11" ht="18" customHeight="1">
      <c r="A192" s="54">
        <v>5501200</v>
      </c>
      <c r="B192" s="54" t="str">
        <f>_xlfn.XLOOKUP(A192,'Data 2024'!A:A,'Data 2024'!D:D)</f>
        <v>Region 12</v>
      </c>
      <c r="C192" s="57" t="s">
        <v>1100</v>
      </c>
      <c r="D192" s="57" t="s">
        <v>865</v>
      </c>
      <c r="E192" s="57" t="s">
        <v>872</v>
      </c>
      <c r="F192" s="57" t="s">
        <v>1101</v>
      </c>
      <c r="G192" s="55">
        <f>_xlfn.XLOOKUP($A192,'Data 2024'!$A:$A,'Data 2024'!I:I)/_xlfn.XLOOKUP($B192,'Category Averages'!$A$2:$A$4,'Category Averages'!$B$2:$B$4)</f>
        <v>0.43174289034798352</v>
      </c>
      <c r="H192" s="55" t="e">
        <f>_xlfn.XLOOKUP($A192,'Data 2024'!$A:$A,'Data 2024'!J:J)/_xlfn.XLOOKUP($B192,'Category Averages'!$A$2:$A$4,'Category Averages'!C$2:C$4)</f>
        <v>#DIV/0!</v>
      </c>
      <c r="I192" s="55">
        <f>_xlfn.XLOOKUP($A192,'Data 2024'!$A:$A,'Data 2024'!K:K)/_xlfn.XLOOKUP($B192,'Category Averages'!$A$2:$A$4,'Category Averages'!D$2:D$4)</f>
        <v>0</v>
      </c>
      <c r="J192" s="63">
        <f>_xlfn.XLOOKUP($A192,'Data 2024'!$A:$A,'Data 2024'!P:P)/_xlfn.XLOOKUP($B192,'Category Averages'!$A$2:$A$4,'Category Averages'!E$2:E$4)</f>
        <v>0</v>
      </c>
      <c r="K192" s="63">
        <f>_xlfn.XLOOKUP($A192,'Data 2024'!$A:$A,'Data 2024'!Q:Q)/_xlfn.XLOOKUP($B192,'Category Averages'!$A$2:$A$4,'Category Averages'!F$2:F$4)</f>
        <v>0.15222437157802141</v>
      </c>
    </row>
    <row r="193" spans="1:11" ht="18" customHeight="1">
      <c r="A193" s="54">
        <v>5504900</v>
      </c>
      <c r="B193" s="54" t="str">
        <f>_xlfn.XLOOKUP(A193,'Data 2024'!A:A,'Data 2024'!D:D)</f>
        <v>Region 2</v>
      </c>
      <c r="C193" s="57" t="s">
        <v>1102</v>
      </c>
      <c r="D193" s="57" t="s">
        <v>865</v>
      </c>
      <c r="E193" s="57" t="s">
        <v>872</v>
      </c>
      <c r="F193" s="57" t="s">
        <v>1101</v>
      </c>
      <c r="G193" s="55">
        <f>_xlfn.XLOOKUP($A193,'Data 2024'!$A:$A,'Data 2024'!I:I)/_xlfn.XLOOKUP($B193,'Category Averages'!$A$2:$A$4,'Category Averages'!$B$2:$B$4)</f>
        <v>0.71810147582586914</v>
      </c>
      <c r="H193" s="55">
        <f>_xlfn.XLOOKUP($A193,'Data 2024'!$A:$A,'Data 2024'!J:J)/_xlfn.XLOOKUP($B193,'Category Averages'!$A$2:$A$4,'Category Averages'!C$2:C$4)</f>
        <v>2.0794046211346289</v>
      </c>
      <c r="I193" s="55">
        <f>_xlfn.XLOOKUP($A193,'Data 2024'!$A:$A,'Data 2024'!K:K)/_xlfn.XLOOKUP($B193,'Category Averages'!$A$2:$A$4,'Category Averages'!D$2:D$4)</f>
        <v>1.0859385943655175</v>
      </c>
      <c r="J193" s="63">
        <f>_xlfn.XLOOKUP($A193,'Data 2024'!$A:$A,'Data 2024'!P:P)/_xlfn.XLOOKUP($B193,'Category Averages'!$A$2:$A$4,'Category Averages'!E$2:E$4)</f>
        <v>0.69856600532022284</v>
      </c>
      <c r="K193" s="63">
        <f>_xlfn.XLOOKUP($A193,'Data 2024'!$A:$A,'Data 2024'!Q:Q)/_xlfn.XLOOKUP($B193,'Category Averages'!$A$2:$A$4,'Category Averages'!F$2:F$4)</f>
        <v>0.30327556711222703</v>
      </c>
    </row>
    <row r="194" spans="1:11" ht="18" customHeight="1">
      <c r="A194" s="56">
        <v>5507900</v>
      </c>
      <c r="B194" s="54" t="str">
        <f>_xlfn.XLOOKUP(A194,'Data 2024'!A:A,'Data 2024'!D:D)</f>
        <v>Region 2</v>
      </c>
      <c r="C194" s="58" t="s">
        <v>1103</v>
      </c>
      <c r="D194" s="58" t="s">
        <v>865</v>
      </c>
      <c r="E194" s="58" t="s">
        <v>931</v>
      </c>
      <c r="F194" s="58" t="s">
        <v>1099</v>
      </c>
      <c r="G194" s="55">
        <f>_xlfn.XLOOKUP($A194,'Data 2024'!$A:$A,'Data 2024'!I:I)/_xlfn.XLOOKUP($B194,'Category Averages'!$A$2:$A$4,'Category Averages'!$B$2:$B$4)</f>
        <v>0.96539269893404189</v>
      </c>
      <c r="H194" s="55">
        <f>_xlfn.XLOOKUP($A194,'Data 2024'!$A:$A,'Data 2024'!J:J)/_xlfn.XLOOKUP($B194,'Category Averages'!$A$2:$A$4,'Category Averages'!C$2:C$4)</f>
        <v>1.1292784389672053</v>
      </c>
      <c r="I194" s="55">
        <f>_xlfn.XLOOKUP($A194,'Data 2024'!$A:$A,'Data 2024'!K:K)/_xlfn.XLOOKUP($B194,'Category Averages'!$A$2:$A$4,'Category Averages'!D$2:D$4)</f>
        <v>1.0909888770889093</v>
      </c>
      <c r="J194" s="63">
        <f>_xlfn.XLOOKUP($A194,'Data 2024'!$A:$A,'Data 2024'!P:P)/_xlfn.XLOOKUP($B194,'Category Averages'!$A$2:$A$4,'Category Averages'!E$2:E$4)</f>
        <v>0.51260332391260965</v>
      </c>
      <c r="K194" s="63">
        <f>_xlfn.XLOOKUP($A194,'Data 2024'!$A:$A,'Data 2024'!Q:Q)/_xlfn.XLOOKUP($B194,'Category Averages'!$A$2:$A$4,'Category Averages'!F$2:F$4)</f>
        <v>0.88036381433676181</v>
      </c>
    </row>
    <row r="195" spans="1:11" ht="18" customHeight="1">
      <c r="A195" s="56">
        <v>5510100</v>
      </c>
      <c r="B195" s="54" t="str">
        <f>_xlfn.XLOOKUP(A195,'Data 2024'!A:A,'Data 2024'!D:D)</f>
        <v>Region 2</v>
      </c>
      <c r="C195" s="58" t="s">
        <v>1104</v>
      </c>
      <c r="D195" s="58" t="s">
        <v>865</v>
      </c>
      <c r="E195" s="58" t="s">
        <v>872</v>
      </c>
      <c r="F195" s="58" t="s">
        <v>1096</v>
      </c>
      <c r="G195" s="55">
        <f>_xlfn.XLOOKUP($A195,'Data 2024'!$A:$A,'Data 2024'!I:I)/_xlfn.XLOOKUP($B195,'Category Averages'!$A$2:$A$4,'Category Averages'!$B$2:$B$4)</f>
        <v>0.54791960241702242</v>
      </c>
      <c r="H195" s="55">
        <f>_xlfn.XLOOKUP($A195,'Data 2024'!$A:$A,'Data 2024'!J:J)/_xlfn.XLOOKUP($B195,'Category Averages'!$A$2:$A$4,'Category Averages'!C$2:C$4)</f>
        <v>0.68777783315039365</v>
      </c>
      <c r="I195" s="55">
        <f>_xlfn.XLOOKUP($A195,'Data 2024'!$A:$A,'Data 2024'!K:K)/_xlfn.XLOOKUP($B195,'Category Averages'!$A$2:$A$4,'Category Averages'!D$2:D$4)</f>
        <v>0.6824288350134261</v>
      </c>
      <c r="J195" s="63">
        <f>_xlfn.XLOOKUP($A195,'Data 2024'!$A:$A,'Data 2024'!P:P)/_xlfn.XLOOKUP($B195,'Category Averages'!$A$2:$A$4,'Category Averages'!E$2:E$4)</f>
        <v>0.98178356894532137</v>
      </c>
      <c r="K195" s="63">
        <f>_xlfn.XLOOKUP($A195,'Data 2024'!$A:$A,'Data 2024'!Q:Q)/_xlfn.XLOOKUP($B195,'Category Averages'!$A$2:$A$4,'Category Averages'!F$2:F$4)</f>
        <v>2.3038156692613549</v>
      </c>
    </row>
    <row r="196" spans="1:11" ht="18" customHeight="1">
      <c r="A196" s="56">
        <v>5510500</v>
      </c>
      <c r="B196" s="54" t="str">
        <f>_xlfn.XLOOKUP(A196,'Data 2024'!A:A,'Data 2024'!D:D)</f>
        <v>Region 2</v>
      </c>
      <c r="C196" s="58" t="s">
        <v>1105</v>
      </c>
      <c r="D196" s="58" t="s">
        <v>865</v>
      </c>
      <c r="E196" s="58" t="s">
        <v>931</v>
      </c>
      <c r="F196" s="58" t="s">
        <v>1094</v>
      </c>
      <c r="G196" s="55">
        <f>_xlfn.XLOOKUP($A196,'Data 2024'!$A:$A,'Data 2024'!I:I)/_xlfn.XLOOKUP($B196,'Category Averages'!$A$2:$A$4,'Category Averages'!$B$2:$B$4)</f>
        <v>0.64955282746819765</v>
      </c>
      <c r="H196" s="55">
        <f>_xlfn.XLOOKUP($A196,'Data 2024'!$A:$A,'Data 2024'!J:J)/_xlfn.XLOOKUP($B196,'Category Averages'!$A$2:$A$4,'Category Averages'!C$2:C$4)</f>
        <v>0.37015386114837839</v>
      </c>
      <c r="I196" s="55">
        <f>_xlfn.XLOOKUP($A196,'Data 2024'!$A:$A,'Data 2024'!K:K)/_xlfn.XLOOKUP($B196,'Category Averages'!$A$2:$A$4,'Category Averages'!D$2:D$4)</f>
        <v>0.60911218319385363</v>
      </c>
      <c r="J196" s="63">
        <f>_xlfn.XLOOKUP($A196,'Data 2024'!$A:$A,'Data 2024'!P:P)/_xlfn.XLOOKUP($B196,'Category Averages'!$A$2:$A$4,'Category Averages'!E$2:E$4)</f>
        <v>2.150322900939563</v>
      </c>
      <c r="K196" s="63">
        <f>_xlfn.XLOOKUP($A196,'Data 2024'!$A:$A,'Data 2024'!Q:Q)/_xlfn.XLOOKUP($B196,'Category Averages'!$A$2:$A$4,'Category Averages'!F$2:F$4)</f>
        <v>2.766080224596553</v>
      </c>
    </row>
    <row r="197" spans="1:11" ht="18" customHeight="1">
      <c r="A197" s="56">
        <v>5512300</v>
      </c>
      <c r="B197" s="54" t="str">
        <f>_xlfn.XLOOKUP(A197,'Data 2024'!A:A,'Data 2024'!D:D)</f>
        <v>Region 1</v>
      </c>
      <c r="C197" s="58" t="s">
        <v>1106</v>
      </c>
      <c r="D197" s="58" t="s">
        <v>865</v>
      </c>
      <c r="E197" s="58" t="s">
        <v>1091</v>
      </c>
      <c r="F197" s="58" t="s">
        <v>1107</v>
      </c>
      <c r="G197" s="55">
        <f>_xlfn.XLOOKUP($A197,'Data 2024'!$A:$A,'Data 2024'!I:I)/_xlfn.XLOOKUP($B197,'Category Averages'!$A$2:$A$4,'Category Averages'!$B$2:$B$4)</f>
        <v>0.38903897621402123</v>
      </c>
      <c r="H197" s="55">
        <f>_xlfn.XLOOKUP($A197,'Data 2024'!$A:$A,'Data 2024'!J:J)/_xlfn.XLOOKUP($B197,'Category Averages'!$A$2:$A$4,'Category Averages'!C$2:C$4)</f>
        <v>0.48108850032922246</v>
      </c>
      <c r="I197" s="55">
        <f>_xlfn.XLOOKUP($A197,'Data 2024'!$A:$A,'Data 2024'!K:K)/_xlfn.XLOOKUP($B197,'Category Averages'!$A$2:$A$4,'Category Averages'!D$2:D$4)</f>
        <v>0.4636526500125242</v>
      </c>
      <c r="J197" s="63">
        <f>_xlfn.XLOOKUP($A197,'Data 2024'!$A:$A,'Data 2024'!P:P)/_xlfn.XLOOKUP($B197,'Category Averages'!$A$2:$A$4,'Category Averages'!E$2:E$4)</f>
        <v>4.9923657827679131</v>
      </c>
      <c r="K197" s="63">
        <f>_xlfn.XLOOKUP($A197,'Data 2024'!$A:$A,'Data 2024'!Q:Q)/_xlfn.XLOOKUP($B197,'Category Averages'!$A$2:$A$4,'Category Averages'!F$2:F$4)</f>
        <v>7.6426738055538257</v>
      </c>
    </row>
    <row r="198" spans="1:11" ht="18" customHeight="1">
      <c r="A198" s="56">
        <v>5513400</v>
      </c>
      <c r="B198" s="54" t="str">
        <f>_xlfn.XLOOKUP(A198,'Data 2024'!A:A,'Data 2024'!D:D)</f>
        <v>Region 1</v>
      </c>
      <c r="C198" s="58" t="s">
        <v>1108</v>
      </c>
      <c r="D198" s="58" t="s">
        <v>865</v>
      </c>
      <c r="E198" s="58" t="s">
        <v>866</v>
      </c>
      <c r="F198" s="58" t="s">
        <v>1109</v>
      </c>
      <c r="G198" s="55">
        <f>_xlfn.XLOOKUP($A198,'Data 2024'!$A:$A,'Data 2024'!I:I)/_xlfn.XLOOKUP($B198,'Category Averages'!$A$2:$A$4,'Category Averages'!$B$2:$B$4)</f>
        <v>0.64581884446813898</v>
      </c>
      <c r="H198" s="55">
        <f>_xlfn.XLOOKUP($A198,'Data 2024'!$A:$A,'Data 2024'!J:J)/_xlfn.XLOOKUP($B198,'Category Averages'!$A$2:$A$4,'Category Averages'!C$2:C$4)</f>
        <v>0.92811165044945998</v>
      </c>
      <c r="I198" s="55">
        <f>_xlfn.XLOOKUP($A198,'Data 2024'!$A:$A,'Data 2024'!K:K)/_xlfn.XLOOKUP($B198,'Category Averages'!$A$2:$A$4,'Category Averages'!D$2:D$4)</f>
        <v>0.95871678038405606</v>
      </c>
      <c r="J198" s="63">
        <f>_xlfn.XLOOKUP($A198,'Data 2024'!$A:$A,'Data 2024'!P:P)/_xlfn.XLOOKUP($B198,'Category Averages'!$A$2:$A$4,'Category Averages'!E$2:E$4)</f>
        <v>1.3877403390116969</v>
      </c>
      <c r="K198" s="63">
        <f>_xlfn.XLOOKUP($A198,'Data 2024'!$A:$A,'Data 2024'!Q:Q)/_xlfn.XLOOKUP($B198,'Category Averages'!$A$2:$A$4,'Category Averages'!F$2:F$4)</f>
        <v>1.1962922127422513</v>
      </c>
    </row>
    <row r="199" spans="1:11" ht="18" customHeight="1">
      <c r="A199" s="56">
        <v>5514500</v>
      </c>
      <c r="B199" s="54" t="str">
        <f>_xlfn.XLOOKUP(A199,'Data 2024'!A:A,'Data 2024'!D:D)</f>
        <v>Region 1</v>
      </c>
      <c r="C199" s="58" t="s">
        <v>1110</v>
      </c>
      <c r="D199" s="58" t="s">
        <v>865</v>
      </c>
      <c r="E199" s="58" t="s">
        <v>1091</v>
      </c>
      <c r="F199" s="58" t="s">
        <v>1107</v>
      </c>
      <c r="G199" s="55">
        <f>_xlfn.XLOOKUP($A199,'Data 2024'!$A:$A,'Data 2024'!I:I)/_xlfn.XLOOKUP($B199,'Category Averages'!$A$2:$A$4,'Category Averages'!$B$2:$B$4)</f>
        <v>1.2938137365342928</v>
      </c>
      <c r="H199" s="55">
        <f>_xlfn.XLOOKUP($A199,'Data 2024'!$A:$A,'Data 2024'!J:J)/_xlfn.XLOOKUP($B199,'Category Averages'!$A$2:$A$4,'Category Averages'!C$2:C$4)</f>
        <v>0</v>
      </c>
      <c r="I199" s="55">
        <f>_xlfn.XLOOKUP($A199,'Data 2024'!$A:$A,'Data 2024'!K:K)/_xlfn.XLOOKUP($B199,'Category Averages'!$A$2:$A$4,'Category Averages'!D$2:D$4)</f>
        <v>1.088431793669052</v>
      </c>
      <c r="J199" s="63">
        <f>_xlfn.XLOOKUP($A199,'Data 2024'!$A:$A,'Data 2024'!P:P)/_xlfn.XLOOKUP($B199,'Category Averages'!$A$2:$A$4,'Category Averages'!E$2:E$4)</f>
        <v>0.73541778023106708</v>
      </c>
      <c r="K199" s="63">
        <f>_xlfn.XLOOKUP($A199,'Data 2024'!$A:$A,'Data 2024'!Q:Q)/_xlfn.XLOOKUP($B199,'Category Averages'!$A$2:$A$4,'Category Averages'!F$2:F$4)</f>
        <v>1.965417006298469</v>
      </c>
    </row>
    <row r="200" spans="1:11" ht="18" customHeight="1">
      <c r="A200" s="56">
        <v>5577200</v>
      </c>
      <c r="B200" s="54" t="str">
        <f>_xlfn.XLOOKUP(A200,'Data 2024'!A:A,'Data 2024'!D:D)</f>
        <v>Region 1</v>
      </c>
      <c r="C200" s="58" t="s">
        <v>1111</v>
      </c>
      <c r="D200" s="58" t="s">
        <v>865</v>
      </c>
      <c r="E200" s="58" t="s">
        <v>931</v>
      </c>
      <c r="F200" s="58" t="s">
        <v>1112</v>
      </c>
      <c r="G200" s="55">
        <f>_xlfn.XLOOKUP($A200,'Data 2024'!$A:$A,'Data 2024'!I:I)/_xlfn.XLOOKUP($B200,'Category Averages'!$A$2:$A$4,'Category Averages'!$B$2:$B$4)</f>
        <v>0.66589625547547271</v>
      </c>
      <c r="H200" s="55">
        <f>_xlfn.XLOOKUP($A200,'Data 2024'!$A:$A,'Data 2024'!J:J)/_xlfn.XLOOKUP($B200,'Category Averages'!$A$2:$A$4,'Category Averages'!C$2:C$4)</f>
        <v>0</v>
      </c>
      <c r="I200" s="55">
        <f>_xlfn.XLOOKUP($A200,'Data 2024'!$A:$A,'Data 2024'!K:K)/_xlfn.XLOOKUP($B200,'Category Averages'!$A$2:$A$4,'Category Averages'!D$2:D$4)</f>
        <v>0.79946197329406443</v>
      </c>
      <c r="J200" s="63">
        <f>_xlfn.XLOOKUP($A200,'Data 2024'!$A:$A,'Data 2024'!P:P)/_xlfn.XLOOKUP($B200,'Category Averages'!$A$2:$A$4,'Category Averages'!E$2:E$4)</f>
        <v>1.1587113454061604</v>
      </c>
      <c r="K200" s="63">
        <f>_xlfn.XLOOKUP($A200,'Data 2024'!$A:$A,'Data 2024'!Q:Q)/_xlfn.XLOOKUP($B200,'Category Averages'!$A$2:$A$4,'Category Averages'!F$2:F$4)</f>
        <v>2.3014566785920145</v>
      </c>
    </row>
    <row r="201" spans="1:11" ht="18" customHeight="1">
      <c r="A201" s="56">
        <v>5578300</v>
      </c>
      <c r="B201" s="54" t="str">
        <f>_xlfn.XLOOKUP(A201,'Data 2024'!A:A,'Data 2024'!D:D)</f>
        <v>Region 2</v>
      </c>
      <c r="C201" s="58" t="s">
        <v>1113</v>
      </c>
      <c r="D201" s="58" t="s">
        <v>865</v>
      </c>
      <c r="E201" s="58" t="s">
        <v>872</v>
      </c>
      <c r="F201" s="58" t="s">
        <v>1114</v>
      </c>
      <c r="G201" s="55">
        <f>_xlfn.XLOOKUP($A201,'Data 2024'!$A:$A,'Data 2024'!I:I)/_xlfn.XLOOKUP($B201,'Category Averages'!$A$2:$A$4,'Category Averages'!$B$2:$B$4)</f>
        <v>0.49707782991215782</v>
      </c>
      <c r="H201" s="55">
        <f>_xlfn.XLOOKUP($A201,'Data 2024'!$A:$A,'Data 2024'!J:J)/_xlfn.XLOOKUP($B201,'Category Averages'!$A$2:$A$4,'Category Averages'!C$2:C$4)</f>
        <v>0.34815551445577819</v>
      </c>
      <c r="I201" s="55">
        <f>_xlfn.XLOOKUP($A201,'Data 2024'!$A:$A,'Data 2024'!K:K)/_xlfn.XLOOKUP($B201,'Category Averages'!$A$2:$A$4,'Category Averages'!D$2:D$4)</f>
        <v>0.6761783513730002</v>
      </c>
      <c r="J201" s="63">
        <f>_xlfn.XLOOKUP($A201,'Data 2024'!$A:$A,'Data 2024'!P:P)/_xlfn.XLOOKUP($B201,'Category Averages'!$A$2:$A$4,'Category Averages'!E$2:E$4)</f>
        <v>1.9360530526484012</v>
      </c>
      <c r="K201" s="63">
        <f>_xlfn.XLOOKUP($A201,'Data 2024'!$A:$A,'Data 2024'!Q:Q)/_xlfn.XLOOKUP($B201,'Category Averages'!$A$2:$A$4,'Category Averages'!F$2:F$4)</f>
        <v>2.8813766708109956</v>
      </c>
    </row>
    <row r="202" spans="1:11" ht="18" customHeight="1">
      <c r="A202" s="56">
        <v>5581600</v>
      </c>
      <c r="B202" s="54" t="str">
        <f>_xlfn.XLOOKUP(A202,'Data 2024'!A:A,'Data 2024'!D:D)</f>
        <v>Region 12</v>
      </c>
      <c r="C202" s="58" t="s">
        <v>1115</v>
      </c>
      <c r="D202" s="58" t="s">
        <v>865</v>
      </c>
      <c r="E202" s="58" t="s">
        <v>872</v>
      </c>
      <c r="F202" s="58" t="s">
        <v>1116</v>
      </c>
      <c r="G202" s="55">
        <f>_xlfn.XLOOKUP($A202,'Data 2024'!$A:$A,'Data 2024'!I:I)/_xlfn.XLOOKUP($B202,'Category Averages'!$A$2:$A$4,'Category Averages'!$B$2:$B$4)</f>
        <v>0.51981911376704359</v>
      </c>
      <c r="H202" s="55" t="e">
        <f>_xlfn.XLOOKUP($A202,'Data 2024'!$A:$A,'Data 2024'!J:J)/_xlfn.XLOOKUP($B202,'Category Averages'!$A$2:$A$4,'Category Averages'!C$2:C$4)</f>
        <v>#DIV/0!</v>
      </c>
      <c r="I202" s="55">
        <f>_xlfn.XLOOKUP($A202,'Data 2024'!$A:$A,'Data 2024'!K:K)/_xlfn.XLOOKUP($B202,'Category Averages'!$A$2:$A$4,'Category Averages'!D$2:D$4)</f>
        <v>1.6332802410353231</v>
      </c>
      <c r="J202" s="63">
        <f>_xlfn.XLOOKUP($A202,'Data 2024'!$A:$A,'Data 2024'!P:P)/_xlfn.XLOOKUP($B202,'Category Averages'!$A$2:$A$4,'Category Averages'!E$2:E$4)</f>
        <v>0.64433386060957798</v>
      </c>
      <c r="K202" s="63">
        <f>_xlfn.XLOOKUP($A202,'Data 2024'!$A:$A,'Data 2024'!Q:Q)/_xlfn.XLOOKUP($B202,'Category Averages'!$A$2:$A$4,'Category Averages'!F$2:F$4)</f>
        <v>1.4853779472626449</v>
      </c>
    </row>
    <row r="203" spans="1:11" ht="18" customHeight="1">
      <c r="A203" s="54">
        <v>5592300</v>
      </c>
      <c r="B203" s="54" t="str">
        <f>_xlfn.XLOOKUP(A203,'Data 2024'!A:A,'Data 2024'!D:D)</f>
        <v>Region 1</v>
      </c>
      <c r="C203" s="57" t="s">
        <v>1117</v>
      </c>
      <c r="D203" s="57" t="s">
        <v>865</v>
      </c>
      <c r="E203" s="57" t="s">
        <v>872</v>
      </c>
      <c r="F203" s="57" t="s">
        <v>1114</v>
      </c>
      <c r="G203" s="55">
        <f>_xlfn.XLOOKUP($A203,'Data 2024'!$A:$A,'Data 2024'!I:I)/_xlfn.XLOOKUP($B203,'Category Averages'!$A$2:$A$4,'Category Averages'!$B$2:$B$4)</f>
        <v>1.5511069561122253</v>
      </c>
      <c r="H203" s="55">
        <f>_xlfn.XLOOKUP($A203,'Data 2024'!$A:$A,'Data 2024'!J:J)/_xlfn.XLOOKUP($B203,'Category Averages'!$A$2:$A$4,'Category Averages'!C$2:C$4)</f>
        <v>1.8967949493629597</v>
      </c>
      <c r="I203" s="55">
        <f>_xlfn.XLOOKUP($A203,'Data 2024'!$A:$A,'Data 2024'!K:K)/_xlfn.XLOOKUP($B203,'Category Averages'!$A$2:$A$4,'Category Averages'!D$2:D$4)</f>
        <v>1.559411938971095</v>
      </c>
      <c r="J203" s="63">
        <f>_xlfn.XLOOKUP($A203,'Data 2024'!$A:$A,'Data 2024'!P:P)/_xlfn.XLOOKUP($B203,'Category Averages'!$A$2:$A$4,'Category Averages'!E$2:E$4)</f>
        <v>0.60061548991183988</v>
      </c>
      <c r="K203" s="63">
        <f>_xlfn.XLOOKUP($A203,'Data 2024'!$A:$A,'Data 2024'!Q:Q)/_xlfn.XLOOKUP($B203,'Category Averages'!$A$2:$A$4,'Category Averages'!F$2:F$4)</f>
        <v>0.26281101389125794</v>
      </c>
    </row>
    <row r="204" spans="1:11" ht="18" customHeight="1">
      <c r="A204" s="56">
        <v>5594500</v>
      </c>
      <c r="B204" s="54" t="str">
        <f>_xlfn.XLOOKUP(A204,'Data 2024'!A:A,'Data 2024'!D:D)</f>
        <v>Region 2</v>
      </c>
      <c r="C204" s="58" t="s">
        <v>1118</v>
      </c>
      <c r="D204" s="58" t="s">
        <v>865</v>
      </c>
      <c r="E204" s="58" t="s">
        <v>872</v>
      </c>
      <c r="F204" s="58" t="s">
        <v>1119</v>
      </c>
      <c r="G204" s="55">
        <f>_xlfn.XLOOKUP($A204,'Data 2024'!$A:$A,'Data 2024'!I:I)/_xlfn.XLOOKUP($B204,'Category Averages'!$A$2:$A$4,'Category Averages'!$B$2:$B$4)</f>
        <v>0.85531752750724721</v>
      </c>
      <c r="H204" s="55">
        <f>_xlfn.XLOOKUP($A204,'Data 2024'!$A:$A,'Data 2024'!J:J)/_xlfn.XLOOKUP($B204,'Category Averages'!$A$2:$A$4,'Category Averages'!C$2:C$4)</f>
        <v>1.277778371604168</v>
      </c>
      <c r="I204" s="55">
        <f>_xlfn.XLOOKUP($A204,'Data 2024'!$A:$A,'Data 2024'!K:K)/_xlfn.XLOOKUP($B204,'Category Averages'!$A$2:$A$4,'Category Averages'!D$2:D$4)</f>
        <v>1.1498590493277627</v>
      </c>
      <c r="J204" s="63">
        <f>_xlfn.XLOOKUP($A204,'Data 2024'!$A:$A,'Data 2024'!P:P)/_xlfn.XLOOKUP($B204,'Category Averages'!$A$2:$A$4,'Category Averages'!E$2:E$4)</f>
        <v>0.52616714816028509</v>
      </c>
      <c r="K204" s="63">
        <f>_xlfn.XLOOKUP($A204,'Data 2024'!$A:$A,'Data 2024'!Q:Q)/_xlfn.XLOOKUP($B204,'Category Averages'!$A$2:$A$4,'Category Averages'!F$2:F$4)</f>
        <v>0.4777851998122451</v>
      </c>
    </row>
    <row r="205" spans="1:11" ht="18" customHeight="1">
      <c r="A205" s="56">
        <v>5683000</v>
      </c>
      <c r="B205" s="54" t="str">
        <f>_xlfn.XLOOKUP(A205,'Data 2024'!A:A,'Data 2024'!D:D)</f>
        <v>Region 2</v>
      </c>
      <c r="C205" s="58" t="s">
        <v>1120</v>
      </c>
      <c r="D205" s="58" t="s">
        <v>865</v>
      </c>
      <c r="E205" s="58" t="s">
        <v>872</v>
      </c>
      <c r="F205" s="58" t="s">
        <v>1121</v>
      </c>
      <c r="G205" s="55">
        <f>_xlfn.XLOOKUP($A205,'Data 2024'!$A:$A,'Data 2024'!I:I)/_xlfn.XLOOKUP($B205,'Category Averages'!$A$2:$A$4,'Category Averages'!$B$2:$B$4)</f>
        <v>0.81693308781822194</v>
      </c>
      <c r="H205" s="55">
        <f>_xlfn.XLOOKUP($A205,'Data 2024'!$A:$A,'Data 2024'!J:J)/_xlfn.XLOOKUP($B205,'Category Averages'!$A$2:$A$4,'Category Averages'!C$2:C$4)</f>
        <v>1.0433959804122579</v>
      </c>
      <c r="I205" s="55">
        <f>_xlfn.XLOOKUP($A205,'Data 2024'!$A:$A,'Data 2024'!K:K)/_xlfn.XLOOKUP($B205,'Category Averages'!$A$2:$A$4,'Category Averages'!D$2:D$4)</f>
        <v>0.97832298767733139</v>
      </c>
      <c r="J205" s="63">
        <f>_xlfn.XLOOKUP($A205,'Data 2024'!$A:$A,'Data 2024'!P:P)/_xlfn.XLOOKUP($B205,'Category Averages'!$A$2:$A$4,'Category Averages'!E$2:E$4)</f>
        <v>1.5849716692065667</v>
      </c>
      <c r="K205" s="63">
        <f>_xlfn.XLOOKUP($A205,'Data 2024'!$A:$A,'Data 2024'!Q:Q)/_xlfn.XLOOKUP($B205,'Category Averages'!$A$2:$A$4,'Category Averages'!F$2:F$4)</f>
        <v>2.0333329464742946</v>
      </c>
    </row>
    <row r="206" spans="1:11" ht="18" customHeight="1">
      <c r="A206" s="54">
        <v>5686000</v>
      </c>
      <c r="B206" s="54" t="str">
        <f>_xlfn.XLOOKUP(A206,'Data 2024'!A:A,'Data 2024'!D:D)</f>
        <v>Region 2</v>
      </c>
      <c r="C206" s="57" t="s">
        <v>1122</v>
      </c>
      <c r="D206" s="57" t="s">
        <v>865</v>
      </c>
      <c r="E206" s="57" t="s">
        <v>872</v>
      </c>
      <c r="F206" s="57" t="s">
        <v>1123</v>
      </c>
      <c r="G206" s="55">
        <f>_xlfn.XLOOKUP($A206,'Data 2024'!$A:$A,'Data 2024'!I:I)/_xlfn.XLOOKUP($B206,'Category Averages'!$A$2:$A$4,'Category Averages'!$B$2:$B$4)</f>
        <v>0.72186952347802946</v>
      </c>
      <c r="H206" s="55">
        <f>_xlfn.XLOOKUP($A206,'Data 2024'!$A:$A,'Data 2024'!J:J)/_xlfn.XLOOKUP($B206,'Category Averages'!$A$2:$A$4,'Category Averages'!C$2:C$4)</f>
        <v>0.86745272312245281</v>
      </c>
      <c r="I206" s="55">
        <f>_xlfn.XLOOKUP($A206,'Data 2024'!$A:$A,'Data 2024'!K:K)/_xlfn.XLOOKUP($B206,'Category Averages'!$A$2:$A$4,'Category Averages'!D$2:D$4)</f>
        <v>0.87610460187207095</v>
      </c>
      <c r="J206" s="63">
        <f>_xlfn.XLOOKUP($A206,'Data 2024'!$A:$A,'Data 2024'!P:P)/_xlfn.XLOOKUP($B206,'Category Averages'!$A$2:$A$4,'Category Averages'!E$2:E$4)</f>
        <v>0.76616013696829754</v>
      </c>
      <c r="K206" s="63">
        <f>_xlfn.XLOOKUP($A206,'Data 2024'!$A:$A,'Data 2024'!Q:Q)/_xlfn.XLOOKUP($B206,'Category Averages'!$A$2:$A$4,'Category Averages'!F$2:F$4)</f>
        <v>0.35917638586209788</v>
      </c>
    </row>
    <row r="207" spans="1:11" ht="18" customHeight="1">
      <c r="A207" s="56">
        <v>5688100</v>
      </c>
      <c r="B207" s="54" t="str">
        <f>_xlfn.XLOOKUP(A207,'Data 2024'!A:A,'Data 2024'!D:D)</f>
        <v>Region 2</v>
      </c>
      <c r="C207" s="58" t="s">
        <v>1124</v>
      </c>
      <c r="D207" s="58" t="s">
        <v>865</v>
      </c>
      <c r="E207" s="58" t="s">
        <v>931</v>
      </c>
      <c r="F207" s="58" t="s">
        <v>1099</v>
      </c>
      <c r="G207" s="55">
        <f>_xlfn.XLOOKUP($A207,'Data 2024'!$A:$A,'Data 2024'!I:I)/_xlfn.XLOOKUP($B207,'Category Averages'!$A$2:$A$4,'Category Averages'!$B$2:$B$4)</f>
        <v>1.2796127285287353</v>
      </c>
      <c r="H207" s="55">
        <f>_xlfn.XLOOKUP($A207,'Data 2024'!$A:$A,'Data 2024'!J:J)/_xlfn.XLOOKUP($B207,'Category Averages'!$A$2:$A$4,'Category Averages'!C$2:C$4)</f>
        <v>0.63705419758597059</v>
      </c>
      <c r="I207" s="55">
        <f>_xlfn.XLOOKUP($A207,'Data 2024'!$A:$A,'Data 2024'!K:K)/_xlfn.XLOOKUP($B207,'Category Averages'!$A$2:$A$4,'Category Averages'!D$2:D$4)</f>
        <v>0.83931022070189165</v>
      </c>
      <c r="J207" s="63">
        <f>_xlfn.XLOOKUP($A207,'Data 2024'!$A:$A,'Data 2024'!P:P)/_xlfn.XLOOKUP($B207,'Category Averages'!$A$2:$A$4,'Category Averages'!E$2:E$4)</f>
        <v>0.26631495852061771</v>
      </c>
      <c r="K207" s="63">
        <f>_xlfn.XLOOKUP($A207,'Data 2024'!$A:$A,'Data 2024'!Q:Q)/_xlfn.XLOOKUP($B207,'Category Averages'!$A$2:$A$4,'Category Averages'!F$2:F$4)</f>
        <v>0.77497273924148302</v>
      </c>
    </row>
    <row r="208" spans="1:11" ht="18" customHeight="1">
      <c r="A208" s="56">
        <v>5781100</v>
      </c>
      <c r="B208" s="54" t="str">
        <f>_xlfn.XLOOKUP(A208,'Data 2024'!A:A,'Data 2024'!D:D)</f>
        <v>Region 2</v>
      </c>
      <c r="C208" s="58" t="s">
        <v>1125</v>
      </c>
      <c r="D208" s="58" t="s">
        <v>865</v>
      </c>
      <c r="E208" s="58" t="s">
        <v>1091</v>
      </c>
      <c r="F208" s="58" t="s">
        <v>1126</v>
      </c>
      <c r="G208" s="55">
        <f>_xlfn.XLOOKUP($A208,'Data 2024'!$A:$A,'Data 2024'!I:I)/_xlfn.XLOOKUP($B208,'Category Averages'!$A$2:$A$4,'Category Averages'!$B$2:$B$4)</f>
        <v>1.5533291434970407</v>
      </c>
      <c r="H208" s="55">
        <f>_xlfn.XLOOKUP($A208,'Data 2024'!$A:$A,'Data 2024'!J:J)/_xlfn.XLOOKUP($B208,'Category Averages'!$A$2:$A$4,'Category Averages'!C$2:C$4)</f>
        <v>2.2248449958996313</v>
      </c>
      <c r="I208" s="55">
        <f>_xlfn.XLOOKUP($A208,'Data 2024'!$A:$A,'Data 2024'!K:K)/_xlfn.XLOOKUP($B208,'Category Averages'!$A$2:$A$4,'Category Averages'!D$2:D$4)</f>
        <v>1.8530439344749481</v>
      </c>
      <c r="J208" s="63">
        <f>_xlfn.XLOOKUP($A208,'Data 2024'!$A:$A,'Data 2024'!P:P)/_xlfn.XLOOKUP($B208,'Category Averages'!$A$2:$A$4,'Category Averages'!E$2:E$4)</f>
        <v>0.37139074168419905</v>
      </c>
      <c r="K208" s="63">
        <f>_xlfn.XLOOKUP($A208,'Data 2024'!$A:$A,'Data 2024'!Q:Q)/_xlfn.XLOOKUP($B208,'Category Averages'!$A$2:$A$4,'Category Averages'!F$2:F$4)</f>
        <v>0.10286376469306308</v>
      </c>
    </row>
    <row r="209" spans="1:11" ht="18" customHeight="1">
      <c r="A209" s="56">
        <v>5782200</v>
      </c>
      <c r="B209" s="54" t="str">
        <f>_xlfn.XLOOKUP(A209,'Data 2024'!A:A,'Data 2024'!D:D)</f>
        <v>Region 2</v>
      </c>
      <c r="C209" s="58" t="s">
        <v>1127</v>
      </c>
      <c r="D209" s="58" t="s">
        <v>865</v>
      </c>
      <c r="E209" s="58" t="s">
        <v>1091</v>
      </c>
      <c r="F209" s="58" t="s">
        <v>1128</v>
      </c>
      <c r="G209" s="55">
        <f>_xlfn.XLOOKUP($A209,'Data 2024'!$A:$A,'Data 2024'!I:I)/_xlfn.XLOOKUP($B209,'Category Averages'!$A$2:$A$4,'Category Averages'!$B$2:$B$4)</f>
        <v>0.56474368736908576</v>
      </c>
      <c r="H209" s="55">
        <f>_xlfn.XLOOKUP($A209,'Data 2024'!$A:$A,'Data 2024'!J:J)/_xlfn.XLOOKUP($B209,'Category Averages'!$A$2:$A$4,'Category Averages'!C$2:C$4)</f>
        <v>0.71838911932012195</v>
      </c>
      <c r="I209" s="55">
        <f>_xlfn.XLOOKUP($A209,'Data 2024'!$A:$A,'Data 2024'!K:K)/_xlfn.XLOOKUP($B209,'Category Averages'!$A$2:$A$4,'Category Averages'!D$2:D$4)</f>
        <v>0.76398767761633668</v>
      </c>
      <c r="J209" s="63">
        <f>_xlfn.XLOOKUP($A209,'Data 2024'!$A:$A,'Data 2024'!P:P)/_xlfn.XLOOKUP($B209,'Category Averages'!$A$2:$A$4,'Category Averages'!E$2:E$4)</f>
        <v>1.6980888615092846</v>
      </c>
      <c r="K209" s="63">
        <f>_xlfn.XLOOKUP($A209,'Data 2024'!$A:$A,'Data 2024'!Q:Q)/_xlfn.XLOOKUP($B209,'Category Averages'!$A$2:$A$4,'Category Averages'!F$2:F$4)</f>
        <v>2.4871725698610887</v>
      </c>
    </row>
    <row r="210" spans="1:11" ht="18" customHeight="1">
      <c r="A210" s="56">
        <v>5785200</v>
      </c>
      <c r="B210" s="54" t="str">
        <f>_xlfn.XLOOKUP(A210,'Data 2024'!A:A,'Data 2024'!D:D)</f>
        <v>Region 1</v>
      </c>
      <c r="C210" s="58" t="s">
        <v>1129</v>
      </c>
      <c r="D210" s="58" t="s">
        <v>865</v>
      </c>
      <c r="E210" s="58" t="s">
        <v>866</v>
      </c>
      <c r="F210" s="58" t="s">
        <v>1109</v>
      </c>
      <c r="G210" s="55">
        <f>_xlfn.XLOOKUP($A210,'Data 2024'!$A:$A,'Data 2024'!I:I)/_xlfn.XLOOKUP($B210,'Category Averages'!$A$2:$A$4,'Category Averages'!$B$2:$B$4)</f>
        <v>0.79293799676077503</v>
      </c>
      <c r="H210" s="55">
        <f>_xlfn.XLOOKUP($A210,'Data 2024'!$A:$A,'Data 2024'!J:J)/_xlfn.XLOOKUP($B210,'Category Averages'!$A$2:$A$4,'Category Averages'!C$2:C$4)</f>
        <v>0</v>
      </c>
      <c r="I210" s="55">
        <f>_xlfn.XLOOKUP($A210,'Data 2024'!$A:$A,'Data 2024'!K:K)/_xlfn.XLOOKUP($B210,'Category Averages'!$A$2:$A$4,'Category Averages'!D$2:D$4)</f>
        <v>0.99086975160290081</v>
      </c>
      <c r="J210" s="63">
        <f>_xlfn.XLOOKUP($A210,'Data 2024'!$A:$A,'Data 2024'!P:P)/_xlfn.XLOOKUP($B210,'Category Averages'!$A$2:$A$4,'Category Averages'!E$2:E$4)</f>
        <v>0.7627831050243562</v>
      </c>
      <c r="K210" s="63">
        <f>_xlfn.XLOOKUP($A210,'Data 2024'!$A:$A,'Data 2024'!Q:Q)/_xlfn.XLOOKUP($B210,'Category Averages'!$A$2:$A$4,'Category Averages'!F$2:F$4)</f>
        <v>3.0910069747893512</v>
      </c>
    </row>
    <row r="211" spans="1:11" ht="18" customHeight="1">
      <c r="A211" s="56">
        <v>5786300</v>
      </c>
      <c r="B211" s="54" t="str">
        <f>_xlfn.XLOOKUP(A211,'Data 2024'!A:A,'Data 2024'!D:D)</f>
        <v>Region 12</v>
      </c>
      <c r="C211" s="58" t="s">
        <v>1130</v>
      </c>
      <c r="D211" s="58" t="s">
        <v>865</v>
      </c>
      <c r="E211" s="58" t="s">
        <v>866</v>
      </c>
      <c r="F211" s="58" t="s">
        <v>1131</v>
      </c>
      <c r="G211" s="55">
        <f>_xlfn.XLOOKUP($A211,'Data 2024'!$A:$A,'Data 2024'!I:I)/_xlfn.XLOOKUP($B211,'Category Averages'!$A$2:$A$4,'Category Averages'!$B$2:$B$4)</f>
        <v>0.98251111650957679</v>
      </c>
      <c r="H211" s="55" t="e">
        <f>_xlfn.XLOOKUP($A211,'Data 2024'!$A:$A,'Data 2024'!J:J)/_xlfn.XLOOKUP($B211,'Category Averages'!$A$2:$A$4,'Category Averages'!C$2:C$4)</f>
        <v>#DIV/0!</v>
      </c>
      <c r="I211" s="55">
        <f>_xlfn.XLOOKUP($A211,'Data 2024'!$A:$A,'Data 2024'!K:K)/_xlfn.XLOOKUP($B211,'Category Averages'!$A$2:$A$4,'Category Averages'!D$2:D$4)</f>
        <v>1.6947063501607451</v>
      </c>
      <c r="J211" s="63">
        <f>_xlfn.XLOOKUP($A211,'Data 2024'!$A:$A,'Data 2024'!P:P)/_xlfn.XLOOKUP($B211,'Category Averages'!$A$2:$A$4,'Category Averages'!E$2:E$4)</f>
        <v>1.6160863880859386</v>
      </c>
      <c r="K211" s="63">
        <f>_xlfn.XLOOKUP($A211,'Data 2024'!$A:$A,'Data 2024'!Q:Q)/_xlfn.XLOOKUP($B211,'Category Averages'!$A$2:$A$4,'Category Averages'!F$2:F$4)</f>
        <v>3.674208270412604</v>
      </c>
    </row>
    <row r="212" spans="1:11" ht="18" customHeight="1">
      <c r="A212" s="56">
        <v>5787400</v>
      </c>
      <c r="B212" s="54" t="str">
        <f>_xlfn.XLOOKUP(A212,'Data 2024'!A:A,'Data 2024'!D:D)</f>
        <v>Region 2</v>
      </c>
      <c r="C212" s="58" t="s">
        <v>1132</v>
      </c>
      <c r="D212" s="58" t="s">
        <v>865</v>
      </c>
      <c r="E212" s="58" t="s">
        <v>866</v>
      </c>
      <c r="F212" s="58" t="s">
        <v>1131</v>
      </c>
      <c r="G212" s="55">
        <f>_xlfn.XLOOKUP($A212,'Data 2024'!$A:$A,'Data 2024'!I:I)/_xlfn.XLOOKUP($B212,'Category Averages'!$A$2:$A$4,'Category Averages'!$B$2:$B$4)</f>
        <v>0.72739450612610457</v>
      </c>
      <c r="H212" s="55">
        <f>_xlfn.XLOOKUP($A212,'Data 2024'!$A:$A,'Data 2024'!J:J)/_xlfn.XLOOKUP($B212,'Category Averages'!$A$2:$A$4,'Category Averages'!C$2:C$4)</f>
        <v>0.85342224699002567</v>
      </c>
      <c r="I212" s="55">
        <f>_xlfn.XLOOKUP($A212,'Data 2024'!$A:$A,'Data 2024'!K:K)/_xlfn.XLOOKUP($B212,'Category Averages'!$A$2:$A$4,'Category Averages'!D$2:D$4)</f>
        <v>0.84599415474177486</v>
      </c>
      <c r="J212" s="63">
        <f>_xlfn.XLOOKUP($A212,'Data 2024'!$A:$A,'Data 2024'!P:P)/_xlfn.XLOOKUP($B212,'Category Averages'!$A$2:$A$4,'Category Averages'!E$2:E$4)</f>
        <v>1.6958156232679753</v>
      </c>
      <c r="K212" s="63">
        <f>_xlfn.XLOOKUP($A212,'Data 2024'!$A:$A,'Data 2024'!Q:Q)/_xlfn.XLOOKUP($B212,'Category Averages'!$A$2:$A$4,'Category Averages'!F$2:F$4)</f>
        <v>1.4663345469115845</v>
      </c>
    </row>
    <row r="213" spans="1:11" ht="18" customHeight="1">
      <c r="A213" s="56">
        <v>5789600</v>
      </c>
      <c r="B213" s="54" t="str">
        <f>_xlfn.XLOOKUP(A213,'Data 2024'!A:A,'Data 2024'!D:D)</f>
        <v>Region 2</v>
      </c>
      <c r="C213" s="58" t="s">
        <v>1133</v>
      </c>
      <c r="D213" s="58" t="s">
        <v>865</v>
      </c>
      <c r="E213" s="58" t="s">
        <v>866</v>
      </c>
      <c r="F213" s="58" t="s">
        <v>1131</v>
      </c>
      <c r="G213" s="55">
        <f>_xlfn.XLOOKUP($A213,'Data 2024'!$A:$A,'Data 2024'!I:I)/_xlfn.XLOOKUP($B213,'Category Averages'!$A$2:$A$4,'Category Averages'!$B$2:$B$4)</f>
        <v>0.52899923110352776</v>
      </c>
      <c r="H213" s="55">
        <f>_xlfn.XLOOKUP($A213,'Data 2024'!$A:$A,'Data 2024'!J:J)/_xlfn.XLOOKUP($B213,'Category Averages'!$A$2:$A$4,'Category Averages'!C$2:C$4)</f>
        <v>0.50947463645345858</v>
      </c>
      <c r="I213" s="55">
        <f>_xlfn.XLOOKUP($A213,'Data 2024'!$A:$A,'Data 2024'!K:K)/_xlfn.XLOOKUP($B213,'Category Averages'!$A$2:$A$4,'Category Averages'!D$2:D$4)</f>
        <v>0.50123113829840349</v>
      </c>
      <c r="J213" s="63">
        <f>_xlfn.XLOOKUP($A213,'Data 2024'!$A:$A,'Data 2024'!P:P)/_xlfn.XLOOKUP($B213,'Category Averages'!$A$2:$A$4,'Category Averages'!E$2:E$4)</f>
        <v>2.3155740768975557</v>
      </c>
      <c r="K213" s="63">
        <f>_xlfn.XLOOKUP($A213,'Data 2024'!$A:$A,'Data 2024'!Q:Q)/_xlfn.XLOOKUP($B213,'Category Averages'!$A$2:$A$4,'Category Averages'!F$2:F$4)</f>
        <v>1.1227640996304635</v>
      </c>
    </row>
    <row r="214" spans="1:11" ht="18" customHeight="1">
      <c r="A214" s="56">
        <v>5799200</v>
      </c>
      <c r="B214" s="54" t="str">
        <f>_xlfn.XLOOKUP(A214,'Data 2024'!A:A,'Data 2024'!D:D)</f>
        <v>Region 2</v>
      </c>
      <c r="C214" s="58" t="s">
        <v>1134</v>
      </c>
      <c r="D214" s="58" t="s">
        <v>865</v>
      </c>
      <c r="E214" s="58" t="s">
        <v>1135</v>
      </c>
      <c r="F214" s="58" t="s">
        <v>1136</v>
      </c>
      <c r="G214" s="55">
        <f>_xlfn.XLOOKUP($A214,'Data 2024'!$A:$A,'Data 2024'!I:I)/_xlfn.XLOOKUP($B214,'Category Averages'!$A$2:$A$4,'Category Averages'!$B$2:$B$4)</f>
        <v>0.7369799442829944</v>
      </c>
      <c r="H214" s="55">
        <f>_xlfn.XLOOKUP($A214,'Data 2024'!$A:$A,'Data 2024'!J:J)/_xlfn.XLOOKUP($B214,'Category Averages'!$A$2:$A$4,'Category Averages'!C$2:C$4)</f>
        <v>1.2908935956194678</v>
      </c>
      <c r="I214" s="55">
        <f>_xlfn.XLOOKUP($A214,'Data 2024'!$A:$A,'Data 2024'!K:K)/_xlfn.XLOOKUP($B214,'Category Averages'!$A$2:$A$4,'Category Averages'!D$2:D$4)</f>
        <v>1.2137916222325675</v>
      </c>
      <c r="J214" s="63">
        <f>_xlfn.XLOOKUP($A214,'Data 2024'!$A:$A,'Data 2024'!P:P)/_xlfn.XLOOKUP($B214,'Category Averages'!$A$2:$A$4,'Category Averages'!E$2:E$4)</f>
        <v>0.40765700872543753</v>
      </c>
      <c r="K214" s="63">
        <f>_xlfn.XLOOKUP($A214,'Data 2024'!$A:$A,'Data 2024'!Q:Q)/_xlfn.XLOOKUP($B214,'Category Averages'!$A$2:$A$4,'Category Averages'!F$2:F$4)</f>
        <v>0.36758293452989749</v>
      </c>
    </row>
    <row r="215" spans="1:11" ht="18" customHeight="1">
      <c r="A215" s="54">
        <v>5808800</v>
      </c>
      <c r="B215" s="54" t="str">
        <f>_xlfn.XLOOKUP(A215,'Data 2024'!A:A,'Data 2024'!D:D)</f>
        <v>Region 12</v>
      </c>
      <c r="C215" s="57" t="s">
        <v>1137</v>
      </c>
      <c r="D215" s="57" t="s">
        <v>865</v>
      </c>
      <c r="E215" s="57" t="s">
        <v>1091</v>
      </c>
      <c r="F215" s="57" t="s">
        <v>1092</v>
      </c>
      <c r="G215" s="55">
        <f>_xlfn.XLOOKUP($A215,'Data 2024'!$A:$A,'Data 2024'!I:I)/_xlfn.XLOOKUP($B215,'Category Averages'!$A$2:$A$4,'Category Averages'!$B$2:$B$4)</f>
        <v>0.86853716445521334</v>
      </c>
      <c r="H215" s="55" t="e">
        <f>_xlfn.XLOOKUP($A215,'Data 2024'!$A:$A,'Data 2024'!J:J)/_xlfn.XLOOKUP($B215,'Category Averages'!$A$2:$A$4,'Category Averages'!C$2:C$4)</f>
        <v>#DIV/0!</v>
      </c>
      <c r="I215" s="55">
        <f>_xlfn.XLOOKUP($A215,'Data 2024'!$A:$A,'Data 2024'!K:K)/_xlfn.XLOOKUP($B215,'Category Averages'!$A$2:$A$4,'Category Averages'!D$2:D$4)</f>
        <v>0</v>
      </c>
      <c r="J215" s="63">
        <f>_xlfn.XLOOKUP($A215,'Data 2024'!$A:$A,'Data 2024'!P:P)/_xlfn.XLOOKUP($B215,'Category Averages'!$A$2:$A$4,'Category Averages'!E$2:E$4)</f>
        <v>0</v>
      </c>
      <c r="K215" s="63">
        <f>_xlfn.XLOOKUP($A215,'Data 2024'!$A:$A,'Data 2024'!Q:Q)/_xlfn.XLOOKUP($B215,'Category Averages'!$A$2:$A$4,'Category Averages'!F$2:F$4)</f>
        <v>2.0520195301488138</v>
      </c>
    </row>
    <row r="216" spans="1:11" ht="18" customHeight="1">
      <c r="A216" s="56">
        <v>5809900</v>
      </c>
      <c r="B216" s="54" t="str">
        <f>_xlfn.XLOOKUP(A216,'Data 2024'!A:A,'Data 2024'!D:D)</f>
        <v>Region 12</v>
      </c>
      <c r="C216" s="58" t="s">
        <v>1138</v>
      </c>
      <c r="D216" s="58" t="s">
        <v>865</v>
      </c>
      <c r="E216" s="58" t="s">
        <v>931</v>
      </c>
      <c r="F216" s="58" t="s">
        <v>1139</v>
      </c>
      <c r="G216" s="55">
        <f>_xlfn.XLOOKUP($A216,'Data 2024'!$A:$A,'Data 2024'!I:I)/_xlfn.XLOOKUP($B216,'Category Averages'!$A$2:$A$4,'Category Averages'!$B$2:$B$4)</f>
        <v>0.91258080556504462</v>
      </c>
      <c r="H216" s="55" t="e">
        <f>_xlfn.XLOOKUP($A216,'Data 2024'!$A:$A,'Data 2024'!J:J)/_xlfn.XLOOKUP($B216,'Category Averages'!$A$2:$A$4,'Category Averages'!C$2:C$4)</f>
        <v>#DIV/0!</v>
      </c>
      <c r="I216" s="55">
        <f>_xlfn.XLOOKUP($A216,'Data 2024'!$A:$A,'Data 2024'!K:K)/_xlfn.XLOOKUP($B216,'Category Averages'!$A$2:$A$4,'Category Averages'!D$2:D$4)</f>
        <v>0</v>
      </c>
      <c r="J216" s="63">
        <f>_xlfn.XLOOKUP($A216,'Data 2024'!$A:$A,'Data 2024'!P:P)/_xlfn.XLOOKUP($B216,'Category Averages'!$A$2:$A$4,'Category Averages'!E$2:E$4)</f>
        <v>0</v>
      </c>
      <c r="K216" s="63">
        <f>_xlfn.XLOOKUP($A216,'Data 2024'!$A:$A,'Data 2024'!Q:Q)/_xlfn.XLOOKUP($B216,'Category Averages'!$A$2:$A$4,'Category Averages'!F$2:F$4)</f>
        <v>0.57528785285422124</v>
      </c>
    </row>
    <row r="217" spans="1:11" ht="18" customHeight="1">
      <c r="A217" s="56">
        <v>5811000</v>
      </c>
      <c r="B217" s="54" t="str">
        <f>_xlfn.XLOOKUP(A217,'Data 2024'!A:A,'Data 2024'!D:D)</f>
        <v>Region 12</v>
      </c>
      <c r="C217" s="58" t="s">
        <v>1140</v>
      </c>
      <c r="D217" s="58" t="s">
        <v>865</v>
      </c>
      <c r="E217" s="58" t="s">
        <v>1135</v>
      </c>
      <c r="F217" s="58" t="s">
        <v>1136</v>
      </c>
      <c r="G217" s="55">
        <f>_xlfn.XLOOKUP($A217,'Data 2024'!$A:$A,'Data 2024'!I:I)/_xlfn.XLOOKUP($B217,'Category Averages'!$A$2:$A$4,'Category Averages'!$B$2:$B$4)</f>
        <v>1.1527662620674251</v>
      </c>
      <c r="H217" s="55" t="e">
        <f>_xlfn.XLOOKUP($A217,'Data 2024'!$A:$A,'Data 2024'!J:J)/_xlfn.XLOOKUP($B217,'Category Averages'!$A$2:$A$4,'Category Averages'!C$2:C$4)</f>
        <v>#DIV/0!</v>
      </c>
      <c r="I217" s="55">
        <f>_xlfn.XLOOKUP($A217,'Data 2024'!$A:$A,'Data 2024'!K:K)/_xlfn.XLOOKUP($B217,'Category Averages'!$A$2:$A$4,'Category Averages'!D$2:D$4)</f>
        <v>2.1691000575113888</v>
      </c>
      <c r="J217" s="63">
        <f>_xlfn.XLOOKUP($A217,'Data 2024'!$A:$A,'Data 2024'!P:P)/_xlfn.XLOOKUP($B217,'Category Averages'!$A$2:$A$4,'Category Averages'!E$2:E$4)</f>
        <v>0.18376681060816311</v>
      </c>
      <c r="K217" s="63">
        <f>_xlfn.XLOOKUP($A217,'Data 2024'!$A:$A,'Data 2024'!Q:Q)/_xlfn.XLOOKUP($B217,'Category Averages'!$A$2:$A$4,'Category Averages'!F$2:F$4)</f>
        <v>0.92400942886131099</v>
      </c>
    </row>
    <row r="218" spans="1:11" ht="18" customHeight="1">
      <c r="A218" s="56">
        <v>5812100</v>
      </c>
      <c r="B218" s="54" t="str">
        <f>_xlfn.XLOOKUP(A218,'Data 2024'!A:A,'Data 2024'!D:D)</f>
        <v>Region 1</v>
      </c>
      <c r="C218" s="58" t="s">
        <v>1141</v>
      </c>
      <c r="D218" s="58" t="s">
        <v>865</v>
      </c>
      <c r="E218" s="58" t="s">
        <v>866</v>
      </c>
      <c r="F218" s="58" t="s">
        <v>867</v>
      </c>
      <c r="G218" s="55">
        <f>_xlfn.XLOOKUP($A218,'Data 2024'!$A:$A,'Data 2024'!I:I)/_xlfn.XLOOKUP($B218,'Category Averages'!$A$2:$A$4,'Category Averages'!$B$2:$B$4)</f>
        <v>0.59367614252019552</v>
      </c>
      <c r="H218" s="55">
        <f>_xlfn.XLOOKUP($A218,'Data 2024'!$A:$A,'Data 2024'!J:J)/_xlfn.XLOOKUP($B218,'Category Averages'!$A$2:$A$4,'Category Averages'!C$2:C$4)</f>
        <v>0.90611613739797947</v>
      </c>
      <c r="I218" s="55">
        <f>_xlfn.XLOOKUP($A218,'Data 2024'!$A:$A,'Data 2024'!K:K)/_xlfn.XLOOKUP($B218,'Category Averages'!$A$2:$A$4,'Category Averages'!D$2:D$4)</f>
        <v>0.77218016991116079</v>
      </c>
      <c r="J218" s="63">
        <f>_xlfn.XLOOKUP($A218,'Data 2024'!$A:$A,'Data 2024'!P:P)/_xlfn.XLOOKUP($B218,'Category Averages'!$A$2:$A$4,'Category Averages'!E$2:E$4)</f>
        <v>1.125735628261779</v>
      </c>
      <c r="K218" s="63">
        <f>_xlfn.XLOOKUP($A218,'Data 2024'!$A:$A,'Data 2024'!Q:Q)/_xlfn.XLOOKUP($B218,'Category Averages'!$A$2:$A$4,'Category Averages'!F$2:F$4)</f>
        <v>0.65261366628747708</v>
      </c>
    </row>
    <row r="219" spans="1:11" ht="18" customHeight="1">
      <c r="A219" s="56">
        <v>5812500</v>
      </c>
      <c r="B219" s="54" t="str">
        <f>_xlfn.XLOOKUP(A219,'Data 2024'!A:A,'Data 2024'!D:D)</f>
        <v>Region 1</v>
      </c>
      <c r="C219" s="58" t="s">
        <v>1142</v>
      </c>
      <c r="D219" s="58" t="s">
        <v>865</v>
      </c>
      <c r="E219" s="58" t="s">
        <v>866</v>
      </c>
      <c r="F219" s="58" t="s">
        <v>867</v>
      </c>
      <c r="G219" s="55">
        <f>_xlfn.XLOOKUP($A219,'Data 2024'!$A:$A,'Data 2024'!I:I)/_xlfn.XLOOKUP($B219,'Category Averages'!$A$2:$A$4,'Category Averages'!$B$2:$B$4)</f>
        <v>0.48046778235027937</v>
      </c>
      <c r="H219" s="55">
        <f>_xlfn.XLOOKUP($A219,'Data 2024'!$A:$A,'Data 2024'!J:J)/_xlfn.XLOOKUP($B219,'Category Averages'!$A$2:$A$4,'Category Averages'!C$2:C$4)</f>
        <v>0.65632008414026122</v>
      </c>
      <c r="I219" s="55">
        <f>_xlfn.XLOOKUP($A219,'Data 2024'!$A:$A,'Data 2024'!K:K)/_xlfn.XLOOKUP($B219,'Category Averages'!$A$2:$A$4,'Category Averages'!D$2:D$4)</f>
        <v>0.9261558155938272</v>
      </c>
      <c r="J219" s="63">
        <f>_xlfn.XLOOKUP($A219,'Data 2024'!$A:$A,'Data 2024'!P:P)/_xlfn.XLOOKUP($B219,'Category Averages'!$A$2:$A$4,'Category Averages'!E$2:E$4)</f>
        <v>1.1233298041376245</v>
      </c>
      <c r="K219" s="63">
        <f>_xlfn.XLOOKUP($A219,'Data 2024'!$A:$A,'Data 2024'!Q:Q)/_xlfn.XLOOKUP($B219,'Category Averages'!$A$2:$A$4,'Category Averages'!F$2:F$4)</f>
        <v>0.83591767930834782</v>
      </c>
    </row>
    <row r="220" spans="1:11" ht="18" customHeight="1">
      <c r="A220" s="56">
        <v>5813200</v>
      </c>
      <c r="B220" s="54" t="str">
        <f>_xlfn.XLOOKUP(A220,'Data 2024'!A:A,'Data 2024'!D:D)</f>
        <v>Region 2</v>
      </c>
      <c r="C220" s="58" t="s">
        <v>1143</v>
      </c>
      <c r="D220" s="58" t="s">
        <v>865</v>
      </c>
      <c r="E220" s="58" t="s">
        <v>866</v>
      </c>
      <c r="F220" s="58" t="s">
        <v>1109</v>
      </c>
      <c r="G220" s="55">
        <f>_xlfn.XLOOKUP($A220,'Data 2024'!$A:$A,'Data 2024'!I:I)/_xlfn.XLOOKUP($B220,'Category Averages'!$A$2:$A$4,'Category Averages'!$B$2:$B$4)</f>
        <v>2.1662189750565437</v>
      </c>
      <c r="H220" s="55">
        <f>_xlfn.XLOOKUP($A220,'Data 2024'!$A:$A,'Data 2024'!J:J)/_xlfn.XLOOKUP($B220,'Category Averages'!$A$2:$A$4,'Category Averages'!C$2:C$4)</f>
        <v>1.8546908790726526</v>
      </c>
      <c r="I220" s="55">
        <f>_xlfn.XLOOKUP($A220,'Data 2024'!$A:$A,'Data 2024'!K:K)/_xlfn.XLOOKUP($B220,'Category Averages'!$A$2:$A$4,'Category Averages'!D$2:D$4)</f>
        <v>2.3660511150926418</v>
      </c>
      <c r="J220" s="63">
        <f>_xlfn.XLOOKUP($A220,'Data 2024'!$A:$A,'Data 2024'!P:P)/_xlfn.XLOOKUP($B220,'Category Averages'!$A$2:$A$4,'Category Averages'!E$2:E$4)</f>
        <v>0.29049091000442728</v>
      </c>
      <c r="K220" s="63">
        <f>_xlfn.XLOOKUP($A220,'Data 2024'!$A:$A,'Data 2024'!Q:Q)/_xlfn.XLOOKUP($B220,'Category Averages'!$A$2:$A$4,'Category Averages'!F$2:F$4)</f>
        <v>0.11893004962875679</v>
      </c>
    </row>
    <row r="221" spans="1:11" ht="18" customHeight="1">
      <c r="A221" s="56">
        <v>5814200</v>
      </c>
      <c r="B221" s="54" t="str">
        <f>_xlfn.XLOOKUP(A221,'Data 2024'!A:A,'Data 2024'!D:D)</f>
        <v>Region 2</v>
      </c>
      <c r="C221" s="58" t="s">
        <v>1144</v>
      </c>
      <c r="D221" s="58" t="s">
        <v>865</v>
      </c>
      <c r="E221" s="58" t="s">
        <v>866</v>
      </c>
      <c r="F221" s="58" t="s">
        <v>1109</v>
      </c>
      <c r="G221" s="55">
        <f>_xlfn.XLOOKUP($A221,'Data 2024'!$A:$A,'Data 2024'!I:I)/_xlfn.XLOOKUP($B221,'Category Averages'!$A$2:$A$4,'Category Averages'!$B$2:$B$4)</f>
        <v>2.1439527072894062</v>
      </c>
      <c r="H221" s="55">
        <f>_xlfn.XLOOKUP($A221,'Data 2024'!$A:$A,'Data 2024'!J:J)/_xlfn.XLOOKUP($B221,'Category Averages'!$A$2:$A$4,'Category Averages'!C$2:C$4)</f>
        <v>2.2397025105965804</v>
      </c>
      <c r="I221" s="55">
        <f>_xlfn.XLOOKUP($A221,'Data 2024'!$A:$A,'Data 2024'!K:K)/_xlfn.XLOOKUP($B221,'Category Averages'!$A$2:$A$4,'Category Averages'!D$2:D$4)</f>
        <v>1.9396541034891339</v>
      </c>
      <c r="J221" s="63">
        <f>_xlfn.XLOOKUP($A221,'Data 2024'!$A:$A,'Data 2024'!P:P)/_xlfn.XLOOKUP($B221,'Category Averages'!$A$2:$A$4,'Category Averages'!E$2:E$4)</f>
        <v>0.4373616609011251</v>
      </c>
      <c r="K221" s="63">
        <f>_xlfn.XLOOKUP($A221,'Data 2024'!$A:$A,'Data 2024'!Q:Q)/_xlfn.XLOOKUP($B221,'Category Averages'!$A$2:$A$4,'Category Averages'!F$2:F$4)</f>
        <v>0.19995619567024783</v>
      </c>
    </row>
    <row r="222" spans="1:11" ht="18" customHeight="1">
      <c r="A222" s="56">
        <v>5814300</v>
      </c>
      <c r="B222" s="54" t="str">
        <f>_xlfn.XLOOKUP(A222,'Data 2024'!A:A,'Data 2024'!D:D)</f>
        <v>Region 2</v>
      </c>
      <c r="C222" s="58" t="s">
        <v>1145</v>
      </c>
      <c r="D222" s="58" t="s">
        <v>865</v>
      </c>
      <c r="E222" s="58" t="s">
        <v>866</v>
      </c>
      <c r="F222" s="58" t="s">
        <v>867</v>
      </c>
      <c r="G222" s="55">
        <f>_xlfn.XLOOKUP($A222,'Data 2024'!$A:$A,'Data 2024'!I:I)/_xlfn.XLOOKUP($B222,'Category Averages'!$A$2:$A$4,'Category Averages'!$B$2:$B$4)</f>
        <v>0.56024333717175401</v>
      </c>
      <c r="H222" s="55">
        <f>_xlfn.XLOOKUP($A222,'Data 2024'!$A:$A,'Data 2024'!J:J)/_xlfn.XLOOKUP($B222,'Category Averages'!$A$2:$A$4,'Category Averages'!C$2:C$4)</f>
        <v>0.55757567852638823</v>
      </c>
      <c r="I222" s="55">
        <f>_xlfn.XLOOKUP($A222,'Data 2024'!$A:$A,'Data 2024'!K:K)/_xlfn.XLOOKUP($B222,'Category Averages'!$A$2:$A$4,'Category Averages'!D$2:D$4)</f>
        <v>0.99100549061364485</v>
      </c>
      <c r="J222" s="63">
        <f>_xlfn.XLOOKUP($A222,'Data 2024'!$A:$A,'Data 2024'!P:P)/_xlfn.XLOOKUP($B222,'Category Averages'!$A$2:$A$4,'Category Averages'!E$2:E$4)</f>
        <v>1.5819931876184676</v>
      </c>
      <c r="K222" s="63">
        <f>_xlfn.XLOOKUP($A222,'Data 2024'!$A:$A,'Data 2024'!Q:Q)/_xlfn.XLOOKUP($B222,'Category Averages'!$A$2:$A$4,'Category Averages'!F$2:F$4)</f>
        <v>0.80297112617913635</v>
      </c>
    </row>
    <row r="223" spans="1:11" ht="18" customHeight="1">
      <c r="A223" s="56">
        <v>5815500</v>
      </c>
      <c r="B223" s="54" t="str">
        <f>_xlfn.XLOOKUP(A223,'Data 2024'!A:A,'Data 2024'!D:D)</f>
        <v>Region 2</v>
      </c>
      <c r="C223" s="58" t="s">
        <v>1146</v>
      </c>
      <c r="D223" s="58" t="s">
        <v>865</v>
      </c>
      <c r="E223" s="58" t="s">
        <v>866</v>
      </c>
      <c r="F223" s="58" t="s">
        <v>1109</v>
      </c>
      <c r="G223" s="55">
        <f>_xlfn.XLOOKUP($A223,'Data 2024'!$A:$A,'Data 2024'!I:I)/_xlfn.XLOOKUP($B223,'Category Averages'!$A$2:$A$4,'Category Averages'!$B$2:$B$4)</f>
        <v>1.0525905117467806</v>
      </c>
      <c r="H223" s="55">
        <f>_xlfn.XLOOKUP($A223,'Data 2024'!$A:$A,'Data 2024'!J:J)/_xlfn.XLOOKUP($B223,'Category Averages'!$A$2:$A$4,'Category Averages'!C$2:C$4)</f>
        <v>1.1922188236103757</v>
      </c>
      <c r="I223" s="55">
        <f>_xlfn.XLOOKUP($A223,'Data 2024'!$A:$A,'Data 2024'!K:K)/_xlfn.XLOOKUP($B223,'Category Averages'!$A$2:$A$4,'Category Averages'!D$2:D$4)</f>
        <v>1.407332508564525</v>
      </c>
      <c r="J223" s="63">
        <f>_xlfn.XLOOKUP($A223,'Data 2024'!$A:$A,'Data 2024'!P:P)/_xlfn.XLOOKUP($B223,'Category Averages'!$A$2:$A$4,'Category Averages'!E$2:E$4)</f>
        <v>0.71543907692263864</v>
      </c>
      <c r="K223" s="63">
        <f>_xlfn.XLOOKUP($A223,'Data 2024'!$A:$A,'Data 2024'!Q:Q)/_xlfn.XLOOKUP($B223,'Category Averages'!$A$2:$A$4,'Category Averages'!F$2:F$4)</f>
        <v>0.81202101006322414</v>
      </c>
    </row>
    <row r="224" spans="1:11" ht="18" customHeight="1">
      <c r="A224" s="56">
        <v>5816200</v>
      </c>
      <c r="B224" s="54" t="str">
        <f>_xlfn.XLOOKUP(A224,'Data 2024'!A:A,'Data 2024'!D:D)</f>
        <v>Region 2</v>
      </c>
      <c r="C224" s="58" t="s">
        <v>1147</v>
      </c>
      <c r="D224" s="58" t="s">
        <v>865</v>
      </c>
      <c r="E224" s="58" t="s">
        <v>1091</v>
      </c>
      <c r="F224" s="58" t="s">
        <v>1148</v>
      </c>
      <c r="G224" s="55">
        <f>_xlfn.XLOOKUP($A224,'Data 2024'!$A:$A,'Data 2024'!I:I)/_xlfn.XLOOKUP($B224,'Category Averages'!$A$2:$A$4,'Category Averages'!$B$2:$B$4)</f>
        <v>0.46910706016069309</v>
      </c>
      <c r="H224" s="55">
        <f>_xlfn.XLOOKUP($A224,'Data 2024'!$A:$A,'Data 2024'!J:J)/_xlfn.XLOOKUP($B224,'Category Averages'!$A$2:$A$4,'Category Averages'!C$2:C$4)</f>
        <v>0.59210454233840359</v>
      </c>
      <c r="I224" s="55">
        <f>_xlfn.XLOOKUP($A224,'Data 2024'!$A:$A,'Data 2024'!K:K)/_xlfn.XLOOKUP($B224,'Category Averages'!$A$2:$A$4,'Category Averages'!D$2:D$4)</f>
        <v>0.86116016358756653</v>
      </c>
      <c r="J224" s="63">
        <f>_xlfn.XLOOKUP($A224,'Data 2024'!$A:$A,'Data 2024'!P:P)/_xlfn.XLOOKUP($B224,'Category Averages'!$A$2:$A$4,'Category Averages'!E$2:E$4)</f>
        <v>1.2403441047193782</v>
      </c>
      <c r="K224" s="63">
        <f>_xlfn.XLOOKUP($A224,'Data 2024'!$A:$A,'Data 2024'!Q:Q)/_xlfn.XLOOKUP($B224,'Category Averages'!$A$2:$A$4,'Category Averages'!F$2:F$4)</f>
        <v>1.0036522265976857</v>
      </c>
    </row>
    <row r="225" spans="1:11" ht="18" customHeight="1">
      <c r="A225" s="56">
        <v>5817300</v>
      </c>
      <c r="B225" s="54" t="str">
        <f>_xlfn.XLOOKUP(A225,'Data 2024'!A:A,'Data 2024'!D:D)</f>
        <v>Region 1</v>
      </c>
      <c r="C225" s="58" t="s">
        <v>1149</v>
      </c>
      <c r="D225" s="58" t="s">
        <v>865</v>
      </c>
      <c r="E225" s="58" t="s">
        <v>1091</v>
      </c>
      <c r="F225" s="58" t="s">
        <v>1128</v>
      </c>
      <c r="G225" s="55">
        <f>_xlfn.XLOOKUP($A225,'Data 2024'!$A:$A,'Data 2024'!I:I)/_xlfn.XLOOKUP($B225,'Category Averages'!$A$2:$A$4,'Category Averages'!$B$2:$B$4)</f>
        <v>1.0530337195451456</v>
      </c>
      <c r="H225" s="55">
        <f>_xlfn.XLOOKUP($A225,'Data 2024'!$A:$A,'Data 2024'!J:J)/_xlfn.XLOOKUP($B225,'Category Averages'!$A$2:$A$4,'Category Averages'!C$2:C$4)</f>
        <v>1.9973526140091002</v>
      </c>
      <c r="I225" s="55">
        <f>_xlfn.XLOOKUP($A225,'Data 2024'!$A:$A,'Data 2024'!K:K)/_xlfn.XLOOKUP($B225,'Category Averages'!$A$2:$A$4,'Category Averages'!D$2:D$4)</f>
        <v>1.4549629302906819</v>
      </c>
      <c r="J225" s="63">
        <f>_xlfn.XLOOKUP($A225,'Data 2024'!$A:$A,'Data 2024'!P:P)/_xlfn.XLOOKUP($B225,'Category Averages'!$A$2:$A$4,'Category Averages'!E$2:E$4)</f>
        <v>0.57811454884409808</v>
      </c>
      <c r="K225" s="63">
        <f>_xlfn.XLOOKUP($A225,'Data 2024'!$A:$A,'Data 2024'!Q:Q)/_xlfn.XLOOKUP($B225,'Category Averages'!$A$2:$A$4,'Category Averages'!F$2:F$4)</f>
        <v>0.36078390630829937</v>
      </c>
    </row>
    <row r="226" spans="1:11" ht="18" customHeight="1">
      <c r="A226" s="56">
        <v>5818400</v>
      </c>
      <c r="B226" s="54" t="str">
        <f>_xlfn.XLOOKUP(A226,'Data 2024'!A:A,'Data 2024'!D:D)</f>
        <v>Region 2</v>
      </c>
      <c r="C226" s="58" t="s">
        <v>1150</v>
      </c>
      <c r="D226" s="58" t="s">
        <v>865</v>
      </c>
      <c r="E226" s="58" t="s">
        <v>1091</v>
      </c>
      <c r="F226" s="58" t="s">
        <v>1126</v>
      </c>
      <c r="G226" s="55">
        <f>_xlfn.XLOOKUP($A226,'Data 2024'!$A:$A,'Data 2024'!I:I)/_xlfn.XLOOKUP($B226,'Category Averages'!$A$2:$A$4,'Category Averages'!$B$2:$B$4)</f>
        <v>0.79341935786949536</v>
      </c>
      <c r="H226" s="55">
        <f>_xlfn.XLOOKUP($A226,'Data 2024'!$A:$A,'Data 2024'!J:J)/_xlfn.XLOOKUP($B226,'Category Averages'!$A$2:$A$4,'Category Averages'!C$2:C$4)</f>
        <v>1.7623067213812176</v>
      </c>
      <c r="I226" s="55">
        <f>_xlfn.XLOOKUP($A226,'Data 2024'!$A:$A,'Data 2024'!K:K)/_xlfn.XLOOKUP($B226,'Category Averages'!$A$2:$A$4,'Category Averages'!D$2:D$4)</f>
        <v>1.1116140204775913</v>
      </c>
      <c r="J226" s="63">
        <f>_xlfn.XLOOKUP($A226,'Data 2024'!$A:$A,'Data 2024'!P:P)/_xlfn.XLOOKUP($B226,'Category Averages'!$A$2:$A$4,'Category Averages'!E$2:E$4)</f>
        <v>0.86492181616488339</v>
      </c>
      <c r="K226" s="63">
        <f>_xlfn.XLOOKUP($A226,'Data 2024'!$A:$A,'Data 2024'!Q:Q)/_xlfn.XLOOKUP($B226,'Category Averages'!$A$2:$A$4,'Category Averages'!F$2:F$4)</f>
        <v>1.1584294082799922</v>
      </c>
    </row>
    <row r="227" spans="1:11" ht="18" customHeight="1">
      <c r="A227" s="56">
        <v>5819500</v>
      </c>
      <c r="B227" s="54" t="str">
        <f>_xlfn.XLOOKUP(A227,'Data 2024'!A:A,'Data 2024'!D:D)</f>
        <v>Region 1</v>
      </c>
      <c r="C227" s="58" t="s">
        <v>1151</v>
      </c>
      <c r="D227" s="58" t="s">
        <v>865</v>
      </c>
      <c r="E227" s="58" t="s">
        <v>1091</v>
      </c>
      <c r="F227" s="58" t="s">
        <v>1148</v>
      </c>
      <c r="G227" s="55">
        <f>_xlfn.XLOOKUP($A227,'Data 2024'!$A:$A,'Data 2024'!I:I)/_xlfn.XLOOKUP($B227,'Category Averages'!$A$2:$A$4,'Category Averages'!$B$2:$B$4)</f>
        <v>1.1478512567697408</v>
      </c>
      <c r="H227" s="55">
        <f>_xlfn.XLOOKUP($A227,'Data 2024'!$A:$A,'Data 2024'!J:J)/_xlfn.XLOOKUP($B227,'Category Averages'!$A$2:$A$4,'Category Averages'!C$2:C$4)</f>
        <v>1.3993764625247365</v>
      </c>
      <c r="I227" s="55">
        <f>_xlfn.XLOOKUP($A227,'Data 2024'!$A:$A,'Data 2024'!K:K)/_xlfn.XLOOKUP($B227,'Category Averages'!$A$2:$A$4,'Category Averages'!D$2:D$4)</f>
        <v>1.2143247052330672</v>
      </c>
      <c r="J227" s="63">
        <f>_xlfn.XLOOKUP($A227,'Data 2024'!$A:$A,'Data 2024'!P:P)/_xlfn.XLOOKUP($B227,'Category Averages'!$A$2:$A$4,'Category Averages'!E$2:E$4)</f>
        <v>0.82607259114526166</v>
      </c>
      <c r="K227" s="63">
        <f>_xlfn.XLOOKUP($A227,'Data 2024'!$A:$A,'Data 2024'!Q:Q)/_xlfn.XLOOKUP($B227,'Category Averages'!$A$2:$A$4,'Category Averages'!F$2:F$4)</f>
        <v>0.66435933067484254</v>
      </c>
    </row>
    <row r="228" spans="1:11" ht="18" customHeight="1">
      <c r="A228" s="54">
        <v>5885500</v>
      </c>
      <c r="B228" s="54" t="str">
        <f>_xlfn.XLOOKUP(A228,'Data 2024'!A:A,'Data 2024'!D:D)</f>
        <v>Region 12</v>
      </c>
      <c r="C228" s="57" t="s">
        <v>1152</v>
      </c>
      <c r="D228" s="57" t="s">
        <v>865</v>
      </c>
      <c r="E228" s="57" t="s">
        <v>931</v>
      </c>
      <c r="F228" s="57" t="s">
        <v>1153</v>
      </c>
      <c r="G228" s="55">
        <f>_xlfn.XLOOKUP($A228,'Data 2024'!$A:$A,'Data 2024'!I:I)/_xlfn.XLOOKUP($B228,'Category Averages'!$A$2:$A$4,'Category Averages'!$B$2:$B$4)</f>
        <v>1.1273109370490251</v>
      </c>
      <c r="H228" s="55" t="e">
        <f>_xlfn.XLOOKUP($A228,'Data 2024'!$A:$A,'Data 2024'!J:J)/_xlfn.XLOOKUP($B228,'Category Averages'!$A$2:$A$4,'Category Averages'!C$2:C$4)</f>
        <v>#DIV/0!</v>
      </c>
      <c r="I228" s="55">
        <f>_xlfn.XLOOKUP($A228,'Data 2024'!$A:$A,'Data 2024'!K:K)/_xlfn.XLOOKUP($B228,'Category Averages'!$A$2:$A$4,'Category Averages'!D$2:D$4)</f>
        <v>0</v>
      </c>
      <c r="J228" s="63">
        <f>_xlfn.XLOOKUP($A228,'Data 2024'!$A:$A,'Data 2024'!P:P)/_xlfn.XLOOKUP($B228,'Category Averages'!$A$2:$A$4,'Category Averages'!E$2:E$4)</f>
        <v>3.4704018968520365</v>
      </c>
      <c r="K228" s="63">
        <f>_xlfn.XLOOKUP($A228,'Data 2024'!$A:$A,'Data 2024'!Q:Q)/_xlfn.XLOOKUP($B228,'Category Averages'!$A$2:$A$4,'Category Averages'!F$2:F$4)</f>
        <v>1.1729372345169315</v>
      </c>
    </row>
    <row r="229" spans="1:11" ht="18" customHeight="1">
      <c r="A229" s="56">
        <v>5886600</v>
      </c>
      <c r="B229" s="54" t="str">
        <f>_xlfn.XLOOKUP(A229,'Data 2024'!A:A,'Data 2024'!D:D)</f>
        <v>Region 1</v>
      </c>
      <c r="C229" s="58" t="s">
        <v>1154</v>
      </c>
      <c r="D229" s="58" t="s">
        <v>865</v>
      </c>
      <c r="E229" s="58" t="s">
        <v>872</v>
      </c>
      <c r="F229" s="58" t="s">
        <v>1155</v>
      </c>
      <c r="G229" s="55">
        <f>_xlfn.XLOOKUP($A229,'Data 2024'!$A:$A,'Data 2024'!I:I)/_xlfn.XLOOKUP($B229,'Category Averages'!$A$2:$A$4,'Category Averages'!$B$2:$B$4)</f>
        <v>0.6874731692883107</v>
      </c>
      <c r="H229" s="55">
        <f>_xlfn.XLOOKUP($A229,'Data 2024'!$A:$A,'Data 2024'!J:J)/_xlfn.XLOOKUP($B229,'Category Averages'!$A$2:$A$4,'Category Averages'!C$2:C$4)</f>
        <v>0.88163794722151312</v>
      </c>
      <c r="I229" s="55">
        <f>_xlfn.XLOOKUP($A229,'Data 2024'!$A:$A,'Data 2024'!K:K)/_xlfn.XLOOKUP($B229,'Category Averages'!$A$2:$A$4,'Category Averages'!D$2:D$4)</f>
        <v>0.72028980392659192</v>
      </c>
      <c r="J229" s="63">
        <f>_xlfn.XLOOKUP($A229,'Data 2024'!$A:$A,'Data 2024'!P:P)/_xlfn.XLOOKUP($B229,'Category Averages'!$A$2:$A$4,'Category Averages'!E$2:E$4)</f>
        <v>2.3855084164330749</v>
      </c>
      <c r="K229" s="63">
        <f>_xlfn.XLOOKUP($A229,'Data 2024'!$A:$A,'Data 2024'!Q:Q)/_xlfn.XLOOKUP($B229,'Category Averages'!$A$2:$A$4,'Category Averages'!F$2:F$4)</f>
        <v>3.4655501707129392</v>
      </c>
    </row>
    <row r="230" spans="1:11" ht="18" customHeight="1">
      <c r="A230" s="54">
        <v>5893200</v>
      </c>
      <c r="B230" s="54" t="str">
        <f>_xlfn.XLOOKUP(A230,'Data 2024'!A:A,'Data 2024'!D:D)</f>
        <v>Region 12</v>
      </c>
      <c r="C230" s="57" t="s">
        <v>1156</v>
      </c>
      <c r="D230" s="57" t="s">
        <v>865</v>
      </c>
      <c r="E230" s="57" t="s">
        <v>872</v>
      </c>
      <c r="F230" s="57" t="s">
        <v>1157</v>
      </c>
      <c r="G230" s="55">
        <f>_xlfn.XLOOKUP($A230,'Data 2024'!$A:$A,'Data 2024'!I:I)/_xlfn.XLOOKUP($B230,'Category Averages'!$A$2:$A$4,'Category Averages'!$B$2:$B$4)</f>
        <v>0.5706753989426423</v>
      </c>
      <c r="H230" s="55" t="e">
        <f>_xlfn.XLOOKUP($A230,'Data 2024'!$A:$A,'Data 2024'!J:J)/_xlfn.XLOOKUP($B230,'Category Averages'!$A$2:$A$4,'Category Averages'!C$2:C$4)</f>
        <v>#DIV/0!</v>
      </c>
      <c r="I230" s="55">
        <f>_xlfn.XLOOKUP($A230,'Data 2024'!$A:$A,'Data 2024'!K:K)/_xlfn.XLOOKUP($B230,'Category Averages'!$A$2:$A$4,'Category Averages'!D$2:D$4)</f>
        <v>0</v>
      </c>
      <c r="J230" s="63">
        <f>_xlfn.XLOOKUP($A230,'Data 2024'!$A:$A,'Data 2024'!P:P)/_xlfn.XLOOKUP($B230,'Category Averages'!$A$2:$A$4,'Category Averages'!E$2:E$4)</f>
        <v>0</v>
      </c>
      <c r="K230" s="63">
        <f>_xlfn.XLOOKUP($A230,'Data 2024'!$A:$A,'Data 2024'!Q:Q)/_xlfn.XLOOKUP($B230,'Category Averages'!$A$2:$A$4,'Category Averages'!F$2:F$4)</f>
        <v>0.11881766958679904</v>
      </c>
    </row>
    <row r="231" spans="1:11" ht="18" customHeight="1">
      <c r="A231" s="56">
        <v>5894300</v>
      </c>
      <c r="B231" s="54" t="str">
        <f>_xlfn.XLOOKUP(A231,'Data 2024'!A:A,'Data 2024'!D:D)</f>
        <v>Region 1</v>
      </c>
      <c r="C231" s="58" t="s">
        <v>1158</v>
      </c>
      <c r="D231" s="58" t="s">
        <v>865</v>
      </c>
      <c r="E231" s="58" t="s">
        <v>931</v>
      </c>
      <c r="F231" s="58" t="s">
        <v>1139</v>
      </c>
      <c r="G231" s="55">
        <f>_xlfn.XLOOKUP($A231,'Data 2024'!$A:$A,'Data 2024'!I:I)/_xlfn.XLOOKUP($B231,'Category Averages'!$A$2:$A$4,'Category Averages'!$B$2:$B$4)</f>
        <v>0.77835335707998299</v>
      </c>
      <c r="H231" s="55">
        <f>_xlfn.XLOOKUP($A231,'Data 2024'!$A:$A,'Data 2024'!J:J)/_xlfn.XLOOKUP($B231,'Category Averages'!$A$2:$A$4,'Category Averages'!C$2:C$4)</f>
        <v>1.4479818199767855</v>
      </c>
      <c r="I231" s="55">
        <f>_xlfn.XLOOKUP($A231,'Data 2024'!$A:$A,'Data 2024'!K:K)/_xlfn.XLOOKUP($B231,'Category Averages'!$A$2:$A$4,'Category Averages'!D$2:D$4)</f>
        <v>0.96828305355259825</v>
      </c>
      <c r="J231" s="63">
        <f>_xlfn.XLOOKUP($A231,'Data 2024'!$A:$A,'Data 2024'!P:P)/_xlfn.XLOOKUP($B231,'Category Averages'!$A$2:$A$4,'Category Averages'!E$2:E$4)</f>
        <v>0.7927287849595267</v>
      </c>
      <c r="K231" s="63">
        <f>_xlfn.XLOOKUP($A231,'Data 2024'!$A:$A,'Data 2024'!Q:Q)/_xlfn.XLOOKUP($B231,'Category Averages'!$A$2:$A$4,'Category Averages'!F$2:F$4)</f>
        <v>1.8337792965002533</v>
      </c>
    </row>
    <row r="232" spans="1:11" ht="18" customHeight="1">
      <c r="A232" s="56">
        <v>5895500</v>
      </c>
      <c r="B232" s="54" t="str">
        <f>_xlfn.XLOOKUP(A232,'Data 2024'!A:A,'Data 2024'!D:D)</f>
        <v>Region 2</v>
      </c>
      <c r="C232" s="58" t="s">
        <v>1159</v>
      </c>
      <c r="D232" s="58" t="s">
        <v>865</v>
      </c>
      <c r="E232" s="58" t="s">
        <v>931</v>
      </c>
      <c r="F232" s="58" t="s">
        <v>1160</v>
      </c>
      <c r="G232" s="55">
        <f>_xlfn.XLOOKUP($A232,'Data 2024'!$A:$A,'Data 2024'!I:I)/_xlfn.XLOOKUP($B232,'Category Averages'!$A$2:$A$4,'Category Averages'!$B$2:$B$4)</f>
        <v>0.47449359314595052</v>
      </c>
      <c r="H232" s="55">
        <f>_xlfn.XLOOKUP($A232,'Data 2024'!$A:$A,'Data 2024'!J:J)/_xlfn.XLOOKUP($B232,'Category Averages'!$A$2:$A$4,'Category Averages'!C$2:C$4)</f>
        <v>0.44223505557663451</v>
      </c>
      <c r="I232" s="55">
        <f>_xlfn.XLOOKUP($A232,'Data 2024'!$A:$A,'Data 2024'!K:K)/_xlfn.XLOOKUP($B232,'Category Averages'!$A$2:$A$4,'Category Averages'!D$2:D$4)</f>
        <v>0.65535933638887223</v>
      </c>
      <c r="J232" s="63">
        <f>_xlfn.XLOOKUP($A232,'Data 2024'!$A:$A,'Data 2024'!P:P)/_xlfn.XLOOKUP($B232,'Category Averages'!$A$2:$A$4,'Category Averages'!E$2:E$4)</f>
        <v>2.4556084125321695</v>
      </c>
      <c r="K232" s="63">
        <f>_xlfn.XLOOKUP($A232,'Data 2024'!$A:$A,'Data 2024'!Q:Q)/_xlfn.XLOOKUP($B232,'Category Averages'!$A$2:$A$4,'Category Averages'!F$2:F$4)</f>
        <v>1.9755517507439118</v>
      </c>
    </row>
    <row r="233" spans="1:11" ht="18" customHeight="1">
      <c r="A233" s="56">
        <v>5898400</v>
      </c>
      <c r="B233" s="54" t="str">
        <f>_xlfn.XLOOKUP(A233,'Data 2024'!A:A,'Data 2024'!D:D)</f>
        <v>Region 1</v>
      </c>
      <c r="C233" s="58" t="s">
        <v>1161</v>
      </c>
      <c r="D233" s="58" t="s">
        <v>865</v>
      </c>
      <c r="E233" s="58" t="s">
        <v>931</v>
      </c>
      <c r="F233" s="58" t="s">
        <v>1153</v>
      </c>
      <c r="G233" s="55">
        <f>_xlfn.XLOOKUP($A233,'Data 2024'!$A:$A,'Data 2024'!I:I)/_xlfn.XLOOKUP($B233,'Category Averages'!$A$2:$A$4,'Category Averages'!$B$2:$B$4)</f>
        <v>0.80375733245553982</v>
      </c>
      <c r="H233" s="55">
        <f>_xlfn.XLOOKUP($A233,'Data 2024'!$A:$A,'Data 2024'!J:J)/_xlfn.XLOOKUP($B233,'Category Averages'!$A$2:$A$4,'Category Averages'!C$2:C$4)</f>
        <v>1.9585246807616339</v>
      </c>
      <c r="I233" s="55">
        <f>_xlfn.XLOOKUP($A233,'Data 2024'!$A:$A,'Data 2024'!K:K)/_xlfn.XLOOKUP($B233,'Category Averages'!$A$2:$A$4,'Category Averages'!D$2:D$4)</f>
        <v>1.3138559907230609</v>
      </c>
      <c r="J233" s="63">
        <f>_xlfn.XLOOKUP($A233,'Data 2024'!$A:$A,'Data 2024'!P:P)/_xlfn.XLOOKUP($B233,'Category Averages'!$A$2:$A$4,'Category Averages'!E$2:E$4)</f>
        <v>0.46906107890463289</v>
      </c>
      <c r="K233" s="63">
        <f>_xlfn.XLOOKUP($A233,'Data 2024'!$A:$A,'Data 2024'!Q:Q)/_xlfn.XLOOKUP($B233,'Category Averages'!$A$2:$A$4,'Category Averages'!F$2:F$4)</f>
        <v>0.419587110524761</v>
      </c>
    </row>
    <row r="234" spans="1:11" ht="18" customHeight="1">
      <c r="A234" s="56">
        <v>5900600</v>
      </c>
      <c r="B234" s="54" t="str">
        <f>_xlfn.XLOOKUP(A234,'Data 2024'!A:A,'Data 2024'!D:D)</f>
        <v>Region 1</v>
      </c>
      <c r="C234" s="58" t="s">
        <v>1162</v>
      </c>
      <c r="D234" s="58" t="s">
        <v>865</v>
      </c>
      <c r="E234" s="58" t="s">
        <v>872</v>
      </c>
      <c r="F234" s="58" t="s">
        <v>1155</v>
      </c>
      <c r="G234" s="55">
        <f>_xlfn.XLOOKUP($A234,'Data 2024'!$A:$A,'Data 2024'!I:I)/_xlfn.XLOOKUP($B234,'Category Averages'!$A$2:$A$4,'Category Averages'!$B$2:$B$4)</f>
        <v>0.87634855630197261</v>
      </c>
      <c r="H234" s="55">
        <f>_xlfn.XLOOKUP($A234,'Data 2024'!$A:$A,'Data 2024'!J:J)/_xlfn.XLOOKUP($B234,'Category Averages'!$A$2:$A$4,'Category Averages'!C$2:C$4)</f>
        <v>0.88449309003570631</v>
      </c>
      <c r="I234" s="55">
        <f>_xlfn.XLOOKUP($A234,'Data 2024'!$A:$A,'Data 2024'!K:K)/_xlfn.XLOOKUP($B234,'Category Averages'!$A$2:$A$4,'Category Averages'!D$2:D$4)</f>
        <v>0.96527232319885903</v>
      </c>
      <c r="J234" s="63">
        <f>_xlfn.XLOOKUP($A234,'Data 2024'!$A:$A,'Data 2024'!P:P)/_xlfn.XLOOKUP($B234,'Category Averages'!$A$2:$A$4,'Category Averages'!E$2:E$4)</f>
        <v>1.7338492264347782</v>
      </c>
      <c r="K234" s="63">
        <f>_xlfn.XLOOKUP($A234,'Data 2024'!$A:$A,'Data 2024'!Q:Q)/_xlfn.XLOOKUP($B234,'Category Averages'!$A$2:$A$4,'Category Averages'!F$2:F$4)</f>
        <v>1.5163322789832665</v>
      </c>
    </row>
    <row r="235" spans="1:11" ht="18" customHeight="1">
      <c r="A235" s="56">
        <v>5901700</v>
      </c>
      <c r="B235" s="54" t="str">
        <f>_xlfn.XLOOKUP(A235,'Data 2024'!A:A,'Data 2024'!D:D)</f>
        <v>Region 2</v>
      </c>
      <c r="C235" s="58" t="s">
        <v>1163</v>
      </c>
      <c r="D235" s="58" t="s">
        <v>808</v>
      </c>
      <c r="E235" s="58" t="s">
        <v>814</v>
      </c>
      <c r="F235" s="58" t="s">
        <v>935</v>
      </c>
      <c r="G235" s="55">
        <f>_xlfn.XLOOKUP($A235,'Data 2024'!$A:$A,'Data 2024'!I:I)/_xlfn.XLOOKUP($B235,'Category Averages'!$A$2:$A$4,'Category Averages'!$B$2:$B$4)</f>
        <v>1.137322167652838</v>
      </c>
      <c r="H235" s="55">
        <f>_xlfn.XLOOKUP($A235,'Data 2024'!$A:$A,'Data 2024'!J:J)/_xlfn.XLOOKUP($B235,'Category Averages'!$A$2:$A$4,'Category Averages'!C$2:C$4)</f>
        <v>1.0791041678638482</v>
      </c>
      <c r="I235" s="55">
        <f>_xlfn.XLOOKUP($A235,'Data 2024'!$A:$A,'Data 2024'!K:K)/_xlfn.XLOOKUP($B235,'Category Averages'!$A$2:$A$4,'Category Averages'!D$2:D$4)</f>
        <v>1.019479523718168</v>
      </c>
      <c r="J235" s="63">
        <f>_xlfn.XLOOKUP($A235,'Data 2024'!$A:$A,'Data 2024'!P:P)/_xlfn.XLOOKUP($B235,'Category Averages'!$A$2:$A$4,'Category Averages'!E$2:E$4)</f>
        <v>0.51303234487503369</v>
      </c>
      <c r="K235" s="63">
        <f>_xlfn.XLOOKUP($A235,'Data 2024'!$A:$A,'Data 2024'!Q:Q)/_xlfn.XLOOKUP($B235,'Category Averages'!$A$2:$A$4,'Category Averages'!F$2:F$4)</f>
        <v>0.26203384423922571</v>
      </c>
    </row>
    <row r="236" spans="1:11" ht="18" customHeight="1">
      <c r="A236" s="56">
        <v>5908000</v>
      </c>
      <c r="B236" s="54" t="str">
        <f>_xlfn.XLOOKUP(A236,'Data 2024'!A:A,'Data 2024'!D:D)</f>
        <v>Region 1</v>
      </c>
      <c r="C236" s="58" t="s">
        <v>1164</v>
      </c>
      <c r="D236" s="58" t="s">
        <v>865</v>
      </c>
      <c r="E236" s="58" t="s">
        <v>872</v>
      </c>
      <c r="F236" s="58" t="s">
        <v>1155</v>
      </c>
      <c r="G236" s="55">
        <f>_xlfn.XLOOKUP($A236,'Data 2024'!$A:$A,'Data 2024'!I:I)/_xlfn.XLOOKUP($B236,'Category Averages'!$A$2:$A$4,'Category Averages'!$B$2:$B$4)</f>
        <v>0.88504147296743396</v>
      </c>
      <c r="H236" s="55">
        <f>_xlfn.XLOOKUP($A236,'Data 2024'!$A:$A,'Data 2024'!J:J)/_xlfn.XLOOKUP($B236,'Category Averages'!$A$2:$A$4,'Category Averages'!C$2:C$4)</f>
        <v>1.313099575044093</v>
      </c>
      <c r="I236" s="55">
        <f>_xlfn.XLOOKUP($A236,'Data 2024'!$A:$A,'Data 2024'!K:K)/_xlfn.XLOOKUP($B236,'Category Averages'!$A$2:$A$4,'Category Averages'!D$2:D$4)</f>
        <v>0.85194640319973036</v>
      </c>
      <c r="J236" s="63">
        <f>_xlfn.XLOOKUP($A236,'Data 2024'!$A:$A,'Data 2024'!P:P)/_xlfn.XLOOKUP($B236,'Category Averages'!$A$2:$A$4,'Category Averages'!E$2:E$4)</f>
        <v>2.2939946951905181</v>
      </c>
      <c r="K236" s="63">
        <f>_xlfn.XLOOKUP($A236,'Data 2024'!$A:$A,'Data 2024'!Q:Q)/_xlfn.XLOOKUP($B236,'Category Averages'!$A$2:$A$4,'Category Averages'!F$2:F$4)</f>
        <v>1.9143800536377278</v>
      </c>
    </row>
    <row r="237" spans="1:11" ht="18" customHeight="1">
      <c r="A237" s="56">
        <v>5909500</v>
      </c>
      <c r="B237" s="54" t="str">
        <f>_xlfn.XLOOKUP(A237,'Data 2024'!A:A,'Data 2024'!D:D)</f>
        <v>Region 2</v>
      </c>
      <c r="C237" s="58" t="s">
        <v>1165</v>
      </c>
      <c r="D237" s="58" t="s">
        <v>865</v>
      </c>
      <c r="E237" s="58" t="s">
        <v>931</v>
      </c>
      <c r="F237" s="58" t="s">
        <v>1153</v>
      </c>
      <c r="G237" s="55">
        <f>_xlfn.XLOOKUP($A237,'Data 2024'!$A:$A,'Data 2024'!I:I)/_xlfn.XLOOKUP($B237,'Category Averages'!$A$2:$A$4,'Category Averages'!$B$2:$B$4)</f>
        <v>0.60042475929678651</v>
      </c>
      <c r="H237" s="55">
        <f>_xlfn.XLOOKUP($A237,'Data 2024'!$A:$A,'Data 2024'!J:J)/_xlfn.XLOOKUP($B237,'Category Averages'!$A$2:$A$4,'Category Averages'!C$2:C$4)</f>
        <v>0.55650506692604695</v>
      </c>
      <c r="I237" s="55">
        <f>_xlfn.XLOOKUP($A237,'Data 2024'!$A:$A,'Data 2024'!K:K)/_xlfn.XLOOKUP($B237,'Category Averages'!$A$2:$A$4,'Category Averages'!D$2:D$4)</f>
        <v>0.63195660744463744</v>
      </c>
      <c r="J237" s="63">
        <f>_xlfn.XLOOKUP($A237,'Data 2024'!$A:$A,'Data 2024'!P:P)/_xlfn.XLOOKUP($B237,'Category Averages'!$A$2:$A$4,'Category Averages'!E$2:E$4)</f>
        <v>0.98045766832592451</v>
      </c>
      <c r="K237" s="63">
        <f>_xlfn.XLOOKUP($A237,'Data 2024'!$A:$A,'Data 2024'!Q:Q)/_xlfn.XLOOKUP($B237,'Category Averages'!$A$2:$A$4,'Category Averages'!F$2:F$4)</f>
        <v>0.82616904538351166</v>
      </c>
    </row>
    <row r="238" spans="1:11" ht="18" customHeight="1">
      <c r="A238" s="56">
        <v>5918200</v>
      </c>
      <c r="B238" s="54" t="str">
        <f>_xlfn.XLOOKUP(A238,'Data 2024'!A:A,'Data 2024'!D:D)</f>
        <v>Region 1</v>
      </c>
      <c r="C238" s="58" t="s">
        <v>1166</v>
      </c>
      <c r="D238" s="58" t="s">
        <v>865</v>
      </c>
      <c r="E238" s="58" t="s">
        <v>872</v>
      </c>
      <c r="F238" s="58" t="s">
        <v>1167</v>
      </c>
      <c r="G238" s="55">
        <f>_xlfn.XLOOKUP($A238,'Data 2024'!$A:$A,'Data 2024'!I:I)/_xlfn.XLOOKUP($B238,'Category Averages'!$A$2:$A$4,'Category Averages'!$B$2:$B$4)</f>
        <v>0.52357275584064822</v>
      </c>
      <c r="H238" s="55">
        <f>_xlfn.XLOOKUP($A238,'Data 2024'!$A:$A,'Data 2024'!J:J)/_xlfn.XLOOKUP($B238,'Category Averages'!$A$2:$A$4,'Category Averages'!C$2:C$4)</f>
        <v>0</v>
      </c>
      <c r="I238" s="55">
        <f>_xlfn.XLOOKUP($A238,'Data 2024'!$A:$A,'Data 2024'!K:K)/_xlfn.XLOOKUP($B238,'Category Averages'!$A$2:$A$4,'Category Averages'!D$2:D$4)</f>
        <v>0.95732016538086417</v>
      </c>
      <c r="J238" s="63">
        <f>_xlfn.XLOOKUP($A238,'Data 2024'!$A:$A,'Data 2024'!P:P)/_xlfn.XLOOKUP($B238,'Category Averages'!$A$2:$A$4,'Category Averages'!E$2:E$4)</f>
        <v>0.50405584216785593</v>
      </c>
      <c r="K238" s="63">
        <f>_xlfn.XLOOKUP($A238,'Data 2024'!$A:$A,'Data 2024'!Q:Q)/_xlfn.XLOOKUP($B238,'Category Averages'!$A$2:$A$4,'Category Averages'!F$2:F$4)</f>
        <v>0.83627688172839698</v>
      </c>
    </row>
    <row r="239" spans="1:11" ht="18" customHeight="1">
      <c r="A239" s="56">
        <v>5918700</v>
      </c>
      <c r="B239" s="54" t="str">
        <f>_xlfn.XLOOKUP(A239,'Data 2024'!A:A,'Data 2024'!D:D)</f>
        <v>Region 2</v>
      </c>
      <c r="C239" s="58" t="s">
        <v>1168</v>
      </c>
      <c r="D239" s="58" t="s">
        <v>865</v>
      </c>
      <c r="E239" s="58" t="s">
        <v>931</v>
      </c>
      <c r="F239" s="58" t="s">
        <v>1169</v>
      </c>
      <c r="G239" s="55">
        <f>_xlfn.XLOOKUP($A239,'Data 2024'!$A:$A,'Data 2024'!I:I)/_xlfn.XLOOKUP($B239,'Category Averages'!$A$2:$A$4,'Category Averages'!$B$2:$B$4)</f>
        <v>2.4345449029983048</v>
      </c>
      <c r="H239" s="55">
        <f>_xlfn.XLOOKUP($A239,'Data 2024'!$A:$A,'Data 2024'!J:J)/_xlfn.XLOOKUP($B239,'Category Averages'!$A$2:$A$4,'Category Averages'!C$2:C$4)</f>
        <v>2.058186903964514</v>
      </c>
      <c r="I239" s="55">
        <f>_xlfn.XLOOKUP($A239,'Data 2024'!$A:$A,'Data 2024'!K:K)/_xlfn.XLOOKUP($B239,'Category Averages'!$A$2:$A$4,'Category Averages'!D$2:D$4)</f>
        <v>1.7656449494684059</v>
      </c>
      <c r="J239" s="63">
        <f>_xlfn.XLOOKUP($A239,'Data 2024'!$A:$A,'Data 2024'!P:P)/_xlfn.XLOOKUP($B239,'Category Averages'!$A$2:$A$4,'Category Averages'!E$2:E$4)</f>
        <v>0.38405817664595809</v>
      </c>
      <c r="K239" s="63">
        <f>_xlfn.XLOOKUP($A239,'Data 2024'!$A:$A,'Data 2024'!Q:Q)/_xlfn.XLOOKUP($B239,'Category Averages'!$A$2:$A$4,'Category Averages'!F$2:F$4)</f>
        <v>0.16800518614381574</v>
      </c>
    </row>
    <row r="240" spans="1:11" ht="18" customHeight="1">
      <c r="A240" s="56">
        <v>5918800</v>
      </c>
      <c r="B240" s="54" t="str">
        <f>_xlfn.XLOOKUP(A240,'Data 2024'!A:A,'Data 2024'!D:D)</f>
        <v>Region 2</v>
      </c>
      <c r="C240" s="58" t="s">
        <v>1170</v>
      </c>
      <c r="D240" s="58" t="s">
        <v>865</v>
      </c>
      <c r="E240" s="58" t="s">
        <v>931</v>
      </c>
      <c r="F240" s="58" t="s">
        <v>1169</v>
      </c>
      <c r="G240" s="55">
        <f>_xlfn.XLOOKUP($A240,'Data 2024'!$A:$A,'Data 2024'!I:I)/_xlfn.XLOOKUP($B240,'Category Averages'!$A$2:$A$4,'Category Averages'!$B$2:$B$4)</f>
        <v>2.4492236589945517</v>
      </c>
      <c r="H240" s="55">
        <f>_xlfn.XLOOKUP($A240,'Data 2024'!$A:$A,'Data 2024'!J:J)/_xlfn.XLOOKUP($B240,'Category Averages'!$A$2:$A$4,'Category Averages'!C$2:C$4)</f>
        <v>1.7148500322082616</v>
      </c>
      <c r="I240" s="55">
        <f>_xlfn.XLOOKUP($A240,'Data 2024'!$A:$A,'Data 2024'!K:K)/_xlfn.XLOOKUP($B240,'Category Averages'!$A$2:$A$4,'Category Averages'!D$2:D$4)</f>
        <v>1.9362632104690629</v>
      </c>
      <c r="J240" s="63">
        <f>_xlfn.XLOOKUP($A240,'Data 2024'!$A:$A,'Data 2024'!P:P)/_xlfn.XLOOKUP($B240,'Category Averages'!$A$2:$A$4,'Category Averages'!E$2:E$4)</f>
        <v>0.28840355694990699</v>
      </c>
      <c r="K240" s="63">
        <f>_xlfn.XLOOKUP($A240,'Data 2024'!$A:$A,'Data 2024'!Q:Q)/_xlfn.XLOOKUP($B240,'Category Averages'!$A$2:$A$4,'Category Averages'!F$2:F$4)</f>
        <v>0.15993203998758335</v>
      </c>
    </row>
    <row r="241" spans="1:11" ht="18" customHeight="1">
      <c r="A241" s="56">
        <v>5919800</v>
      </c>
      <c r="B241" s="54" t="str">
        <f>_xlfn.XLOOKUP(A241,'Data 2024'!A:A,'Data 2024'!D:D)</f>
        <v>Region 12</v>
      </c>
      <c r="C241" s="58" t="s">
        <v>1171</v>
      </c>
      <c r="D241" s="58" t="s">
        <v>865</v>
      </c>
      <c r="E241" s="58" t="s">
        <v>872</v>
      </c>
      <c r="F241" s="58" t="s">
        <v>1172</v>
      </c>
      <c r="G241" s="55">
        <f>_xlfn.XLOOKUP($A241,'Data 2024'!$A:$A,'Data 2024'!I:I)/_xlfn.XLOOKUP($B241,'Category Averages'!$A$2:$A$4,'Category Averages'!$B$2:$B$4)</f>
        <v>1.0036430821401228</v>
      </c>
      <c r="H241" s="55" t="e">
        <f>_xlfn.XLOOKUP($A241,'Data 2024'!$A:$A,'Data 2024'!J:J)/_xlfn.XLOOKUP($B241,'Category Averages'!$A$2:$A$4,'Category Averages'!C$2:C$4)</f>
        <v>#DIV/0!</v>
      </c>
      <c r="I241" s="55">
        <f>_xlfn.XLOOKUP($A241,'Data 2024'!$A:$A,'Data 2024'!K:K)/_xlfn.XLOOKUP($B241,'Category Averages'!$A$2:$A$4,'Category Averages'!D$2:D$4)</f>
        <v>2.0191729786421213</v>
      </c>
      <c r="J241" s="63">
        <f>_xlfn.XLOOKUP($A241,'Data 2024'!$A:$A,'Data 2024'!P:P)/_xlfn.XLOOKUP($B241,'Category Averages'!$A$2:$A$4,'Category Averages'!E$2:E$4)</f>
        <v>0.39154871226902699</v>
      </c>
      <c r="K241" s="63">
        <f>_xlfn.XLOOKUP($A241,'Data 2024'!$A:$A,'Data 2024'!Q:Q)/_xlfn.XLOOKUP($B241,'Category Averages'!$A$2:$A$4,'Category Averages'!F$2:F$4)</f>
        <v>1.1136239520119138</v>
      </c>
    </row>
    <row r="242" spans="1:11" ht="18" customHeight="1">
      <c r="A242" s="56">
        <v>5920200</v>
      </c>
      <c r="B242" s="54" t="str">
        <f>_xlfn.XLOOKUP(A242,'Data 2024'!A:A,'Data 2024'!D:D)</f>
        <v>Region 2</v>
      </c>
      <c r="C242" s="58" t="s">
        <v>1173</v>
      </c>
      <c r="D242" s="58" t="s">
        <v>865</v>
      </c>
      <c r="E242" s="58" t="s">
        <v>872</v>
      </c>
      <c r="F242" s="58" t="s">
        <v>1172</v>
      </c>
      <c r="G242" s="55">
        <f>_xlfn.XLOOKUP($A242,'Data 2024'!$A:$A,'Data 2024'!I:I)/_xlfn.XLOOKUP($B242,'Category Averages'!$A$2:$A$4,'Category Averages'!$B$2:$B$4)</f>
        <v>1.1970716961227732</v>
      </c>
      <c r="H242" s="55">
        <f>_xlfn.XLOOKUP($A242,'Data 2024'!$A:$A,'Data 2024'!J:J)/_xlfn.XLOOKUP($B242,'Category Averages'!$A$2:$A$4,'Category Averages'!C$2:C$4)</f>
        <v>1.4500901654399665</v>
      </c>
      <c r="I242" s="55">
        <f>_xlfn.XLOOKUP($A242,'Data 2024'!$A:$A,'Data 2024'!K:K)/_xlfn.XLOOKUP($B242,'Category Averages'!$A$2:$A$4,'Category Averages'!D$2:D$4)</f>
        <v>1.1181088428749171</v>
      </c>
      <c r="J242" s="63">
        <f>_xlfn.XLOOKUP($A242,'Data 2024'!$A:$A,'Data 2024'!P:P)/_xlfn.XLOOKUP($B242,'Category Averages'!$A$2:$A$4,'Category Averages'!E$2:E$4)</f>
        <v>0.82588990783551997</v>
      </c>
      <c r="K242" s="63">
        <f>_xlfn.XLOOKUP($A242,'Data 2024'!$A:$A,'Data 2024'!Q:Q)/_xlfn.XLOOKUP($B242,'Category Averages'!$A$2:$A$4,'Category Averages'!F$2:F$4)</f>
        <v>1.2120603244260493</v>
      </c>
    </row>
    <row r="243" spans="1:11" ht="18" customHeight="1">
      <c r="A243" s="56">
        <v>5920900</v>
      </c>
      <c r="B243" s="54" t="str">
        <f>_xlfn.XLOOKUP(A243,'Data 2024'!A:A,'Data 2024'!D:D)</f>
        <v>Region 2</v>
      </c>
      <c r="C243" s="58" t="s">
        <v>1174</v>
      </c>
      <c r="D243" s="58" t="s">
        <v>865</v>
      </c>
      <c r="E243" s="58" t="s">
        <v>872</v>
      </c>
      <c r="F243" s="58" t="s">
        <v>1175</v>
      </c>
      <c r="G243" s="55">
        <f>_xlfn.XLOOKUP($A243,'Data 2024'!$A:$A,'Data 2024'!I:I)/_xlfn.XLOOKUP($B243,'Category Averages'!$A$2:$A$4,'Category Averages'!$B$2:$B$4)</f>
        <v>0.71750525769745088</v>
      </c>
      <c r="H243" s="55">
        <f>_xlfn.XLOOKUP($A243,'Data 2024'!$A:$A,'Data 2024'!J:J)/_xlfn.XLOOKUP($B243,'Category Averages'!$A$2:$A$4,'Category Averages'!C$2:C$4)</f>
        <v>0.51336461145441614</v>
      </c>
      <c r="I243" s="55">
        <f>_xlfn.XLOOKUP($A243,'Data 2024'!$A:$A,'Data 2024'!K:K)/_xlfn.XLOOKUP($B243,'Category Averages'!$A$2:$A$4,'Category Averages'!D$2:D$4)</f>
        <v>0.74096281901990013</v>
      </c>
      <c r="J243" s="63">
        <f>_xlfn.XLOOKUP($A243,'Data 2024'!$A:$A,'Data 2024'!P:P)/_xlfn.XLOOKUP($B243,'Category Averages'!$A$2:$A$4,'Category Averages'!E$2:E$4)</f>
        <v>1.5152310636125428</v>
      </c>
      <c r="K243" s="63">
        <f>_xlfn.XLOOKUP($A243,'Data 2024'!$A:$A,'Data 2024'!Q:Q)/_xlfn.XLOOKUP($B243,'Category Averages'!$A$2:$A$4,'Category Averages'!F$2:F$4)</f>
        <v>2.2522738630218209</v>
      </c>
    </row>
    <row r="244" spans="1:11" ht="18" customHeight="1">
      <c r="A244" s="56">
        <v>5921200</v>
      </c>
      <c r="B244" s="54" t="str">
        <f>_xlfn.XLOOKUP(A244,'Data 2024'!A:A,'Data 2024'!D:D)</f>
        <v>Region 1</v>
      </c>
      <c r="C244" s="58" t="s">
        <v>1176</v>
      </c>
      <c r="D244" s="58" t="s">
        <v>808</v>
      </c>
      <c r="E244" s="58" t="s">
        <v>814</v>
      </c>
      <c r="F244" s="58" t="s">
        <v>935</v>
      </c>
      <c r="G244" s="55">
        <f>_xlfn.XLOOKUP($A244,'Data 2024'!$A:$A,'Data 2024'!I:I)/_xlfn.XLOOKUP($B244,'Category Averages'!$A$2:$A$4,'Category Averages'!$B$2:$B$4)</f>
        <v>1.6117698733206436</v>
      </c>
      <c r="H244" s="55">
        <f>_xlfn.XLOOKUP($A244,'Data 2024'!$A:$A,'Data 2024'!J:J)/_xlfn.XLOOKUP($B244,'Category Averages'!$A$2:$A$4,'Category Averages'!C$2:C$4)</f>
        <v>2.5572258178372573</v>
      </c>
      <c r="I244" s="55">
        <f>_xlfn.XLOOKUP($A244,'Data 2024'!$A:$A,'Data 2024'!K:K)/_xlfn.XLOOKUP($B244,'Category Averages'!$A$2:$A$4,'Category Averages'!D$2:D$4)</f>
        <v>1.4995727596606681</v>
      </c>
      <c r="J244" s="63">
        <f>_xlfn.XLOOKUP($A244,'Data 2024'!$A:$A,'Data 2024'!P:P)/_xlfn.XLOOKUP($B244,'Category Averages'!$A$2:$A$4,'Category Averages'!E$2:E$4)</f>
        <v>1.4051432727482773</v>
      </c>
      <c r="K244" s="63">
        <f>_xlfn.XLOOKUP($A244,'Data 2024'!$A:$A,'Data 2024'!Q:Q)/_xlfn.XLOOKUP($B244,'Category Averages'!$A$2:$A$4,'Category Averages'!F$2:F$4)</f>
        <v>0.34596275130138604</v>
      </c>
    </row>
    <row r="245" spans="1:11" ht="18" customHeight="1">
      <c r="A245" s="56">
        <v>5987200</v>
      </c>
      <c r="B245" s="54" t="str">
        <f>_xlfn.XLOOKUP(A245,'Data 2024'!A:A,'Data 2024'!D:D)</f>
        <v>Region 2</v>
      </c>
      <c r="C245" s="58" t="s">
        <v>1177</v>
      </c>
      <c r="D245" s="58" t="s">
        <v>808</v>
      </c>
      <c r="E245" s="58" t="s">
        <v>843</v>
      </c>
      <c r="F245" s="58" t="s">
        <v>875</v>
      </c>
      <c r="G245" s="55">
        <f>_xlfn.XLOOKUP($A245,'Data 2024'!$A:$A,'Data 2024'!I:I)/_xlfn.XLOOKUP($B245,'Category Averages'!$A$2:$A$4,'Category Averages'!$B$2:$B$4)</f>
        <v>0.94065589049479015</v>
      </c>
      <c r="H245" s="55">
        <f>_xlfn.XLOOKUP($A245,'Data 2024'!$A:$A,'Data 2024'!J:J)/_xlfn.XLOOKUP($B245,'Category Averages'!$A$2:$A$4,'Category Averages'!C$2:C$4)</f>
        <v>1.0563117136563553</v>
      </c>
      <c r="I245" s="55">
        <f>_xlfn.XLOOKUP($A245,'Data 2024'!$A:$A,'Data 2024'!K:K)/_xlfn.XLOOKUP($B245,'Category Averages'!$A$2:$A$4,'Category Averages'!D$2:D$4)</f>
        <v>1.0545724971273767</v>
      </c>
      <c r="J245" s="63">
        <f>_xlfn.XLOOKUP($A245,'Data 2024'!$A:$A,'Data 2024'!P:P)/_xlfn.XLOOKUP($B245,'Category Averages'!$A$2:$A$4,'Category Averages'!E$2:E$4)</f>
        <v>0.75555239254134843</v>
      </c>
      <c r="K245" s="63">
        <f>_xlfn.XLOOKUP($A245,'Data 2024'!$A:$A,'Data 2024'!Q:Q)/_xlfn.XLOOKUP($B245,'Category Averages'!$A$2:$A$4,'Category Averages'!F$2:F$4)</f>
        <v>0.55582196513388005</v>
      </c>
    </row>
    <row r="246" spans="1:11" ht="18" customHeight="1">
      <c r="A246" s="56">
        <v>6482200</v>
      </c>
      <c r="B246" s="54" t="str">
        <f>_xlfn.XLOOKUP(A246,'Data 2024'!A:A,'Data 2024'!D:D)</f>
        <v>Region 1</v>
      </c>
      <c r="C246" s="58" t="s">
        <v>1178</v>
      </c>
      <c r="D246" s="58" t="s">
        <v>865</v>
      </c>
      <c r="E246" s="58" t="s">
        <v>1135</v>
      </c>
      <c r="F246" s="58" t="s">
        <v>1179</v>
      </c>
      <c r="G246" s="55">
        <f>_xlfn.XLOOKUP($A246,'Data 2024'!$A:$A,'Data 2024'!I:I)/_xlfn.XLOOKUP($B246,'Category Averages'!$A$2:$A$4,'Category Averages'!$B$2:$B$4)</f>
        <v>0.69478757626706966</v>
      </c>
      <c r="H246" s="55">
        <f>_xlfn.XLOOKUP($A246,'Data 2024'!$A:$A,'Data 2024'!J:J)/_xlfn.XLOOKUP($B246,'Category Averages'!$A$2:$A$4,'Category Averages'!C$2:C$4)</f>
        <v>1.4381383194703297</v>
      </c>
      <c r="I246" s="55">
        <f>_xlfn.XLOOKUP($A246,'Data 2024'!$A:$A,'Data 2024'!K:K)/_xlfn.XLOOKUP($B246,'Category Averages'!$A$2:$A$4,'Category Averages'!D$2:D$4)</f>
        <v>0.97516621515242563</v>
      </c>
      <c r="J246" s="63">
        <f>_xlfn.XLOOKUP($A246,'Data 2024'!$A:$A,'Data 2024'!P:P)/_xlfn.XLOOKUP($B246,'Category Averages'!$A$2:$A$4,'Category Averages'!E$2:E$4)</f>
        <v>0.6181552533982988</v>
      </c>
      <c r="K246" s="63">
        <f>_xlfn.XLOOKUP($A246,'Data 2024'!$A:$A,'Data 2024'!Q:Q)/_xlfn.XLOOKUP($B246,'Category Averages'!$A$2:$A$4,'Category Averages'!F$2:F$4)</f>
        <v>0.74858854659669671</v>
      </c>
    </row>
    <row r="247" spans="1:11" ht="18" customHeight="1">
      <c r="A247" s="56">
        <v>6484400</v>
      </c>
      <c r="B247" s="54" t="str">
        <f>_xlfn.XLOOKUP(A247,'Data 2024'!A:A,'Data 2024'!D:D)</f>
        <v>Region 2</v>
      </c>
      <c r="C247" s="58" t="s">
        <v>1180</v>
      </c>
      <c r="D247" s="58" t="s">
        <v>865</v>
      </c>
      <c r="E247" s="58" t="s">
        <v>1135</v>
      </c>
      <c r="F247" s="58" t="s">
        <v>1181</v>
      </c>
      <c r="G247" s="55">
        <f>_xlfn.XLOOKUP($A247,'Data 2024'!$A:$A,'Data 2024'!I:I)/_xlfn.XLOOKUP($B247,'Category Averages'!$A$2:$A$4,'Category Averages'!$B$2:$B$4)</f>
        <v>0.67795662647645494</v>
      </c>
      <c r="H247" s="55">
        <f>_xlfn.XLOOKUP($A247,'Data 2024'!$A:$A,'Data 2024'!J:J)/_xlfn.XLOOKUP($B247,'Category Averages'!$A$2:$A$4,'Category Averages'!C$2:C$4)</f>
        <v>0.77011520474332451</v>
      </c>
      <c r="I247" s="55">
        <f>_xlfn.XLOOKUP($A247,'Data 2024'!$A:$A,'Data 2024'!K:K)/_xlfn.XLOOKUP($B247,'Category Averages'!$A$2:$A$4,'Category Averages'!D$2:D$4)</f>
        <v>1.1927287491350316</v>
      </c>
      <c r="J247" s="63">
        <f>_xlfn.XLOOKUP($A247,'Data 2024'!$A:$A,'Data 2024'!P:P)/_xlfn.XLOOKUP($B247,'Category Averages'!$A$2:$A$4,'Category Averages'!E$2:E$4)</f>
        <v>0.71931084424576563</v>
      </c>
      <c r="K247" s="63">
        <f>_xlfn.XLOOKUP($A247,'Data 2024'!$A:$A,'Data 2024'!Q:Q)/_xlfn.XLOOKUP($B247,'Category Averages'!$A$2:$A$4,'Category Averages'!F$2:F$4)</f>
        <v>0.33133525573946515</v>
      </c>
    </row>
    <row r="248" spans="1:11" ht="18" customHeight="1">
      <c r="A248" s="56">
        <v>6486300</v>
      </c>
      <c r="B248" s="54" t="str">
        <f>_xlfn.XLOOKUP(A248,'Data 2024'!A:A,'Data 2024'!D:D)</f>
        <v>Region 2</v>
      </c>
      <c r="C248" s="58" t="s">
        <v>1182</v>
      </c>
      <c r="D248" s="58" t="s">
        <v>865</v>
      </c>
      <c r="E248" s="58" t="s">
        <v>1135</v>
      </c>
      <c r="F248" s="58" t="s">
        <v>1183</v>
      </c>
      <c r="G248" s="55">
        <f>_xlfn.XLOOKUP($A248,'Data 2024'!$A:$A,'Data 2024'!I:I)/_xlfn.XLOOKUP($B248,'Category Averages'!$A$2:$A$4,'Category Averages'!$B$2:$B$4)</f>
        <v>0.53951677962774058</v>
      </c>
      <c r="H248" s="55">
        <f>_xlfn.XLOOKUP($A248,'Data 2024'!$A:$A,'Data 2024'!J:J)/_xlfn.XLOOKUP($B248,'Category Averages'!$A$2:$A$4,'Category Averages'!C$2:C$4)</f>
        <v>0.52854303085519261</v>
      </c>
      <c r="I248" s="55">
        <f>_xlfn.XLOOKUP($A248,'Data 2024'!$A:$A,'Data 2024'!K:K)/_xlfn.XLOOKUP($B248,'Category Averages'!$A$2:$A$4,'Category Averages'!D$2:D$4)</f>
        <v>0.58057667552262959</v>
      </c>
      <c r="J248" s="63">
        <f>_xlfn.XLOOKUP($A248,'Data 2024'!$A:$A,'Data 2024'!P:P)/_xlfn.XLOOKUP($B248,'Category Averages'!$A$2:$A$4,'Category Averages'!E$2:E$4)</f>
        <v>2.5104379585388745</v>
      </c>
      <c r="K248" s="63">
        <f>_xlfn.XLOOKUP($A248,'Data 2024'!$A:$A,'Data 2024'!Q:Q)/_xlfn.XLOOKUP($B248,'Category Averages'!$A$2:$A$4,'Category Averages'!F$2:F$4)</f>
        <v>1.8889708771764686</v>
      </c>
    </row>
    <row r="249" spans="1:11" ht="18" customHeight="1">
      <c r="A249" s="56">
        <v>6488500</v>
      </c>
      <c r="B249" s="54" t="str">
        <f>_xlfn.XLOOKUP(A249,'Data 2024'!A:A,'Data 2024'!D:D)</f>
        <v>Region 1</v>
      </c>
      <c r="C249" s="58" t="s">
        <v>1184</v>
      </c>
      <c r="D249" s="58" t="s">
        <v>865</v>
      </c>
      <c r="E249" s="58" t="s">
        <v>1135</v>
      </c>
      <c r="F249" s="58" t="s">
        <v>1185</v>
      </c>
      <c r="G249" s="55">
        <f>_xlfn.XLOOKUP($A249,'Data 2024'!$A:$A,'Data 2024'!I:I)/_xlfn.XLOOKUP($B249,'Category Averages'!$A$2:$A$4,'Category Averages'!$B$2:$B$4)</f>
        <v>0.69094183453697644</v>
      </c>
      <c r="H249" s="55">
        <f>_xlfn.XLOOKUP($A249,'Data 2024'!$A:$A,'Data 2024'!J:J)/_xlfn.XLOOKUP($B249,'Category Averages'!$A$2:$A$4,'Category Averages'!C$2:C$4)</f>
        <v>1.0344896435831124</v>
      </c>
      <c r="I249" s="55">
        <f>_xlfn.XLOOKUP($A249,'Data 2024'!$A:$A,'Data 2024'!K:K)/_xlfn.XLOOKUP($B249,'Category Averages'!$A$2:$A$4,'Category Averages'!D$2:D$4)</f>
        <v>0.92186553693185702</v>
      </c>
      <c r="J249" s="63">
        <f>_xlfn.XLOOKUP($A249,'Data 2024'!$A:$A,'Data 2024'!P:P)/_xlfn.XLOOKUP($B249,'Category Averages'!$A$2:$A$4,'Category Averages'!E$2:E$4)</f>
        <v>1.0744912420465111</v>
      </c>
      <c r="K249" s="63">
        <f>_xlfn.XLOOKUP($A249,'Data 2024'!$A:$A,'Data 2024'!Q:Q)/_xlfn.XLOOKUP($B249,'Category Averages'!$A$2:$A$4,'Category Averages'!F$2:F$4)</f>
        <v>0.60806630713823195</v>
      </c>
    </row>
    <row r="250" spans="1:11" ht="18" customHeight="1">
      <c r="A250" s="56">
        <v>6489600</v>
      </c>
      <c r="B250" s="54" t="str">
        <f>_xlfn.XLOOKUP(A250,'Data 2024'!A:A,'Data 2024'!D:D)</f>
        <v>Region 1</v>
      </c>
      <c r="C250" s="58" t="s">
        <v>1186</v>
      </c>
      <c r="D250" s="58" t="s">
        <v>865</v>
      </c>
      <c r="E250" s="58" t="s">
        <v>1135</v>
      </c>
      <c r="F250" s="58" t="s">
        <v>1179</v>
      </c>
      <c r="G250" s="55">
        <f>_xlfn.XLOOKUP($A250,'Data 2024'!$A:$A,'Data 2024'!I:I)/_xlfn.XLOOKUP($B250,'Category Averages'!$A$2:$A$4,'Category Averages'!$B$2:$B$4)</f>
        <v>0.60391472442060479</v>
      </c>
      <c r="H250" s="55">
        <f>_xlfn.XLOOKUP($A250,'Data 2024'!$A:$A,'Data 2024'!J:J)/_xlfn.XLOOKUP($B250,'Category Averages'!$A$2:$A$4,'Category Averages'!C$2:C$4)</f>
        <v>1.2384812490672947</v>
      </c>
      <c r="I250" s="55">
        <f>_xlfn.XLOOKUP($A250,'Data 2024'!$A:$A,'Data 2024'!K:K)/_xlfn.XLOOKUP($B250,'Category Averages'!$A$2:$A$4,'Category Averages'!D$2:D$4)</f>
        <v>0.86386381137080415</v>
      </c>
      <c r="J250" s="63">
        <f>_xlfn.XLOOKUP($A250,'Data 2024'!$A:$A,'Data 2024'!P:P)/_xlfn.XLOOKUP($B250,'Category Averages'!$A$2:$A$4,'Category Averages'!E$2:E$4)</f>
        <v>0.86696953732178139</v>
      </c>
      <c r="K250" s="63">
        <f>_xlfn.XLOOKUP($A250,'Data 2024'!$A:$A,'Data 2024'!Q:Q)/_xlfn.XLOOKUP($B250,'Category Averages'!$A$2:$A$4,'Category Averages'!F$2:F$4)</f>
        <v>0.27803574295408656</v>
      </c>
    </row>
    <row r="251" spans="1:11" ht="18" customHeight="1">
      <c r="A251" s="54">
        <v>6495100</v>
      </c>
      <c r="B251" s="54" t="str">
        <f>_xlfn.XLOOKUP(A251,'Data 2024'!A:A,'Data 2024'!D:D)</f>
        <v>Region 2</v>
      </c>
      <c r="C251" s="57" t="s">
        <v>1187</v>
      </c>
      <c r="D251" s="57" t="s">
        <v>865</v>
      </c>
      <c r="E251" s="57" t="s">
        <v>1188</v>
      </c>
      <c r="F251" s="57" t="s">
        <v>1189</v>
      </c>
      <c r="G251" s="55">
        <f>_xlfn.XLOOKUP($A251,'Data 2024'!$A:$A,'Data 2024'!I:I)/_xlfn.XLOOKUP($B251,'Category Averages'!$A$2:$A$4,'Category Averages'!$B$2:$B$4)</f>
        <v>0.90770424458464105</v>
      </c>
      <c r="H251" s="55">
        <f>_xlfn.XLOOKUP($A251,'Data 2024'!$A:$A,'Data 2024'!J:J)/_xlfn.XLOOKUP($B251,'Category Averages'!$A$2:$A$4,'Category Averages'!C$2:C$4)</f>
        <v>0.78552841107320992</v>
      </c>
      <c r="I251" s="55">
        <f>_xlfn.XLOOKUP($A251,'Data 2024'!$A:$A,'Data 2024'!K:K)/_xlfn.XLOOKUP($B251,'Category Averages'!$A$2:$A$4,'Category Averages'!D$2:D$4)</f>
        <v>0.9769805659037013</v>
      </c>
      <c r="J251" s="63">
        <f>_xlfn.XLOOKUP($A251,'Data 2024'!$A:$A,'Data 2024'!P:P)/_xlfn.XLOOKUP($B251,'Category Averages'!$A$2:$A$4,'Category Averages'!E$2:E$4)</f>
        <v>1.4692881378704625</v>
      </c>
      <c r="K251" s="63">
        <f>_xlfn.XLOOKUP($A251,'Data 2024'!$A:$A,'Data 2024'!Q:Q)/_xlfn.XLOOKUP($B251,'Category Averages'!$A$2:$A$4,'Category Averages'!F$2:F$4)</f>
        <v>1.6025219045630374</v>
      </c>
    </row>
    <row r="252" spans="1:11" ht="18" customHeight="1">
      <c r="A252" s="56">
        <v>6495900</v>
      </c>
      <c r="B252" s="54" t="str">
        <f>_xlfn.XLOOKUP(A252,'Data 2024'!A:A,'Data 2024'!D:D)</f>
        <v>Region 1</v>
      </c>
      <c r="C252" s="58" t="s">
        <v>1190</v>
      </c>
      <c r="D252" s="58" t="s">
        <v>865</v>
      </c>
      <c r="E252" s="58" t="s">
        <v>1188</v>
      </c>
      <c r="F252" s="58" t="s">
        <v>1191</v>
      </c>
      <c r="G252" s="55">
        <f>_xlfn.XLOOKUP($A252,'Data 2024'!$A:$A,'Data 2024'!I:I)/_xlfn.XLOOKUP($B252,'Category Averages'!$A$2:$A$4,'Category Averages'!$B$2:$B$4)</f>
        <v>0.73430689881721789</v>
      </c>
      <c r="H252" s="55">
        <f>_xlfn.XLOOKUP($A252,'Data 2024'!$A:$A,'Data 2024'!J:J)/_xlfn.XLOOKUP($B252,'Category Averages'!$A$2:$A$4,'Category Averages'!C$2:C$4)</f>
        <v>1.4425638574429869</v>
      </c>
      <c r="I252" s="55">
        <f>_xlfn.XLOOKUP($A252,'Data 2024'!$A:$A,'Data 2024'!K:K)/_xlfn.XLOOKUP($B252,'Category Averages'!$A$2:$A$4,'Category Averages'!D$2:D$4)</f>
        <v>0.75785196483334538</v>
      </c>
      <c r="J252" s="63">
        <f>_xlfn.XLOOKUP($A252,'Data 2024'!$A:$A,'Data 2024'!P:P)/_xlfn.XLOOKUP($B252,'Category Averages'!$A$2:$A$4,'Category Averages'!E$2:E$4)</f>
        <v>0.5104223928702547</v>
      </c>
      <c r="K252" s="63">
        <f>_xlfn.XLOOKUP($A252,'Data 2024'!$A:$A,'Data 2024'!Q:Q)/_xlfn.XLOOKUP($B252,'Category Averages'!$A$2:$A$4,'Category Averages'!F$2:F$4)</f>
        <v>0.40001767038341196</v>
      </c>
    </row>
    <row r="253" spans="1:11" ht="18" customHeight="1">
      <c r="A253" s="56">
        <v>6497000</v>
      </c>
      <c r="B253" s="54" t="str">
        <f>_xlfn.XLOOKUP(A253,'Data 2024'!A:A,'Data 2024'!D:D)</f>
        <v>Region 12</v>
      </c>
      <c r="C253" s="58" t="s">
        <v>1192</v>
      </c>
      <c r="D253" s="58" t="s">
        <v>865</v>
      </c>
      <c r="E253" s="58" t="s">
        <v>1188</v>
      </c>
      <c r="F253" s="58" t="s">
        <v>1189</v>
      </c>
      <c r="G253" s="55">
        <f>_xlfn.XLOOKUP($A253,'Data 2024'!$A:$A,'Data 2024'!I:I)/_xlfn.XLOOKUP($B253,'Category Averages'!$A$2:$A$4,'Category Averages'!$B$2:$B$4)</f>
        <v>0.75859563835132127</v>
      </c>
      <c r="H253" s="55" t="e">
        <f>_xlfn.XLOOKUP($A253,'Data 2024'!$A:$A,'Data 2024'!J:J)/_xlfn.XLOOKUP($B253,'Category Averages'!$A$2:$A$4,'Category Averages'!C$2:C$4)</f>
        <v>#DIV/0!</v>
      </c>
      <c r="I253" s="55">
        <f>_xlfn.XLOOKUP($A253,'Data 2024'!$A:$A,'Data 2024'!K:K)/_xlfn.XLOOKUP($B253,'Category Averages'!$A$2:$A$4,'Category Averages'!D$2:D$4)</f>
        <v>2.5727489643079688</v>
      </c>
      <c r="J253" s="63">
        <f>_xlfn.XLOOKUP($A253,'Data 2024'!$A:$A,'Data 2024'!P:P)/_xlfn.XLOOKUP($B253,'Category Averages'!$A$2:$A$4,'Category Averages'!E$2:E$4)</f>
        <v>0.30516103093083685</v>
      </c>
      <c r="K253" s="63">
        <f>_xlfn.XLOOKUP($A253,'Data 2024'!$A:$A,'Data 2024'!Q:Q)/_xlfn.XLOOKUP($B253,'Category Averages'!$A$2:$A$4,'Category Averages'!F$2:F$4)</f>
        <v>0.55442159047800998</v>
      </c>
    </row>
    <row r="254" spans="1:11" ht="18" customHeight="1">
      <c r="A254" s="56">
        <v>6507700</v>
      </c>
      <c r="B254" s="54" t="str">
        <f>_xlfn.XLOOKUP(A254,'Data 2024'!A:A,'Data 2024'!D:D)</f>
        <v>Region 1</v>
      </c>
      <c r="C254" s="58" t="s">
        <v>1193</v>
      </c>
      <c r="D254" s="58" t="s">
        <v>865</v>
      </c>
      <c r="E254" s="58" t="s">
        <v>1135</v>
      </c>
      <c r="F254" s="58" t="s">
        <v>1185</v>
      </c>
      <c r="G254" s="55">
        <f>_xlfn.XLOOKUP($A254,'Data 2024'!$A:$A,'Data 2024'!I:I)/_xlfn.XLOOKUP($B254,'Category Averages'!$A$2:$A$4,'Category Averages'!$B$2:$B$4)</f>
        <v>0.6455212610382407</v>
      </c>
      <c r="H254" s="55">
        <f>_xlfn.XLOOKUP($A254,'Data 2024'!$A:$A,'Data 2024'!J:J)/_xlfn.XLOOKUP($B254,'Category Averages'!$A$2:$A$4,'Category Averages'!C$2:C$4)</f>
        <v>1.2690398570278192</v>
      </c>
      <c r="I254" s="55">
        <f>_xlfn.XLOOKUP($A254,'Data 2024'!$A:$A,'Data 2024'!K:K)/_xlfn.XLOOKUP($B254,'Category Averages'!$A$2:$A$4,'Category Averages'!D$2:D$4)</f>
        <v>0.94173628711620749</v>
      </c>
      <c r="J254" s="63">
        <f>_xlfn.XLOOKUP($A254,'Data 2024'!$A:$A,'Data 2024'!P:P)/_xlfn.XLOOKUP($B254,'Category Averages'!$A$2:$A$4,'Category Averages'!E$2:E$4)</f>
        <v>0.80364270759036416</v>
      </c>
      <c r="K254" s="63">
        <f>_xlfn.XLOOKUP($A254,'Data 2024'!$A:$A,'Data 2024'!Q:Q)/_xlfn.XLOOKUP($B254,'Category Averages'!$A$2:$A$4,'Category Averages'!F$2:F$4)</f>
        <v>0.48126490865188809</v>
      </c>
    </row>
    <row r="255" spans="1:11" ht="18" customHeight="1">
      <c r="A255" s="56">
        <v>6514300</v>
      </c>
      <c r="B255" s="54" t="str">
        <f>_xlfn.XLOOKUP(A255,'Data 2024'!A:A,'Data 2024'!D:D)</f>
        <v>Region 2</v>
      </c>
      <c r="C255" s="58" t="s">
        <v>1194</v>
      </c>
      <c r="D255" s="58" t="s">
        <v>865</v>
      </c>
      <c r="E255" s="58" t="s">
        <v>1135</v>
      </c>
      <c r="F255" s="58" t="s">
        <v>1195</v>
      </c>
      <c r="G255" s="55">
        <f>_xlfn.XLOOKUP($A255,'Data 2024'!$A:$A,'Data 2024'!I:I)/_xlfn.XLOOKUP($B255,'Category Averages'!$A$2:$A$4,'Category Averages'!$B$2:$B$4)</f>
        <v>0.36685013732641708</v>
      </c>
      <c r="H255" s="55">
        <f>_xlfn.XLOOKUP($A255,'Data 2024'!$A:$A,'Data 2024'!J:J)/_xlfn.XLOOKUP($B255,'Category Averages'!$A$2:$A$4,'Category Averages'!C$2:C$4)</f>
        <v>0.68373757130265866</v>
      </c>
      <c r="I255" s="55">
        <f>_xlfn.XLOOKUP($A255,'Data 2024'!$A:$A,'Data 2024'!K:K)/_xlfn.XLOOKUP($B255,'Category Averages'!$A$2:$A$4,'Category Averages'!D$2:D$4)</f>
        <v>0.87030776062671811</v>
      </c>
      <c r="J255" s="63">
        <f>_xlfn.XLOOKUP($A255,'Data 2024'!$A:$A,'Data 2024'!P:P)/_xlfn.XLOOKUP($B255,'Category Averages'!$A$2:$A$4,'Category Averages'!E$2:E$4)</f>
        <v>1.013827791733571</v>
      </c>
      <c r="K255" s="63">
        <f>_xlfn.XLOOKUP($A255,'Data 2024'!$A:$A,'Data 2024'!Q:Q)/_xlfn.XLOOKUP($B255,'Category Averages'!$A$2:$A$4,'Category Averages'!F$2:F$4)</f>
        <v>1.0465388531539122</v>
      </c>
    </row>
    <row r="256" spans="1:11" ht="18" customHeight="1">
      <c r="A256" s="56">
        <v>6515500</v>
      </c>
      <c r="B256" s="54" t="str">
        <f>_xlfn.XLOOKUP(A256,'Data 2024'!A:A,'Data 2024'!D:D)</f>
        <v>Region 2</v>
      </c>
      <c r="C256" s="58" t="s">
        <v>1196</v>
      </c>
      <c r="D256" s="58" t="s">
        <v>865</v>
      </c>
      <c r="E256" s="58" t="s">
        <v>1135</v>
      </c>
      <c r="F256" s="58" t="s">
        <v>1197</v>
      </c>
      <c r="G256" s="55">
        <f>_xlfn.XLOOKUP($A256,'Data 2024'!$A:$A,'Data 2024'!I:I)/_xlfn.XLOOKUP($B256,'Category Averages'!$A$2:$A$4,'Category Averages'!$B$2:$B$4)</f>
        <v>0.60447129906479968</v>
      </c>
      <c r="H256" s="55">
        <f>_xlfn.XLOOKUP($A256,'Data 2024'!$A:$A,'Data 2024'!J:J)/_xlfn.XLOOKUP($B256,'Category Averages'!$A$2:$A$4,'Category Averages'!C$2:C$4)</f>
        <v>0.4329006831161703</v>
      </c>
      <c r="I256" s="55">
        <f>_xlfn.XLOOKUP($A256,'Data 2024'!$A:$A,'Data 2024'!K:K)/_xlfn.XLOOKUP($B256,'Category Averages'!$A$2:$A$4,'Category Averages'!D$2:D$4)</f>
        <v>0.82377358840313564</v>
      </c>
      <c r="J256" s="63">
        <f>_xlfn.XLOOKUP($A256,'Data 2024'!$A:$A,'Data 2024'!P:P)/_xlfn.XLOOKUP($B256,'Category Averages'!$A$2:$A$4,'Category Averages'!E$2:E$4)</f>
        <v>0.82502964611959473</v>
      </c>
      <c r="K256" s="63">
        <f>_xlfn.XLOOKUP($A256,'Data 2024'!$A:$A,'Data 2024'!Q:Q)/_xlfn.XLOOKUP($B256,'Category Averages'!$A$2:$A$4,'Category Averages'!F$2:F$4)</f>
        <v>0.5792908741899353</v>
      </c>
    </row>
    <row r="257" spans="1:11" ht="18" customHeight="1">
      <c r="A257" s="56">
        <v>6517300</v>
      </c>
      <c r="B257" s="54" t="str">
        <f>_xlfn.XLOOKUP(A257,'Data 2024'!A:A,'Data 2024'!D:D)</f>
        <v>Region 1</v>
      </c>
      <c r="C257" s="58" t="s">
        <v>1198</v>
      </c>
      <c r="D257" s="58" t="s">
        <v>865</v>
      </c>
      <c r="E257" s="58" t="s">
        <v>1188</v>
      </c>
      <c r="F257" s="58" t="s">
        <v>1191</v>
      </c>
      <c r="G257" s="55">
        <f>_xlfn.XLOOKUP($A257,'Data 2024'!$A:$A,'Data 2024'!I:I)/_xlfn.XLOOKUP($B257,'Category Averages'!$A$2:$A$4,'Category Averages'!$B$2:$B$4)</f>
        <v>0.95093381230807095</v>
      </c>
      <c r="H257" s="55">
        <f>_xlfn.XLOOKUP($A257,'Data 2024'!$A:$A,'Data 2024'!J:J)/_xlfn.XLOOKUP($B257,'Category Averages'!$A$2:$A$4,'Category Averages'!C$2:C$4)</f>
        <v>0</v>
      </c>
      <c r="I257" s="55">
        <f>_xlfn.XLOOKUP($A257,'Data 2024'!$A:$A,'Data 2024'!K:K)/_xlfn.XLOOKUP($B257,'Category Averages'!$A$2:$A$4,'Category Averages'!D$2:D$4)</f>
        <v>1.3148481974256712</v>
      </c>
      <c r="J257" s="63">
        <f>_xlfn.XLOOKUP($A257,'Data 2024'!$A:$A,'Data 2024'!P:P)/_xlfn.XLOOKUP($B257,'Category Averages'!$A$2:$A$4,'Category Averages'!E$2:E$4)</f>
        <v>0.23045966393720732</v>
      </c>
      <c r="K257" s="63">
        <f>_xlfn.XLOOKUP($A257,'Data 2024'!$A:$A,'Data 2024'!Q:Q)/_xlfn.XLOOKUP($B257,'Category Averages'!$A$2:$A$4,'Category Averages'!F$2:F$4)</f>
        <v>0.32579529236857713</v>
      </c>
    </row>
    <row r="258" spans="1:11" ht="18" customHeight="1">
      <c r="A258" s="56">
        <v>6577000</v>
      </c>
      <c r="B258" s="54" t="str">
        <f>_xlfn.XLOOKUP(A258,'Data 2024'!A:A,'Data 2024'!D:D)</f>
        <v>Region 2</v>
      </c>
      <c r="C258" s="58" t="s">
        <v>1199</v>
      </c>
      <c r="D258" s="58" t="s">
        <v>865</v>
      </c>
      <c r="E258" s="58" t="s">
        <v>1188</v>
      </c>
      <c r="F258" s="58" t="s">
        <v>1189</v>
      </c>
      <c r="G258" s="55">
        <f>_xlfn.XLOOKUP($A258,'Data 2024'!$A:$A,'Data 2024'!I:I)/_xlfn.XLOOKUP($B258,'Category Averages'!$A$2:$A$4,'Category Averages'!$B$2:$B$4)</f>
        <v>0.78934246053038792</v>
      </c>
      <c r="H258" s="55">
        <f>_xlfn.XLOOKUP($A258,'Data 2024'!$A:$A,'Data 2024'!J:J)/_xlfn.XLOOKUP($B258,'Category Averages'!$A$2:$A$4,'Category Averages'!C$2:C$4)</f>
        <v>0.67961719153597344</v>
      </c>
      <c r="I258" s="55">
        <f>_xlfn.XLOOKUP($A258,'Data 2024'!$A:$A,'Data 2024'!K:K)/_xlfn.XLOOKUP($B258,'Category Averages'!$A$2:$A$4,'Category Averages'!D$2:D$4)</f>
        <v>1.0194279247466633</v>
      </c>
      <c r="J258" s="63">
        <f>_xlfn.XLOOKUP($A258,'Data 2024'!$A:$A,'Data 2024'!P:P)/_xlfn.XLOOKUP($B258,'Category Averages'!$A$2:$A$4,'Category Averages'!E$2:E$4)</f>
        <v>0.97608475575076137</v>
      </c>
      <c r="K258" s="63">
        <f>_xlfn.XLOOKUP($A258,'Data 2024'!$A:$A,'Data 2024'!Q:Q)/_xlfn.XLOOKUP($B258,'Category Averages'!$A$2:$A$4,'Category Averages'!F$2:F$4)</f>
        <v>1.1403558994815699</v>
      </c>
    </row>
    <row r="259" spans="1:11" ht="18" customHeight="1">
      <c r="A259" s="56">
        <v>6578500</v>
      </c>
      <c r="B259" s="54" t="str">
        <f>_xlfn.XLOOKUP(A259,'Data 2024'!A:A,'Data 2024'!D:D)</f>
        <v>Region 2</v>
      </c>
      <c r="C259" s="58" t="s">
        <v>1200</v>
      </c>
      <c r="D259" s="58" t="s">
        <v>865</v>
      </c>
      <c r="E259" s="58" t="s">
        <v>1135</v>
      </c>
      <c r="F259" s="58" t="s">
        <v>1181</v>
      </c>
      <c r="G259" s="55">
        <f>_xlfn.XLOOKUP($A259,'Data 2024'!$A:$A,'Data 2024'!I:I)/_xlfn.XLOOKUP($B259,'Category Averages'!$A$2:$A$4,'Category Averages'!$B$2:$B$4)</f>
        <v>0.61329308193884224</v>
      </c>
      <c r="H259" s="55">
        <f>_xlfn.XLOOKUP($A259,'Data 2024'!$A:$A,'Data 2024'!J:J)/_xlfn.XLOOKUP($B259,'Category Averages'!$A$2:$A$4,'Category Averages'!C$2:C$4)</f>
        <v>0.77950238391179172</v>
      </c>
      <c r="I259" s="55">
        <f>_xlfn.XLOOKUP($A259,'Data 2024'!$A:$A,'Data 2024'!K:K)/_xlfn.XLOOKUP($B259,'Category Averages'!$A$2:$A$4,'Category Averages'!D$2:D$4)</f>
        <v>1.0170083936551466</v>
      </c>
      <c r="J259" s="63">
        <f>_xlfn.XLOOKUP($A259,'Data 2024'!$A:$A,'Data 2024'!P:P)/_xlfn.XLOOKUP($B259,'Category Averages'!$A$2:$A$4,'Category Averages'!E$2:E$4)</f>
        <v>0.7838751092660643</v>
      </c>
      <c r="K259" s="63">
        <f>_xlfn.XLOOKUP($A259,'Data 2024'!$A:$A,'Data 2024'!Q:Q)/_xlfn.XLOOKUP($B259,'Category Averages'!$A$2:$A$4,'Category Averages'!F$2:F$4)</f>
        <v>0.72238848807583667</v>
      </c>
    </row>
    <row r="260" spans="1:11" ht="18" customHeight="1">
      <c r="A260" s="56">
        <v>6581400</v>
      </c>
      <c r="B260" s="54" t="str">
        <f>_xlfn.XLOOKUP(A260,'Data 2024'!A:A,'Data 2024'!D:D)</f>
        <v>Region 1</v>
      </c>
      <c r="C260" s="58" t="s">
        <v>1201</v>
      </c>
      <c r="D260" s="58" t="s">
        <v>865</v>
      </c>
      <c r="E260" s="58" t="s">
        <v>1135</v>
      </c>
      <c r="F260" s="58" t="s">
        <v>1197</v>
      </c>
      <c r="G260" s="55">
        <f>_xlfn.XLOOKUP($A260,'Data 2024'!$A:$A,'Data 2024'!I:I)/_xlfn.XLOOKUP($B260,'Category Averages'!$A$2:$A$4,'Category Averages'!$B$2:$B$4)</f>
        <v>0.79837951928338324</v>
      </c>
      <c r="H260" s="55">
        <f>_xlfn.XLOOKUP($A260,'Data 2024'!$A:$A,'Data 2024'!J:J)/_xlfn.XLOOKUP($B260,'Category Averages'!$A$2:$A$4,'Category Averages'!C$2:C$4)</f>
        <v>1.4700365792985188</v>
      </c>
      <c r="I260" s="55">
        <f>_xlfn.XLOOKUP($A260,'Data 2024'!$A:$A,'Data 2024'!K:K)/_xlfn.XLOOKUP($B260,'Category Averages'!$A$2:$A$4,'Category Averages'!D$2:D$4)</f>
        <v>0.93908823743600178</v>
      </c>
      <c r="J260" s="63">
        <f>_xlfn.XLOOKUP($A260,'Data 2024'!$A:$A,'Data 2024'!P:P)/_xlfn.XLOOKUP($B260,'Category Averages'!$A$2:$A$4,'Category Averages'!E$2:E$4)</f>
        <v>1.4102444230860085</v>
      </c>
      <c r="K260" s="63">
        <f>_xlfn.XLOOKUP($A260,'Data 2024'!$A:$A,'Data 2024'!Q:Q)/_xlfn.XLOOKUP($B260,'Category Averages'!$A$2:$A$4,'Category Averages'!F$2:F$4)</f>
        <v>0.86845687152863416</v>
      </c>
    </row>
    <row r="261" spans="1:11" ht="18" customHeight="1">
      <c r="A261" s="56">
        <v>6585200</v>
      </c>
      <c r="B261" s="54" t="str">
        <f>_xlfn.XLOOKUP(A261,'Data 2024'!A:A,'Data 2024'!D:D)</f>
        <v>Region 2</v>
      </c>
      <c r="C261" s="58" t="s">
        <v>1202</v>
      </c>
      <c r="D261" s="58" t="s">
        <v>865</v>
      </c>
      <c r="E261" s="58" t="s">
        <v>1135</v>
      </c>
      <c r="F261" s="58" t="s">
        <v>1181</v>
      </c>
      <c r="G261" s="55">
        <f>_xlfn.XLOOKUP($A261,'Data 2024'!$A:$A,'Data 2024'!I:I)/_xlfn.XLOOKUP($B261,'Category Averages'!$A$2:$A$4,'Category Averages'!$B$2:$B$4)</f>
        <v>0.63808818482099827</v>
      </c>
      <c r="H261" s="55">
        <f>_xlfn.XLOOKUP($A261,'Data 2024'!$A:$A,'Data 2024'!J:J)/_xlfn.XLOOKUP($B261,'Category Averages'!$A$2:$A$4,'Category Averages'!C$2:C$4)</f>
        <v>0.59446896163356733</v>
      </c>
      <c r="I261" s="55">
        <f>_xlfn.XLOOKUP($A261,'Data 2024'!$A:$A,'Data 2024'!K:K)/_xlfn.XLOOKUP($B261,'Category Averages'!$A$2:$A$4,'Category Averages'!D$2:D$4)</f>
        <v>1.0327561526328175</v>
      </c>
      <c r="J261" s="63">
        <f>_xlfn.XLOOKUP($A261,'Data 2024'!$A:$A,'Data 2024'!P:P)/_xlfn.XLOOKUP($B261,'Category Averages'!$A$2:$A$4,'Category Averages'!E$2:E$4)</f>
        <v>0.50925032417319382</v>
      </c>
      <c r="K261" s="63">
        <f>_xlfn.XLOOKUP($A261,'Data 2024'!$A:$A,'Data 2024'!Q:Q)/_xlfn.XLOOKUP($B261,'Category Averages'!$A$2:$A$4,'Category Averages'!F$2:F$4)</f>
        <v>0.28593337737378921</v>
      </c>
    </row>
    <row r="262" spans="1:11" ht="18" customHeight="1">
      <c r="A262" s="56">
        <v>6678400</v>
      </c>
      <c r="B262" s="54" t="str">
        <f>_xlfn.XLOOKUP(A262,'Data 2024'!A:A,'Data 2024'!D:D)</f>
        <v>Region 12</v>
      </c>
      <c r="C262" s="58" t="s">
        <v>1203</v>
      </c>
      <c r="D262" s="58" t="s">
        <v>865</v>
      </c>
      <c r="E262" s="58" t="s">
        <v>1091</v>
      </c>
      <c r="F262" s="58" t="s">
        <v>1204</v>
      </c>
      <c r="G262" s="55">
        <f>_xlfn.XLOOKUP($A262,'Data 2024'!$A:$A,'Data 2024'!I:I)/_xlfn.XLOOKUP($B262,'Category Averages'!$A$2:$A$4,'Category Averages'!$B$2:$B$4)</f>
        <v>1.0949313714852118</v>
      </c>
      <c r="H262" s="55" t="e">
        <f>_xlfn.XLOOKUP($A262,'Data 2024'!$A:$A,'Data 2024'!J:J)/_xlfn.XLOOKUP($B262,'Category Averages'!$A$2:$A$4,'Category Averages'!C$2:C$4)</f>
        <v>#DIV/0!</v>
      </c>
      <c r="I262" s="55">
        <f>_xlfn.XLOOKUP($A262,'Data 2024'!$A:$A,'Data 2024'!K:K)/_xlfn.XLOOKUP($B262,'Category Averages'!$A$2:$A$4,'Category Averages'!D$2:D$4)</f>
        <v>0</v>
      </c>
      <c r="J262" s="63">
        <f>_xlfn.XLOOKUP($A262,'Data 2024'!$A:$A,'Data 2024'!P:P)/_xlfn.XLOOKUP($B262,'Category Averages'!$A$2:$A$4,'Category Averages'!E$2:E$4)</f>
        <v>15.150358577418782</v>
      </c>
      <c r="K262" s="63">
        <f>_xlfn.XLOOKUP($A262,'Data 2024'!$A:$A,'Data 2024'!Q:Q)/_xlfn.XLOOKUP($B262,'Category Averages'!$A$2:$A$4,'Category Averages'!F$2:F$4)</f>
        <v>1.6975123439024393</v>
      </c>
    </row>
    <row r="263" spans="1:11" ht="18" customHeight="1">
      <c r="A263" s="56">
        <v>6680600</v>
      </c>
      <c r="B263" s="54" t="str">
        <f>_xlfn.XLOOKUP(A263,'Data 2024'!A:A,'Data 2024'!D:D)</f>
        <v>Region 1</v>
      </c>
      <c r="C263" s="58" t="s">
        <v>1205</v>
      </c>
      <c r="D263" s="58" t="s">
        <v>865</v>
      </c>
      <c r="E263" s="58" t="s">
        <v>1188</v>
      </c>
      <c r="F263" s="58" t="s">
        <v>1206</v>
      </c>
      <c r="G263" s="55">
        <f>_xlfn.XLOOKUP($A263,'Data 2024'!$A:$A,'Data 2024'!I:I)/_xlfn.XLOOKUP($B263,'Category Averages'!$A$2:$A$4,'Category Averages'!$B$2:$B$4)</f>
        <v>0.64095839237000318</v>
      </c>
      <c r="H263" s="55">
        <f>_xlfn.XLOOKUP($A263,'Data 2024'!$A:$A,'Data 2024'!J:J)/_xlfn.XLOOKUP($B263,'Category Averages'!$A$2:$A$4,'Category Averages'!C$2:C$4)</f>
        <v>0.76741651351764062</v>
      </c>
      <c r="I263" s="55">
        <f>_xlfn.XLOOKUP($A263,'Data 2024'!$A:$A,'Data 2024'!K:K)/_xlfn.XLOOKUP($B263,'Category Averages'!$A$2:$A$4,'Category Averages'!D$2:D$4)</f>
        <v>0.69305215429733413</v>
      </c>
      <c r="J263" s="63">
        <f>_xlfn.XLOOKUP($A263,'Data 2024'!$A:$A,'Data 2024'!P:P)/_xlfn.XLOOKUP($B263,'Category Averages'!$A$2:$A$4,'Category Averages'!E$2:E$4)</f>
        <v>0.82535926970383411</v>
      </c>
      <c r="K263" s="63">
        <f>_xlfn.XLOOKUP($A263,'Data 2024'!$A:$A,'Data 2024'!Q:Q)/_xlfn.XLOOKUP($B263,'Category Averages'!$A$2:$A$4,'Category Averages'!F$2:F$4)</f>
        <v>1.2545074622164378</v>
      </c>
    </row>
    <row r="264" spans="1:11" ht="18" customHeight="1">
      <c r="A264" s="56">
        <v>6683900</v>
      </c>
      <c r="B264" s="54" t="str">
        <f>_xlfn.XLOOKUP(A264,'Data 2024'!A:A,'Data 2024'!D:D)</f>
        <v>Region 1</v>
      </c>
      <c r="C264" s="58" t="s">
        <v>1207</v>
      </c>
      <c r="D264" s="58" t="s">
        <v>865</v>
      </c>
      <c r="E264" s="58" t="s">
        <v>1091</v>
      </c>
      <c r="F264" s="58" t="s">
        <v>1208</v>
      </c>
      <c r="G264" s="55">
        <f>_xlfn.XLOOKUP($A264,'Data 2024'!$A:$A,'Data 2024'!I:I)/_xlfn.XLOOKUP($B264,'Category Averages'!$A$2:$A$4,'Category Averages'!$B$2:$B$4)</f>
        <v>0.92941393233737435</v>
      </c>
      <c r="H264" s="55">
        <f>_xlfn.XLOOKUP($A264,'Data 2024'!$A:$A,'Data 2024'!J:J)/_xlfn.XLOOKUP($B264,'Category Averages'!$A$2:$A$4,'Category Averages'!C$2:C$4)</f>
        <v>0.7456442708821921</v>
      </c>
      <c r="I264" s="55">
        <f>_xlfn.XLOOKUP($A264,'Data 2024'!$A:$A,'Data 2024'!K:K)/_xlfn.XLOOKUP($B264,'Category Averages'!$A$2:$A$4,'Category Averages'!D$2:D$4)</f>
        <v>1.0389216907919041</v>
      </c>
      <c r="J264" s="63">
        <f>_xlfn.XLOOKUP($A264,'Data 2024'!$A:$A,'Data 2024'!P:P)/_xlfn.XLOOKUP($B264,'Category Averages'!$A$2:$A$4,'Category Averages'!E$2:E$4)</f>
        <v>1.7106660498593285</v>
      </c>
      <c r="K264" s="63">
        <f>_xlfn.XLOOKUP($A264,'Data 2024'!$A:$A,'Data 2024'!Q:Q)/_xlfn.XLOOKUP($B264,'Category Averages'!$A$2:$A$4,'Category Averages'!F$2:F$4)</f>
        <v>1.4931295382465062</v>
      </c>
    </row>
    <row r="265" spans="1:11" ht="18" customHeight="1">
      <c r="A265" s="56">
        <v>6685800</v>
      </c>
      <c r="B265" s="54" t="str">
        <f>_xlfn.XLOOKUP(A265,'Data 2024'!A:A,'Data 2024'!D:D)</f>
        <v>Region 12</v>
      </c>
      <c r="C265" s="58" t="s">
        <v>1209</v>
      </c>
      <c r="D265" s="58" t="s">
        <v>865</v>
      </c>
      <c r="E265" s="58" t="s">
        <v>1188</v>
      </c>
      <c r="F265" s="58" t="s">
        <v>1210</v>
      </c>
      <c r="G265" s="55">
        <f>_xlfn.XLOOKUP($A265,'Data 2024'!$A:$A,'Data 2024'!I:I)/_xlfn.XLOOKUP($B265,'Category Averages'!$A$2:$A$4,'Category Averages'!$B$2:$B$4)</f>
        <v>0.44915394834139233</v>
      </c>
      <c r="H265" s="55" t="e">
        <f>_xlfn.XLOOKUP($A265,'Data 2024'!$A:$A,'Data 2024'!J:J)/_xlfn.XLOOKUP($B265,'Category Averages'!$A$2:$A$4,'Category Averages'!C$2:C$4)</f>
        <v>#DIV/0!</v>
      </c>
      <c r="I265" s="55">
        <f>_xlfn.XLOOKUP($A265,'Data 2024'!$A:$A,'Data 2024'!K:K)/_xlfn.XLOOKUP($B265,'Category Averages'!$A$2:$A$4,'Category Averages'!D$2:D$4)</f>
        <v>0</v>
      </c>
      <c r="J265" s="63">
        <f>_xlfn.XLOOKUP($A265,'Data 2024'!$A:$A,'Data 2024'!P:P)/_xlfn.XLOOKUP($B265,'Category Averages'!$A$2:$A$4,'Category Averages'!E$2:E$4)</f>
        <v>0</v>
      </c>
      <c r="K265" s="63">
        <f>_xlfn.XLOOKUP($A265,'Data 2024'!$A:$A,'Data 2024'!Q:Q)/_xlfn.XLOOKUP($B265,'Category Averages'!$A$2:$A$4,'Category Averages'!F$2:F$4)</f>
        <v>0.10084090104898877</v>
      </c>
    </row>
    <row r="266" spans="1:11" ht="18" customHeight="1">
      <c r="A266" s="54">
        <v>6692400</v>
      </c>
      <c r="B266" s="54" t="str">
        <f>_xlfn.XLOOKUP(A266,'Data 2024'!A:A,'Data 2024'!D:D)</f>
        <v>Region 12</v>
      </c>
      <c r="C266" s="57" t="s">
        <v>1211</v>
      </c>
      <c r="D266" s="57" t="s">
        <v>865</v>
      </c>
      <c r="E266" s="57" t="s">
        <v>1091</v>
      </c>
      <c r="F266" s="57" t="s">
        <v>1107</v>
      </c>
      <c r="G266" s="55">
        <f>_xlfn.XLOOKUP($A266,'Data 2024'!$A:$A,'Data 2024'!I:I)/_xlfn.XLOOKUP($B266,'Category Averages'!$A$2:$A$4,'Category Averages'!$B$2:$B$4)</f>
        <v>0.48891223783107207</v>
      </c>
      <c r="H266" s="55" t="e">
        <f>_xlfn.XLOOKUP($A266,'Data 2024'!$A:$A,'Data 2024'!J:J)/_xlfn.XLOOKUP($B266,'Category Averages'!$A$2:$A$4,'Category Averages'!C$2:C$4)</f>
        <v>#DIV/0!</v>
      </c>
      <c r="I266" s="55">
        <f>_xlfn.XLOOKUP($A266,'Data 2024'!$A:$A,'Data 2024'!K:K)/_xlfn.XLOOKUP($B266,'Category Averages'!$A$2:$A$4,'Category Averages'!D$2:D$4)</f>
        <v>0</v>
      </c>
      <c r="J266" s="63">
        <f>_xlfn.XLOOKUP($A266,'Data 2024'!$A:$A,'Data 2024'!P:P)/_xlfn.XLOOKUP($B266,'Category Averages'!$A$2:$A$4,'Category Averages'!E$2:E$4)</f>
        <v>0</v>
      </c>
      <c r="K266" s="63">
        <f>_xlfn.XLOOKUP($A266,'Data 2024'!$A:$A,'Data 2024'!Q:Q)/_xlfn.XLOOKUP($B266,'Category Averages'!$A$2:$A$4,'Category Averages'!F$2:F$4)</f>
        <v>0.50089940367101726</v>
      </c>
    </row>
    <row r="267" spans="1:11" ht="18" customHeight="1">
      <c r="A267" s="56">
        <v>6695400</v>
      </c>
      <c r="B267" s="54" t="str">
        <f>_xlfn.XLOOKUP(A267,'Data 2024'!A:A,'Data 2024'!D:D)</f>
        <v>Region 12</v>
      </c>
      <c r="C267" s="58" t="s">
        <v>1212</v>
      </c>
      <c r="D267" s="58" t="s">
        <v>865</v>
      </c>
      <c r="E267" s="58" t="s">
        <v>1091</v>
      </c>
      <c r="F267" s="58" t="s">
        <v>1213</v>
      </c>
      <c r="G267" s="55">
        <f>_xlfn.XLOOKUP($A267,'Data 2024'!$A:$A,'Data 2024'!I:I)/_xlfn.XLOOKUP($B267,'Category Averages'!$A$2:$A$4,'Category Averages'!$B$2:$B$4)</f>
        <v>0.50752252270263865</v>
      </c>
      <c r="H267" s="55" t="e">
        <f>_xlfn.XLOOKUP($A267,'Data 2024'!$A:$A,'Data 2024'!J:J)/_xlfn.XLOOKUP($B267,'Category Averages'!$A$2:$A$4,'Category Averages'!C$2:C$4)</f>
        <v>#DIV/0!</v>
      </c>
      <c r="I267" s="55">
        <f>_xlfn.XLOOKUP($A267,'Data 2024'!$A:$A,'Data 2024'!K:K)/_xlfn.XLOOKUP($B267,'Category Averages'!$A$2:$A$4,'Category Averages'!D$2:D$4)</f>
        <v>0</v>
      </c>
      <c r="J267" s="63">
        <f>_xlfn.XLOOKUP($A267,'Data 2024'!$A:$A,'Data 2024'!P:P)/_xlfn.XLOOKUP($B267,'Category Averages'!$A$2:$A$4,'Category Averages'!E$2:E$4)</f>
        <v>0</v>
      </c>
      <c r="K267" s="63">
        <f>_xlfn.XLOOKUP($A267,'Data 2024'!$A:$A,'Data 2024'!Q:Q)/_xlfn.XLOOKUP($B267,'Category Averages'!$A$2:$A$4,'Category Averages'!F$2:F$4)</f>
        <v>1.671052991175809</v>
      </c>
    </row>
    <row r="268" spans="1:11" ht="18" customHeight="1">
      <c r="A268" s="56">
        <v>6696500</v>
      </c>
      <c r="B268" s="54" t="str">
        <f>_xlfn.XLOOKUP(A268,'Data 2024'!A:A,'Data 2024'!D:D)</f>
        <v>Region 1</v>
      </c>
      <c r="C268" s="58" t="s">
        <v>1214</v>
      </c>
      <c r="D268" s="58" t="s">
        <v>865</v>
      </c>
      <c r="E268" s="58" t="s">
        <v>1091</v>
      </c>
      <c r="F268" s="58" t="s">
        <v>1126</v>
      </c>
      <c r="G268" s="55">
        <f>_xlfn.XLOOKUP($A268,'Data 2024'!$A:$A,'Data 2024'!I:I)/_xlfn.XLOOKUP($B268,'Category Averages'!$A$2:$A$4,'Category Averages'!$B$2:$B$4)</f>
        <v>0.75120263777624896</v>
      </c>
      <c r="H268" s="55">
        <f>_xlfn.XLOOKUP($A268,'Data 2024'!$A:$A,'Data 2024'!J:J)/_xlfn.XLOOKUP($B268,'Category Averages'!$A$2:$A$4,'Category Averages'!C$2:C$4)</f>
        <v>1.1195268623774217</v>
      </c>
      <c r="I268" s="55">
        <f>_xlfn.XLOOKUP($A268,'Data 2024'!$A:$A,'Data 2024'!K:K)/_xlfn.XLOOKUP($B268,'Category Averages'!$A$2:$A$4,'Category Averages'!D$2:D$4)</f>
        <v>1.2469662529824477</v>
      </c>
      <c r="J268" s="63">
        <f>_xlfn.XLOOKUP($A268,'Data 2024'!$A:$A,'Data 2024'!P:P)/_xlfn.XLOOKUP($B268,'Category Averages'!$A$2:$A$4,'Category Averages'!E$2:E$4)</f>
        <v>0.98989308503311202</v>
      </c>
      <c r="K268" s="63">
        <f>_xlfn.XLOOKUP($A268,'Data 2024'!$A:$A,'Data 2024'!Q:Q)/_xlfn.XLOOKUP($B268,'Category Averages'!$A$2:$A$4,'Category Averages'!F$2:F$4)</f>
        <v>0.6675768583220818</v>
      </c>
    </row>
    <row r="269" spans="1:11" ht="18" customHeight="1">
      <c r="A269" s="56">
        <v>6697600</v>
      </c>
      <c r="B269" s="54" t="str">
        <f>_xlfn.XLOOKUP(A269,'Data 2024'!A:A,'Data 2024'!D:D)</f>
        <v>Region 12</v>
      </c>
      <c r="C269" s="58" t="s">
        <v>1215</v>
      </c>
      <c r="D269" s="58" t="s">
        <v>865</v>
      </c>
      <c r="E269" s="58" t="s">
        <v>1091</v>
      </c>
      <c r="F269" s="58" t="s">
        <v>1208</v>
      </c>
      <c r="G269" s="55">
        <f>_xlfn.XLOOKUP($A269,'Data 2024'!$A:$A,'Data 2024'!I:I)/_xlfn.XLOOKUP($B269,'Category Averages'!$A$2:$A$4,'Category Averages'!$B$2:$B$4)</f>
        <v>1.0807241675968557</v>
      </c>
      <c r="H269" s="55" t="e">
        <f>_xlfn.XLOOKUP($A269,'Data 2024'!$A:$A,'Data 2024'!J:J)/_xlfn.XLOOKUP($B269,'Category Averages'!$A$2:$A$4,'Category Averages'!C$2:C$4)</f>
        <v>#DIV/0!</v>
      </c>
      <c r="I269" s="55">
        <f>_xlfn.XLOOKUP($A269,'Data 2024'!$A:$A,'Data 2024'!K:K)/_xlfn.XLOOKUP($B269,'Category Averages'!$A$2:$A$4,'Category Averages'!D$2:D$4)</f>
        <v>0</v>
      </c>
      <c r="J269" s="63">
        <f>_xlfn.XLOOKUP($A269,'Data 2024'!$A:$A,'Data 2024'!P:P)/_xlfn.XLOOKUP($B269,'Category Averages'!$A$2:$A$4,'Category Averages'!E$2:E$4)</f>
        <v>0</v>
      </c>
      <c r="K269" s="63">
        <f>_xlfn.XLOOKUP($A269,'Data 2024'!$A:$A,'Data 2024'!Q:Q)/_xlfn.XLOOKUP($B269,'Category Averages'!$A$2:$A$4,'Category Averages'!F$2:F$4)</f>
        <v>0.87440307166435938</v>
      </c>
    </row>
    <row r="270" spans="1:11" ht="18" customHeight="1">
      <c r="A270" s="56">
        <v>6698700</v>
      </c>
      <c r="B270" s="54" t="str">
        <f>_xlfn.XLOOKUP(A270,'Data 2024'!A:A,'Data 2024'!D:D)</f>
        <v>Region 12</v>
      </c>
      <c r="C270" s="58" t="s">
        <v>1216</v>
      </c>
      <c r="D270" s="58" t="s">
        <v>865</v>
      </c>
      <c r="E270" s="58" t="s">
        <v>1188</v>
      </c>
      <c r="F270" s="58" t="s">
        <v>1217</v>
      </c>
      <c r="G270" s="55">
        <f>_xlfn.XLOOKUP($A270,'Data 2024'!$A:$A,'Data 2024'!I:I)/_xlfn.XLOOKUP($B270,'Category Averages'!$A$2:$A$4,'Category Averages'!$B$2:$B$4)</f>
        <v>0.83542984624856176</v>
      </c>
      <c r="H270" s="55" t="e">
        <f>_xlfn.XLOOKUP($A270,'Data 2024'!$A:$A,'Data 2024'!J:J)/_xlfn.XLOOKUP($B270,'Category Averages'!$A$2:$A$4,'Category Averages'!C$2:C$4)</f>
        <v>#DIV/0!</v>
      </c>
      <c r="I270" s="55">
        <f>_xlfn.XLOOKUP($A270,'Data 2024'!$A:$A,'Data 2024'!K:K)/_xlfn.XLOOKUP($B270,'Category Averages'!$A$2:$A$4,'Category Averages'!D$2:D$4)</f>
        <v>0</v>
      </c>
      <c r="J270" s="63">
        <f>_xlfn.XLOOKUP($A270,'Data 2024'!$A:$A,'Data 2024'!P:P)/_xlfn.XLOOKUP($B270,'Category Averages'!$A$2:$A$4,'Category Averages'!E$2:E$4)</f>
        <v>0</v>
      </c>
      <c r="K270" s="63">
        <f>_xlfn.XLOOKUP($A270,'Data 2024'!$A:$A,'Data 2024'!Q:Q)/_xlfn.XLOOKUP($B270,'Category Averages'!$A$2:$A$4,'Category Averages'!F$2:F$4)</f>
        <v>0.3636082999040729</v>
      </c>
    </row>
    <row r="271" spans="1:11" ht="18" customHeight="1">
      <c r="A271" s="56">
        <v>6699800</v>
      </c>
      <c r="B271" s="54" t="str">
        <f>_xlfn.XLOOKUP(A271,'Data 2024'!A:A,'Data 2024'!D:D)</f>
        <v>Region 2</v>
      </c>
      <c r="C271" s="58" t="s">
        <v>1218</v>
      </c>
      <c r="D271" s="58" t="s">
        <v>865</v>
      </c>
      <c r="E271" s="58" t="s">
        <v>1091</v>
      </c>
      <c r="F271" s="58" t="s">
        <v>1213</v>
      </c>
      <c r="G271" s="55">
        <f>_xlfn.XLOOKUP($A271,'Data 2024'!$A:$A,'Data 2024'!I:I)/_xlfn.XLOOKUP($B271,'Category Averages'!$A$2:$A$4,'Category Averages'!$B$2:$B$4)</f>
        <v>0.94777812842717923</v>
      </c>
      <c r="H271" s="55">
        <f>_xlfn.XLOOKUP($A271,'Data 2024'!$A:$A,'Data 2024'!J:J)/_xlfn.XLOOKUP($B271,'Category Averages'!$A$2:$A$4,'Category Averages'!C$2:C$4)</f>
        <v>1.0538170812014149</v>
      </c>
      <c r="I271" s="55">
        <f>_xlfn.XLOOKUP($A271,'Data 2024'!$A:$A,'Data 2024'!K:K)/_xlfn.XLOOKUP($B271,'Category Averages'!$A$2:$A$4,'Category Averages'!D$2:D$4)</f>
        <v>1.4215685294212967</v>
      </c>
      <c r="J271" s="63">
        <f>_xlfn.XLOOKUP($A271,'Data 2024'!$A:$A,'Data 2024'!P:P)/_xlfn.XLOOKUP($B271,'Category Averages'!$A$2:$A$4,'Category Averages'!E$2:E$4)</f>
        <v>0.95722456879409856</v>
      </c>
      <c r="K271" s="63">
        <f>_xlfn.XLOOKUP($A271,'Data 2024'!$A:$A,'Data 2024'!Q:Q)/_xlfn.XLOOKUP($B271,'Category Averages'!$A$2:$A$4,'Category Averages'!F$2:F$4)</f>
        <v>0.34388607135691074</v>
      </c>
    </row>
    <row r="272" spans="1:11" ht="18" customHeight="1">
      <c r="A272" s="56">
        <v>6702000</v>
      </c>
      <c r="B272" s="54" t="str">
        <f>_xlfn.XLOOKUP(A272,'Data 2024'!A:A,'Data 2024'!D:D)</f>
        <v>Region 1</v>
      </c>
      <c r="C272" s="58" t="s">
        <v>1219</v>
      </c>
      <c r="D272" s="58" t="s">
        <v>865</v>
      </c>
      <c r="E272" s="58" t="s">
        <v>1091</v>
      </c>
      <c r="F272" s="58" t="s">
        <v>1204</v>
      </c>
      <c r="G272" s="55">
        <f>_xlfn.XLOOKUP($A272,'Data 2024'!$A:$A,'Data 2024'!I:I)/_xlfn.XLOOKUP($B272,'Category Averages'!$A$2:$A$4,'Category Averages'!$B$2:$B$4)</f>
        <v>1.5078633208935122</v>
      </c>
      <c r="H272" s="55">
        <f>_xlfn.XLOOKUP($A272,'Data 2024'!$A:$A,'Data 2024'!J:J)/_xlfn.XLOOKUP($B272,'Category Averages'!$A$2:$A$4,'Category Averages'!C$2:C$4)</f>
        <v>1.5722063182116977</v>
      </c>
      <c r="I272" s="55">
        <f>_xlfn.XLOOKUP($A272,'Data 2024'!$A:$A,'Data 2024'!K:K)/_xlfn.XLOOKUP($B272,'Category Averages'!$A$2:$A$4,'Category Averages'!D$2:D$4)</f>
        <v>1.1717221420365154</v>
      </c>
      <c r="J272" s="63">
        <f>_xlfn.XLOOKUP($A272,'Data 2024'!$A:$A,'Data 2024'!P:P)/_xlfn.XLOOKUP($B272,'Category Averages'!$A$2:$A$4,'Category Averages'!E$2:E$4)</f>
        <v>1.8550248061294399</v>
      </c>
      <c r="K272" s="63">
        <f>_xlfn.XLOOKUP($A272,'Data 2024'!$A:$A,'Data 2024'!Q:Q)/_xlfn.XLOOKUP($B272,'Category Averages'!$A$2:$A$4,'Category Averages'!F$2:F$4)</f>
        <v>0.61689575343334913</v>
      </c>
    </row>
    <row r="273" spans="1:11" ht="18" customHeight="1">
      <c r="A273" s="56">
        <v>6704200</v>
      </c>
      <c r="B273" s="54" t="str">
        <f>_xlfn.XLOOKUP(A273,'Data 2024'!A:A,'Data 2024'!D:D)</f>
        <v>Region 12</v>
      </c>
      <c r="C273" s="58" t="s">
        <v>1220</v>
      </c>
      <c r="D273" s="58" t="s">
        <v>865</v>
      </c>
      <c r="E273" s="58" t="s">
        <v>1188</v>
      </c>
      <c r="F273" s="58" t="s">
        <v>1217</v>
      </c>
      <c r="G273" s="55">
        <f>_xlfn.XLOOKUP($A273,'Data 2024'!$A:$A,'Data 2024'!I:I)/_xlfn.XLOOKUP($B273,'Category Averages'!$A$2:$A$4,'Category Averages'!$B$2:$B$4)</f>
        <v>1.1603397710311987</v>
      </c>
      <c r="H273" s="55" t="e">
        <f>_xlfn.XLOOKUP($A273,'Data 2024'!$A:$A,'Data 2024'!J:J)/_xlfn.XLOOKUP($B273,'Category Averages'!$A$2:$A$4,'Category Averages'!C$2:C$4)</f>
        <v>#DIV/0!</v>
      </c>
      <c r="I273" s="55">
        <f>_xlfn.XLOOKUP($A273,'Data 2024'!$A:$A,'Data 2024'!K:K)/_xlfn.XLOOKUP($B273,'Category Averages'!$A$2:$A$4,'Category Averages'!D$2:D$4)</f>
        <v>2.6333552682392658</v>
      </c>
      <c r="J273" s="63">
        <f>_xlfn.XLOOKUP($A273,'Data 2024'!$A:$A,'Data 2024'!P:P)/_xlfn.XLOOKUP($B273,'Category Averages'!$A$2:$A$4,'Category Averages'!E$2:E$4)</f>
        <v>0.52482268578390667</v>
      </c>
      <c r="K273" s="63">
        <f>_xlfn.XLOOKUP($A273,'Data 2024'!$A:$A,'Data 2024'!Q:Q)/_xlfn.XLOOKUP($B273,'Category Averages'!$A$2:$A$4,'Category Averages'!F$2:F$4)</f>
        <v>0.44141305901736261</v>
      </c>
    </row>
    <row r="274" spans="1:11" ht="18" customHeight="1">
      <c r="A274" s="56">
        <v>6736000</v>
      </c>
      <c r="B274" s="54" t="str">
        <f>_xlfn.XLOOKUP(A274,'Data 2024'!A:A,'Data 2024'!D:D)</f>
        <v>Region 2</v>
      </c>
      <c r="C274" s="58" t="s">
        <v>1221</v>
      </c>
      <c r="D274" s="58" t="s">
        <v>865</v>
      </c>
      <c r="E274" s="58" t="s">
        <v>1091</v>
      </c>
      <c r="F274" s="58" t="s">
        <v>1222</v>
      </c>
      <c r="G274" s="55">
        <f>_xlfn.XLOOKUP($A274,'Data 2024'!$A:$A,'Data 2024'!I:I)/_xlfn.XLOOKUP($B274,'Category Averages'!$A$2:$A$4,'Category Averages'!$B$2:$B$4)</f>
        <v>1.9095888780388253</v>
      </c>
      <c r="H274" s="55">
        <f>_xlfn.XLOOKUP($A274,'Data 2024'!$A:$A,'Data 2024'!J:J)/_xlfn.XLOOKUP($B274,'Category Averages'!$A$2:$A$4,'Category Averages'!C$2:C$4)</f>
        <v>1.6320275319531998</v>
      </c>
      <c r="I274" s="55">
        <f>_xlfn.XLOOKUP($A274,'Data 2024'!$A:$A,'Data 2024'!K:K)/_xlfn.XLOOKUP($B274,'Category Averages'!$A$2:$A$4,'Category Averages'!D$2:D$4)</f>
        <v>1.8106685314979178</v>
      </c>
      <c r="J274" s="63">
        <f>_xlfn.XLOOKUP($A274,'Data 2024'!$A:$A,'Data 2024'!P:P)/_xlfn.XLOOKUP($B274,'Category Averages'!$A$2:$A$4,'Category Averages'!E$2:E$4)</f>
        <v>0.36378843057588856</v>
      </c>
      <c r="K274" s="63">
        <f>_xlfn.XLOOKUP($A274,'Data 2024'!$A:$A,'Data 2024'!Q:Q)/_xlfn.XLOOKUP($B274,'Category Averages'!$A$2:$A$4,'Category Averages'!F$2:F$4)</f>
        <v>0.18162338309167117</v>
      </c>
    </row>
    <row r="275" spans="1:11" ht="18" customHeight="1">
      <c r="A275" s="56">
        <v>6737100</v>
      </c>
      <c r="B275" s="54" t="str">
        <f>_xlfn.XLOOKUP(A275,'Data 2024'!A:A,'Data 2024'!D:D)</f>
        <v>Region 2</v>
      </c>
      <c r="C275" s="58" t="s">
        <v>1223</v>
      </c>
      <c r="D275" s="58" t="s">
        <v>865</v>
      </c>
      <c r="E275" s="58" t="s">
        <v>1091</v>
      </c>
      <c r="F275" s="58" t="s">
        <v>1222</v>
      </c>
      <c r="G275" s="55">
        <f>_xlfn.XLOOKUP($A275,'Data 2024'!$A:$A,'Data 2024'!I:I)/_xlfn.XLOOKUP($B275,'Category Averages'!$A$2:$A$4,'Category Averages'!$B$2:$B$4)</f>
        <v>1.88737207298039</v>
      </c>
      <c r="H275" s="55">
        <f>_xlfn.XLOOKUP($A275,'Data 2024'!$A:$A,'Data 2024'!J:J)/_xlfn.XLOOKUP($B275,'Category Averages'!$A$2:$A$4,'Category Averages'!C$2:C$4)</f>
        <v>1.8496781615347269</v>
      </c>
      <c r="I275" s="55">
        <f>_xlfn.XLOOKUP($A275,'Data 2024'!$A:$A,'Data 2024'!K:K)/_xlfn.XLOOKUP($B275,'Category Averages'!$A$2:$A$4,'Category Averages'!D$2:D$4)</f>
        <v>2.2048903460388818</v>
      </c>
      <c r="J275" s="63">
        <f>_xlfn.XLOOKUP($A275,'Data 2024'!$A:$A,'Data 2024'!P:P)/_xlfn.XLOOKUP($B275,'Category Averages'!$A$2:$A$4,'Category Averages'!E$2:E$4)</f>
        <v>0.29221619087141032</v>
      </c>
      <c r="K275" s="63">
        <f>_xlfn.XLOOKUP($A275,'Data 2024'!$A:$A,'Data 2024'!Q:Q)/_xlfn.XLOOKUP($B275,'Category Averages'!$A$2:$A$4,'Category Averages'!F$2:F$4)</f>
        <v>0.23196620677472279</v>
      </c>
    </row>
    <row r="276" spans="1:11" ht="18" customHeight="1">
      <c r="A276" s="56">
        <v>6776500</v>
      </c>
      <c r="B276" s="54" t="str">
        <f>_xlfn.XLOOKUP(A276,'Data 2024'!A:A,'Data 2024'!D:D)</f>
        <v>Region 12</v>
      </c>
      <c r="C276" s="58" t="s">
        <v>1224</v>
      </c>
      <c r="D276" s="58" t="s">
        <v>865</v>
      </c>
      <c r="E276" s="58" t="s">
        <v>1188</v>
      </c>
      <c r="F276" s="58" t="s">
        <v>1206</v>
      </c>
      <c r="G276" s="55">
        <f>_xlfn.XLOOKUP($A276,'Data 2024'!$A:$A,'Data 2024'!I:I)/_xlfn.XLOOKUP($B276,'Category Averages'!$A$2:$A$4,'Category Averages'!$B$2:$B$4)</f>
        <v>0.34190299971916666</v>
      </c>
      <c r="H276" s="55" t="e">
        <f>_xlfn.XLOOKUP($A276,'Data 2024'!$A:$A,'Data 2024'!J:J)/_xlfn.XLOOKUP($B276,'Category Averages'!$A$2:$A$4,'Category Averages'!C$2:C$4)</f>
        <v>#DIV/0!</v>
      </c>
      <c r="I276" s="55">
        <f>_xlfn.XLOOKUP($A276,'Data 2024'!$A:$A,'Data 2024'!K:K)/_xlfn.XLOOKUP($B276,'Category Averages'!$A$2:$A$4,'Category Averages'!D$2:D$4)</f>
        <v>0</v>
      </c>
      <c r="J276" s="63">
        <f>_xlfn.XLOOKUP($A276,'Data 2024'!$A:$A,'Data 2024'!P:P)/_xlfn.XLOOKUP($B276,'Category Averages'!$A$2:$A$4,'Category Averages'!E$2:E$4)</f>
        <v>0</v>
      </c>
      <c r="K276" s="63">
        <f>_xlfn.XLOOKUP($A276,'Data 2024'!$A:$A,'Data 2024'!Q:Q)/_xlfn.XLOOKUP($B276,'Category Averages'!$A$2:$A$4,'Category Averages'!F$2:F$4)</f>
        <v>0.19285354150747097</v>
      </c>
    </row>
    <row r="277" spans="1:11" ht="18" customHeight="1">
      <c r="A277" s="56">
        <v>6778700</v>
      </c>
      <c r="B277" s="54" t="str">
        <f>_xlfn.XLOOKUP(A277,'Data 2024'!A:A,'Data 2024'!D:D)</f>
        <v>Region 1</v>
      </c>
      <c r="C277" s="58" t="s">
        <v>1225</v>
      </c>
      <c r="D277" s="58" t="s">
        <v>865</v>
      </c>
      <c r="E277" s="58" t="s">
        <v>1091</v>
      </c>
      <c r="F277" s="58" t="s">
        <v>1208</v>
      </c>
      <c r="G277" s="55">
        <f>_xlfn.XLOOKUP($A277,'Data 2024'!$A:$A,'Data 2024'!I:I)/_xlfn.XLOOKUP($B277,'Category Averages'!$A$2:$A$4,'Category Averages'!$B$2:$B$4)</f>
        <v>0.57746741065671547</v>
      </c>
      <c r="H277" s="55">
        <f>_xlfn.XLOOKUP($A277,'Data 2024'!$A:$A,'Data 2024'!J:J)/_xlfn.XLOOKUP($B277,'Category Averages'!$A$2:$A$4,'Category Averages'!C$2:C$4)</f>
        <v>0</v>
      </c>
      <c r="I277" s="55">
        <f>_xlfn.XLOOKUP($A277,'Data 2024'!$A:$A,'Data 2024'!K:K)/_xlfn.XLOOKUP($B277,'Category Averages'!$A$2:$A$4,'Category Averages'!D$2:D$4)</f>
        <v>0.88081965113073724</v>
      </c>
      <c r="J277" s="63">
        <f>_xlfn.XLOOKUP($A277,'Data 2024'!$A:$A,'Data 2024'!P:P)/_xlfn.XLOOKUP($B277,'Category Averages'!$A$2:$A$4,'Category Averages'!E$2:E$4)</f>
        <v>0.92002630589394685</v>
      </c>
      <c r="K277" s="63">
        <f>_xlfn.XLOOKUP($A277,'Data 2024'!$A:$A,'Data 2024'!Q:Q)/_xlfn.XLOOKUP($B277,'Category Averages'!$A$2:$A$4,'Category Averages'!F$2:F$4)</f>
        <v>1.5154180070360284</v>
      </c>
    </row>
    <row r="278" spans="1:11" ht="18" customHeight="1">
      <c r="A278" s="56">
        <v>6779800</v>
      </c>
      <c r="B278" s="54" t="str">
        <f>_xlfn.XLOOKUP(A278,'Data 2024'!A:A,'Data 2024'!D:D)</f>
        <v>Region 2</v>
      </c>
      <c r="C278" s="58" t="s">
        <v>1226</v>
      </c>
      <c r="D278" s="58" t="s">
        <v>865</v>
      </c>
      <c r="E278" s="58" t="s">
        <v>1188</v>
      </c>
      <c r="F278" s="58" t="s">
        <v>1206</v>
      </c>
      <c r="G278" s="55">
        <f>_xlfn.XLOOKUP($A278,'Data 2024'!$A:$A,'Data 2024'!I:I)/_xlfn.XLOOKUP($B278,'Category Averages'!$A$2:$A$4,'Category Averages'!$B$2:$B$4)</f>
        <v>0.79660248272103884</v>
      </c>
      <c r="H278" s="55">
        <f>_xlfn.XLOOKUP($A278,'Data 2024'!$A:$A,'Data 2024'!J:J)/_xlfn.XLOOKUP($B278,'Category Averages'!$A$2:$A$4,'Category Averages'!C$2:C$4)</f>
        <v>0.7311542122435557</v>
      </c>
      <c r="I278" s="55">
        <f>_xlfn.XLOOKUP($A278,'Data 2024'!$A:$A,'Data 2024'!K:K)/_xlfn.XLOOKUP($B278,'Category Averages'!$A$2:$A$4,'Category Averages'!D$2:D$4)</f>
        <v>0.92671343566343822</v>
      </c>
      <c r="J278" s="63">
        <f>_xlfn.XLOOKUP($A278,'Data 2024'!$A:$A,'Data 2024'!P:P)/_xlfn.XLOOKUP($B278,'Category Averages'!$A$2:$A$4,'Category Averages'!E$2:E$4)</f>
        <v>1.1629633890664535</v>
      </c>
      <c r="K278" s="63">
        <f>_xlfn.XLOOKUP($A278,'Data 2024'!$A:$A,'Data 2024'!Q:Q)/_xlfn.XLOOKUP($B278,'Category Averages'!$A$2:$A$4,'Category Averages'!F$2:F$4)</f>
        <v>1.0927912053551303</v>
      </c>
    </row>
    <row r="279" spans="1:11" ht="18" customHeight="1">
      <c r="A279" s="56">
        <v>6780900</v>
      </c>
      <c r="B279" s="54" t="str">
        <f>_xlfn.XLOOKUP(A279,'Data 2024'!A:A,'Data 2024'!D:D)</f>
        <v>Region 1</v>
      </c>
      <c r="C279" s="58" t="s">
        <v>1227</v>
      </c>
      <c r="D279" s="58" t="s">
        <v>865</v>
      </c>
      <c r="E279" s="58" t="s">
        <v>1091</v>
      </c>
      <c r="F279" s="58" t="s">
        <v>1208</v>
      </c>
      <c r="G279" s="55">
        <f>_xlfn.XLOOKUP($A279,'Data 2024'!$A:$A,'Data 2024'!I:I)/_xlfn.XLOOKUP($B279,'Category Averages'!$A$2:$A$4,'Category Averages'!$B$2:$B$4)</f>
        <v>0.67994512976742905</v>
      </c>
      <c r="H279" s="55">
        <f>_xlfn.XLOOKUP($A279,'Data 2024'!$A:$A,'Data 2024'!J:J)/_xlfn.XLOOKUP($B279,'Category Averages'!$A$2:$A$4,'Category Averages'!C$2:C$4)</f>
        <v>0.83003283142963713</v>
      </c>
      <c r="I279" s="55">
        <f>_xlfn.XLOOKUP($A279,'Data 2024'!$A:$A,'Data 2024'!K:K)/_xlfn.XLOOKUP($B279,'Category Averages'!$A$2:$A$4,'Category Averages'!D$2:D$4)</f>
        <v>0.77070888164986373</v>
      </c>
      <c r="J279" s="63">
        <f>_xlfn.XLOOKUP($A279,'Data 2024'!$A:$A,'Data 2024'!P:P)/_xlfn.XLOOKUP($B279,'Category Averages'!$A$2:$A$4,'Category Averages'!E$2:E$4)</f>
        <v>1.701423899076778</v>
      </c>
      <c r="K279" s="63">
        <f>_xlfn.XLOOKUP($A279,'Data 2024'!$A:$A,'Data 2024'!Q:Q)/_xlfn.XLOOKUP($B279,'Category Averages'!$A$2:$A$4,'Category Averages'!F$2:F$4)</f>
        <v>1.8164290747018412</v>
      </c>
    </row>
    <row r="280" spans="1:11" ht="18" customHeight="1">
      <c r="A280" s="56">
        <v>6782000</v>
      </c>
      <c r="B280" s="54" t="str">
        <f>_xlfn.XLOOKUP(A280,'Data 2024'!A:A,'Data 2024'!D:D)</f>
        <v>Region 1</v>
      </c>
      <c r="C280" s="58" t="s">
        <v>1228</v>
      </c>
      <c r="D280" s="58" t="s">
        <v>865</v>
      </c>
      <c r="E280" s="58" t="s">
        <v>1091</v>
      </c>
      <c r="F280" s="58" t="s">
        <v>1213</v>
      </c>
      <c r="G280" s="55">
        <f>_xlfn.XLOOKUP($A280,'Data 2024'!$A:$A,'Data 2024'!I:I)/_xlfn.XLOOKUP($B280,'Category Averages'!$A$2:$A$4,'Category Averages'!$B$2:$B$4)</f>
        <v>0.76348819536414003</v>
      </c>
      <c r="H280" s="55">
        <f>_xlfn.XLOOKUP($A280,'Data 2024'!$A:$A,'Data 2024'!J:J)/_xlfn.XLOOKUP($B280,'Category Averages'!$A$2:$A$4,'Category Averages'!C$2:C$4)</f>
        <v>1.3063778366399859</v>
      </c>
      <c r="I280" s="55">
        <f>_xlfn.XLOOKUP($A280,'Data 2024'!$A:$A,'Data 2024'!K:K)/_xlfn.XLOOKUP($B280,'Category Averages'!$A$2:$A$4,'Category Averages'!D$2:D$4)</f>
        <v>1.190091201444448</v>
      </c>
      <c r="J280" s="63">
        <f>_xlfn.XLOOKUP($A280,'Data 2024'!$A:$A,'Data 2024'!P:P)/_xlfn.XLOOKUP($B280,'Category Averages'!$A$2:$A$4,'Category Averages'!E$2:E$4)</f>
        <v>1.1322093984843959</v>
      </c>
      <c r="K280" s="63">
        <f>_xlfn.XLOOKUP($A280,'Data 2024'!$A:$A,'Data 2024'!Q:Q)/_xlfn.XLOOKUP($B280,'Category Averages'!$A$2:$A$4,'Category Averages'!F$2:F$4)</f>
        <v>0.55210635541146669</v>
      </c>
    </row>
    <row r="281" spans="1:11" ht="18" customHeight="1">
      <c r="A281" s="54">
        <v>6783500</v>
      </c>
      <c r="B281" s="54" t="str">
        <f>_xlfn.XLOOKUP(A281,'Data 2024'!A:A,'Data 2024'!D:D)</f>
        <v>Region 1</v>
      </c>
      <c r="C281" s="57" t="s">
        <v>1229</v>
      </c>
      <c r="D281" s="57" t="s">
        <v>865</v>
      </c>
      <c r="E281" s="57" t="s">
        <v>1188</v>
      </c>
      <c r="F281" s="57" t="s">
        <v>1206</v>
      </c>
      <c r="G281" s="55">
        <f>_xlfn.XLOOKUP($A281,'Data 2024'!$A:$A,'Data 2024'!I:I)/_xlfn.XLOOKUP($B281,'Category Averages'!$A$2:$A$4,'Category Averages'!$B$2:$B$4)</f>
        <v>0.81652929036471977</v>
      </c>
      <c r="H281" s="55">
        <f>_xlfn.XLOOKUP($A281,'Data 2024'!$A:$A,'Data 2024'!J:J)/_xlfn.XLOOKUP($B281,'Category Averages'!$A$2:$A$4,'Category Averages'!C$2:C$4)</f>
        <v>2.1645822759384785</v>
      </c>
      <c r="I281" s="55">
        <f>_xlfn.XLOOKUP($A281,'Data 2024'!$A:$A,'Data 2024'!K:K)/_xlfn.XLOOKUP($B281,'Category Averages'!$A$2:$A$4,'Category Averages'!D$2:D$4)</f>
        <v>1.1608828110671765</v>
      </c>
      <c r="J281" s="63">
        <f>_xlfn.XLOOKUP($A281,'Data 2024'!$A:$A,'Data 2024'!P:P)/_xlfn.XLOOKUP($B281,'Category Averages'!$A$2:$A$4,'Category Averages'!E$2:E$4)</f>
        <v>1.0587672830715145</v>
      </c>
      <c r="K281" s="63">
        <f>_xlfn.XLOOKUP($A281,'Data 2024'!$A:$A,'Data 2024'!Q:Q)/_xlfn.XLOOKUP($B281,'Category Averages'!$A$2:$A$4,'Category Averages'!F$2:F$4)</f>
        <v>0.52391338183059633</v>
      </c>
    </row>
    <row r="282" spans="1:11" ht="18" customHeight="1">
      <c r="A282" s="56">
        <v>6876800</v>
      </c>
      <c r="B282" s="54" t="str">
        <f>_xlfn.XLOOKUP(A282,'Data 2024'!A:A,'Data 2024'!D:D)</f>
        <v>Region 1</v>
      </c>
      <c r="C282" s="58" t="s">
        <v>1230</v>
      </c>
      <c r="D282" s="58" t="s">
        <v>865</v>
      </c>
      <c r="E282" s="58" t="s">
        <v>1135</v>
      </c>
      <c r="F282" s="58" t="s">
        <v>1231</v>
      </c>
      <c r="G282" s="55">
        <f>_xlfn.XLOOKUP($A282,'Data 2024'!$A:$A,'Data 2024'!I:I)/_xlfn.XLOOKUP($B282,'Category Averages'!$A$2:$A$4,'Category Averages'!$B$2:$B$4)</f>
        <v>0.95436803878352172</v>
      </c>
      <c r="H282" s="55">
        <f>_xlfn.XLOOKUP($A282,'Data 2024'!$A:$A,'Data 2024'!J:J)/_xlfn.XLOOKUP($B282,'Category Averages'!$A$2:$A$4,'Category Averages'!C$2:C$4)</f>
        <v>1.2563001273590666</v>
      </c>
      <c r="I282" s="55">
        <f>_xlfn.XLOOKUP($A282,'Data 2024'!$A:$A,'Data 2024'!K:K)/_xlfn.XLOOKUP($B282,'Category Averages'!$A$2:$A$4,'Category Averages'!D$2:D$4)</f>
        <v>1.117801289571458</v>
      </c>
      <c r="J282" s="63">
        <f>_xlfn.XLOOKUP($A282,'Data 2024'!$A:$A,'Data 2024'!P:P)/_xlfn.XLOOKUP($B282,'Category Averages'!$A$2:$A$4,'Category Averages'!E$2:E$4)</f>
        <v>0.92091354700571704</v>
      </c>
      <c r="K282" s="63">
        <f>_xlfn.XLOOKUP($A282,'Data 2024'!$A:$A,'Data 2024'!Q:Q)/_xlfn.XLOOKUP($B282,'Category Averages'!$A$2:$A$4,'Category Averages'!F$2:F$4)</f>
        <v>1.0327426218405391</v>
      </c>
    </row>
    <row r="283" spans="1:11" ht="18" customHeight="1">
      <c r="A283" s="56">
        <v>6877900</v>
      </c>
      <c r="B283" s="54" t="str">
        <f>_xlfn.XLOOKUP(A283,'Data 2024'!A:A,'Data 2024'!D:D)</f>
        <v>Region 1</v>
      </c>
      <c r="C283" s="58" t="s">
        <v>1232</v>
      </c>
      <c r="D283" s="58" t="s">
        <v>865</v>
      </c>
      <c r="E283" s="58" t="s">
        <v>1135</v>
      </c>
      <c r="F283" s="58" t="s">
        <v>1231</v>
      </c>
      <c r="G283" s="55">
        <f>_xlfn.XLOOKUP($A283,'Data 2024'!$A:$A,'Data 2024'!I:I)/_xlfn.XLOOKUP($B283,'Category Averages'!$A$2:$A$4,'Category Averages'!$B$2:$B$4)</f>
        <v>1.1925724640005946</v>
      </c>
      <c r="H283" s="55">
        <f>_xlfn.XLOOKUP($A283,'Data 2024'!$A:$A,'Data 2024'!J:J)/_xlfn.XLOOKUP($B283,'Category Averages'!$A$2:$A$4,'Category Averages'!C$2:C$4)</f>
        <v>1.9425156294306716</v>
      </c>
      <c r="I283" s="55">
        <f>_xlfn.XLOOKUP($A283,'Data 2024'!$A:$A,'Data 2024'!K:K)/_xlfn.XLOOKUP($B283,'Category Averages'!$A$2:$A$4,'Category Averages'!D$2:D$4)</f>
        <v>1.138255035907946</v>
      </c>
      <c r="J283" s="63">
        <f>_xlfn.XLOOKUP($A283,'Data 2024'!$A:$A,'Data 2024'!P:P)/_xlfn.XLOOKUP($B283,'Category Averages'!$A$2:$A$4,'Category Averages'!E$2:E$4)</f>
        <v>0.76625091838169435</v>
      </c>
      <c r="K283" s="63">
        <f>_xlfn.XLOOKUP($A283,'Data 2024'!$A:$A,'Data 2024'!Q:Q)/_xlfn.XLOOKUP($B283,'Category Averages'!$A$2:$A$4,'Category Averages'!F$2:F$4)</f>
        <v>0.47348738627061265</v>
      </c>
    </row>
    <row r="284" spans="1:11" ht="18" customHeight="1">
      <c r="A284" s="56">
        <v>6879000</v>
      </c>
      <c r="B284" s="54" t="str">
        <f>_xlfn.XLOOKUP(A284,'Data 2024'!A:A,'Data 2024'!D:D)</f>
        <v>Region 1</v>
      </c>
      <c r="C284" s="58" t="s">
        <v>1233</v>
      </c>
      <c r="D284" s="58" t="s">
        <v>865</v>
      </c>
      <c r="E284" s="58" t="s">
        <v>1135</v>
      </c>
      <c r="F284" s="58" t="s">
        <v>1234</v>
      </c>
      <c r="G284" s="55">
        <f>_xlfn.XLOOKUP($A284,'Data 2024'!$A:$A,'Data 2024'!I:I)/_xlfn.XLOOKUP($B284,'Category Averages'!$A$2:$A$4,'Category Averages'!$B$2:$B$4)</f>
        <v>0.50741500929529415</v>
      </c>
      <c r="H284" s="55">
        <f>_xlfn.XLOOKUP($A284,'Data 2024'!$A:$A,'Data 2024'!J:J)/_xlfn.XLOOKUP($B284,'Category Averages'!$A$2:$A$4,'Category Averages'!C$2:C$4)</f>
        <v>0</v>
      </c>
      <c r="I284" s="55">
        <f>_xlfn.XLOOKUP($A284,'Data 2024'!$A:$A,'Data 2024'!K:K)/_xlfn.XLOOKUP($B284,'Category Averages'!$A$2:$A$4,'Category Averages'!D$2:D$4)</f>
        <v>0.5798408458650679</v>
      </c>
      <c r="J284" s="63">
        <f>_xlfn.XLOOKUP($A284,'Data 2024'!$A:$A,'Data 2024'!P:P)/_xlfn.XLOOKUP($B284,'Category Averages'!$A$2:$A$4,'Category Averages'!E$2:E$4)</f>
        <v>0.56148838689215674</v>
      </c>
      <c r="K284" s="63">
        <f>_xlfn.XLOOKUP($A284,'Data 2024'!$A:$A,'Data 2024'!Q:Q)/_xlfn.XLOOKUP($B284,'Category Averages'!$A$2:$A$4,'Category Averages'!F$2:F$4)</f>
        <v>0.74850848879519682</v>
      </c>
    </row>
    <row r="285" spans="1:11" ht="18" customHeight="1">
      <c r="A285" s="56">
        <v>6880100</v>
      </c>
      <c r="B285" s="54" t="str">
        <f>_xlfn.XLOOKUP(A285,'Data 2024'!A:A,'Data 2024'!D:D)</f>
        <v>Region 1</v>
      </c>
      <c r="C285" s="58" t="s">
        <v>1235</v>
      </c>
      <c r="D285" s="58" t="s">
        <v>865</v>
      </c>
      <c r="E285" s="58" t="s">
        <v>866</v>
      </c>
      <c r="F285" s="58" t="s">
        <v>1236</v>
      </c>
      <c r="G285" s="55">
        <f>_xlfn.XLOOKUP($A285,'Data 2024'!$A:$A,'Data 2024'!I:I)/_xlfn.XLOOKUP($B285,'Category Averages'!$A$2:$A$4,'Category Averages'!$B$2:$B$4)</f>
        <v>0.92082200925864044</v>
      </c>
      <c r="H285" s="55">
        <f>_xlfn.XLOOKUP($A285,'Data 2024'!$A:$A,'Data 2024'!J:J)/_xlfn.XLOOKUP($B285,'Category Averages'!$A$2:$A$4,'Category Averages'!C$2:C$4)</f>
        <v>1.9100377441034126</v>
      </c>
      <c r="I285" s="55">
        <f>_xlfn.XLOOKUP($A285,'Data 2024'!$A:$A,'Data 2024'!K:K)/_xlfn.XLOOKUP($B285,'Category Averages'!$A$2:$A$4,'Category Averages'!D$2:D$4)</f>
        <v>1.4366405790449499</v>
      </c>
      <c r="J285" s="63">
        <f>_xlfn.XLOOKUP($A285,'Data 2024'!$A:$A,'Data 2024'!P:P)/_xlfn.XLOOKUP($B285,'Category Averages'!$A$2:$A$4,'Category Averages'!E$2:E$4)</f>
        <v>0.62518752422430013</v>
      </c>
      <c r="K285" s="63">
        <f>_xlfn.XLOOKUP($A285,'Data 2024'!$A:$A,'Data 2024'!Q:Q)/_xlfn.XLOOKUP($B285,'Category Averages'!$A$2:$A$4,'Category Averages'!F$2:F$4)</f>
        <v>0.51070126499164759</v>
      </c>
    </row>
    <row r="286" spans="1:11" ht="18" customHeight="1">
      <c r="A286" s="56">
        <v>6881200</v>
      </c>
      <c r="B286" s="54" t="str">
        <f>_xlfn.XLOOKUP(A286,'Data 2024'!A:A,'Data 2024'!D:D)</f>
        <v>Region 1</v>
      </c>
      <c r="C286" s="58" t="s">
        <v>1237</v>
      </c>
      <c r="D286" s="58" t="s">
        <v>865</v>
      </c>
      <c r="E286" s="58" t="s">
        <v>1135</v>
      </c>
      <c r="F286" s="58" t="s">
        <v>1231</v>
      </c>
      <c r="G286" s="55">
        <f>_xlfn.XLOOKUP($A286,'Data 2024'!$A:$A,'Data 2024'!I:I)/_xlfn.XLOOKUP($B286,'Category Averages'!$A$2:$A$4,'Category Averages'!$B$2:$B$4)</f>
        <v>1.1756131750267416</v>
      </c>
      <c r="H286" s="55">
        <f>_xlfn.XLOOKUP($A286,'Data 2024'!$A:$A,'Data 2024'!J:J)/_xlfn.XLOOKUP($B286,'Category Averages'!$A$2:$A$4,'Category Averages'!C$2:C$4)</f>
        <v>2.6385132262835973</v>
      </c>
      <c r="I286" s="55">
        <f>_xlfn.XLOOKUP($A286,'Data 2024'!$A:$A,'Data 2024'!K:K)/_xlfn.XLOOKUP($B286,'Category Averages'!$A$2:$A$4,'Category Averages'!D$2:D$4)</f>
        <v>1.5904142905782732</v>
      </c>
      <c r="J286" s="63">
        <f>_xlfn.XLOOKUP($A286,'Data 2024'!$A:$A,'Data 2024'!P:P)/_xlfn.XLOOKUP($B286,'Category Averages'!$A$2:$A$4,'Category Averages'!E$2:E$4)</f>
        <v>0.48975652466864389</v>
      </c>
      <c r="K286" s="63">
        <f>_xlfn.XLOOKUP($A286,'Data 2024'!$A:$A,'Data 2024'!Q:Q)/_xlfn.XLOOKUP($B286,'Category Averages'!$A$2:$A$4,'Category Averages'!F$2:F$4)</f>
        <v>0.25118582681355528</v>
      </c>
    </row>
    <row r="287" spans="1:11" ht="18" customHeight="1">
      <c r="A287" s="56">
        <v>6885200</v>
      </c>
      <c r="B287" s="54" t="str">
        <f>_xlfn.XLOOKUP(A287,'Data 2024'!A:A,'Data 2024'!D:D)</f>
        <v>Region 2</v>
      </c>
      <c r="C287" s="58" t="s">
        <v>1238</v>
      </c>
      <c r="D287" s="58" t="s">
        <v>865</v>
      </c>
      <c r="E287" s="58" t="s">
        <v>1135</v>
      </c>
      <c r="F287" s="58" t="s">
        <v>1239</v>
      </c>
      <c r="G287" s="55">
        <f>_xlfn.XLOOKUP($A287,'Data 2024'!$A:$A,'Data 2024'!I:I)/_xlfn.XLOOKUP($B287,'Category Averages'!$A$2:$A$4,'Category Averages'!$B$2:$B$4)</f>
        <v>1.0623125080024673</v>
      </c>
      <c r="H287" s="55">
        <f>_xlfn.XLOOKUP($A287,'Data 2024'!$A:$A,'Data 2024'!J:J)/_xlfn.XLOOKUP($B287,'Category Averages'!$A$2:$A$4,'Category Averages'!C$2:C$4)</f>
        <v>1.293396124320116</v>
      </c>
      <c r="I287" s="55">
        <f>_xlfn.XLOOKUP($A287,'Data 2024'!$A:$A,'Data 2024'!K:K)/_xlfn.XLOOKUP($B287,'Category Averages'!$A$2:$A$4,'Category Averages'!D$2:D$4)</f>
        <v>1.3712449309886481</v>
      </c>
      <c r="J287" s="63">
        <f>_xlfn.XLOOKUP($A287,'Data 2024'!$A:$A,'Data 2024'!P:P)/_xlfn.XLOOKUP($B287,'Category Averages'!$A$2:$A$4,'Category Averages'!E$2:E$4)</f>
        <v>0.3726599702906081</v>
      </c>
      <c r="K287" s="63">
        <f>_xlfn.XLOOKUP($A287,'Data 2024'!$A:$A,'Data 2024'!Q:Q)/_xlfn.XLOOKUP($B287,'Category Averages'!$A$2:$A$4,'Category Averages'!F$2:F$4)</f>
        <v>0.15130339014806521</v>
      </c>
    </row>
    <row r="288" spans="1:11" ht="18" customHeight="1">
      <c r="A288" s="56">
        <v>6894100</v>
      </c>
      <c r="B288" s="54" t="str">
        <f>_xlfn.XLOOKUP(A288,'Data 2024'!A:A,'Data 2024'!D:D)</f>
        <v>Region 12</v>
      </c>
      <c r="C288" s="58" t="s">
        <v>1240</v>
      </c>
      <c r="D288" s="58" t="s">
        <v>865</v>
      </c>
      <c r="E288" s="58" t="s">
        <v>1135</v>
      </c>
      <c r="F288" s="58" t="s">
        <v>1234</v>
      </c>
      <c r="G288" s="55">
        <f>_xlfn.XLOOKUP($A288,'Data 2024'!$A:$A,'Data 2024'!I:I)/_xlfn.XLOOKUP($B288,'Category Averages'!$A$2:$A$4,'Category Averages'!$B$2:$B$4)</f>
        <v>1.0631108938090241</v>
      </c>
      <c r="H288" s="55" t="e">
        <f>_xlfn.XLOOKUP($A288,'Data 2024'!$A:$A,'Data 2024'!J:J)/_xlfn.XLOOKUP($B288,'Category Averages'!$A$2:$A$4,'Category Averages'!C$2:C$4)</f>
        <v>#DIV/0!</v>
      </c>
      <c r="I288" s="55">
        <f>_xlfn.XLOOKUP($A288,'Data 2024'!$A:$A,'Data 2024'!K:K)/_xlfn.XLOOKUP($B288,'Category Averages'!$A$2:$A$4,'Category Averages'!D$2:D$4)</f>
        <v>2.1777798612596868</v>
      </c>
      <c r="J288" s="63">
        <f>_xlfn.XLOOKUP($A288,'Data 2024'!$A:$A,'Data 2024'!P:P)/_xlfn.XLOOKUP($B288,'Category Averages'!$A$2:$A$4,'Category Averages'!E$2:E$4)</f>
        <v>0.3137228000122444</v>
      </c>
      <c r="K288" s="63">
        <f>_xlfn.XLOOKUP($A288,'Data 2024'!$A:$A,'Data 2024'!Q:Q)/_xlfn.XLOOKUP($B288,'Category Averages'!$A$2:$A$4,'Category Averages'!F$2:F$4)</f>
        <v>0.61697985190328508</v>
      </c>
    </row>
    <row r="289" spans="1:11" ht="18" customHeight="1">
      <c r="A289" s="56">
        <v>6897100</v>
      </c>
      <c r="B289" s="54" t="str">
        <f>_xlfn.XLOOKUP(A289,'Data 2024'!A:A,'Data 2024'!D:D)</f>
        <v>Region 2</v>
      </c>
      <c r="C289" s="58" t="s">
        <v>1241</v>
      </c>
      <c r="D289" s="58" t="s">
        <v>808</v>
      </c>
      <c r="E289" s="58" t="s">
        <v>838</v>
      </c>
      <c r="F289" s="58" t="s">
        <v>881</v>
      </c>
      <c r="G289" s="55">
        <f>_xlfn.XLOOKUP($A289,'Data 2024'!$A:$A,'Data 2024'!I:I)/_xlfn.XLOOKUP($B289,'Category Averages'!$A$2:$A$4,'Category Averages'!$B$2:$B$4)</f>
        <v>2.0410491132745001</v>
      </c>
      <c r="H289" s="55">
        <f>_xlfn.XLOOKUP($A289,'Data 2024'!$A:$A,'Data 2024'!J:J)/_xlfn.XLOOKUP($B289,'Category Averages'!$A$2:$A$4,'Category Averages'!C$2:C$4)</f>
        <v>1.3636387844978037</v>
      </c>
      <c r="I289" s="55">
        <f>_xlfn.XLOOKUP($A289,'Data 2024'!$A:$A,'Data 2024'!K:K)/_xlfn.XLOOKUP($B289,'Category Averages'!$A$2:$A$4,'Category Averages'!D$2:D$4)</f>
        <v>2.2777612958728546</v>
      </c>
      <c r="J289" s="63">
        <f>_xlfn.XLOOKUP($A289,'Data 2024'!$A:$A,'Data 2024'!P:P)/_xlfn.XLOOKUP($B289,'Category Averages'!$A$2:$A$4,'Category Averages'!E$2:E$4)</f>
        <v>0.26658035881233677</v>
      </c>
      <c r="K289" s="63">
        <f>_xlfn.XLOOKUP($A289,'Data 2024'!$A:$A,'Data 2024'!Q:Q)/_xlfn.XLOOKUP($B289,'Category Averages'!$A$2:$A$4,'Category Averages'!F$2:F$4)</f>
        <v>0.22058822138020615</v>
      </c>
    </row>
    <row r="290" spans="1:11" ht="18" customHeight="1">
      <c r="A290" s="56">
        <v>6897500</v>
      </c>
      <c r="B290" s="54" t="str">
        <f>_xlfn.XLOOKUP(A290,'Data 2024'!A:A,'Data 2024'!D:D)</f>
        <v>Region 2</v>
      </c>
      <c r="C290" s="58" t="s">
        <v>1242</v>
      </c>
      <c r="D290" s="58" t="s">
        <v>808</v>
      </c>
      <c r="E290" s="58" t="s">
        <v>838</v>
      </c>
      <c r="F290" s="58" t="s">
        <v>881</v>
      </c>
      <c r="G290" s="55">
        <f>_xlfn.XLOOKUP($A290,'Data 2024'!$A:$A,'Data 2024'!I:I)/_xlfn.XLOOKUP($B290,'Category Averages'!$A$2:$A$4,'Category Averages'!$B$2:$B$4)</f>
        <v>1.9771031361106193</v>
      </c>
      <c r="H290" s="55">
        <f>_xlfn.XLOOKUP($A290,'Data 2024'!$A:$A,'Data 2024'!J:J)/_xlfn.XLOOKUP($B290,'Category Averages'!$A$2:$A$4,'Category Averages'!C$2:C$4)</f>
        <v>1.4283245671620746</v>
      </c>
      <c r="I290" s="55">
        <f>_xlfn.XLOOKUP($A290,'Data 2024'!$A:$A,'Data 2024'!K:K)/_xlfn.XLOOKUP($B290,'Category Averages'!$A$2:$A$4,'Category Averages'!D$2:D$4)</f>
        <v>1.9071454432445403</v>
      </c>
      <c r="J290" s="63">
        <f>_xlfn.XLOOKUP($A290,'Data 2024'!$A:$A,'Data 2024'!P:P)/_xlfn.XLOOKUP($B290,'Category Averages'!$A$2:$A$4,'Category Averages'!E$2:E$4)</f>
        <v>0.40168890741282903</v>
      </c>
      <c r="K290" s="63">
        <f>_xlfn.XLOOKUP($A290,'Data 2024'!$A:$A,'Data 2024'!Q:Q)/_xlfn.XLOOKUP($B290,'Category Averages'!$A$2:$A$4,'Category Averages'!F$2:F$4)</f>
        <v>0.33820689626585249</v>
      </c>
    </row>
    <row r="291" spans="1:11" ht="18" customHeight="1">
      <c r="A291" s="56">
        <v>6903700</v>
      </c>
      <c r="B291" s="54" t="str">
        <f>_xlfn.XLOOKUP(A291,'Data 2024'!A:A,'Data 2024'!D:D)</f>
        <v>Region 1</v>
      </c>
      <c r="C291" s="58" t="s">
        <v>1243</v>
      </c>
      <c r="D291" s="58" t="s">
        <v>865</v>
      </c>
      <c r="E291" s="58" t="s">
        <v>1135</v>
      </c>
      <c r="F291" s="58" t="s">
        <v>1239</v>
      </c>
      <c r="G291" s="55">
        <f>_xlfn.XLOOKUP($A291,'Data 2024'!$A:$A,'Data 2024'!I:I)/_xlfn.XLOOKUP($B291,'Category Averages'!$A$2:$A$4,'Category Averages'!$B$2:$B$4)</f>
        <v>1.3503078212609034</v>
      </c>
      <c r="H291" s="55">
        <f>_xlfn.XLOOKUP($A291,'Data 2024'!$A:$A,'Data 2024'!J:J)/_xlfn.XLOOKUP($B291,'Category Averages'!$A$2:$A$4,'Category Averages'!C$2:C$4)</f>
        <v>0</v>
      </c>
      <c r="I291" s="55">
        <f>_xlfn.XLOOKUP($A291,'Data 2024'!$A:$A,'Data 2024'!K:K)/_xlfn.XLOOKUP($B291,'Category Averages'!$A$2:$A$4,'Category Averages'!D$2:D$4)</f>
        <v>1.2238070061889155</v>
      </c>
      <c r="J291" s="63">
        <f>_xlfn.XLOOKUP($A291,'Data 2024'!$A:$A,'Data 2024'!P:P)/_xlfn.XLOOKUP($B291,'Category Averages'!$A$2:$A$4,'Category Averages'!E$2:E$4)</f>
        <v>0.45802636426154064</v>
      </c>
      <c r="K291" s="63">
        <f>_xlfn.XLOOKUP($A291,'Data 2024'!$A:$A,'Data 2024'!Q:Q)/_xlfn.XLOOKUP($B291,'Category Averages'!$A$2:$A$4,'Category Averages'!F$2:F$4)</f>
        <v>0.17512799068033794</v>
      </c>
    </row>
    <row r="292" spans="1:11" ht="18" customHeight="1">
      <c r="A292" s="54">
        <v>6905600</v>
      </c>
      <c r="B292" s="54" t="str">
        <f>_xlfn.XLOOKUP(A292,'Data 2024'!A:A,'Data 2024'!D:D)</f>
        <v>Region 2</v>
      </c>
      <c r="C292" s="57" t="s">
        <v>1244</v>
      </c>
      <c r="D292" s="57" t="s">
        <v>865</v>
      </c>
      <c r="E292" s="57" t="s">
        <v>1135</v>
      </c>
      <c r="F292" s="57" t="s">
        <v>1136</v>
      </c>
      <c r="G292" s="55">
        <f>_xlfn.XLOOKUP($A292,'Data 2024'!$A:$A,'Data 2024'!I:I)/_xlfn.XLOOKUP($B292,'Category Averages'!$A$2:$A$4,'Category Averages'!$B$2:$B$4)</f>
        <v>0.99311411973495423</v>
      </c>
      <c r="H292" s="55">
        <f>_xlfn.XLOOKUP($A292,'Data 2024'!$A:$A,'Data 2024'!J:J)/_xlfn.XLOOKUP($B292,'Category Averages'!$A$2:$A$4,'Category Averages'!C$2:C$4)</f>
        <v>1.2017366505951166</v>
      </c>
      <c r="I292" s="55">
        <f>_xlfn.XLOOKUP($A292,'Data 2024'!$A:$A,'Data 2024'!K:K)/_xlfn.XLOOKUP($B292,'Category Averages'!$A$2:$A$4,'Category Averages'!D$2:D$4)</f>
        <v>1.0874505432235062</v>
      </c>
      <c r="J292" s="63">
        <f>_xlfn.XLOOKUP($A292,'Data 2024'!$A:$A,'Data 2024'!P:P)/_xlfn.XLOOKUP($B292,'Category Averages'!$A$2:$A$4,'Category Averages'!E$2:E$4)</f>
        <v>0.73150846645381573</v>
      </c>
      <c r="K292" s="63">
        <f>_xlfn.XLOOKUP($A292,'Data 2024'!$A:$A,'Data 2024'!Q:Q)/_xlfn.XLOOKUP($B292,'Category Averages'!$A$2:$A$4,'Category Averages'!F$2:F$4)</f>
        <v>0.76463259274693063</v>
      </c>
    </row>
    <row r="293" spans="1:11" ht="18" customHeight="1">
      <c r="A293" s="56">
        <v>6908900</v>
      </c>
      <c r="B293" s="54" t="str">
        <f>_xlfn.XLOOKUP(A293,'Data 2024'!A:A,'Data 2024'!D:D)</f>
        <v>Region 2</v>
      </c>
      <c r="C293" s="58" t="s">
        <v>1245</v>
      </c>
      <c r="D293" s="58" t="s">
        <v>808</v>
      </c>
      <c r="E293" s="58" t="s">
        <v>838</v>
      </c>
      <c r="F293" s="58" t="s">
        <v>1246</v>
      </c>
      <c r="G293" s="55">
        <f>_xlfn.XLOOKUP($A293,'Data 2024'!$A:$A,'Data 2024'!I:I)/_xlfn.XLOOKUP($B293,'Category Averages'!$A$2:$A$4,'Category Averages'!$B$2:$B$4)</f>
        <v>2.4083653266239096</v>
      </c>
      <c r="H293" s="55">
        <f>_xlfn.XLOOKUP($A293,'Data 2024'!$A:$A,'Data 2024'!J:J)/_xlfn.XLOOKUP($B293,'Category Averages'!$A$2:$A$4,'Category Averages'!C$2:C$4)</f>
        <v>1.7139430076467059</v>
      </c>
      <c r="I293" s="55">
        <f>_xlfn.XLOOKUP($A293,'Data 2024'!$A:$A,'Data 2024'!K:K)/_xlfn.XLOOKUP($B293,'Category Averages'!$A$2:$A$4,'Category Averages'!D$2:D$4)</f>
        <v>2.6212989986719766</v>
      </c>
      <c r="J293" s="63">
        <f>_xlfn.XLOOKUP($A293,'Data 2024'!$A:$A,'Data 2024'!P:P)/_xlfn.XLOOKUP($B293,'Category Averages'!$A$2:$A$4,'Category Averages'!E$2:E$4)</f>
        <v>0.21272298189268879</v>
      </c>
      <c r="K293" s="63">
        <f>_xlfn.XLOOKUP($A293,'Data 2024'!$A:$A,'Data 2024'!Q:Q)/_xlfn.XLOOKUP($B293,'Category Averages'!$A$2:$A$4,'Category Averages'!F$2:F$4)</f>
        <v>0.12203571521355502</v>
      </c>
    </row>
    <row r="294" spans="1:11" ht="18" customHeight="1">
      <c r="A294" s="56">
        <v>6910000</v>
      </c>
      <c r="B294" s="54" t="str">
        <f>_xlfn.XLOOKUP(A294,'Data 2024'!A:A,'Data 2024'!D:D)</f>
        <v>Region 2</v>
      </c>
      <c r="C294" s="58" t="s">
        <v>1247</v>
      </c>
      <c r="D294" s="58" t="s">
        <v>808</v>
      </c>
      <c r="E294" s="58" t="s">
        <v>838</v>
      </c>
      <c r="F294" s="58" t="s">
        <v>1246</v>
      </c>
      <c r="G294" s="55">
        <f>_xlfn.XLOOKUP($A294,'Data 2024'!$A:$A,'Data 2024'!I:I)/_xlfn.XLOOKUP($B294,'Category Averages'!$A$2:$A$4,'Category Averages'!$B$2:$B$4)</f>
        <v>2.4951839993031308</v>
      </c>
      <c r="H294" s="55">
        <f>_xlfn.XLOOKUP($A294,'Data 2024'!$A:$A,'Data 2024'!J:J)/_xlfn.XLOOKUP($B294,'Category Averages'!$A$2:$A$4,'Category Averages'!C$2:C$4)</f>
        <v>2.0528682155448759</v>
      </c>
      <c r="I294" s="55">
        <f>_xlfn.XLOOKUP($A294,'Data 2024'!$A:$A,'Data 2024'!K:K)/_xlfn.XLOOKUP($B294,'Category Averages'!$A$2:$A$4,'Category Averages'!D$2:D$4)</f>
        <v>2.4976206098364426</v>
      </c>
      <c r="J294" s="63">
        <f>_xlfn.XLOOKUP($A294,'Data 2024'!$A:$A,'Data 2024'!P:P)/_xlfn.XLOOKUP($B294,'Category Averages'!$A$2:$A$4,'Category Averages'!E$2:E$4)</f>
        <v>0.26516092393018459</v>
      </c>
      <c r="K294" s="63">
        <f>_xlfn.XLOOKUP($A294,'Data 2024'!$A:$A,'Data 2024'!Q:Q)/_xlfn.XLOOKUP($B294,'Category Averages'!$A$2:$A$4,'Category Averages'!F$2:F$4)</f>
        <v>0.13298567592447086</v>
      </c>
    </row>
    <row r="295" spans="1:11" ht="18" customHeight="1">
      <c r="A295" s="56">
        <v>6911100</v>
      </c>
      <c r="B295" s="54" t="str">
        <f>_xlfn.XLOOKUP(A295,'Data 2024'!A:A,'Data 2024'!D:D)</f>
        <v>Region 1</v>
      </c>
      <c r="C295" s="58" t="s">
        <v>1248</v>
      </c>
      <c r="D295" s="58" t="s">
        <v>865</v>
      </c>
      <c r="E295" s="58" t="s">
        <v>866</v>
      </c>
      <c r="F295" s="58" t="s">
        <v>907</v>
      </c>
      <c r="G295" s="55">
        <f>_xlfn.XLOOKUP($A295,'Data 2024'!$A:$A,'Data 2024'!I:I)/_xlfn.XLOOKUP($B295,'Category Averages'!$A$2:$A$4,'Category Averages'!$B$2:$B$4)</f>
        <v>0.76252320895240266</v>
      </c>
      <c r="H295" s="55">
        <f>_xlfn.XLOOKUP($A295,'Data 2024'!$A:$A,'Data 2024'!J:J)/_xlfn.XLOOKUP($B295,'Category Averages'!$A$2:$A$4,'Category Averages'!C$2:C$4)</f>
        <v>0.65387864344460656</v>
      </c>
      <c r="I295" s="55">
        <f>_xlfn.XLOOKUP($A295,'Data 2024'!$A:$A,'Data 2024'!K:K)/_xlfn.XLOOKUP($B295,'Category Averages'!$A$2:$A$4,'Category Averages'!D$2:D$4)</f>
        <v>0.87062308086332019</v>
      </c>
      <c r="J295" s="63">
        <f>_xlfn.XLOOKUP($A295,'Data 2024'!$A:$A,'Data 2024'!P:P)/_xlfn.XLOOKUP($B295,'Category Averages'!$A$2:$A$4,'Category Averages'!E$2:E$4)</f>
        <v>0.69320821511605579</v>
      </c>
      <c r="K295" s="63">
        <f>_xlfn.XLOOKUP($A295,'Data 2024'!$A:$A,'Data 2024'!Q:Q)/_xlfn.XLOOKUP($B295,'Category Averages'!$A$2:$A$4,'Category Averages'!F$2:F$4)</f>
        <v>0.62893639482040065</v>
      </c>
    </row>
    <row r="296" spans="1:11" ht="18" customHeight="1">
      <c r="A296" s="56">
        <v>6977100</v>
      </c>
      <c r="B296" s="54" t="str">
        <f>_xlfn.XLOOKUP(A296,'Data 2024'!A:A,'Data 2024'!D:D)</f>
        <v>Region 12</v>
      </c>
      <c r="C296" s="58" t="s">
        <v>1249</v>
      </c>
      <c r="D296" s="58" t="s">
        <v>865</v>
      </c>
      <c r="E296" s="58" t="s">
        <v>1188</v>
      </c>
      <c r="F296" s="58" t="s">
        <v>1250</v>
      </c>
      <c r="G296" s="55">
        <f>_xlfn.XLOOKUP($A296,'Data 2024'!$A:$A,'Data 2024'!I:I)/_xlfn.XLOOKUP($B296,'Category Averages'!$A$2:$A$4,'Category Averages'!$B$2:$B$4)</f>
        <v>0.7115223626890137</v>
      </c>
      <c r="H296" s="55" t="e">
        <f>_xlfn.XLOOKUP($A296,'Data 2024'!$A:$A,'Data 2024'!J:J)/_xlfn.XLOOKUP($B296,'Category Averages'!$A$2:$A$4,'Category Averages'!C$2:C$4)</f>
        <v>#DIV/0!</v>
      </c>
      <c r="I296" s="55">
        <f>_xlfn.XLOOKUP($A296,'Data 2024'!$A:$A,'Data 2024'!K:K)/_xlfn.XLOOKUP($B296,'Category Averages'!$A$2:$A$4,'Category Averages'!D$2:D$4)</f>
        <v>2.6608791301450196</v>
      </c>
      <c r="J296" s="63">
        <f>_xlfn.XLOOKUP($A296,'Data 2024'!$A:$A,'Data 2024'!P:P)/_xlfn.XLOOKUP($B296,'Category Averages'!$A$2:$A$4,'Category Averages'!E$2:E$4)</f>
        <v>0.23295548120650236</v>
      </c>
      <c r="K296" s="63">
        <f>_xlfn.XLOOKUP($A296,'Data 2024'!$A:$A,'Data 2024'!Q:Q)/_xlfn.XLOOKUP($B296,'Category Averages'!$A$2:$A$4,'Category Averages'!F$2:F$4)</f>
        <v>0.16508286656813953</v>
      </c>
    </row>
    <row r="297" spans="1:11" ht="18" customHeight="1">
      <c r="A297" s="56">
        <v>6977500</v>
      </c>
      <c r="B297" s="54" t="str">
        <f>_xlfn.XLOOKUP(A297,'Data 2024'!A:A,'Data 2024'!D:D)</f>
        <v>Region 12</v>
      </c>
      <c r="C297" s="58" t="s">
        <v>1251</v>
      </c>
      <c r="D297" s="58" t="s">
        <v>865</v>
      </c>
      <c r="E297" s="58" t="s">
        <v>1188</v>
      </c>
      <c r="F297" s="58" t="s">
        <v>1252</v>
      </c>
      <c r="G297" s="55">
        <f>_xlfn.XLOOKUP($A297,'Data 2024'!$A:$A,'Data 2024'!I:I)/_xlfn.XLOOKUP($B297,'Category Averages'!$A$2:$A$4,'Category Averages'!$B$2:$B$4)</f>
        <v>1.0423401029565817</v>
      </c>
      <c r="H297" s="55" t="e">
        <f>_xlfn.XLOOKUP($A297,'Data 2024'!$A:$A,'Data 2024'!J:J)/_xlfn.XLOOKUP($B297,'Category Averages'!$A$2:$A$4,'Category Averages'!C$2:C$4)</f>
        <v>#DIV/0!</v>
      </c>
      <c r="I297" s="55">
        <f>_xlfn.XLOOKUP($A297,'Data 2024'!$A:$A,'Data 2024'!K:K)/_xlfn.XLOOKUP($B297,'Category Averages'!$A$2:$A$4,'Category Averages'!D$2:D$4)</f>
        <v>0</v>
      </c>
      <c r="J297" s="63">
        <f>_xlfn.XLOOKUP($A297,'Data 2024'!$A:$A,'Data 2024'!P:P)/_xlfn.XLOOKUP($B297,'Category Averages'!$A$2:$A$4,'Category Averages'!E$2:E$4)</f>
        <v>0</v>
      </c>
      <c r="K297" s="63">
        <f>_xlfn.XLOOKUP($A297,'Data 2024'!$A:$A,'Data 2024'!Q:Q)/_xlfn.XLOOKUP($B297,'Category Averages'!$A$2:$A$4,'Category Averages'!F$2:F$4)</f>
        <v>0.16274093144153423</v>
      </c>
    </row>
    <row r="298" spans="1:11" ht="18" customHeight="1">
      <c r="A298" s="56">
        <v>6979300</v>
      </c>
      <c r="B298" s="54" t="str">
        <f>_xlfn.XLOOKUP(A298,'Data 2024'!A:A,'Data 2024'!D:D)</f>
        <v>Region 1</v>
      </c>
      <c r="C298" s="58" t="s">
        <v>1253</v>
      </c>
      <c r="D298" s="58" t="s">
        <v>865</v>
      </c>
      <c r="E298" s="58" t="s">
        <v>1188</v>
      </c>
      <c r="F298" s="58" t="s">
        <v>1250</v>
      </c>
      <c r="G298" s="55">
        <f>_xlfn.XLOOKUP($A298,'Data 2024'!$A:$A,'Data 2024'!I:I)/_xlfn.XLOOKUP($B298,'Category Averages'!$A$2:$A$4,'Category Averages'!$B$2:$B$4)</f>
        <v>0.46145773357612391</v>
      </c>
      <c r="H298" s="55">
        <f>_xlfn.XLOOKUP($A298,'Data 2024'!$A:$A,'Data 2024'!J:J)/_xlfn.XLOOKUP($B298,'Category Averages'!$A$2:$A$4,'Category Averages'!C$2:C$4)</f>
        <v>1.1583641261312527</v>
      </c>
      <c r="I298" s="55">
        <f>_xlfn.XLOOKUP($A298,'Data 2024'!$A:$A,'Data 2024'!K:K)/_xlfn.XLOOKUP($B298,'Category Averages'!$A$2:$A$4,'Category Averages'!D$2:D$4)</f>
        <v>0.76649561354467344</v>
      </c>
      <c r="J298" s="63">
        <f>_xlfn.XLOOKUP($A298,'Data 2024'!$A:$A,'Data 2024'!P:P)/_xlfn.XLOOKUP($B298,'Category Averages'!$A$2:$A$4,'Category Averages'!E$2:E$4)</f>
        <v>0.54094653284428906</v>
      </c>
      <c r="K298" s="63">
        <f>_xlfn.XLOOKUP($A298,'Data 2024'!$A:$A,'Data 2024'!Q:Q)/_xlfn.XLOOKUP($B298,'Category Averages'!$A$2:$A$4,'Category Averages'!F$2:F$4)</f>
        <v>0.90199500333882499</v>
      </c>
    </row>
    <row r="299" spans="1:11" ht="18" customHeight="1">
      <c r="A299" s="56">
        <v>6980400</v>
      </c>
      <c r="B299" s="54" t="str">
        <f>_xlfn.XLOOKUP(A299,'Data 2024'!A:A,'Data 2024'!D:D)</f>
        <v>Region 2</v>
      </c>
      <c r="C299" s="58" t="s">
        <v>1254</v>
      </c>
      <c r="D299" s="58" t="s">
        <v>865</v>
      </c>
      <c r="E299" s="58" t="s">
        <v>1091</v>
      </c>
      <c r="F299" s="58" t="s">
        <v>1222</v>
      </c>
      <c r="G299" s="55">
        <f>_xlfn.XLOOKUP($A299,'Data 2024'!$A:$A,'Data 2024'!I:I)/_xlfn.XLOOKUP($B299,'Category Averages'!$A$2:$A$4,'Category Averages'!$B$2:$B$4)</f>
        <v>0.62889646063995941</v>
      </c>
      <c r="H299" s="55">
        <f>_xlfn.XLOOKUP($A299,'Data 2024'!$A:$A,'Data 2024'!J:J)/_xlfn.XLOOKUP($B299,'Category Averages'!$A$2:$A$4,'Category Averages'!C$2:C$4)</f>
        <v>0.57271543199114261</v>
      </c>
      <c r="I299" s="55">
        <f>_xlfn.XLOOKUP($A299,'Data 2024'!$A:$A,'Data 2024'!K:K)/_xlfn.XLOOKUP($B299,'Category Averages'!$A$2:$A$4,'Category Averages'!D$2:D$4)</f>
        <v>1.0900579997705828</v>
      </c>
      <c r="J299" s="63">
        <f>_xlfn.XLOOKUP($A299,'Data 2024'!$A:$A,'Data 2024'!P:P)/_xlfn.XLOOKUP($B299,'Category Averages'!$A$2:$A$4,'Category Averages'!E$2:E$4)</f>
        <v>0.72910132128591065</v>
      </c>
      <c r="K299" s="63">
        <f>_xlfn.XLOOKUP($A299,'Data 2024'!$A:$A,'Data 2024'!Q:Q)/_xlfn.XLOOKUP($B299,'Category Averages'!$A$2:$A$4,'Category Averages'!F$2:F$4)</f>
        <v>0.46483772600845485</v>
      </c>
    </row>
    <row r="300" spans="1:11" ht="18" customHeight="1">
      <c r="A300" s="56">
        <v>6982600</v>
      </c>
      <c r="B300" s="54" t="str">
        <f>_xlfn.XLOOKUP(A300,'Data 2024'!A:A,'Data 2024'!D:D)</f>
        <v>Region 12</v>
      </c>
      <c r="C300" s="58" t="s">
        <v>1255</v>
      </c>
      <c r="D300" s="58" t="s">
        <v>865</v>
      </c>
      <c r="E300" s="58" t="s">
        <v>1188</v>
      </c>
      <c r="F300" s="58" t="s">
        <v>1256</v>
      </c>
      <c r="G300" s="55">
        <f>_xlfn.XLOOKUP($A300,'Data 2024'!$A:$A,'Data 2024'!I:I)/_xlfn.XLOOKUP($B300,'Category Averages'!$A$2:$A$4,'Category Averages'!$B$2:$B$4)</f>
        <v>0.45536272525520755</v>
      </c>
      <c r="H300" s="55" t="e">
        <f>_xlfn.XLOOKUP($A300,'Data 2024'!$A:$A,'Data 2024'!J:J)/_xlfn.XLOOKUP($B300,'Category Averages'!$A$2:$A$4,'Category Averages'!C$2:C$4)</f>
        <v>#DIV/0!</v>
      </c>
      <c r="I300" s="55">
        <f>_xlfn.XLOOKUP($A300,'Data 2024'!$A:$A,'Data 2024'!K:K)/_xlfn.XLOOKUP($B300,'Category Averages'!$A$2:$A$4,'Category Averages'!D$2:D$4)</f>
        <v>2.9622946149322007</v>
      </c>
      <c r="J300" s="63">
        <f>_xlfn.XLOOKUP($A300,'Data 2024'!$A:$A,'Data 2024'!P:P)/_xlfn.XLOOKUP($B300,'Category Averages'!$A$2:$A$4,'Category Averages'!E$2:E$4)</f>
        <v>0.13657170065446403</v>
      </c>
      <c r="K300" s="63">
        <f>_xlfn.XLOOKUP($A300,'Data 2024'!$A:$A,'Data 2024'!Q:Q)/_xlfn.XLOOKUP($B300,'Category Averages'!$A$2:$A$4,'Category Averages'!F$2:F$4)</f>
        <v>0.27430170721337366</v>
      </c>
    </row>
    <row r="301" spans="1:11" ht="18" customHeight="1">
      <c r="A301" s="56">
        <v>6986700</v>
      </c>
      <c r="B301" s="54" t="str">
        <f>_xlfn.XLOOKUP(A301,'Data 2024'!A:A,'Data 2024'!D:D)</f>
        <v>Region 1</v>
      </c>
      <c r="C301" s="58" t="s">
        <v>1257</v>
      </c>
      <c r="D301" s="58" t="s">
        <v>865</v>
      </c>
      <c r="E301" s="58" t="s">
        <v>1188</v>
      </c>
      <c r="F301" s="58" t="s">
        <v>1256</v>
      </c>
      <c r="G301" s="55">
        <f>_xlfn.XLOOKUP($A301,'Data 2024'!$A:$A,'Data 2024'!I:I)/_xlfn.XLOOKUP($B301,'Category Averages'!$A$2:$A$4,'Category Averages'!$B$2:$B$4)</f>
        <v>0.82107199001516218</v>
      </c>
      <c r="H301" s="55">
        <f>_xlfn.XLOOKUP($A301,'Data 2024'!$A:$A,'Data 2024'!J:J)/_xlfn.XLOOKUP($B301,'Category Averages'!$A$2:$A$4,'Category Averages'!C$2:C$4)</f>
        <v>0.50575574622272734</v>
      </c>
      <c r="I301" s="55">
        <f>_xlfn.XLOOKUP($A301,'Data 2024'!$A:$A,'Data 2024'!K:K)/_xlfn.XLOOKUP($B301,'Category Averages'!$A$2:$A$4,'Category Averages'!D$2:D$4)</f>
        <v>1.029994531989461</v>
      </c>
      <c r="J301" s="63">
        <f>_xlfn.XLOOKUP($A301,'Data 2024'!$A:$A,'Data 2024'!P:P)/_xlfn.XLOOKUP($B301,'Category Averages'!$A$2:$A$4,'Category Averages'!E$2:E$4)</f>
        <v>0.48853588749633114</v>
      </c>
      <c r="K301" s="63">
        <f>_xlfn.XLOOKUP($A301,'Data 2024'!$A:$A,'Data 2024'!Q:Q)/_xlfn.XLOOKUP($B301,'Category Averages'!$A$2:$A$4,'Category Averages'!F$2:F$4)</f>
        <v>0.2795273942934291</v>
      </c>
    </row>
    <row r="302" spans="1:11" ht="18" customHeight="1">
      <c r="A302" s="56">
        <v>6991100</v>
      </c>
      <c r="B302" s="54" t="str">
        <f>_xlfn.XLOOKUP(A302,'Data 2024'!A:A,'Data 2024'!D:D)</f>
        <v>Region 1</v>
      </c>
      <c r="C302" s="58" t="s">
        <v>1258</v>
      </c>
      <c r="D302" s="58" t="s">
        <v>865</v>
      </c>
      <c r="E302" s="58" t="s">
        <v>1188</v>
      </c>
      <c r="F302" s="58" t="s">
        <v>1250</v>
      </c>
      <c r="G302" s="55">
        <f>_xlfn.XLOOKUP($A302,'Data 2024'!$A:$A,'Data 2024'!I:I)/_xlfn.XLOOKUP($B302,'Category Averages'!$A$2:$A$4,'Category Averages'!$B$2:$B$4)</f>
        <v>1.0581041552191146</v>
      </c>
      <c r="H302" s="55">
        <f>_xlfn.XLOOKUP($A302,'Data 2024'!$A:$A,'Data 2024'!J:J)/_xlfn.XLOOKUP($B302,'Category Averages'!$A$2:$A$4,'Category Averages'!C$2:C$4)</f>
        <v>3.2436719766208215</v>
      </c>
      <c r="I302" s="55">
        <f>_xlfn.XLOOKUP($A302,'Data 2024'!$A:$A,'Data 2024'!K:K)/_xlfn.XLOOKUP($B302,'Category Averages'!$A$2:$A$4,'Category Averages'!D$2:D$4)</f>
        <v>1.3792036636793867</v>
      </c>
      <c r="J302" s="63">
        <f>_xlfn.XLOOKUP($A302,'Data 2024'!$A:$A,'Data 2024'!P:P)/_xlfn.XLOOKUP($B302,'Category Averages'!$A$2:$A$4,'Category Averages'!E$2:E$4)</f>
        <v>0.31832036678445746</v>
      </c>
      <c r="K302" s="63">
        <f>_xlfn.XLOOKUP($A302,'Data 2024'!$A:$A,'Data 2024'!Q:Q)/_xlfn.XLOOKUP($B302,'Category Averages'!$A$2:$A$4,'Category Averages'!F$2:F$4)</f>
        <v>2.8118217697025823E-2</v>
      </c>
    </row>
    <row r="303" spans="1:11" ht="18" customHeight="1">
      <c r="A303" s="56">
        <v>6991500</v>
      </c>
      <c r="B303" s="54" t="str">
        <f>_xlfn.XLOOKUP(A303,'Data 2024'!A:A,'Data 2024'!D:D)</f>
        <v>Region 12</v>
      </c>
      <c r="C303" s="58" t="s">
        <v>1259</v>
      </c>
      <c r="D303" s="58" t="s">
        <v>865</v>
      </c>
      <c r="E303" s="58" t="s">
        <v>1188</v>
      </c>
      <c r="F303" s="58" t="s">
        <v>1260</v>
      </c>
      <c r="G303" s="55">
        <f>_xlfn.XLOOKUP($A303,'Data 2024'!$A:$A,'Data 2024'!I:I)/_xlfn.XLOOKUP($B303,'Category Averages'!$A$2:$A$4,'Category Averages'!$B$2:$B$4)</f>
        <v>0.38662366203220183</v>
      </c>
      <c r="H303" s="55" t="e">
        <f>_xlfn.XLOOKUP($A303,'Data 2024'!$A:$A,'Data 2024'!J:J)/_xlfn.XLOOKUP($B303,'Category Averages'!$A$2:$A$4,'Category Averages'!C$2:C$4)</f>
        <v>#DIV/0!</v>
      </c>
      <c r="I303" s="55">
        <f>_xlfn.XLOOKUP($A303,'Data 2024'!$A:$A,'Data 2024'!K:K)/_xlfn.XLOOKUP($B303,'Category Averages'!$A$2:$A$4,'Category Averages'!D$2:D$4)</f>
        <v>1.4132670756821191</v>
      </c>
      <c r="J303" s="63">
        <f>_xlfn.XLOOKUP($A303,'Data 2024'!$A:$A,'Data 2024'!P:P)/_xlfn.XLOOKUP($B303,'Category Averages'!$A$2:$A$4,'Category Averages'!E$2:E$4)</f>
        <v>0.66459845124539818</v>
      </c>
      <c r="K303" s="63">
        <f>_xlfn.XLOOKUP($A303,'Data 2024'!$A:$A,'Data 2024'!Q:Q)/_xlfn.XLOOKUP($B303,'Category Averages'!$A$2:$A$4,'Category Averages'!F$2:F$4)</f>
        <v>0.41327397675350197</v>
      </c>
    </row>
    <row r="304" spans="1:11" ht="18" customHeight="1">
      <c r="A304" s="56">
        <v>6995200</v>
      </c>
      <c r="B304" s="54" t="str">
        <f>_xlfn.XLOOKUP(A304,'Data 2024'!A:A,'Data 2024'!D:D)</f>
        <v>Region 12</v>
      </c>
      <c r="C304" s="58" t="s">
        <v>1261</v>
      </c>
      <c r="D304" s="58" t="s">
        <v>865</v>
      </c>
      <c r="E304" s="58" t="s">
        <v>1188</v>
      </c>
      <c r="F304" s="58" t="s">
        <v>1262</v>
      </c>
      <c r="G304" s="55">
        <f>_xlfn.XLOOKUP($A304,'Data 2024'!$A:$A,'Data 2024'!I:I)/_xlfn.XLOOKUP($B304,'Category Averages'!$A$2:$A$4,'Category Averages'!$B$2:$B$4)</f>
        <v>0.70425210688216477</v>
      </c>
      <c r="H304" s="55" t="e">
        <f>_xlfn.XLOOKUP($A304,'Data 2024'!$A:$A,'Data 2024'!J:J)/_xlfn.XLOOKUP($B304,'Category Averages'!$A$2:$A$4,'Category Averages'!C$2:C$4)</f>
        <v>#DIV/0!</v>
      </c>
      <c r="I304" s="55">
        <f>_xlfn.XLOOKUP($A304,'Data 2024'!$A:$A,'Data 2024'!K:K)/_xlfn.XLOOKUP($B304,'Category Averages'!$A$2:$A$4,'Category Averages'!D$2:D$4)</f>
        <v>0</v>
      </c>
      <c r="J304" s="63">
        <f>_xlfn.XLOOKUP($A304,'Data 2024'!$A:$A,'Data 2024'!P:P)/_xlfn.XLOOKUP($B304,'Category Averages'!$A$2:$A$4,'Category Averages'!E$2:E$4)</f>
        <v>0</v>
      </c>
      <c r="K304" s="63">
        <f>_xlfn.XLOOKUP($A304,'Data 2024'!$A:$A,'Data 2024'!Q:Q)/_xlfn.XLOOKUP($B304,'Category Averages'!$A$2:$A$4,'Category Averages'!F$2:F$4)</f>
        <v>1.6446023170985223E-2</v>
      </c>
    </row>
    <row r="305" spans="1:11" ht="18" customHeight="1">
      <c r="A305" s="54">
        <v>6999600</v>
      </c>
      <c r="B305" s="54" t="str">
        <f>_xlfn.XLOOKUP(A305,'Data 2024'!A:A,'Data 2024'!D:D)</f>
        <v>Region 1</v>
      </c>
      <c r="C305" s="57" t="s">
        <v>1263</v>
      </c>
      <c r="D305" s="57" t="s">
        <v>865</v>
      </c>
      <c r="E305" s="57" t="s">
        <v>1188</v>
      </c>
      <c r="F305" s="57" t="s">
        <v>1250</v>
      </c>
      <c r="G305" s="55">
        <f>_xlfn.XLOOKUP($A305,'Data 2024'!$A:$A,'Data 2024'!I:I)/_xlfn.XLOOKUP($B305,'Category Averages'!$A$2:$A$4,'Category Averages'!$B$2:$B$4)</f>
        <v>1.0765370234696552</v>
      </c>
      <c r="H305" s="55">
        <f>_xlfn.XLOOKUP($A305,'Data 2024'!$A:$A,'Data 2024'!J:J)/_xlfn.XLOOKUP($B305,'Category Averages'!$A$2:$A$4,'Category Averages'!C$2:C$4)</f>
        <v>2.3941810069965399</v>
      </c>
      <c r="I305" s="55">
        <f>_xlfn.XLOOKUP($A305,'Data 2024'!$A:$A,'Data 2024'!K:K)/_xlfn.XLOOKUP($B305,'Category Averages'!$A$2:$A$4,'Category Averages'!D$2:D$4)</f>
        <v>0.92403294656306156</v>
      </c>
      <c r="J305" s="63">
        <f>_xlfn.XLOOKUP($A305,'Data 2024'!$A:$A,'Data 2024'!P:P)/_xlfn.XLOOKUP($B305,'Category Averages'!$A$2:$A$4,'Category Averages'!E$2:E$4)</f>
        <v>1.0877039344187742</v>
      </c>
      <c r="K305" s="63">
        <f>_xlfn.XLOOKUP($A305,'Data 2024'!$A:$A,'Data 2024'!Q:Q)/_xlfn.XLOOKUP($B305,'Category Averages'!$A$2:$A$4,'Category Averages'!F$2:F$4)</f>
        <v>0.34074612354370654</v>
      </c>
    </row>
    <row r="306" spans="1:11" ht="18" customHeight="1">
      <c r="A306" s="56">
        <v>7000700</v>
      </c>
      <c r="B306" s="54" t="str">
        <f>_xlfn.XLOOKUP(A306,'Data 2024'!A:A,'Data 2024'!D:D)</f>
        <v>Region 1</v>
      </c>
      <c r="C306" s="58" t="s">
        <v>1264</v>
      </c>
      <c r="D306" s="58" t="s">
        <v>865</v>
      </c>
      <c r="E306" s="58" t="s">
        <v>1188</v>
      </c>
      <c r="F306" s="58" t="s">
        <v>1260</v>
      </c>
      <c r="G306" s="55">
        <f>_xlfn.XLOOKUP($A306,'Data 2024'!$A:$A,'Data 2024'!I:I)/_xlfn.XLOOKUP($B306,'Category Averages'!$A$2:$A$4,'Category Averages'!$B$2:$B$4)</f>
        <v>0.74824186931936687</v>
      </c>
      <c r="H306" s="55">
        <f>_xlfn.XLOOKUP($A306,'Data 2024'!$A:$A,'Data 2024'!J:J)/_xlfn.XLOOKUP($B306,'Category Averages'!$A$2:$A$4,'Category Averages'!C$2:C$4)</f>
        <v>1.6257926995609122</v>
      </c>
      <c r="I306" s="55">
        <f>_xlfn.XLOOKUP($A306,'Data 2024'!$A:$A,'Data 2024'!K:K)/_xlfn.XLOOKUP($B306,'Category Averages'!$A$2:$A$4,'Category Averages'!D$2:D$4)</f>
        <v>1.302109854970867</v>
      </c>
      <c r="J306" s="63">
        <f>_xlfn.XLOOKUP($A306,'Data 2024'!$A:$A,'Data 2024'!P:P)/_xlfn.XLOOKUP($B306,'Category Averages'!$A$2:$A$4,'Category Averages'!E$2:E$4)</f>
        <v>0.612082850981299</v>
      </c>
      <c r="K306" s="63">
        <f>_xlfn.XLOOKUP($A306,'Data 2024'!$A:$A,'Data 2024'!Q:Q)/_xlfn.XLOOKUP($B306,'Category Averages'!$A$2:$A$4,'Category Averages'!F$2:F$4)</f>
        <v>0.36925266412664443</v>
      </c>
    </row>
    <row r="307" spans="1:11" ht="18" customHeight="1">
      <c r="A307" s="56">
        <v>7002900</v>
      </c>
      <c r="B307" s="54" t="str">
        <f>_xlfn.XLOOKUP(A307,'Data 2024'!A:A,'Data 2024'!D:D)</f>
        <v>Region 2</v>
      </c>
      <c r="C307" s="58" t="s">
        <v>1265</v>
      </c>
      <c r="D307" s="58" t="s">
        <v>865</v>
      </c>
      <c r="E307" s="58" t="s">
        <v>1188</v>
      </c>
      <c r="F307" s="58" t="s">
        <v>1252</v>
      </c>
      <c r="G307" s="55">
        <f>_xlfn.XLOOKUP($A307,'Data 2024'!$A:$A,'Data 2024'!I:I)/_xlfn.XLOOKUP($B307,'Category Averages'!$A$2:$A$4,'Category Averages'!$B$2:$B$4)</f>
        <v>0.55668902466218206</v>
      </c>
      <c r="H307" s="55">
        <f>_xlfn.XLOOKUP($A307,'Data 2024'!$A:$A,'Data 2024'!J:J)/_xlfn.XLOOKUP($B307,'Category Averages'!$A$2:$A$4,'Category Averages'!C$2:C$4)</f>
        <v>0.64936548955117113</v>
      </c>
      <c r="I307" s="55">
        <f>_xlfn.XLOOKUP($A307,'Data 2024'!$A:$A,'Data 2024'!K:K)/_xlfn.XLOOKUP($B307,'Category Averages'!$A$2:$A$4,'Category Averages'!D$2:D$4)</f>
        <v>1.157924116753464</v>
      </c>
      <c r="J307" s="63">
        <f>_xlfn.XLOOKUP($A307,'Data 2024'!$A:$A,'Data 2024'!P:P)/_xlfn.XLOOKUP($B307,'Category Averages'!$A$2:$A$4,'Category Averages'!E$2:E$4)</f>
        <v>0.40291769925723325</v>
      </c>
      <c r="K307" s="63">
        <f>_xlfn.XLOOKUP($A307,'Data 2024'!$A:$A,'Data 2024'!Q:Q)/_xlfn.XLOOKUP($B307,'Category Averages'!$A$2:$A$4,'Category Averages'!F$2:F$4)</f>
        <v>0.23742127751088932</v>
      </c>
    </row>
    <row r="308" spans="1:11" ht="18" customHeight="1">
      <c r="A308" s="56">
        <v>7375200</v>
      </c>
      <c r="B308" s="54" t="str">
        <f>_xlfn.XLOOKUP(A308,'Data 2024'!A:A,'Data 2024'!D:D)</f>
        <v>Region 1</v>
      </c>
      <c r="C308" s="58" t="s">
        <v>1266</v>
      </c>
      <c r="D308" s="58" t="s">
        <v>808</v>
      </c>
      <c r="E308" s="58" t="s">
        <v>809</v>
      </c>
      <c r="F308" s="58" t="s">
        <v>1267</v>
      </c>
      <c r="G308" s="55">
        <f>_xlfn.XLOOKUP($A308,'Data 2024'!$A:$A,'Data 2024'!I:I)/_xlfn.XLOOKUP($B308,'Category Averages'!$A$2:$A$4,'Category Averages'!$B$2:$B$4)</f>
        <v>0.66775466272566975</v>
      </c>
      <c r="H308" s="55">
        <f>_xlfn.XLOOKUP($A308,'Data 2024'!$A:$A,'Data 2024'!J:J)/_xlfn.XLOOKUP($B308,'Category Averages'!$A$2:$A$4,'Category Averages'!C$2:C$4)</f>
        <v>0</v>
      </c>
      <c r="I308" s="55">
        <f>_xlfn.XLOOKUP($A308,'Data 2024'!$A:$A,'Data 2024'!K:K)/_xlfn.XLOOKUP($B308,'Category Averages'!$A$2:$A$4,'Category Averages'!D$2:D$4)</f>
        <v>0.6210483307670458</v>
      </c>
      <c r="J308" s="63">
        <f>_xlfn.XLOOKUP($A308,'Data 2024'!$A:$A,'Data 2024'!P:P)/_xlfn.XLOOKUP($B308,'Category Averages'!$A$2:$A$4,'Category Averages'!E$2:E$4)</f>
        <v>0.79320393757964658</v>
      </c>
      <c r="K308" s="63">
        <f>_xlfn.XLOOKUP($A308,'Data 2024'!$A:$A,'Data 2024'!Q:Q)/_xlfn.XLOOKUP($B308,'Category Averages'!$A$2:$A$4,'Category Averages'!F$2:F$4)</f>
        <v>1.2544575111787233</v>
      </c>
    </row>
    <row r="309" spans="1:11" ht="18" customHeight="1">
      <c r="A309" s="56">
        <v>7383200</v>
      </c>
      <c r="B309" s="54" t="str">
        <f>_xlfn.XLOOKUP(A309,'Data 2024'!A:A,'Data 2024'!D:D)</f>
        <v>Region 2</v>
      </c>
      <c r="C309" s="58" t="s">
        <v>1268</v>
      </c>
      <c r="D309" s="58" t="s">
        <v>808</v>
      </c>
      <c r="E309" s="58" t="s">
        <v>809</v>
      </c>
      <c r="F309" s="58" t="s">
        <v>817</v>
      </c>
      <c r="G309" s="55">
        <f>_xlfn.XLOOKUP($A309,'Data 2024'!$A:$A,'Data 2024'!I:I)/_xlfn.XLOOKUP($B309,'Category Averages'!$A$2:$A$4,'Category Averages'!$B$2:$B$4)</f>
        <v>0.77123467139370294</v>
      </c>
      <c r="H309" s="55">
        <f>_xlfn.XLOOKUP($A309,'Data 2024'!$A:$A,'Data 2024'!J:J)/_xlfn.XLOOKUP($B309,'Category Averages'!$A$2:$A$4,'Category Averages'!C$2:C$4)</f>
        <v>0.8333787781951546</v>
      </c>
      <c r="I309" s="55">
        <f>_xlfn.XLOOKUP($A309,'Data 2024'!$A:$A,'Data 2024'!K:K)/_xlfn.XLOOKUP($B309,'Category Averages'!$A$2:$A$4,'Category Averages'!D$2:D$4)</f>
        <v>1.098753678705779</v>
      </c>
      <c r="J309" s="63">
        <f>_xlfn.XLOOKUP($A309,'Data 2024'!$A:$A,'Data 2024'!P:P)/_xlfn.XLOOKUP($B309,'Category Averages'!$A$2:$A$4,'Category Averages'!E$2:E$4)</f>
        <v>0.82662224182340549</v>
      </c>
      <c r="K309" s="63">
        <f>_xlfn.XLOOKUP($A309,'Data 2024'!$A:$A,'Data 2024'!Q:Q)/_xlfn.XLOOKUP($B309,'Category Averages'!$A$2:$A$4,'Category Averages'!F$2:F$4)</f>
        <v>1.2145337224562973</v>
      </c>
    </row>
    <row r="310" spans="1:11" ht="18" customHeight="1">
      <c r="A310" s="56">
        <v>7387200</v>
      </c>
      <c r="B310" s="54" t="str">
        <f>_xlfn.XLOOKUP(A310,'Data 2024'!A:A,'Data 2024'!D:D)</f>
        <v>Region 1</v>
      </c>
      <c r="C310" s="58" t="s">
        <v>1269</v>
      </c>
      <c r="D310" s="58" t="s">
        <v>808</v>
      </c>
      <c r="E310" s="58" t="s">
        <v>809</v>
      </c>
      <c r="F310" s="58" t="s">
        <v>1267</v>
      </c>
      <c r="G310" s="55">
        <f>_xlfn.XLOOKUP($A310,'Data 2024'!$A:$A,'Data 2024'!I:I)/_xlfn.XLOOKUP($B310,'Category Averages'!$A$2:$A$4,'Category Averages'!$B$2:$B$4)</f>
        <v>0.77896075755114902</v>
      </c>
      <c r="H310" s="55">
        <f>_xlfn.XLOOKUP($A310,'Data 2024'!$A:$A,'Data 2024'!J:J)/_xlfn.XLOOKUP($B310,'Category Averages'!$A$2:$A$4,'Category Averages'!C$2:C$4)</f>
        <v>0</v>
      </c>
      <c r="I310" s="55">
        <f>_xlfn.XLOOKUP($A310,'Data 2024'!$A:$A,'Data 2024'!K:K)/_xlfn.XLOOKUP($B310,'Category Averages'!$A$2:$A$4,'Category Averages'!D$2:D$4)</f>
        <v>0.79730003624087575</v>
      </c>
      <c r="J310" s="63">
        <f>_xlfn.XLOOKUP($A310,'Data 2024'!$A:$A,'Data 2024'!P:P)/_xlfn.XLOOKUP($B310,'Category Averages'!$A$2:$A$4,'Category Averages'!E$2:E$4)</f>
        <v>0.49754977467977984</v>
      </c>
      <c r="K310" s="63">
        <f>_xlfn.XLOOKUP($A310,'Data 2024'!$A:$A,'Data 2024'!Q:Q)/_xlfn.XLOOKUP($B310,'Category Averages'!$A$2:$A$4,'Category Averages'!F$2:F$4)</f>
        <v>1.4713219198598162</v>
      </c>
    </row>
    <row r="311" spans="1:11" ht="18" customHeight="1">
      <c r="A311" s="56">
        <v>7391200</v>
      </c>
      <c r="B311" s="54" t="str">
        <f>_xlfn.XLOOKUP(A311,'Data 2024'!A:A,'Data 2024'!D:D)</f>
        <v>Region 12</v>
      </c>
      <c r="C311" s="58" t="s">
        <v>1270</v>
      </c>
      <c r="D311" s="58" t="s">
        <v>808</v>
      </c>
      <c r="E311" s="58" t="s">
        <v>809</v>
      </c>
      <c r="F311" s="58" t="s">
        <v>841</v>
      </c>
      <c r="G311" s="55">
        <f>_xlfn.XLOOKUP($A311,'Data 2024'!$A:$A,'Data 2024'!I:I)/_xlfn.XLOOKUP($B311,'Category Averages'!$A$2:$A$4,'Category Averages'!$B$2:$B$4)</f>
        <v>1.206882928745491</v>
      </c>
      <c r="H311" s="55" t="e">
        <f>_xlfn.XLOOKUP($A311,'Data 2024'!$A:$A,'Data 2024'!J:J)/_xlfn.XLOOKUP($B311,'Category Averages'!$A$2:$A$4,'Category Averages'!C$2:C$4)</f>
        <v>#DIV/0!</v>
      </c>
      <c r="I311" s="55">
        <f>_xlfn.XLOOKUP($A311,'Data 2024'!$A:$A,'Data 2024'!K:K)/_xlfn.XLOOKUP($B311,'Category Averages'!$A$2:$A$4,'Category Averages'!D$2:D$4)</f>
        <v>2.7342701430831018</v>
      </c>
      <c r="J311" s="63">
        <f>_xlfn.XLOOKUP($A311,'Data 2024'!$A:$A,'Data 2024'!P:P)/_xlfn.XLOOKUP($B311,'Category Averages'!$A$2:$A$4,'Category Averages'!E$2:E$4)</f>
        <v>0.4999267312461288</v>
      </c>
      <c r="K311" s="63">
        <f>_xlfn.XLOOKUP($A311,'Data 2024'!$A:$A,'Data 2024'!Q:Q)/_xlfn.XLOOKUP($B311,'Category Averages'!$A$2:$A$4,'Category Averages'!F$2:F$4)</f>
        <v>1.9402445033278255</v>
      </c>
    </row>
    <row r="312" spans="1:11" ht="18" customHeight="1">
      <c r="A312" s="56">
        <v>7395200</v>
      </c>
      <c r="B312" s="54" t="str">
        <f>_xlfn.XLOOKUP(A312,'Data 2024'!A:A,'Data 2024'!D:D)</f>
        <v>Region 2</v>
      </c>
      <c r="C312" s="58" t="s">
        <v>1271</v>
      </c>
      <c r="D312" s="58" t="s">
        <v>808</v>
      </c>
      <c r="E312" s="58" t="s">
        <v>809</v>
      </c>
      <c r="F312" s="58" t="s">
        <v>810</v>
      </c>
      <c r="G312" s="55">
        <f>_xlfn.XLOOKUP($A312,'Data 2024'!$A:$A,'Data 2024'!I:I)/_xlfn.XLOOKUP($B312,'Category Averages'!$A$2:$A$4,'Category Averages'!$B$2:$B$4)</f>
        <v>0.83871459257184278</v>
      </c>
      <c r="H312" s="55">
        <f>_xlfn.XLOOKUP($A312,'Data 2024'!$A:$A,'Data 2024'!J:J)/_xlfn.XLOOKUP($B312,'Category Averages'!$A$2:$A$4,'Category Averages'!C$2:C$4)</f>
        <v>1.0464651477854978</v>
      </c>
      <c r="I312" s="55">
        <f>_xlfn.XLOOKUP($A312,'Data 2024'!$A:$A,'Data 2024'!K:K)/_xlfn.XLOOKUP($B312,'Category Averages'!$A$2:$A$4,'Category Averages'!D$2:D$4)</f>
        <v>1.0164959820618109</v>
      </c>
      <c r="J312" s="63">
        <f>_xlfn.XLOOKUP($A312,'Data 2024'!$A:$A,'Data 2024'!P:P)/_xlfn.XLOOKUP($B312,'Category Averages'!$A$2:$A$4,'Category Averages'!E$2:E$4)</f>
        <v>0.91270548220483017</v>
      </c>
      <c r="K312" s="63">
        <f>_xlfn.XLOOKUP($A312,'Data 2024'!$A:$A,'Data 2024'!Q:Q)/_xlfn.XLOOKUP($B312,'Category Averages'!$A$2:$A$4,'Category Averages'!F$2:F$4)</f>
        <v>0.74708389236814177</v>
      </c>
    </row>
    <row r="313" spans="1:11" ht="18" customHeight="1">
      <c r="A313" s="56">
        <v>7399200</v>
      </c>
      <c r="B313" s="54" t="str">
        <f>_xlfn.XLOOKUP(A313,'Data 2024'!A:A,'Data 2024'!D:D)</f>
        <v>Region 1</v>
      </c>
      <c r="C313" s="58" t="s">
        <v>1272</v>
      </c>
      <c r="D313" s="58" t="s">
        <v>808</v>
      </c>
      <c r="E313" s="58" t="s">
        <v>838</v>
      </c>
      <c r="F313" s="58" t="s">
        <v>1273</v>
      </c>
      <c r="G313" s="55">
        <f>_xlfn.XLOOKUP($A313,'Data 2024'!$A:$A,'Data 2024'!I:I)/_xlfn.XLOOKUP($B313,'Category Averages'!$A$2:$A$4,'Category Averages'!$B$2:$B$4)</f>
        <v>0.81370959182350566</v>
      </c>
      <c r="H313" s="55">
        <f>_xlfn.XLOOKUP($A313,'Data 2024'!$A:$A,'Data 2024'!J:J)/_xlfn.XLOOKUP($B313,'Category Averages'!$A$2:$A$4,'Category Averages'!C$2:C$4)</f>
        <v>1.9462465341976618</v>
      </c>
      <c r="I313" s="55">
        <f>_xlfn.XLOOKUP($A313,'Data 2024'!$A:$A,'Data 2024'!K:K)/_xlfn.XLOOKUP($B313,'Category Averages'!$A$2:$A$4,'Category Averages'!D$2:D$4)</f>
        <v>0.97736924310164641</v>
      </c>
      <c r="J313" s="63">
        <f>_xlfn.XLOOKUP($A313,'Data 2024'!$A:$A,'Data 2024'!P:P)/_xlfn.XLOOKUP($B313,'Category Averages'!$A$2:$A$4,'Category Averages'!E$2:E$4)</f>
        <v>0.9351646844187993</v>
      </c>
      <c r="K313" s="63">
        <f>_xlfn.XLOOKUP($A313,'Data 2024'!$A:$A,'Data 2024'!Q:Q)/_xlfn.XLOOKUP($B313,'Category Averages'!$A$2:$A$4,'Category Averages'!F$2:F$4)</f>
        <v>1.6677056266434998</v>
      </c>
    </row>
    <row r="314" spans="1:11" ht="18" customHeight="1">
      <c r="A314" s="56">
        <v>7403200</v>
      </c>
      <c r="B314" s="54" t="str">
        <f>_xlfn.XLOOKUP(A314,'Data 2024'!A:A,'Data 2024'!D:D)</f>
        <v>Region 2</v>
      </c>
      <c r="C314" s="58" t="s">
        <v>1274</v>
      </c>
      <c r="D314" s="58" t="s">
        <v>808</v>
      </c>
      <c r="E314" s="58" t="s">
        <v>821</v>
      </c>
      <c r="F314" s="58" t="s">
        <v>828</v>
      </c>
      <c r="G314" s="55">
        <f>_xlfn.XLOOKUP($A314,'Data 2024'!$A:$A,'Data 2024'!I:I)/_xlfn.XLOOKUP($B314,'Category Averages'!$A$2:$A$4,'Category Averages'!$B$2:$B$4)</f>
        <v>0.66356653792742204</v>
      </c>
      <c r="H314" s="55">
        <f>_xlfn.XLOOKUP($A314,'Data 2024'!$A:$A,'Data 2024'!J:J)/_xlfn.XLOOKUP($B314,'Category Averages'!$A$2:$A$4,'Category Averages'!C$2:C$4)</f>
        <v>0.78871036787264703</v>
      </c>
      <c r="I314" s="55">
        <f>_xlfn.XLOOKUP($A314,'Data 2024'!$A:$A,'Data 2024'!K:K)/_xlfn.XLOOKUP($B314,'Category Averages'!$A$2:$A$4,'Category Averages'!D$2:D$4)</f>
        <v>0.73519377831821731</v>
      </c>
      <c r="J314" s="63">
        <f>_xlfn.XLOOKUP($A314,'Data 2024'!$A:$A,'Data 2024'!P:P)/_xlfn.XLOOKUP($B314,'Category Averages'!$A$2:$A$4,'Category Averages'!E$2:E$4)</f>
        <v>1.5987830325931216</v>
      </c>
      <c r="K314" s="63">
        <f>_xlfn.XLOOKUP($A314,'Data 2024'!$A:$A,'Data 2024'!Q:Q)/_xlfn.XLOOKUP($B314,'Category Averages'!$A$2:$A$4,'Category Averages'!F$2:F$4)</f>
        <v>0.61616856494230643</v>
      </c>
    </row>
    <row r="315" spans="1:11" ht="18" customHeight="1">
      <c r="A315" s="56">
        <v>7407200</v>
      </c>
      <c r="B315" s="54" t="str">
        <f>_xlfn.XLOOKUP(A315,'Data 2024'!A:A,'Data 2024'!D:D)</f>
        <v>Region 1</v>
      </c>
      <c r="C315" s="58" t="s">
        <v>1275</v>
      </c>
      <c r="D315" s="58" t="s">
        <v>808</v>
      </c>
      <c r="E315" s="58" t="s">
        <v>809</v>
      </c>
      <c r="F315" s="58" t="s">
        <v>810</v>
      </c>
      <c r="G315" s="55">
        <f>_xlfn.XLOOKUP($A315,'Data 2024'!$A:$A,'Data 2024'!I:I)/_xlfn.XLOOKUP($B315,'Category Averages'!$A$2:$A$4,'Category Averages'!$B$2:$B$4)</f>
        <v>0.64625663677996703</v>
      </c>
      <c r="H315" s="55">
        <f>_xlfn.XLOOKUP($A315,'Data 2024'!$A:$A,'Data 2024'!J:J)/_xlfn.XLOOKUP($B315,'Category Averages'!$A$2:$A$4,'Category Averages'!C$2:C$4)</f>
        <v>1.569572326437791</v>
      </c>
      <c r="I315" s="55">
        <f>_xlfn.XLOOKUP($A315,'Data 2024'!$A:$A,'Data 2024'!K:K)/_xlfn.XLOOKUP($B315,'Category Averages'!$A$2:$A$4,'Category Averages'!D$2:D$4)</f>
        <v>0.71810887887723973</v>
      </c>
      <c r="J315" s="63">
        <f>_xlfn.XLOOKUP($A315,'Data 2024'!$A:$A,'Data 2024'!P:P)/_xlfn.XLOOKUP($B315,'Category Averages'!$A$2:$A$4,'Category Averages'!E$2:E$4)</f>
        <v>1.6216786905947644</v>
      </c>
      <c r="K315" s="63">
        <f>_xlfn.XLOOKUP($A315,'Data 2024'!$A:$A,'Data 2024'!Q:Q)/_xlfn.XLOOKUP($B315,'Category Averages'!$A$2:$A$4,'Category Averages'!F$2:F$4)</f>
        <v>0.67971787261713024</v>
      </c>
    </row>
    <row r="316" spans="1:11" ht="18" customHeight="1">
      <c r="A316" s="54">
        <v>7413200</v>
      </c>
      <c r="B316" s="54" t="str">
        <f>_xlfn.XLOOKUP(A316,'Data 2024'!A:A,'Data 2024'!D:D)</f>
        <v>Region 1</v>
      </c>
      <c r="C316" s="57" t="s">
        <v>1276</v>
      </c>
      <c r="D316" s="57" t="s">
        <v>808</v>
      </c>
      <c r="E316" s="57" t="s">
        <v>838</v>
      </c>
      <c r="F316" s="57" t="s">
        <v>846</v>
      </c>
      <c r="G316" s="55">
        <f>_xlfn.XLOOKUP($A316,'Data 2024'!$A:$A,'Data 2024'!I:I)/_xlfn.XLOOKUP($B316,'Category Averages'!$A$2:$A$4,'Category Averages'!$B$2:$B$4)</f>
        <v>0.81390178312694006</v>
      </c>
      <c r="H316" s="55">
        <f>_xlfn.XLOOKUP($A316,'Data 2024'!$A:$A,'Data 2024'!J:J)/_xlfn.XLOOKUP($B316,'Category Averages'!$A$2:$A$4,'Category Averages'!C$2:C$4)</f>
        <v>1.324420042614368</v>
      </c>
      <c r="I316" s="55">
        <f>_xlfn.XLOOKUP($A316,'Data 2024'!$A:$A,'Data 2024'!K:K)/_xlfn.XLOOKUP($B316,'Category Averages'!$A$2:$A$4,'Category Averages'!D$2:D$4)</f>
        <v>0.94591739495698823</v>
      </c>
      <c r="J316" s="63">
        <f>_xlfn.XLOOKUP($A316,'Data 2024'!$A:$A,'Data 2024'!P:P)/_xlfn.XLOOKUP($B316,'Category Averages'!$A$2:$A$4,'Category Averages'!E$2:E$4)</f>
        <v>1.3334337684597402</v>
      </c>
      <c r="K316" s="63">
        <f>_xlfn.XLOOKUP($A316,'Data 2024'!$A:$A,'Data 2024'!Q:Q)/_xlfn.XLOOKUP($B316,'Category Averages'!$A$2:$A$4,'Category Averages'!F$2:F$4)</f>
        <v>1.9382514758800964</v>
      </c>
    </row>
    <row r="317" spans="1:11" ht="18" customHeight="1">
      <c r="A317" s="56">
        <v>7415200</v>
      </c>
      <c r="B317" s="54" t="str">
        <f>_xlfn.XLOOKUP(A317,'Data 2024'!A:A,'Data 2024'!D:D)</f>
        <v>Region 2</v>
      </c>
      <c r="C317" s="58" t="s">
        <v>1277</v>
      </c>
      <c r="D317" s="58" t="s">
        <v>808</v>
      </c>
      <c r="E317" s="58" t="s">
        <v>821</v>
      </c>
      <c r="F317" s="58" t="s">
        <v>1278</v>
      </c>
      <c r="G317" s="55">
        <f>_xlfn.XLOOKUP($A317,'Data 2024'!$A:$A,'Data 2024'!I:I)/_xlfn.XLOOKUP($B317,'Category Averages'!$A$2:$A$4,'Category Averages'!$B$2:$B$4)</f>
        <v>0.59390810134827754</v>
      </c>
      <c r="H317" s="55">
        <f>_xlfn.XLOOKUP($A317,'Data 2024'!$A:$A,'Data 2024'!J:J)/_xlfn.XLOOKUP($B317,'Category Averages'!$A$2:$A$4,'Category Averages'!C$2:C$4)</f>
        <v>0.62505949310248965</v>
      </c>
      <c r="I317" s="55">
        <f>_xlfn.XLOOKUP($A317,'Data 2024'!$A:$A,'Data 2024'!K:K)/_xlfn.XLOOKUP($B317,'Category Averages'!$A$2:$A$4,'Category Averages'!D$2:D$4)</f>
        <v>0.72542696527063344</v>
      </c>
      <c r="J317" s="63">
        <f>_xlfn.XLOOKUP($A317,'Data 2024'!$A:$A,'Data 2024'!P:P)/_xlfn.XLOOKUP($B317,'Category Averages'!$A$2:$A$4,'Category Averages'!E$2:E$4)</f>
        <v>0.99107846443007408</v>
      </c>
      <c r="K317" s="63">
        <f>_xlfn.XLOOKUP($A317,'Data 2024'!$A:$A,'Data 2024'!Q:Q)/_xlfn.XLOOKUP($B317,'Category Averages'!$A$2:$A$4,'Category Averages'!F$2:F$4)</f>
        <v>1.1763481461516827</v>
      </c>
    </row>
    <row r="318" spans="1:11" ht="18" customHeight="1">
      <c r="A318" s="54">
        <v>7423200</v>
      </c>
      <c r="B318" s="54" t="str">
        <f>_xlfn.XLOOKUP(A318,'Data 2024'!A:A,'Data 2024'!D:D)</f>
        <v>Region 2</v>
      </c>
      <c r="C318" s="57" t="s">
        <v>1279</v>
      </c>
      <c r="D318" s="57" t="s">
        <v>808</v>
      </c>
      <c r="E318" s="57" t="s">
        <v>821</v>
      </c>
      <c r="F318" s="57" t="s">
        <v>839</v>
      </c>
      <c r="G318" s="55">
        <f>_xlfn.XLOOKUP($A318,'Data 2024'!$A:$A,'Data 2024'!I:I)/_xlfn.XLOOKUP($B318,'Category Averages'!$A$2:$A$4,'Category Averages'!$B$2:$B$4)</f>
        <v>0.47100161685908765</v>
      </c>
      <c r="H318" s="55">
        <f>_xlfn.XLOOKUP($A318,'Data 2024'!$A:$A,'Data 2024'!J:J)/_xlfn.XLOOKUP($B318,'Category Averages'!$A$2:$A$4,'Category Averages'!C$2:C$4)</f>
        <v>0.54064551143174888</v>
      </c>
      <c r="I318" s="55">
        <f>_xlfn.XLOOKUP($A318,'Data 2024'!$A:$A,'Data 2024'!K:K)/_xlfn.XLOOKUP($B318,'Category Averages'!$A$2:$A$4,'Category Averages'!D$2:D$4)</f>
        <v>0.51736783760982119</v>
      </c>
      <c r="J318" s="63">
        <f>_xlfn.XLOOKUP($A318,'Data 2024'!$A:$A,'Data 2024'!P:P)/_xlfn.XLOOKUP($B318,'Category Averages'!$A$2:$A$4,'Category Averages'!E$2:E$4)</f>
        <v>1.0799970983386631</v>
      </c>
      <c r="K318" s="63">
        <f>_xlfn.XLOOKUP($A318,'Data 2024'!$A:$A,'Data 2024'!Q:Q)/_xlfn.XLOOKUP($B318,'Category Averages'!$A$2:$A$4,'Category Averages'!F$2:F$4)</f>
        <v>0.63519573213697289</v>
      </c>
    </row>
    <row r="319" spans="1:11" ht="18" customHeight="1">
      <c r="A319" s="56">
        <v>7427200</v>
      </c>
      <c r="B319" s="54" t="str">
        <f>_xlfn.XLOOKUP(A319,'Data 2024'!A:A,'Data 2024'!D:D)</f>
        <v>Region 1</v>
      </c>
      <c r="C319" s="58" t="s">
        <v>1280</v>
      </c>
      <c r="D319" s="58" t="s">
        <v>808</v>
      </c>
      <c r="E319" s="58" t="s">
        <v>809</v>
      </c>
      <c r="F319" s="58" t="s">
        <v>819</v>
      </c>
      <c r="G319" s="55">
        <f>_xlfn.XLOOKUP($A319,'Data 2024'!$A:$A,'Data 2024'!I:I)/_xlfn.XLOOKUP($B319,'Category Averages'!$A$2:$A$4,'Category Averages'!$B$2:$B$4)</f>
        <v>0.57864204307328859</v>
      </c>
      <c r="H319" s="55">
        <f>_xlfn.XLOOKUP($A319,'Data 2024'!$A:$A,'Data 2024'!J:J)/_xlfn.XLOOKUP($B319,'Category Averages'!$A$2:$A$4,'Category Averages'!C$2:C$4)</f>
        <v>0</v>
      </c>
      <c r="I319" s="55">
        <f>_xlfn.XLOOKUP($A319,'Data 2024'!$A:$A,'Data 2024'!K:K)/_xlfn.XLOOKUP($B319,'Category Averages'!$A$2:$A$4,'Category Averages'!D$2:D$4)</f>
        <v>0.8710666021130018</v>
      </c>
      <c r="J319" s="63">
        <f>_xlfn.XLOOKUP($A319,'Data 2024'!$A:$A,'Data 2024'!P:P)/_xlfn.XLOOKUP($B319,'Category Averages'!$A$2:$A$4,'Category Averages'!E$2:E$4)</f>
        <v>0.6997565437372526</v>
      </c>
      <c r="K319" s="63">
        <f>_xlfn.XLOOKUP($A319,'Data 2024'!$A:$A,'Data 2024'!Q:Q)/_xlfn.XLOOKUP($B319,'Category Averages'!$A$2:$A$4,'Category Averages'!F$2:F$4)</f>
        <v>2.299822960169446</v>
      </c>
    </row>
    <row r="320" spans="1:11" ht="18" customHeight="1">
      <c r="A320" s="54">
        <v>7435200</v>
      </c>
      <c r="B320" s="54" t="str">
        <f>_xlfn.XLOOKUP(A320,'Data 2024'!A:A,'Data 2024'!D:D)</f>
        <v>Region 2</v>
      </c>
      <c r="C320" s="57" t="s">
        <v>1281</v>
      </c>
      <c r="D320" s="57" t="s">
        <v>808</v>
      </c>
      <c r="E320" s="57" t="s">
        <v>809</v>
      </c>
      <c r="F320" s="57" t="s">
        <v>825</v>
      </c>
      <c r="G320" s="55">
        <f>_xlfn.XLOOKUP($A320,'Data 2024'!$A:$A,'Data 2024'!I:I)/_xlfn.XLOOKUP($B320,'Category Averages'!$A$2:$A$4,'Category Averages'!$B$2:$B$4)</f>
        <v>0.73287112491543593</v>
      </c>
      <c r="H320" s="55">
        <f>_xlfn.XLOOKUP($A320,'Data 2024'!$A:$A,'Data 2024'!J:J)/_xlfn.XLOOKUP($B320,'Category Averages'!$A$2:$A$4,'Category Averages'!C$2:C$4)</f>
        <v>1.328310275546555</v>
      </c>
      <c r="I320" s="55">
        <f>_xlfn.XLOOKUP($A320,'Data 2024'!$A:$A,'Data 2024'!K:K)/_xlfn.XLOOKUP($B320,'Category Averages'!$A$2:$A$4,'Category Averages'!D$2:D$4)</f>
        <v>1.0592945578337731</v>
      </c>
      <c r="J320" s="63">
        <f>_xlfn.XLOOKUP($A320,'Data 2024'!$A:$A,'Data 2024'!P:P)/_xlfn.XLOOKUP($B320,'Category Averages'!$A$2:$A$4,'Category Averages'!E$2:E$4)</f>
        <v>1.5197097862861475</v>
      </c>
      <c r="K320" s="63">
        <f>_xlfn.XLOOKUP($A320,'Data 2024'!$A:$A,'Data 2024'!Q:Q)/_xlfn.XLOOKUP($B320,'Category Averages'!$A$2:$A$4,'Category Averages'!F$2:F$4)</f>
        <v>1.9665504610455729</v>
      </c>
    </row>
    <row r="321" spans="1:11" ht="18" customHeight="1">
      <c r="A321" s="56">
        <v>7439200</v>
      </c>
      <c r="B321" s="54" t="str">
        <f>_xlfn.XLOOKUP(A321,'Data 2024'!A:A,'Data 2024'!D:D)</f>
        <v>Region 2</v>
      </c>
      <c r="C321" s="58" t="s">
        <v>1282</v>
      </c>
      <c r="D321" s="58" t="s">
        <v>808</v>
      </c>
      <c r="E321" s="58" t="s">
        <v>838</v>
      </c>
      <c r="F321" s="58" t="s">
        <v>1273</v>
      </c>
      <c r="G321" s="55">
        <f>_xlfn.XLOOKUP($A321,'Data 2024'!$A:$A,'Data 2024'!I:I)/_xlfn.XLOOKUP($B321,'Category Averages'!$A$2:$A$4,'Category Averages'!$B$2:$B$4)</f>
        <v>0.79654685776360334</v>
      </c>
      <c r="H321" s="55">
        <f>_xlfn.XLOOKUP($A321,'Data 2024'!$A:$A,'Data 2024'!J:J)/_xlfn.XLOOKUP($B321,'Category Averages'!$A$2:$A$4,'Category Averages'!C$2:C$4)</f>
        <v>0.69872230317675488</v>
      </c>
      <c r="I321" s="55">
        <f>_xlfn.XLOOKUP($A321,'Data 2024'!$A:$A,'Data 2024'!K:K)/_xlfn.XLOOKUP($B321,'Category Averages'!$A$2:$A$4,'Category Averages'!D$2:D$4)</f>
        <v>0.79666141850908134</v>
      </c>
      <c r="J321" s="63">
        <f>_xlfn.XLOOKUP($A321,'Data 2024'!$A:$A,'Data 2024'!P:P)/_xlfn.XLOOKUP($B321,'Category Averages'!$A$2:$A$4,'Category Averages'!E$2:E$4)</f>
        <v>1.4623795366277998</v>
      </c>
      <c r="K321" s="63">
        <f>_xlfn.XLOOKUP($A321,'Data 2024'!$A:$A,'Data 2024'!Q:Q)/_xlfn.XLOOKUP($B321,'Category Averages'!$A$2:$A$4,'Category Averages'!F$2:F$4)</f>
        <v>4.082089356043487</v>
      </c>
    </row>
    <row r="322" spans="1:11" ht="18" customHeight="1">
      <c r="A322" s="56">
        <v>7443200</v>
      </c>
      <c r="B322" s="54" t="str">
        <f>_xlfn.XLOOKUP(A322,'Data 2024'!A:A,'Data 2024'!D:D)</f>
        <v>Region 1</v>
      </c>
      <c r="C322" s="58" t="s">
        <v>1283</v>
      </c>
      <c r="D322" s="58" t="s">
        <v>808</v>
      </c>
      <c r="E322" s="58" t="s">
        <v>838</v>
      </c>
      <c r="F322" s="58" t="s">
        <v>858</v>
      </c>
      <c r="G322" s="55">
        <f>_xlfn.XLOOKUP($A322,'Data 2024'!$A:$A,'Data 2024'!I:I)/_xlfn.XLOOKUP($B322,'Category Averages'!$A$2:$A$4,'Category Averages'!$B$2:$B$4)</f>
        <v>0.99424912380544628</v>
      </c>
      <c r="H322" s="55">
        <f>_xlfn.XLOOKUP($A322,'Data 2024'!$A:$A,'Data 2024'!J:J)/_xlfn.XLOOKUP($B322,'Category Averages'!$A$2:$A$4,'Category Averages'!C$2:C$4)</f>
        <v>0</v>
      </c>
      <c r="I322" s="55">
        <f>_xlfn.XLOOKUP($A322,'Data 2024'!$A:$A,'Data 2024'!K:K)/_xlfn.XLOOKUP($B322,'Category Averages'!$A$2:$A$4,'Category Averages'!D$2:D$4)</f>
        <v>1.2152067601386631</v>
      </c>
      <c r="J322" s="63">
        <f>_xlfn.XLOOKUP($A322,'Data 2024'!$A:$A,'Data 2024'!P:P)/_xlfn.XLOOKUP($B322,'Category Averages'!$A$2:$A$4,'Category Averages'!E$2:E$4)</f>
        <v>0.64488082880632069</v>
      </c>
      <c r="K322" s="63">
        <f>_xlfn.XLOOKUP($A322,'Data 2024'!$A:$A,'Data 2024'!Q:Q)/_xlfn.XLOOKUP($B322,'Category Averages'!$A$2:$A$4,'Category Averages'!F$2:F$4)</f>
        <v>1.3811840368011128</v>
      </c>
    </row>
    <row r="323" spans="1:11" ht="18" customHeight="1">
      <c r="A323" s="54">
        <v>7451200</v>
      </c>
      <c r="B323" s="54" t="str">
        <f>_xlfn.XLOOKUP(A323,'Data 2024'!A:A,'Data 2024'!D:D)</f>
        <v>Region 12</v>
      </c>
      <c r="C323" s="57" t="s">
        <v>1284</v>
      </c>
      <c r="D323" s="57" t="s">
        <v>808</v>
      </c>
      <c r="E323" s="57" t="s">
        <v>838</v>
      </c>
      <c r="F323" s="57" t="s">
        <v>1273</v>
      </c>
      <c r="G323" s="55">
        <f>_xlfn.XLOOKUP($A323,'Data 2024'!$A:$A,'Data 2024'!I:I)/_xlfn.XLOOKUP($B323,'Category Averages'!$A$2:$A$4,'Category Averages'!$B$2:$B$4)</f>
        <v>0.7425135444203067</v>
      </c>
      <c r="H323" s="55" t="e">
        <f>_xlfn.XLOOKUP($A323,'Data 2024'!$A:$A,'Data 2024'!J:J)/_xlfn.XLOOKUP($B323,'Category Averages'!$A$2:$A$4,'Category Averages'!C$2:C$4)</f>
        <v>#DIV/0!</v>
      </c>
      <c r="I323" s="55">
        <f>_xlfn.XLOOKUP($A323,'Data 2024'!$A:$A,'Data 2024'!K:K)/_xlfn.XLOOKUP($B323,'Category Averages'!$A$2:$A$4,'Category Averages'!D$2:D$4)</f>
        <v>1.9473818130667997</v>
      </c>
      <c r="J323" s="63">
        <f>_xlfn.XLOOKUP($A323,'Data 2024'!$A:$A,'Data 2024'!P:P)/_xlfn.XLOOKUP($B323,'Category Averages'!$A$2:$A$4,'Category Averages'!E$2:E$4)</f>
        <v>0.41066389126545555</v>
      </c>
      <c r="K323" s="63">
        <f>_xlfn.XLOOKUP($A323,'Data 2024'!$A:$A,'Data 2024'!Q:Q)/_xlfn.XLOOKUP($B323,'Category Averages'!$A$2:$A$4,'Category Averages'!F$2:F$4)</f>
        <v>2.716856035493624</v>
      </c>
    </row>
    <row r="324" spans="1:11" ht="18" customHeight="1">
      <c r="A324" s="54">
        <v>7475200</v>
      </c>
      <c r="B324" s="54" t="str">
        <f>_xlfn.XLOOKUP(A324,'Data 2024'!A:A,'Data 2024'!D:D)</f>
        <v>Region 12</v>
      </c>
      <c r="C324" s="57" t="s">
        <v>1285</v>
      </c>
      <c r="D324" s="57" t="s">
        <v>865</v>
      </c>
      <c r="E324" s="57" t="s">
        <v>931</v>
      </c>
      <c r="F324" s="57" t="s">
        <v>1153</v>
      </c>
      <c r="G324" s="55">
        <f>_xlfn.XLOOKUP($A324,'Data 2024'!$A:$A,'Data 2024'!I:I)/_xlfn.XLOOKUP($B324,'Category Averages'!$A$2:$A$4,'Category Averages'!$B$2:$B$4)</f>
        <v>0.77125781867670773</v>
      </c>
      <c r="H324" s="55" t="e">
        <f>_xlfn.XLOOKUP($A324,'Data 2024'!$A:$A,'Data 2024'!J:J)/_xlfn.XLOOKUP($B324,'Category Averages'!$A$2:$A$4,'Category Averages'!C$2:C$4)</f>
        <v>#DIV/0!</v>
      </c>
      <c r="I324" s="55">
        <f>_xlfn.XLOOKUP($A324,'Data 2024'!$A:$A,'Data 2024'!K:K)/_xlfn.XLOOKUP($B324,'Category Averages'!$A$2:$A$4,'Category Averages'!D$2:D$4)</f>
        <v>0</v>
      </c>
      <c r="J324" s="63">
        <f>_xlfn.XLOOKUP($A324,'Data 2024'!$A:$A,'Data 2024'!P:P)/_xlfn.XLOOKUP($B324,'Category Averages'!$A$2:$A$4,'Category Averages'!E$2:E$4)</f>
        <v>0</v>
      </c>
      <c r="K324" s="63">
        <f>_xlfn.XLOOKUP($A324,'Data 2024'!$A:$A,'Data 2024'!Q:Q)/_xlfn.XLOOKUP($B324,'Category Averages'!$A$2:$A$4,'Category Averages'!F$2:F$4)</f>
        <v>0.60837449923845377</v>
      </c>
    </row>
    <row r="325" spans="1:11" ht="18" customHeight="1">
      <c r="A325" s="56">
        <v>7480200</v>
      </c>
      <c r="B325" s="54" t="str">
        <f>_xlfn.XLOOKUP(A325,'Data 2024'!A:A,'Data 2024'!D:D)</f>
        <v>Region 2</v>
      </c>
      <c r="C325" s="58" t="s">
        <v>1286</v>
      </c>
      <c r="D325" s="58" t="s">
        <v>865</v>
      </c>
      <c r="E325" s="58" t="s">
        <v>931</v>
      </c>
      <c r="F325" s="58" t="s">
        <v>1287</v>
      </c>
      <c r="G325" s="55">
        <f>_xlfn.XLOOKUP($A325,'Data 2024'!$A:$A,'Data 2024'!I:I)/_xlfn.XLOOKUP($B325,'Category Averages'!$A$2:$A$4,'Category Averages'!$B$2:$B$4)</f>
        <v>0.97023359128367748</v>
      </c>
      <c r="H325" s="55">
        <f>_xlfn.XLOOKUP($A325,'Data 2024'!$A:$A,'Data 2024'!J:J)/_xlfn.XLOOKUP($B325,'Category Averages'!$A$2:$A$4,'Category Averages'!C$2:C$4)</f>
        <v>0.49984364522118102</v>
      </c>
      <c r="I325" s="55">
        <f>_xlfn.XLOOKUP($A325,'Data 2024'!$A:$A,'Data 2024'!K:K)/_xlfn.XLOOKUP($B325,'Category Averages'!$A$2:$A$4,'Category Averages'!D$2:D$4)</f>
        <v>0.91403359853769295</v>
      </c>
      <c r="J325" s="63">
        <f>_xlfn.XLOOKUP($A325,'Data 2024'!$A:$A,'Data 2024'!P:P)/_xlfn.XLOOKUP($B325,'Category Averages'!$A$2:$A$4,'Category Averages'!E$2:E$4)</f>
        <v>1.9841245515821648</v>
      </c>
      <c r="K325" s="63">
        <f>_xlfn.XLOOKUP($A325,'Data 2024'!$A:$A,'Data 2024'!Q:Q)/_xlfn.XLOOKUP($B325,'Category Averages'!$A$2:$A$4,'Category Averages'!F$2:F$4)</f>
        <v>4.488790865917891</v>
      </c>
    </row>
    <row r="326" spans="1:11" ht="18" customHeight="1">
      <c r="A326" s="54">
        <v>7495200</v>
      </c>
      <c r="B326" s="54" t="str">
        <f>_xlfn.XLOOKUP(A326,'Data 2024'!A:A,'Data 2024'!D:D)</f>
        <v>Region 1</v>
      </c>
      <c r="C326" s="57" t="s">
        <v>1288</v>
      </c>
      <c r="D326" s="57" t="s">
        <v>865</v>
      </c>
      <c r="E326" s="57" t="s">
        <v>931</v>
      </c>
      <c r="F326" s="57" t="s">
        <v>1139</v>
      </c>
      <c r="G326" s="55">
        <f>_xlfn.XLOOKUP($A326,'Data 2024'!$A:$A,'Data 2024'!I:I)/_xlfn.XLOOKUP($B326,'Category Averages'!$A$2:$A$4,'Category Averages'!$B$2:$B$4)</f>
        <v>2.5026783238548349</v>
      </c>
      <c r="H326" s="55">
        <f>_xlfn.XLOOKUP($A326,'Data 2024'!$A:$A,'Data 2024'!J:J)/_xlfn.XLOOKUP($B326,'Category Averages'!$A$2:$A$4,'Category Averages'!C$2:C$4)</f>
        <v>2.3819646445541474</v>
      </c>
      <c r="I326" s="55">
        <f>_xlfn.XLOOKUP($A326,'Data 2024'!$A:$A,'Data 2024'!K:K)/_xlfn.XLOOKUP($B326,'Category Averages'!$A$2:$A$4,'Category Averages'!D$2:D$4)</f>
        <v>1.937172570345379</v>
      </c>
      <c r="J326" s="63">
        <f>_xlfn.XLOOKUP($A326,'Data 2024'!$A:$A,'Data 2024'!P:P)/_xlfn.XLOOKUP($B326,'Category Averages'!$A$2:$A$4,'Category Averages'!E$2:E$4)</f>
        <v>0.7053773524176673</v>
      </c>
      <c r="K326" s="63">
        <f>_xlfn.XLOOKUP($A326,'Data 2024'!$A:$A,'Data 2024'!Q:Q)/_xlfn.XLOOKUP($B326,'Category Averages'!$A$2:$A$4,'Category Averages'!F$2:F$4)</f>
        <v>0.4745557647625111</v>
      </c>
    </row>
    <row r="327" spans="1:11" ht="18" customHeight="1">
      <c r="A327" s="54">
        <v>7510200</v>
      </c>
      <c r="B327" s="54" t="str">
        <f>_xlfn.XLOOKUP(A327,'Data 2024'!A:A,'Data 2024'!D:D)</f>
        <v>Region 2</v>
      </c>
      <c r="C327" s="57" t="s">
        <v>1289</v>
      </c>
      <c r="D327" s="57" t="s">
        <v>865</v>
      </c>
      <c r="E327" s="57" t="s">
        <v>872</v>
      </c>
      <c r="F327" s="57" t="s">
        <v>1175</v>
      </c>
      <c r="G327" s="55">
        <f>_xlfn.XLOOKUP($A327,'Data 2024'!$A:$A,'Data 2024'!I:I)/_xlfn.XLOOKUP($B327,'Category Averages'!$A$2:$A$4,'Category Averages'!$B$2:$B$4)</f>
        <v>1.3186460097028025</v>
      </c>
      <c r="H327" s="55">
        <f>_xlfn.XLOOKUP($A327,'Data 2024'!$A:$A,'Data 2024'!J:J)/_xlfn.XLOOKUP($B327,'Category Averages'!$A$2:$A$4,'Category Averages'!C$2:C$4)</f>
        <v>0.94680777787826964</v>
      </c>
      <c r="I327" s="55">
        <f>_xlfn.XLOOKUP($A327,'Data 2024'!$A:$A,'Data 2024'!K:K)/_xlfn.XLOOKUP($B327,'Category Averages'!$A$2:$A$4,'Category Averages'!D$2:D$4)</f>
        <v>0.83327801326481876</v>
      </c>
      <c r="J327" s="63">
        <f>_xlfn.XLOOKUP($A327,'Data 2024'!$A:$A,'Data 2024'!P:P)/_xlfn.XLOOKUP($B327,'Category Averages'!$A$2:$A$4,'Category Averages'!E$2:E$4)</f>
        <v>1.4535843253101259</v>
      </c>
      <c r="K327" s="63">
        <f>_xlfn.XLOOKUP($A327,'Data 2024'!$A:$A,'Data 2024'!Q:Q)/_xlfn.XLOOKUP($B327,'Category Averages'!$A$2:$A$4,'Category Averages'!F$2:F$4)</f>
        <v>2.0574445038587497</v>
      </c>
    </row>
    <row r="328" spans="1:11" ht="18" customHeight="1">
      <c r="A328" s="54">
        <v>7525200</v>
      </c>
      <c r="B328" s="54" t="str">
        <f>_xlfn.XLOOKUP(A328,'Data 2024'!A:A,'Data 2024'!D:D)</f>
        <v>Region 1</v>
      </c>
      <c r="C328" s="57" t="s">
        <v>1290</v>
      </c>
      <c r="D328" s="57" t="s">
        <v>830</v>
      </c>
      <c r="E328" s="57" t="s">
        <v>948</v>
      </c>
      <c r="F328" s="57" t="s">
        <v>1036</v>
      </c>
      <c r="G328" s="55">
        <f>_xlfn.XLOOKUP($A328,'Data 2024'!$A:$A,'Data 2024'!I:I)/_xlfn.XLOOKUP($B328,'Category Averages'!$A$2:$A$4,'Category Averages'!$B$2:$B$4)</f>
        <v>1.0490128100969691</v>
      </c>
      <c r="H328" s="55">
        <f>_xlfn.XLOOKUP($A328,'Data 2024'!$A:$A,'Data 2024'!J:J)/_xlfn.XLOOKUP($B328,'Category Averages'!$A$2:$A$4,'Category Averages'!C$2:C$4)</f>
        <v>0</v>
      </c>
      <c r="I328" s="55">
        <f>_xlfn.XLOOKUP($A328,'Data 2024'!$A:$A,'Data 2024'!K:K)/_xlfn.XLOOKUP($B328,'Category Averages'!$A$2:$A$4,'Category Averages'!D$2:D$4)</f>
        <v>0.66198232667664292</v>
      </c>
      <c r="J328" s="63">
        <f>_xlfn.XLOOKUP($A328,'Data 2024'!$A:$A,'Data 2024'!P:P)/_xlfn.XLOOKUP($B328,'Category Averages'!$A$2:$A$4,'Category Averages'!E$2:E$4)</f>
        <v>0.56028045354387268</v>
      </c>
      <c r="K328" s="63">
        <f>_xlfn.XLOOKUP($A328,'Data 2024'!$A:$A,'Data 2024'!Q:Q)/_xlfn.XLOOKUP($B328,'Category Averages'!$A$2:$A$4,'Category Averages'!F$2:F$4)</f>
        <v>0.59661636325184908</v>
      </c>
    </row>
    <row r="329" spans="1:11" ht="18" customHeight="1">
      <c r="A329" s="56">
        <v>7530200</v>
      </c>
      <c r="B329" s="54" t="str">
        <f>_xlfn.XLOOKUP(A329,'Data 2024'!A:A,'Data 2024'!D:D)</f>
        <v>Region 2</v>
      </c>
      <c r="C329" s="58" t="s">
        <v>1291</v>
      </c>
      <c r="D329" s="58" t="s">
        <v>865</v>
      </c>
      <c r="E329" s="58" t="s">
        <v>872</v>
      </c>
      <c r="F329" s="58" t="s">
        <v>1119</v>
      </c>
      <c r="G329" s="55">
        <f>_xlfn.XLOOKUP($A329,'Data 2024'!$A:$A,'Data 2024'!I:I)/_xlfn.XLOOKUP($B329,'Category Averages'!$A$2:$A$4,'Category Averages'!$B$2:$B$4)</f>
        <v>0.79971887406303488</v>
      </c>
      <c r="H329" s="55">
        <f>_xlfn.XLOOKUP($A329,'Data 2024'!$A:$A,'Data 2024'!J:J)/_xlfn.XLOOKUP($B329,'Category Averages'!$A$2:$A$4,'Category Averages'!C$2:C$4)</f>
        <v>0.5000596022350654</v>
      </c>
      <c r="I329" s="55">
        <f>_xlfn.XLOOKUP($A329,'Data 2024'!$A:$A,'Data 2024'!K:K)/_xlfn.XLOOKUP($B329,'Category Averages'!$A$2:$A$4,'Category Averages'!D$2:D$4)</f>
        <v>0.613437257334431</v>
      </c>
      <c r="J329" s="63">
        <f>_xlfn.XLOOKUP($A329,'Data 2024'!$A:$A,'Data 2024'!P:P)/_xlfn.XLOOKUP($B329,'Category Averages'!$A$2:$A$4,'Category Averages'!E$2:E$4)</f>
        <v>1.65057348474115</v>
      </c>
      <c r="K329" s="63">
        <f>_xlfn.XLOOKUP($A329,'Data 2024'!$A:$A,'Data 2024'!Q:Q)/_xlfn.XLOOKUP($B329,'Category Averages'!$A$2:$A$4,'Category Averages'!F$2:F$4)</f>
        <v>2.3688710888396036</v>
      </c>
    </row>
    <row r="330" spans="1:11" ht="18" customHeight="1">
      <c r="A330" s="56">
        <v>7535200</v>
      </c>
      <c r="B330" s="54" t="str">
        <f>_xlfn.XLOOKUP(A330,'Data 2024'!A:A,'Data 2024'!D:D)</f>
        <v>Region 12</v>
      </c>
      <c r="C330" s="58" t="s">
        <v>1292</v>
      </c>
      <c r="D330" s="58" t="s">
        <v>865</v>
      </c>
      <c r="E330" s="58" t="s">
        <v>931</v>
      </c>
      <c r="F330" s="58" t="s">
        <v>1094</v>
      </c>
      <c r="G330" s="55">
        <f>_xlfn.XLOOKUP($A330,'Data 2024'!$A:$A,'Data 2024'!I:I)/_xlfn.XLOOKUP($B330,'Category Averages'!$A$2:$A$4,'Category Averages'!$B$2:$B$4)</f>
        <v>0.8565920184815542</v>
      </c>
      <c r="H330" s="55" t="e">
        <f>_xlfn.XLOOKUP($A330,'Data 2024'!$A:$A,'Data 2024'!J:J)/_xlfn.XLOOKUP($B330,'Category Averages'!$A$2:$A$4,'Category Averages'!C$2:C$4)</f>
        <v>#DIV/0!</v>
      </c>
      <c r="I330" s="55">
        <f>_xlfn.XLOOKUP($A330,'Data 2024'!$A:$A,'Data 2024'!K:K)/_xlfn.XLOOKUP($B330,'Category Averages'!$A$2:$A$4,'Category Averages'!D$2:D$4)</f>
        <v>0.92807541688787598</v>
      </c>
      <c r="J330" s="63">
        <f>_xlfn.XLOOKUP($A330,'Data 2024'!$A:$A,'Data 2024'!P:P)/_xlfn.XLOOKUP($B330,'Category Averages'!$A$2:$A$4,'Category Averages'!E$2:E$4)</f>
        <v>2.437539145845212</v>
      </c>
      <c r="K330" s="63">
        <f>_xlfn.XLOOKUP($A330,'Data 2024'!$A:$A,'Data 2024'!Q:Q)/_xlfn.XLOOKUP($B330,'Category Averages'!$A$2:$A$4,'Category Averages'!F$2:F$4)</f>
        <v>7.4356285321539985</v>
      </c>
    </row>
    <row r="331" spans="1:11" ht="18" customHeight="1">
      <c r="A331" s="54">
        <v>7555200</v>
      </c>
      <c r="B331" s="54" t="str">
        <f>_xlfn.XLOOKUP(A331,'Data 2024'!A:A,'Data 2024'!D:D)</f>
        <v>Region 2</v>
      </c>
      <c r="C331" s="57" t="s">
        <v>1293</v>
      </c>
      <c r="D331" s="57" t="s">
        <v>865</v>
      </c>
      <c r="E331" s="57" t="s">
        <v>1135</v>
      </c>
      <c r="F331" s="57" t="s">
        <v>1195</v>
      </c>
      <c r="G331" s="55">
        <f>_xlfn.XLOOKUP($A331,'Data 2024'!$A:$A,'Data 2024'!I:I)/_xlfn.XLOOKUP($B331,'Category Averages'!$A$2:$A$4,'Category Averages'!$B$2:$B$4)</f>
        <v>0.64062750674354851</v>
      </c>
      <c r="H331" s="55">
        <f>_xlfn.XLOOKUP($A331,'Data 2024'!$A:$A,'Data 2024'!J:J)/_xlfn.XLOOKUP($B331,'Category Averages'!$A$2:$A$4,'Category Averages'!C$2:C$4)</f>
        <v>0.65184304819797001</v>
      </c>
      <c r="I331" s="55">
        <f>_xlfn.XLOOKUP($A331,'Data 2024'!$A:$A,'Data 2024'!K:K)/_xlfn.XLOOKUP($B331,'Category Averages'!$A$2:$A$4,'Category Averages'!D$2:D$4)</f>
        <v>0.87590247473502103</v>
      </c>
      <c r="J331" s="63">
        <f>_xlfn.XLOOKUP($A331,'Data 2024'!$A:$A,'Data 2024'!P:P)/_xlfn.XLOOKUP($B331,'Category Averages'!$A$2:$A$4,'Category Averages'!E$2:E$4)</f>
        <v>1.2356016802501999</v>
      </c>
      <c r="K331" s="63">
        <f>_xlfn.XLOOKUP($A331,'Data 2024'!$A:$A,'Data 2024'!Q:Q)/_xlfn.XLOOKUP($B331,'Category Averages'!$A$2:$A$4,'Category Averages'!F$2:F$4)</f>
        <v>2.4720698667674088</v>
      </c>
    </row>
    <row r="332" spans="1:11" ht="18" customHeight="1">
      <c r="A332" s="56">
        <v>7560200</v>
      </c>
      <c r="B332" s="54" t="str">
        <f>_xlfn.XLOOKUP(A332,'Data 2024'!A:A,'Data 2024'!D:D)</f>
        <v>Region 1</v>
      </c>
      <c r="C332" s="58" t="s">
        <v>1294</v>
      </c>
      <c r="D332" s="58" t="s">
        <v>865</v>
      </c>
      <c r="E332" s="58" t="s">
        <v>1135</v>
      </c>
      <c r="F332" s="58" t="s">
        <v>1179</v>
      </c>
      <c r="G332" s="55">
        <f>_xlfn.XLOOKUP($A332,'Data 2024'!$A:$A,'Data 2024'!I:I)/_xlfn.XLOOKUP($B332,'Category Averages'!$A$2:$A$4,'Category Averages'!$B$2:$B$4)</f>
        <v>1.5690335160182549</v>
      </c>
      <c r="H332" s="55">
        <f>_xlfn.XLOOKUP($A332,'Data 2024'!$A:$A,'Data 2024'!J:J)/_xlfn.XLOOKUP($B332,'Category Averages'!$A$2:$A$4,'Category Averages'!C$2:C$4)</f>
        <v>0</v>
      </c>
      <c r="I332" s="55">
        <f>_xlfn.XLOOKUP($A332,'Data 2024'!$A:$A,'Data 2024'!K:K)/_xlfn.XLOOKUP($B332,'Category Averages'!$A$2:$A$4,'Category Averages'!D$2:D$4)</f>
        <v>1.5783999777187645</v>
      </c>
      <c r="J332" s="63">
        <f>_xlfn.XLOOKUP($A332,'Data 2024'!$A:$A,'Data 2024'!P:P)/_xlfn.XLOOKUP($B332,'Category Averages'!$A$2:$A$4,'Category Averages'!E$2:E$4)</f>
        <v>1.2959446701621429</v>
      </c>
      <c r="K332" s="63">
        <f>_xlfn.XLOOKUP($A332,'Data 2024'!$A:$A,'Data 2024'!Q:Q)/_xlfn.XLOOKUP($B332,'Category Averages'!$A$2:$A$4,'Category Averages'!F$2:F$4)</f>
        <v>0.94435987923718645</v>
      </c>
    </row>
    <row r="333" spans="1:11" ht="18" customHeight="1">
      <c r="A333" s="56">
        <v>7565200</v>
      </c>
      <c r="B333" s="54" t="str">
        <f>_xlfn.XLOOKUP(A333,'Data 2024'!A:A,'Data 2024'!D:D)</f>
        <v>Region 2</v>
      </c>
      <c r="C333" s="58" t="s">
        <v>1295</v>
      </c>
      <c r="D333" s="58" t="s">
        <v>865</v>
      </c>
      <c r="E333" s="58" t="s">
        <v>1188</v>
      </c>
      <c r="F333" s="58" t="s">
        <v>1189</v>
      </c>
      <c r="G333" s="55">
        <f>_xlfn.XLOOKUP($A333,'Data 2024'!$A:$A,'Data 2024'!I:I)/_xlfn.XLOOKUP($B333,'Category Averages'!$A$2:$A$4,'Category Averages'!$B$2:$B$4)</f>
        <v>0.58574062439829544</v>
      </c>
      <c r="H333" s="55">
        <f>_xlfn.XLOOKUP($A333,'Data 2024'!$A:$A,'Data 2024'!J:J)/_xlfn.XLOOKUP($B333,'Category Averages'!$A$2:$A$4,'Category Averages'!C$2:C$4)</f>
        <v>0.76613584349239938</v>
      </c>
      <c r="I333" s="55">
        <f>_xlfn.XLOOKUP($A333,'Data 2024'!$A:$A,'Data 2024'!K:K)/_xlfn.XLOOKUP($B333,'Category Averages'!$A$2:$A$4,'Category Averages'!D$2:D$4)</f>
        <v>1.0304643656971431</v>
      </c>
      <c r="J333" s="63">
        <f>_xlfn.XLOOKUP($A333,'Data 2024'!$A:$A,'Data 2024'!P:P)/_xlfn.XLOOKUP($B333,'Category Averages'!$A$2:$A$4,'Category Averages'!E$2:E$4)</f>
        <v>0.44703182173826156</v>
      </c>
      <c r="K333" s="63">
        <f>_xlfn.XLOOKUP($A333,'Data 2024'!$A:$A,'Data 2024'!Q:Q)/_xlfn.XLOOKUP($B333,'Category Averages'!$A$2:$A$4,'Category Averages'!F$2:F$4)</f>
        <v>0.36003053620846548</v>
      </c>
    </row>
    <row r="334" spans="1:11" ht="18" customHeight="1">
      <c r="A334" s="56">
        <v>7570200</v>
      </c>
      <c r="B334" s="54" t="str">
        <f>_xlfn.XLOOKUP(A334,'Data 2024'!A:A,'Data 2024'!D:D)</f>
        <v>Region 12</v>
      </c>
      <c r="C334" s="58" t="s">
        <v>1296</v>
      </c>
      <c r="D334" s="58" t="s">
        <v>865</v>
      </c>
      <c r="E334" s="58" t="s">
        <v>872</v>
      </c>
      <c r="F334" s="58" t="s">
        <v>1096</v>
      </c>
      <c r="G334" s="55">
        <f>_xlfn.XLOOKUP($A334,'Data 2024'!$A:$A,'Data 2024'!I:I)/_xlfn.XLOOKUP($B334,'Category Averages'!$A$2:$A$4,'Category Averages'!$B$2:$B$4)</f>
        <v>1.3690452764029357</v>
      </c>
      <c r="H334" s="55" t="e">
        <f>_xlfn.XLOOKUP($A334,'Data 2024'!$A:$A,'Data 2024'!J:J)/_xlfn.XLOOKUP($B334,'Category Averages'!$A$2:$A$4,'Category Averages'!C$2:C$4)</f>
        <v>#DIV/0!</v>
      </c>
      <c r="I334" s="55">
        <f>_xlfn.XLOOKUP($A334,'Data 2024'!$A:$A,'Data 2024'!K:K)/_xlfn.XLOOKUP($B334,'Category Averages'!$A$2:$A$4,'Category Averages'!D$2:D$4)</f>
        <v>0</v>
      </c>
      <c r="J334" s="63">
        <f>_xlfn.XLOOKUP($A334,'Data 2024'!$A:$A,'Data 2024'!P:P)/_xlfn.XLOOKUP($B334,'Category Averages'!$A$2:$A$4,'Category Averages'!E$2:E$4)</f>
        <v>9.7120840860984003</v>
      </c>
      <c r="K334" s="63">
        <f>_xlfn.XLOOKUP($A334,'Data 2024'!$A:$A,'Data 2024'!Q:Q)/_xlfn.XLOOKUP($B334,'Category Averages'!$A$2:$A$4,'Category Averages'!F$2:F$4)</f>
        <v>4.3542228990892902</v>
      </c>
    </row>
    <row r="335" spans="1:11" ht="18" customHeight="1">
      <c r="A335" s="56">
        <v>7575200</v>
      </c>
      <c r="B335" s="54" t="str">
        <f>_xlfn.XLOOKUP(A335,'Data 2024'!A:A,'Data 2024'!D:D)</f>
        <v>Region 1</v>
      </c>
      <c r="C335" s="58" t="s">
        <v>1297</v>
      </c>
      <c r="D335" s="58" t="s">
        <v>865</v>
      </c>
      <c r="E335" s="58" t="s">
        <v>872</v>
      </c>
      <c r="F335" s="58" t="s">
        <v>1116</v>
      </c>
      <c r="G335" s="55">
        <f>_xlfn.XLOOKUP($A335,'Data 2024'!$A:$A,'Data 2024'!I:I)/_xlfn.XLOOKUP($B335,'Category Averages'!$A$2:$A$4,'Category Averages'!$B$2:$B$4)</f>
        <v>0.65062296367620109</v>
      </c>
      <c r="H335" s="55">
        <f>_xlfn.XLOOKUP($A335,'Data 2024'!$A:$A,'Data 2024'!J:J)/_xlfn.XLOOKUP($B335,'Category Averages'!$A$2:$A$4,'Category Averages'!C$2:C$4)</f>
        <v>0</v>
      </c>
      <c r="I335" s="55">
        <f>_xlfn.XLOOKUP($A335,'Data 2024'!$A:$A,'Data 2024'!K:K)/_xlfn.XLOOKUP($B335,'Category Averages'!$A$2:$A$4,'Category Averages'!D$2:D$4)</f>
        <v>0.66258734745367576</v>
      </c>
      <c r="J335" s="63">
        <f>_xlfn.XLOOKUP($A335,'Data 2024'!$A:$A,'Data 2024'!P:P)/_xlfn.XLOOKUP($B335,'Category Averages'!$A$2:$A$4,'Category Averages'!E$2:E$4)</f>
        <v>0.64014316205641253</v>
      </c>
      <c r="K335" s="63">
        <f>_xlfn.XLOOKUP($A335,'Data 2024'!$A:$A,'Data 2024'!Q:Q)/_xlfn.XLOOKUP($B335,'Category Averages'!$A$2:$A$4,'Category Averages'!F$2:F$4)</f>
        <v>2.0879591506168773</v>
      </c>
    </row>
    <row r="336" spans="1:11" ht="18" customHeight="1">
      <c r="A336" s="56">
        <v>7580200</v>
      </c>
      <c r="B336" s="54" t="str">
        <f>_xlfn.XLOOKUP(A336,'Data 2024'!A:A,'Data 2024'!D:D)</f>
        <v>Region 12</v>
      </c>
      <c r="C336" s="58" t="s">
        <v>1298</v>
      </c>
      <c r="D336" s="58" t="s">
        <v>865</v>
      </c>
      <c r="E336" s="58" t="s">
        <v>872</v>
      </c>
      <c r="F336" s="58" t="s">
        <v>1123</v>
      </c>
      <c r="G336" s="55">
        <f>_xlfn.XLOOKUP($A336,'Data 2024'!$A:$A,'Data 2024'!I:I)/_xlfn.XLOOKUP($B336,'Category Averages'!$A$2:$A$4,'Category Averages'!$B$2:$B$4)</f>
        <v>1.5521089513775908</v>
      </c>
      <c r="H336" s="55" t="e">
        <f>_xlfn.XLOOKUP($A336,'Data 2024'!$A:$A,'Data 2024'!J:J)/_xlfn.XLOOKUP($B336,'Category Averages'!$A$2:$A$4,'Category Averages'!C$2:C$4)</f>
        <v>#DIV/0!</v>
      </c>
      <c r="I336" s="55">
        <f>_xlfn.XLOOKUP($A336,'Data 2024'!$A:$A,'Data 2024'!K:K)/_xlfn.XLOOKUP($B336,'Category Averages'!$A$2:$A$4,'Category Averages'!D$2:D$4)</f>
        <v>2.031826794072304</v>
      </c>
      <c r="J336" s="63">
        <f>_xlfn.XLOOKUP($A336,'Data 2024'!$A:$A,'Data 2024'!P:P)/_xlfn.XLOOKUP($B336,'Category Averages'!$A$2:$A$4,'Category Averages'!E$2:E$4)</f>
        <v>0.68880634144506969</v>
      </c>
      <c r="K336" s="63">
        <f>_xlfn.XLOOKUP($A336,'Data 2024'!$A:$A,'Data 2024'!Q:Q)/_xlfn.XLOOKUP($B336,'Category Averages'!$A$2:$A$4,'Category Averages'!F$2:F$4)</f>
        <v>2.0264203969199848</v>
      </c>
    </row>
    <row r="337" spans="1:11" ht="18" customHeight="1">
      <c r="A337" s="56">
        <v>7590200</v>
      </c>
      <c r="B337" s="54" t="str">
        <f>_xlfn.XLOOKUP(A337,'Data 2024'!A:A,'Data 2024'!D:D)</f>
        <v>Region 1</v>
      </c>
      <c r="C337" s="58" t="s">
        <v>1299</v>
      </c>
      <c r="D337" s="58" t="s">
        <v>830</v>
      </c>
      <c r="E337" s="58" t="s">
        <v>831</v>
      </c>
      <c r="F337" s="58" t="s">
        <v>1300</v>
      </c>
      <c r="G337" s="55">
        <f>_xlfn.XLOOKUP($A337,'Data 2024'!$A:$A,'Data 2024'!I:I)/_xlfn.XLOOKUP($B337,'Category Averages'!$A$2:$A$4,'Category Averages'!$B$2:$B$4)</f>
        <v>1.0730039551872932</v>
      </c>
      <c r="H337" s="55">
        <f>_xlfn.XLOOKUP($A337,'Data 2024'!$A:$A,'Data 2024'!J:J)/_xlfn.XLOOKUP($B337,'Category Averages'!$A$2:$A$4,'Category Averages'!C$2:C$4)</f>
        <v>0</v>
      </c>
      <c r="I337" s="55">
        <f>_xlfn.XLOOKUP($A337,'Data 2024'!$A:$A,'Data 2024'!K:K)/_xlfn.XLOOKUP($B337,'Category Averages'!$A$2:$A$4,'Category Averages'!D$2:D$4)</f>
        <v>0.97647794381075781</v>
      </c>
      <c r="J337" s="63">
        <f>_xlfn.XLOOKUP($A337,'Data 2024'!$A:$A,'Data 2024'!P:P)/_xlfn.XLOOKUP($B337,'Category Averages'!$A$2:$A$4,'Category Averages'!E$2:E$4)</f>
        <v>0.37950863883858366</v>
      </c>
      <c r="K337" s="63">
        <f>_xlfn.XLOOKUP($A337,'Data 2024'!$A:$A,'Data 2024'!Q:Q)/_xlfn.XLOOKUP($B337,'Category Averages'!$A$2:$A$4,'Category Averages'!F$2:F$4)</f>
        <v>1.0019721134102559</v>
      </c>
    </row>
    <row r="338" spans="1:11" ht="18" customHeight="1">
      <c r="A338" s="56">
        <v>7595200</v>
      </c>
      <c r="B338" s="54" t="str">
        <f>_xlfn.XLOOKUP(A338,'Data 2024'!A:A,'Data 2024'!D:D)</f>
        <v>Region 1</v>
      </c>
      <c r="C338" s="58" t="s">
        <v>1301</v>
      </c>
      <c r="D338" s="58" t="s">
        <v>830</v>
      </c>
      <c r="E338" s="58" t="s">
        <v>831</v>
      </c>
      <c r="F338" s="58" t="s">
        <v>1300</v>
      </c>
      <c r="G338" s="55">
        <f>_xlfn.XLOOKUP($A338,'Data 2024'!$A:$A,'Data 2024'!I:I)/_xlfn.XLOOKUP($B338,'Category Averages'!$A$2:$A$4,'Category Averages'!$B$2:$B$4)</f>
        <v>1.1387240087140713</v>
      </c>
      <c r="H338" s="55">
        <f>_xlfn.XLOOKUP($A338,'Data 2024'!$A:$A,'Data 2024'!J:J)/_xlfn.XLOOKUP($B338,'Category Averages'!$A$2:$A$4,'Category Averages'!C$2:C$4)</f>
        <v>1.8773058622248275</v>
      </c>
      <c r="I338" s="55">
        <f>_xlfn.XLOOKUP($A338,'Data 2024'!$A:$A,'Data 2024'!K:K)/_xlfn.XLOOKUP($B338,'Category Averages'!$A$2:$A$4,'Category Averages'!D$2:D$4)</f>
        <v>1.0952222879820028</v>
      </c>
      <c r="J338" s="63">
        <f>_xlfn.XLOOKUP($A338,'Data 2024'!$A:$A,'Data 2024'!P:P)/_xlfn.XLOOKUP($B338,'Category Averages'!$A$2:$A$4,'Category Averages'!E$2:E$4)</f>
        <v>0.77957291201416079</v>
      </c>
      <c r="K338" s="63">
        <f>_xlfn.XLOOKUP($A338,'Data 2024'!$A:$A,'Data 2024'!Q:Q)/_xlfn.XLOOKUP($B338,'Category Averages'!$A$2:$A$4,'Category Averages'!F$2:F$4)</f>
        <v>0.77252677229992439</v>
      </c>
    </row>
    <row r="339" spans="1:11" ht="18" customHeight="1">
      <c r="A339" s="56">
        <v>7600200</v>
      </c>
      <c r="B339" s="54" t="str">
        <f>_xlfn.XLOOKUP(A339,'Data 2024'!A:A,'Data 2024'!D:D)</f>
        <v>Region 1</v>
      </c>
      <c r="C339" s="58" t="s">
        <v>1302</v>
      </c>
      <c r="D339" s="58" t="s">
        <v>830</v>
      </c>
      <c r="E339" s="58" t="s">
        <v>831</v>
      </c>
      <c r="F339" s="58" t="s">
        <v>1300</v>
      </c>
      <c r="G339" s="55">
        <f>_xlfn.XLOOKUP($A339,'Data 2024'!$A:$A,'Data 2024'!I:I)/_xlfn.XLOOKUP($B339,'Category Averages'!$A$2:$A$4,'Category Averages'!$B$2:$B$4)</f>
        <v>1.4699120034443021</v>
      </c>
      <c r="H339" s="55">
        <f>_xlfn.XLOOKUP($A339,'Data 2024'!$A:$A,'Data 2024'!J:J)/_xlfn.XLOOKUP($B339,'Category Averages'!$A$2:$A$4,'Category Averages'!C$2:C$4)</f>
        <v>0</v>
      </c>
      <c r="I339" s="55">
        <f>_xlfn.XLOOKUP($A339,'Data 2024'!$A:$A,'Data 2024'!K:K)/_xlfn.XLOOKUP($B339,'Category Averages'!$A$2:$A$4,'Category Averages'!D$2:D$4)</f>
        <v>1.2289531203198893</v>
      </c>
      <c r="J339" s="63">
        <f>_xlfn.XLOOKUP($A339,'Data 2024'!$A:$A,'Data 2024'!P:P)/_xlfn.XLOOKUP($B339,'Category Averages'!$A$2:$A$4,'Category Averages'!E$2:E$4)</f>
        <v>0.39949195203522797</v>
      </c>
      <c r="K339" s="63">
        <f>_xlfn.XLOOKUP($A339,'Data 2024'!$A:$A,'Data 2024'!Q:Q)/_xlfn.XLOOKUP($B339,'Category Averages'!$A$2:$A$4,'Category Averages'!F$2:F$4)</f>
        <v>0.22521688564057579</v>
      </c>
    </row>
    <row r="340" spans="1:11" ht="18" customHeight="1">
      <c r="A340" s="54">
        <v>7610200</v>
      </c>
      <c r="B340" s="54" t="str">
        <f>_xlfn.XLOOKUP(A340,'Data 2024'!A:A,'Data 2024'!D:D)</f>
        <v>Region 2</v>
      </c>
      <c r="C340" s="57" t="s">
        <v>1303</v>
      </c>
      <c r="D340" s="57" t="s">
        <v>830</v>
      </c>
      <c r="E340" s="57" t="s">
        <v>831</v>
      </c>
      <c r="F340" s="57" t="s">
        <v>1002</v>
      </c>
      <c r="G340" s="55">
        <f>_xlfn.XLOOKUP($A340,'Data 2024'!$A:$A,'Data 2024'!I:I)/_xlfn.XLOOKUP($B340,'Category Averages'!$A$2:$A$4,'Category Averages'!$B$2:$B$4)</f>
        <v>2.2138783247255183</v>
      </c>
      <c r="H340" s="55">
        <f>_xlfn.XLOOKUP($A340,'Data 2024'!$A:$A,'Data 2024'!J:J)/_xlfn.XLOOKUP($B340,'Category Averages'!$A$2:$A$4,'Category Averages'!C$2:C$4)</f>
        <v>1.4681435528303852</v>
      </c>
      <c r="I340" s="55">
        <f>_xlfn.XLOOKUP($A340,'Data 2024'!$A:$A,'Data 2024'!K:K)/_xlfn.XLOOKUP($B340,'Category Averages'!$A$2:$A$4,'Category Averages'!D$2:D$4)</f>
        <v>1.6399146445369759</v>
      </c>
      <c r="J340" s="63">
        <f>_xlfn.XLOOKUP($A340,'Data 2024'!$A:$A,'Data 2024'!P:P)/_xlfn.XLOOKUP($B340,'Category Averages'!$A$2:$A$4,'Category Averages'!E$2:E$4)</f>
        <v>0.56233011083610285</v>
      </c>
      <c r="K340" s="63">
        <f>_xlfn.XLOOKUP($A340,'Data 2024'!$A:$A,'Data 2024'!Q:Q)/_xlfn.XLOOKUP($B340,'Category Averages'!$A$2:$A$4,'Category Averages'!F$2:F$4)</f>
        <v>0.25798310823549259</v>
      </c>
    </row>
    <row r="341" spans="1:11" ht="18" customHeight="1">
      <c r="A341" s="56">
        <v>7615200</v>
      </c>
      <c r="B341" s="54" t="str">
        <f>_xlfn.XLOOKUP(A341,'Data 2024'!A:A,'Data 2024'!D:D)</f>
        <v>Region 2</v>
      </c>
      <c r="C341" s="58" t="s">
        <v>1304</v>
      </c>
      <c r="D341" s="58" t="s">
        <v>830</v>
      </c>
      <c r="E341" s="58" t="s">
        <v>831</v>
      </c>
      <c r="F341" s="58" t="s">
        <v>1002</v>
      </c>
      <c r="G341" s="55">
        <f>_xlfn.XLOOKUP($A341,'Data 2024'!$A:$A,'Data 2024'!I:I)/_xlfn.XLOOKUP($B341,'Category Averages'!$A$2:$A$4,'Category Averages'!$B$2:$B$4)</f>
        <v>1.9451104359527567</v>
      </c>
      <c r="H341" s="55">
        <f>_xlfn.XLOOKUP($A341,'Data 2024'!$A:$A,'Data 2024'!J:J)/_xlfn.XLOOKUP($B341,'Category Averages'!$A$2:$A$4,'Category Averages'!C$2:C$4)</f>
        <v>1.539240910628539</v>
      </c>
      <c r="I341" s="55">
        <f>_xlfn.XLOOKUP($A341,'Data 2024'!$A:$A,'Data 2024'!K:K)/_xlfn.XLOOKUP($B341,'Category Averages'!$A$2:$A$4,'Category Averages'!D$2:D$4)</f>
        <v>1.7392816743861796</v>
      </c>
      <c r="J341" s="63">
        <f>_xlfn.XLOOKUP($A341,'Data 2024'!$A:$A,'Data 2024'!P:P)/_xlfn.XLOOKUP($B341,'Category Averages'!$A$2:$A$4,'Category Averages'!E$2:E$4)</f>
        <v>0.63338142582930879</v>
      </c>
      <c r="K341" s="63">
        <f>_xlfn.XLOOKUP($A341,'Data 2024'!$A:$A,'Data 2024'!Q:Q)/_xlfn.XLOOKUP($B341,'Category Averages'!$A$2:$A$4,'Category Averages'!F$2:F$4)</f>
        <v>0.47444982371828437</v>
      </c>
    </row>
    <row r="342" spans="1:11" ht="18" customHeight="1">
      <c r="A342" s="56">
        <v>7620200</v>
      </c>
      <c r="B342" s="54" t="str">
        <f>_xlfn.XLOOKUP(A342,'Data 2024'!A:A,'Data 2024'!D:D)</f>
        <v>Region 2</v>
      </c>
      <c r="C342" s="58" t="s">
        <v>1305</v>
      </c>
      <c r="D342" s="58" t="s">
        <v>830</v>
      </c>
      <c r="E342" s="58" t="s">
        <v>831</v>
      </c>
      <c r="F342" s="58" t="s">
        <v>962</v>
      </c>
      <c r="G342" s="55">
        <f>_xlfn.XLOOKUP($A342,'Data 2024'!$A:$A,'Data 2024'!I:I)/_xlfn.XLOOKUP($B342,'Category Averages'!$A$2:$A$4,'Category Averages'!$B$2:$B$4)</f>
        <v>0.73340378433283238</v>
      </c>
      <c r="H342" s="55">
        <f>_xlfn.XLOOKUP($A342,'Data 2024'!$A:$A,'Data 2024'!J:J)/_xlfn.XLOOKUP($B342,'Category Averages'!$A$2:$A$4,'Category Averages'!C$2:C$4)</f>
        <v>0.7880682439589195</v>
      </c>
      <c r="I342" s="55">
        <f>_xlfn.XLOOKUP($A342,'Data 2024'!$A:$A,'Data 2024'!K:K)/_xlfn.XLOOKUP($B342,'Category Averages'!$A$2:$A$4,'Category Averages'!D$2:D$4)</f>
        <v>0.61897801292290444</v>
      </c>
      <c r="J342" s="63">
        <f>_xlfn.XLOOKUP($A342,'Data 2024'!$A:$A,'Data 2024'!P:P)/_xlfn.XLOOKUP($B342,'Category Averages'!$A$2:$A$4,'Category Averages'!E$2:E$4)</f>
        <v>1.0035462166315161</v>
      </c>
      <c r="K342" s="63">
        <f>_xlfn.XLOOKUP($A342,'Data 2024'!$A:$A,'Data 2024'!Q:Q)/_xlfn.XLOOKUP($B342,'Category Averages'!$A$2:$A$4,'Category Averages'!F$2:F$4)</f>
        <v>0.78436695499514919</v>
      </c>
    </row>
    <row r="343" spans="1:11" ht="18" customHeight="1">
      <c r="A343" s="56">
        <v>7625200</v>
      </c>
      <c r="B343" s="54" t="str">
        <f>_xlfn.XLOOKUP(A343,'Data 2024'!A:A,'Data 2024'!D:D)</f>
        <v>Region 2</v>
      </c>
      <c r="C343" s="58" t="s">
        <v>1306</v>
      </c>
      <c r="D343" s="58" t="s">
        <v>830</v>
      </c>
      <c r="E343" s="58" t="s">
        <v>831</v>
      </c>
      <c r="F343" s="58" t="s">
        <v>969</v>
      </c>
      <c r="G343" s="55">
        <f>_xlfn.XLOOKUP($A343,'Data 2024'!$A:$A,'Data 2024'!I:I)/_xlfn.XLOOKUP($B343,'Category Averages'!$A$2:$A$4,'Category Averages'!$B$2:$B$4)</f>
        <v>1.4005388750967165</v>
      </c>
      <c r="H343" s="55">
        <f>_xlfn.XLOOKUP($A343,'Data 2024'!$A:$A,'Data 2024'!J:J)/_xlfn.XLOOKUP($B343,'Category Averages'!$A$2:$A$4,'Category Averages'!C$2:C$4)</f>
        <v>1.0393504298083234</v>
      </c>
      <c r="I343" s="55">
        <f>_xlfn.XLOOKUP($A343,'Data 2024'!$A:$A,'Data 2024'!K:K)/_xlfn.XLOOKUP($B343,'Category Averages'!$A$2:$A$4,'Category Averages'!D$2:D$4)</f>
        <v>1.1303444712478146</v>
      </c>
      <c r="J343" s="63">
        <f>_xlfn.XLOOKUP($A343,'Data 2024'!$A:$A,'Data 2024'!P:P)/_xlfn.XLOOKUP($B343,'Category Averages'!$A$2:$A$4,'Category Averages'!E$2:E$4)</f>
        <v>0.62373125239473459</v>
      </c>
      <c r="K343" s="63">
        <f>_xlfn.XLOOKUP($A343,'Data 2024'!$A:$A,'Data 2024'!Q:Q)/_xlfn.XLOOKUP($B343,'Category Averages'!$A$2:$A$4,'Category Averages'!F$2:F$4)</f>
        <v>0.47010909812958124</v>
      </c>
    </row>
    <row r="344" spans="1:11" ht="18" customHeight="1">
      <c r="A344" s="56">
        <v>7630200</v>
      </c>
      <c r="B344" s="54" t="str">
        <f>_xlfn.XLOOKUP(A344,'Data 2024'!A:A,'Data 2024'!D:D)</f>
        <v>Region 1</v>
      </c>
      <c r="C344" s="58" t="s">
        <v>1307</v>
      </c>
      <c r="D344" s="58" t="s">
        <v>830</v>
      </c>
      <c r="E344" s="58" t="s">
        <v>831</v>
      </c>
      <c r="F344" s="58" t="s">
        <v>954</v>
      </c>
      <c r="G344" s="55">
        <f>_xlfn.XLOOKUP($A344,'Data 2024'!$A:$A,'Data 2024'!I:I)/_xlfn.XLOOKUP($B344,'Category Averages'!$A$2:$A$4,'Category Averages'!$B$2:$B$4)</f>
        <v>0.90457435452928425</v>
      </c>
      <c r="H344" s="55">
        <f>_xlfn.XLOOKUP($A344,'Data 2024'!$A:$A,'Data 2024'!J:J)/_xlfn.XLOOKUP($B344,'Category Averages'!$A$2:$A$4,'Category Averages'!C$2:C$4)</f>
        <v>0</v>
      </c>
      <c r="I344" s="55">
        <f>_xlfn.XLOOKUP($A344,'Data 2024'!$A:$A,'Data 2024'!K:K)/_xlfn.XLOOKUP($B344,'Category Averages'!$A$2:$A$4,'Category Averages'!D$2:D$4)</f>
        <v>0.81920097493337973</v>
      </c>
      <c r="J344" s="63">
        <f>_xlfn.XLOOKUP($A344,'Data 2024'!$A:$A,'Data 2024'!P:P)/_xlfn.XLOOKUP($B344,'Category Averages'!$A$2:$A$4,'Category Averages'!E$2:E$4)</f>
        <v>0.4925515907857318</v>
      </c>
      <c r="K344" s="63">
        <f>_xlfn.XLOOKUP($A344,'Data 2024'!$A:$A,'Data 2024'!Q:Q)/_xlfn.XLOOKUP($B344,'Category Averages'!$A$2:$A$4,'Category Averages'!F$2:F$4)</f>
        <v>1.1062627179112217</v>
      </c>
    </row>
    <row r="345" spans="1:11" ht="18" customHeight="1">
      <c r="A345" s="56">
        <v>7635200</v>
      </c>
      <c r="B345" s="54" t="str">
        <f>_xlfn.XLOOKUP(A345,'Data 2024'!A:A,'Data 2024'!D:D)</f>
        <v>Region 1</v>
      </c>
      <c r="C345" s="58" t="s">
        <v>1308</v>
      </c>
      <c r="D345" s="58" t="s">
        <v>830</v>
      </c>
      <c r="E345" s="58" t="s">
        <v>831</v>
      </c>
      <c r="F345" s="58" t="s">
        <v>962</v>
      </c>
      <c r="G345" s="55">
        <f>_xlfn.XLOOKUP($A345,'Data 2024'!$A:$A,'Data 2024'!I:I)/_xlfn.XLOOKUP($B345,'Category Averages'!$A$2:$A$4,'Category Averages'!$B$2:$B$4)</f>
        <v>1.1974766143601274</v>
      </c>
      <c r="H345" s="55">
        <f>_xlfn.XLOOKUP($A345,'Data 2024'!$A:$A,'Data 2024'!J:J)/_xlfn.XLOOKUP($B345,'Category Averages'!$A$2:$A$4,'Category Averages'!C$2:C$4)</f>
        <v>0</v>
      </c>
      <c r="I345" s="55">
        <f>_xlfn.XLOOKUP($A345,'Data 2024'!$A:$A,'Data 2024'!K:K)/_xlfn.XLOOKUP($B345,'Category Averages'!$A$2:$A$4,'Category Averages'!D$2:D$4)</f>
        <v>0.67847620243524609</v>
      </c>
      <c r="J345" s="63">
        <f>_xlfn.XLOOKUP($A345,'Data 2024'!$A:$A,'Data 2024'!P:P)/_xlfn.XLOOKUP($B345,'Category Averages'!$A$2:$A$4,'Category Averages'!E$2:E$4)</f>
        <v>1.4784086362574096</v>
      </c>
      <c r="K345" s="63">
        <f>_xlfn.XLOOKUP($A345,'Data 2024'!$A:$A,'Data 2024'!Q:Q)/_xlfn.XLOOKUP($B345,'Category Averages'!$A$2:$A$4,'Category Averages'!F$2:F$4)</f>
        <v>1.6549808237724981</v>
      </c>
    </row>
    <row r="346" spans="1:11" ht="18" customHeight="1">
      <c r="A346" s="56">
        <v>7640200</v>
      </c>
      <c r="B346" s="54" t="str">
        <f>_xlfn.XLOOKUP(A346,'Data 2024'!A:A,'Data 2024'!D:D)</f>
        <v>Region 12</v>
      </c>
      <c r="C346" s="58" t="s">
        <v>1309</v>
      </c>
      <c r="D346" s="58" t="s">
        <v>830</v>
      </c>
      <c r="E346" s="58" t="s">
        <v>831</v>
      </c>
      <c r="F346" s="58" t="s">
        <v>962</v>
      </c>
      <c r="G346" s="55">
        <f>_xlfn.XLOOKUP($A346,'Data 2024'!$A:$A,'Data 2024'!I:I)/_xlfn.XLOOKUP($B346,'Category Averages'!$A$2:$A$4,'Category Averages'!$B$2:$B$4)</f>
        <v>1.4860373023895683</v>
      </c>
      <c r="H346" s="55" t="e">
        <f>_xlfn.XLOOKUP($A346,'Data 2024'!$A:$A,'Data 2024'!J:J)/_xlfn.XLOOKUP($B346,'Category Averages'!$A$2:$A$4,'Category Averages'!C$2:C$4)</f>
        <v>#DIV/0!</v>
      </c>
      <c r="I346" s="55">
        <f>_xlfn.XLOOKUP($A346,'Data 2024'!$A:$A,'Data 2024'!K:K)/_xlfn.XLOOKUP($B346,'Category Averages'!$A$2:$A$4,'Category Averages'!D$2:D$4)</f>
        <v>1.2538903537965893</v>
      </c>
      <c r="J346" s="63">
        <f>_xlfn.XLOOKUP($A346,'Data 2024'!$A:$A,'Data 2024'!P:P)/_xlfn.XLOOKUP($B346,'Category Averages'!$A$2:$A$4,'Category Averages'!E$2:E$4)</f>
        <v>1.2241507530384592</v>
      </c>
      <c r="K346" s="63">
        <f>_xlfn.XLOOKUP($A346,'Data 2024'!$A:$A,'Data 2024'!Q:Q)/_xlfn.XLOOKUP($B346,'Category Averages'!$A$2:$A$4,'Category Averages'!F$2:F$4)</f>
        <v>0.85876858373515774</v>
      </c>
    </row>
    <row r="347" spans="1:11" ht="18" customHeight="1">
      <c r="A347" s="56">
        <v>7650200</v>
      </c>
      <c r="B347" s="54" t="str">
        <f>_xlfn.XLOOKUP(A347,'Data 2024'!A:A,'Data 2024'!D:D)</f>
        <v>Region 1</v>
      </c>
      <c r="C347" s="58" t="s">
        <v>1310</v>
      </c>
      <c r="D347" s="58" t="s">
        <v>830</v>
      </c>
      <c r="E347" s="58" t="s">
        <v>951</v>
      </c>
      <c r="F347" s="58" t="s">
        <v>960</v>
      </c>
      <c r="G347" s="55">
        <f>_xlfn.XLOOKUP($A347,'Data 2024'!$A:$A,'Data 2024'!I:I)/_xlfn.XLOOKUP($B347,'Category Averages'!$A$2:$A$4,'Category Averages'!$B$2:$B$4)</f>
        <v>1.6420226983039274</v>
      </c>
      <c r="H347" s="55">
        <f>_xlfn.XLOOKUP($A347,'Data 2024'!$A:$A,'Data 2024'!J:J)/_xlfn.XLOOKUP($B347,'Category Averages'!$A$2:$A$4,'Category Averages'!C$2:C$4)</f>
        <v>1.6555166134530899</v>
      </c>
      <c r="I347" s="55">
        <f>_xlfn.XLOOKUP($A347,'Data 2024'!$A:$A,'Data 2024'!K:K)/_xlfn.XLOOKUP($B347,'Category Averages'!$A$2:$A$4,'Category Averages'!D$2:D$4)</f>
        <v>1.156433243515933</v>
      </c>
      <c r="J347" s="63">
        <f>_xlfn.XLOOKUP($A347,'Data 2024'!$A:$A,'Data 2024'!P:P)/_xlfn.XLOOKUP($B347,'Category Averages'!$A$2:$A$4,'Category Averages'!E$2:E$4)</f>
        <v>1.0957439079333955</v>
      </c>
      <c r="K347" s="63">
        <f>_xlfn.XLOOKUP($A347,'Data 2024'!$A:$A,'Data 2024'!Q:Q)/_xlfn.XLOOKUP($B347,'Category Averages'!$A$2:$A$4,'Category Averages'!F$2:F$4)</f>
        <v>0.82329233239166255</v>
      </c>
    </row>
    <row r="348" spans="1:11" ht="18" customHeight="1">
      <c r="A348" s="54">
        <v>7665200</v>
      </c>
      <c r="B348" s="54" t="str">
        <f>_xlfn.XLOOKUP(A348,'Data 2024'!A:A,'Data 2024'!D:D)</f>
        <v>Region 2</v>
      </c>
      <c r="C348" s="57" t="s">
        <v>1311</v>
      </c>
      <c r="D348" s="57" t="s">
        <v>865</v>
      </c>
      <c r="E348" s="57" t="s">
        <v>1091</v>
      </c>
      <c r="F348" s="57" t="s">
        <v>1204</v>
      </c>
      <c r="G348" s="55">
        <f>_xlfn.XLOOKUP($A348,'Data 2024'!$A:$A,'Data 2024'!I:I)/_xlfn.XLOOKUP($B348,'Category Averages'!$A$2:$A$4,'Category Averages'!$B$2:$B$4)</f>
        <v>0.8880200361580598</v>
      </c>
      <c r="H348" s="55">
        <f>_xlfn.XLOOKUP($A348,'Data 2024'!$A:$A,'Data 2024'!J:J)/_xlfn.XLOOKUP($B348,'Category Averages'!$A$2:$A$4,'Category Averages'!C$2:C$4)</f>
        <v>1.3821084636493006</v>
      </c>
      <c r="I348" s="55">
        <f>_xlfn.XLOOKUP($A348,'Data 2024'!$A:$A,'Data 2024'!K:K)/_xlfn.XLOOKUP($B348,'Category Averages'!$A$2:$A$4,'Category Averages'!D$2:D$4)</f>
        <v>0.90953370517311805</v>
      </c>
      <c r="J348" s="63">
        <f>_xlfn.XLOOKUP($A348,'Data 2024'!$A:$A,'Data 2024'!P:P)/_xlfn.XLOOKUP($B348,'Category Averages'!$A$2:$A$4,'Category Averages'!E$2:E$4)</f>
        <v>0.9735824654527232</v>
      </c>
      <c r="K348" s="63">
        <f>_xlfn.XLOOKUP($A348,'Data 2024'!$A:$A,'Data 2024'!Q:Q)/_xlfn.XLOOKUP($B348,'Category Averages'!$A$2:$A$4,'Category Averages'!F$2:F$4)</f>
        <v>0.49032624029866828</v>
      </c>
    </row>
    <row r="349" spans="1:11" ht="18" customHeight="1">
      <c r="A349" s="54">
        <v>7675200</v>
      </c>
      <c r="B349" s="54" t="str">
        <f>_xlfn.XLOOKUP(A349,'Data 2024'!A:A,'Data 2024'!D:D)</f>
        <v>Region 1</v>
      </c>
      <c r="C349" s="57" t="s">
        <v>1312</v>
      </c>
      <c r="D349" s="57" t="s">
        <v>865</v>
      </c>
      <c r="E349" s="57" t="s">
        <v>1135</v>
      </c>
      <c r="F349" s="57" t="s">
        <v>1183</v>
      </c>
      <c r="G349" s="55">
        <f>_xlfn.XLOOKUP($A349,'Data 2024'!$A:$A,'Data 2024'!I:I)/_xlfn.XLOOKUP($B349,'Category Averages'!$A$2:$A$4,'Category Averages'!$B$2:$B$4)</f>
        <v>1.1201541413819458</v>
      </c>
      <c r="H349" s="55">
        <f>_xlfn.XLOOKUP($A349,'Data 2024'!$A:$A,'Data 2024'!J:J)/_xlfn.XLOOKUP($B349,'Category Averages'!$A$2:$A$4,'Category Averages'!C$2:C$4)</f>
        <v>2.1212358856306928</v>
      </c>
      <c r="I349" s="55">
        <f>_xlfn.XLOOKUP($A349,'Data 2024'!$A:$A,'Data 2024'!K:K)/_xlfn.XLOOKUP($B349,'Category Averages'!$A$2:$A$4,'Category Averages'!D$2:D$4)</f>
        <v>1.3237246993480474</v>
      </c>
      <c r="J349" s="63">
        <f>_xlfn.XLOOKUP($A349,'Data 2024'!$A:$A,'Data 2024'!P:P)/_xlfn.XLOOKUP($B349,'Category Averages'!$A$2:$A$4,'Category Averages'!E$2:E$4)</f>
        <v>0.74074651859232543</v>
      </c>
      <c r="K349" s="63">
        <f>_xlfn.XLOOKUP($A349,'Data 2024'!$A:$A,'Data 2024'!Q:Q)/_xlfn.XLOOKUP($B349,'Category Averages'!$A$2:$A$4,'Category Averages'!F$2:F$4)</f>
        <v>0.5898439279763783</v>
      </c>
    </row>
    <row r="350" spans="1:11" ht="18" customHeight="1">
      <c r="A350" s="54">
        <v>7690200</v>
      </c>
      <c r="B350" s="54" t="str">
        <f>_xlfn.XLOOKUP(A350,'Data 2024'!A:A,'Data 2024'!D:D)</f>
        <v>Region 1</v>
      </c>
      <c r="C350" s="57" t="s">
        <v>1313</v>
      </c>
      <c r="D350" s="57" t="s">
        <v>865</v>
      </c>
      <c r="E350" s="57" t="s">
        <v>1091</v>
      </c>
      <c r="F350" s="57" t="s">
        <v>1128</v>
      </c>
      <c r="G350" s="55">
        <f>_xlfn.XLOOKUP($A350,'Data 2024'!$A:$A,'Data 2024'!I:I)/_xlfn.XLOOKUP($B350,'Category Averages'!$A$2:$A$4,'Category Averages'!$B$2:$B$4)</f>
        <v>1.3358179710237834</v>
      </c>
      <c r="H350" s="55">
        <f>_xlfn.XLOOKUP($A350,'Data 2024'!$A:$A,'Data 2024'!J:J)/_xlfn.XLOOKUP($B350,'Category Averages'!$A$2:$A$4,'Category Averages'!C$2:C$4)</f>
        <v>0</v>
      </c>
      <c r="I350" s="55">
        <f>_xlfn.XLOOKUP($A350,'Data 2024'!$A:$A,'Data 2024'!K:K)/_xlfn.XLOOKUP($B350,'Category Averages'!$A$2:$A$4,'Category Averages'!D$2:D$4)</f>
        <v>0.87453270386063942</v>
      </c>
      <c r="J350" s="63">
        <f>_xlfn.XLOOKUP($A350,'Data 2024'!$A:$A,'Data 2024'!P:P)/_xlfn.XLOOKUP($B350,'Category Averages'!$A$2:$A$4,'Category Averages'!E$2:E$4)</f>
        <v>0.74371868102812499</v>
      </c>
      <c r="K350" s="63">
        <f>_xlfn.XLOOKUP($A350,'Data 2024'!$A:$A,'Data 2024'!Q:Q)/_xlfn.XLOOKUP($B350,'Category Averages'!$A$2:$A$4,'Category Averages'!F$2:F$4)</f>
        <v>0.7982103389478421</v>
      </c>
    </row>
    <row r="351" spans="1:11" ht="18" customHeight="1">
      <c r="A351" s="54">
        <v>7700200</v>
      </c>
      <c r="B351" s="54" t="str">
        <f>_xlfn.XLOOKUP(A351,'Data 2024'!A:A,'Data 2024'!D:D)</f>
        <v>Region 1</v>
      </c>
      <c r="C351" s="57" t="s">
        <v>1314</v>
      </c>
      <c r="D351" s="57" t="s">
        <v>830</v>
      </c>
      <c r="E351" s="57" t="s">
        <v>831</v>
      </c>
      <c r="F351" s="57" t="s">
        <v>980</v>
      </c>
      <c r="G351" s="55">
        <f>_xlfn.XLOOKUP($A351,'Data 2024'!$A:$A,'Data 2024'!I:I)/_xlfn.XLOOKUP($B351,'Category Averages'!$A$2:$A$4,'Category Averages'!$B$2:$B$4)</f>
        <v>0.64515724552786102</v>
      </c>
      <c r="H351" s="55">
        <f>_xlfn.XLOOKUP($A351,'Data 2024'!$A:$A,'Data 2024'!J:J)/_xlfn.XLOOKUP($B351,'Category Averages'!$A$2:$A$4,'Category Averages'!C$2:C$4)</f>
        <v>0</v>
      </c>
      <c r="I351" s="55">
        <f>_xlfn.XLOOKUP($A351,'Data 2024'!$A:$A,'Data 2024'!K:K)/_xlfn.XLOOKUP($B351,'Category Averages'!$A$2:$A$4,'Category Averages'!D$2:D$4)</f>
        <v>1.165226051558566</v>
      </c>
      <c r="J351" s="63">
        <f>_xlfn.XLOOKUP($A351,'Data 2024'!$A:$A,'Data 2024'!P:P)/_xlfn.XLOOKUP($B351,'Category Averages'!$A$2:$A$4,'Category Averages'!E$2:E$4)</f>
        <v>0.31068609869560226</v>
      </c>
      <c r="K351" s="63">
        <f>_xlfn.XLOOKUP($A351,'Data 2024'!$A:$A,'Data 2024'!Q:Q)/_xlfn.XLOOKUP($B351,'Category Averages'!$A$2:$A$4,'Category Averages'!F$2:F$4)</f>
        <v>1.158269643171276</v>
      </c>
    </row>
    <row r="352" spans="1:11" ht="18" customHeight="1">
      <c r="A352" s="56">
        <v>7705200</v>
      </c>
      <c r="B352" s="54" t="str">
        <f>_xlfn.XLOOKUP(A352,'Data 2024'!A:A,'Data 2024'!D:D)</f>
        <v>Region 2</v>
      </c>
      <c r="C352" s="58" t="s">
        <v>1315</v>
      </c>
      <c r="D352" s="58" t="s">
        <v>808</v>
      </c>
      <c r="E352" s="58" t="s">
        <v>821</v>
      </c>
      <c r="F352" s="58" t="s">
        <v>839</v>
      </c>
      <c r="G352" s="55">
        <f>_xlfn.XLOOKUP($A352,'Data 2024'!$A:$A,'Data 2024'!I:I)/_xlfn.XLOOKUP($B352,'Category Averages'!$A$2:$A$4,'Category Averages'!$B$2:$B$4)</f>
        <v>0.68163992649479344</v>
      </c>
      <c r="H352" s="55">
        <f>_xlfn.XLOOKUP($A352,'Data 2024'!$A:$A,'Data 2024'!J:J)/_xlfn.XLOOKUP($B352,'Category Averages'!$A$2:$A$4,'Category Averages'!C$2:C$4)</f>
        <v>0.68406349210155482</v>
      </c>
      <c r="I352" s="55">
        <f>_xlfn.XLOOKUP($A352,'Data 2024'!$A:$A,'Data 2024'!K:K)/_xlfn.XLOOKUP($B352,'Category Averages'!$A$2:$A$4,'Category Averages'!D$2:D$4)</f>
        <v>0.8125588895525635</v>
      </c>
      <c r="J352" s="63">
        <f>_xlfn.XLOOKUP($A352,'Data 2024'!$A:$A,'Data 2024'!P:P)/_xlfn.XLOOKUP($B352,'Category Averages'!$A$2:$A$4,'Category Averages'!E$2:E$4)</f>
        <v>0.81695921661732629</v>
      </c>
      <c r="K352" s="63">
        <f>_xlfn.XLOOKUP($A352,'Data 2024'!$A:$A,'Data 2024'!Q:Q)/_xlfn.XLOOKUP($B352,'Category Averages'!$A$2:$A$4,'Category Averages'!F$2:F$4)</f>
        <v>0.38978041837333044</v>
      </c>
    </row>
    <row r="353" spans="1:11" ht="18" customHeight="1">
      <c r="A353" s="54">
        <v>7715200</v>
      </c>
      <c r="B353" s="54" t="str">
        <f>_xlfn.XLOOKUP(A353,'Data 2024'!A:A,'Data 2024'!D:D)</f>
        <v>Region 1</v>
      </c>
      <c r="C353" s="57" t="s">
        <v>1316</v>
      </c>
      <c r="D353" s="57" t="s">
        <v>808</v>
      </c>
      <c r="E353" s="57" t="s">
        <v>843</v>
      </c>
      <c r="F353" s="57" t="s">
        <v>846</v>
      </c>
      <c r="G353" s="55">
        <f>_xlfn.XLOOKUP($A353,'Data 2024'!$A:$A,'Data 2024'!I:I)/_xlfn.XLOOKUP($B353,'Category Averages'!$A$2:$A$4,'Category Averages'!$B$2:$B$4)</f>
        <v>0.84608234181835806</v>
      </c>
      <c r="H353" s="55">
        <f>_xlfn.XLOOKUP($A353,'Data 2024'!$A:$A,'Data 2024'!J:J)/_xlfn.XLOOKUP($B353,'Category Averages'!$A$2:$A$4,'Category Averages'!C$2:C$4)</f>
        <v>1.4995899769601673</v>
      </c>
      <c r="I353" s="55">
        <f>_xlfn.XLOOKUP($A353,'Data 2024'!$A:$A,'Data 2024'!K:K)/_xlfn.XLOOKUP($B353,'Category Averages'!$A$2:$A$4,'Category Averages'!D$2:D$4)</f>
        <v>0.81224330097510378</v>
      </c>
      <c r="J353" s="63">
        <f>_xlfn.XLOOKUP($A353,'Data 2024'!$A:$A,'Data 2024'!P:P)/_xlfn.XLOOKUP($B353,'Category Averages'!$A$2:$A$4,'Category Averages'!E$2:E$4)</f>
        <v>0.77666024866616068</v>
      </c>
      <c r="K353" s="63">
        <f>_xlfn.XLOOKUP($A353,'Data 2024'!$A:$A,'Data 2024'!Q:Q)/_xlfn.XLOOKUP($B353,'Category Averages'!$A$2:$A$4,'Category Averages'!F$2:F$4)</f>
        <v>1.1170828594102693</v>
      </c>
    </row>
    <row r="354" spans="1:11" ht="18" customHeight="1">
      <c r="A354" s="56">
        <v>7720200</v>
      </c>
      <c r="B354" s="54" t="str">
        <f>_xlfn.XLOOKUP(A354,'Data 2024'!A:A,'Data 2024'!D:D)</f>
        <v>Region 2</v>
      </c>
      <c r="C354" s="58" t="s">
        <v>1317</v>
      </c>
      <c r="D354" s="58" t="s">
        <v>808</v>
      </c>
      <c r="E354" s="58" t="s">
        <v>843</v>
      </c>
      <c r="F354" s="58" t="s">
        <v>913</v>
      </c>
      <c r="G354" s="55">
        <f>_xlfn.XLOOKUP($A354,'Data 2024'!$A:$A,'Data 2024'!I:I)/_xlfn.XLOOKUP($B354,'Category Averages'!$A$2:$A$4,'Category Averages'!$B$2:$B$4)</f>
        <v>0.59983011079322224</v>
      </c>
      <c r="H354" s="55">
        <f>_xlfn.XLOOKUP($A354,'Data 2024'!$A:$A,'Data 2024'!J:J)/_xlfn.XLOOKUP($B354,'Category Averages'!$A$2:$A$4,'Category Averages'!C$2:C$4)</f>
        <v>0.92223792889470357</v>
      </c>
      <c r="I354" s="55">
        <f>_xlfn.XLOOKUP($A354,'Data 2024'!$A:$A,'Data 2024'!K:K)/_xlfn.XLOOKUP($B354,'Category Averages'!$A$2:$A$4,'Category Averages'!D$2:D$4)</f>
        <v>0.7581981303313704</v>
      </c>
      <c r="J354" s="63">
        <f>_xlfn.XLOOKUP($A354,'Data 2024'!$A:$A,'Data 2024'!P:P)/_xlfn.XLOOKUP($B354,'Category Averages'!$A$2:$A$4,'Category Averages'!E$2:E$4)</f>
        <v>1.816257884541153</v>
      </c>
      <c r="K354" s="63">
        <f>_xlfn.XLOOKUP($A354,'Data 2024'!$A:$A,'Data 2024'!Q:Q)/_xlfn.XLOOKUP($B354,'Category Averages'!$A$2:$A$4,'Category Averages'!F$2:F$4)</f>
        <v>1.3773512722458188</v>
      </c>
    </row>
    <row r="355" spans="1:11" ht="18" customHeight="1">
      <c r="A355" s="56">
        <v>7735200</v>
      </c>
      <c r="B355" s="54" t="str">
        <f>_xlfn.XLOOKUP(A355,'Data 2024'!A:A,'Data 2024'!D:D)</f>
        <v>Region 2</v>
      </c>
      <c r="C355" s="58" t="s">
        <v>1318</v>
      </c>
      <c r="D355" s="58" t="s">
        <v>808</v>
      </c>
      <c r="E355" s="58" t="s">
        <v>843</v>
      </c>
      <c r="F355" s="58" t="s">
        <v>900</v>
      </c>
      <c r="G355" s="55">
        <f>_xlfn.XLOOKUP($A355,'Data 2024'!$A:$A,'Data 2024'!I:I)/_xlfn.XLOOKUP($B355,'Category Averages'!$A$2:$A$4,'Category Averages'!$B$2:$B$4)</f>
        <v>0.72778380205399185</v>
      </c>
      <c r="H355" s="55">
        <f>_xlfn.XLOOKUP($A355,'Data 2024'!$A:$A,'Data 2024'!J:J)/_xlfn.XLOOKUP($B355,'Category Averages'!$A$2:$A$4,'Category Averages'!C$2:C$4)</f>
        <v>1.1657707469765426</v>
      </c>
      <c r="I355" s="55">
        <f>_xlfn.XLOOKUP($A355,'Data 2024'!$A:$A,'Data 2024'!K:K)/_xlfn.XLOOKUP($B355,'Category Averages'!$A$2:$A$4,'Category Averages'!D$2:D$4)</f>
        <v>0.9321119034497104</v>
      </c>
      <c r="J355" s="63">
        <f>_xlfn.XLOOKUP($A355,'Data 2024'!$A:$A,'Data 2024'!P:P)/_xlfn.XLOOKUP($B355,'Category Averages'!$A$2:$A$4,'Category Averages'!E$2:E$4)</f>
        <v>0.75022420563525682</v>
      </c>
      <c r="K355" s="63">
        <f>_xlfn.XLOOKUP($A355,'Data 2024'!$A:$A,'Data 2024'!Q:Q)/_xlfn.XLOOKUP($B355,'Category Averages'!$A$2:$A$4,'Category Averages'!F$2:F$4)</f>
        <v>0.88528009041234212</v>
      </c>
    </row>
    <row r="356" spans="1:11" ht="18" customHeight="1">
      <c r="A356" s="56">
        <v>7740200</v>
      </c>
      <c r="B356" s="54" t="str">
        <f>_xlfn.XLOOKUP(A356,'Data 2024'!A:A,'Data 2024'!D:D)</f>
        <v>Region 1</v>
      </c>
      <c r="C356" s="58" t="s">
        <v>1319</v>
      </c>
      <c r="D356" s="58" t="s">
        <v>808</v>
      </c>
      <c r="E356" s="58" t="s">
        <v>843</v>
      </c>
      <c r="F356" s="58" t="s">
        <v>913</v>
      </c>
      <c r="G356" s="55">
        <f>_xlfn.XLOOKUP($A356,'Data 2024'!$A:$A,'Data 2024'!I:I)/_xlfn.XLOOKUP($B356,'Category Averages'!$A$2:$A$4,'Category Averages'!$B$2:$B$4)</f>
        <v>0.93544335584352567</v>
      </c>
      <c r="H356" s="55">
        <f>_xlfn.XLOOKUP($A356,'Data 2024'!$A:$A,'Data 2024'!J:J)/_xlfn.XLOOKUP($B356,'Category Averages'!$A$2:$A$4,'Category Averages'!C$2:C$4)</f>
        <v>1.3957333315337361</v>
      </c>
      <c r="I356" s="55">
        <f>_xlfn.XLOOKUP($A356,'Data 2024'!$A:$A,'Data 2024'!K:K)/_xlfn.XLOOKUP($B356,'Category Averages'!$A$2:$A$4,'Category Averages'!D$2:D$4)</f>
        <v>0.99055388867384897</v>
      </c>
      <c r="J356" s="63">
        <f>_xlfn.XLOOKUP($A356,'Data 2024'!$A:$A,'Data 2024'!P:P)/_xlfn.XLOOKUP($B356,'Category Averages'!$A$2:$A$4,'Category Averages'!E$2:E$4)</f>
        <v>0.96743676369031351</v>
      </c>
      <c r="K356" s="63">
        <f>_xlfn.XLOOKUP($A356,'Data 2024'!$A:$A,'Data 2024'!Q:Q)/_xlfn.XLOOKUP($B356,'Category Averages'!$A$2:$A$4,'Category Averages'!F$2:F$4)</f>
        <v>0.77640740812700881</v>
      </c>
    </row>
    <row r="357" spans="1:11" ht="18" customHeight="1">
      <c r="A357" s="54">
        <v>7750200</v>
      </c>
      <c r="B357" s="54" t="str">
        <f>_xlfn.XLOOKUP(A357,'Data 2024'!A:A,'Data 2024'!D:D)</f>
        <v>Region 1</v>
      </c>
      <c r="C357" s="57" t="s">
        <v>1320</v>
      </c>
      <c r="D357" s="57" t="s">
        <v>808</v>
      </c>
      <c r="E357" s="57" t="s">
        <v>809</v>
      </c>
      <c r="F357" s="57" t="s">
        <v>841</v>
      </c>
      <c r="G357" s="55">
        <f>_xlfn.XLOOKUP($A357,'Data 2024'!$A:$A,'Data 2024'!I:I)/_xlfn.XLOOKUP($B357,'Category Averages'!$A$2:$A$4,'Category Averages'!$B$2:$B$4)</f>
        <v>0.60644890241875793</v>
      </c>
      <c r="H357" s="55">
        <f>_xlfn.XLOOKUP($A357,'Data 2024'!$A:$A,'Data 2024'!J:J)/_xlfn.XLOOKUP($B357,'Category Averages'!$A$2:$A$4,'Category Averages'!C$2:C$4)</f>
        <v>0.91635737699625763</v>
      </c>
      <c r="I357" s="55">
        <f>_xlfn.XLOOKUP($A357,'Data 2024'!$A:$A,'Data 2024'!K:K)/_xlfn.XLOOKUP($B357,'Category Averages'!$A$2:$A$4,'Category Averages'!D$2:D$4)</f>
        <v>0.82103088720344175</v>
      </c>
      <c r="J357" s="63">
        <f>_xlfn.XLOOKUP($A357,'Data 2024'!$A:$A,'Data 2024'!P:P)/_xlfn.XLOOKUP($B357,'Category Averages'!$A$2:$A$4,'Category Averages'!E$2:E$4)</f>
        <v>1.0669711640573982</v>
      </c>
      <c r="K357" s="63">
        <f>_xlfn.XLOOKUP($A357,'Data 2024'!$A:$A,'Data 2024'!Q:Q)/_xlfn.XLOOKUP($B357,'Category Averages'!$A$2:$A$4,'Category Averages'!F$2:F$4)</f>
        <v>1.0214839243001974</v>
      </c>
    </row>
    <row r="358" spans="1:11" ht="18" customHeight="1">
      <c r="A358" s="56">
        <v>7755200</v>
      </c>
      <c r="B358" s="54" t="str">
        <f>_xlfn.XLOOKUP(A358,'Data 2024'!A:A,'Data 2024'!D:D)</f>
        <v>Region 2</v>
      </c>
      <c r="C358" s="58" t="s">
        <v>1321</v>
      </c>
      <c r="D358" s="58" t="s">
        <v>808</v>
      </c>
      <c r="E358" s="58" t="s">
        <v>838</v>
      </c>
      <c r="F358" s="58" t="s">
        <v>839</v>
      </c>
      <c r="G358" s="55">
        <f>_xlfn.XLOOKUP($A358,'Data 2024'!$A:$A,'Data 2024'!I:I)/_xlfn.XLOOKUP($B358,'Category Averages'!$A$2:$A$4,'Category Averages'!$B$2:$B$4)</f>
        <v>0.96076982838835345</v>
      </c>
      <c r="H358" s="55">
        <f>_xlfn.XLOOKUP($A358,'Data 2024'!$A:$A,'Data 2024'!J:J)/_xlfn.XLOOKUP($B358,'Category Averages'!$A$2:$A$4,'Category Averages'!C$2:C$4)</f>
        <v>0.81040779032069477</v>
      </c>
      <c r="I358" s="55">
        <f>_xlfn.XLOOKUP($A358,'Data 2024'!$A:$A,'Data 2024'!K:K)/_xlfn.XLOOKUP($B358,'Category Averages'!$A$2:$A$4,'Category Averages'!D$2:D$4)</f>
        <v>0.89834401277343567</v>
      </c>
      <c r="J358" s="63">
        <f>_xlfn.XLOOKUP($A358,'Data 2024'!$A:$A,'Data 2024'!P:P)/_xlfn.XLOOKUP($B358,'Category Averages'!$A$2:$A$4,'Category Averages'!E$2:E$4)</f>
        <v>0.67773126606215228</v>
      </c>
      <c r="K358" s="63">
        <f>_xlfn.XLOOKUP($A358,'Data 2024'!$A:$A,'Data 2024'!Q:Q)/_xlfn.XLOOKUP($B358,'Category Averages'!$A$2:$A$4,'Category Averages'!F$2:F$4)</f>
        <v>0.56594939447921577</v>
      </c>
    </row>
    <row r="359" spans="1:11" ht="18" customHeight="1">
      <c r="A359" s="56">
        <v>7770200</v>
      </c>
      <c r="B359" s="54" t="str">
        <f>_xlfn.XLOOKUP(A359,'Data 2024'!A:A,'Data 2024'!D:D)</f>
        <v>Region 2</v>
      </c>
      <c r="C359" s="58" t="s">
        <v>1322</v>
      </c>
      <c r="D359" s="58" t="s">
        <v>865</v>
      </c>
      <c r="E359" s="58" t="s">
        <v>866</v>
      </c>
      <c r="F359" s="58" t="s">
        <v>867</v>
      </c>
      <c r="G359" s="55">
        <f>_xlfn.XLOOKUP($A359,'Data 2024'!$A:$A,'Data 2024'!I:I)/_xlfn.XLOOKUP($B359,'Category Averages'!$A$2:$A$4,'Category Averages'!$B$2:$B$4)</f>
        <v>0.7094980876523197</v>
      </c>
      <c r="H359" s="55">
        <f>_xlfn.XLOOKUP($A359,'Data 2024'!$A:$A,'Data 2024'!J:J)/_xlfn.XLOOKUP($B359,'Category Averages'!$A$2:$A$4,'Category Averages'!C$2:C$4)</f>
        <v>0.43669941855188105</v>
      </c>
      <c r="I359" s="55">
        <f>_xlfn.XLOOKUP($A359,'Data 2024'!$A:$A,'Data 2024'!K:K)/_xlfn.XLOOKUP($B359,'Category Averages'!$A$2:$A$4,'Category Averages'!D$2:D$4)</f>
        <v>0.69598294667343452</v>
      </c>
      <c r="J359" s="63">
        <f>_xlfn.XLOOKUP($A359,'Data 2024'!$A:$A,'Data 2024'!P:P)/_xlfn.XLOOKUP($B359,'Category Averages'!$A$2:$A$4,'Category Averages'!E$2:E$4)</f>
        <v>1.5387384922737655</v>
      </c>
      <c r="K359" s="63">
        <f>_xlfn.XLOOKUP($A359,'Data 2024'!$A:$A,'Data 2024'!Q:Q)/_xlfn.XLOOKUP($B359,'Category Averages'!$A$2:$A$4,'Category Averages'!F$2:F$4)</f>
        <v>2.6255346438195586</v>
      </c>
    </row>
    <row r="360" spans="1:11" ht="18" customHeight="1">
      <c r="A360" s="54">
        <v>7795200</v>
      </c>
      <c r="B360" s="54" t="str">
        <f>_xlfn.XLOOKUP(A360,'Data 2024'!A:A,'Data 2024'!D:D)</f>
        <v>Region 2</v>
      </c>
      <c r="C360" s="57" t="s">
        <v>1323</v>
      </c>
      <c r="D360" s="57" t="s">
        <v>865</v>
      </c>
      <c r="E360" s="57" t="s">
        <v>1188</v>
      </c>
      <c r="F360" s="57" t="s">
        <v>1260</v>
      </c>
      <c r="G360" s="55">
        <f>_xlfn.XLOOKUP($A360,'Data 2024'!$A:$A,'Data 2024'!I:I)/_xlfn.XLOOKUP($B360,'Category Averages'!$A$2:$A$4,'Category Averages'!$B$2:$B$4)</f>
        <v>0.83662615711349153</v>
      </c>
      <c r="H360" s="55">
        <f>_xlfn.XLOOKUP($A360,'Data 2024'!$A:$A,'Data 2024'!J:J)/_xlfn.XLOOKUP($B360,'Category Averages'!$A$2:$A$4,'Category Averages'!C$2:C$4)</f>
        <v>0.57893979457386713</v>
      </c>
      <c r="I360" s="55">
        <f>_xlfn.XLOOKUP($A360,'Data 2024'!$A:$A,'Data 2024'!K:K)/_xlfn.XLOOKUP($B360,'Category Averages'!$A$2:$A$4,'Category Averages'!D$2:D$4)</f>
        <v>0.88210025152484051</v>
      </c>
      <c r="J360" s="63">
        <f>_xlfn.XLOOKUP($A360,'Data 2024'!$A:$A,'Data 2024'!P:P)/_xlfn.XLOOKUP($B360,'Category Averages'!$A$2:$A$4,'Category Averages'!E$2:E$4)</f>
        <v>0.78040426885315806</v>
      </c>
      <c r="K360" s="63">
        <f>_xlfn.XLOOKUP($A360,'Data 2024'!$A:$A,'Data 2024'!Q:Q)/_xlfn.XLOOKUP($B360,'Category Averages'!$A$2:$A$4,'Category Averages'!F$2:F$4)</f>
        <v>1.0180113454830682</v>
      </c>
    </row>
    <row r="361" spans="1:11" ht="18" customHeight="1">
      <c r="A361" s="56">
        <v>7800200</v>
      </c>
      <c r="B361" s="54" t="str">
        <f>_xlfn.XLOOKUP(A361,'Data 2024'!A:A,'Data 2024'!D:D)</f>
        <v>Region 1</v>
      </c>
      <c r="C361" s="58" t="s">
        <v>1324</v>
      </c>
      <c r="D361" s="58" t="s">
        <v>830</v>
      </c>
      <c r="E361" s="58" t="s">
        <v>948</v>
      </c>
      <c r="F361" s="58" t="s">
        <v>949</v>
      </c>
      <c r="G361" s="55">
        <f>_xlfn.XLOOKUP($A361,'Data 2024'!$A:$A,'Data 2024'!I:I)/_xlfn.XLOOKUP($B361,'Category Averages'!$A$2:$A$4,'Category Averages'!$B$2:$B$4)</f>
        <v>1.3200493762463388</v>
      </c>
      <c r="H361" s="55">
        <f>_xlfn.XLOOKUP($A361,'Data 2024'!$A:$A,'Data 2024'!J:J)/_xlfn.XLOOKUP($B361,'Category Averages'!$A$2:$A$4,'Category Averages'!C$2:C$4)</f>
        <v>1.4459857041729161</v>
      </c>
      <c r="I361" s="55">
        <f>_xlfn.XLOOKUP($A361,'Data 2024'!$A:$A,'Data 2024'!K:K)/_xlfn.XLOOKUP($B361,'Category Averages'!$A$2:$A$4,'Category Averages'!D$2:D$4)</f>
        <v>0.98142622904182253</v>
      </c>
      <c r="J361" s="63">
        <f>_xlfn.XLOOKUP($A361,'Data 2024'!$A:$A,'Data 2024'!P:P)/_xlfn.XLOOKUP($B361,'Category Averages'!$A$2:$A$4,'Category Averages'!E$2:E$4)</f>
        <v>1.0412447892552754</v>
      </c>
      <c r="K361" s="63">
        <f>_xlfn.XLOOKUP($A361,'Data 2024'!$A:$A,'Data 2024'!Q:Q)/_xlfn.XLOOKUP($B361,'Category Averages'!$A$2:$A$4,'Category Averages'!F$2:F$4)</f>
        <v>0.83766119937291406</v>
      </c>
    </row>
    <row r="362" spans="1:11" ht="18" customHeight="1">
      <c r="A362" s="56">
        <v>7805200</v>
      </c>
      <c r="B362" s="54" t="str">
        <f>_xlfn.XLOOKUP(A362,'Data 2024'!A:A,'Data 2024'!D:D)</f>
        <v>Region 1</v>
      </c>
      <c r="C362" s="58" t="s">
        <v>1325</v>
      </c>
      <c r="D362" s="58" t="s">
        <v>808</v>
      </c>
      <c r="E362" s="58" t="s">
        <v>814</v>
      </c>
      <c r="F362" s="58" t="s">
        <v>1028</v>
      </c>
      <c r="G362" s="55">
        <f>_xlfn.XLOOKUP($A362,'Data 2024'!$A:$A,'Data 2024'!I:I)/_xlfn.XLOOKUP($B362,'Category Averages'!$A$2:$A$4,'Category Averages'!$B$2:$B$4)</f>
        <v>1.0953267016821691</v>
      </c>
      <c r="H362" s="55">
        <f>_xlfn.XLOOKUP($A362,'Data 2024'!$A:$A,'Data 2024'!J:J)/_xlfn.XLOOKUP($B362,'Category Averages'!$A$2:$A$4,'Category Averages'!C$2:C$4)</f>
        <v>1.8088783067734602</v>
      </c>
      <c r="I362" s="55">
        <f>_xlfn.XLOOKUP($A362,'Data 2024'!$A:$A,'Data 2024'!K:K)/_xlfn.XLOOKUP($B362,'Category Averages'!$A$2:$A$4,'Category Averages'!D$2:D$4)</f>
        <v>0.59532782840406395</v>
      </c>
      <c r="J362" s="63">
        <f>_xlfn.XLOOKUP($A362,'Data 2024'!$A:$A,'Data 2024'!P:P)/_xlfn.XLOOKUP($B362,'Category Averages'!$A$2:$A$4,'Category Averages'!E$2:E$4)</f>
        <v>2.3226694388482128</v>
      </c>
      <c r="K362" s="63">
        <f>_xlfn.XLOOKUP($A362,'Data 2024'!$A:$A,'Data 2024'!Q:Q)/_xlfn.XLOOKUP($B362,'Category Averages'!$A$2:$A$4,'Category Averages'!F$2:F$4)</f>
        <v>2.1949623330614538</v>
      </c>
    </row>
    <row r="363" spans="1:11" ht="18" customHeight="1">
      <c r="A363" s="54">
        <v>7845200</v>
      </c>
      <c r="B363" s="54" t="str">
        <f>_xlfn.XLOOKUP(A363,'Data 2024'!A:A,'Data 2024'!D:D)</f>
        <v>Region 1</v>
      </c>
      <c r="C363" s="57" t="s">
        <v>1326</v>
      </c>
      <c r="D363" s="57" t="s">
        <v>830</v>
      </c>
      <c r="E363" s="57" t="s">
        <v>951</v>
      </c>
      <c r="F363" s="57" t="s">
        <v>958</v>
      </c>
      <c r="G363" s="55">
        <f>_xlfn.XLOOKUP($A363,'Data 2024'!$A:$A,'Data 2024'!I:I)/_xlfn.XLOOKUP($B363,'Category Averages'!$A$2:$A$4,'Category Averages'!$B$2:$B$4)</f>
        <v>1.5863514381682187</v>
      </c>
      <c r="H363" s="55">
        <f>_xlfn.XLOOKUP($A363,'Data 2024'!$A:$A,'Data 2024'!J:J)/_xlfn.XLOOKUP($B363,'Category Averages'!$A$2:$A$4,'Category Averages'!C$2:C$4)</f>
        <v>0.79323358572420699</v>
      </c>
      <c r="I363" s="55">
        <f>_xlfn.XLOOKUP($A363,'Data 2024'!$A:$A,'Data 2024'!K:K)/_xlfn.XLOOKUP($B363,'Category Averages'!$A$2:$A$4,'Category Averages'!D$2:D$4)</f>
        <v>1.0225863482085535</v>
      </c>
      <c r="J363" s="63">
        <f>_xlfn.XLOOKUP($A363,'Data 2024'!$A:$A,'Data 2024'!P:P)/_xlfn.XLOOKUP($B363,'Category Averages'!$A$2:$A$4,'Category Averages'!E$2:E$4)</f>
        <v>0.4084421556788283</v>
      </c>
      <c r="K363" s="63">
        <f>_xlfn.XLOOKUP($A363,'Data 2024'!$A:$A,'Data 2024'!Q:Q)/_xlfn.XLOOKUP($B363,'Category Averages'!$A$2:$A$4,'Category Averages'!F$2:F$4)</f>
        <v>0.38636397909935488</v>
      </c>
    </row>
    <row r="364" spans="1:11" ht="18" customHeight="1">
      <c r="A364" s="56">
        <v>7850200</v>
      </c>
      <c r="B364" s="54" t="str">
        <f>_xlfn.XLOOKUP(A364,'Data 2024'!A:A,'Data 2024'!D:D)</f>
        <v>Region 1</v>
      </c>
      <c r="C364" s="58" t="s">
        <v>1327</v>
      </c>
      <c r="D364" s="58" t="s">
        <v>830</v>
      </c>
      <c r="E364" s="58" t="s">
        <v>951</v>
      </c>
      <c r="F364" s="58" t="s">
        <v>985</v>
      </c>
      <c r="G364" s="55">
        <f>_xlfn.XLOOKUP($A364,'Data 2024'!$A:$A,'Data 2024'!I:I)/_xlfn.XLOOKUP($B364,'Category Averages'!$A$2:$A$4,'Category Averages'!$B$2:$B$4)</f>
        <v>1.4786704303520914</v>
      </c>
      <c r="H364" s="55">
        <f>_xlfn.XLOOKUP($A364,'Data 2024'!$A:$A,'Data 2024'!J:J)/_xlfn.XLOOKUP($B364,'Category Averages'!$A$2:$A$4,'Category Averages'!C$2:C$4)</f>
        <v>0</v>
      </c>
      <c r="I364" s="55">
        <f>_xlfn.XLOOKUP($A364,'Data 2024'!$A:$A,'Data 2024'!K:K)/_xlfn.XLOOKUP($B364,'Category Averages'!$A$2:$A$4,'Category Averages'!D$2:D$4)</f>
        <v>0.8208111792067142</v>
      </c>
      <c r="J364" s="63">
        <f>_xlfn.XLOOKUP($A364,'Data 2024'!$A:$A,'Data 2024'!P:P)/_xlfn.XLOOKUP($B364,'Category Averages'!$A$2:$A$4,'Category Averages'!E$2:E$4)</f>
        <v>0.90692267607323596</v>
      </c>
      <c r="K364" s="63">
        <f>_xlfn.XLOOKUP($A364,'Data 2024'!$A:$A,'Data 2024'!Q:Q)/_xlfn.XLOOKUP($B364,'Category Averages'!$A$2:$A$4,'Category Averages'!F$2:F$4)</f>
        <v>1.531465232391358</v>
      </c>
    </row>
    <row r="365" spans="1:11" ht="18" customHeight="1">
      <c r="A365" s="56">
        <v>7860200</v>
      </c>
      <c r="B365" s="54" t="str">
        <f>_xlfn.XLOOKUP(A365,'Data 2024'!A:A,'Data 2024'!D:D)</f>
        <v>Region 2</v>
      </c>
      <c r="C365" s="58" t="s">
        <v>1328</v>
      </c>
      <c r="D365" s="58" t="s">
        <v>830</v>
      </c>
      <c r="E365" s="58" t="s">
        <v>831</v>
      </c>
      <c r="F365" s="58" t="s">
        <v>946</v>
      </c>
      <c r="G365" s="55">
        <f>_xlfn.XLOOKUP($A365,'Data 2024'!$A:$A,'Data 2024'!I:I)/_xlfn.XLOOKUP($B365,'Category Averages'!$A$2:$A$4,'Category Averages'!$B$2:$B$4)</f>
        <v>0.91328536239567781</v>
      </c>
      <c r="H365" s="55">
        <f>_xlfn.XLOOKUP($A365,'Data 2024'!$A:$A,'Data 2024'!J:J)/_xlfn.XLOOKUP($B365,'Category Averages'!$A$2:$A$4,'Category Averages'!C$2:C$4)</f>
        <v>0.52804781818014723</v>
      </c>
      <c r="I365" s="55">
        <f>_xlfn.XLOOKUP($A365,'Data 2024'!$A:$A,'Data 2024'!K:K)/_xlfn.XLOOKUP($B365,'Category Averages'!$A$2:$A$4,'Category Averages'!D$2:D$4)</f>
        <v>0.69008439500494712</v>
      </c>
      <c r="J365" s="63">
        <f>_xlfn.XLOOKUP($A365,'Data 2024'!$A:$A,'Data 2024'!P:P)/_xlfn.XLOOKUP($B365,'Category Averages'!$A$2:$A$4,'Category Averages'!E$2:E$4)</f>
        <v>1.1327169088344429</v>
      </c>
      <c r="K365" s="63">
        <f>_xlfn.XLOOKUP($A365,'Data 2024'!$A:$A,'Data 2024'!Q:Q)/_xlfn.XLOOKUP($B365,'Category Averages'!$A$2:$A$4,'Category Averages'!F$2:F$4)</f>
        <v>1.2838625654496338</v>
      </c>
    </row>
    <row r="366" spans="1:11" ht="18" customHeight="1">
      <c r="A366" s="54">
        <v>7870200</v>
      </c>
      <c r="B366" s="54" t="str">
        <f>_xlfn.XLOOKUP(A366,'Data 2024'!A:A,'Data 2024'!D:D)</f>
        <v>Region 1</v>
      </c>
      <c r="C366" s="57" t="s">
        <v>1329</v>
      </c>
      <c r="D366" s="57" t="s">
        <v>830</v>
      </c>
      <c r="E366" s="57" t="s">
        <v>831</v>
      </c>
      <c r="F366" s="57" t="s">
        <v>1010</v>
      </c>
      <c r="G366" s="55">
        <f>_xlfn.XLOOKUP($A366,'Data 2024'!$A:$A,'Data 2024'!I:I)/_xlfn.XLOOKUP($B366,'Category Averages'!$A$2:$A$4,'Category Averages'!$B$2:$B$4)</f>
        <v>1.2349021234366195</v>
      </c>
      <c r="H366" s="55">
        <f>_xlfn.XLOOKUP($A366,'Data 2024'!$A:$A,'Data 2024'!J:J)/_xlfn.XLOOKUP($B366,'Category Averages'!$A$2:$A$4,'Category Averages'!C$2:C$4)</f>
        <v>0</v>
      </c>
      <c r="I366" s="55">
        <f>_xlfn.XLOOKUP($A366,'Data 2024'!$A:$A,'Data 2024'!K:K)/_xlfn.XLOOKUP($B366,'Category Averages'!$A$2:$A$4,'Category Averages'!D$2:D$4)</f>
        <v>0.88711678452723985</v>
      </c>
      <c r="J366" s="63">
        <f>_xlfn.XLOOKUP($A366,'Data 2024'!$A:$A,'Data 2024'!P:P)/_xlfn.XLOOKUP($B366,'Category Averages'!$A$2:$A$4,'Category Averages'!E$2:E$4)</f>
        <v>0.52263056219055704</v>
      </c>
      <c r="K366" s="63">
        <f>_xlfn.XLOOKUP($A366,'Data 2024'!$A:$A,'Data 2024'!Q:Q)/_xlfn.XLOOKUP($B366,'Category Averages'!$A$2:$A$4,'Category Averages'!F$2:F$4)</f>
        <v>1.1457202400192639</v>
      </c>
    </row>
    <row r="367" spans="1:11" ht="18" customHeight="1">
      <c r="A367" s="54">
        <v>7885200</v>
      </c>
      <c r="B367" s="54" t="str">
        <f>_xlfn.XLOOKUP(A367,'Data 2024'!A:A,'Data 2024'!D:D)</f>
        <v>Region 1</v>
      </c>
      <c r="C367" s="57" t="s">
        <v>1330</v>
      </c>
      <c r="D367" s="57" t="s">
        <v>830</v>
      </c>
      <c r="E367" s="57" t="s">
        <v>996</v>
      </c>
      <c r="F367" s="57" t="s">
        <v>997</v>
      </c>
      <c r="G367" s="55">
        <f>_xlfn.XLOOKUP($A367,'Data 2024'!$A:$A,'Data 2024'!I:I)/_xlfn.XLOOKUP($B367,'Category Averages'!$A$2:$A$4,'Category Averages'!$B$2:$B$4)</f>
        <v>2.0012904847749828</v>
      </c>
      <c r="H367" s="55">
        <f>_xlfn.XLOOKUP($A367,'Data 2024'!$A:$A,'Data 2024'!J:J)/_xlfn.XLOOKUP($B367,'Category Averages'!$A$2:$A$4,'Category Averages'!C$2:C$4)</f>
        <v>2.7378851853423103</v>
      </c>
      <c r="I367" s="55">
        <f>_xlfn.XLOOKUP($A367,'Data 2024'!$A:$A,'Data 2024'!K:K)/_xlfn.XLOOKUP($B367,'Category Averages'!$A$2:$A$4,'Category Averages'!D$2:D$4)</f>
        <v>1.3406584671844084</v>
      </c>
      <c r="J367" s="63">
        <f>_xlfn.XLOOKUP($A367,'Data 2024'!$A:$A,'Data 2024'!P:P)/_xlfn.XLOOKUP($B367,'Category Averages'!$A$2:$A$4,'Category Averages'!E$2:E$4)</f>
        <v>1.7841324863502477</v>
      </c>
      <c r="K367" s="63">
        <f>_xlfn.XLOOKUP($A367,'Data 2024'!$A:$A,'Data 2024'!Q:Q)/_xlfn.XLOOKUP($B367,'Category Averages'!$A$2:$A$4,'Category Averages'!F$2:F$4)</f>
        <v>0.61600009663153932</v>
      </c>
    </row>
    <row r="368" spans="1:11" ht="18" customHeight="1">
      <c r="A368" s="56">
        <v>7890200</v>
      </c>
      <c r="B368" s="54" t="str">
        <f>_xlfn.XLOOKUP(A368,'Data 2024'!A:A,'Data 2024'!D:D)</f>
        <v>Region 12</v>
      </c>
      <c r="C368" s="58" t="s">
        <v>1331</v>
      </c>
      <c r="D368" s="58" t="s">
        <v>830</v>
      </c>
      <c r="E368" s="58" t="s">
        <v>831</v>
      </c>
      <c r="F368" s="58" t="s">
        <v>1332</v>
      </c>
      <c r="G368" s="55">
        <f>_xlfn.XLOOKUP($A368,'Data 2024'!$A:$A,'Data 2024'!I:I)/_xlfn.XLOOKUP($B368,'Category Averages'!$A$2:$A$4,'Category Averages'!$B$2:$B$4)</f>
        <v>5.3419944747704031</v>
      </c>
      <c r="H368" s="55" t="e">
        <f>_xlfn.XLOOKUP($A368,'Data 2024'!$A:$A,'Data 2024'!J:J)/_xlfn.XLOOKUP($B368,'Category Averages'!$A$2:$A$4,'Category Averages'!C$2:C$4)</f>
        <v>#DIV/0!</v>
      </c>
      <c r="I368" s="55">
        <f>_xlfn.XLOOKUP($A368,'Data 2024'!$A:$A,'Data 2024'!K:K)/_xlfn.XLOOKUP($B368,'Category Averages'!$A$2:$A$4,'Category Averages'!D$2:D$4)</f>
        <v>5.0728948451214952</v>
      </c>
      <c r="J368" s="63">
        <f>_xlfn.XLOOKUP($A368,'Data 2024'!$A:$A,'Data 2024'!P:P)/_xlfn.XLOOKUP($B368,'Category Averages'!$A$2:$A$4,'Category Averages'!E$2:E$4)</f>
        <v>0.53667475618878158</v>
      </c>
      <c r="K368" s="63">
        <f>_xlfn.XLOOKUP($A368,'Data 2024'!$A:$A,'Data 2024'!Q:Q)/_xlfn.XLOOKUP($B368,'Category Averages'!$A$2:$A$4,'Category Averages'!F$2:F$4)</f>
        <v>0.22456338846218962</v>
      </c>
    </row>
    <row r="369" spans="1:11" ht="18" customHeight="1">
      <c r="A369" s="56">
        <v>7895200</v>
      </c>
      <c r="B369" s="54" t="str">
        <f>_xlfn.XLOOKUP(A369,'Data 2024'!A:A,'Data 2024'!D:D)</f>
        <v>Region 12</v>
      </c>
      <c r="C369" s="58" t="s">
        <v>1333</v>
      </c>
      <c r="D369" s="58" t="s">
        <v>830</v>
      </c>
      <c r="E369" s="58" t="s">
        <v>831</v>
      </c>
      <c r="F369" s="58" t="s">
        <v>1332</v>
      </c>
      <c r="G369" s="55">
        <f>_xlfn.XLOOKUP($A369,'Data 2024'!$A:$A,'Data 2024'!I:I)/_xlfn.XLOOKUP($B369,'Category Averages'!$A$2:$A$4,'Category Averages'!$B$2:$B$4)</f>
        <v>3.9890715356393103</v>
      </c>
      <c r="H369" s="55" t="e">
        <f>_xlfn.XLOOKUP($A369,'Data 2024'!$A:$A,'Data 2024'!J:J)/_xlfn.XLOOKUP($B369,'Category Averages'!$A$2:$A$4,'Category Averages'!C$2:C$4)</f>
        <v>#DIV/0!</v>
      </c>
      <c r="I369" s="55">
        <f>_xlfn.XLOOKUP($A369,'Data 2024'!$A:$A,'Data 2024'!K:K)/_xlfn.XLOOKUP($B369,'Category Averages'!$A$2:$A$4,'Category Averages'!D$2:D$4)</f>
        <v>5.4707191897812208</v>
      </c>
      <c r="J369" s="63">
        <f>_xlfn.XLOOKUP($A369,'Data 2024'!$A:$A,'Data 2024'!P:P)/_xlfn.XLOOKUP($B369,'Category Averages'!$A$2:$A$4,'Category Averages'!E$2:E$4)</f>
        <v>0.22307034608106541</v>
      </c>
      <c r="K369" s="63">
        <f>_xlfn.XLOOKUP($A369,'Data 2024'!$A:$A,'Data 2024'!Q:Q)/_xlfn.XLOOKUP($B369,'Category Averages'!$A$2:$A$4,'Category Averages'!F$2:F$4)</f>
        <v>8.4405190742765715E-2</v>
      </c>
    </row>
    <row r="370" spans="1:11" ht="18" customHeight="1">
      <c r="A370" s="56">
        <v>7900200</v>
      </c>
      <c r="B370" s="54" t="str">
        <f>_xlfn.XLOOKUP(A370,'Data 2024'!A:A,'Data 2024'!D:D)</f>
        <v>Region 1</v>
      </c>
      <c r="C370" s="58" t="s">
        <v>1334</v>
      </c>
      <c r="D370" s="58" t="s">
        <v>830</v>
      </c>
      <c r="E370" s="58" t="s">
        <v>951</v>
      </c>
      <c r="F370" s="58" t="s">
        <v>1335</v>
      </c>
      <c r="G370" s="55">
        <f>_xlfn.XLOOKUP($A370,'Data 2024'!$A:$A,'Data 2024'!I:I)/_xlfn.XLOOKUP($B370,'Category Averages'!$A$2:$A$4,'Category Averages'!$B$2:$B$4)</f>
        <v>2.274315519144106</v>
      </c>
      <c r="H370" s="55">
        <f>_xlfn.XLOOKUP($A370,'Data 2024'!$A:$A,'Data 2024'!J:J)/_xlfn.XLOOKUP($B370,'Category Averages'!$A$2:$A$4,'Category Averages'!C$2:C$4)</f>
        <v>0</v>
      </c>
      <c r="I370" s="55">
        <f>_xlfn.XLOOKUP($A370,'Data 2024'!$A:$A,'Data 2024'!K:K)/_xlfn.XLOOKUP($B370,'Category Averages'!$A$2:$A$4,'Category Averages'!D$2:D$4)</f>
        <v>0.79697983415239693</v>
      </c>
      <c r="J370" s="63">
        <f>_xlfn.XLOOKUP($A370,'Data 2024'!$A:$A,'Data 2024'!P:P)/_xlfn.XLOOKUP($B370,'Category Averages'!$A$2:$A$4,'Category Averages'!E$2:E$4)</f>
        <v>1.340130364382065</v>
      </c>
      <c r="K370" s="63">
        <f>_xlfn.XLOOKUP($A370,'Data 2024'!$A:$A,'Data 2024'!Q:Q)/_xlfn.XLOOKUP($B370,'Category Averages'!$A$2:$A$4,'Category Averages'!F$2:F$4)</f>
        <v>1.4616946595473608</v>
      </c>
    </row>
    <row r="371" spans="1:11" ht="18" customHeight="1">
      <c r="A371" s="56">
        <v>7905200</v>
      </c>
      <c r="B371" s="54" t="str">
        <f>_xlfn.XLOOKUP(A371,'Data 2024'!A:A,'Data 2024'!D:D)</f>
        <v>Region 2</v>
      </c>
      <c r="C371" s="58" t="s">
        <v>1336</v>
      </c>
      <c r="D371" s="58" t="s">
        <v>830</v>
      </c>
      <c r="E371" s="58" t="s">
        <v>948</v>
      </c>
      <c r="F371" s="58" t="s">
        <v>1034</v>
      </c>
      <c r="G371" s="55">
        <f>_xlfn.XLOOKUP($A371,'Data 2024'!$A:$A,'Data 2024'!I:I)/_xlfn.XLOOKUP($B371,'Category Averages'!$A$2:$A$4,'Category Averages'!$B$2:$B$4)</f>
        <v>0.74477234603475051</v>
      </c>
      <c r="H371" s="55">
        <f>_xlfn.XLOOKUP($A371,'Data 2024'!$A:$A,'Data 2024'!J:J)/_xlfn.XLOOKUP($B371,'Category Averages'!$A$2:$A$4,'Category Averages'!C$2:C$4)</f>
        <v>0.5499284921752684</v>
      </c>
      <c r="I371" s="55">
        <f>_xlfn.XLOOKUP($A371,'Data 2024'!$A:$A,'Data 2024'!K:K)/_xlfn.XLOOKUP($B371,'Category Averages'!$A$2:$A$4,'Category Averages'!D$2:D$4)</f>
        <v>0.56566726368150588</v>
      </c>
      <c r="J371" s="63">
        <f>_xlfn.XLOOKUP($A371,'Data 2024'!$A:$A,'Data 2024'!P:P)/_xlfn.XLOOKUP($B371,'Category Averages'!$A$2:$A$4,'Category Averages'!E$2:E$4)</f>
        <v>1.3971550874985286</v>
      </c>
      <c r="K371" s="63">
        <f>_xlfn.XLOOKUP($A371,'Data 2024'!$A:$A,'Data 2024'!Q:Q)/_xlfn.XLOOKUP($B371,'Category Averages'!$A$2:$A$4,'Category Averages'!F$2:F$4)</f>
        <v>1.6799057910850905</v>
      </c>
    </row>
    <row r="372" spans="1:11" ht="18" customHeight="1">
      <c r="A372" s="56">
        <v>7915200</v>
      </c>
      <c r="B372" s="54" t="str">
        <f>_xlfn.XLOOKUP(A372,'Data 2024'!A:A,'Data 2024'!D:D)</f>
        <v>Region 2</v>
      </c>
      <c r="C372" s="58" t="s">
        <v>1337</v>
      </c>
      <c r="D372" s="58" t="s">
        <v>830</v>
      </c>
      <c r="E372" s="58" t="s">
        <v>831</v>
      </c>
      <c r="F372" s="58" t="s">
        <v>1015</v>
      </c>
      <c r="G372" s="55">
        <f>_xlfn.XLOOKUP($A372,'Data 2024'!$A:$A,'Data 2024'!I:I)/_xlfn.XLOOKUP($B372,'Category Averages'!$A$2:$A$4,'Category Averages'!$B$2:$B$4)</f>
        <v>1.3592715106738908</v>
      </c>
      <c r="H372" s="55">
        <f>_xlfn.XLOOKUP($A372,'Data 2024'!$A:$A,'Data 2024'!J:J)/_xlfn.XLOOKUP($B372,'Category Averages'!$A$2:$A$4,'Category Averages'!C$2:C$4)</f>
        <v>1.0154689836960793</v>
      </c>
      <c r="I372" s="55">
        <f>_xlfn.XLOOKUP($A372,'Data 2024'!$A:$A,'Data 2024'!K:K)/_xlfn.XLOOKUP($B372,'Category Averages'!$A$2:$A$4,'Category Averages'!D$2:D$4)</f>
        <v>0.97933833315699825</v>
      </c>
      <c r="J372" s="63">
        <f>_xlfn.XLOOKUP($A372,'Data 2024'!$A:$A,'Data 2024'!P:P)/_xlfn.XLOOKUP($B372,'Category Averages'!$A$2:$A$4,'Category Averages'!E$2:E$4)</f>
        <v>0.93021070938344119</v>
      </c>
      <c r="K372" s="63">
        <f>_xlfn.XLOOKUP($A372,'Data 2024'!$A:$A,'Data 2024'!Q:Q)/_xlfn.XLOOKUP($B372,'Category Averages'!$A$2:$A$4,'Category Averages'!F$2:F$4)</f>
        <v>0.46299167158812621</v>
      </c>
    </row>
    <row r="373" spans="1:11" ht="18" customHeight="1">
      <c r="A373" s="56">
        <v>8379200</v>
      </c>
      <c r="B373" s="54" t="str">
        <f>_xlfn.XLOOKUP(A373,'Data 2024'!A:A,'Data 2024'!D:D)</f>
        <v>Region 2</v>
      </c>
      <c r="C373" s="58" t="s">
        <v>1338</v>
      </c>
      <c r="D373" s="58" t="s">
        <v>808</v>
      </c>
      <c r="E373" s="58" t="s">
        <v>1339</v>
      </c>
      <c r="F373" s="58" t="s">
        <v>1340</v>
      </c>
      <c r="G373" s="55">
        <f>_xlfn.XLOOKUP($A373,'Data 2024'!$A:$A,'Data 2024'!I:I)/_xlfn.XLOOKUP($B373,'Category Averages'!$A$2:$A$4,'Category Averages'!$B$2:$B$4)</f>
        <v>2.5819428754833904</v>
      </c>
      <c r="H373" s="55">
        <f>_xlfn.XLOOKUP($A373,'Data 2024'!$A:$A,'Data 2024'!J:J)/_xlfn.XLOOKUP($B373,'Category Averages'!$A$2:$A$4,'Category Averages'!C$2:C$4)</f>
        <v>3.0201470481290458</v>
      </c>
      <c r="I373" s="55">
        <f>_xlfn.XLOOKUP($A373,'Data 2024'!$A:$A,'Data 2024'!K:K)/_xlfn.XLOOKUP($B373,'Category Averages'!$A$2:$A$4,'Category Averages'!D$2:D$4)</f>
        <v>2.5633865649905658</v>
      </c>
      <c r="J373" s="63">
        <f>_xlfn.XLOOKUP($A373,'Data 2024'!$A:$A,'Data 2024'!P:P)/_xlfn.XLOOKUP($B373,'Category Averages'!$A$2:$A$4,'Category Averages'!E$2:E$4)</f>
        <v>1.5000723755834851</v>
      </c>
      <c r="K373" s="63">
        <f>_xlfn.XLOOKUP($A373,'Data 2024'!$A:$A,'Data 2024'!Q:Q)/_xlfn.XLOOKUP($B373,'Category Averages'!$A$2:$A$4,'Category Averages'!F$2:F$4)</f>
        <v>1.2150129667855916</v>
      </c>
    </row>
    <row r="374" spans="1:11" ht="18" customHeight="1">
      <c r="A374" s="56">
        <v>8380200</v>
      </c>
      <c r="B374" s="54" t="str">
        <f>_xlfn.XLOOKUP(A374,'Data 2024'!A:A,'Data 2024'!D:D)</f>
        <v>Region 2</v>
      </c>
      <c r="C374" s="58" t="s">
        <v>1341</v>
      </c>
      <c r="D374" s="58" t="s">
        <v>808</v>
      </c>
      <c r="E374" s="58" t="s">
        <v>1339</v>
      </c>
      <c r="F374" s="58" t="s">
        <v>1340</v>
      </c>
      <c r="G374" s="55">
        <f>_xlfn.XLOOKUP($A374,'Data 2024'!$A:$A,'Data 2024'!I:I)/_xlfn.XLOOKUP($B374,'Category Averages'!$A$2:$A$4,'Category Averages'!$B$2:$B$4)</f>
        <v>4.4412717022462687</v>
      </c>
      <c r="H374" s="55">
        <f>_xlfn.XLOOKUP($A374,'Data 2024'!$A:$A,'Data 2024'!J:J)/_xlfn.XLOOKUP($B374,'Category Averages'!$A$2:$A$4,'Category Averages'!C$2:C$4)</f>
        <v>3.0914121378499861</v>
      </c>
      <c r="I374" s="55">
        <f>_xlfn.XLOOKUP($A374,'Data 2024'!$A:$A,'Data 2024'!K:K)/_xlfn.XLOOKUP($B374,'Category Averages'!$A$2:$A$4,'Category Averages'!D$2:D$4)</f>
        <v>0</v>
      </c>
      <c r="J374" s="63">
        <f>_xlfn.XLOOKUP($A374,'Data 2024'!$A:$A,'Data 2024'!P:P)/_xlfn.XLOOKUP($B374,'Category Averages'!$A$2:$A$4,'Category Averages'!E$2:E$4)</f>
        <v>1.0409510570048359</v>
      </c>
      <c r="K374" s="63">
        <f>_xlfn.XLOOKUP($A374,'Data 2024'!$A:$A,'Data 2024'!Q:Q)/_xlfn.XLOOKUP($B374,'Category Averages'!$A$2:$A$4,'Category Averages'!F$2:F$4)</f>
        <v>0.38207010925240309</v>
      </c>
    </row>
    <row r="375" spans="1:11" ht="18" customHeight="1">
      <c r="A375" s="56">
        <v>8484800</v>
      </c>
      <c r="B375" s="54" t="str">
        <f>_xlfn.XLOOKUP(A375,'Data 2024'!A:A,'Data 2024'!D:D)</f>
        <v>Region 2</v>
      </c>
      <c r="C375" s="58" t="s">
        <v>1342</v>
      </c>
      <c r="D375" s="58" t="s">
        <v>808</v>
      </c>
      <c r="E375" s="58" t="s">
        <v>1339</v>
      </c>
      <c r="F375" s="58" t="s">
        <v>1340</v>
      </c>
      <c r="G375" s="55">
        <f>_xlfn.XLOOKUP($A375,'Data 2024'!$A:$A,'Data 2024'!I:I)/_xlfn.XLOOKUP($B375,'Category Averages'!$A$2:$A$4,'Category Averages'!$B$2:$B$4)</f>
        <v>2.3053227499082936</v>
      </c>
      <c r="H375" s="55">
        <f>_xlfn.XLOOKUP($A375,'Data 2024'!$A:$A,'Data 2024'!J:J)/_xlfn.XLOOKUP($B375,'Category Averages'!$A$2:$A$4,'Category Averages'!C$2:C$4)</f>
        <v>5.2753245387642682</v>
      </c>
      <c r="I375" s="55">
        <f>_xlfn.XLOOKUP($A375,'Data 2024'!$A:$A,'Data 2024'!K:K)/_xlfn.XLOOKUP($B375,'Category Averages'!$A$2:$A$4,'Category Averages'!D$2:D$4)</f>
        <v>2.6530305272942898</v>
      </c>
      <c r="J375" s="63">
        <f>_xlfn.XLOOKUP($A375,'Data 2024'!$A:$A,'Data 2024'!P:P)/_xlfn.XLOOKUP($B375,'Category Averages'!$A$2:$A$4,'Category Averages'!E$2:E$4)</f>
        <v>2.1470132249447755</v>
      </c>
      <c r="K375" s="63">
        <f>_xlfn.XLOOKUP($A375,'Data 2024'!$A:$A,'Data 2024'!Q:Q)/_xlfn.XLOOKUP($B375,'Category Averages'!$A$2:$A$4,'Category Averages'!F$2:F$4)</f>
        <v>2.2231222851980634</v>
      </c>
    </row>
    <row r="376" spans="1:11" ht="18" customHeight="1">
      <c r="A376" s="56">
        <v>8485000</v>
      </c>
      <c r="B376" s="54" t="str">
        <f>_xlfn.XLOOKUP(A376,'Data 2024'!A:A,'Data 2024'!D:D)</f>
        <v>Region 2</v>
      </c>
      <c r="C376" s="58" t="s">
        <v>1343</v>
      </c>
      <c r="D376" s="58" t="s">
        <v>808</v>
      </c>
      <c r="E376" s="58" t="s">
        <v>1339</v>
      </c>
      <c r="F376" s="58" t="s">
        <v>1340</v>
      </c>
      <c r="G376" s="55">
        <f>_xlfn.XLOOKUP($A376,'Data 2024'!$A:$A,'Data 2024'!I:I)/_xlfn.XLOOKUP($B376,'Category Averages'!$A$2:$A$4,'Category Averages'!$B$2:$B$4)</f>
        <v>3.8958047125084674</v>
      </c>
      <c r="H376" s="55">
        <f>_xlfn.XLOOKUP($A376,'Data 2024'!$A:$A,'Data 2024'!J:J)/_xlfn.XLOOKUP($B376,'Category Averages'!$A$2:$A$4,'Category Averages'!C$2:C$4)</f>
        <v>5.3845813362357227</v>
      </c>
      <c r="I376" s="55">
        <f>_xlfn.XLOOKUP($A376,'Data 2024'!$A:$A,'Data 2024'!K:K)/_xlfn.XLOOKUP($B376,'Category Averages'!$A$2:$A$4,'Category Averages'!D$2:D$4)</f>
        <v>2.9158762036604808</v>
      </c>
      <c r="J376" s="63">
        <f>_xlfn.XLOOKUP($A376,'Data 2024'!$A:$A,'Data 2024'!P:P)/_xlfn.XLOOKUP($B376,'Category Averages'!$A$2:$A$4,'Category Averages'!E$2:E$4)</f>
        <v>0.71044405366088947</v>
      </c>
      <c r="K376" s="63">
        <f>_xlfn.XLOOKUP($A376,'Data 2024'!$A:$A,'Data 2024'!Q:Q)/_xlfn.XLOOKUP($B376,'Category Averages'!$A$2:$A$4,'Category Averages'!F$2:F$4)</f>
        <v>0.24393702621576013</v>
      </c>
    </row>
    <row r="377" spans="1:11" ht="18" customHeight="1">
      <c r="A377" s="56">
        <v>2587700</v>
      </c>
      <c r="B377" s="54" t="str">
        <f>_xlfn.XLOOKUP(A377,'Data 2024'!A:A,'Data 2024'!D:D)</f>
        <v>Region 2</v>
      </c>
      <c r="C377" s="58" t="s">
        <v>1344</v>
      </c>
      <c r="D377" s="58" t="s">
        <v>808</v>
      </c>
      <c r="E377" s="58" t="s">
        <v>843</v>
      </c>
      <c r="F377" s="58" t="s">
        <v>869</v>
      </c>
      <c r="G377" s="55">
        <f>_xlfn.XLOOKUP($A377,'Data 2024'!$A:$A,'Data 2024'!I:I)/_xlfn.XLOOKUP($B377,'Category Averages'!$A$2:$A$4,'Category Averages'!$B$2:$B$4)</f>
        <v>0</v>
      </c>
      <c r="H377" s="55">
        <f>_xlfn.XLOOKUP($A377,'Data 2024'!$A:$A,'Data 2024'!J:J)/_xlfn.XLOOKUP($B377,'Category Averages'!$A$2:$A$4,'Category Averages'!C$2:C$4)</f>
        <v>0</v>
      </c>
      <c r="I377" s="55">
        <f>_xlfn.XLOOKUP($A377,'Data 2024'!$A:$A,'Data 2024'!K:K)/_xlfn.XLOOKUP($B377,'Category Averages'!$A$2:$A$4,'Category Averages'!D$2:D$4)</f>
        <v>0</v>
      </c>
      <c r="J377" s="63">
        <f>_xlfn.XLOOKUP($A377,'Data 2024'!$A:$A,'Data 2024'!P:P)/_xlfn.XLOOKUP($B377,'Category Averages'!$A$2:$A$4,'Category Averages'!E$2:E$4)</f>
        <v>0</v>
      </c>
      <c r="K377" s="63">
        <f>_xlfn.XLOOKUP($A377,'Data 2024'!$A:$A,'Data 2024'!Q:Q)/_xlfn.XLOOKUP($B377,'Category Averages'!$A$2:$A$4,'Category Averages'!F$2:F$4)</f>
        <v>1.5654893036789344</v>
      </c>
    </row>
    <row r="378" spans="1:11" ht="18" customHeight="1">
      <c r="A378" s="56">
        <v>3582200</v>
      </c>
      <c r="B378" s="54" t="e">
        <f>_xlfn.XLOOKUP(A378,'Data 2024'!A:A,'Data 2024'!D:D)</f>
        <v>#N/A</v>
      </c>
      <c r="C378" s="58" t="s">
        <v>1345</v>
      </c>
      <c r="D378" s="58" t="s">
        <v>830</v>
      </c>
      <c r="E378" s="58" t="s">
        <v>831</v>
      </c>
      <c r="F378" s="58" t="s">
        <v>962</v>
      </c>
      <c r="G378" s="55" t="e">
        <f>_xlfn.XLOOKUP($A378,'Data 2024'!$A:$A,'Data 2024'!I:I)/_xlfn.XLOOKUP($B378,'Category Averages'!$A$2:$A$4,'Category Averages'!$B$2:$B$4)</f>
        <v>#N/A</v>
      </c>
      <c r="H378" s="55" t="e">
        <f>_xlfn.XLOOKUP($A378,'Data 2024'!$A:$A,'Data 2024'!J:J)/_xlfn.XLOOKUP($B378,'Category Averages'!$A$2:$A$4,'Category Averages'!C$2:C$4)</f>
        <v>#N/A</v>
      </c>
      <c r="I378" s="55" t="e">
        <f>_xlfn.XLOOKUP($A378,'Data 2024'!$A:$A,'Data 2024'!K:K)/_xlfn.XLOOKUP($B378,'Category Averages'!$A$2:$A$4,'Category Averages'!D$2:D$4)</f>
        <v>#N/A</v>
      </c>
      <c r="J378" s="63" t="e">
        <f>_xlfn.XLOOKUP($A378,'Data 2024'!$A:$A,'Data 2024'!P:P)/_xlfn.XLOOKUP($B378,'Category Averages'!$A$2:$A$4,'Category Averages'!E$2:E$4)</f>
        <v>#N/A</v>
      </c>
      <c r="K378" s="63" t="e">
        <f>_xlfn.XLOOKUP($A378,'Data 2024'!$A:$A,'Data 2024'!Q:Q)/_xlfn.XLOOKUP($B378,'Category Averages'!$A$2:$A$4,'Category Averages'!F$2:F$4)</f>
        <v>#N/A</v>
      </c>
    </row>
    <row r="379" spans="1:11" ht="18" customHeight="1">
      <c r="A379" s="56">
        <v>4495200</v>
      </c>
      <c r="B379" s="54" t="str">
        <f>_xlfn.XLOOKUP(A379,'Data 2024'!A:A,'Data 2024'!D:D)</f>
        <v>Region 2</v>
      </c>
      <c r="C379" s="58" t="s">
        <v>1346</v>
      </c>
      <c r="D379" s="58" t="s">
        <v>830</v>
      </c>
      <c r="E379" s="58" t="s">
        <v>948</v>
      </c>
      <c r="F379" s="58" t="s">
        <v>1022</v>
      </c>
      <c r="G379" s="55">
        <f>_xlfn.XLOOKUP($A379,'Data 2024'!$A:$A,'Data 2024'!I:I)/_xlfn.XLOOKUP($B379,'Category Averages'!$A$2:$A$4,'Category Averages'!$B$2:$B$4)</f>
        <v>0</v>
      </c>
      <c r="H379" s="55">
        <f>_xlfn.XLOOKUP($A379,'Data 2024'!$A:$A,'Data 2024'!J:J)/_xlfn.XLOOKUP($B379,'Category Averages'!$A$2:$A$4,'Category Averages'!C$2:C$4)</f>
        <v>0</v>
      </c>
      <c r="I379" s="55">
        <f>_xlfn.XLOOKUP($A379,'Data 2024'!$A:$A,'Data 2024'!K:K)/_xlfn.XLOOKUP($B379,'Category Averages'!$A$2:$A$4,'Category Averages'!D$2:D$4)</f>
        <v>0</v>
      </c>
      <c r="J379" s="63">
        <f>_xlfn.XLOOKUP($A379,'Data 2024'!$A:$A,'Data 2024'!P:P)/_xlfn.XLOOKUP($B379,'Category Averages'!$A$2:$A$4,'Category Averages'!E$2:E$4)</f>
        <v>0</v>
      </c>
      <c r="K379" s="63">
        <f>_xlfn.XLOOKUP($A379,'Data 2024'!$A:$A,'Data 2024'!Q:Q)/_xlfn.XLOOKUP($B379,'Category Averages'!$A$2:$A$4,'Category Averages'!F$2:F$4)</f>
        <v>0.37054290995375172</v>
      </c>
    </row>
    <row r="380" spans="1:11" ht="18" customHeight="1">
      <c r="A380" s="56">
        <v>4793100</v>
      </c>
      <c r="B380" s="54" t="str">
        <f>_xlfn.XLOOKUP(A380,'Data 2024'!A:A,'Data 2024'!D:D)</f>
        <v>Region 2</v>
      </c>
      <c r="C380" s="58" t="s">
        <v>1347</v>
      </c>
      <c r="D380" s="58" t="s">
        <v>808</v>
      </c>
      <c r="E380" s="58" t="s">
        <v>814</v>
      </c>
      <c r="F380" s="58" t="s">
        <v>1028</v>
      </c>
      <c r="G380" s="55">
        <f>_xlfn.XLOOKUP($A380,'Data 2024'!$A:$A,'Data 2024'!I:I)/_xlfn.XLOOKUP($B380,'Category Averages'!$A$2:$A$4,'Category Averages'!$B$2:$B$4)</f>
        <v>0</v>
      </c>
      <c r="H380" s="55">
        <f>_xlfn.XLOOKUP($A380,'Data 2024'!$A:$A,'Data 2024'!J:J)/_xlfn.XLOOKUP($B380,'Category Averages'!$A$2:$A$4,'Category Averages'!C$2:C$4)</f>
        <v>0</v>
      </c>
      <c r="I380" s="55">
        <f>_xlfn.XLOOKUP($A380,'Data 2024'!$A:$A,'Data 2024'!K:K)/_xlfn.XLOOKUP($B380,'Category Averages'!$A$2:$A$4,'Category Averages'!D$2:D$4)</f>
        <v>0</v>
      </c>
      <c r="J380" s="63">
        <f>_xlfn.XLOOKUP($A380,'Data 2024'!$A:$A,'Data 2024'!P:P)/_xlfn.XLOOKUP($B380,'Category Averages'!$A$2:$A$4,'Category Averages'!E$2:E$4)</f>
        <v>0</v>
      </c>
      <c r="K380" s="63">
        <f>_xlfn.XLOOKUP($A380,'Data 2024'!$A:$A,'Data 2024'!Q:Q)/_xlfn.XLOOKUP($B380,'Category Averages'!$A$2:$A$4,'Category Averages'!F$2:F$4)</f>
        <v>0.83078390977179162</v>
      </c>
    </row>
    <row r="381" spans="1:11" ht="18" customHeight="1">
      <c r="A381" s="56">
        <v>4893700</v>
      </c>
      <c r="B381" s="54" t="e">
        <f>_xlfn.XLOOKUP(A381,'Data 2024'!A:A,'Data 2024'!D:D)</f>
        <v>#N/A</v>
      </c>
      <c r="C381" s="58" t="s">
        <v>1348</v>
      </c>
      <c r="D381" s="58" t="s">
        <v>830</v>
      </c>
      <c r="E381" s="58" t="s">
        <v>951</v>
      </c>
      <c r="F381" s="58" t="s">
        <v>1335</v>
      </c>
      <c r="G381" s="55" t="e">
        <f>_xlfn.XLOOKUP($A381,'Data 2024'!$A:$A,'Data 2024'!I:I)/_xlfn.XLOOKUP($B381,'Category Averages'!$A$2:$A$4,'Category Averages'!$B$2:$B$4)</f>
        <v>#N/A</v>
      </c>
      <c r="H381" s="55" t="e">
        <f>_xlfn.XLOOKUP($A381,'Data 2024'!$A:$A,'Data 2024'!J:J)/_xlfn.XLOOKUP($B381,'Category Averages'!$A$2:$A$4,'Category Averages'!C$2:C$4)</f>
        <v>#N/A</v>
      </c>
      <c r="I381" s="55" t="e">
        <f>_xlfn.XLOOKUP($A381,'Data 2024'!$A:$A,'Data 2024'!K:K)/_xlfn.XLOOKUP($B381,'Category Averages'!$A$2:$A$4,'Category Averages'!D$2:D$4)</f>
        <v>#N/A</v>
      </c>
      <c r="J381" s="63" t="e">
        <f>_xlfn.XLOOKUP($A381,'Data 2024'!$A:$A,'Data 2024'!P:P)/_xlfn.XLOOKUP($B381,'Category Averages'!$A$2:$A$4,'Category Averages'!E$2:E$4)</f>
        <v>#N/A</v>
      </c>
      <c r="K381" s="63" t="e">
        <f>_xlfn.XLOOKUP($A381,'Data 2024'!$A:$A,'Data 2024'!Q:Q)/_xlfn.XLOOKUP($B381,'Category Averages'!$A$2:$A$4,'Category Averages'!F$2:F$4)</f>
        <v>#N/A</v>
      </c>
    </row>
    <row r="382" spans="1:11" ht="18" customHeight="1">
      <c r="A382" s="56">
        <v>5892100</v>
      </c>
      <c r="B382" s="54" t="str">
        <f>_xlfn.XLOOKUP(A382,'Data 2024'!A:A,'Data 2024'!D:D)</f>
        <v>Region 2</v>
      </c>
      <c r="C382" s="58" t="s">
        <v>1349</v>
      </c>
      <c r="D382" s="58" t="s">
        <v>865</v>
      </c>
      <c r="E382" s="58" t="s">
        <v>872</v>
      </c>
      <c r="F382" s="58" t="s">
        <v>1157</v>
      </c>
      <c r="G382" s="55">
        <f>_xlfn.XLOOKUP($A382,'Data 2024'!$A:$A,'Data 2024'!I:I)/_xlfn.XLOOKUP($B382,'Category Averages'!$A$2:$A$4,'Category Averages'!$B$2:$B$4)</f>
        <v>0</v>
      </c>
      <c r="H382" s="55">
        <f>_xlfn.XLOOKUP($A382,'Data 2024'!$A:$A,'Data 2024'!J:J)/_xlfn.XLOOKUP($B382,'Category Averages'!$A$2:$A$4,'Category Averages'!C$2:C$4)</f>
        <v>0</v>
      </c>
      <c r="I382" s="55">
        <f>_xlfn.XLOOKUP($A382,'Data 2024'!$A:$A,'Data 2024'!K:K)/_xlfn.XLOOKUP($B382,'Category Averages'!$A$2:$A$4,'Category Averages'!D$2:D$4)</f>
        <v>0</v>
      </c>
      <c r="J382" s="63">
        <f>_xlfn.XLOOKUP($A382,'Data 2024'!$A:$A,'Data 2024'!P:P)/_xlfn.XLOOKUP($B382,'Category Averages'!$A$2:$A$4,'Category Averages'!E$2:E$4)</f>
        <v>0</v>
      </c>
      <c r="K382" s="63">
        <f>_xlfn.XLOOKUP($A382,'Data 2024'!$A:$A,'Data 2024'!Q:Q)/_xlfn.XLOOKUP($B382,'Category Averages'!$A$2:$A$4,'Category Averages'!F$2:F$4)</f>
        <v>0.16913401393975133</v>
      </c>
    </row>
  </sheetData>
  <autoFilter ref="A1:K382" xr:uid="{6047EB7E-D477-403E-A44F-9FE236A7DABA}"/>
  <conditionalFormatting sqref="G2:I382">
    <cfRule type="cellIs" dxfId="25" priority="3" operator="greaterThanOrEqual">
      <formula>1</formula>
    </cfRule>
    <cfRule type="cellIs" dxfId="24" priority="4" operator="greaterThan">
      <formula>1</formula>
    </cfRule>
    <cfRule type="cellIs" dxfId="23" priority="5" operator="lessThan">
      <formula>1</formula>
    </cfRule>
  </conditionalFormatting>
  <conditionalFormatting sqref="J2:K382">
    <cfRule type="cellIs" dxfId="22" priority="1" operator="greaterThan">
      <formula>1</formula>
    </cfRule>
    <cfRule type="cellIs" dxfId="21" priority="2" operator="lessThanOrEqual">
      <formula>1</formula>
    </cfRule>
  </conditionalFormatting>
  <dataValidations count="1">
    <dataValidation type="list" allowBlank="1" sqref="L2" xr:uid="{C799FAC8-AD30-461A-9003-7181755F8E3A}">
      <formula1>$A$2:$A$6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BD69-B753-47DE-B427-950A0FF9EFA3}">
  <sheetPr codeName="Sheet5">
    <tabColor theme="5"/>
    <pageSetUpPr autoPageBreaks="0" fitToPage="1"/>
  </sheetPr>
  <dimension ref="A1:R12"/>
  <sheetViews>
    <sheetView showGridLines="0" zoomScale="55" zoomScaleNormal="55" workbookViewId="0">
      <selection activeCell="E1" sqref="C1:J442"/>
    </sheetView>
  </sheetViews>
  <sheetFormatPr defaultColWidth="9" defaultRowHeight="47.1" customHeight="1"/>
  <cols>
    <col min="1" max="1" width="9" style="6" customWidth="1"/>
    <col min="2" max="2" width="17" style="6" customWidth="1"/>
    <col min="3" max="3" width="9.109375" style="6" customWidth="1"/>
    <col min="4" max="4" width="25.33203125" style="6" bestFit="1" customWidth="1"/>
    <col min="5" max="5" width="20.88671875" style="6" customWidth="1"/>
    <col min="6" max="7" width="17.5546875" style="6" customWidth="1"/>
    <col min="8" max="8" width="17.77734375" style="6" customWidth="1"/>
    <col min="9" max="9" width="20.109375" style="6" customWidth="1"/>
    <col min="10" max="10" width="16.88671875" style="6" bestFit="1" customWidth="1"/>
    <col min="11" max="11" width="19.88671875" style="6" customWidth="1"/>
    <col min="12" max="12" width="9" style="6"/>
    <col min="13" max="18" width="9" style="4"/>
    <col min="19" max="16384" width="9" style="1"/>
  </cols>
  <sheetData>
    <row r="1" spans="1:18" s="4" customFormat="1" ht="30.6" customHeight="1" thickBot="1">
      <c r="A1" s="101" t="s">
        <v>1350</v>
      </c>
      <c r="B1" s="102"/>
      <c r="C1" s="112">
        <v>467603</v>
      </c>
      <c r="D1" s="113"/>
      <c r="E1" s="114" t="s">
        <v>787</v>
      </c>
      <c r="F1" s="115"/>
      <c r="G1" s="115"/>
      <c r="H1" s="115"/>
      <c r="I1" s="115"/>
      <c r="J1" s="116"/>
      <c r="K1" s="21"/>
      <c r="L1" s="11"/>
      <c r="M1" s="11"/>
      <c r="N1" s="11"/>
      <c r="O1" s="11"/>
      <c r="P1" s="11"/>
    </row>
    <row r="2" spans="1:18" s="4" customFormat="1" ht="32.1" customHeight="1" thickBot="1">
      <c r="A2" s="93" t="s">
        <v>1351</v>
      </c>
      <c r="B2" s="93"/>
      <c r="C2" s="120" t="e" cm="1">
        <f t="array" ref="C2">Kút_kategóriája</f>
        <v>#N/A</v>
      </c>
      <c r="D2" s="120"/>
      <c r="E2" s="117"/>
      <c r="F2" s="118"/>
      <c r="G2" s="118"/>
      <c r="H2" s="118"/>
      <c r="I2" s="118"/>
      <c r="J2" s="119"/>
      <c r="K2" s="21"/>
      <c r="L2" s="11"/>
      <c r="M2" s="11"/>
      <c r="N2" s="11"/>
      <c r="O2" s="11"/>
      <c r="P2" s="11"/>
    </row>
    <row r="3" spans="1:18" s="4" customFormat="1" ht="30.6" customHeight="1" thickBot="1">
      <c r="A3" s="107" t="s">
        <v>1352</v>
      </c>
      <c r="B3" s="108"/>
      <c r="C3" s="121" t="e">
        <f>_xlfn.XLOOKUP(Kútkód,'Data 2024'!B:B,'Data 2024'!C:C)</f>
        <v>#N/A</v>
      </c>
      <c r="D3" s="122"/>
      <c r="E3" s="122"/>
      <c r="F3" s="122"/>
      <c r="G3" s="123"/>
      <c r="H3" s="90"/>
      <c r="I3" s="90"/>
      <c r="J3" s="91"/>
      <c r="K3" s="21"/>
      <c r="L3" s="11"/>
      <c r="M3" s="11"/>
      <c r="N3" s="11"/>
      <c r="O3" s="11"/>
      <c r="P3" s="11"/>
    </row>
    <row r="4" spans="1:18" s="4" customFormat="1" ht="35.450000000000003" customHeight="1">
      <c r="A4" s="5"/>
      <c r="B4" s="8"/>
      <c r="C4" s="111" t="s">
        <v>1353</v>
      </c>
      <c r="D4" s="104"/>
      <c r="E4" s="104"/>
      <c r="F4" s="104"/>
      <c r="G4" s="104"/>
      <c r="H4" s="105"/>
      <c r="I4" s="105"/>
      <c r="J4" s="106"/>
      <c r="K4" s="22"/>
      <c r="L4" s="10"/>
      <c r="M4" s="10"/>
      <c r="N4" s="10"/>
      <c r="O4" s="10"/>
      <c r="P4" s="10"/>
    </row>
    <row r="5" spans="1:18" s="4" customFormat="1" ht="256.5" customHeight="1" thickBot="1">
      <c r="A5" s="6"/>
      <c r="B5" s="9"/>
      <c r="C5" s="2"/>
      <c r="D5" s="26"/>
      <c r="E5" s="26"/>
      <c r="F5" s="26"/>
      <c r="G5" s="26"/>
      <c r="H5" s="26"/>
      <c r="I5" s="26"/>
      <c r="J5" s="3"/>
      <c r="K5" s="7"/>
      <c r="L5" s="12"/>
      <c r="M5" s="11"/>
      <c r="N5" s="11"/>
      <c r="O5" s="11"/>
      <c r="P5" s="11"/>
    </row>
    <row r="6" spans="1:18" s="4" customFormat="1" ht="49.5" customHeight="1">
      <c r="A6" s="92"/>
      <c r="B6" s="92"/>
      <c r="C6" s="6"/>
      <c r="D6" s="32" t="s">
        <v>1354</v>
      </c>
      <c r="E6" s="27" t="s">
        <v>1355</v>
      </c>
      <c r="F6" s="27" t="s">
        <v>1356</v>
      </c>
      <c r="G6" s="28" t="s">
        <v>1357</v>
      </c>
      <c r="H6" s="27" t="s">
        <v>1358</v>
      </c>
      <c r="I6" s="43" t="s">
        <v>1359</v>
      </c>
      <c r="M6" s="25"/>
      <c r="N6" s="25"/>
      <c r="O6" s="25"/>
    </row>
    <row r="7" spans="1:18" s="4" customFormat="1" ht="36.950000000000003" customHeight="1">
      <c r="B7" s="6"/>
      <c r="C7" s="6"/>
      <c r="D7" s="29" t="s">
        <v>1360</v>
      </c>
      <c r="E7" s="34" t="e">
        <f>_xlfn.XLOOKUP(Kútkód,'Data 2024'!$B2:$B380,'Data 2024'!$I2:$I380)</f>
        <v>#N/A</v>
      </c>
      <c r="F7" s="34" t="e">
        <f>_xlfn.XLOOKUP(Kútkód,'Data 2024'!$B2:$B380,'Data 2024'!$J2:$J380)</f>
        <v>#N/A</v>
      </c>
      <c r="G7" s="34" t="e">
        <f>_xlfn.XLOOKUP(Kútkód,'Data 2024'!$B2:$B380,'Data 2024'!$K2:$K380)</f>
        <v>#N/A</v>
      </c>
      <c r="H7" s="34" t="e">
        <f>_xlfn.XLOOKUP(Kútkód,'Data 2024'!$B2:$B380,'Data 2024'!P2:P380)</f>
        <v>#N/A</v>
      </c>
      <c r="I7" s="35" t="e">
        <f>_xlfn.XLOOKUP(Kútkód,'Data 2024'!$B2:$B380,'Data 2024'!Q2:Q380)</f>
        <v>#N/A</v>
      </c>
      <c r="M7" s="25"/>
      <c r="N7" s="25"/>
      <c r="O7" s="25"/>
    </row>
    <row r="8" spans="1:18" s="4" customFormat="1" ht="36.950000000000003" customHeight="1">
      <c r="B8" s="6"/>
      <c r="C8" s="6"/>
      <c r="D8" s="30" t="s">
        <v>1361</v>
      </c>
      <c r="E8" s="36" t="e" cm="1">
        <f t="array" ref="E8">AVERAGEIFS('Data 2024'!$I2:$I380,'Data 2024'!$D$2:$D$380,Kút_kategóriája)</f>
        <v>#DIV/0!</v>
      </c>
      <c r="F8" s="36" t="e" cm="1">
        <f t="array" ref="F8">AVERAGEIFS('Data 2024'!$J2:$J380,'Data 2024'!$D$2:$D$380,Kút_kategóriája)</f>
        <v>#DIV/0!</v>
      </c>
      <c r="G8" s="37" t="e" cm="1">
        <f t="array" ref="G8">AVERAGEIFS('Data 2024'!$K2:$K380,'Data 2024'!$D$2:$D$380,Kút_kategóriája)</f>
        <v>#DIV/0!</v>
      </c>
      <c r="H8" s="38" t="e" cm="1">
        <f t="array" ref="H8">AVERAGEIFS('Data 2024'!$P2:$P380,'Data 2024'!$D$2:$D$380,Kút_kategóriája)</f>
        <v>#DIV/0!</v>
      </c>
      <c r="I8" s="39" t="e" cm="1">
        <f t="array" ref="I8">AVERAGEIFS('Data 2024'!$Q2:$Q380,'Data 2024'!$D$2:$D$380,Kút_kategóriája)</f>
        <v>#DIV/0!</v>
      </c>
      <c r="O8" s="25"/>
    </row>
    <row r="9" spans="1:18" s="4" customFormat="1" ht="36.950000000000003" customHeight="1" thickBot="1">
      <c r="B9" s="6"/>
      <c r="C9" s="6"/>
      <c r="D9" s="31" t="s">
        <v>1362</v>
      </c>
      <c r="E9" s="40" t="e">
        <f>E7/E8</f>
        <v>#N/A</v>
      </c>
      <c r="F9" s="40" t="e">
        <f>F7/F8</f>
        <v>#N/A</v>
      </c>
      <c r="G9" s="40" t="e">
        <f>G7/G8</f>
        <v>#N/A</v>
      </c>
      <c r="H9" s="41" t="e">
        <f>H7/H8</f>
        <v>#N/A</v>
      </c>
      <c r="I9" s="42" t="e">
        <f>I7/I8</f>
        <v>#N/A</v>
      </c>
      <c r="O9" s="25"/>
      <c r="P9" s="25"/>
      <c r="Q9" s="25"/>
      <c r="R9" s="25"/>
    </row>
    <row r="10" spans="1:18" s="4" customFormat="1" ht="47.1" customHeight="1"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8" s="4" customFormat="1" ht="47.1" customHeight="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8" s="4" customFormat="1" ht="47.1" customHeight="1">
      <c r="B12" s="6"/>
      <c r="C12" s="6"/>
      <c r="D12" s="6"/>
      <c r="E12" s="6"/>
      <c r="F12" s="6"/>
      <c r="G12" s="6"/>
      <c r="H12" s="6"/>
      <c r="I12" s="6"/>
      <c r="J12" s="6"/>
      <c r="K12" s="6"/>
    </row>
  </sheetData>
  <sheetProtection algorithmName="SHA-512" hashValue="2GuvoQW22Xb0AJwneTlj/iML42HmSwjBoB1tWNKogaL+HVyoG7H3ZznaW4CHHgMh8ngTkZ5pU2/6ck7umL0hDQ==" saltValue="1RVp+RCxZL23syKlOW79sQ==" spinCount="100000" sheet="1" objects="1" scenarios="1"/>
  <mergeCells count="9">
    <mergeCell ref="C4:J4"/>
    <mergeCell ref="A6:B6"/>
    <mergeCell ref="A1:B1"/>
    <mergeCell ref="C1:D1"/>
    <mergeCell ref="E1:J2"/>
    <mergeCell ref="A2:B2"/>
    <mergeCell ref="C2:D2"/>
    <mergeCell ref="A3:B3"/>
    <mergeCell ref="C3:G3"/>
  </mergeCells>
  <dataValidations count="7">
    <dataValidation allowBlank="1" showInputMessage="1" showErrorMessage="1" prompt="Enter total number of items sold in this column under this heading" sqref="G6" xr:uid="{0BCD5218-5579-4B7F-BFE9-E6F8C8056427}"/>
    <dataValidation allowBlank="1" showInputMessage="1" showErrorMessage="1" prompt="Enter sales Item in this column under this heading" sqref="D6" xr:uid="{72BAC9B9-DEF9-45B9-B394-7A2248A0E248}"/>
    <dataValidation allowBlank="1" showInputMessage="1" showErrorMessage="1" prompt="Profit per Item including shipping cost is automatically calculated in this column under this heading" sqref="H6:I6" xr:uid="{2401285D-73C7-4A4D-9E38-FEDDC417D852}"/>
    <dataValidation allowBlank="1" showInputMessage="1" showErrorMessage="1" prompt="Column chart comparing Product Profit Per Item is in this cell. % Income Per Product pie chart is in cell at right" sqref="B5" xr:uid="{6F9F9EF9-E163-4146-A4DD-7CF697000B13}"/>
    <dataValidation allowBlank="1" showInputMessage="1" showErrorMessage="1" prompt="Pie chart illustrating the ratio of the % Income Per Product for each item out of 100% is in this cell" sqref="I5" xr:uid="{D4E60B99-E86C-420B-A465-36B42DA90086}"/>
    <dataValidation allowBlank="1" showInputMessage="1" showErrorMessage="1" prompt="Title of this worksheet is in this cell. Product Profit Per Item column chart is in cell B3 and % Income Per Product pie chart is in cell I3" sqref="K4:P4" xr:uid="{B0AC9C3A-9C13-49FF-BD1B-70A141A7DF0C}"/>
    <dataValidation allowBlank="1" showInputMessage="1" showErrorMessage="1" prompt="Total Revenue is automatically calculated in this column under this heading" sqref="E6:F6" xr:uid="{106A3841-5605-44EA-B8A6-5EB795A034F8}"/>
  </dataValidations>
  <printOptions horizontalCentered="1"/>
  <pageMargins left="0.25" right="0.25" top="0.75" bottom="0.75" header="0.3" footer="0.3"/>
  <pageSetup scale="59" fitToHeight="0" orientation="landscape" r:id="rId1"/>
  <headerFooter differentFirst="1">
    <oddFooter>&amp;CPage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3FDBA66F-EF54-44BF-A1CB-E60C0C8468E9}"/>
</file>

<file path=customXml/itemProps2.xml><?xml version="1.0" encoding="utf-8"?>
<ds:datastoreItem xmlns:ds="http://schemas.openxmlformats.org/officeDocument/2006/customXml" ds:itemID="{C2D3E36D-7F3C-4D12-B8DB-499715033B4C}"/>
</file>

<file path=customXml/itemProps3.xml><?xml version="1.0" encoding="utf-8"?>
<ds:datastoreItem xmlns:ds="http://schemas.openxmlformats.org/officeDocument/2006/customXml" ds:itemID="{099ABE4D-BE01-40CF-BEAB-ABF21B498C5E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TM10000095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2023-09-13T13:57:15Z</dcterms:created>
  <dcterms:modified xsi:type="dcterms:W3CDTF">2025-05-22T21:39:58Z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