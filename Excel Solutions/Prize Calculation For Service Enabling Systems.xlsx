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/>
  <mc:AlternateContent xmlns:mc="http://schemas.openxmlformats.org/markup-compatibility/2006">
    <mc:Choice Requires="x15">
      <x15ac:absPath xmlns:x15ac="http://schemas.microsoft.com/office/spreadsheetml/2010/11/ac" url="https://molonline-my.sharepoint.com/personal/issoltesz_molgroup_info/Documents/Feladatok/Archívum/"/>
    </mc:Choice>
  </mc:AlternateContent>
  <xr:revisionPtr revIDLastSave="0" documentId="8_{0DCA6117-AEF1-4870-AE0D-8AE3E0AEC1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st1" sheetId="1" r:id="rId1"/>
  </sheets>
  <externalReferences>
    <externalReference r:id="rId2"/>
    <externalReference r:id="rId3"/>
  </externalReferences>
  <definedNames>
    <definedName name="_xlnm._FilterDatabase" localSheetId="0" hidden="1">List1!$A$1:$K$1</definedName>
    <definedName name="jelenlegi_dolgozói_létszám_adatokban_toltőállomások_kút_kódjának_oszlopa">[1]Munka1!$A$2:$A$378</definedName>
    <definedName name="jelenlegi_dolgozói_létszám_adatokban_toltőállomások_létszámának_oszlopa">[1]Munka1!$E$2:$E$378</definedName>
    <definedName name="kávé_adatok_brazil_kávé_arányának_oszlopa">[2]List1!$E$2:$E$300</definedName>
    <definedName name="kávé_adatok_eladott_brazil_kávék_oszlopa">[2]List1!$D$2:$D$300</definedName>
    <definedName name="kávé_adatok_eladott_kávé_mennyiségének_oszlopa">[2]List1!$C$2:$C$300</definedName>
    <definedName name="kávé_adatok_kávé_mennyiségének_oszlopa">[2]List1!$C$2:$C$300</definedName>
    <definedName name="kávé_adatok_kútkód_oszlopa">[2]List1!$A$2:$A$300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9" i="1" l="1"/>
  <c r="K4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K225" i="1" l="1"/>
  <c r="K168" i="1"/>
  <c r="K277" i="1"/>
  <c r="K216" i="1"/>
  <c r="K122" i="1"/>
  <c r="K32" i="1"/>
  <c r="K47" i="1"/>
  <c r="K114" i="1"/>
  <c r="K259" i="1"/>
  <c r="K108" i="1"/>
  <c r="K65" i="1"/>
  <c r="K127" i="1"/>
  <c r="K226" i="1"/>
  <c r="K6" i="1"/>
  <c r="K162" i="1"/>
  <c r="K252" i="1"/>
  <c r="K9" i="1"/>
  <c r="K102" i="1"/>
  <c r="K117" i="1"/>
  <c r="K191" i="1"/>
  <c r="K45" i="1"/>
  <c r="K118" i="1"/>
  <c r="K49" i="1"/>
  <c r="K197" i="1"/>
  <c r="K201" i="1"/>
  <c r="K265" i="1"/>
  <c r="K230" i="1"/>
  <c r="K12" i="1"/>
  <c r="K199" i="1"/>
  <c r="K293" i="1"/>
  <c r="K48" i="1"/>
  <c r="K19" i="1"/>
  <c r="K291" i="1"/>
  <c r="K213" i="1"/>
  <c r="K285" i="1"/>
  <c r="K179" i="1"/>
  <c r="K68" i="1"/>
  <c r="K74" i="1"/>
  <c r="K167" i="1"/>
  <c r="K77" i="1"/>
  <c r="K154" i="1"/>
  <c r="K90" i="1"/>
  <c r="K224" i="1"/>
  <c r="K147" i="1"/>
  <c r="K214" i="1"/>
  <c r="K261" i="1"/>
  <c r="K44" i="1"/>
  <c r="K16" i="1"/>
  <c r="K218" i="1"/>
  <c r="K166" i="1"/>
  <c r="K247" i="1"/>
  <c r="K258" i="1"/>
  <c r="K188" i="1"/>
  <c r="K116" i="1"/>
  <c r="K204" i="1"/>
  <c r="K53" i="1"/>
  <c r="K126" i="1"/>
  <c r="K274" i="1"/>
  <c r="K54" i="1"/>
  <c r="K150" i="1"/>
  <c r="K236" i="1"/>
  <c r="K15" i="1"/>
  <c r="K24" i="1"/>
  <c r="K165" i="1"/>
  <c r="K239" i="1"/>
  <c r="K175" i="1"/>
  <c r="K73" i="1"/>
  <c r="K149" i="1"/>
  <c r="K172" i="1"/>
  <c r="K193" i="1"/>
  <c r="K198" i="1"/>
  <c r="K192" i="1"/>
  <c r="K82" i="1"/>
  <c r="K286" i="1"/>
  <c r="K212" i="1"/>
  <c r="K174" i="1"/>
  <c r="K128" i="1"/>
  <c r="K211" i="1"/>
  <c r="K131" i="1"/>
  <c r="K139" i="1"/>
  <c r="K59" i="1"/>
  <c r="K152" i="1"/>
  <c r="K84" i="1"/>
  <c r="K158" i="1"/>
  <c r="K8" i="1"/>
  <c r="K235" i="1"/>
  <c r="K279" i="1"/>
  <c r="K42" i="1"/>
  <c r="K243" i="1"/>
  <c r="K22" i="1"/>
  <c r="K39" i="1"/>
  <c r="K249" i="1"/>
  <c r="K209" i="1"/>
  <c r="K75" i="1"/>
  <c r="K133" i="1"/>
  <c r="K208" i="1"/>
  <c r="K171" i="1"/>
  <c r="K67" i="1"/>
  <c r="K36" i="1"/>
  <c r="K297" i="1"/>
  <c r="K25" i="1"/>
  <c r="K184" i="1"/>
  <c r="K79" i="1"/>
  <c r="K81" i="1"/>
  <c r="K222" i="1"/>
  <c r="K119" i="1"/>
  <c r="K148" i="1"/>
  <c r="K55" i="1"/>
  <c r="K11" i="1"/>
  <c r="K7" i="1"/>
  <c r="K137" i="1"/>
  <c r="K232" i="1"/>
  <c r="K37" i="1"/>
  <c r="K109" i="1"/>
  <c r="K38" i="1"/>
  <c r="K221" i="1"/>
  <c r="K264" i="1"/>
  <c r="K146" i="1"/>
  <c r="K271" i="1"/>
  <c r="K100" i="1"/>
  <c r="K215" i="1"/>
  <c r="K62" i="1"/>
  <c r="K219" i="1"/>
  <c r="K34" i="1"/>
  <c r="K101" i="1"/>
  <c r="K250" i="1"/>
  <c r="K257" i="1"/>
  <c r="K223" i="1"/>
  <c r="K161" i="1"/>
  <c r="K256" i="1"/>
  <c r="K21" i="1"/>
  <c r="K94" i="1"/>
  <c r="K155" i="1"/>
  <c r="K124" i="1"/>
  <c r="K296" i="1"/>
  <c r="K145" i="1"/>
  <c r="K178" i="1"/>
  <c r="K41" i="1"/>
  <c r="K121" i="1"/>
  <c r="K136" i="1"/>
  <c r="K89" i="1"/>
  <c r="K180" i="1"/>
  <c r="K69" i="1"/>
  <c r="K142" i="1"/>
  <c r="K58" i="1"/>
  <c r="K273" i="1"/>
  <c r="K262" i="1"/>
  <c r="K83" i="1"/>
  <c r="K228" i="1"/>
  <c r="K288" i="1"/>
  <c r="K35" i="1"/>
  <c r="K183" i="1"/>
  <c r="K157" i="1"/>
  <c r="K80" i="1"/>
  <c r="K86" i="1"/>
  <c r="K283" i="1"/>
  <c r="K113" i="1"/>
  <c r="K106" i="1"/>
  <c r="K240" i="1"/>
  <c r="K231" i="1"/>
  <c r="K269" i="1"/>
  <c r="K46" i="1"/>
  <c r="K227" i="1"/>
  <c r="K125" i="1"/>
  <c r="K13" i="1"/>
  <c r="K129" i="1"/>
  <c r="K111" i="1"/>
  <c r="K50" i="1"/>
  <c r="K253" i="1"/>
  <c r="K280" i="1"/>
  <c r="K105" i="1"/>
  <c r="K93" i="1"/>
  <c r="K267" i="1"/>
  <c r="K31" i="1"/>
  <c r="K255" i="1"/>
  <c r="K30" i="1"/>
  <c r="K177" i="1"/>
  <c r="K99" i="1"/>
  <c r="K248" i="1"/>
  <c r="K115" i="1"/>
  <c r="K66" i="1"/>
  <c r="K156" i="1"/>
  <c r="K57" i="1"/>
  <c r="K187" i="1"/>
  <c r="K282" i="1"/>
  <c r="K5" i="1"/>
  <c r="K78" i="1"/>
  <c r="K266" i="1"/>
  <c r="K120" i="1"/>
  <c r="K195" i="1"/>
  <c r="K18" i="1"/>
  <c r="K88" i="1"/>
  <c r="K71" i="1"/>
  <c r="K138" i="1"/>
  <c r="K287" i="1"/>
  <c r="K92" i="1"/>
  <c r="K275" i="1"/>
  <c r="K20" i="1"/>
  <c r="K217" i="1"/>
  <c r="K210" i="1"/>
  <c r="K144" i="1"/>
  <c r="K107" i="1"/>
  <c r="K205" i="1"/>
  <c r="K194" i="1"/>
  <c r="K112" i="1"/>
  <c r="K164" i="1"/>
  <c r="K85" i="1"/>
  <c r="K251" i="1"/>
  <c r="K17" i="1"/>
  <c r="K95" i="1"/>
  <c r="K132" i="1"/>
  <c r="K242" i="1"/>
  <c r="K130" i="1"/>
  <c r="K189" i="1"/>
  <c r="K234" i="1"/>
  <c r="K241" i="1"/>
  <c r="K33" i="1"/>
  <c r="K202" i="1"/>
  <c r="K268" i="1"/>
  <c r="K52" i="1"/>
  <c r="K27" i="1"/>
  <c r="K196" i="1"/>
  <c r="K160" i="1"/>
  <c r="K289" i="1"/>
  <c r="K56" i="1"/>
  <c r="K237" i="1"/>
  <c r="K14" i="1"/>
  <c r="K98" i="1"/>
  <c r="K61" i="1"/>
  <c r="K134" i="1"/>
  <c r="K72" i="1"/>
  <c r="K295" i="1"/>
  <c r="K176" i="1"/>
  <c r="K244" i="1"/>
  <c r="K245" i="1"/>
  <c r="K28" i="1"/>
  <c r="K4" i="1"/>
  <c r="K246" i="1"/>
  <c r="K290" i="1"/>
  <c r="K169" i="1"/>
  <c r="K270" i="1"/>
  <c r="K63" i="1"/>
  <c r="K206" i="1"/>
  <c r="K140" i="1"/>
  <c r="K153" i="1"/>
  <c r="K220" i="1"/>
  <c r="K23" i="1"/>
  <c r="K103" i="1"/>
  <c r="K87" i="1"/>
  <c r="K233" i="1"/>
  <c r="K123" i="1"/>
  <c r="K284" i="1"/>
  <c r="K238" i="1"/>
  <c r="K203" i="1"/>
  <c r="K278" i="1"/>
  <c r="K186" i="1"/>
  <c r="K229" i="1"/>
  <c r="K263" i="1"/>
  <c r="K10" i="1"/>
  <c r="K159" i="1"/>
  <c r="K173" i="1"/>
  <c r="K141" i="1"/>
  <c r="K26" i="1"/>
  <c r="K292" i="1"/>
  <c r="K70" i="1"/>
  <c r="K276" i="1"/>
  <c r="K170" i="1"/>
  <c r="K272" i="1"/>
  <c r="K281" i="1"/>
  <c r="K182" i="1"/>
  <c r="K254" i="1"/>
  <c r="K110" i="1"/>
  <c r="K181" i="1"/>
  <c r="K104" i="1"/>
  <c r="K96" i="1"/>
  <c r="K97" i="1"/>
  <c r="K163" i="1"/>
  <c r="K294" i="1"/>
  <c r="K76" i="1"/>
  <c r="K143" i="1" l="1"/>
  <c r="K260" i="1"/>
  <c r="K200" i="1"/>
  <c r="K151" i="1"/>
  <c r="K207" i="1"/>
  <c r="K29" i="1"/>
  <c r="K51" i="1"/>
  <c r="K60" i="1"/>
  <c r="K40" i="1"/>
  <c r="K3" i="1"/>
  <c r="K190" i="1"/>
  <c r="K91" i="1"/>
  <c r="K135" i="1"/>
  <c r="K185" i="1"/>
  <c r="K64" i="1"/>
  <c r="K2" i="1"/>
  <c r="J299" i="1" l="1"/>
  <c r="K299" i="1"/>
</calcChain>
</file>

<file path=xl/sharedStrings.xml><?xml version="1.0" encoding="utf-8"?>
<sst xmlns="http://schemas.openxmlformats.org/spreadsheetml/2006/main" count="1197" uniqueCount="329">
  <si>
    <t>Code</t>
  </si>
  <si>
    <t>Service Enabling System</t>
  </si>
  <si>
    <t>Area Manager</t>
  </si>
  <si>
    <t>Regional Manager</t>
  </si>
  <si>
    <t>Basis</t>
  </si>
  <si>
    <t>Period</t>
  </si>
  <si>
    <t>End Result</t>
  </si>
  <si>
    <t>Approximated number of members</t>
  </si>
  <si>
    <t>Performance</t>
  </si>
  <si>
    <t>Prize of Service Enabling System</t>
  </si>
  <si>
    <t xml:space="preserve">Prize of an Individual </t>
  </si>
  <si>
    <t>Service Enabling System 1</t>
  </si>
  <si>
    <t>Area Manager 1</t>
  </si>
  <si>
    <t>Regional Manager 1</t>
  </si>
  <si>
    <t>2024.11.11 - 2024.12.19</t>
  </si>
  <si>
    <t>Service Enabling System 2</t>
  </si>
  <si>
    <t>Area Manager 2</t>
  </si>
  <si>
    <t>Regional Manager 2</t>
  </si>
  <si>
    <t>Service Enabling System 3</t>
  </si>
  <si>
    <t>Area Manager 3</t>
  </si>
  <si>
    <t>Service Enabling System 4</t>
  </si>
  <si>
    <t>Service Enabling System 5</t>
  </si>
  <si>
    <t>Service Enabling System 6</t>
  </si>
  <si>
    <t>Area Manager 6</t>
  </si>
  <si>
    <t>Service Enabling System 7</t>
  </si>
  <si>
    <t>Area Manager 7</t>
  </si>
  <si>
    <t>Service Enabling System 8</t>
  </si>
  <si>
    <t>Service Enabling System 9</t>
  </si>
  <si>
    <t>Service Enabling System 10</t>
  </si>
  <si>
    <t>Service Enabling System 11</t>
  </si>
  <si>
    <t>Service Enabling System 12</t>
  </si>
  <si>
    <t>Service Enabling System 13</t>
  </si>
  <si>
    <t>Service Enabling System 14</t>
  </si>
  <si>
    <t>Service Enabling System 15</t>
  </si>
  <si>
    <t>Service Enabling System 16</t>
  </si>
  <si>
    <t>Service Enabling System 17</t>
  </si>
  <si>
    <t>Service Enabling System 18</t>
  </si>
  <si>
    <t>Area Manager 18</t>
  </si>
  <si>
    <t>Regional Manager 18</t>
  </si>
  <si>
    <t>Service Enabling System 19</t>
  </si>
  <si>
    <t>Service Enabling System 20</t>
  </si>
  <si>
    <t>Service Enabling System 21</t>
  </si>
  <si>
    <t>Area Manager 21</t>
  </si>
  <si>
    <t>Service Enabling System 22</t>
  </si>
  <si>
    <t>Service Enabling System 23</t>
  </si>
  <si>
    <t>Area Manager 23</t>
  </si>
  <si>
    <t>Service Enabling System 24</t>
  </si>
  <si>
    <t>Service Enabling System 25</t>
  </si>
  <si>
    <t>Service Enabling System 26</t>
  </si>
  <si>
    <t>Area Manager 26</t>
  </si>
  <si>
    <t>Service Enabling System 27</t>
  </si>
  <si>
    <t>Service Enabling System 28</t>
  </si>
  <si>
    <t>Service Enabling System 29</t>
  </si>
  <si>
    <t>Service Enabling System 30</t>
  </si>
  <si>
    <t>Service Enabling System 31</t>
  </si>
  <si>
    <t>Service Enabling System 32</t>
  </si>
  <si>
    <t>Service Enabling System 33</t>
  </si>
  <si>
    <t>Service Enabling System 34</t>
  </si>
  <si>
    <t>Service Enabling System 35</t>
  </si>
  <si>
    <t>Service Enabling System 36</t>
  </si>
  <si>
    <t>Service Enabling System 37</t>
  </si>
  <si>
    <t>Area Manager 37</t>
  </si>
  <si>
    <t>Service Enabling System 38</t>
  </si>
  <si>
    <t>Area Manager 38</t>
  </si>
  <si>
    <t>Service Enabling System 39</t>
  </si>
  <si>
    <t>Service Enabling System 40</t>
  </si>
  <si>
    <t>Service Enabling System 41</t>
  </si>
  <si>
    <t>Service Enabling System 42</t>
  </si>
  <si>
    <t>Service Enabling System 43</t>
  </si>
  <si>
    <t>Service Enabling System 44</t>
  </si>
  <si>
    <t>Area Manager 44</t>
  </si>
  <si>
    <t>Service Enabling System 45</t>
  </si>
  <si>
    <t>Area Manager 45</t>
  </si>
  <si>
    <t>Service Enabling System 46</t>
  </si>
  <si>
    <t>Service Enabling System 47</t>
  </si>
  <si>
    <t>Service Enabling System 48</t>
  </si>
  <si>
    <t>Service Enabling System 49</t>
  </si>
  <si>
    <t>Service Enabling System 50</t>
  </si>
  <si>
    <t>Service Enabling System 51</t>
  </si>
  <si>
    <t>Service Enabling System 52</t>
  </si>
  <si>
    <t>Service Enabling System 53</t>
  </si>
  <si>
    <t>Service Enabling System 54</t>
  </si>
  <si>
    <t>Service Enabling System 55</t>
  </si>
  <si>
    <t>Service Enabling System 56</t>
  </si>
  <si>
    <t>Service Enabling System 57</t>
  </si>
  <si>
    <t>Service Enabling System 58</t>
  </si>
  <si>
    <t>Service Enabling System 59</t>
  </si>
  <si>
    <t>Area Manager 59</t>
  </si>
  <si>
    <t>Service Enabling System 60</t>
  </si>
  <si>
    <t>Service Enabling System 61</t>
  </si>
  <si>
    <t>Service Enabling System 62</t>
  </si>
  <si>
    <t>Service Enabling System 63</t>
  </si>
  <si>
    <t>Service Enabling System 64</t>
  </si>
  <si>
    <t>Service Enabling System 65</t>
  </si>
  <si>
    <t>Area Manager 65</t>
  </si>
  <si>
    <t>Service Enabling System 66</t>
  </si>
  <si>
    <t>Service Enabling System 67</t>
  </si>
  <si>
    <t>Service Enabling System 68</t>
  </si>
  <si>
    <t>Service Enabling System 69</t>
  </si>
  <si>
    <t>Service Enabling System 70</t>
  </si>
  <si>
    <t>Service Enabling System 71</t>
  </si>
  <si>
    <t>Service Enabling System 72</t>
  </si>
  <si>
    <t>Service Enabling System 73</t>
  </si>
  <si>
    <t>Service Enabling System 74</t>
  </si>
  <si>
    <t>Service Enabling System 75</t>
  </si>
  <si>
    <t>Service Enabling System 76</t>
  </si>
  <si>
    <t>Service Enabling System 77</t>
  </si>
  <si>
    <t>Service Enabling System 78</t>
  </si>
  <si>
    <t>Service Enabling System 79</t>
  </si>
  <si>
    <t>Service Enabling System 80</t>
  </si>
  <si>
    <t>Service Enabling System 81</t>
  </si>
  <si>
    <t>Service Enabling System 82</t>
  </si>
  <si>
    <t>Service Enabling System 83</t>
  </si>
  <si>
    <t>Service Enabling System 84</t>
  </si>
  <si>
    <t>Service Enabling System 85</t>
  </si>
  <si>
    <t>Service Enabling System 86</t>
  </si>
  <si>
    <t>Service Enabling System 87</t>
  </si>
  <si>
    <t>Service Enabling System 88</t>
  </si>
  <si>
    <t>Service Enabling System 89</t>
  </si>
  <si>
    <t>Service Enabling System 90</t>
  </si>
  <si>
    <t>Service Enabling System 91</t>
  </si>
  <si>
    <t>Service Enabling System 92</t>
  </si>
  <si>
    <t>Service Enabling System 93</t>
  </si>
  <si>
    <t>Service Enabling System 94</t>
  </si>
  <si>
    <t>Service Enabling System 95</t>
  </si>
  <si>
    <t>Service Enabling System 96</t>
  </si>
  <si>
    <t>Service Enabling System 97</t>
  </si>
  <si>
    <t>Service Enabling System 98</t>
  </si>
  <si>
    <t>Service Enabling System 99</t>
  </si>
  <si>
    <t>Service Enabling System 100</t>
  </si>
  <si>
    <t>Service Enabling System 101</t>
  </si>
  <si>
    <t>Area Manager 101</t>
  </si>
  <si>
    <t>Service Enabling System 102</t>
  </si>
  <si>
    <t>Service Enabling System 103</t>
  </si>
  <si>
    <t>Service Enabling System 104</t>
  </si>
  <si>
    <t>Service Enabling System 105</t>
  </si>
  <si>
    <t>Service Enabling System 106</t>
  </si>
  <si>
    <t>Service Enabling System 107</t>
  </si>
  <si>
    <t>Service Enabling System 108</t>
  </si>
  <si>
    <t>Service Enabling System 109</t>
  </si>
  <si>
    <t>Service Enabling System 110</t>
  </si>
  <si>
    <t>Service Enabling System 111</t>
  </si>
  <si>
    <t>Service Enabling System 112</t>
  </si>
  <si>
    <t>Service Enabling System 113</t>
  </si>
  <si>
    <t>Service Enabling System 114</t>
  </si>
  <si>
    <t>Service Enabling System 115</t>
  </si>
  <si>
    <t>Service Enabling System 116</t>
  </si>
  <si>
    <t>Service Enabling System 117</t>
  </si>
  <si>
    <t>Service Enabling System 118</t>
  </si>
  <si>
    <t>Service Enabling System 119</t>
  </si>
  <si>
    <t>Service Enabling System 120</t>
  </si>
  <si>
    <t>Service Enabling System 121</t>
  </si>
  <si>
    <t>Service Enabling System 122</t>
  </si>
  <si>
    <t>Service Enabling System 123</t>
  </si>
  <si>
    <t>Service Enabling System 124</t>
  </si>
  <si>
    <t>Service Enabling System 125</t>
  </si>
  <si>
    <t>Service Enabling System 126</t>
  </si>
  <si>
    <t>Service Enabling System 127</t>
  </si>
  <si>
    <t>Service Enabling System 128</t>
  </si>
  <si>
    <t>Service Enabling System 129</t>
  </si>
  <si>
    <t>Service Enabling System 130</t>
  </si>
  <si>
    <t>Service Enabling System 131</t>
  </si>
  <si>
    <t>Service Enabling System 132</t>
  </si>
  <si>
    <t>Service Enabling System 133</t>
  </si>
  <si>
    <t>Service Enabling System 134</t>
  </si>
  <si>
    <t>Service Enabling System 135</t>
  </si>
  <si>
    <t>Service Enabling System 136</t>
  </si>
  <si>
    <t>Service Enabling System 137</t>
  </si>
  <si>
    <t>Service Enabling System 138</t>
  </si>
  <si>
    <t>Service Enabling System 139</t>
  </si>
  <si>
    <t>Service Enabling System 140</t>
  </si>
  <si>
    <t>Service Enabling System 141</t>
  </si>
  <si>
    <t>Service Enabling System 142</t>
  </si>
  <si>
    <t>Service Enabling System 143</t>
  </si>
  <si>
    <t>Service Enabling System 144</t>
  </si>
  <si>
    <t>Service Enabling System 145</t>
  </si>
  <si>
    <t>Service Enabling System 146</t>
  </si>
  <si>
    <t>Service Enabling System 147</t>
  </si>
  <si>
    <t>Service Enabling System 148</t>
  </si>
  <si>
    <t>Service Enabling System 149</t>
  </si>
  <si>
    <t>Service Enabling System 150</t>
  </si>
  <si>
    <t>Service Enabling System 151</t>
  </si>
  <si>
    <t>Service Enabling System 152</t>
  </si>
  <si>
    <t>Service Enabling System 153</t>
  </si>
  <si>
    <t>Service Enabling System 154</t>
  </si>
  <si>
    <t>Service Enabling System 155</t>
  </si>
  <si>
    <t>Service Enabling System 156</t>
  </si>
  <si>
    <t>Service Enabling System 157</t>
  </si>
  <si>
    <t>Service Enabling System 158</t>
  </si>
  <si>
    <t>Service Enabling System 159</t>
  </si>
  <si>
    <t>Service Enabling System 160</t>
  </si>
  <si>
    <t>Service Enabling System 161</t>
  </si>
  <si>
    <t>Service Enabling System 162</t>
  </si>
  <si>
    <t>Service Enabling System 163</t>
  </si>
  <si>
    <t>Service Enabling System 164</t>
  </si>
  <si>
    <t>Service Enabling System 165</t>
  </si>
  <si>
    <t>Service Enabling System 166</t>
  </si>
  <si>
    <t>Service Enabling System 167</t>
  </si>
  <si>
    <t>Service Enabling System 168</t>
  </si>
  <si>
    <t>Service Enabling System 169</t>
  </si>
  <si>
    <t>Service Enabling System 170</t>
  </si>
  <si>
    <t>Service Enabling System 171</t>
  </si>
  <si>
    <t>Service Enabling System 172</t>
  </si>
  <si>
    <t>Service Enabling System 173</t>
  </si>
  <si>
    <t>Service Enabling System 174</t>
  </si>
  <si>
    <t>Service Enabling System 175</t>
  </si>
  <si>
    <t>Service Enabling System 176</t>
  </si>
  <si>
    <t>Service Enabling System 177</t>
  </si>
  <si>
    <t>Service Enabling System 178</t>
  </si>
  <si>
    <t>Service Enabling System 179</t>
  </si>
  <si>
    <t>Service Enabling System 180</t>
  </si>
  <si>
    <t>Service Enabling System 181</t>
  </si>
  <si>
    <t>Service Enabling System 182</t>
  </si>
  <si>
    <t>Service Enabling System 183</t>
  </si>
  <si>
    <t>Service Enabling System 184</t>
  </si>
  <si>
    <t>Service Enabling System 185</t>
  </si>
  <si>
    <t>Service Enabling System 186</t>
  </si>
  <si>
    <t>Service Enabling System 187</t>
  </si>
  <si>
    <t>Service Enabling System 188</t>
  </si>
  <si>
    <t>Service Enabling System 189</t>
  </si>
  <si>
    <t>Service Enabling System 190</t>
  </si>
  <si>
    <t>Service Enabling System 191</t>
  </si>
  <si>
    <t>Service Enabling System 192</t>
  </si>
  <si>
    <t>Service Enabling System 193</t>
  </si>
  <si>
    <t>Service Enabling System 194</t>
  </si>
  <si>
    <t>Service Enabling System 195</t>
  </si>
  <si>
    <t>Service Enabling System 196</t>
  </si>
  <si>
    <t>Service Enabling System 197</t>
  </si>
  <si>
    <t>Service Enabling System 198</t>
  </si>
  <si>
    <t>Service Enabling System 199</t>
  </si>
  <si>
    <t>Service Enabling System 200</t>
  </si>
  <si>
    <t>Service Enabling System 201</t>
  </si>
  <si>
    <t>Service Enabling System 202</t>
  </si>
  <si>
    <t>Service Enabling System 203</t>
  </si>
  <si>
    <t>Service Enabling System 204</t>
  </si>
  <si>
    <t>Service Enabling System 205</t>
  </si>
  <si>
    <t>Service Enabling System 206</t>
  </si>
  <si>
    <t>Service Enabling System 207</t>
  </si>
  <si>
    <t>Service Enabling System 208</t>
  </si>
  <si>
    <t>Service Enabling System 209</t>
  </si>
  <si>
    <t>Service Enabling System 210</t>
  </si>
  <si>
    <t>Service Enabling System 211</t>
  </si>
  <si>
    <t>Service Enabling System 212</t>
  </si>
  <si>
    <t>Service Enabling System 213</t>
  </si>
  <si>
    <t>Service Enabling System 214</t>
  </si>
  <si>
    <t>Service Enabling System 215</t>
  </si>
  <si>
    <t>Service Enabling System 216</t>
  </si>
  <si>
    <t>Service Enabling System 217</t>
  </si>
  <si>
    <t>Service Enabling System 218</t>
  </si>
  <si>
    <t>Service Enabling System 219</t>
  </si>
  <si>
    <t>Service Enabling System 220</t>
  </si>
  <si>
    <t>Service Enabling System 221</t>
  </si>
  <si>
    <t>Service Enabling System 222</t>
  </si>
  <si>
    <t>Service Enabling System 223</t>
  </si>
  <si>
    <t>Service Enabling System 224</t>
  </si>
  <si>
    <t>Service Enabling System 225</t>
  </si>
  <si>
    <t>Service Enabling System 226</t>
  </si>
  <si>
    <t>Service Enabling System 227</t>
  </si>
  <si>
    <t>Service Enabling System 228</t>
  </si>
  <si>
    <t>Service Enabling System 229</t>
  </si>
  <si>
    <t>Service Enabling System 230</t>
  </si>
  <si>
    <t>Service Enabling System 231</t>
  </si>
  <si>
    <t>Service Enabling System 232</t>
  </si>
  <si>
    <t>Service Enabling System 233</t>
  </si>
  <si>
    <t>Service Enabling System 234</t>
  </si>
  <si>
    <t>Service Enabling System 235</t>
  </si>
  <si>
    <t>Service Enabling System 236</t>
  </si>
  <si>
    <t>Service Enabling System 237</t>
  </si>
  <si>
    <t>Service Enabling System 238</t>
  </si>
  <si>
    <t>Service Enabling System 239</t>
  </si>
  <si>
    <t>Service Enabling System 240</t>
  </si>
  <si>
    <t>Service Enabling System 241</t>
  </si>
  <si>
    <t>Service Enabling System 242</t>
  </si>
  <si>
    <t>Service Enabling System 243</t>
  </si>
  <si>
    <t>Service Enabling System 244</t>
  </si>
  <si>
    <t>Service Enabling System 245</t>
  </si>
  <si>
    <t>Service Enabling System 246</t>
  </si>
  <si>
    <t>Service Enabling System 247</t>
  </si>
  <si>
    <t>Service Enabling System 248</t>
  </si>
  <si>
    <t>Service Enabling System 249</t>
  </si>
  <si>
    <t>Service Enabling System 250</t>
  </si>
  <si>
    <t>Service Enabling System 251</t>
  </si>
  <si>
    <t>Service Enabling System 252</t>
  </si>
  <si>
    <t>Service Enabling System 253</t>
  </si>
  <si>
    <t>Service Enabling System 254</t>
  </si>
  <si>
    <t>Service Enabling System 255</t>
  </si>
  <si>
    <t>Service Enabling System 256</t>
  </si>
  <si>
    <t>Service Enabling System 257</t>
  </si>
  <si>
    <t>Service Enabling System 258</t>
  </si>
  <si>
    <t>Service Enabling System 259</t>
  </si>
  <si>
    <t>Service Enabling System 260</t>
  </si>
  <si>
    <t>Service Enabling System 261</t>
  </si>
  <si>
    <t>Service Enabling System 262</t>
  </si>
  <si>
    <t>Service Enabling System 263</t>
  </si>
  <si>
    <t>Service Enabling System 264</t>
  </si>
  <si>
    <t>Service Enabling System 265</t>
  </si>
  <si>
    <t>Service Enabling System 266</t>
  </si>
  <si>
    <t>Service Enabling System 267</t>
  </si>
  <si>
    <t>Service Enabling System 268</t>
  </si>
  <si>
    <t>Service Enabling System 269</t>
  </si>
  <si>
    <t>Service Enabling System 270</t>
  </si>
  <si>
    <t>Service Enabling System 271</t>
  </si>
  <si>
    <t>Service Enabling System 272</t>
  </si>
  <si>
    <t>Service Enabling System 273</t>
  </si>
  <si>
    <t>Service Enabling System 274</t>
  </si>
  <si>
    <t>Service Enabling System 275</t>
  </si>
  <si>
    <t>Service Enabling System 276</t>
  </si>
  <si>
    <t>Service Enabling System 277</t>
  </si>
  <si>
    <t>Service Enabling System 278</t>
  </si>
  <si>
    <t>Service Enabling System 279</t>
  </si>
  <si>
    <t>Service Enabling System 280</t>
  </si>
  <si>
    <t>Service Enabling System 281</t>
  </si>
  <si>
    <t>Service Enabling System 282</t>
  </si>
  <si>
    <t>Service Enabling System 283</t>
  </si>
  <si>
    <t>Service Enabling System 284</t>
  </si>
  <si>
    <t>Service Enabling System 285</t>
  </si>
  <si>
    <t>Service Enabling System 286</t>
  </si>
  <si>
    <t>Service Enabling System 287</t>
  </si>
  <si>
    <t>Service Enabling System 288</t>
  </si>
  <si>
    <t>Service Enabling System 289</t>
  </si>
  <si>
    <t>Service Enabling System 290</t>
  </si>
  <si>
    <t>Service Enabling System 291</t>
  </si>
  <si>
    <t>Service Enabling System 292</t>
  </si>
  <si>
    <t>Service Enabling System 293</t>
  </si>
  <si>
    <t>Service Enabling System 294</t>
  </si>
  <si>
    <t>Service Enabling System 295</t>
  </si>
  <si>
    <t>Service Enabling System 296</t>
  </si>
  <si>
    <t>Country Average:</t>
  </si>
  <si>
    <t>Distributed money: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</si>
</sst>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Ft&quot;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11"/>
      <color rgb="FFFFFFFF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sz val="8"/>
      <name val="Calibri"/>
      <family val="2"/>
      <scheme val="minor"/>
    </font>
    <font>
      <b/>
      <sz val="12"/>
      <color rgb="FFFFFFFF"/>
      <name val="Calibri"/>
      <family val="2"/>
      <charset val="238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6BC17D"/>
        <bgColor indexed="64"/>
      </patternFill>
    </fill>
    <fill>
      <patternFill patternType="solid">
        <fgColor rgb="FF70C37E"/>
        <bgColor indexed="64"/>
      </patternFill>
    </fill>
    <fill>
      <patternFill patternType="solid">
        <fgColor rgb="FF77C580"/>
        <bgColor indexed="64"/>
      </patternFill>
    </fill>
    <fill>
      <patternFill patternType="solid">
        <fgColor rgb="FF83C882"/>
        <bgColor indexed="64"/>
      </patternFill>
    </fill>
    <fill>
      <patternFill patternType="solid">
        <fgColor rgb="FF85C983"/>
        <bgColor indexed="64"/>
      </patternFill>
    </fill>
    <fill>
      <patternFill patternType="solid">
        <fgColor rgb="FF89CA83"/>
        <bgColor indexed="64"/>
      </patternFill>
    </fill>
    <fill>
      <patternFill patternType="solid">
        <fgColor rgb="FF92CD85"/>
        <bgColor indexed="64"/>
      </patternFill>
    </fill>
    <fill>
      <patternFill patternType="solid">
        <fgColor rgb="FF95CE86"/>
        <bgColor indexed="64"/>
      </patternFill>
    </fill>
    <fill>
      <patternFill patternType="solid">
        <fgColor rgb="FF9DD188"/>
        <bgColor indexed="64"/>
      </patternFill>
    </fill>
    <fill>
      <patternFill patternType="solid">
        <fgColor rgb="FFA0D288"/>
        <bgColor indexed="64"/>
      </patternFill>
    </fill>
    <fill>
      <patternFill patternType="solid">
        <fgColor rgb="FFA6D389"/>
        <bgColor indexed="64"/>
      </patternFill>
    </fill>
    <fill>
      <patternFill patternType="solid">
        <fgColor rgb="FFA7D48A"/>
        <bgColor indexed="64"/>
      </patternFill>
    </fill>
    <fill>
      <patternFill patternType="solid">
        <fgColor rgb="FFA8D48A"/>
        <bgColor indexed="64"/>
      </patternFill>
    </fill>
    <fill>
      <patternFill patternType="solid">
        <fgColor rgb="FFAAD48A"/>
        <bgColor indexed="64"/>
      </patternFill>
    </fill>
    <fill>
      <patternFill patternType="solid">
        <fgColor rgb="FFB3D78C"/>
        <bgColor indexed="64"/>
      </patternFill>
    </fill>
    <fill>
      <patternFill patternType="solid">
        <fgColor rgb="FFB6D88D"/>
        <bgColor indexed="64"/>
      </patternFill>
    </fill>
    <fill>
      <patternFill patternType="solid">
        <fgColor rgb="FFB7D98D"/>
        <bgColor indexed="64"/>
      </patternFill>
    </fill>
    <fill>
      <patternFill patternType="solid">
        <fgColor rgb="FFBBDA8E"/>
        <bgColor indexed="64"/>
      </patternFill>
    </fill>
    <fill>
      <patternFill patternType="solid">
        <fgColor rgb="FFBCDA8E"/>
        <bgColor indexed="64"/>
      </patternFill>
    </fill>
    <fill>
      <patternFill patternType="solid">
        <fgColor rgb="FFBDDB8E"/>
        <bgColor indexed="64"/>
      </patternFill>
    </fill>
    <fill>
      <patternFill patternType="solid">
        <fgColor rgb="FFBEDB8F"/>
        <bgColor indexed="64"/>
      </patternFill>
    </fill>
    <fill>
      <patternFill patternType="solid">
        <fgColor rgb="FFC2DC8F"/>
        <bgColor indexed="64"/>
      </patternFill>
    </fill>
    <fill>
      <patternFill patternType="solid">
        <fgColor rgb="FFC4DD90"/>
        <bgColor indexed="64"/>
      </patternFill>
    </fill>
    <fill>
      <patternFill patternType="solid">
        <fgColor rgb="FFC5DD90"/>
        <bgColor indexed="64"/>
      </patternFill>
    </fill>
    <fill>
      <patternFill patternType="solid">
        <fgColor rgb="FFCADF91"/>
        <bgColor indexed="64"/>
      </patternFill>
    </fill>
    <fill>
      <patternFill patternType="solid">
        <fgColor rgb="FFCCDF92"/>
        <bgColor indexed="64"/>
      </patternFill>
    </fill>
    <fill>
      <patternFill patternType="solid">
        <fgColor rgb="FFCEE092"/>
        <bgColor indexed="64"/>
      </patternFill>
    </fill>
    <fill>
      <patternFill patternType="solid">
        <fgColor rgb="FFCFE092"/>
        <bgColor indexed="64"/>
      </patternFill>
    </fill>
    <fill>
      <patternFill patternType="solid">
        <fgColor rgb="FFD0E193"/>
        <bgColor indexed="64"/>
      </patternFill>
    </fill>
    <fill>
      <patternFill patternType="solid">
        <fgColor rgb="FFD1E193"/>
        <bgColor indexed="64"/>
      </patternFill>
    </fill>
    <fill>
      <patternFill patternType="solid">
        <fgColor rgb="FFD2E193"/>
        <bgColor indexed="64"/>
      </patternFill>
    </fill>
    <fill>
      <patternFill patternType="solid">
        <fgColor rgb="FFD4E293"/>
        <bgColor indexed="64"/>
      </patternFill>
    </fill>
    <fill>
      <patternFill patternType="solid">
        <fgColor rgb="FFD6E294"/>
        <bgColor indexed="64"/>
      </patternFill>
    </fill>
    <fill>
      <patternFill patternType="solid">
        <fgColor rgb="FFD6E394"/>
        <bgColor indexed="64"/>
      </patternFill>
    </fill>
    <fill>
      <patternFill patternType="solid">
        <fgColor rgb="FFD7E394"/>
        <bgColor indexed="64"/>
      </patternFill>
    </fill>
    <fill>
      <patternFill patternType="solid">
        <fgColor rgb="FFD8E394"/>
        <bgColor indexed="64"/>
      </patternFill>
    </fill>
    <fill>
      <patternFill patternType="solid">
        <fgColor rgb="FFD9E394"/>
        <bgColor indexed="64"/>
      </patternFill>
    </fill>
    <fill>
      <patternFill patternType="solid">
        <fgColor rgb="FFDAE495"/>
        <bgColor indexed="64"/>
      </patternFill>
    </fill>
    <fill>
      <patternFill patternType="solid">
        <fgColor rgb="FFDBE495"/>
        <bgColor indexed="64"/>
      </patternFill>
    </fill>
    <fill>
      <patternFill patternType="solid">
        <fgColor rgb="FFDCE495"/>
        <bgColor indexed="64"/>
      </patternFill>
    </fill>
    <fill>
      <patternFill patternType="solid">
        <fgColor rgb="FFDDE595"/>
        <bgColor indexed="64"/>
      </patternFill>
    </fill>
    <fill>
      <patternFill patternType="solid">
        <fgColor rgb="FFDEE595"/>
        <bgColor indexed="64"/>
      </patternFill>
    </fill>
    <fill>
      <patternFill patternType="solid">
        <fgColor rgb="FFDFE596"/>
        <bgColor indexed="64"/>
      </patternFill>
    </fill>
    <fill>
      <patternFill patternType="solid">
        <fgColor rgb="FFE0E596"/>
        <bgColor indexed="64"/>
      </patternFill>
    </fill>
    <fill>
      <patternFill patternType="solid">
        <fgColor rgb="FFE0E696"/>
        <bgColor indexed="64"/>
      </patternFill>
    </fill>
    <fill>
      <patternFill patternType="solid">
        <fgColor rgb="FFE1E696"/>
        <bgColor indexed="64"/>
      </patternFill>
    </fill>
    <fill>
      <patternFill patternType="solid">
        <fgColor rgb="FFE2E696"/>
        <bgColor indexed="64"/>
      </patternFill>
    </fill>
    <fill>
      <patternFill patternType="solid">
        <fgColor rgb="FFE3E696"/>
        <bgColor indexed="64"/>
      </patternFill>
    </fill>
    <fill>
      <patternFill patternType="solid">
        <fgColor rgb="FFE3E796"/>
        <bgColor indexed="64"/>
      </patternFill>
    </fill>
    <fill>
      <patternFill patternType="solid">
        <fgColor rgb="FFE4E797"/>
        <bgColor indexed="64"/>
      </patternFill>
    </fill>
    <fill>
      <patternFill patternType="solid">
        <fgColor rgb="FFE5E797"/>
        <bgColor indexed="64"/>
      </patternFill>
    </fill>
    <fill>
      <patternFill patternType="solid">
        <fgColor rgb="FFE6E797"/>
        <bgColor indexed="64"/>
      </patternFill>
    </fill>
    <fill>
      <patternFill patternType="solid">
        <fgColor rgb="FFE6E897"/>
        <bgColor indexed="64"/>
      </patternFill>
    </fill>
    <fill>
      <patternFill patternType="solid">
        <fgColor rgb="FFE7E897"/>
        <bgColor indexed="64"/>
      </patternFill>
    </fill>
    <fill>
      <patternFill patternType="solid">
        <fgColor rgb="FFE8E898"/>
        <bgColor indexed="64"/>
      </patternFill>
    </fill>
    <fill>
      <patternFill patternType="solid">
        <fgColor rgb="FFE9E898"/>
        <bgColor indexed="64"/>
      </patternFill>
    </fill>
    <fill>
      <patternFill patternType="solid">
        <fgColor rgb="FFE9E998"/>
        <bgColor indexed="64"/>
      </patternFill>
    </fill>
    <fill>
      <patternFill patternType="solid">
        <fgColor rgb="FFEAE998"/>
        <bgColor indexed="64"/>
      </patternFill>
    </fill>
    <fill>
      <patternFill patternType="solid">
        <fgColor rgb="FFEBE998"/>
        <bgColor indexed="64"/>
      </patternFill>
    </fill>
    <fill>
      <patternFill patternType="solid">
        <fgColor rgb="FFECE998"/>
        <bgColor indexed="64"/>
      </patternFill>
    </fill>
    <fill>
      <patternFill patternType="solid">
        <fgColor rgb="FFEDEA99"/>
        <bgColor indexed="64"/>
      </patternFill>
    </fill>
    <fill>
      <patternFill patternType="solid">
        <fgColor rgb="FFEEEA99"/>
        <bgColor indexed="64"/>
      </patternFill>
    </fill>
    <fill>
      <patternFill patternType="solid">
        <fgColor rgb="FFEFEA99"/>
        <bgColor indexed="64"/>
      </patternFill>
    </fill>
    <fill>
      <patternFill patternType="solid">
        <fgColor rgb="FFF0EA99"/>
        <bgColor indexed="64"/>
      </patternFill>
    </fill>
    <fill>
      <patternFill patternType="solid">
        <fgColor rgb="FFF0EB99"/>
        <bgColor indexed="64"/>
      </patternFill>
    </fill>
    <fill>
      <patternFill patternType="solid">
        <fgColor rgb="FFF1EB99"/>
        <bgColor indexed="64"/>
      </patternFill>
    </fill>
    <fill>
      <patternFill patternType="solid">
        <fgColor rgb="FFF1EB9A"/>
        <bgColor indexed="64"/>
      </patternFill>
    </fill>
    <fill>
      <patternFill patternType="solid">
        <fgColor rgb="FFF2EB9A"/>
        <bgColor indexed="64"/>
      </patternFill>
    </fill>
    <fill>
      <patternFill patternType="solid">
        <fgColor rgb="FFF3EC9A"/>
        <bgColor indexed="64"/>
      </patternFill>
    </fill>
    <fill>
      <patternFill patternType="solid">
        <fgColor rgb="FFF4EC9A"/>
        <bgColor indexed="64"/>
      </patternFill>
    </fill>
    <fill>
      <patternFill patternType="solid">
        <fgColor rgb="FFF5EC9A"/>
        <bgColor indexed="64"/>
      </patternFill>
    </fill>
    <fill>
      <patternFill patternType="solid">
        <fgColor rgb="FFF6EC9A"/>
        <bgColor indexed="64"/>
      </patternFill>
    </fill>
    <fill>
      <patternFill patternType="solid">
        <fgColor rgb="FFF6ED9B"/>
        <bgColor indexed="64"/>
      </patternFill>
    </fill>
    <fill>
      <patternFill patternType="solid">
        <fgColor rgb="FFF7ED9B"/>
        <bgColor indexed="64"/>
      </patternFill>
    </fill>
    <fill>
      <patternFill patternType="solid">
        <fgColor rgb="FFF8ED9B"/>
        <bgColor indexed="64"/>
      </patternFill>
    </fill>
    <fill>
      <patternFill patternType="solid">
        <fgColor rgb="FFF9ED9B"/>
        <bgColor indexed="64"/>
      </patternFill>
    </fill>
    <fill>
      <patternFill patternType="solid">
        <fgColor rgb="FFF9EE9B"/>
        <bgColor indexed="64"/>
      </patternFill>
    </fill>
    <fill>
      <patternFill patternType="solid">
        <fgColor rgb="FFFAEE9B"/>
        <bgColor indexed="64"/>
      </patternFill>
    </fill>
    <fill>
      <patternFill patternType="solid">
        <fgColor rgb="FFFBEE9B"/>
        <bgColor indexed="64"/>
      </patternFill>
    </fill>
    <fill>
      <patternFill patternType="solid">
        <fgColor rgb="FFFBEE9C"/>
        <bgColor indexed="64"/>
      </patternFill>
    </fill>
    <fill>
      <patternFill patternType="solid">
        <fgColor rgb="FFFCEE9C"/>
        <bgColor indexed="64"/>
      </patternFill>
    </fill>
    <fill>
      <patternFill patternType="solid">
        <fgColor rgb="FFFCEF9C"/>
        <bgColor indexed="64"/>
      </patternFill>
    </fill>
    <fill>
      <patternFill patternType="solid">
        <fgColor rgb="FFFDEF9C"/>
        <bgColor indexed="64"/>
      </patternFill>
    </fill>
    <fill>
      <patternFill patternType="solid">
        <fgColor rgb="FFFEEF9C"/>
        <bgColor indexed="64"/>
      </patternFill>
    </fill>
    <fill>
      <patternFill patternType="solid">
        <fgColor rgb="FFFFEF9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F5F5F5"/>
      </top>
      <bottom style="medium">
        <color rgb="FF000000"/>
      </bottom>
      <diagonal/>
    </border>
    <border>
      <left/>
      <right style="medium">
        <color rgb="FF000000"/>
      </right>
      <top style="medium">
        <color rgb="FFF5F5F5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10" fontId="0" fillId="0" borderId="0" xfId="0" applyNumberFormat="1"/>
    <xf numFmtId="10" fontId="2" fillId="5" borderId="3" xfId="0" applyNumberFormat="1" applyFont="1" applyFill="1" applyBorder="1" applyAlignment="1">
      <alignment horizontal="right" vertical="center" wrapText="1"/>
    </xf>
    <xf numFmtId="10" fontId="2" fillId="6" borderId="3" xfId="0" applyNumberFormat="1" applyFont="1" applyFill="1" applyBorder="1" applyAlignment="1">
      <alignment horizontal="right" vertical="center" wrapText="1"/>
    </xf>
    <xf numFmtId="10" fontId="2" fillId="7" borderId="3" xfId="0" applyNumberFormat="1" applyFont="1" applyFill="1" applyBorder="1" applyAlignment="1">
      <alignment horizontal="right" vertical="center" wrapText="1"/>
    </xf>
    <xf numFmtId="10" fontId="2" fillId="8" borderId="3" xfId="0" applyNumberFormat="1" applyFont="1" applyFill="1" applyBorder="1" applyAlignment="1">
      <alignment horizontal="right" vertical="center" wrapText="1"/>
    </xf>
    <xf numFmtId="10" fontId="2" fillId="9" borderId="3" xfId="0" applyNumberFormat="1" applyFont="1" applyFill="1" applyBorder="1" applyAlignment="1">
      <alignment horizontal="right" vertical="center" wrapText="1"/>
    </xf>
    <xf numFmtId="10" fontId="2" fillId="10" borderId="3" xfId="0" applyNumberFormat="1" applyFont="1" applyFill="1" applyBorder="1" applyAlignment="1">
      <alignment horizontal="right" vertical="center" wrapText="1"/>
    </xf>
    <xf numFmtId="10" fontId="2" fillId="11" borderId="3" xfId="0" applyNumberFormat="1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0" fontId="2" fillId="13" borderId="3" xfId="0" applyNumberFormat="1" applyFont="1" applyFill="1" applyBorder="1" applyAlignment="1">
      <alignment horizontal="right" vertical="center" wrapText="1"/>
    </xf>
    <xf numFmtId="10" fontId="2" fillId="14" borderId="3" xfId="0" applyNumberFormat="1" applyFont="1" applyFill="1" applyBorder="1" applyAlignment="1">
      <alignment horizontal="right" vertical="center" wrapText="1"/>
    </xf>
    <xf numFmtId="10" fontId="2" fillId="15" borderId="3" xfId="0" applyNumberFormat="1" applyFont="1" applyFill="1" applyBorder="1" applyAlignment="1">
      <alignment horizontal="right" vertical="center" wrapText="1"/>
    </xf>
    <xf numFmtId="10" fontId="2" fillId="16" borderId="3" xfId="0" applyNumberFormat="1" applyFont="1" applyFill="1" applyBorder="1" applyAlignment="1">
      <alignment horizontal="right" vertical="center" wrapText="1"/>
    </xf>
    <xf numFmtId="10" fontId="2" fillId="17" borderId="3" xfId="0" applyNumberFormat="1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10" fontId="2" fillId="19" borderId="3" xfId="0" applyNumberFormat="1" applyFont="1" applyFill="1" applyBorder="1" applyAlignment="1">
      <alignment horizontal="right" vertical="center" wrapText="1"/>
    </xf>
    <xf numFmtId="10" fontId="2" fillId="20" borderId="3" xfId="0" applyNumberFormat="1" applyFont="1" applyFill="1" applyBorder="1" applyAlignment="1">
      <alignment horizontal="right" vertical="center" wrapText="1"/>
    </xf>
    <xf numFmtId="10" fontId="2" fillId="21" borderId="3" xfId="0" applyNumberFormat="1" applyFont="1" applyFill="1" applyBorder="1" applyAlignment="1">
      <alignment horizontal="right" vertical="center" wrapText="1"/>
    </xf>
    <xf numFmtId="10" fontId="2" fillId="22" borderId="3" xfId="0" applyNumberFormat="1" applyFont="1" applyFill="1" applyBorder="1" applyAlignment="1">
      <alignment horizontal="right" vertical="center" wrapText="1"/>
    </xf>
    <xf numFmtId="10" fontId="2" fillId="23" borderId="3" xfId="0" applyNumberFormat="1" applyFont="1" applyFill="1" applyBorder="1" applyAlignment="1">
      <alignment horizontal="right" vertical="center" wrapText="1"/>
    </xf>
    <xf numFmtId="10" fontId="2" fillId="25" borderId="3" xfId="0" applyNumberFormat="1" applyFont="1" applyFill="1" applyBorder="1" applyAlignment="1">
      <alignment horizontal="right" vertical="center" wrapText="1"/>
    </xf>
    <xf numFmtId="10" fontId="2" fillId="26" borderId="3" xfId="0" applyNumberFormat="1" applyFont="1" applyFill="1" applyBorder="1" applyAlignment="1">
      <alignment horizontal="right" vertical="center" wrapText="1"/>
    </xf>
    <xf numFmtId="10" fontId="2" fillId="27" borderId="3" xfId="0" applyNumberFormat="1" applyFont="1" applyFill="1" applyBorder="1" applyAlignment="1">
      <alignment horizontal="right" vertical="center" wrapText="1"/>
    </xf>
    <xf numFmtId="10" fontId="2" fillId="28" borderId="3" xfId="0" applyNumberFormat="1" applyFont="1" applyFill="1" applyBorder="1" applyAlignment="1">
      <alignment horizontal="right" vertical="center" wrapText="1"/>
    </xf>
    <xf numFmtId="10" fontId="2" fillId="29" borderId="3" xfId="0" applyNumberFormat="1" applyFont="1" applyFill="1" applyBorder="1" applyAlignment="1">
      <alignment horizontal="right" vertical="center" wrapText="1"/>
    </xf>
    <xf numFmtId="10" fontId="2" fillId="30" borderId="3" xfId="0" applyNumberFormat="1" applyFont="1" applyFill="1" applyBorder="1" applyAlignment="1">
      <alignment horizontal="right" vertical="center" wrapText="1"/>
    </xf>
    <xf numFmtId="10" fontId="2" fillId="31" borderId="3" xfId="0" applyNumberFormat="1" applyFont="1" applyFill="1" applyBorder="1" applyAlignment="1">
      <alignment horizontal="right" vertical="center" wrapText="1"/>
    </xf>
    <xf numFmtId="10" fontId="2" fillId="32" borderId="3" xfId="0" applyNumberFormat="1" applyFont="1" applyFill="1" applyBorder="1" applyAlignment="1">
      <alignment horizontal="right" vertical="center" wrapText="1"/>
    </xf>
    <xf numFmtId="10" fontId="2" fillId="33" borderId="3" xfId="0" applyNumberFormat="1" applyFont="1" applyFill="1" applyBorder="1" applyAlignment="1">
      <alignment horizontal="right" vertical="center" wrapText="1"/>
    </xf>
    <xf numFmtId="10" fontId="2" fillId="34" borderId="3" xfId="0" applyNumberFormat="1" applyFont="1" applyFill="1" applyBorder="1" applyAlignment="1">
      <alignment horizontal="right" vertical="center" wrapText="1"/>
    </xf>
    <xf numFmtId="10" fontId="2" fillId="35" borderId="3" xfId="0" applyNumberFormat="1" applyFont="1" applyFill="1" applyBorder="1" applyAlignment="1">
      <alignment horizontal="right" vertical="center" wrapText="1"/>
    </xf>
    <xf numFmtId="10" fontId="2" fillId="36" borderId="3" xfId="0" applyNumberFormat="1" applyFont="1" applyFill="1" applyBorder="1" applyAlignment="1">
      <alignment horizontal="right" vertical="center" wrapText="1"/>
    </xf>
    <xf numFmtId="10" fontId="2" fillId="37" borderId="3" xfId="0" applyNumberFormat="1" applyFont="1" applyFill="1" applyBorder="1" applyAlignment="1">
      <alignment horizontal="right" vertical="center" wrapText="1"/>
    </xf>
    <xf numFmtId="10" fontId="2" fillId="38" borderId="3" xfId="0" applyNumberFormat="1" applyFont="1" applyFill="1" applyBorder="1" applyAlignment="1">
      <alignment horizontal="right" vertical="center" wrapText="1"/>
    </xf>
    <xf numFmtId="10" fontId="2" fillId="40" borderId="3" xfId="0" applyNumberFormat="1" applyFont="1" applyFill="1" applyBorder="1" applyAlignment="1">
      <alignment horizontal="right" vertical="center" wrapText="1"/>
    </xf>
    <xf numFmtId="10" fontId="2" fillId="41" borderId="3" xfId="0" applyNumberFormat="1" applyFont="1" applyFill="1" applyBorder="1" applyAlignment="1">
      <alignment horizontal="right" vertical="center" wrapText="1"/>
    </xf>
    <xf numFmtId="10" fontId="2" fillId="42" borderId="3" xfId="0" applyNumberFormat="1" applyFont="1" applyFill="1" applyBorder="1" applyAlignment="1">
      <alignment horizontal="right" vertical="center" wrapText="1"/>
    </xf>
    <xf numFmtId="10" fontId="2" fillId="43" borderId="3" xfId="0" applyNumberFormat="1" applyFont="1" applyFill="1" applyBorder="1" applyAlignment="1">
      <alignment horizontal="right" vertical="center" wrapText="1"/>
    </xf>
    <xf numFmtId="10" fontId="2" fillId="45" borderId="3" xfId="0" applyNumberFormat="1" applyFont="1" applyFill="1" applyBorder="1" applyAlignment="1">
      <alignment horizontal="right" vertical="center" wrapText="1"/>
    </xf>
    <xf numFmtId="10" fontId="2" fillId="46" borderId="3" xfId="0" applyNumberFormat="1" applyFont="1" applyFill="1" applyBorder="1" applyAlignment="1">
      <alignment horizontal="right" vertical="center" wrapText="1"/>
    </xf>
    <xf numFmtId="10" fontId="2" fillId="47" borderId="3" xfId="0" applyNumberFormat="1" applyFont="1" applyFill="1" applyBorder="1" applyAlignment="1">
      <alignment horizontal="right" vertical="center" wrapText="1"/>
    </xf>
    <xf numFmtId="10" fontId="2" fillId="48" borderId="3" xfId="0" applyNumberFormat="1" applyFont="1" applyFill="1" applyBorder="1" applyAlignment="1">
      <alignment horizontal="right" vertical="center" wrapText="1"/>
    </xf>
    <xf numFmtId="10" fontId="2" fillId="49" borderId="3" xfId="0" applyNumberFormat="1" applyFont="1" applyFill="1" applyBorder="1" applyAlignment="1">
      <alignment horizontal="right" vertical="center" wrapText="1"/>
    </xf>
    <xf numFmtId="10" fontId="2" fillId="50" borderId="3" xfId="0" applyNumberFormat="1" applyFont="1" applyFill="1" applyBorder="1" applyAlignment="1">
      <alignment horizontal="right" vertical="center" wrapText="1"/>
    </xf>
    <xf numFmtId="10" fontId="2" fillId="51" borderId="3" xfId="0" applyNumberFormat="1" applyFont="1" applyFill="1" applyBorder="1" applyAlignment="1">
      <alignment horizontal="right" vertical="center" wrapText="1"/>
    </xf>
    <xf numFmtId="10" fontId="2" fillId="52" borderId="3" xfId="0" applyNumberFormat="1" applyFont="1" applyFill="1" applyBorder="1" applyAlignment="1">
      <alignment horizontal="right" vertical="center" wrapText="1"/>
    </xf>
    <xf numFmtId="10" fontId="2" fillId="53" borderId="3" xfId="0" applyNumberFormat="1" applyFont="1" applyFill="1" applyBorder="1" applyAlignment="1">
      <alignment horizontal="right" vertical="center" wrapText="1"/>
    </xf>
    <xf numFmtId="10" fontId="2" fillId="55" borderId="3" xfId="0" applyNumberFormat="1" applyFont="1" applyFill="1" applyBorder="1" applyAlignment="1">
      <alignment horizontal="right" vertical="center" wrapText="1"/>
    </xf>
    <xf numFmtId="10" fontId="2" fillId="56" borderId="3" xfId="0" applyNumberFormat="1" applyFont="1" applyFill="1" applyBorder="1" applyAlignment="1">
      <alignment horizontal="right" vertical="center" wrapText="1"/>
    </xf>
    <xf numFmtId="10" fontId="2" fillId="57" borderId="3" xfId="0" applyNumberFormat="1" applyFont="1" applyFill="1" applyBorder="1" applyAlignment="1">
      <alignment horizontal="right" vertical="center" wrapText="1"/>
    </xf>
    <xf numFmtId="10" fontId="2" fillId="58" borderId="3" xfId="0" applyNumberFormat="1" applyFont="1" applyFill="1" applyBorder="1" applyAlignment="1">
      <alignment horizontal="right" vertical="center" wrapText="1"/>
    </xf>
    <xf numFmtId="10" fontId="2" fillId="59" borderId="3" xfId="0" applyNumberFormat="1" applyFont="1" applyFill="1" applyBorder="1" applyAlignment="1">
      <alignment horizontal="right" vertical="center" wrapText="1"/>
    </xf>
    <xf numFmtId="10" fontId="2" fillId="60" borderId="3" xfId="0" applyNumberFormat="1" applyFont="1" applyFill="1" applyBorder="1" applyAlignment="1">
      <alignment horizontal="right" vertical="center" wrapText="1"/>
    </xf>
    <xf numFmtId="10" fontId="2" fillId="61" borderId="3" xfId="0" applyNumberFormat="1" applyFont="1" applyFill="1" applyBorder="1" applyAlignment="1">
      <alignment horizontal="right" vertical="center" wrapText="1"/>
    </xf>
    <xf numFmtId="10" fontId="2" fillId="63" borderId="3" xfId="0" applyNumberFormat="1" applyFont="1" applyFill="1" applyBorder="1" applyAlignment="1">
      <alignment horizontal="right" vertical="center" wrapText="1"/>
    </xf>
    <xf numFmtId="10" fontId="2" fillId="64" borderId="3" xfId="0" applyNumberFormat="1" applyFont="1" applyFill="1" applyBorder="1" applyAlignment="1">
      <alignment horizontal="right" vertical="center" wrapText="1"/>
    </xf>
    <xf numFmtId="10" fontId="2" fillId="65" borderId="3" xfId="0" applyNumberFormat="1" applyFont="1" applyFill="1" applyBorder="1" applyAlignment="1">
      <alignment horizontal="right" vertical="center" wrapText="1"/>
    </xf>
    <xf numFmtId="10" fontId="2" fillId="66" borderId="3" xfId="0" applyNumberFormat="1" applyFont="1" applyFill="1" applyBorder="1" applyAlignment="1">
      <alignment horizontal="right" vertical="center" wrapText="1"/>
    </xf>
    <xf numFmtId="10" fontId="2" fillId="67" borderId="3" xfId="0" applyNumberFormat="1" applyFont="1" applyFill="1" applyBorder="1" applyAlignment="1">
      <alignment horizontal="right" vertical="center" wrapText="1"/>
    </xf>
    <xf numFmtId="10" fontId="2" fillId="68" borderId="3" xfId="0" applyNumberFormat="1" applyFont="1" applyFill="1" applyBorder="1" applyAlignment="1">
      <alignment horizontal="right" vertical="center" wrapText="1"/>
    </xf>
    <xf numFmtId="10" fontId="2" fillId="69" borderId="3" xfId="0" applyNumberFormat="1" applyFont="1" applyFill="1" applyBorder="1" applyAlignment="1">
      <alignment horizontal="right" vertical="center" wrapText="1"/>
    </xf>
    <xf numFmtId="10" fontId="2" fillId="70" borderId="3" xfId="0" applyNumberFormat="1" applyFont="1" applyFill="1" applyBorder="1" applyAlignment="1">
      <alignment horizontal="right" vertical="center" wrapText="1"/>
    </xf>
    <xf numFmtId="10" fontId="2" fillId="71" borderId="3" xfId="0" applyNumberFormat="1" applyFont="1" applyFill="1" applyBorder="1" applyAlignment="1">
      <alignment horizontal="right" vertical="center" wrapText="1"/>
    </xf>
    <xf numFmtId="10" fontId="2" fillId="72" borderId="3" xfId="0" applyNumberFormat="1" applyFont="1" applyFill="1" applyBorder="1" applyAlignment="1">
      <alignment horizontal="right" vertical="center" wrapText="1"/>
    </xf>
    <xf numFmtId="10" fontId="2" fillId="73" borderId="3" xfId="0" applyNumberFormat="1" applyFont="1" applyFill="1" applyBorder="1" applyAlignment="1">
      <alignment horizontal="right" vertical="center" wrapText="1"/>
    </xf>
    <xf numFmtId="10" fontId="2" fillId="74" borderId="3" xfId="0" applyNumberFormat="1" applyFont="1" applyFill="1" applyBorder="1" applyAlignment="1">
      <alignment horizontal="right" vertical="center" wrapText="1"/>
    </xf>
    <xf numFmtId="10" fontId="2" fillId="75" borderId="3" xfId="0" applyNumberFormat="1" applyFont="1" applyFill="1" applyBorder="1" applyAlignment="1">
      <alignment horizontal="right" vertical="center" wrapText="1"/>
    </xf>
    <xf numFmtId="10" fontId="2" fillId="75" borderId="1" xfId="0" applyNumberFormat="1" applyFont="1" applyFill="1" applyBorder="1" applyAlignment="1">
      <alignment horizontal="right" vertical="center" wrapText="1"/>
    </xf>
    <xf numFmtId="10" fontId="2" fillId="76" borderId="3" xfId="0" applyNumberFormat="1" applyFont="1" applyFill="1" applyBorder="1" applyAlignment="1">
      <alignment horizontal="right" vertical="center" wrapText="1"/>
    </xf>
    <xf numFmtId="10" fontId="2" fillId="77" borderId="3" xfId="0" applyNumberFormat="1" applyFont="1" applyFill="1" applyBorder="1" applyAlignment="1">
      <alignment horizontal="right" vertical="center" wrapText="1"/>
    </xf>
    <xf numFmtId="10" fontId="2" fillId="78" borderId="3" xfId="0" applyNumberFormat="1" applyFont="1" applyFill="1" applyBorder="1" applyAlignment="1">
      <alignment horizontal="right" vertical="center" wrapText="1"/>
    </xf>
    <xf numFmtId="10" fontId="2" fillId="79" borderId="3" xfId="0" applyNumberFormat="1" applyFont="1" applyFill="1" applyBorder="1" applyAlignment="1">
      <alignment horizontal="right" vertical="center" wrapText="1"/>
    </xf>
    <xf numFmtId="10" fontId="2" fillId="79" borderId="1" xfId="0" applyNumberFormat="1" applyFont="1" applyFill="1" applyBorder="1" applyAlignment="1">
      <alignment horizontal="right" vertical="center" wrapText="1"/>
    </xf>
    <xf numFmtId="10" fontId="2" fillId="80" borderId="3" xfId="0" applyNumberFormat="1" applyFont="1" applyFill="1" applyBorder="1" applyAlignment="1">
      <alignment horizontal="right" vertical="center" wrapText="1"/>
    </xf>
    <xf numFmtId="10" fontId="2" fillId="81" borderId="3" xfId="0" applyNumberFormat="1" applyFont="1" applyFill="1" applyBorder="1" applyAlignment="1">
      <alignment horizontal="right" vertical="center" wrapText="1"/>
    </xf>
    <xf numFmtId="10" fontId="2" fillId="82" borderId="3" xfId="0" applyNumberFormat="1" applyFont="1" applyFill="1" applyBorder="1" applyAlignment="1">
      <alignment horizontal="right" vertical="center" wrapText="1"/>
    </xf>
    <xf numFmtId="10" fontId="2" fillId="83" borderId="3" xfId="0" applyNumberFormat="1" applyFont="1" applyFill="1" applyBorder="1" applyAlignment="1">
      <alignment horizontal="right" vertical="center" wrapText="1"/>
    </xf>
    <xf numFmtId="10" fontId="2" fillId="84" borderId="3" xfId="0" applyNumberFormat="1" applyFont="1" applyFill="1" applyBorder="1" applyAlignment="1">
      <alignment horizontal="right" vertical="center" wrapText="1"/>
    </xf>
    <xf numFmtId="10" fontId="2" fillId="85" borderId="3" xfId="0" applyNumberFormat="1" applyFont="1" applyFill="1" applyBorder="1" applyAlignment="1">
      <alignment horizontal="right" vertical="center" wrapText="1"/>
    </xf>
    <xf numFmtId="10" fontId="2" fillId="86" borderId="3" xfId="0" applyNumberFormat="1" applyFont="1" applyFill="1" applyBorder="1" applyAlignment="1">
      <alignment horizontal="right" vertical="center" wrapText="1"/>
    </xf>
    <xf numFmtId="10" fontId="2" fillId="87" borderId="3" xfId="0" applyNumberFormat="1" applyFont="1" applyFill="1" applyBorder="1" applyAlignment="1">
      <alignment horizontal="right" vertical="center" wrapText="1"/>
    </xf>
    <xf numFmtId="10" fontId="2" fillId="88" borderId="3" xfId="0" applyNumberFormat="1" applyFont="1" applyFill="1" applyBorder="1" applyAlignment="1">
      <alignment horizontal="right" vertical="center" wrapText="1"/>
    </xf>
    <xf numFmtId="10" fontId="2" fillId="89" borderId="3" xfId="0" applyNumberFormat="1" applyFont="1" applyFill="1" applyBorder="1" applyAlignment="1">
      <alignment horizontal="right" vertical="center" wrapText="1"/>
    </xf>
    <xf numFmtId="10" fontId="2" fillId="90" borderId="3" xfId="0" applyNumberFormat="1" applyFont="1" applyFill="1" applyBorder="1" applyAlignment="1">
      <alignment horizontal="right" vertical="center" wrapText="1"/>
    </xf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10" fontId="0" fillId="93" borderId="7" xfId="0" applyNumberFormat="1" applyFill="1" applyBorder="1"/>
    <xf numFmtId="0" fontId="2" fillId="4" borderId="8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vertical="center" wrapText="1"/>
    </xf>
    <xf numFmtId="10" fontId="2" fillId="90" borderId="8" xfId="0" applyNumberFormat="1" applyFont="1" applyFill="1" applyBorder="1" applyAlignment="1">
      <alignment horizontal="right" vertical="center" wrapText="1"/>
    </xf>
    <xf numFmtId="0" fontId="2" fillId="4" borderId="14" xfId="0" applyFont="1" applyFill="1" applyBorder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4" fillId="91" borderId="0" xfId="0" applyFont="1" applyFill="1" applyAlignment="1">
      <alignment horizontal="center" vertical="center" wrapText="1"/>
    </xf>
    <xf numFmtId="0" fontId="1" fillId="92" borderId="7" xfId="0" applyFont="1" applyFill="1" applyBorder="1" applyAlignment="1">
      <alignment horizontal="center"/>
    </xf>
    <xf numFmtId="0" fontId="1" fillId="92" borderId="7" xfId="0" applyFont="1" applyFill="1" applyBorder="1" applyAlignment="1">
      <alignment horizontal="center" vertical="center"/>
    </xf>
    <xf numFmtId="164" fontId="0" fillId="93" borderId="13" xfId="0" applyNumberFormat="1" applyFill="1" applyBorder="1"/>
    <xf numFmtId="164" fontId="0" fillId="93" borderId="15" xfId="0" applyNumberFormat="1" applyFill="1" applyBorder="1"/>
    <xf numFmtId="14" fontId="0" fillId="0" borderId="0" xfId="0" applyNumberFormat="1" applyBorder="1"/>
    <xf numFmtId="10" fontId="0" fillId="0" borderId="0" xfId="0" applyNumberFormat="1" applyBorder="1"/>
    <xf numFmtId="164" fontId="0" fillId="0" borderId="0" xfId="0" applyNumberFormat="1" applyBorder="1"/>
    <xf numFmtId="10" fontId="2" fillId="83" borderId="1" xfId="0" applyNumberFormat="1" applyFont="1" applyFill="1" applyBorder="1" applyAlignment="1">
      <alignment horizontal="right" vertical="center" wrapText="1"/>
    </xf>
    <xf numFmtId="10" fontId="2" fillId="89" borderId="1" xfId="0" applyNumberFormat="1" applyFont="1" applyFill="1" applyBorder="1" applyAlignment="1">
      <alignment horizontal="right" vertical="center" wrapText="1"/>
    </xf>
    <xf numFmtId="10" fontId="2" fillId="62" borderId="3" xfId="0" applyNumberFormat="1" applyFont="1" applyFill="1" applyBorder="1" applyAlignment="1">
      <alignment horizontal="right" vertical="center" wrapText="1"/>
    </xf>
    <xf numFmtId="10" fontId="2" fillId="85" borderId="1" xfId="0" applyNumberFormat="1" applyFont="1" applyFill="1" applyBorder="1" applyAlignment="1">
      <alignment horizontal="right" vertical="center" wrapText="1"/>
    </xf>
    <xf numFmtId="10" fontId="2" fillId="24" borderId="3" xfId="0" applyNumberFormat="1" applyFont="1" applyFill="1" applyBorder="1" applyAlignment="1">
      <alignment horizontal="right" vertical="center" wrapText="1"/>
    </xf>
    <xf numFmtId="10" fontId="2" fillId="18" borderId="1" xfId="0" applyNumberFormat="1" applyFont="1" applyFill="1" applyBorder="1" applyAlignment="1">
      <alignment horizontal="right" vertical="center" wrapText="1"/>
    </xf>
    <xf numFmtId="10" fontId="2" fillId="12" borderId="1" xfId="0" applyNumberFormat="1" applyFont="1" applyFill="1" applyBorder="1" applyAlignment="1">
      <alignment horizontal="right" vertical="center" wrapText="1"/>
    </xf>
    <xf numFmtId="10" fontId="2" fillId="90" borderId="15" xfId="0" applyNumberFormat="1" applyFont="1" applyFill="1" applyBorder="1" applyAlignment="1">
      <alignment horizontal="right" vertical="center" wrapText="1"/>
    </xf>
    <xf numFmtId="10" fontId="2" fillId="77" borderId="1" xfId="0" applyNumberFormat="1" applyFont="1" applyFill="1" applyBorder="1" applyAlignment="1">
      <alignment horizontal="right" vertical="center" wrapText="1"/>
    </xf>
    <xf numFmtId="10" fontId="2" fillId="65" borderId="1" xfId="0" applyNumberFormat="1" applyFont="1" applyFill="1" applyBorder="1" applyAlignment="1">
      <alignment horizontal="right" vertical="center" wrapText="1"/>
    </xf>
    <xf numFmtId="10" fontId="2" fillId="67" borderId="1" xfId="0" applyNumberFormat="1" applyFont="1" applyFill="1" applyBorder="1" applyAlignment="1">
      <alignment horizontal="right" vertical="center" wrapText="1"/>
    </xf>
    <xf numFmtId="10" fontId="2" fillId="39" borderId="3" xfId="0" applyNumberFormat="1" applyFont="1" applyFill="1" applyBorder="1" applyAlignment="1">
      <alignment horizontal="right" vertical="center" wrapText="1"/>
    </xf>
    <xf numFmtId="10" fontId="2" fillId="54" borderId="1" xfId="0" applyNumberFormat="1" applyFont="1" applyFill="1" applyBorder="1" applyAlignment="1">
      <alignment horizontal="right" vertical="center" wrapText="1"/>
    </xf>
    <xf numFmtId="10" fontId="2" fillId="44" borderId="1" xfId="0" applyNumberFormat="1" applyFont="1" applyFill="1" applyBorder="1" applyAlignment="1">
      <alignment horizontal="right" vertical="center" wrapText="1"/>
    </xf>
    <xf numFmtId="10" fontId="2" fillId="81" borderId="1" xfId="0" applyNumberFormat="1" applyFont="1" applyFill="1" applyBorder="1" applyAlignment="1">
      <alignment horizontal="right" vertical="center" wrapText="1"/>
    </xf>
    <xf numFmtId="10" fontId="2" fillId="36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F9C"/>
      <color rgb="FF468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olonline-my.sharepoint.com/personal/issoltesz_molgroup_info/Documents/Feladatok/Versenyek/Brazil%20k&#225;v&#233;%20verseny/t&#246;lt&#337;&#225;llom&#225;sonk&#233;nt_decemberben_b&#233;rkeretben_fizetettek_sz&#225;ma.xlsx" TargetMode="External"/><Relationship Id="rId1" Type="http://schemas.openxmlformats.org/officeDocument/2006/relationships/externalLinkPath" Target="/personal/issoltesz_molgroup_info/Documents/Feladatok/Versenyek/Brazil%20k&#225;v&#233;%20verseny/t&#246;lt&#337;&#225;llom&#225;sonk&#233;nt_decemberben_b&#233;rkeretben_fizetettek_sz&#225;m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ssoltesz\AppData\Local\Microsoft\Windows\INetCache\Content.Outlook\740J1A2J\aggreg&#225;lt_20241111_20241231_t&#246;lt&#337;&#225;llom&#225;sonk&#233;nt_k&#225;v&#233;k_&#233;s_fajlagos_ar&#225;ny_m&#225;solata.xlsx" TargetMode="External"/><Relationship Id="rId1" Type="http://schemas.openxmlformats.org/officeDocument/2006/relationships/externalLinkPath" Target="file:///C:\Users\issoltesz\AppData\Local\Microsoft\Windows\INetCache\Content.Outlook\740J1A2J\aggreg&#225;lt_20241111_20241231_t&#246;lt&#337;&#225;llom&#225;sonk&#233;nt_k&#225;v&#233;k_&#233;s_fajlagos_ar&#225;ny_m&#225;sol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nka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9"/>
  <sheetViews>
    <sheetView tabSelected="1" topLeftCell="A108" workbookViewId="0">
      <selection activeCell="L122" sqref="L122"/>
    </sheetView>
  </sheetViews>
  <sheetFormatPr defaultRowHeight="14.45"/>
  <cols>
    <col min="2" max="4" width="24.7109375" customWidth="1"/>
    <col min="6" max="6" width="20.7109375" bestFit="1" customWidth="1"/>
    <col min="7" max="7" width="18.28515625" customWidth="1"/>
    <col min="8" max="8" width="17.42578125" bestFit="1" customWidth="1"/>
    <col min="9" max="9" width="16.7109375" bestFit="1" customWidth="1"/>
    <col min="10" max="10" width="28.42578125" bestFit="1" customWidth="1"/>
    <col min="11" max="11" width="21.5703125" bestFit="1" customWidth="1"/>
  </cols>
  <sheetData>
    <row r="1" spans="1:11" ht="46.5">
      <c r="A1" s="94" t="s">
        <v>0</v>
      </c>
      <c r="B1" s="95" t="s">
        <v>1</v>
      </c>
      <c r="C1" s="95" t="s">
        <v>2</v>
      </c>
      <c r="D1" s="95" t="s">
        <v>3</v>
      </c>
      <c r="E1" s="96" t="s">
        <v>4</v>
      </c>
      <c r="F1" s="97" t="s">
        <v>5</v>
      </c>
      <c r="G1" s="101" t="s">
        <v>6</v>
      </c>
      <c r="H1" s="101" t="s">
        <v>7</v>
      </c>
      <c r="I1" s="101" t="s">
        <v>8</v>
      </c>
      <c r="J1" s="102" t="s">
        <v>9</v>
      </c>
      <c r="K1" s="102" t="s">
        <v>10</v>
      </c>
    </row>
    <row r="2" spans="1:11" ht="15" thickBot="1">
      <c r="A2" s="1">
        <v>8015300</v>
      </c>
      <c r="B2" s="2" t="s">
        <v>11</v>
      </c>
      <c r="C2" s="2" t="s">
        <v>12</v>
      </c>
      <c r="D2" s="2" t="s">
        <v>13</v>
      </c>
      <c r="E2" s="4">
        <v>0.79700000000000004</v>
      </c>
      <c r="F2" s="107" t="s">
        <v>14</v>
      </c>
      <c r="G2" s="108">
        <v>0.65013217229046805</v>
      </c>
      <c r="H2" s="91">
        <v>13.451626030645102</v>
      </c>
      <c r="I2" s="108">
        <f>IFERROR(MAX(0, MIN(10%, TRUNC(G2 - IF(E2&gt;=35%,E2,35%),2)))*IF(G2&gt;=35%,1,0), 0)</f>
        <v>0</v>
      </c>
      <c r="J2" s="109">
        <v>0</v>
      </c>
      <c r="K2" s="109">
        <f t="shared" ref="K2:K65" si="0">J2/H2</f>
        <v>0</v>
      </c>
    </row>
    <row r="3" spans="1:11" ht="15" thickBot="1">
      <c r="A3" s="1">
        <v>3436800</v>
      </c>
      <c r="B3" s="2" t="s">
        <v>15</v>
      </c>
      <c r="C3" s="2" t="s">
        <v>16</v>
      </c>
      <c r="D3" s="2" t="s">
        <v>17</v>
      </c>
      <c r="E3" s="5">
        <v>0.75900000000000001</v>
      </c>
      <c r="F3" s="90" t="s">
        <v>14</v>
      </c>
      <c r="G3" s="3">
        <v>0.90509554140127391</v>
      </c>
      <c r="H3" s="91">
        <v>6.2982736407114448</v>
      </c>
      <c r="I3" s="3">
        <f t="shared" ref="I3:I65" si="1">IFERROR(MAX(0, MIN(10%, TRUNC(G3 - IF(E3&gt;=35%,E3,35%),2)))*IF(G3&gt;=35%,1,0), 0)</f>
        <v>0.1</v>
      </c>
      <c r="J3" s="89">
        <v>107968.11322812794</v>
      </c>
      <c r="K3" s="89">
        <f t="shared" si="0"/>
        <v>17142.493227069761</v>
      </c>
    </row>
    <row r="4" spans="1:11" ht="15" thickBot="1">
      <c r="A4" s="1">
        <v>3929900</v>
      </c>
      <c r="B4" s="2" t="s">
        <v>18</v>
      </c>
      <c r="C4" s="2" t="s">
        <v>19</v>
      </c>
      <c r="D4" s="2" t="s">
        <v>17</v>
      </c>
      <c r="E4" s="6">
        <v>0.73199999999999998</v>
      </c>
      <c r="F4" s="90" t="s">
        <v>14</v>
      </c>
      <c r="G4" s="3">
        <v>0.84077427411801431</v>
      </c>
      <c r="H4" s="91">
        <v>9.6974104610671681</v>
      </c>
      <c r="I4" s="3">
        <f t="shared" si="1"/>
        <v>0.1</v>
      </c>
      <c r="J4" s="89">
        <v>166237.79314895938</v>
      </c>
      <c r="K4" s="89">
        <f t="shared" si="0"/>
        <v>17142.493227069761</v>
      </c>
    </row>
    <row r="5" spans="1:11" ht="15" thickBot="1">
      <c r="A5" s="1">
        <v>8090300</v>
      </c>
      <c r="B5" s="2" t="s">
        <v>20</v>
      </c>
      <c r="C5" s="2" t="s">
        <v>16</v>
      </c>
      <c r="D5" s="2" t="s">
        <v>17</v>
      </c>
      <c r="E5" s="7">
        <v>0.7</v>
      </c>
      <c r="F5" s="90" t="s">
        <v>14</v>
      </c>
      <c r="G5" s="3">
        <v>0.77652050919377658</v>
      </c>
      <c r="H5" s="91">
        <v>5.2556631206098103</v>
      </c>
      <c r="I5" s="3">
        <f t="shared" si="1"/>
        <v>7.0000000000000007E-2</v>
      </c>
      <c r="J5" s="89">
        <v>63066.618614169805</v>
      </c>
      <c r="K5" s="89">
        <f t="shared" si="0"/>
        <v>11999.745258948835</v>
      </c>
    </row>
    <row r="6" spans="1:11" ht="15" thickBot="1">
      <c r="A6" s="1">
        <v>7052100</v>
      </c>
      <c r="B6" s="2" t="s">
        <v>21</v>
      </c>
      <c r="C6" s="2" t="s">
        <v>12</v>
      </c>
      <c r="D6" s="2" t="s">
        <v>13</v>
      </c>
      <c r="E6" s="8">
        <v>0.64</v>
      </c>
      <c r="F6" s="90" t="s">
        <v>14</v>
      </c>
      <c r="G6" s="3">
        <v>0.69710211591536342</v>
      </c>
      <c r="H6" s="91">
        <v>5.9126210106860366</v>
      </c>
      <c r="I6" s="3">
        <f t="shared" si="1"/>
        <v>0.05</v>
      </c>
      <c r="J6" s="89">
        <v>50678.532814957871</v>
      </c>
      <c r="K6" s="89">
        <f t="shared" si="0"/>
        <v>8571.2466135348805</v>
      </c>
    </row>
    <row r="7" spans="1:11" ht="15" thickBot="1">
      <c r="A7" s="1">
        <v>6162600</v>
      </c>
      <c r="B7" s="2" t="s">
        <v>22</v>
      </c>
      <c r="C7" s="2" t="s">
        <v>23</v>
      </c>
      <c r="D7" s="2" t="s">
        <v>13</v>
      </c>
      <c r="E7" s="9">
        <v>0.627</v>
      </c>
      <c r="F7" s="90" t="s">
        <v>14</v>
      </c>
      <c r="G7" s="3">
        <v>0.70715096481271278</v>
      </c>
      <c r="H7" s="91">
        <v>8.2168280142480494</v>
      </c>
      <c r="I7" s="3">
        <f t="shared" si="1"/>
        <v>0.08</v>
      </c>
      <c r="J7" s="89">
        <v>112685.53486579542</v>
      </c>
      <c r="K7" s="89">
        <f t="shared" si="0"/>
        <v>13713.99458165581</v>
      </c>
    </row>
    <row r="8" spans="1:11" ht="15" thickBot="1">
      <c r="A8" s="1">
        <v>4850800</v>
      </c>
      <c r="B8" s="2" t="s">
        <v>24</v>
      </c>
      <c r="C8" s="2" t="s">
        <v>25</v>
      </c>
      <c r="D8" s="2" t="s">
        <v>17</v>
      </c>
      <c r="E8" s="10">
        <v>0.60799999999999998</v>
      </c>
      <c r="F8" s="90" t="s">
        <v>14</v>
      </c>
      <c r="G8" s="3">
        <v>0.72987358616101128</v>
      </c>
      <c r="H8" s="91">
        <v>6.0695789007622629</v>
      </c>
      <c r="I8" s="3">
        <f t="shared" si="1"/>
        <v>0.1</v>
      </c>
      <c r="J8" s="89">
        <v>104047.71519748263</v>
      </c>
      <c r="K8" s="89">
        <f t="shared" si="0"/>
        <v>17142.493227069761</v>
      </c>
    </row>
    <row r="9" spans="1:11" ht="15" thickBot="1">
      <c r="A9" s="11">
        <v>6137500</v>
      </c>
      <c r="B9" s="12" t="s">
        <v>26</v>
      </c>
      <c r="C9" s="2" t="s">
        <v>23</v>
      </c>
      <c r="D9" s="2" t="s">
        <v>13</v>
      </c>
      <c r="E9" s="116">
        <v>0.56399999999999995</v>
      </c>
      <c r="F9" s="90" t="s">
        <v>14</v>
      </c>
      <c r="G9" s="3">
        <v>0.67123893805309731</v>
      </c>
      <c r="H9" s="91">
        <v>9.3240573432096419</v>
      </c>
      <c r="I9" s="3">
        <f t="shared" si="1"/>
        <v>0.1</v>
      </c>
      <c r="J9" s="89">
        <v>159837.58985478137</v>
      </c>
      <c r="K9" s="89">
        <f t="shared" si="0"/>
        <v>17142.493227069761</v>
      </c>
    </row>
    <row r="10" spans="1:11" ht="15" thickBot="1">
      <c r="A10" s="1">
        <v>7086100</v>
      </c>
      <c r="B10" s="2" t="s">
        <v>27</v>
      </c>
      <c r="C10" s="2" t="s">
        <v>12</v>
      </c>
      <c r="D10" s="2" t="s">
        <v>13</v>
      </c>
      <c r="E10" s="13">
        <v>0.54900000000000004</v>
      </c>
      <c r="F10" s="90" t="s">
        <v>14</v>
      </c>
      <c r="G10" s="3">
        <v>0.65742793793684229</v>
      </c>
      <c r="H10" s="91">
        <v>21.222601649032168</v>
      </c>
      <c r="I10" s="3">
        <f t="shared" si="1"/>
        <v>0.1</v>
      </c>
      <c r="J10" s="89">
        <v>363808.30502933345</v>
      </c>
      <c r="K10" s="89">
        <f t="shared" si="0"/>
        <v>17142.493227069761</v>
      </c>
    </row>
    <row r="11" spans="1:11" ht="15" thickBot="1">
      <c r="A11" s="1">
        <v>7087200</v>
      </c>
      <c r="B11" s="2" t="s">
        <v>28</v>
      </c>
      <c r="C11" s="2" t="s">
        <v>12</v>
      </c>
      <c r="D11" s="2" t="s">
        <v>13</v>
      </c>
      <c r="E11" s="14">
        <v>0.50800000000000001</v>
      </c>
      <c r="F11" s="90" t="s">
        <v>14</v>
      </c>
      <c r="G11" s="3">
        <v>0.67040673213882396</v>
      </c>
      <c r="H11" s="91">
        <v>18.632276442903144</v>
      </c>
      <c r="I11" s="3">
        <f t="shared" si="1"/>
        <v>0.1</v>
      </c>
      <c r="J11" s="89">
        <v>319403.67272735864</v>
      </c>
      <c r="K11" s="89">
        <f t="shared" si="0"/>
        <v>17142.493227069761</v>
      </c>
    </row>
    <row r="12" spans="1:11" ht="15" thickBot="1">
      <c r="A12" s="1">
        <v>8070300</v>
      </c>
      <c r="B12" s="2" t="s">
        <v>29</v>
      </c>
      <c r="C12" s="2" t="s">
        <v>16</v>
      </c>
      <c r="D12" s="2" t="s">
        <v>17</v>
      </c>
      <c r="E12" s="15">
        <v>0.49099999999999999</v>
      </c>
      <c r="F12" s="90" t="s">
        <v>14</v>
      </c>
      <c r="G12" s="3">
        <v>0.70159078442128364</v>
      </c>
      <c r="H12" s="91">
        <v>7.6655079158040857</v>
      </c>
      <c r="I12" s="3">
        <f t="shared" si="1"/>
        <v>0.1</v>
      </c>
      <c r="J12" s="89">
        <v>131405.91752872118</v>
      </c>
      <c r="K12" s="89">
        <f t="shared" si="0"/>
        <v>17142.493227069761</v>
      </c>
    </row>
    <row r="13" spans="1:11" ht="15" thickBot="1">
      <c r="A13" s="1">
        <v>3546700</v>
      </c>
      <c r="B13" s="2" t="s">
        <v>30</v>
      </c>
      <c r="C13" s="2" t="s">
        <v>23</v>
      </c>
      <c r="D13" s="2" t="s">
        <v>13</v>
      </c>
      <c r="E13" s="16">
        <v>0.46600000000000003</v>
      </c>
      <c r="F13" s="90" t="s">
        <v>14</v>
      </c>
      <c r="G13" s="3">
        <v>0.53465878559914026</v>
      </c>
      <c r="H13" s="91">
        <v>10.135382387784652</v>
      </c>
      <c r="I13" s="3">
        <f t="shared" si="1"/>
        <v>0.06</v>
      </c>
      <c r="J13" s="89">
        <v>104247.43436181634</v>
      </c>
      <c r="K13" s="89">
        <f t="shared" si="0"/>
        <v>10285.495936241858</v>
      </c>
    </row>
    <row r="14" spans="1:11" ht="15" thickBot="1">
      <c r="A14" s="1">
        <v>6164400</v>
      </c>
      <c r="B14" s="2" t="s">
        <v>31</v>
      </c>
      <c r="C14" s="2" t="s">
        <v>23</v>
      </c>
      <c r="D14" s="2" t="s">
        <v>13</v>
      </c>
      <c r="E14" s="17">
        <v>0.45900000000000002</v>
      </c>
      <c r="F14" s="90" t="s">
        <v>14</v>
      </c>
      <c r="G14" s="3">
        <v>0.6657512750098078</v>
      </c>
      <c r="H14" s="91">
        <v>9.6974104610671681</v>
      </c>
      <c r="I14" s="3">
        <f t="shared" si="1"/>
        <v>0.1</v>
      </c>
      <c r="J14" s="89">
        <v>166237.79314895938</v>
      </c>
      <c r="K14" s="89">
        <f t="shared" si="0"/>
        <v>17142.493227069761</v>
      </c>
    </row>
    <row r="15" spans="1:11" ht="15" thickBot="1">
      <c r="A15" s="18">
        <v>2948600</v>
      </c>
      <c r="B15" s="19" t="s">
        <v>32</v>
      </c>
      <c r="C15" s="2" t="s">
        <v>16</v>
      </c>
      <c r="D15" s="2" t="s">
        <v>17</v>
      </c>
      <c r="E15" s="115">
        <v>0.45300000000000001</v>
      </c>
      <c r="F15" s="90" t="s">
        <v>14</v>
      </c>
      <c r="G15" s="3">
        <v>0.70199275362318836</v>
      </c>
      <c r="H15" s="91">
        <v>6.2982736407114448</v>
      </c>
      <c r="I15" s="3">
        <f t="shared" si="1"/>
        <v>0.1</v>
      </c>
      <c r="J15" s="89">
        <v>107968.11322812794</v>
      </c>
      <c r="K15" s="89">
        <f t="shared" si="0"/>
        <v>17142.493227069761</v>
      </c>
    </row>
    <row r="16" spans="1:11" ht="15" thickBot="1">
      <c r="A16" s="1">
        <v>3949100</v>
      </c>
      <c r="B16" s="2" t="s">
        <v>33</v>
      </c>
      <c r="C16" s="2" t="s">
        <v>19</v>
      </c>
      <c r="D16" s="2" t="s">
        <v>17</v>
      </c>
      <c r="E16" s="20">
        <v>0.44600000000000001</v>
      </c>
      <c r="F16" s="90" t="s">
        <v>14</v>
      </c>
      <c r="G16" s="3">
        <v>0.69557573981834164</v>
      </c>
      <c r="H16" s="91">
        <v>10.511326241219621</v>
      </c>
      <c r="I16" s="3">
        <f t="shared" si="1"/>
        <v>0.1</v>
      </c>
      <c r="J16" s="89">
        <v>180190.33889762801</v>
      </c>
      <c r="K16" s="89">
        <f t="shared" si="0"/>
        <v>17142.493227069761</v>
      </c>
    </row>
    <row r="17" spans="1:11" ht="15" thickBot="1">
      <c r="A17" s="1">
        <v>5141000</v>
      </c>
      <c r="B17" s="2" t="s">
        <v>34</v>
      </c>
      <c r="C17" s="2" t="s">
        <v>25</v>
      </c>
      <c r="D17" s="2" t="s">
        <v>17</v>
      </c>
      <c r="E17" s="21">
        <v>0.40100000000000002</v>
      </c>
      <c r="F17" s="90" t="s">
        <v>14</v>
      </c>
      <c r="G17" s="3">
        <v>0.52684258416742491</v>
      </c>
      <c r="H17" s="91">
        <v>7.0000000000000018</v>
      </c>
      <c r="I17" s="3">
        <f t="shared" si="1"/>
        <v>0.1</v>
      </c>
      <c r="J17" s="89">
        <v>119997.45258948837</v>
      </c>
      <c r="K17" s="89">
        <f t="shared" si="0"/>
        <v>17142.493227069765</v>
      </c>
    </row>
    <row r="18" spans="1:11" ht="15" thickBot="1">
      <c r="A18" s="1">
        <v>6162200</v>
      </c>
      <c r="B18" s="2" t="s">
        <v>35</v>
      </c>
      <c r="C18" s="2" t="s">
        <v>23</v>
      </c>
      <c r="D18" s="2" t="s">
        <v>13</v>
      </c>
      <c r="E18" s="21">
        <v>0.39900000000000002</v>
      </c>
      <c r="F18" s="90" t="s">
        <v>14</v>
      </c>
      <c r="G18" s="3">
        <v>0.61381789137380194</v>
      </c>
      <c r="H18" s="91">
        <v>6.4649403073781135</v>
      </c>
      <c r="I18" s="3">
        <f t="shared" si="1"/>
        <v>0.1</v>
      </c>
      <c r="J18" s="89">
        <v>110825.19543263962</v>
      </c>
      <c r="K18" s="89">
        <f t="shared" si="0"/>
        <v>17142.493227069765</v>
      </c>
    </row>
    <row r="19" spans="1:11" ht="15" thickBot="1">
      <c r="A19" s="1">
        <v>2966300</v>
      </c>
      <c r="B19" s="2" t="s">
        <v>36</v>
      </c>
      <c r="C19" s="2" t="s">
        <v>37</v>
      </c>
      <c r="D19" s="2" t="s">
        <v>38</v>
      </c>
      <c r="E19" s="22">
        <v>0.38500000000000001</v>
      </c>
      <c r="F19" s="90" t="s">
        <v>14</v>
      </c>
      <c r="G19" s="3">
        <v>0.7714738510301109</v>
      </c>
      <c r="H19" s="91">
        <v>9.6974104610671681</v>
      </c>
      <c r="I19" s="3">
        <f t="shared" si="1"/>
        <v>0.1</v>
      </c>
      <c r="J19" s="89">
        <v>166237.79314895938</v>
      </c>
      <c r="K19" s="89">
        <f t="shared" si="0"/>
        <v>17142.493227069761</v>
      </c>
    </row>
    <row r="20" spans="1:11" ht="15" thickBot="1">
      <c r="A20" s="1">
        <v>3465300</v>
      </c>
      <c r="B20" s="2" t="s">
        <v>39</v>
      </c>
      <c r="C20" s="2" t="s">
        <v>23</v>
      </c>
      <c r="D20" s="2" t="s">
        <v>13</v>
      </c>
      <c r="E20" s="22">
        <v>0.38400000000000001</v>
      </c>
      <c r="F20" s="90" t="s">
        <v>14</v>
      </c>
      <c r="G20" s="3">
        <v>0.60549019607843135</v>
      </c>
      <c r="H20" s="91">
        <v>10.135382387784652</v>
      </c>
      <c r="I20" s="3">
        <f t="shared" si="1"/>
        <v>0.1</v>
      </c>
      <c r="J20" s="89">
        <v>173745.72393636053</v>
      </c>
      <c r="K20" s="89">
        <f t="shared" si="0"/>
        <v>17142.493227069761</v>
      </c>
    </row>
    <row r="21" spans="1:11" ht="15" thickBot="1">
      <c r="A21" s="1">
        <v>6139700</v>
      </c>
      <c r="B21" s="2" t="s">
        <v>40</v>
      </c>
      <c r="C21" s="2" t="s">
        <v>23</v>
      </c>
      <c r="D21" s="2" t="s">
        <v>13</v>
      </c>
      <c r="E21" s="23">
        <v>0.38</v>
      </c>
      <c r="F21" s="90" t="s">
        <v>14</v>
      </c>
      <c r="G21" s="3">
        <v>0.52321041214750541</v>
      </c>
      <c r="H21" s="91">
        <v>12.763213948089557</v>
      </c>
      <c r="I21" s="3">
        <f t="shared" si="1"/>
        <v>0.1</v>
      </c>
      <c r="J21" s="89">
        <v>218793.30866076757</v>
      </c>
      <c r="K21" s="89">
        <f t="shared" si="0"/>
        <v>17142.493227069765</v>
      </c>
    </row>
    <row r="22" spans="1:11" ht="15" thickBot="1">
      <c r="A22" s="1">
        <v>7349700</v>
      </c>
      <c r="B22" s="2" t="s">
        <v>41</v>
      </c>
      <c r="C22" s="2" t="s">
        <v>42</v>
      </c>
      <c r="D22" s="2" t="s">
        <v>13</v>
      </c>
      <c r="E22" s="23">
        <v>0.376</v>
      </c>
      <c r="F22" s="90" t="s">
        <v>14</v>
      </c>
      <c r="G22" s="3">
        <v>0.66176470588235292</v>
      </c>
      <c r="H22" s="91">
        <v>10.736300824516082</v>
      </c>
      <c r="I22" s="3">
        <f t="shared" si="1"/>
        <v>0.1</v>
      </c>
      <c r="J22" s="89">
        <v>184046.96416805044</v>
      </c>
      <c r="K22" s="89">
        <f t="shared" si="0"/>
        <v>17142.493227069761</v>
      </c>
    </row>
    <row r="23" spans="1:11" ht="15" thickBot="1">
      <c r="A23" s="1">
        <v>3950300</v>
      </c>
      <c r="B23" s="2" t="s">
        <v>43</v>
      </c>
      <c r="C23" s="2" t="s">
        <v>19</v>
      </c>
      <c r="D23" s="2" t="s">
        <v>17</v>
      </c>
      <c r="E23" s="24">
        <v>0.35899999999999999</v>
      </c>
      <c r="F23" s="90" t="s">
        <v>14</v>
      </c>
      <c r="G23" s="3">
        <v>0.44032466334624609</v>
      </c>
      <c r="H23" s="91">
        <v>13.969691071870908</v>
      </c>
      <c r="I23" s="3">
        <f t="shared" si="1"/>
        <v>0.08</v>
      </c>
      <c r="J23" s="89">
        <v>191580.2676670432</v>
      </c>
      <c r="K23" s="89">
        <f t="shared" si="0"/>
        <v>13713.99458165581</v>
      </c>
    </row>
    <row r="24" spans="1:11" ht="15" thickBot="1">
      <c r="A24" s="1">
        <v>2903600</v>
      </c>
      <c r="B24" s="2" t="s">
        <v>44</v>
      </c>
      <c r="C24" s="2" t="s">
        <v>45</v>
      </c>
      <c r="D24" s="2" t="s">
        <v>38</v>
      </c>
      <c r="E24" s="24">
        <v>0.35799999999999998</v>
      </c>
      <c r="F24" s="90" t="s">
        <v>14</v>
      </c>
      <c r="G24" s="3">
        <v>0.65621734587251823</v>
      </c>
      <c r="H24" s="91">
        <v>7.9455227541972313</v>
      </c>
      <c r="I24" s="3">
        <f t="shared" si="1"/>
        <v>0.1</v>
      </c>
      <c r="J24" s="89">
        <v>136206.06999935472</v>
      </c>
      <c r="K24" s="89">
        <f t="shared" si="0"/>
        <v>17142.493227069761</v>
      </c>
    </row>
    <row r="25" spans="1:11" ht="15" thickBot="1">
      <c r="A25" s="1">
        <v>7341200</v>
      </c>
      <c r="B25" s="2" t="s">
        <v>46</v>
      </c>
      <c r="C25" s="2" t="s">
        <v>42</v>
      </c>
      <c r="D25" s="2" t="s">
        <v>13</v>
      </c>
      <c r="E25" s="24">
        <v>0.35799999999999998</v>
      </c>
      <c r="F25" s="90" t="s">
        <v>14</v>
      </c>
      <c r="G25" s="3">
        <v>0.53324915824915819</v>
      </c>
      <c r="H25" s="91">
        <v>15.916951236774121</v>
      </c>
      <c r="I25" s="3">
        <f t="shared" si="1"/>
        <v>0.1</v>
      </c>
      <c r="J25" s="89">
        <v>272856.22877200006</v>
      </c>
      <c r="K25" s="89">
        <f t="shared" si="0"/>
        <v>17142.493227069765</v>
      </c>
    </row>
    <row r="26" spans="1:11" ht="15" thickBot="1">
      <c r="A26" s="1">
        <v>3466700</v>
      </c>
      <c r="B26" s="2" t="s">
        <v>47</v>
      </c>
      <c r="C26" s="2" t="s">
        <v>23</v>
      </c>
      <c r="D26" s="2" t="s">
        <v>13</v>
      </c>
      <c r="E26" s="114">
        <v>0.35399999999999998</v>
      </c>
      <c r="F26" s="90" t="s">
        <v>14</v>
      </c>
      <c r="G26" s="3">
        <v>0.7530033637674195</v>
      </c>
      <c r="H26" s="91">
        <v>8.5714666076321997</v>
      </c>
      <c r="I26" s="3">
        <f t="shared" si="1"/>
        <v>0.1</v>
      </c>
      <c r="J26" s="89">
        <v>146936.3082673896</v>
      </c>
      <c r="K26" s="89">
        <f t="shared" si="0"/>
        <v>17142.493227069761</v>
      </c>
    </row>
    <row r="27" spans="1:11" ht="15" thickBot="1">
      <c r="A27" s="1">
        <v>6245600</v>
      </c>
      <c r="B27" s="2" t="s">
        <v>48</v>
      </c>
      <c r="C27" s="2" t="s">
        <v>49</v>
      </c>
      <c r="D27" s="2" t="s">
        <v>13</v>
      </c>
      <c r="E27" s="25">
        <v>0.34899999999999998</v>
      </c>
      <c r="F27" s="90" t="s">
        <v>14</v>
      </c>
      <c r="G27" s="3">
        <v>0.57523696682464454</v>
      </c>
      <c r="H27" s="91">
        <v>8.2594385343496839</v>
      </c>
      <c r="I27" s="3">
        <f t="shared" si="1"/>
        <v>0.1</v>
      </c>
      <c r="J27" s="89">
        <v>141587.36913448846</v>
      </c>
      <c r="K27" s="89">
        <f t="shared" si="0"/>
        <v>17142.493227069761</v>
      </c>
    </row>
    <row r="28" spans="1:11" ht="15" thickBot="1">
      <c r="A28" s="1">
        <v>6268900</v>
      </c>
      <c r="B28" s="2" t="s">
        <v>50</v>
      </c>
      <c r="C28" s="2" t="s">
        <v>49</v>
      </c>
      <c r="D28" s="2" t="s">
        <v>13</v>
      </c>
      <c r="E28" s="25">
        <v>0.34699999999999998</v>
      </c>
      <c r="F28" s="90" t="s">
        <v>14</v>
      </c>
      <c r="G28" s="3">
        <v>0.4501285347043702</v>
      </c>
      <c r="H28" s="91">
        <v>16.041951236774121</v>
      </c>
      <c r="I28" s="3">
        <f t="shared" si="1"/>
        <v>0.1</v>
      </c>
      <c r="J28" s="89">
        <v>274999.04042538378</v>
      </c>
      <c r="K28" s="89">
        <f t="shared" si="0"/>
        <v>17142.493227069761</v>
      </c>
    </row>
    <row r="29" spans="1:11" ht="15" thickBot="1">
      <c r="A29" s="1">
        <v>5863500</v>
      </c>
      <c r="B29" s="2" t="s">
        <v>51</v>
      </c>
      <c r="C29" s="2" t="s">
        <v>23</v>
      </c>
      <c r="D29" s="2" t="s">
        <v>13</v>
      </c>
      <c r="E29" s="26">
        <v>0.34499999999999997</v>
      </c>
      <c r="F29" s="90" t="s">
        <v>14</v>
      </c>
      <c r="G29" s="3">
        <v>0.43193384223918574</v>
      </c>
      <c r="H29" s="91">
        <v>7.2575508274797471</v>
      </c>
      <c r="I29" s="3">
        <f t="shared" si="1"/>
        <v>0.08</v>
      </c>
      <c r="J29" s="89">
        <v>99530.012724148895</v>
      </c>
      <c r="K29" s="89">
        <f t="shared" si="0"/>
        <v>13713.99458165581</v>
      </c>
    </row>
    <row r="30" spans="1:11" ht="15" thickBot="1">
      <c r="A30" s="1">
        <v>7980300</v>
      </c>
      <c r="B30" s="2" t="s">
        <v>52</v>
      </c>
      <c r="C30" s="2" t="s">
        <v>19</v>
      </c>
      <c r="D30" s="2" t="s">
        <v>17</v>
      </c>
      <c r="E30" s="27">
        <v>0.32500000000000001</v>
      </c>
      <c r="F30" s="90" t="s">
        <v>14</v>
      </c>
      <c r="G30" s="3">
        <v>0.59807273857631338</v>
      </c>
      <c r="H30" s="91">
        <v>6.1316069740447787</v>
      </c>
      <c r="I30" s="3">
        <f t="shared" si="1"/>
        <v>0.1</v>
      </c>
      <c r="J30" s="89">
        <v>105111.03102361634</v>
      </c>
      <c r="K30" s="89">
        <f t="shared" si="0"/>
        <v>17142.493227069761</v>
      </c>
    </row>
    <row r="31" spans="1:11" ht="15" thickBot="1">
      <c r="A31" s="1">
        <v>8145300</v>
      </c>
      <c r="B31" s="2" t="s">
        <v>53</v>
      </c>
      <c r="C31" s="2" t="s">
        <v>42</v>
      </c>
      <c r="D31" s="2" t="s">
        <v>13</v>
      </c>
      <c r="E31" s="28">
        <v>0.314</v>
      </c>
      <c r="F31" s="90" t="s">
        <v>14</v>
      </c>
      <c r="G31" s="3">
        <v>0.37317424398271959</v>
      </c>
      <c r="H31" s="91">
        <v>9.6974104610671681</v>
      </c>
      <c r="I31" s="3">
        <f t="shared" si="1"/>
        <v>0.02</v>
      </c>
      <c r="J31" s="89">
        <v>33247.558629791878</v>
      </c>
      <c r="K31" s="89">
        <f t="shared" si="0"/>
        <v>3428.4986454139525</v>
      </c>
    </row>
    <row r="32" spans="1:11" ht="15" thickBot="1">
      <c r="A32" s="1">
        <v>7970300</v>
      </c>
      <c r="B32" s="2" t="s">
        <v>54</v>
      </c>
      <c r="C32" s="2" t="s">
        <v>19</v>
      </c>
      <c r="D32" s="2" t="s">
        <v>17</v>
      </c>
      <c r="E32" s="29">
        <v>0.30599999999999999</v>
      </c>
      <c r="F32" s="90" t="s">
        <v>14</v>
      </c>
      <c r="G32" s="3">
        <v>0.66538707613563663</v>
      </c>
      <c r="H32" s="91">
        <v>10.135382387784652</v>
      </c>
      <c r="I32" s="3">
        <f t="shared" si="1"/>
        <v>0.1</v>
      </c>
      <c r="J32" s="89">
        <v>173745.72393636053</v>
      </c>
      <c r="K32" s="89">
        <f t="shared" si="0"/>
        <v>17142.493227069761</v>
      </c>
    </row>
    <row r="33" spans="1:11" ht="15" thickBot="1">
      <c r="A33" s="1">
        <v>7046600</v>
      </c>
      <c r="B33" s="2" t="s">
        <v>55</v>
      </c>
      <c r="C33" s="2" t="s">
        <v>12</v>
      </c>
      <c r="D33" s="2" t="s">
        <v>13</v>
      </c>
      <c r="E33" s="30">
        <v>0.28499999999999998</v>
      </c>
      <c r="F33" s="90" t="s">
        <v>14</v>
      </c>
      <c r="G33" s="3">
        <v>0.8195845697329377</v>
      </c>
      <c r="H33" s="91">
        <v>6.1316069740447787</v>
      </c>
      <c r="I33" s="3">
        <f t="shared" si="1"/>
        <v>0.1</v>
      </c>
      <c r="J33" s="89">
        <v>105111.03102361634</v>
      </c>
      <c r="K33" s="89">
        <f t="shared" si="0"/>
        <v>17142.493227069761</v>
      </c>
    </row>
    <row r="34" spans="1:11" ht="15" thickBot="1">
      <c r="A34" s="1">
        <v>3435300</v>
      </c>
      <c r="B34" s="2" t="s">
        <v>56</v>
      </c>
      <c r="C34" s="2" t="s">
        <v>16</v>
      </c>
      <c r="D34" s="2" t="s">
        <v>17</v>
      </c>
      <c r="E34" s="30">
        <v>0.28499999999999998</v>
      </c>
      <c r="F34" s="90" t="s">
        <v>14</v>
      </c>
      <c r="G34" s="3">
        <v>0.66019417475728159</v>
      </c>
      <c r="H34" s="91">
        <v>11.011326241219621</v>
      </c>
      <c r="I34" s="3">
        <f t="shared" si="1"/>
        <v>0.1</v>
      </c>
      <c r="J34" s="89">
        <v>188761.58551116288</v>
      </c>
      <c r="K34" s="89">
        <f t="shared" si="0"/>
        <v>17142.493227069761</v>
      </c>
    </row>
    <row r="35" spans="1:11" ht="15" thickBot="1">
      <c r="A35" s="1">
        <v>7330500</v>
      </c>
      <c r="B35" s="2" t="s">
        <v>57</v>
      </c>
      <c r="C35" s="2" t="s">
        <v>12</v>
      </c>
      <c r="D35" s="2" t="s">
        <v>13</v>
      </c>
      <c r="E35" s="30">
        <v>0.28399999999999997</v>
      </c>
      <c r="F35" s="90" t="s">
        <v>14</v>
      </c>
      <c r="G35" s="3">
        <v>0.39119652820830753</v>
      </c>
      <c r="H35" s="91">
        <v>13.451626030645102</v>
      </c>
      <c r="I35" s="3">
        <f t="shared" si="1"/>
        <v>0.04</v>
      </c>
      <c r="J35" s="89">
        <v>92237.763249363576</v>
      </c>
      <c r="K35" s="89">
        <f t="shared" si="0"/>
        <v>6856.9972908279042</v>
      </c>
    </row>
    <row r="36" spans="1:11" ht="15" thickBot="1">
      <c r="A36" s="1">
        <v>3477400</v>
      </c>
      <c r="B36" s="2" t="s">
        <v>58</v>
      </c>
      <c r="C36" s="2" t="s">
        <v>16</v>
      </c>
      <c r="D36" s="2" t="s">
        <v>17</v>
      </c>
      <c r="E36" s="30">
        <v>0.28399999999999997</v>
      </c>
      <c r="F36" s="90" t="s">
        <v>14</v>
      </c>
      <c r="G36" s="3">
        <v>0.25963302752293577</v>
      </c>
      <c r="H36" s="91">
        <v>10.135382387784652</v>
      </c>
      <c r="I36" s="3">
        <f t="shared" si="1"/>
        <v>0</v>
      </c>
      <c r="J36" s="89">
        <v>0</v>
      </c>
      <c r="K36" s="89">
        <f t="shared" si="0"/>
        <v>0</v>
      </c>
    </row>
    <row r="37" spans="1:11" ht="15" thickBot="1">
      <c r="A37" s="1">
        <v>7875300</v>
      </c>
      <c r="B37" s="2" t="s">
        <v>59</v>
      </c>
      <c r="C37" s="2" t="s">
        <v>25</v>
      </c>
      <c r="D37" s="2" t="s">
        <v>17</v>
      </c>
      <c r="E37" s="30">
        <v>0.28299999999999997</v>
      </c>
      <c r="F37" s="90" t="s">
        <v>14</v>
      </c>
      <c r="G37" s="3">
        <v>0.36307622090369696</v>
      </c>
      <c r="H37" s="91">
        <v>7.6997838062073942</v>
      </c>
      <c r="I37" s="3">
        <f t="shared" si="1"/>
        <v>0.01</v>
      </c>
      <c r="J37" s="89">
        <v>13199.349174781169</v>
      </c>
      <c r="K37" s="89">
        <f t="shared" si="0"/>
        <v>1714.2493227069763</v>
      </c>
    </row>
    <row r="38" spans="1:11" ht="15" thickBot="1">
      <c r="A38" s="1">
        <v>4048300</v>
      </c>
      <c r="B38" s="2" t="s">
        <v>60</v>
      </c>
      <c r="C38" s="2" t="s">
        <v>61</v>
      </c>
      <c r="D38" s="2" t="s">
        <v>38</v>
      </c>
      <c r="E38" s="31">
        <v>0.27300000000000002</v>
      </c>
      <c r="F38" s="90" t="s">
        <v>14</v>
      </c>
      <c r="G38" s="3">
        <v>0.51970443349753692</v>
      </c>
      <c r="H38" s="91">
        <v>10.361300824516082</v>
      </c>
      <c r="I38" s="3">
        <f t="shared" si="1"/>
        <v>0.1</v>
      </c>
      <c r="J38" s="89">
        <v>177618.52920789926</v>
      </c>
      <c r="K38" s="89">
        <f t="shared" si="0"/>
        <v>17142.493227069761</v>
      </c>
    </row>
    <row r="39" spans="1:11" ht="15" thickBot="1">
      <c r="A39" s="1">
        <v>7925300</v>
      </c>
      <c r="B39" s="2" t="s">
        <v>62</v>
      </c>
      <c r="C39" s="2" t="s">
        <v>63</v>
      </c>
      <c r="D39" s="2" t="s">
        <v>13</v>
      </c>
      <c r="E39" s="32">
        <v>0.26200000000000001</v>
      </c>
      <c r="F39" s="90" t="s">
        <v>14</v>
      </c>
      <c r="G39" s="3">
        <v>0.31717399497720705</v>
      </c>
      <c r="H39" s="91">
        <v>6.5695789007622629</v>
      </c>
      <c r="I39" s="3">
        <f t="shared" si="1"/>
        <v>0</v>
      </c>
      <c r="J39" s="89">
        <v>0</v>
      </c>
      <c r="K39" s="89">
        <f t="shared" si="0"/>
        <v>0</v>
      </c>
    </row>
    <row r="40" spans="1:11" ht="15" thickBot="1">
      <c r="A40" s="1">
        <v>2829800</v>
      </c>
      <c r="B40" s="2" t="s">
        <v>64</v>
      </c>
      <c r="C40" s="2" t="s">
        <v>61</v>
      </c>
      <c r="D40" s="2" t="s">
        <v>38</v>
      </c>
      <c r="E40" s="33">
        <v>0.25800000000000001</v>
      </c>
      <c r="F40" s="90" t="s">
        <v>14</v>
      </c>
      <c r="G40" s="3">
        <v>0.72143974960876367</v>
      </c>
      <c r="H40" s="91">
        <v>10.135382387784652</v>
      </c>
      <c r="I40" s="3">
        <f t="shared" si="1"/>
        <v>0.1</v>
      </c>
      <c r="J40" s="89">
        <v>173745.72393636053</v>
      </c>
      <c r="K40" s="89">
        <f t="shared" si="0"/>
        <v>17142.493227069761</v>
      </c>
    </row>
    <row r="41" spans="1:11" ht="15" thickBot="1">
      <c r="A41" s="1">
        <v>3543700</v>
      </c>
      <c r="B41" s="2" t="s">
        <v>65</v>
      </c>
      <c r="C41" s="2" t="s">
        <v>16</v>
      </c>
      <c r="D41" s="2" t="s">
        <v>17</v>
      </c>
      <c r="E41" s="34">
        <v>0.251</v>
      </c>
      <c r="F41" s="90" t="s">
        <v>14</v>
      </c>
      <c r="G41" s="3">
        <v>0.45748116266347716</v>
      </c>
      <c r="H41" s="91">
        <v>10.135382387784652</v>
      </c>
      <c r="I41" s="3">
        <f t="shared" si="1"/>
        <v>0.1</v>
      </c>
      <c r="J41" s="89">
        <v>173745.72393636053</v>
      </c>
      <c r="K41" s="89">
        <f t="shared" si="0"/>
        <v>17142.493227069761</v>
      </c>
    </row>
    <row r="42" spans="1:11" ht="15" thickBot="1">
      <c r="A42" s="1">
        <v>8120300</v>
      </c>
      <c r="B42" s="2" t="s">
        <v>66</v>
      </c>
      <c r="C42" s="2" t="s">
        <v>23</v>
      </c>
      <c r="D42" s="2" t="s">
        <v>13</v>
      </c>
      <c r="E42" s="35">
        <v>0.249</v>
      </c>
      <c r="F42" s="90" t="s">
        <v>14</v>
      </c>
      <c r="G42" s="3">
        <v>0.46871008939974457</v>
      </c>
      <c r="H42" s="91">
        <v>7.9455227541972313</v>
      </c>
      <c r="I42" s="3">
        <f t="shared" si="1"/>
        <v>0.1</v>
      </c>
      <c r="J42" s="89">
        <v>136206.06999935472</v>
      </c>
      <c r="K42" s="89">
        <f t="shared" si="0"/>
        <v>17142.493227069761</v>
      </c>
    </row>
    <row r="43" spans="1:11" ht="15" thickBot="1">
      <c r="A43" s="11">
        <v>6248500</v>
      </c>
      <c r="B43" s="12" t="s">
        <v>67</v>
      </c>
      <c r="C43" s="2" t="s">
        <v>23</v>
      </c>
      <c r="D43" s="2" t="s">
        <v>13</v>
      </c>
      <c r="E43" s="125">
        <v>0.245</v>
      </c>
      <c r="F43" s="90" t="s">
        <v>14</v>
      </c>
      <c r="G43" s="3">
        <v>0.56873822975517896</v>
      </c>
      <c r="H43" s="91">
        <v>8.2168280142480494</v>
      </c>
      <c r="I43" s="3">
        <f t="shared" si="1"/>
        <v>0.1</v>
      </c>
      <c r="J43" s="89">
        <v>140856.91858224428</v>
      </c>
      <c r="K43" s="89">
        <f>J43/H43</f>
        <v>17142.493227069765</v>
      </c>
    </row>
    <row r="44" spans="1:11" ht="15" thickBot="1">
      <c r="A44" s="1">
        <v>6259600</v>
      </c>
      <c r="B44" s="2" t="s">
        <v>68</v>
      </c>
      <c r="C44" s="2" t="s">
        <v>23</v>
      </c>
      <c r="D44" s="2" t="s">
        <v>13</v>
      </c>
      <c r="E44" s="36">
        <v>0.24299999999999999</v>
      </c>
      <c r="F44" s="90" t="s">
        <v>14</v>
      </c>
      <c r="G44" s="3">
        <v>0.53086135421464764</v>
      </c>
      <c r="H44" s="91">
        <v>13.451626030645102</v>
      </c>
      <c r="I44" s="3">
        <f t="shared" si="1"/>
        <v>0.1</v>
      </c>
      <c r="J44" s="89">
        <v>230594.40812340897</v>
      </c>
      <c r="K44" s="89">
        <f t="shared" si="0"/>
        <v>17142.493227069761</v>
      </c>
    </row>
    <row r="45" spans="1:11" ht="15" thickBot="1">
      <c r="A45" s="1">
        <v>4134900</v>
      </c>
      <c r="B45" s="2" t="s">
        <v>69</v>
      </c>
      <c r="C45" s="2" t="s">
        <v>70</v>
      </c>
      <c r="D45" s="2" t="s">
        <v>17</v>
      </c>
      <c r="E45" s="36">
        <v>0.24099999999999999</v>
      </c>
      <c r="F45" s="90" t="s">
        <v>14</v>
      </c>
      <c r="G45" s="3">
        <v>0.36515853224082651</v>
      </c>
      <c r="H45" s="91">
        <v>9.6974104610671681</v>
      </c>
      <c r="I45" s="3">
        <f t="shared" si="1"/>
        <v>0.01</v>
      </c>
      <c r="J45" s="89">
        <v>16623.779314895939</v>
      </c>
      <c r="K45" s="89">
        <f t="shared" si="0"/>
        <v>1714.2493227069763</v>
      </c>
    </row>
    <row r="46" spans="1:11" ht="15" thickBot="1">
      <c r="A46" s="1">
        <v>6832300</v>
      </c>
      <c r="B46" s="2" t="s">
        <v>71</v>
      </c>
      <c r="C46" s="2" t="s">
        <v>72</v>
      </c>
      <c r="D46" s="2" t="s">
        <v>13</v>
      </c>
      <c r="E46" s="37">
        <v>0.23300000000000001</v>
      </c>
      <c r="F46" s="90" t="s">
        <v>14</v>
      </c>
      <c r="G46" s="3">
        <v>0.60767449540445739</v>
      </c>
      <c r="H46" s="91">
        <v>7.6121894208638974</v>
      </c>
      <c r="I46" s="3">
        <f t="shared" si="1"/>
        <v>0.1</v>
      </c>
      <c r="J46" s="89">
        <v>130491.90559033144</v>
      </c>
      <c r="K46" s="89">
        <f t="shared" si="0"/>
        <v>17142.493227069761</v>
      </c>
    </row>
    <row r="47" spans="1:11" ht="15" thickBot="1">
      <c r="A47" s="1">
        <v>3937300</v>
      </c>
      <c r="B47" s="2" t="s">
        <v>73</v>
      </c>
      <c r="C47" s="2" t="s">
        <v>70</v>
      </c>
      <c r="D47" s="2" t="s">
        <v>17</v>
      </c>
      <c r="E47" s="37">
        <v>0.23100000000000001</v>
      </c>
      <c r="F47" s="90" t="s">
        <v>14</v>
      </c>
      <c r="G47" s="3">
        <v>0.45881502890173409</v>
      </c>
      <c r="H47" s="91">
        <v>6.2982736407114448</v>
      </c>
      <c r="I47" s="3">
        <f t="shared" si="1"/>
        <v>0.1</v>
      </c>
      <c r="J47" s="89">
        <v>107968.11322812794</v>
      </c>
      <c r="K47" s="89">
        <f t="shared" si="0"/>
        <v>17142.493227069761</v>
      </c>
    </row>
    <row r="48" spans="1:11" ht="15" thickBot="1">
      <c r="A48" s="1">
        <v>6033100</v>
      </c>
      <c r="B48" s="2" t="s">
        <v>74</v>
      </c>
      <c r="C48" s="2" t="s">
        <v>63</v>
      </c>
      <c r="D48" s="2" t="s">
        <v>13</v>
      </c>
      <c r="E48" s="37">
        <v>0.23100000000000001</v>
      </c>
      <c r="F48" s="90" t="s">
        <v>14</v>
      </c>
      <c r="G48" s="3">
        <v>0.42262295025176028</v>
      </c>
      <c r="H48" s="91">
        <v>9.1353823877846523</v>
      </c>
      <c r="I48" s="3">
        <f t="shared" si="1"/>
        <v>7.0000000000000007E-2</v>
      </c>
      <c r="J48" s="89">
        <v>109622.26149650356</v>
      </c>
      <c r="K48" s="89">
        <f t="shared" si="0"/>
        <v>11999.745258948835</v>
      </c>
    </row>
    <row r="49" spans="1:11" ht="15" thickBot="1">
      <c r="A49" s="1">
        <v>4039800</v>
      </c>
      <c r="B49" s="2" t="s">
        <v>75</v>
      </c>
      <c r="C49" s="2" t="s">
        <v>45</v>
      </c>
      <c r="D49" s="2" t="s">
        <v>38</v>
      </c>
      <c r="E49" s="38">
        <v>0.224</v>
      </c>
      <c r="F49" s="90" t="s">
        <v>14</v>
      </c>
      <c r="G49" s="3">
        <v>0.81096535486041033</v>
      </c>
      <c r="H49" s="91">
        <v>8.2594385343496839</v>
      </c>
      <c r="I49" s="3">
        <f t="shared" si="1"/>
        <v>0.1</v>
      </c>
      <c r="J49" s="89">
        <v>141587.36913448846</v>
      </c>
      <c r="K49" s="89">
        <f t="shared" si="0"/>
        <v>17142.493227069761</v>
      </c>
    </row>
    <row r="50" spans="1:11" ht="15" thickBot="1">
      <c r="A50" s="1">
        <v>7253800</v>
      </c>
      <c r="B50" s="2" t="s">
        <v>76</v>
      </c>
      <c r="C50" s="2" t="s">
        <v>72</v>
      </c>
      <c r="D50" s="2" t="s">
        <v>13</v>
      </c>
      <c r="E50" s="121">
        <v>0.222</v>
      </c>
      <c r="F50" s="90" t="s">
        <v>14</v>
      </c>
      <c r="G50" s="3">
        <v>0.52068965516692578</v>
      </c>
      <c r="H50" s="91">
        <v>9.6353823877846523</v>
      </c>
      <c r="I50" s="3">
        <f t="shared" si="1"/>
        <v>0.1</v>
      </c>
      <c r="J50" s="89">
        <v>165174.47732282567</v>
      </c>
      <c r="K50" s="89">
        <f t="shared" si="0"/>
        <v>17142.493227069761</v>
      </c>
    </row>
    <row r="51" spans="1:11" ht="15" thickBot="1">
      <c r="A51" s="1">
        <v>3960300</v>
      </c>
      <c r="B51" s="2" t="s">
        <v>77</v>
      </c>
      <c r="C51" s="2" t="s">
        <v>70</v>
      </c>
      <c r="D51" s="2" t="s">
        <v>17</v>
      </c>
      <c r="E51" s="38">
        <v>0.222</v>
      </c>
      <c r="F51" s="90" t="s">
        <v>14</v>
      </c>
      <c r="G51" s="3">
        <v>0.39734833266372038</v>
      </c>
      <c r="H51" s="91">
        <v>6.736245567428929</v>
      </c>
      <c r="I51" s="3">
        <f t="shared" si="1"/>
        <v>0.04</v>
      </c>
      <c r="J51" s="89">
        <v>46190.417606211646</v>
      </c>
      <c r="K51" s="89">
        <f t="shared" si="0"/>
        <v>6856.9972908279042</v>
      </c>
    </row>
    <row r="52" spans="1:11" ht="15" thickBot="1">
      <c r="A52" s="1">
        <v>5862400</v>
      </c>
      <c r="B52" s="2" t="s">
        <v>78</v>
      </c>
      <c r="C52" s="2" t="s">
        <v>49</v>
      </c>
      <c r="D52" s="2" t="s">
        <v>13</v>
      </c>
      <c r="E52" s="39">
        <v>0.218</v>
      </c>
      <c r="F52" s="90" t="s">
        <v>14</v>
      </c>
      <c r="G52" s="3">
        <v>0.62745098039215685</v>
      </c>
      <c r="H52" s="91">
        <v>6.2982736407114448</v>
      </c>
      <c r="I52" s="3">
        <f t="shared" si="1"/>
        <v>0.1</v>
      </c>
      <c r="J52" s="89">
        <v>107968.11322812794</v>
      </c>
      <c r="K52" s="89">
        <f t="shared" si="0"/>
        <v>17142.493227069761</v>
      </c>
    </row>
    <row r="53" spans="1:11" ht="15" thickBot="1">
      <c r="A53" s="1">
        <v>7777300</v>
      </c>
      <c r="B53" s="2" t="s">
        <v>79</v>
      </c>
      <c r="C53" s="2" t="s">
        <v>45</v>
      </c>
      <c r="D53" s="2" t="s">
        <v>38</v>
      </c>
      <c r="E53" s="39">
        <v>0.218</v>
      </c>
      <c r="F53" s="90" t="s">
        <v>14</v>
      </c>
      <c r="G53" s="3">
        <v>0.453872437357631</v>
      </c>
      <c r="H53" s="91">
        <v>6.0269683806606285</v>
      </c>
      <c r="I53" s="3">
        <f t="shared" si="1"/>
        <v>0.1</v>
      </c>
      <c r="J53" s="89">
        <v>103317.26464523845</v>
      </c>
      <c r="K53" s="89">
        <f t="shared" si="0"/>
        <v>17142.493227069765</v>
      </c>
    </row>
    <row r="54" spans="1:11" ht="15" thickBot="1">
      <c r="A54" s="1">
        <v>6864400</v>
      </c>
      <c r="B54" s="2" t="s">
        <v>80</v>
      </c>
      <c r="C54" s="2" t="s">
        <v>72</v>
      </c>
      <c r="D54" s="2" t="s">
        <v>13</v>
      </c>
      <c r="E54" s="39">
        <v>0.217</v>
      </c>
      <c r="F54" s="90" t="s">
        <v>14</v>
      </c>
      <c r="G54" s="3">
        <v>0.26550387596899228</v>
      </c>
      <c r="H54" s="91">
        <v>9.6974104610671681</v>
      </c>
      <c r="I54" s="3">
        <f t="shared" si="1"/>
        <v>0</v>
      </c>
      <c r="J54" s="89">
        <v>0</v>
      </c>
      <c r="K54" s="89">
        <f t="shared" si="0"/>
        <v>0</v>
      </c>
    </row>
    <row r="55" spans="1:11" ht="15" thickBot="1">
      <c r="A55" s="1">
        <v>3472200</v>
      </c>
      <c r="B55" s="2" t="s">
        <v>81</v>
      </c>
      <c r="C55" s="2" t="s">
        <v>16</v>
      </c>
      <c r="D55" s="2" t="s">
        <v>17</v>
      </c>
      <c r="E55" s="39">
        <v>0.216</v>
      </c>
      <c r="F55" s="90" t="s">
        <v>14</v>
      </c>
      <c r="G55" s="3">
        <v>0.41942675159235671</v>
      </c>
      <c r="H55" s="91">
        <v>6.1316069740447787</v>
      </c>
      <c r="I55" s="3">
        <f t="shared" si="1"/>
        <v>0.06</v>
      </c>
      <c r="J55" s="89">
        <v>63066.618614169798</v>
      </c>
      <c r="K55" s="89">
        <f t="shared" si="0"/>
        <v>10285.495936241856</v>
      </c>
    </row>
    <row r="56" spans="1:11" ht="15" thickBot="1">
      <c r="A56" s="1">
        <v>4028000</v>
      </c>
      <c r="B56" s="2" t="s">
        <v>82</v>
      </c>
      <c r="C56" s="2" t="s">
        <v>61</v>
      </c>
      <c r="D56" s="2" t="s">
        <v>38</v>
      </c>
      <c r="E56" s="40">
        <v>0.215</v>
      </c>
      <c r="F56" s="90" t="s">
        <v>14</v>
      </c>
      <c r="G56" s="3">
        <v>0.53460381143430291</v>
      </c>
      <c r="H56" s="91">
        <v>6.1316069740447787</v>
      </c>
      <c r="I56" s="3">
        <f t="shared" si="1"/>
        <v>0.1</v>
      </c>
      <c r="J56" s="89">
        <v>105111.03102361634</v>
      </c>
      <c r="K56" s="89">
        <f t="shared" si="0"/>
        <v>17142.493227069761</v>
      </c>
    </row>
    <row r="57" spans="1:11" ht="15" thickBot="1">
      <c r="A57" s="1">
        <v>4858200</v>
      </c>
      <c r="B57" s="2" t="s">
        <v>83</v>
      </c>
      <c r="C57" s="2" t="s">
        <v>25</v>
      </c>
      <c r="D57" s="2" t="s">
        <v>17</v>
      </c>
      <c r="E57" s="40">
        <v>0.21</v>
      </c>
      <c r="F57" s="90" t="s">
        <v>14</v>
      </c>
      <c r="G57" s="3">
        <v>0.45654692931633833</v>
      </c>
      <c r="H57" s="91">
        <v>13.451626030645102</v>
      </c>
      <c r="I57" s="3">
        <f t="shared" si="1"/>
        <v>0.1</v>
      </c>
      <c r="J57" s="89">
        <v>230594.40812340897</v>
      </c>
      <c r="K57" s="89">
        <f t="shared" si="0"/>
        <v>17142.493227069761</v>
      </c>
    </row>
    <row r="58" spans="1:11" ht="15" thickBot="1">
      <c r="A58" s="1">
        <v>3551100</v>
      </c>
      <c r="B58" s="2" t="s">
        <v>84</v>
      </c>
      <c r="C58" s="2" t="s">
        <v>23</v>
      </c>
      <c r="D58" s="2" t="s">
        <v>13</v>
      </c>
      <c r="E58" s="41">
        <v>0.20699999999999999</v>
      </c>
      <c r="F58" s="90" t="s">
        <v>14</v>
      </c>
      <c r="G58" s="3">
        <v>0.6201520912547529</v>
      </c>
      <c r="H58" s="91">
        <v>8.5714666076321997</v>
      </c>
      <c r="I58" s="3">
        <f t="shared" si="1"/>
        <v>0.1</v>
      </c>
      <c r="J58" s="89">
        <v>146936.3082673896</v>
      </c>
      <c r="K58" s="89">
        <f t="shared" si="0"/>
        <v>17142.493227069761</v>
      </c>
    </row>
    <row r="59" spans="1:11" ht="15" thickBot="1">
      <c r="A59" s="1">
        <v>6839700</v>
      </c>
      <c r="B59" s="2" t="s">
        <v>85</v>
      </c>
      <c r="C59" s="2" t="s">
        <v>72</v>
      </c>
      <c r="D59" s="2" t="s">
        <v>13</v>
      </c>
      <c r="E59" s="42">
        <v>0.20300000000000001</v>
      </c>
      <c r="F59" s="90" t="s">
        <v>14</v>
      </c>
      <c r="G59" s="3">
        <v>0.52986398580721472</v>
      </c>
      <c r="H59" s="91">
        <v>9.3640771277338377</v>
      </c>
      <c r="I59" s="3">
        <f t="shared" si="1"/>
        <v>0.1</v>
      </c>
      <c r="J59" s="89">
        <v>160523.62873993619</v>
      </c>
      <c r="K59" s="89">
        <f t="shared" si="0"/>
        <v>17142.493227069761</v>
      </c>
    </row>
    <row r="60" spans="1:11" ht="15" thickBot="1">
      <c r="A60" s="18">
        <v>8235300</v>
      </c>
      <c r="B60" s="19" t="s">
        <v>86</v>
      </c>
      <c r="C60" s="2" t="s">
        <v>87</v>
      </c>
      <c r="D60" s="2" t="s">
        <v>17</v>
      </c>
      <c r="E60" s="123">
        <v>0.19700000000000001</v>
      </c>
      <c r="F60" s="90" t="s">
        <v>14</v>
      </c>
      <c r="G60" s="3">
        <v>0.54860872552387496</v>
      </c>
      <c r="H60" s="91">
        <v>5.5056631206098103</v>
      </c>
      <c r="I60" s="3">
        <f t="shared" si="1"/>
        <v>0.1</v>
      </c>
      <c r="J60" s="89">
        <v>94380.792755581439</v>
      </c>
      <c r="K60" s="89">
        <f t="shared" si="0"/>
        <v>17142.493227069761</v>
      </c>
    </row>
    <row r="61" spans="1:11" ht="15" thickBot="1">
      <c r="A61" s="1">
        <v>4840100</v>
      </c>
      <c r="B61" s="2" t="s">
        <v>88</v>
      </c>
      <c r="C61" s="2" t="s">
        <v>25</v>
      </c>
      <c r="D61" s="2" t="s">
        <v>17</v>
      </c>
      <c r="E61" s="43">
        <v>0.19</v>
      </c>
      <c r="F61" s="90" t="s">
        <v>14</v>
      </c>
      <c r="G61" s="3">
        <v>0.26337319068596604</v>
      </c>
      <c r="H61" s="91">
        <v>6.1316069740447787</v>
      </c>
      <c r="I61" s="3">
        <f t="shared" si="1"/>
        <v>0</v>
      </c>
      <c r="J61" s="89">
        <v>0</v>
      </c>
      <c r="K61" s="89">
        <f t="shared" si="0"/>
        <v>0</v>
      </c>
    </row>
    <row r="62" spans="1:11" ht="15" thickBot="1">
      <c r="A62" s="1">
        <v>6845200</v>
      </c>
      <c r="B62" s="2" t="s">
        <v>89</v>
      </c>
      <c r="C62" s="2" t="s">
        <v>42</v>
      </c>
      <c r="D62" s="2" t="s">
        <v>13</v>
      </c>
      <c r="E62" s="44">
        <v>0.189</v>
      </c>
      <c r="F62" s="90" t="s">
        <v>14</v>
      </c>
      <c r="G62" s="3">
        <v>0.31584224598930483</v>
      </c>
      <c r="H62" s="91">
        <v>9.2594385343496839</v>
      </c>
      <c r="I62" s="3">
        <f t="shared" si="1"/>
        <v>0</v>
      </c>
      <c r="J62" s="89">
        <v>0</v>
      </c>
      <c r="K62" s="89">
        <f t="shared" si="0"/>
        <v>0</v>
      </c>
    </row>
    <row r="63" spans="1:11" ht="15" thickBot="1">
      <c r="A63" s="1">
        <v>8050300</v>
      </c>
      <c r="B63" s="2" t="s">
        <v>90</v>
      </c>
      <c r="C63" s="2" t="s">
        <v>61</v>
      </c>
      <c r="D63" s="2" t="s">
        <v>38</v>
      </c>
      <c r="E63" s="44">
        <v>0.188</v>
      </c>
      <c r="F63" s="90" t="s">
        <v>14</v>
      </c>
      <c r="G63" s="3">
        <v>0.49238351254480289</v>
      </c>
      <c r="H63" s="91">
        <v>6.1316069740447787</v>
      </c>
      <c r="I63" s="3">
        <f t="shared" si="1"/>
        <v>0.1</v>
      </c>
      <c r="J63" s="89">
        <v>105111.03102361634</v>
      </c>
      <c r="K63" s="89">
        <f t="shared" si="0"/>
        <v>17142.493227069761</v>
      </c>
    </row>
    <row r="64" spans="1:11" ht="15" thickBot="1">
      <c r="A64" s="1">
        <v>8210300</v>
      </c>
      <c r="B64" s="2" t="s">
        <v>91</v>
      </c>
      <c r="C64" s="2" t="s">
        <v>19</v>
      </c>
      <c r="D64" s="2" t="s">
        <v>17</v>
      </c>
      <c r="E64" s="45">
        <v>0.182</v>
      </c>
      <c r="F64" s="90" t="s">
        <v>14</v>
      </c>
      <c r="G64" s="3">
        <v>0.21750815895565367</v>
      </c>
      <c r="H64" s="91">
        <v>10.573354314502136</v>
      </c>
      <c r="I64" s="3">
        <f t="shared" si="1"/>
        <v>0</v>
      </c>
      <c r="J64" s="89">
        <v>0</v>
      </c>
      <c r="K64" s="89">
        <f t="shared" si="0"/>
        <v>0</v>
      </c>
    </row>
    <row r="65" spans="1:11" ht="15" thickBot="1">
      <c r="A65" s="1">
        <v>5228400</v>
      </c>
      <c r="B65" s="2" t="s">
        <v>92</v>
      </c>
      <c r="C65" s="2" t="s">
        <v>70</v>
      </c>
      <c r="D65" s="2" t="s">
        <v>17</v>
      </c>
      <c r="E65" s="46">
        <v>0.17799999999999999</v>
      </c>
      <c r="F65" s="90" t="s">
        <v>14</v>
      </c>
      <c r="G65" s="3">
        <v>0.34610244988864142</v>
      </c>
      <c r="H65" s="91">
        <v>7.8834946809147155</v>
      </c>
      <c r="I65" s="3">
        <f t="shared" si="1"/>
        <v>0</v>
      </c>
      <c r="J65" s="89">
        <v>0</v>
      </c>
      <c r="K65" s="89">
        <f t="shared" si="0"/>
        <v>0</v>
      </c>
    </row>
    <row r="66" spans="1:11" ht="15" thickBot="1">
      <c r="A66" s="1">
        <v>3454100</v>
      </c>
      <c r="B66" s="2" t="s">
        <v>93</v>
      </c>
      <c r="C66" s="2" t="s">
        <v>94</v>
      </c>
      <c r="D66" s="2" t="s">
        <v>38</v>
      </c>
      <c r="E66" s="46">
        <v>0.17799999999999999</v>
      </c>
      <c r="F66" s="90" t="s">
        <v>14</v>
      </c>
      <c r="G66" s="3">
        <v>0.18541033434650456</v>
      </c>
      <c r="H66" s="91">
        <v>7.9455227541972313</v>
      </c>
      <c r="I66" s="3">
        <f t="shared" ref="I66:I129" si="2">IFERROR(MAX(0, MIN(10%, TRUNC(G66 - IF(E66&gt;=35%,E66,35%),2)))*IF(G66&gt;=35%,1,0), 0)</f>
        <v>0</v>
      </c>
      <c r="J66" s="89">
        <v>0</v>
      </c>
      <c r="K66" s="89">
        <f t="shared" ref="K66:K129" si="3">J66/H66</f>
        <v>0</v>
      </c>
    </row>
    <row r="67" spans="1:11" ht="15" thickBot="1">
      <c r="A67" s="1">
        <v>4230800</v>
      </c>
      <c r="B67" s="2" t="s">
        <v>95</v>
      </c>
      <c r="C67" s="2" t="s">
        <v>19</v>
      </c>
      <c r="D67" s="2" t="s">
        <v>17</v>
      </c>
      <c r="E67" s="46">
        <v>0.17499999999999999</v>
      </c>
      <c r="F67" s="90" t="s">
        <v>14</v>
      </c>
      <c r="G67" s="3">
        <v>0.32354804646251317</v>
      </c>
      <c r="H67" s="91">
        <v>10.135382387784652</v>
      </c>
      <c r="I67" s="3">
        <f t="shared" si="2"/>
        <v>0</v>
      </c>
      <c r="J67" s="89">
        <v>0</v>
      </c>
      <c r="K67" s="89">
        <f t="shared" si="3"/>
        <v>0</v>
      </c>
    </row>
    <row r="68" spans="1:11" ht="15" thickBot="1">
      <c r="A68" s="1">
        <v>5061000</v>
      </c>
      <c r="B68" s="2" t="s">
        <v>96</v>
      </c>
      <c r="C68" s="2" t="s">
        <v>25</v>
      </c>
      <c r="D68" s="2" t="s">
        <v>17</v>
      </c>
      <c r="E68" s="47">
        <v>0.17399999999999999</v>
      </c>
      <c r="F68" s="90" t="s">
        <v>14</v>
      </c>
      <c r="G68" s="3">
        <v>0.42004856052722855</v>
      </c>
      <c r="H68" s="91">
        <v>6.9455227541972313</v>
      </c>
      <c r="I68" s="3">
        <f t="shared" si="2"/>
        <v>7.0000000000000007E-2</v>
      </c>
      <c r="J68" s="89">
        <v>83344.503740599466</v>
      </c>
      <c r="K68" s="89">
        <f t="shared" si="3"/>
        <v>11999.745258948833</v>
      </c>
    </row>
    <row r="69" spans="1:11" ht="15" thickBot="1">
      <c r="A69" s="1">
        <v>2979200</v>
      </c>
      <c r="B69" s="2" t="s">
        <v>97</v>
      </c>
      <c r="C69" s="2" t="s">
        <v>45</v>
      </c>
      <c r="D69" s="2" t="s">
        <v>38</v>
      </c>
      <c r="E69" s="48">
        <v>0.17299999999999999</v>
      </c>
      <c r="F69" s="90" t="s">
        <v>14</v>
      </c>
      <c r="G69" s="3">
        <v>0.43566322455745166</v>
      </c>
      <c r="H69" s="91">
        <v>6.4649403073781135</v>
      </c>
      <c r="I69" s="3">
        <f t="shared" si="2"/>
        <v>0.08</v>
      </c>
      <c r="J69" s="89">
        <v>88660.156346111704</v>
      </c>
      <c r="K69" s="89">
        <f t="shared" si="3"/>
        <v>13713.994581655812</v>
      </c>
    </row>
    <row r="70" spans="1:11" ht="15" thickBot="1">
      <c r="A70" s="1">
        <v>7785300</v>
      </c>
      <c r="B70" s="2" t="s">
        <v>98</v>
      </c>
      <c r="C70" s="2" t="s">
        <v>45</v>
      </c>
      <c r="D70" s="2" t="s">
        <v>38</v>
      </c>
      <c r="E70" s="48">
        <v>0.17</v>
      </c>
      <c r="F70" s="90" t="s">
        <v>14</v>
      </c>
      <c r="G70" s="3">
        <v>0.65431612140323214</v>
      </c>
      <c r="H70" s="91">
        <v>9.2594385343496839</v>
      </c>
      <c r="I70" s="3">
        <f t="shared" si="2"/>
        <v>0.1</v>
      </c>
      <c r="J70" s="89">
        <v>158729.86236155822</v>
      </c>
      <c r="K70" s="89">
        <f t="shared" si="3"/>
        <v>17142.493227069761</v>
      </c>
    </row>
    <row r="71" spans="1:11" ht="15" thickBot="1">
      <c r="A71" s="1">
        <v>7985300</v>
      </c>
      <c r="B71" s="2" t="s">
        <v>99</v>
      </c>
      <c r="C71" s="2" t="s">
        <v>19</v>
      </c>
      <c r="D71" s="2" t="s">
        <v>17</v>
      </c>
      <c r="E71" s="48">
        <v>0.17</v>
      </c>
      <c r="F71" s="90" t="s">
        <v>14</v>
      </c>
      <c r="G71" s="3">
        <v>0.240218878248974</v>
      </c>
      <c r="H71" s="91">
        <v>6.3816069740447787</v>
      </c>
      <c r="I71" s="3">
        <f t="shared" si="2"/>
        <v>0</v>
      </c>
      <c r="J71" s="89">
        <v>0</v>
      </c>
      <c r="K71" s="89">
        <f t="shared" si="3"/>
        <v>0</v>
      </c>
    </row>
    <row r="72" spans="1:11" ht="15" thickBot="1">
      <c r="A72" s="1">
        <v>6270300</v>
      </c>
      <c r="B72" s="2" t="s">
        <v>100</v>
      </c>
      <c r="C72" s="2" t="s">
        <v>63</v>
      </c>
      <c r="D72" s="2" t="s">
        <v>13</v>
      </c>
      <c r="E72" s="48">
        <v>0.17</v>
      </c>
      <c r="F72" s="90" t="s">
        <v>14</v>
      </c>
      <c r="G72" s="3">
        <v>0.19782732990280161</v>
      </c>
      <c r="H72" s="91">
        <v>9.6974104610671681</v>
      </c>
      <c r="I72" s="3">
        <f t="shared" si="2"/>
        <v>0</v>
      </c>
      <c r="J72" s="89">
        <v>0</v>
      </c>
      <c r="K72" s="89">
        <f t="shared" si="3"/>
        <v>0</v>
      </c>
    </row>
    <row r="73" spans="1:11" ht="15" thickBot="1">
      <c r="A73" s="1">
        <v>3576300</v>
      </c>
      <c r="B73" s="2" t="s">
        <v>101</v>
      </c>
      <c r="C73" s="2" t="s">
        <v>49</v>
      </c>
      <c r="D73" s="2" t="s">
        <v>13</v>
      </c>
      <c r="E73" s="49">
        <v>0.16800000000000001</v>
      </c>
      <c r="F73" s="90" t="s">
        <v>14</v>
      </c>
      <c r="G73" s="3">
        <v>0.65630373478230963</v>
      </c>
      <c r="H73" s="91">
        <v>21.222601649032171</v>
      </c>
      <c r="I73" s="3">
        <f t="shared" si="2"/>
        <v>0.1</v>
      </c>
      <c r="J73" s="89">
        <v>363808.30502933351</v>
      </c>
      <c r="K73" s="89">
        <f t="shared" si="3"/>
        <v>17142.493227069761</v>
      </c>
    </row>
    <row r="74" spans="1:11" ht="15" thickBot="1">
      <c r="A74" s="1">
        <v>6135300</v>
      </c>
      <c r="B74" s="2" t="s">
        <v>102</v>
      </c>
      <c r="C74" s="2" t="s">
        <v>23</v>
      </c>
      <c r="D74" s="2" t="s">
        <v>13</v>
      </c>
      <c r="E74" s="49">
        <v>0.16800000000000001</v>
      </c>
      <c r="F74" s="90" t="s">
        <v>14</v>
      </c>
      <c r="G74" s="3">
        <v>0.26143187066974594</v>
      </c>
      <c r="H74" s="91">
        <v>6.3816069740447787</v>
      </c>
      <c r="I74" s="3">
        <f t="shared" si="2"/>
        <v>0</v>
      </c>
      <c r="J74" s="89">
        <v>0</v>
      </c>
      <c r="K74" s="89">
        <f t="shared" si="3"/>
        <v>0</v>
      </c>
    </row>
    <row r="75" spans="1:11" ht="15" thickBot="1">
      <c r="A75" s="1">
        <v>4233000</v>
      </c>
      <c r="B75" s="2" t="s">
        <v>103</v>
      </c>
      <c r="C75" s="2" t="s">
        <v>16</v>
      </c>
      <c r="D75" s="2" t="s">
        <v>17</v>
      </c>
      <c r="E75" s="50">
        <v>0.16</v>
      </c>
      <c r="F75" s="90" t="s">
        <v>14</v>
      </c>
      <c r="G75" s="3">
        <v>0.43628736234923965</v>
      </c>
      <c r="H75" s="91">
        <v>10.135382387784652</v>
      </c>
      <c r="I75" s="3">
        <f t="shared" si="2"/>
        <v>0.08</v>
      </c>
      <c r="J75" s="89">
        <v>138996.57914908844</v>
      </c>
      <c r="K75" s="89">
        <f t="shared" si="3"/>
        <v>13713.99458165581</v>
      </c>
    </row>
    <row r="76" spans="1:11" ht="15" thickBot="1">
      <c r="A76" s="1">
        <v>5855000</v>
      </c>
      <c r="B76" s="2" t="s">
        <v>104</v>
      </c>
      <c r="C76" s="2" t="s">
        <v>63</v>
      </c>
      <c r="D76" s="2" t="s">
        <v>13</v>
      </c>
      <c r="E76" s="51">
        <v>0.158</v>
      </c>
      <c r="F76" s="90" t="s">
        <v>14</v>
      </c>
      <c r="G76" s="3">
        <v>0.54997992773986348</v>
      </c>
      <c r="H76" s="91">
        <v>9.6974104610671681</v>
      </c>
      <c r="I76" s="3">
        <f t="shared" si="2"/>
        <v>0.1</v>
      </c>
      <c r="J76" s="89">
        <v>166237.79314895938</v>
      </c>
      <c r="K76" s="89">
        <f t="shared" si="3"/>
        <v>17142.493227069761</v>
      </c>
    </row>
    <row r="77" spans="1:11" ht="15" thickBot="1">
      <c r="A77" s="11">
        <v>6268800</v>
      </c>
      <c r="B77" s="12" t="s">
        <v>105</v>
      </c>
      <c r="C77" s="2" t="s">
        <v>49</v>
      </c>
      <c r="D77" s="2" t="s">
        <v>13</v>
      </c>
      <c r="E77" s="122">
        <v>0.157</v>
      </c>
      <c r="F77" s="90" t="s">
        <v>14</v>
      </c>
      <c r="G77" s="3">
        <v>0.49606962384221859</v>
      </c>
      <c r="H77" s="91">
        <v>16.041951236774121</v>
      </c>
      <c r="I77" s="3">
        <f t="shared" si="2"/>
        <v>0.1</v>
      </c>
      <c r="J77" s="89">
        <v>274999.04042538378</v>
      </c>
      <c r="K77" s="89">
        <f t="shared" si="3"/>
        <v>17142.493227069761</v>
      </c>
    </row>
    <row r="78" spans="1:11" ht="15" thickBot="1">
      <c r="A78" s="1">
        <v>3943900</v>
      </c>
      <c r="B78" s="2" t="s">
        <v>106</v>
      </c>
      <c r="C78" s="2" t="s">
        <v>19</v>
      </c>
      <c r="D78" s="2" t="s">
        <v>17</v>
      </c>
      <c r="E78" s="52">
        <v>0.153</v>
      </c>
      <c r="F78" s="90" t="s">
        <v>14</v>
      </c>
      <c r="G78" s="3">
        <v>0.64246196403872757</v>
      </c>
      <c r="H78" s="91">
        <v>9.2594385343496839</v>
      </c>
      <c r="I78" s="3">
        <f t="shared" si="2"/>
        <v>0.1</v>
      </c>
      <c r="J78" s="89">
        <v>158729.86236155822</v>
      </c>
      <c r="K78" s="89">
        <f t="shared" si="3"/>
        <v>17142.493227069761</v>
      </c>
    </row>
    <row r="79" spans="1:11" ht="15" thickBot="1">
      <c r="A79" s="1">
        <v>3933200</v>
      </c>
      <c r="B79" s="2" t="s">
        <v>107</v>
      </c>
      <c r="C79" s="2" t="s">
        <v>19</v>
      </c>
      <c r="D79" s="2" t="s">
        <v>17</v>
      </c>
      <c r="E79" s="53">
        <v>0.14699999999999999</v>
      </c>
      <c r="F79" s="90" t="s">
        <v>14</v>
      </c>
      <c r="G79" s="3">
        <v>0.41057497832996243</v>
      </c>
      <c r="H79" s="91">
        <v>7.2590436416288728</v>
      </c>
      <c r="I79" s="3">
        <f t="shared" si="2"/>
        <v>0.06</v>
      </c>
      <c r="J79" s="89">
        <v>74662.863876976058</v>
      </c>
      <c r="K79" s="89">
        <f t="shared" si="3"/>
        <v>10285.495936241856</v>
      </c>
    </row>
    <row r="80" spans="1:11" ht="15" thickBot="1">
      <c r="A80" s="1">
        <v>6166300</v>
      </c>
      <c r="B80" s="2" t="s">
        <v>108</v>
      </c>
      <c r="C80" s="2" t="s">
        <v>12</v>
      </c>
      <c r="D80" s="2" t="s">
        <v>13</v>
      </c>
      <c r="E80" s="53">
        <v>0.14599999999999999</v>
      </c>
      <c r="F80" s="90" t="s">
        <v>14</v>
      </c>
      <c r="G80" s="3">
        <v>0.34574257425742572</v>
      </c>
      <c r="H80" s="91">
        <v>10.135382387784652</v>
      </c>
      <c r="I80" s="3">
        <f t="shared" si="2"/>
        <v>0</v>
      </c>
      <c r="J80" s="89">
        <v>0</v>
      </c>
      <c r="K80" s="89">
        <f t="shared" si="3"/>
        <v>0</v>
      </c>
    </row>
    <row r="81" spans="1:11" ht="15" thickBot="1">
      <c r="A81" s="1">
        <v>4851900</v>
      </c>
      <c r="B81" s="2" t="s">
        <v>109</v>
      </c>
      <c r="C81" s="2" t="s">
        <v>25</v>
      </c>
      <c r="D81" s="2" t="s">
        <v>17</v>
      </c>
      <c r="E81" s="54">
        <v>0.14399999999999999</v>
      </c>
      <c r="F81" s="90" t="s">
        <v>14</v>
      </c>
      <c r="G81" s="3">
        <v>0.20721615359152598</v>
      </c>
      <c r="H81" s="91">
        <v>7.9455227541972313</v>
      </c>
      <c r="I81" s="3">
        <f t="shared" si="2"/>
        <v>0</v>
      </c>
      <c r="J81" s="89">
        <v>0</v>
      </c>
      <c r="K81" s="89">
        <f t="shared" si="3"/>
        <v>0</v>
      </c>
    </row>
    <row r="82" spans="1:11" ht="15" thickBot="1">
      <c r="A82" s="1">
        <v>4127600</v>
      </c>
      <c r="B82" s="2" t="s">
        <v>110</v>
      </c>
      <c r="C82" s="2" t="s">
        <v>87</v>
      </c>
      <c r="D82" s="2" t="s">
        <v>17</v>
      </c>
      <c r="E82" s="54">
        <v>0.14299999999999999</v>
      </c>
      <c r="F82" s="90" t="s">
        <v>14</v>
      </c>
      <c r="G82" s="3">
        <v>0.45153933865450396</v>
      </c>
      <c r="H82" s="91">
        <v>7.9455227541972313</v>
      </c>
      <c r="I82" s="3">
        <f t="shared" si="2"/>
        <v>0.1</v>
      </c>
      <c r="J82" s="89">
        <v>136206.06999935472</v>
      </c>
      <c r="K82" s="89">
        <f t="shared" si="3"/>
        <v>17142.493227069761</v>
      </c>
    </row>
    <row r="83" spans="1:11" ht="15" thickBot="1">
      <c r="A83" s="1">
        <v>7353000</v>
      </c>
      <c r="B83" s="2" t="s">
        <v>111</v>
      </c>
      <c r="C83" s="2" t="s">
        <v>42</v>
      </c>
      <c r="D83" s="2" t="s">
        <v>13</v>
      </c>
      <c r="E83" s="55">
        <v>0.14099999999999999</v>
      </c>
      <c r="F83" s="90" t="s">
        <v>14</v>
      </c>
      <c r="G83" s="3">
        <v>0.58382229673093045</v>
      </c>
      <c r="H83" s="91">
        <v>13.451626030645102</v>
      </c>
      <c r="I83" s="3">
        <f t="shared" si="2"/>
        <v>0.1</v>
      </c>
      <c r="J83" s="89">
        <v>230594.40812340897</v>
      </c>
      <c r="K83" s="89">
        <f t="shared" si="3"/>
        <v>17142.493227069761</v>
      </c>
    </row>
    <row r="84" spans="1:11" ht="15" thickBot="1">
      <c r="A84" s="1">
        <v>5050300</v>
      </c>
      <c r="B84" s="2" t="s">
        <v>112</v>
      </c>
      <c r="C84" s="2" t="s">
        <v>87</v>
      </c>
      <c r="D84" s="2" t="s">
        <v>17</v>
      </c>
      <c r="E84" s="55">
        <v>0.14099999999999999</v>
      </c>
      <c r="F84" s="90" t="s">
        <v>14</v>
      </c>
      <c r="G84" s="3">
        <v>0.53288110052140925</v>
      </c>
      <c r="H84" s="91">
        <v>9.6974104610671681</v>
      </c>
      <c r="I84" s="3">
        <f t="shared" si="2"/>
        <v>0.1</v>
      </c>
      <c r="J84" s="89">
        <v>166237.79314895938</v>
      </c>
      <c r="K84" s="89">
        <f t="shared" si="3"/>
        <v>17142.493227069761</v>
      </c>
    </row>
    <row r="85" spans="1:11" ht="15" thickBot="1">
      <c r="A85" s="1">
        <v>7741300</v>
      </c>
      <c r="B85" s="2" t="s">
        <v>113</v>
      </c>
      <c r="C85" s="2" t="s">
        <v>45</v>
      </c>
      <c r="D85" s="2" t="s">
        <v>38</v>
      </c>
      <c r="E85" s="55">
        <v>0.14099999999999999</v>
      </c>
      <c r="F85" s="90" t="s">
        <v>14</v>
      </c>
      <c r="G85" s="3">
        <v>0.48810382119682766</v>
      </c>
      <c r="H85" s="91">
        <v>5.5889964539431451</v>
      </c>
      <c r="I85" s="3">
        <f t="shared" si="2"/>
        <v>0.1</v>
      </c>
      <c r="J85" s="89">
        <v>95809.333857837279</v>
      </c>
      <c r="K85" s="89">
        <f t="shared" si="3"/>
        <v>17142.493227069761</v>
      </c>
    </row>
    <row r="86" spans="1:11" ht="15" thickBot="1">
      <c r="A86" s="1">
        <v>4935200</v>
      </c>
      <c r="B86" s="2" t="s">
        <v>114</v>
      </c>
      <c r="C86" s="2" t="s">
        <v>25</v>
      </c>
      <c r="D86" s="2" t="s">
        <v>17</v>
      </c>
      <c r="E86" s="55">
        <v>0.14099999999999999</v>
      </c>
      <c r="F86" s="90" t="s">
        <v>14</v>
      </c>
      <c r="G86" s="3">
        <v>0.18203309692671396</v>
      </c>
      <c r="H86" s="91">
        <v>7.8834946809147155</v>
      </c>
      <c r="I86" s="3">
        <f t="shared" si="2"/>
        <v>0</v>
      </c>
      <c r="J86" s="89">
        <v>0</v>
      </c>
      <c r="K86" s="89">
        <f t="shared" si="3"/>
        <v>0</v>
      </c>
    </row>
    <row r="87" spans="1:11" ht="15" thickBot="1">
      <c r="A87" s="1">
        <v>6838600</v>
      </c>
      <c r="B87" s="2" t="s">
        <v>115</v>
      </c>
      <c r="C87" s="2" t="s">
        <v>72</v>
      </c>
      <c r="D87" s="2" t="s">
        <v>13</v>
      </c>
      <c r="E87" s="56">
        <v>0.13900000000000001</v>
      </c>
      <c r="F87" s="90" t="s">
        <v>14</v>
      </c>
      <c r="G87" s="3">
        <v>0.83798882681564246</v>
      </c>
      <c r="H87" s="91">
        <v>5.2556631206098103</v>
      </c>
      <c r="I87" s="3">
        <f t="shared" si="2"/>
        <v>0.1</v>
      </c>
      <c r="J87" s="89">
        <v>90095.169448814006</v>
      </c>
      <c r="K87" s="89">
        <f t="shared" si="3"/>
        <v>17142.493227069761</v>
      </c>
    </row>
    <row r="88" spans="1:11" ht="15" thickBot="1">
      <c r="A88" s="1">
        <v>6935300</v>
      </c>
      <c r="B88" s="2" t="s">
        <v>116</v>
      </c>
      <c r="C88" s="2" t="s">
        <v>72</v>
      </c>
      <c r="D88" s="2" t="s">
        <v>13</v>
      </c>
      <c r="E88" s="56">
        <v>0.13900000000000001</v>
      </c>
      <c r="F88" s="90" t="s">
        <v>14</v>
      </c>
      <c r="G88" s="3">
        <v>0.66671966926379389</v>
      </c>
      <c r="H88" s="91">
        <v>16.041951236774121</v>
      </c>
      <c r="I88" s="3">
        <f t="shared" si="2"/>
        <v>0.1</v>
      </c>
      <c r="J88" s="89">
        <v>274999.04042538378</v>
      </c>
      <c r="K88" s="89">
        <f t="shared" si="3"/>
        <v>17142.493227069761</v>
      </c>
    </row>
    <row r="89" spans="1:11" ht="15" thickBot="1">
      <c r="A89" s="1">
        <v>2971800</v>
      </c>
      <c r="B89" s="2" t="s">
        <v>117</v>
      </c>
      <c r="C89" s="2" t="s">
        <v>45</v>
      </c>
      <c r="D89" s="2" t="s">
        <v>38</v>
      </c>
      <c r="E89" s="56">
        <v>0.13900000000000001</v>
      </c>
      <c r="F89" s="90" t="s">
        <v>14</v>
      </c>
      <c r="G89" s="3">
        <v>0.25371287128712872</v>
      </c>
      <c r="H89" s="91">
        <v>7.9455227541972313</v>
      </c>
      <c r="I89" s="3">
        <f t="shared" si="2"/>
        <v>0</v>
      </c>
      <c r="J89" s="89">
        <v>0</v>
      </c>
      <c r="K89" s="89">
        <f t="shared" si="3"/>
        <v>0</v>
      </c>
    </row>
    <row r="90" spans="1:11" ht="15" thickBot="1">
      <c r="A90" s="1">
        <v>7945300</v>
      </c>
      <c r="B90" s="2" t="s">
        <v>118</v>
      </c>
      <c r="C90" s="2" t="s">
        <v>16</v>
      </c>
      <c r="D90" s="2" t="s">
        <v>17</v>
      </c>
      <c r="E90" s="56">
        <v>0.13600000000000001</v>
      </c>
      <c r="F90" s="90" t="s">
        <v>14</v>
      </c>
      <c r="G90" s="3">
        <v>0.16640649396391086</v>
      </c>
      <c r="H90" s="91">
        <v>9.2594385343496839</v>
      </c>
      <c r="I90" s="3">
        <f t="shared" si="2"/>
        <v>0</v>
      </c>
      <c r="J90" s="89">
        <v>0</v>
      </c>
      <c r="K90" s="89">
        <f t="shared" si="3"/>
        <v>0</v>
      </c>
    </row>
    <row r="91" spans="1:11" ht="15" thickBot="1">
      <c r="A91" s="1">
        <v>8255300</v>
      </c>
      <c r="B91" s="2" t="s">
        <v>119</v>
      </c>
      <c r="C91" s="2" t="s">
        <v>25</v>
      </c>
      <c r="D91" s="2" t="s">
        <v>17</v>
      </c>
      <c r="E91" s="56">
        <v>0.13600000000000001</v>
      </c>
      <c r="F91" s="90" t="s">
        <v>14</v>
      </c>
      <c r="G91" s="3">
        <v>0.15186915887850466</v>
      </c>
      <c r="H91" s="91">
        <v>8.3834946809147155</v>
      </c>
      <c r="I91" s="3">
        <f t="shared" si="2"/>
        <v>0</v>
      </c>
      <c r="J91" s="89">
        <v>0</v>
      </c>
      <c r="K91" s="89">
        <f t="shared" si="3"/>
        <v>0</v>
      </c>
    </row>
    <row r="92" spans="1:11" ht="15" thickBot="1">
      <c r="A92" s="1">
        <v>4849700</v>
      </c>
      <c r="B92" s="2" t="s">
        <v>120</v>
      </c>
      <c r="C92" s="2" t="s">
        <v>63</v>
      </c>
      <c r="D92" s="2" t="s">
        <v>13</v>
      </c>
      <c r="E92" s="57">
        <v>0.13200000000000001</v>
      </c>
      <c r="F92" s="90" t="s">
        <v>14</v>
      </c>
      <c r="G92" s="3">
        <v>0.20809088390135771</v>
      </c>
      <c r="H92" s="91">
        <v>7.9455227541972313</v>
      </c>
      <c r="I92" s="3">
        <f t="shared" si="2"/>
        <v>0</v>
      </c>
      <c r="J92" s="89">
        <v>0</v>
      </c>
      <c r="K92" s="89">
        <f t="shared" si="3"/>
        <v>0</v>
      </c>
    </row>
    <row r="93" spans="1:11" ht="15" thickBot="1">
      <c r="A93" s="1">
        <v>2846800</v>
      </c>
      <c r="B93" s="2" t="s">
        <v>121</v>
      </c>
      <c r="C93" s="2" t="s">
        <v>37</v>
      </c>
      <c r="D93" s="2" t="s">
        <v>38</v>
      </c>
      <c r="E93" s="57">
        <v>0.13100000000000001</v>
      </c>
      <c r="F93" s="90" t="s">
        <v>14</v>
      </c>
      <c r="G93" s="3">
        <v>0.22883211678832116</v>
      </c>
      <c r="H93" s="91">
        <v>5.6316069740447787</v>
      </c>
      <c r="I93" s="3">
        <f t="shared" si="2"/>
        <v>0</v>
      </c>
      <c r="J93" s="89">
        <v>0</v>
      </c>
      <c r="K93" s="89">
        <f t="shared" si="3"/>
        <v>0</v>
      </c>
    </row>
    <row r="94" spans="1:11" ht="15" thickBot="1">
      <c r="A94" s="1">
        <v>5143600</v>
      </c>
      <c r="B94" s="2" t="s">
        <v>122</v>
      </c>
      <c r="C94" s="2" t="s">
        <v>63</v>
      </c>
      <c r="D94" s="2" t="s">
        <v>13</v>
      </c>
      <c r="E94" s="57">
        <v>0.13</v>
      </c>
      <c r="F94" s="90" t="s">
        <v>14</v>
      </c>
      <c r="G94" s="3">
        <v>0.48712581117856396</v>
      </c>
      <c r="H94" s="91">
        <v>11.011326241219621</v>
      </c>
      <c r="I94" s="3">
        <f t="shared" si="2"/>
        <v>0.1</v>
      </c>
      <c r="J94" s="89">
        <v>188761.58551116288</v>
      </c>
      <c r="K94" s="89">
        <f t="shared" si="3"/>
        <v>17142.493227069761</v>
      </c>
    </row>
    <row r="95" spans="1:11" ht="15" thickBot="1">
      <c r="A95" s="1">
        <v>7132100</v>
      </c>
      <c r="B95" s="2" t="s">
        <v>123</v>
      </c>
      <c r="C95" s="2" t="s">
        <v>12</v>
      </c>
      <c r="D95" s="2" t="s">
        <v>13</v>
      </c>
      <c r="E95" s="58">
        <v>0.13</v>
      </c>
      <c r="F95" s="90" t="s">
        <v>14</v>
      </c>
      <c r="G95" s="3">
        <v>0.17751157092295128</v>
      </c>
      <c r="H95" s="91">
        <v>11.656463427580594</v>
      </c>
      <c r="I95" s="3">
        <f t="shared" si="2"/>
        <v>0</v>
      </c>
      <c r="J95" s="89">
        <v>0</v>
      </c>
      <c r="K95" s="89">
        <f t="shared" si="3"/>
        <v>0</v>
      </c>
    </row>
    <row r="96" spans="1:11" ht="15" thickBot="1">
      <c r="A96" s="1">
        <v>3454300</v>
      </c>
      <c r="B96" s="2" t="s">
        <v>124</v>
      </c>
      <c r="C96" s="2" t="s">
        <v>94</v>
      </c>
      <c r="D96" s="2" t="s">
        <v>38</v>
      </c>
      <c r="E96" s="57">
        <v>0.13</v>
      </c>
      <c r="F96" s="90" t="s">
        <v>14</v>
      </c>
      <c r="G96" s="3">
        <v>0.13503649635036497</v>
      </c>
      <c r="H96" s="91">
        <v>13.451626030645102</v>
      </c>
      <c r="I96" s="3">
        <f t="shared" si="2"/>
        <v>0</v>
      </c>
      <c r="J96" s="89">
        <v>0</v>
      </c>
      <c r="K96" s="89">
        <f t="shared" si="3"/>
        <v>0</v>
      </c>
    </row>
    <row r="97" spans="1:11" ht="15" thickBot="1">
      <c r="A97" s="1">
        <v>3853600</v>
      </c>
      <c r="B97" s="2" t="s">
        <v>125</v>
      </c>
      <c r="C97" s="2" t="s">
        <v>19</v>
      </c>
      <c r="D97" s="2" t="s">
        <v>17</v>
      </c>
      <c r="E97" s="58">
        <v>0.128</v>
      </c>
      <c r="F97" s="90" t="s">
        <v>14</v>
      </c>
      <c r="G97" s="3">
        <v>0.21846731524150878</v>
      </c>
      <c r="H97" s="91">
        <v>7.8834946809147155</v>
      </c>
      <c r="I97" s="3">
        <f t="shared" si="2"/>
        <v>0</v>
      </c>
      <c r="J97" s="89">
        <v>0</v>
      </c>
      <c r="K97" s="89">
        <f t="shared" si="3"/>
        <v>0</v>
      </c>
    </row>
    <row r="98" spans="1:11" ht="15" thickBot="1">
      <c r="A98" s="1">
        <v>4854100</v>
      </c>
      <c r="B98" s="2" t="s">
        <v>126</v>
      </c>
      <c r="C98" s="2" t="s">
        <v>25</v>
      </c>
      <c r="D98" s="2" t="s">
        <v>17</v>
      </c>
      <c r="E98" s="58">
        <v>0.127</v>
      </c>
      <c r="F98" s="90" t="s">
        <v>14</v>
      </c>
      <c r="G98" s="3">
        <v>0.12412081092263136</v>
      </c>
      <c r="H98" s="91">
        <v>5.8603017139939606</v>
      </c>
      <c r="I98" s="3">
        <f t="shared" si="2"/>
        <v>0</v>
      </c>
      <c r="J98" s="89">
        <v>0</v>
      </c>
      <c r="K98" s="89">
        <f t="shared" si="3"/>
        <v>0</v>
      </c>
    </row>
    <row r="99" spans="1:11" ht="15" thickBot="1">
      <c r="A99" s="1">
        <v>8250300</v>
      </c>
      <c r="B99" s="2" t="s">
        <v>127</v>
      </c>
      <c r="C99" s="2" t="s">
        <v>70</v>
      </c>
      <c r="D99" s="2" t="s">
        <v>17</v>
      </c>
      <c r="E99" s="112">
        <v>0.126</v>
      </c>
      <c r="F99" s="90" t="s">
        <v>14</v>
      </c>
      <c r="G99" s="3">
        <v>0.11452853095912587</v>
      </c>
      <c r="H99" s="91">
        <v>6.1316069740447787</v>
      </c>
      <c r="I99" s="3">
        <f t="shared" si="2"/>
        <v>0</v>
      </c>
      <c r="J99" s="89">
        <v>0</v>
      </c>
      <c r="K99" s="89">
        <f t="shared" si="3"/>
        <v>0</v>
      </c>
    </row>
    <row r="100" spans="1:11" ht="15" thickBot="1">
      <c r="A100" s="1">
        <v>5248700</v>
      </c>
      <c r="B100" s="2" t="s">
        <v>128</v>
      </c>
      <c r="C100" s="2" t="s">
        <v>87</v>
      </c>
      <c r="D100" s="2" t="s">
        <v>17</v>
      </c>
      <c r="E100" s="59">
        <v>0.124</v>
      </c>
      <c r="F100" s="90" t="s">
        <v>14</v>
      </c>
      <c r="G100" s="3">
        <v>0.71064507565702151</v>
      </c>
      <c r="H100" s="91">
        <v>6.2982736407114448</v>
      </c>
      <c r="I100" s="3">
        <f t="shared" si="2"/>
        <v>0.1</v>
      </c>
      <c r="J100" s="89">
        <v>107968.11322812794</v>
      </c>
      <c r="K100" s="89">
        <f t="shared" si="3"/>
        <v>17142.493227069761</v>
      </c>
    </row>
    <row r="101" spans="1:11" ht="15" thickBot="1">
      <c r="A101" s="1">
        <v>4257400</v>
      </c>
      <c r="B101" s="2" t="s">
        <v>129</v>
      </c>
      <c r="C101" s="2" t="s">
        <v>87</v>
      </c>
      <c r="D101" s="2" t="s">
        <v>17</v>
      </c>
      <c r="E101" s="59">
        <v>0.122</v>
      </c>
      <c r="F101" s="90" t="s">
        <v>14</v>
      </c>
      <c r="G101" s="3">
        <v>0.165314623985968</v>
      </c>
      <c r="H101" s="91">
        <v>6.1316069740447787</v>
      </c>
      <c r="I101" s="3">
        <f t="shared" si="2"/>
        <v>0</v>
      </c>
      <c r="J101" s="89">
        <v>0</v>
      </c>
      <c r="K101" s="89">
        <f t="shared" si="3"/>
        <v>0</v>
      </c>
    </row>
    <row r="102" spans="1:11" ht="15" thickBot="1">
      <c r="A102" s="1">
        <v>2964400</v>
      </c>
      <c r="B102" s="2" t="s">
        <v>130</v>
      </c>
      <c r="C102" s="2" t="s">
        <v>131</v>
      </c>
      <c r="D102" s="2" t="s">
        <v>38</v>
      </c>
      <c r="E102" s="60">
        <v>0.11799999999999999</v>
      </c>
      <c r="F102" s="90" t="s">
        <v>14</v>
      </c>
      <c r="G102" s="3">
        <v>0.737183446571958</v>
      </c>
      <c r="H102" s="91">
        <v>8.3834946809147155</v>
      </c>
      <c r="I102" s="3">
        <f t="shared" si="2"/>
        <v>0.1</v>
      </c>
      <c r="J102" s="89">
        <v>143714.00078675587</v>
      </c>
      <c r="K102" s="89">
        <f t="shared" si="3"/>
        <v>17142.493227069761</v>
      </c>
    </row>
    <row r="103" spans="1:11" ht="15" thickBot="1">
      <c r="A103" s="1">
        <v>7128800</v>
      </c>
      <c r="B103" s="2" t="s">
        <v>132</v>
      </c>
      <c r="C103" s="2" t="s">
        <v>12</v>
      </c>
      <c r="D103" s="2" t="s">
        <v>13</v>
      </c>
      <c r="E103" s="60">
        <v>0.11799999999999999</v>
      </c>
      <c r="F103" s="90" t="s">
        <v>14</v>
      </c>
      <c r="G103" s="3">
        <v>0.20715118538670813</v>
      </c>
      <c r="H103" s="91">
        <v>6.5066069740447787</v>
      </c>
      <c r="I103" s="3">
        <f t="shared" si="2"/>
        <v>0</v>
      </c>
      <c r="J103" s="89">
        <v>0</v>
      </c>
      <c r="K103" s="89">
        <f t="shared" si="3"/>
        <v>0</v>
      </c>
    </row>
    <row r="104" spans="1:11" ht="15" thickBot="1">
      <c r="A104" s="1">
        <v>7793300</v>
      </c>
      <c r="B104" s="2" t="s">
        <v>133</v>
      </c>
      <c r="C104" s="2" t="s">
        <v>37</v>
      </c>
      <c r="D104" s="2" t="s">
        <v>38</v>
      </c>
      <c r="E104" s="60">
        <v>0.11700000000000001</v>
      </c>
      <c r="F104" s="90" t="s">
        <v>14</v>
      </c>
      <c r="G104" s="3">
        <v>0.40634920634920635</v>
      </c>
      <c r="H104" s="91">
        <v>6.1316069740447787</v>
      </c>
      <c r="I104" s="3">
        <f t="shared" si="2"/>
        <v>0.05</v>
      </c>
      <c r="J104" s="89">
        <v>52555.515511808168</v>
      </c>
      <c r="K104" s="89">
        <f t="shared" si="3"/>
        <v>8571.2466135348805</v>
      </c>
    </row>
    <row r="105" spans="1:11" ht="15" thickBot="1">
      <c r="A105" s="18">
        <v>5845300</v>
      </c>
      <c r="B105" s="19" t="s">
        <v>134</v>
      </c>
      <c r="C105" s="2" t="s">
        <v>49</v>
      </c>
      <c r="D105" s="2" t="s">
        <v>13</v>
      </c>
      <c r="E105" s="119">
        <v>0.112</v>
      </c>
      <c r="F105" s="90" t="s">
        <v>14</v>
      </c>
      <c r="G105" s="3">
        <v>0.14177263237806034</v>
      </c>
      <c r="H105" s="91">
        <v>11.011326241219621</v>
      </c>
      <c r="I105" s="3">
        <f t="shared" si="2"/>
        <v>0</v>
      </c>
      <c r="J105" s="89">
        <v>0</v>
      </c>
      <c r="K105" s="89">
        <f t="shared" si="3"/>
        <v>0</v>
      </c>
    </row>
    <row r="106" spans="1:11" ht="15" thickBot="1">
      <c r="A106" s="1">
        <v>4938200</v>
      </c>
      <c r="B106" s="2" t="s">
        <v>135</v>
      </c>
      <c r="C106" s="2" t="s">
        <v>25</v>
      </c>
      <c r="D106" s="2" t="s">
        <v>17</v>
      </c>
      <c r="E106" s="61">
        <v>0.11</v>
      </c>
      <c r="F106" s="90" t="s">
        <v>14</v>
      </c>
      <c r="G106" s="3">
        <v>0.21949837041235654</v>
      </c>
      <c r="H106" s="91">
        <v>13.451626030645102</v>
      </c>
      <c r="I106" s="3">
        <f t="shared" si="2"/>
        <v>0</v>
      </c>
      <c r="J106" s="89">
        <v>0</v>
      </c>
      <c r="K106" s="89">
        <f t="shared" si="3"/>
        <v>0</v>
      </c>
    </row>
    <row r="107" spans="1:11" ht="15" thickBot="1">
      <c r="A107" s="1">
        <v>4934300</v>
      </c>
      <c r="B107" s="2" t="s">
        <v>136</v>
      </c>
      <c r="C107" s="2" t="s">
        <v>25</v>
      </c>
      <c r="D107" s="2" t="s">
        <v>17</v>
      </c>
      <c r="E107" s="61">
        <v>0.11</v>
      </c>
      <c r="F107" s="90" t="s">
        <v>14</v>
      </c>
      <c r="G107" s="3">
        <v>0.15860480421191181</v>
      </c>
      <c r="H107" s="91">
        <v>6.1316069740447787</v>
      </c>
      <c r="I107" s="3">
        <f t="shared" si="2"/>
        <v>0</v>
      </c>
      <c r="J107" s="89">
        <v>0</v>
      </c>
      <c r="K107" s="89">
        <f t="shared" si="3"/>
        <v>0</v>
      </c>
    </row>
    <row r="108" spans="1:11" ht="15" thickBot="1">
      <c r="A108" s="1">
        <v>4151900</v>
      </c>
      <c r="B108" s="2" t="s">
        <v>137</v>
      </c>
      <c r="C108" s="2" t="s">
        <v>87</v>
      </c>
      <c r="D108" s="2" t="s">
        <v>17</v>
      </c>
      <c r="E108" s="62">
        <v>0.108</v>
      </c>
      <c r="F108" s="90" t="s">
        <v>14</v>
      </c>
      <c r="G108" s="3">
        <v>0.56210873140449102</v>
      </c>
      <c r="H108" s="91">
        <v>16.041951236774121</v>
      </c>
      <c r="I108" s="3">
        <f t="shared" si="2"/>
        <v>0.1</v>
      </c>
      <c r="J108" s="89">
        <v>274999.04042538378</v>
      </c>
      <c r="K108" s="89">
        <f t="shared" si="3"/>
        <v>17142.493227069761</v>
      </c>
    </row>
    <row r="109" spans="1:11" ht="15" thickBot="1">
      <c r="A109" s="1">
        <v>8245300</v>
      </c>
      <c r="B109" s="2" t="s">
        <v>138</v>
      </c>
      <c r="C109" s="2" t="s">
        <v>16</v>
      </c>
      <c r="D109" s="2" t="s">
        <v>17</v>
      </c>
      <c r="E109" s="62">
        <v>0.106</v>
      </c>
      <c r="F109" s="90" t="s">
        <v>14</v>
      </c>
      <c r="G109" s="3">
        <v>0.69621993127147763</v>
      </c>
      <c r="H109" s="91">
        <v>8.3214666076321997</v>
      </c>
      <c r="I109" s="3">
        <f t="shared" si="2"/>
        <v>0.1</v>
      </c>
      <c r="J109" s="89">
        <v>142650.68496062217</v>
      </c>
      <c r="K109" s="89">
        <f t="shared" si="3"/>
        <v>17142.493227069761</v>
      </c>
    </row>
    <row r="110" spans="1:11" ht="15" thickBot="1">
      <c r="A110" s="1">
        <v>3555600</v>
      </c>
      <c r="B110" s="2" t="s">
        <v>139</v>
      </c>
      <c r="C110" s="2" t="s">
        <v>131</v>
      </c>
      <c r="D110" s="2" t="s">
        <v>38</v>
      </c>
      <c r="E110" s="62">
        <v>0.106</v>
      </c>
      <c r="F110" s="90" t="s">
        <v>14</v>
      </c>
      <c r="G110" s="3">
        <v>0.5097560972620464</v>
      </c>
      <c r="H110" s="91">
        <v>9.6974104610671681</v>
      </c>
      <c r="I110" s="3">
        <f t="shared" si="2"/>
        <v>0.1</v>
      </c>
      <c r="J110" s="89">
        <v>166237.79314895938</v>
      </c>
      <c r="K110" s="89">
        <f t="shared" si="3"/>
        <v>17142.493227069761</v>
      </c>
    </row>
    <row r="111" spans="1:11" ht="15" thickBot="1">
      <c r="A111" s="11">
        <v>5928400</v>
      </c>
      <c r="B111" s="12" t="s">
        <v>140</v>
      </c>
      <c r="C111" s="2" t="s">
        <v>63</v>
      </c>
      <c r="D111" s="2" t="s">
        <v>13</v>
      </c>
      <c r="E111" s="120">
        <v>0.104</v>
      </c>
      <c r="F111" s="90" t="s">
        <v>14</v>
      </c>
      <c r="G111" s="3">
        <v>0.15198135198135199</v>
      </c>
      <c r="H111" s="91">
        <v>8.3834946809147155</v>
      </c>
      <c r="I111" s="3">
        <f t="shared" si="2"/>
        <v>0</v>
      </c>
      <c r="J111" s="89">
        <v>0</v>
      </c>
      <c r="K111" s="89">
        <f t="shared" si="3"/>
        <v>0</v>
      </c>
    </row>
    <row r="112" spans="1:11" ht="15" thickBot="1">
      <c r="A112" s="1">
        <v>3447500</v>
      </c>
      <c r="B112" s="2" t="s">
        <v>141</v>
      </c>
      <c r="C112" s="2" t="s">
        <v>131</v>
      </c>
      <c r="D112" s="2" t="s">
        <v>38</v>
      </c>
      <c r="E112" s="64">
        <v>0.1</v>
      </c>
      <c r="F112" s="90" t="s">
        <v>14</v>
      </c>
      <c r="G112" s="3">
        <v>0.57759583178265728</v>
      </c>
      <c r="H112" s="91">
        <v>6.9029122340955968</v>
      </c>
      <c r="I112" s="3">
        <f t="shared" si="2"/>
        <v>0.1</v>
      </c>
      <c r="J112" s="89">
        <v>118333.12622004077</v>
      </c>
      <c r="K112" s="89">
        <f t="shared" si="3"/>
        <v>17142.493227069761</v>
      </c>
    </row>
    <row r="113" spans="1:11" ht="15" thickBot="1">
      <c r="A113" s="1">
        <v>3853200</v>
      </c>
      <c r="B113" s="2" t="s">
        <v>142</v>
      </c>
      <c r="C113" s="2" t="s">
        <v>16</v>
      </c>
      <c r="D113" s="2" t="s">
        <v>17</v>
      </c>
      <c r="E113" s="63">
        <v>0.1</v>
      </c>
      <c r="F113" s="90" t="s">
        <v>14</v>
      </c>
      <c r="G113" s="3">
        <v>0.43031496062992125</v>
      </c>
      <c r="H113" s="91">
        <v>7.0075508274797471</v>
      </c>
      <c r="I113" s="3">
        <f t="shared" si="2"/>
        <v>0.08</v>
      </c>
      <c r="J113" s="89">
        <v>96101.514078734937</v>
      </c>
      <c r="K113" s="89">
        <f t="shared" si="3"/>
        <v>13713.99458165581</v>
      </c>
    </row>
    <row r="114" spans="1:11" ht="15" thickBot="1">
      <c r="A114" s="1">
        <v>4258500</v>
      </c>
      <c r="B114" s="2" t="s">
        <v>143</v>
      </c>
      <c r="C114" s="2" t="s">
        <v>19</v>
      </c>
      <c r="D114" s="2" t="s">
        <v>17</v>
      </c>
      <c r="E114" s="63">
        <v>0.1</v>
      </c>
      <c r="F114" s="90" t="s">
        <v>14</v>
      </c>
      <c r="G114" s="3">
        <v>0.38022537259178479</v>
      </c>
      <c r="H114" s="91">
        <v>5.6936350473272945</v>
      </c>
      <c r="I114" s="3">
        <f t="shared" si="2"/>
        <v>0.03</v>
      </c>
      <c r="J114" s="89">
        <v>29280.93007086455</v>
      </c>
      <c r="K114" s="89">
        <f t="shared" si="3"/>
        <v>5142.7479681209279</v>
      </c>
    </row>
    <row r="115" spans="1:11" ht="15" thickBot="1">
      <c r="A115" s="1">
        <v>2943000</v>
      </c>
      <c r="B115" s="2" t="s">
        <v>144</v>
      </c>
      <c r="C115" s="2" t="s">
        <v>45</v>
      </c>
      <c r="D115" s="2" t="s">
        <v>38</v>
      </c>
      <c r="E115" s="64">
        <v>0.1</v>
      </c>
      <c r="F115" s="90" t="s">
        <v>14</v>
      </c>
      <c r="G115" s="3">
        <v>0.25113284044836631</v>
      </c>
      <c r="H115" s="91">
        <v>10.135382387784652</v>
      </c>
      <c r="I115" s="3">
        <f t="shared" si="2"/>
        <v>0</v>
      </c>
      <c r="J115" s="89">
        <v>0</v>
      </c>
      <c r="K115" s="89">
        <f t="shared" si="3"/>
        <v>0</v>
      </c>
    </row>
    <row r="116" spans="1:11" ht="15" thickBot="1">
      <c r="A116" s="1">
        <v>5835500</v>
      </c>
      <c r="B116" s="2" t="s">
        <v>145</v>
      </c>
      <c r="C116" s="2" t="s">
        <v>49</v>
      </c>
      <c r="D116" s="2" t="s">
        <v>13</v>
      </c>
      <c r="E116" s="63">
        <v>0.1</v>
      </c>
      <c r="F116" s="90" t="s">
        <v>14</v>
      </c>
      <c r="G116" s="3">
        <v>0.15487179487179487</v>
      </c>
      <c r="H116" s="91">
        <v>6.4649403073781135</v>
      </c>
      <c r="I116" s="3">
        <f t="shared" si="2"/>
        <v>0</v>
      </c>
      <c r="J116" s="89">
        <v>0</v>
      </c>
      <c r="K116" s="89">
        <f t="shared" si="3"/>
        <v>0</v>
      </c>
    </row>
    <row r="117" spans="1:11" ht="15" thickBot="1">
      <c r="A117" s="1">
        <v>7131000</v>
      </c>
      <c r="B117" s="2" t="s">
        <v>146</v>
      </c>
      <c r="C117" s="2" t="s">
        <v>12</v>
      </c>
      <c r="D117" s="2" t="s">
        <v>13</v>
      </c>
      <c r="E117" s="64">
        <v>9.9000000000000005E-2</v>
      </c>
      <c r="F117" s="90" t="s">
        <v>14</v>
      </c>
      <c r="G117" s="3">
        <v>0.21811785400175901</v>
      </c>
      <c r="H117" s="91">
        <v>6.5066069740447787</v>
      </c>
      <c r="I117" s="3">
        <f t="shared" si="2"/>
        <v>0</v>
      </c>
      <c r="J117" s="89">
        <v>0</v>
      </c>
      <c r="K117" s="89">
        <f t="shared" si="3"/>
        <v>0</v>
      </c>
    </row>
    <row r="118" spans="1:11" ht="15" thickBot="1">
      <c r="A118" s="1">
        <v>5844300</v>
      </c>
      <c r="B118" s="2" t="s">
        <v>147</v>
      </c>
      <c r="C118" s="2" t="s">
        <v>49</v>
      </c>
      <c r="D118" s="2" t="s">
        <v>13</v>
      </c>
      <c r="E118" s="64">
        <v>9.8000000000000004E-2</v>
      </c>
      <c r="F118" s="90" t="s">
        <v>14</v>
      </c>
      <c r="G118" s="3">
        <v>0.20802919708029197</v>
      </c>
      <c r="H118" s="91">
        <v>6.9029122340955977</v>
      </c>
      <c r="I118" s="3">
        <f t="shared" si="2"/>
        <v>0</v>
      </c>
      <c r="J118" s="89">
        <v>0</v>
      </c>
      <c r="K118" s="89">
        <f t="shared" si="3"/>
        <v>0</v>
      </c>
    </row>
    <row r="119" spans="1:11" ht="15" thickBot="1">
      <c r="A119" s="1">
        <v>5158300</v>
      </c>
      <c r="B119" s="2" t="s">
        <v>148</v>
      </c>
      <c r="C119" s="2" t="s">
        <v>94</v>
      </c>
      <c r="D119" s="2" t="s">
        <v>38</v>
      </c>
      <c r="E119" s="64">
        <v>9.5000000000000001E-2</v>
      </c>
      <c r="F119" s="90" t="s">
        <v>14</v>
      </c>
      <c r="G119" s="3">
        <v>0.29626655961461262</v>
      </c>
      <c r="H119" s="91">
        <v>9.6974104610671681</v>
      </c>
      <c r="I119" s="3">
        <f t="shared" si="2"/>
        <v>0</v>
      </c>
      <c r="J119" s="89">
        <v>0</v>
      </c>
      <c r="K119" s="89">
        <f t="shared" si="3"/>
        <v>0</v>
      </c>
    </row>
    <row r="120" spans="1:11" ht="15" thickBot="1">
      <c r="A120" s="1">
        <v>3846600</v>
      </c>
      <c r="B120" s="2" t="s">
        <v>149</v>
      </c>
      <c r="C120" s="2" t="s">
        <v>37</v>
      </c>
      <c r="D120" s="2" t="s">
        <v>38</v>
      </c>
      <c r="E120" s="66">
        <v>9.4E-2</v>
      </c>
      <c r="F120" s="90" t="s">
        <v>14</v>
      </c>
      <c r="G120" s="3">
        <v>0.71896684656900545</v>
      </c>
      <c r="H120" s="91">
        <v>9.2594385343496839</v>
      </c>
      <c r="I120" s="3">
        <f t="shared" si="2"/>
        <v>0.1</v>
      </c>
      <c r="J120" s="89">
        <v>158729.86236155822</v>
      </c>
      <c r="K120" s="89">
        <f t="shared" si="3"/>
        <v>17142.493227069761</v>
      </c>
    </row>
    <row r="121" spans="1:11" ht="15" thickBot="1">
      <c r="A121" s="1">
        <v>3854300</v>
      </c>
      <c r="B121" s="2" t="s">
        <v>150</v>
      </c>
      <c r="C121" s="2" t="s">
        <v>25</v>
      </c>
      <c r="D121" s="2" t="s">
        <v>17</v>
      </c>
      <c r="E121" s="65">
        <v>9.4E-2</v>
      </c>
      <c r="F121" s="90" t="s">
        <v>14</v>
      </c>
      <c r="G121" s="3">
        <v>0.56959195081050862</v>
      </c>
      <c r="H121" s="91">
        <v>6.5695789007622629</v>
      </c>
      <c r="I121" s="3">
        <f t="shared" si="2"/>
        <v>0.1</v>
      </c>
      <c r="J121" s="89">
        <v>112618.96181101749</v>
      </c>
      <c r="K121" s="89">
        <f t="shared" si="3"/>
        <v>17142.493227069761</v>
      </c>
    </row>
    <row r="122" spans="1:11" ht="15" thickBot="1">
      <c r="A122" s="1">
        <v>5860600</v>
      </c>
      <c r="B122" s="2" t="s">
        <v>151</v>
      </c>
      <c r="C122" s="2" t="s">
        <v>49</v>
      </c>
      <c r="D122" s="2" t="s">
        <v>13</v>
      </c>
      <c r="E122" s="66">
        <v>9.4E-2</v>
      </c>
      <c r="F122" s="90" t="s">
        <v>14</v>
      </c>
      <c r="G122" s="3">
        <v>0.41747572815533979</v>
      </c>
      <c r="H122" s="91">
        <v>9.2594385343496839</v>
      </c>
      <c r="I122" s="3">
        <f t="shared" si="2"/>
        <v>0.06</v>
      </c>
      <c r="J122" s="89">
        <v>95237.917416934928</v>
      </c>
      <c r="K122" s="89">
        <f t="shared" si="3"/>
        <v>10285.495936241858</v>
      </c>
    </row>
    <row r="123" spans="1:11" ht="15" thickBot="1">
      <c r="A123" s="1">
        <v>6038200</v>
      </c>
      <c r="B123" s="2" t="s">
        <v>152</v>
      </c>
      <c r="C123" s="2" t="s">
        <v>49</v>
      </c>
      <c r="D123" s="2" t="s">
        <v>13</v>
      </c>
      <c r="E123" s="66">
        <v>9.4E-2</v>
      </c>
      <c r="F123" s="90" t="s">
        <v>14</v>
      </c>
      <c r="G123" s="3">
        <v>0.40896562905317768</v>
      </c>
      <c r="H123" s="91">
        <v>18.632276442903141</v>
      </c>
      <c r="I123" s="3">
        <f t="shared" si="2"/>
        <v>0.05</v>
      </c>
      <c r="J123" s="89">
        <v>159701.83636367926</v>
      </c>
      <c r="K123" s="89">
        <f t="shared" si="3"/>
        <v>8571.2466135348805</v>
      </c>
    </row>
    <row r="124" spans="1:11" ht="15" thickBot="1">
      <c r="A124" s="1">
        <v>3456000</v>
      </c>
      <c r="B124" s="2" t="s">
        <v>153</v>
      </c>
      <c r="C124" s="2" t="s">
        <v>37</v>
      </c>
      <c r="D124" s="2" t="s">
        <v>38</v>
      </c>
      <c r="E124" s="66">
        <v>9.4E-2</v>
      </c>
      <c r="F124" s="90" t="s">
        <v>14</v>
      </c>
      <c r="G124" s="3">
        <v>0.25775927337538201</v>
      </c>
      <c r="H124" s="91">
        <v>8.7594385343496839</v>
      </c>
      <c r="I124" s="3">
        <f t="shared" si="2"/>
        <v>0</v>
      </c>
      <c r="J124" s="89">
        <v>0</v>
      </c>
      <c r="K124" s="89">
        <f t="shared" si="3"/>
        <v>0</v>
      </c>
    </row>
    <row r="125" spans="1:11" ht="15" thickBot="1">
      <c r="A125" s="1">
        <v>4047600</v>
      </c>
      <c r="B125" s="2" t="s">
        <v>154</v>
      </c>
      <c r="C125" s="2" t="s">
        <v>61</v>
      </c>
      <c r="D125" s="2" t="s">
        <v>38</v>
      </c>
      <c r="E125" s="66">
        <v>9.4E-2</v>
      </c>
      <c r="F125" s="90" t="s">
        <v>14</v>
      </c>
      <c r="G125" s="3">
        <v>0.21445880452342489</v>
      </c>
      <c r="H125" s="91">
        <v>9.6974104610671681</v>
      </c>
      <c r="I125" s="3">
        <f t="shared" si="2"/>
        <v>0</v>
      </c>
      <c r="J125" s="89">
        <v>0</v>
      </c>
      <c r="K125" s="89">
        <f t="shared" si="3"/>
        <v>0</v>
      </c>
    </row>
    <row r="126" spans="1:11" ht="15" thickBot="1">
      <c r="A126" s="1">
        <v>3826300</v>
      </c>
      <c r="B126" s="2" t="s">
        <v>155</v>
      </c>
      <c r="C126" s="2" t="s">
        <v>37</v>
      </c>
      <c r="D126" s="2" t="s">
        <v>38</v>
      </c>
      <c r="E126" s="66">
        <v>9.1999999999999998E-2</v>
      </c>
      <c r="F126" s="90" t="s">
        <v>14</v>
      </c>
      <c r="G126" s="3">
        <v>0.83478260869565213</v>
      </c>
      <c r="H126" s="91">
        <v>6.3816069740447787</v>
      </c>
      <c r="I126" s="3">
        <f t="shared" si="2"/>
        <v>0.1</v>
      </c>
      <c r="J126" s="89">
        <v>109396.65433038378</v>
      </c>
      <c r="K126" s="89">
        <f t="shared" si="3"/>
        <v>17142.493227069765</v>
      </c>
    </row>
    <row r="127" spans="1:11" ht="15" thickBot="1">
      <c r="A127" s="1">
        <v>7733300</v>
      </c>
      <c r="B127" s="2" t="s">
        <v>156</v>
      </c>
      <c r="C127" s="2" t="s">
        <v>45</v>
      </c>
      <c r="D127" s="2" t="s">
        <v>38</v>
      </c>
      <c r="E127" s="66">
        <v>9.0999999999999998E-2</v>
      </c>
      <c r="F127" s="90" t="s">
        <v>14</v>
      </c>
      <c r="G127" s="3">
        <v>0.41140495867768595</v>
      </c>
      <c r="H127" s="91">
        <v>13.451626030645102</v>
      </c>
      <c r="I127" s="3">
        <f t="shared" si="2"/>
        <v>0.06</v>
      </c>
      <c r="J127" s="89">
        <v>138356.64487404536</v>
      </c>
      <c r="K127" s="89">
        <f t="shared" si="3"/>
        <v>10285.495936241856</v>
      </c>
    </row>
    <row r="128" spans="1:11" ht="15" thickBot="1">
      <c r="A128" s="1">
        <v>7261200</v>
      </c>
      <c r="B128" s="2" t="s">
        <v>157</v>
      </c>
      <c r="C128" s="2" t="s">
        <v>72</v>
      </c>
      <c r="D128" s="2" t="s">
        <v>13</v>
      </c>
      <c r="E128" s="67">
        <v>8.8999999999999996E-2</v>
      </c>
      <c r="F128" s="90" t="s">
        <v>14</v>
      </c>
      <c r="G128" s="3">
        <v>0.26942567567567566</v>
      </c>
      <c r="H128" s="91">
        <v>6.5695789007622629</v>
      </c>
      <c r="I128" s="3">
        <f t="shared" si="2"/>
        <v>0</v>
      </c>
      <c r="J128" s="89">
        <v>0</v>
      </c>
      <c r="K128" s="89">
        <f t="shared" si="3"/>
        <v>0</v>
      </c>
    </row>
    <row r="129" spans="1:11" ht="15" thickBot="1">
      <c r="A129" s="1">
        <v>6271000</v>
      </c>
      <c r="B129" s="2" t="s">
        <v>158</v>
      </c>
      <c r="C129" s="2" t="s">
        <v>63</v>
      </c>
      <c r="D129" s="2" t="s">
        <v>13</v>
      </c>
      <c r="E129" s="67">
        <v>8.7999999999999995E-2</v>
      </c>
      <c r="F129" s="90" t="s">
        <v>14</v>
      </c>
      <c r="G129" s="3">
        <v>0.13846737481031868</v>
      </c>
      <c r="H129" s="91">
        <v>9.2594385343496839</v>
      </c>
      <c r="I129" s="3">
        <f t="shared" si="2"/>
        <v>0</v>
      </c>
      <c r="J129" s="89">
        <v>0</v>
      </c>
      <c r="K129" s="89">
        <f t="shared" si="3"/>
        <v>0</v>
      </c>
    </row>
    <row r="130" spans="1:11" ht="15" thickBot="1">
      <c r="A130" s="1">
        <v>6165600</v>
      </c>
      <c r="B130" s="2" t="s">
        <v>159</v>
      </c>
      <c r="C130" s="2" t="s">
        <v>23</v>
      </c>
      <c r="D130" s="2" t="s">
        <v>13</v>
      </c>
      <c r="E130" s="67">
        <v>8.5999999999999993E-2</v>
      </c>
      <c r="F130" s="90" t="s">
        <v>14</v>
      </c>
      <c r="G130" s="3">
        <v>0.47899649951789247</v>
      </c>
      <c r="H130" s="91">
        <v>13.451626030645102</v>
      </c>
      <c r="I130" s="3">
        <f t="shared" ref="I130:I193" si="4">IFERROR(MAX(0, MIN(10%, TRUNC(G130 - IF(E130&gt;=35%,E130,35%),2)))*IF(G130&gt;=35%,1,0), 0)</f>
        <v>0.1</v>
      </c>
      <c r="J130" s="89">
        <v>230594.40812340897</v>
      </c>
      <c r="K130" s="89">
        <f t="shared" ref="K130:K193" si="5">J130/H130</f>
        <v>17142.493227069761</v>
      </c>
    </row>
    <row r="131" spans="1:11" ht="15" thickBot="1">
      <c r="A131" s="1">
        <v>5249800</v>
      </c>
      <c r="B131" s="2" t="s">
        <v>160</v>
      </c>
      <c r="C131" s="2" t="s">
        <v>87</v>
      </c>
      <c r="D131" s="2" t="s">
        <v>17</v>
      </c>
      <c r="E131" s="67">
        <v>8.5999999999999993E-2</v>
      </c>
      <c r="F131" s="90" t="s">
        <v>14</v>
      </c>
      <c r="G131" s="3">
        <v>0.31032097399003872</v>
      </c>
      <c r="H131" s="91">
        <v>13.451626030645102</v>
      </c>
      <c r="I131" s="3">
        <f t="shared" si="4"/>
        <v>0</v>
      </c>
      <c r="J131" s="89">
        <v>0</v>
      </c>
      <c r="K131" s="89">
        <f t="shared" si="5"/>
        <v>0</v>
      </c>
    </row>
    <row r="132" spans="1:11" ht="15" thickBot="1">
      <c r="A132" s="1">
        <v>8025300</v>
      </c>
      <c r="B132" s="2" t="s">
        <v>161</v>
      </c>
      <c r="C132" s="2" t="s">
        <v>72</v>
      </c>
      <c r="D132" s="2" t="s">
        <v>13</v>
      </c>
      <c r="E132" s="68">
        <v>8.5000000000000006E-2</v>
      </c>
      <c r="F132" s="90" t="s">
        <v>14</v>
      </c>
      <c r="G132" s="3">
        <v>0.6219806763285024</v>
      </c>
      <c r="H132" s="91">
        <v>6.1316069740447787</v>
      </c>
      <c r="I132" s="3">
        <f t="shared" si="4"/>
        <v>0.1</v>
      </c>
      <c r="J132" s="89">
        <v>105111.03102361634</v>
      </c>
      <c r="K132" s="89">
        <f t="shared" si="5"/>
        <v>17142.493227069761</v>
      </c>
    </row>
    <row r="133" spans="1:11" ht="15" thickBot="1">
      <c r="A133" s="1">
        <v>6337300</v>
      </c>
      <c r="B133" s="2" t="s">
        <v>162</v>
      </c>
      <c r="C133" s="2" t="s">
        <v>61</v>
      </c>
      <c r="D133" s="2" t="s">
        <v>38</v>
      </c>
      <c r="E133" s="69">
        <v>8.4000000000000005E-2</v>
      </c>
      <c r="F133" s="90" t="s">
        <v>14</v>
      </c>
      <c r="G133" s="3">
        <v>0.2626031969084841</v>
      </c>
      <c r="H133" s="91">
        <v>10.135382387784652</v>
      </c>
      <c r="I133" s="3">
        <f t="shared" si="4"/>
        <v>0</v>
      </c>
      <c r="J133" s="89">
        <v>0</v>
      </c>
      <c r="K133" s="89">
        <f t="shared" si="5"/>
        <v>0</v>
      </c>
    </row>
    <row r="134" spans="1:11" ht="15" thickBot="1">
      <c r="A134" s="1">
        <v>7880300</v>
      </c>
      <c r="B134" s="2" t="s">
        <v>163</v>
      </c>
      <c r="C134" s="2" t="s">
        <v>63</v>
      </c>
      <c r="D134" s="2" t="s">
        <v>13</v>
      </c>
      <c r="E134" s="69">
        <v>8.3000000000000004E-2</v>
      </c>
      <c r="F134" s="90" t="s">
        <v>14</v>
      </c>
      <c r="G134" s="3">
        <v>8.1513828238719069E-2</v>
      </c>
      <c r="H134" s="91">
        <v>7.9455227541972313</v>
      </c>
      <c r="I134" s="3">
        <f t="shared" si="4"/>
        <v>0</v>
      </c>
      <c r="J134" s="89">
        <v>0</v>
      </c>
      <c r="K134" s="89">
        <f t="shared" si="5"/>
        <v>0</v>
      </c>
    </row>
    <row r="135" spans="1:11" ht="15" thickBot="1">
      <c r="A135" s="1">
        <v>6149300</v>
      </c>
      <c r="B135" s="2" t="s">
        <v>164</v>
      </c>
      <c r="C135" s="2" t="s">
        <v>23</v>
      </c>
      <c r="D135" s="2" t="s">
        <v>13</v>
      </c>
      <c r="E135" s="69">
        <v>8.2000000000000003E-2</v>
      </c>
      <c r="F135" s="90" t="s">
        <v>14</v>
      </c>
      <c r="G135" s="3">
        <v>0.43605432016655044</v>
      </c>
      <c r="H135" s="91">
        <v>14.74678863370961</v>
      </c>
      <c r="I135" s="3">
        <f t="shared" si="4"/>
        <v>0.08</v>
      </c>
      <c r="J135" s="89">
        <v>202237.37941951703</v>
      </c>
      <c r="K135" s="89">
        <f t="shared" si="5"/>
        <v>13713.994581655807</v>
      </c>
    </row>
    <row r="136" spans="1:11" ht="15" thickBot="1">
      <c r="A136" s="1">
        <v>4049400</v>
      </c>
      <c r="B136" s="2" t="s">
        <v>165</v>
      </c>
      <c r="C136" s="2" t="s">
        <v>61</v>
      </c>
      <c r="D136" s="2" t="s">
        <v>38</v>
      </c>
      <c r="E136" s="69">
        <v>8.1000000000000003E-2</v>
      </c>
      <c r="F136" s="90" t="s">
        <v>14</v>
      </c>
      <c r="G136" s="3">
        <v>9.2443521163334194E-2</v>
      </c>
      <c r="H136" s="91">
        <v>9.1974104610671681</v>
      </c>
      <c r="I136" s="3">
        <f t="shared" si="4"/>
        <v>0</v>
      </c>
      <c r="J136" s="89">
        <v>0</v>
      </c>
      <c r="K136" s="89">
        <f t="shared" si="5"/>
        <v>0</v>
      </c>
    </row>
    <row r="137" spans="1:11" ht="15" thickBot="1">
      <c r="A137" s="1">
        <v>3538200</v>
      </c>
      <c r="B137" s="2" t="s">
        <v>166</v>
      </c>
      <c r="C137" s="2" t="s">
        <v>72</v>
      </c>
      <c r="D137" s="2" t="s">
        <v>13</v>
      </c>
      <c r="E137" s="69">
        <v>0.08</v>
      </c>
      <c r="F137" s="90" t="s">
        <v>14</v>
      </c>
      <c r="G137" s="3">
        <v>0.48287254408524688</v>
      </c>
      <c r="H137" s="91">
        <v>14.74678863370961</v>
      </c>
      <c r="I137" s="3">
        <f t="shared" si="4"/>
        <v>0.1</v>
      </c>
      <c r="J137" s="89">
        <v>252796.72427439631</v>
      </c>
      <c r="K137" s="89">
        <f t="shared" si="5"/>
        <v>17142.493227069761</v>
      </c>
    </row>
    <row r="138" spans="1:11" ht="15" thickBot="1">
      <c r="A138" s="1">
        <v>4279900</v>
      </c>
      <c r="B138" s="2" t="s">
        <v>167</v>
      </c>
      <c r="C138" s="2" t="s">
        <v>87</v>
      </c>
      <c r="D138" s="2" t="s">
        <v>17</v>
      </c>
      <c r="E138" s="69">
        <v>0.08</v>
      </c>
      <c r="F138" s="90" t="s">
        <v>14</v>
      </c>
      <c r="G138" s="3">
        <v>0.27677004095962549</v>
      </c>
      <c r="H138" s="91">
        <v>11.011326241219621</v>
      </c>
      <c r="I138" s="3">
        <f t="shared" si="4"/>
        <v>0</v>
      </c>
      <c r="J138" s="89">
        <v>0</v>
      </c>
      <c r="K138" s="89">
        <f t="shared" si="5"/>
        <v>0</v>
      </c>
    </row>
    <row r="139" spans="1:11" ht="15" thickBot="1">
      <c r="A139" s="1">
        <v>5858000</v>
      </c>
      <c r="B139" s="2" t="s">
        <v>168</v>
      </c>
      <c r="C139" s="2" t="s">
        <v>49</v>
      </c>
      <c r="D139" s="2" t="s">
        <v>13</v>
      </c>
      <c r="E139" s="69">
        <v>0.08</v>
      </c>
      <c r="F139" s="90" t="s">
        <v>14</v>
      </c>
      <c r="G139" s="3">
        <v>0.21355661869434717</v>
      </c>
      <c r="H139" s="91">
        <v>13.451626030645102</v>
      </c>
      <c r="I139" s="3">
        <f t="shared" si="4"/>
        <v>0</v>
      </c>
      <c r="J139" s="89">
        <v>0</v>
      </c>
      <c r="K139" s="89">
        <f t="shared" si="5"/>
        <v>0</v>
      </c>
    </row>
    <row r="140" spans="1:11" ht="15" thickBot="1">
      <c r="A140" s="1">
        <v>7737300</v>
      </c>
      <c r="B140" s="2" t="s">
        <v>169</v>
      </c>
      <c r="C140" s="2" t="s">
        <v>45</v>
      </c>
      <c r="D140" s="2" t="s">
        <v>38</v>
      </c>
      <c r="E140" s="70">
        <v>7.6999999999999999E-2</v>
      </c>
      <c r="F140" s="90" t="s">
        <v>14</v>
      </c>
      <c r="G140" s="3">
        <v>0.12853005068790732</v>
      </c>
      <c r="H140" s="91">
        <v>7.8834946809147155</v>
      </c>
      <c r="I140" s="3">
        <f t="shared" si="4"/>
        <v>0</v>
      </c>
      <c r="J140" s="89">
        <v>0</v>
      </c>
      <c r="K140" s="89">
        <f t="shared" si="5"/>
        <v>0</v>
      </c>
    </row>
    <row r="141" spans="1:11" ht="15" thickBot="1">
      <c r="A141" s="1">
        <v>5148400</v>
      </c>
      <c r="B141" s="2" t="s">
        <v>170</v>
      </c>
      <c r="C141" s="2" t="s">
        <v>25</v>
      </c>
      <c r="D141" s="2" t="s">
        <v>17</v>
      </c>
      <c r="E141" s="70">
        <v>7.4999999999999997E-2</v>
      </c>
      <c r="F141" s="90" t="s">
        <v>14</v>
      </c>
      <c r="G141" s="3">
        <v>0.79511533242876531</v>
      </c>
      <c r="H141" s="91">
        <v>7.9455227541972313</v>
      </c>
      <c r="I141" s="3">
        <f t="shared" si="4"/>
        <v>0.1</v>
      </c>
      <c r="J141" s="89">
        <v>136206.06999935472</v>
      </c>
      <c r="K141" s="89">
        <f t="shared" si="5"/>
        <v>17142.493227069761</v>
      </c>
    </row>
    <row r="142" spans="1:11" ht="15" thickBot="1">
      <c r="A142" s="1">
        <v>2901400</v>
      </c>
      <c r="B142" s="2" t="s">
        <v>171</v>
      </c>
      <c r="C142" s="2" t="s">
        <v>45</v>
      </c>
      <c r="D142" s="2" t="s">
        <v>38</v>
      </c>
      <c r="E142" s="70">
        <v>7.4999999999999997E-2</v>
      </c>
      <c r="F142" s="90" t="s">
        <v>14</v>
      </c>
      <c r="G142" s="3">
        <v>0.78415300526789888</v>
      </c>
      <c r="H142" s="91">
        <v>6.9029122340955968</v>
      </c>
      <c r="I142" s="3">
        <f t="shared" si="4"/>
        <v>0.1</v>
      </c>
      <c r="J142" s="89">
        <v>118333.12622004077</v>
      </c>
      <c r="K142" s="89">
        <f t="shared" si="5"/>
        <v>17142.493227069761</v>
      </c>
    </row>
    <row r="143" spans="1:11" ht="15" thickBot="1">
      <c r="A143" s="1">
        <v>3507300</v>
      </c>
      <c r="B143" s="2" t="s">
        <v>172</v>
      </c>
      <c r="C143" s="2" t="s">
        <v>131</v>
      </c>
      <c r="D143" s="2" t="s">
        <v>38</v>
      </c>
      <c r="E143" s="70">
        <v>7.4999999999999997E-2</v>
      </c>
      <c r="F143" s="90" t="s">
        <v>14</v>
      </c>
      <c r="G143" s="3">
        <v>0.64465408805031443</v>
      </c>
      <c r="H143" s="91">
        <v>14.74678863370961</v>
      </c>
      <c r="I143" s="3">
        <f t="shared" si="4"/>
        <v>0.1</v>
      </c>
      <c r="J143" s="89">
        <v>252796.72427439631</v>
      </c>
      <c r="K143" s="89">
        <f t="shared" si="5"/>
        <v>17142.493227069761</v>
      </c>
    </row>
    <row r="144" spans="1:11" ht="15" thickBot="1">
      <c r="A144" s="1">
        <v>7940300</v>
      </c>
      <c r="B144" s="2" t="s">
        <v>173</v>
      </c>
      <c r="C144" s="2" t="s">
        <v>16</v>
      </c>
      <c r="D144" s="2" t="s">
        <v>17</v>
      </c>
      <c r="E144" s="70">
        <v>7.4999999999999997E-2</v>
      </c>
      <c r="F144" s="90" t="s">
        <v>14</v>
      </c>
      <c r="G144" s="3">
        <v>0.25581926061159288</v>
      </c>
      <c r="H144" s="91">
        <v>7.4455227541972313</v>
      </c>
      <c r="I144" s="3">
        <f t="shared" si="4"/>
        <v>0</v>
      </c>
      <c r="J144" s="89">
        <v>0</v>
      </c>
      <c r="K144" s="89">
        <f t="shared" si="5"/>
        <v>0</v>
      </c>
    </row>
    <row r="145" spans="1:11" ht="15" thickBot="1">
      <c r="A145" s="1">
        <v>6164300</v>
      </c>
      <c r="B145" s="2" t="s">
        <v>174</v>
      </c>
      <c r="C145" s="2" t="s">
        <v>23</v>
      </c>
      <c r="D145" s="2" t="s">
        <v>13</v>
      </c>
      <c r="E145" s="71">
        <v>7.3999999999999996E-2</v>
      </c>
      <c r="F145" s="90" t="s">
        <v>14</v>
      </c>
      <c r="G145" s="3">
        <v>0.23936201175854241</v>
      </c>
      <c r="H145" s="91">
        <v>18.632276442903144</v>
      </c>
      <c r="I145" s="3">
        <f t="shared" si="4"/>
        <v>0</v>
      </c>
      <c r="J145" s="89">
        <v>0</v>
      </c>
      <c r="K145" s="89">
        <f t="shared" si="5"/>
        <v>0</v>
      </c>
    </row>
    <row r="146" spans="1:11" ht="15" thickBot="1">
      <c r="A146" s="11">
        <v>5243500</v>
      </c>
      <c r="B146" s="12" t="s">
        <v>175</v>
      </c>
      <c r="C146" s="2" t="s">
        <v>70</v>
      </c>
      <c r="D146" s="2" t="s">
        <v>17</v>
      </c>
      <c r="E146" s="72">
        <v>7.3999999999999996E-2</v>
      </c>
      <c r="F146" s="90" t="s">
        <v>14</v>
      </c>
      <c r="G146" s="3">
        <v>0.12487257900101936</v>
      </c>
      <c r="H146" s="91">
        <v>13.451626030645102</v>
      </c>
      <c r="I146" s="3">
        <f t="shared" si="4"/>
        <v>0</v>
      </c>
      <c r="J146" s="89">
        <v>0</v>
      </c>
      <c r="K146" s="89">
        <f t="shared" si="5"/>
        <v>0</v>
      </c>
    </row>
    <row r="147" spans="1:11" ht="15" thickBot="1">
      <c r="A147" s="1">
        <v>7830300</v>
      </c>
      <c r="B147" s="2" t="s">
        <v>176</v>
      </c>
      <c r="C147" s="2" t="s">
        <v>49</v>
      </c>
      <c r="D147" s="2" t="s">
        <v>13</v>
      </c>
      <c r="E147" s="71">
        <v>7.2999999999999995E-2</v>
      </c>
      <c r="F147" s="90" t="s">
        <v>14</v>
      </c>
      <c r="G147" s="3">
        <v>0.2575554063129617</v>
      </c>
      <c r="H147" s="91">
        <v>7.1645087175559734</v>
      </c>
      <c r="I147" s="3">
        <f t="shared" si="4"/>
        <v>0</v>
      </c>
      <c r="J147" s="89">
        <v>0</v>
      </c>
      <c r="K147" s="89">
        <f t="shared" si="5"/>
        <v>0</v>
      </c>
    </row>
    <row r="148" spans="1:11" ht="15" thickBot="1">
      <c r="A148" s="1">
        <v>8040300</v>
      </c>
      <c r="B148" s="2" t="s">
        <v>177</v>
      </c>
      <c r="C148" s="2" t="s">
        <v>23</v>
      </c>
      <c r="D148" s="2" t="s">
        <v>13</v>
      </c>
      <c r="E148" s="71">
        <v>7.1999999999999995E-2</v>
      </c>
      <c r="F148" s="90" t="s">
        <v>14</v>
      </c>
      <c r="G148" s="3">
        <v>0.26429877252546358</v>
      </c>
      <c r="H148" s="91">
        <v>6.4451278614764203</v>
      </c>
      <c r="I148" s="3">
        <f t="shared" si="4"/>
        <v>0</v>
      </c>
      <c r="J148" s="89">
        <v>0</v>
      </c>
      <c r="K148" s="89">
        <f t="shared" si="5"/>
        <v>0</v>
      </c>
    </row>
    <row r="149" spans="1:11" ht="15" thickBot="1">
      <c r="A149" s="1">
        <v>7049900</v>
      </c>
      <c r="B149" s="2" t="s">
        <v>178</v>
      </c>
      <c r="C149" s="2" t="s">
        <v>12</v>
      </c>
      <c r="D149" s="2" t="s">
        <v>13</v>
      </c>
      <c r="E149" s="71">
        <v>7.1999999999999995E-2</v>
      </c>
      <c r="F149" s="90" t="s">
        <v>14</v>
      </c>
      <c r="G149" s="3">
        <v>0.17384013415315819</v>
      </c>
      <c r="H149" s="91">
        <v>10.135382387784652</v>
      </c>
      <c r="I149" s="3">
        <f t="shared" si="4"/>
        <v>0</v>
      </c>
      <c r="J149" s="89">
        <v>0</v>
      </c>
      <c r="K149" s="89">
        <f t="shared" si="5"/>
        <v>0</v>
      </c>
    </row>
    <row r="150" spans="1:11" ht="15" thickBot="1">
      <c r="A150" s="18">
        <v>6927100</v>
      </c>
      <c r="B150" s="19" t="s">
        <v>179</v>
      </c>
      <c r="C150" s="2" t="s">
        <v>42</v>
      </c>
      <c r="D150" s="2" t="s">
        <v>13</v>
      </c>
      <c r="E150" s="72">
        <v>7.0999999999999994E-2</v>
      </c>
      <c r="F150" s="90" t="s">
        <v>14</v>
      </c>
      <c r="G150" s="3">
        <v>0.76012269938650312</v>
      </c>
      <c r="H150" s="91">
        <v>13.451626030645102</v>
      </c>
      <c r="I150" s="3">
        <f t="shared" si="4"/>
        <v>0.1</v>
      </c>
      <c r="J150" s="89">
        <v>230594.40812340897</v>
      </c>
      <c r="K150" s="89">
        <f t="shared" si="5"/>
        <v>17142.493227069761</v>
      </c>
    </row>
    <row r="151" spans="1:11" ht="15" thickBot="1">
      <c r="A151" s="1">
        <v>8100300</v>
      </c>
      <c r="B151" s="2" t="s">
        <v>180</v>
      </c>
      <c r="C151" s="2" t="s">
        <v>45</v>
      </c>
      <c r="D151" s="2" t="s">
        <v>38</v>
      </c>
      <c r="E151" s="71">
        <v>7.0999999999999994E-2</v>
      </c>
      <c r="F151" s="90" t="s">
        <v>14</v>
      </c>
      <c r="G151" s="3">
        <v>0.33818551117129314</v>
      </c>
      <c r="H151" s="91">
        <v>6.9029122340955977</v>
      </c>
      <c r="I151" s="3">
        <f t="shared" si="4"/>
        <v>0</v>
      </c>
      <c r="J151" s="89">
        <v>0</v>
      </c>
      <c r="K151" s="89">
        <f t="shared" si="5"/>
        <v>0</v>
      </c>
    </row>
    <row r="152" spans="1:11" ht="15" thickBot="1">
      <c r="A152" s="1">
        <v>7915300</v>
      </c>
      <c r="B152" s="2" t="s">
        <v>181</v>
      </c>
      <c r="C152" s="2" t="s">
        <v>42</v>
      </c>
      <c r="D152" s="2" t="s">
        <v>13</v>
      </c>
      <c r="E152" s="71">
        <v>7.0999999999999994E-2</v>
      </c>
      <c r="F152" s="90" t="s">
        <v>14</v>
      </c>
      <c r="G152" s="3">
        <v>0.33648255813953487</v>
      </c>
      <c r="H152" s="91">
        <v>14.74678863370961</v>
      </c>
      <c r="I152" s="3">
        <f t="shared" si="4"/>
        <v>0</v>
      </c>
      <c r="J152" s="89">
        <v>0</v>
      </c>
      <c r="K152" s="89">
        <f t="shared" si="5"/>
        <v>0</v>
      </c>
    </row>
    <row r="153" spans="1:11" ht="15" thickBot="1">
      <c r="A153" s="1">
        <v>8195300</v>
      </c>
      <c r="B153" s="2" t="s">
        <v>182</v>
      </c>
      <c r="C153" s="2" t="s">
        <v>70</v>
      </c>
      <c r="D153" s="2" t="s">
        <v>17</v>
      </c>
      <c r="E153" s="71">
        <v>7.0999999999999994E-2</v>
      </c>
      <c r="F153" s="90" t="s">
        <v>14</v>
      </c>
      <c r="G153" s="3">
        <v>0.29704603362089127</v>
      </c>
      <c r="H153" s="91">
        <v>8.4881332742988693</v>
      </c>
      <c r="I153" s="3">
        <f t="shared" si="4"/>
        <v>0</v>
      </c>
      <c r="J153" s="89">
        <v>0</v>
      </c>
      <c r="K153" s="89">
        <f t="shared" si="5"/>
        <v>0</v>
      </c>
    </row>
    <row r="154" spans="1:11" ht="15" thickBot="1">
      <c r="A154" s="1">
        <v>8240300</v>
      </c>
      <c r="B154" s="2" t="s">
        <v>183</v>
      </c>
      <c r="C154" s="2" t="s">
        <v>16</v>
      </c>
      <c r="D154" s="2" t="s">
        <v>17</v>
      </c>
      <c r="E154" s="71">
        <v>7.0999999999999994E-2</v>
      </c>
      <c r="F154" s="90" t="s">
        <v>14</v>
      </c>
      <c r="G154" s="3">
        <v>0.28117553613979351</v>
      </c>
      <c r="H154" s="91">
        <v>6.1316069740447787</v>
      </c>
      <c r="I154" s="3">
        <f t="shared" si="4"/>
        <v>0</v>
      </c>
      <c r="J154" s="89">
        <v>0</v>
      </c>
      <c r="K154" s="89">
        <f t="shared" si="5"/>
        <v>0</v>
      </c>
    </row>
    <row r="155" spans="1:11" ht="15" thickBot="1">
      <c r="A155" s="1">
        <v>8200300</v>
      </c>
      <c r="B155" s="2" t="s">
        <v>184</v>
      </c>
      <c r="C155" s="2" t="s">
        <v>70</v>
      </c>
      <c r="D155" s="2" t="s">
        <v>17</v>
      </c>
      <c r="E155" s="71">
        <v>7.0999999999999994E-2</v>
      </c>
      <c r="F155" s="90" t="s">
        <v>14</v>
      </c>
      <c r="G155" s="3">
        <v>6.3336475023562683E-2</v>
      </c>
      <c r="H155" s="91">
        <v>6.5695789007622629</v>
      </c>
      <c r="I155" s="3">
        <f t="shared" si="4"/>
        <v>0</v>
      </c>
      <c r="J155" s="89">
        <v>0</v>
      </c>
      <c r="K155" s="89">
        <f t="shared" si="5"/>
        <v>0</v>
      </c>
    </row>
    <row r="156" spans="1:11" ht="15" thickBot="1">
      <c r="A156" s="1">
        <v>6169600</v>
      </c>
      <c r="B156" s="2" t="s">
        <v>185</v>
      </c>
      <c r="C156" s="2" t="s">
        <v>12</v>
      </c>
      <c r="D156" s="2" t="s">
        <v>13</v>
      </c>
      <c r="E156" s="71">
        <v>7.0000000000000007E-2</v>
      </c>
      <c r="F156" s="90" t="s">
        <v>14</v>
      </c>
      <c r="G156" s="3">
        <v>0.23976069949378739</v>
      </c>
      <c r="H156" s="91">
        <v>7.8834946809147155</v>
      </c>
      <c r="I156" s="3">
        <f t="shared" si="4"/>
        <v>0</v>
      </c>
      <c r="J156" s="89">
        <v>0</v>
      </c>
      <c r="K156" s="89">
        <f t="shared" si="5"/>
        <v>0</v>
      </c>
    </row>
    <row r="157" spans="1:11" ht="15" thickBot="1">
      <c r="A157" s="1">
        <v>7905300</v>
      </c>
      <c r="B157" s="2" t="s">
        <v>186</v>
      </c>
      <c r="C157" s="2" t="s">
        <v>72</v>
      </c>
      <c r="D157" s="2" t="s">
        <v>13</v>
      </c>
      <c r="E157" s="71">
        <v>7.0000000000000007E-2</v>
      </c>
      <c r="F157" s="90" t="s">
        <v>14</v>
      </c>
      <c r="G157" s="3">
        <v>0.23679349833764315</v>
      </c>
      <c r="H157" s="91">
        <v>7.9455227541972313</v>
      </c>
      <c r="I157" s="3">
        <f t="shared" si="4"/>
        <v>0</v>
      </c>
      <c r="J157" s="89">
        <v>0</v>
      </c>
      <c r="K157" s="89">
        <f t="shared" si="5"/>
        <v>0</v>
      </c>
    </row>
    <row r="158" spans="1:11" ht="15" thickBot="1">
      <c r="A158" s="1">
        <v>2972900</v>
      </c>
      <c r="B158" s="2" t="s">
        <v>187</v>
      </c>
      <c r="C158" s="2" t="s">
        <v>45</v>
      </c>
      <c r="D158" s="2" t="s">
        <v>38</v>
      </c>
      <c r="E158" s="73">
        <v>6.9000000000000006E-2</v>
      </c>
      <c r="F158" s="90" t="s">
        <v>14</v>
      </c>
      <c r="G158" s="3">
        <v>0.36334012219959266</v>
      </c>
      <c r="H158" s="91">
        <v>11.656463427580594</v>
      </c>
      <c r="I158" s="3">
        <f t="shared" si="4"/>
        <v>0.01</v>
      </c>
      <c r="J158" s="89">
        <v>19982.084535888669</v>
      </c>
      <c r="K158" s="89">
        <f t="shared" si="5"/>
        <v>1714.249322706976</v>
      </c>
    </row>
    <row r="159" spans="1:11" ht="15" thickBot="1">
      <c r="A159" s="1">
        <v>7725300</v>
      </c>
      <c r="B159" s="2" t="s">
        <v>188</v>
      </c>
      <c r="C159" s="2" t="s">
        <v>45</v>
      </c>
      <c r="D159" s="2" t="s">
        <v>38</v>
      </c>
      <c r="E159" s="73">
        <v>6.9000000000000006E-2</v>
      </c>
      <c r="F159" s="90" t="s">
        <v>14</v>
      </c>
      <c r="G159" s="3">
        <v>0.31929970821175491</v>
      </c>
      <c r="H159" s="91">
        <v>6.5695789007622629</v>
      </c>
      <c r="I159" s="3">
        <f t="shared" si="4"/>
        <v>0</v>
      </c>
      <c r="J159" s="89">
        <v>0</v>
      </c>
      <c r="K159" s="89">
        <f t="shared" si="5"/>
        <v>0</v>
      </c>
    </row>
    <row r="160" spans="1:11" ht="15" thickBot="1">
      <c r="A160" s="1">
        <v>4853000</v>
      </c>
      <c r="B160" s="2" t="s">
        <v>189</v>
      </c>
      <c r="C160" s="2" t="s">
        <v>25</v>
      </c>
      <c r="D160" s="2" t="s">
        <v>17</v>
      </c>
      <c r="E160" s="73">
        <v>6.9000000000000006E-2</v>
      </c>
      <c r="F160" s="90" t="s">
        <v>14</v>
      </c>
      <c r="G160" s="3">
        <v>0.12118736383442266</v>
      </c>
      <c r="H160" s="91">
        <v>6.1316069740447787</v>
      </c>
      <c r="I160" s="3">
        <f t="shared" si="4"/>
        <v>0</v>
      </c>
      <c r="J160" s="89">
        <v>0</v>
      </c>
      <c r="K160" s="89">
        <f t="shared" si="5"/>
        <v>0</v>
      </c>
    </row>
    <row r="161" spans="1:11" ht="15" thickBot="1">
      <c r="A161" s="1">
        <v>3461500</v>
      </c>
      <c r="B161" s="2" t="s">
        <v>190</v>
      </c>
      <c r="C161" s="2" t="s">
        <v>94</v>
      </c>
      <c r="D161" s="2" t="s">
        <v>38</v>
      </c>
      <c r="E161" s="73">
        <v>6.8000000000000005E-2</v>
      </c>
      <c r="F161" s="90" t="s">
        <v>14</v>
      </c>
      <c r="G161" s="3">
        <v>0.50087565674255696</v>
      </c>
      <c r="H161" s="91">
        <v>6.1316069740447787</v>
      </c>
      <c r="I161" s="3">
        <f t="shared" si="4"/>
        <v>0.1</v>
      </c>
      <c r="J161" s="89">
        <v>105111.03102361634</v>
      </c>
      <c r="K161" s="89">
        <f t="shared" si="5"/>
        <v>17142.493227069761</v>
      </c>
    </row>
    <row r="162" spans="1:11" ht="15" thickBot="1">
      <c r="A162" s="1">
        <v>6834500</v>
      </c>
      <c r="B162" s="2" t="s">
        <v>191</v>
      </c>
      <c r="C162" s="2" t="s">
        <v>72</v>
      </c>
      <c r="D162" s="2" t="s">
        <v>13</v>
      </c>
      <c r="E162" s="73">
        <v>6.8000000000000005E-2</v>
      </c>
      <c r="F162" s="90" t="s">
        <v>14</v>
      </c>
      <c r="G162" s="3">
        <v>0.31953716065865601</v>
      </c>
      <c r="H162" s="91">
        <v>13.451626030645102</v>
      </c>
      <c r="I162" s="3">
        <f t="shared" si="4"/>
        <v>0</v>
      </c>
      <c r="J162" s="89">
        <v>0</v>
      </c>
      <c r="K162" s="89">
        <f t="shared" si="5"/>
        <v>0</v>
      </c>
    </row>
    <row r="163" spans="1:11" ht="15" thickBot="1">
      <c r="A163" s="1">
        <v>2958900</v>
      </c>
      <c r="B163" s="2" t="s">
        <v>192</v>
      </c>
      <c r="C163" s="2" t="s">
        <v>131</v>
      </c>
      <c r="D163" s="2" t="s">
        <v>38</v>
      </c>
      <c r="E163" s="73">
        <v>6.7000000000000004E-2</v>
      </c>
      <c r="F163" s="90" t="s">
        <v>14</v>
      </c>
      <c r="G163" s="3">
        <v>0.17902399568616878</v>
      </c>
      <c r="H163" s="91">
        <v>10.361300824516082</v>
      </c>
      <c r="I163" s="3">
        <f t="shared" si="4"/>
        <v>0</v>
      </c>
      <c r="J163" s="89">
        <v>0</v>
      </c>
      <c r="K163" s="89">
        <f t="shared" si="5"/>
        <v>0</v>
      </c>
    </row>
    <row r="164" spans="1:11" ht="15" thickBot="1">
      <c r="A164" s="1">
        <v>6271300</v>
      </c>
      <c r="B164" s="2" t="s">
        <v>193</v>
      </c>
      <c r="C164" s="2" t="s">
        <v>37</v>
      </c>
      <c r="D164" s="2" t="s">
        <v>38</v>
      </c>
      <c r="E164" s="73">
        <v>6.6000000000000003E-2</v>
      </c>
      <c r="F164" s="90" t="s">
        <v>14</v>
      </c>
      <c r="G164" s="3">
        <v>0.92127921279212788</v>
      </c>
      <c r="H164" s="91">
        <v>5.5056631206098103</v>
      </c>
      <c r="I164" s="3">
        <f t="shared" si="4"/>
        <v>0.1</v>
      </c>
      <c r="J164" s="89">
        <v>94380.792755581439</v>
      </c>
      <c r="K164" s="89">
        <f t="shared" si="5"/>
        <v>17142.493227069761</v>
      </c>
    </row>
    <row r="165" spans="1:11" ht="15" thickBot="1">
      <c r="A165" s="1">
        <v>2981300</v>
      </c>
      <c r="B165" s="2" t="s">
        <v>194</v>
      </c>
      <c r="C165" s="2" t="s">
        <v>37</v>
      </c>
      <c r="D165" s="2" t="s">
        <v>38</v>
      </c>
      <c r="E165" s="73">
        <v>6.6000000000000003E-2</v>
      </c>
      <c r="F165" s="90" t="s">
        <v>14</v>
      </c>
      <c r="G165" s="3">
        <v>0.60155781905332539</v>
      </c>
      <c r="H165" s="91">
        <v>6.1316069740447787</v>
      </c>
      <c r="I165" s="3">
        <f t="shared" si="4"/>
        <v>0.1</v>
      </c>
      <c r="J165" s="89">
        <v>105111.03102361634</v>
      </c>
      <c r="K165" s="89">
        <f t="shared" si="5"/>
        <v>17142.493227069761</v>
      </c>
    </row>
    <row r="166" spans="1:11" ht="15" thickBot="1">
      <c r="A166" s="1">
        <v>7773300</v>
      </c>
      <c r="B166" s="2" t="s">
        <v>195</v>
      </c>
      <c r="C166" s="2" t="s">
        <v>131</v>
      </c>
      <c r="D166" s="2" t="s">
        <v>38</v>
      </c>
      <c r="E166" s="73">
        <v>6.6000000000000003E-2</v>
      </c>
      <c r="F166" s="90" t="s">
        <v>14</v>
      </c>
      <c r="G166" s="3">
        <v>0.22124099465489194</v>
      </c>
      <c r="H166" s="91">
        <v>10.573354314502136</v>
      </c>
      <c r="I166" s="3">
        <f t="shared" si="4"/>
        <v>0</v>
      </c>
      <c r="J166" s="89">
        <v>0</v>
      </c>
      <c r="K166" s="89">
        <f t="shared" si="5"/>
        <v>0</v>
      </c>
    </row>
    <row r="167" spans="1:11" ht="15" thickBot="1">
      <c r="A167" s="1">
        <v>2955600</v>
      </c>
      <c r="B167" s="2" t="s">
        <v>196</v>
      </c>
      <c r="C167" s="2" t="s">
        <v>61</v>
      </c>
      <c r="D167" s="2" t="s">
        <v>38</v>
      </c>
      <c r="E167" s="73">
        <v>6.5000000000000002E-2</v>
      </c>
      <c r="F167" s="90" t="s">
        <v>14</v>
      </c>
      <c r="G167" s="3">
        <v>0.23462783171521034</v>
      </c>
      <c r="H167" s="91">
        <v>10.135382387784652</v>
      </c>
      <c r="I167" s="3">
        <f t="shared" si="4"/>
        <v>0</v>
      </c>
      <c r="J167" s="89">
        <v>0</v>
      </c>
      <c r="K167" s="89">
        <f t="shared" si="5"/>
        <v>0</v>
      </c>
    </row>
    <row r="168" spans="1:11" ht="15" thickBot="1">
      <c r="A168" s="1">
        <v>3460400</v>
      </c>
      <c r="B168" s="2" t="s">
        <v>197</v>
      </c>
      <c r="C168" s="2" t="s">
        <v>61</v>
      </c>
      <c r="D168" s="2" t="s">
        <v>38</v>
      </c>
      <c r="E168" s="73">
        <v>6.5000000000000002E-2</v>
      </c>
      <c r="F168" s="90" t="s">
        <v>14</v>
      </c>
      <c r="G168" s="3">
        <v>0.20308575529242914</v>
      </c>
      <c r="H168" s="91">
        <v>6.4649403073781126</v>
      </c>
      <c r="I168" s="3">
        <f t="shared" si="4"/>
        <v>0</v>
      </c>
      <c r="J168" s="89">
        <v>0</v>
      </c>
      <c r="K168" s="89">
        <f t="shared" si="5"/>
        <v>0</v>
      </c>
    </row>
    <row r="169" spans="1:11" ht="15" thickBot="1">
      <c r="A169" s="1">
        <v>5942400</v>
      </c>
      <c r="B169" s="2" t="s">
        <v>198</v>
      </c>
      <c r="C169" s="2" t="s">
        <v>63</v>
      </c>
      <c r="D169" s="2" t="s">
        <v>13</v>
      </c>
      <c r="E169" s="73">
        <v>6.5000000000000002E-2</v>
      </c>
      <c r="F169" s="90" t="s">
        <v>14</v>
      </c>
      <c r="G169" s="3">
        <v>0.16899034778611921</v>
      </c>
      <c r="H169" s="91">
        <v>7.8834946809147155</v>
      </c>
      <c r="I169" s="3">
        <f t="shared" si="4"/>
        <v>0</v>
      </c>
      <c r="J169" s="89">
        <v>0</v>
      </c>
      <c r="K169" s="89">
        <f t="shared" si="5"/>
        <v>0</v>
      </c>
    </row>
    <row r="170" spans="1:11" ht="15" thickBot="1">
      <c r="A170" s="1">
        <v>5037400</v>
      </c>
      <c r="B170" s="2" t="s">
        <v>199</v>
      </c>
      <c r="C170" s="2" t="s">
        <v>25</v>
      </c>
      <c r="D170" s="2" t="s">
        <v>17</v>
      </c>
      <c r="E170" s="73">
        <v>6.5000000000000002E-2</v>
      </c>
      <c r="F170" s="90" t="s">
        <v>14</v>
      </c>
      <c r="G170" s="3">
        <v>0.14486251808972503</v>
      </c>
      <c r="H170" s="91">
        <v>8.0501613475813816</v>
      </c>
      <c r="I170" s="3">
        <f t="shared" si="4"/>
        <v>0</v>
      </c>
      <c r="J170" s="89">
        <v>0</v>
      </c>
      <c r="K170" s="89">
        <f t="shared" si="5"/>
        <v>0</v>
      </c>
    </row>
    <row r="171" spans="1:11" ht="15" thickBot="1">
      <c r="A171" s="1">
        <v>7753300</v>
      </c>
      <c r="B171" s="2" t="s">
        <v>200</v>
      </c>
      <c r="C171" s="2" t="s">
        <v>131</v>
      </c>
      <c r="D171" s="2" t="s">
        <v>38</v>
      </c>
      <c r="E171" s="73">
        <v>6.5000000000000002E-2</v>
      </c>
      <c r="F171" s="90" t="s">
        <v>14</v>
      </c>
      <c r="G171" s="3">
        <v>0.11499081123654502</v>
      </c>
      <c r="H171" s="91">
        <v>10.135382387784652</v>
      </c>
      <c r="I171" s="3">
        <f t="shared" si="4"/>
        <v>0</v>
      </c>
      <c r="J171" s="89">
        <v>0</v>
      </c>
      <c r="K171" s="89">
        <f t="shared" si="5"/>
        <v>0</v>
      </c>
    </row>
    <row r="172" spans="1:11" ht="15" thickBot="1">
      <c r="A172" s="1">
        <v>6931500</v>
      </c>
      <c r="B172" s="2" t="s">
        <v>201</v>
      </c>
      <c r="C172" s="2" t="s">
        <v>42</v>
      </c>
      <c r="D172" s="2" t="s">
        <v>13</v>
      </c>
      <c r="E172" s="74">
        <v>6.4000000000000001E-2</v>
      </c>
      <c r="F172" s="90" t="s">
        <v>14</v>
      </c>
      <c r="G172" s="3">
        <v>0.7064258714825703</v>
      </c>
      <c r="H172" s="91">
        <v>6.5695789007622629</v>
      </c>
      <c r="I172" s="3">
        <f t="shared" si="4"/>
        <v>0.1</v>
      </c>
      <c r="J172" s="89">
        <v>112618.96181101749</v>
      </c>
      <c r="K172" s="89">
        <f t="shared" si="5"/>
        <v>17142.493227069761</v>
      </c>
    </row>
    <row r="173" spans="1:11" ht="15" thickBot="1">
      <c r="A173" s="1">
        <v>6163300</v>
      </c>
      <c r="B173" s="2" t="s">
        <v>202</v>
      </c>
      <c r="C173" s="2" t="s">
        <v>23</v>
      </c>
      <c r="D173" s="2" t="s">
        <v>13</v>
      </c>
      <c r="E173" s="74">
        <v>6.4000000000000001E-2</v>
      </c>
      <c r="F173" s="90" t="s">
        <v>14</v>
      </c>
      <c r="G173" s="3">
        <v>0.41439529949404275</v>
      </c>
      <c r="H173" s="91">
        <v>18.632276442903144</v>
      </c>
      <c r="I173" s="3">
        <f t="shared" si="4"/>
        <v>0.06</v>
      </c>
      <c r="J173" s="89">
        <v>191642.20363641516</v>
      </c>
      <c r="K173" s="89">
        <f t="shared" si="5"/>
        <v>10285.495936241856</v>
      </c>
    </row>
    <row r="174" spans="1:11" ht="15" thickBot="1">
      <c r="A174" s="1">
        <v>5028900</v>
      </c>
      <c r="B174" s="2" t="s">
        <v>203</v>
      </c>
      <c r="C174" s="2" t="s">
        <v>70</v>
      </c>
      <c r="D174" s="2" t="s">
        <v>17</v>
      </c>
      <c r="E174" s="74">
        <v>6.4000000000000001E-2</v>
      </c>
      <c r="F174" s="90" t="s">
        <v>14</v>
      </c>
      <c r="G174" s="3">
        <v>0.29808917197452228</v>
      </c>
      <c r="H174" s="91">
        <v>5.2556631206098103</v>
      </c>
      <c r="I174" s="3">
        <f t="shared" si="4"/>
        <v>0</v>
      </c>
      <c r="J174" s="89">
        <v>0</v>
      </c>
      <c r="K174" s="89">
        <f t="shared" si="5"/>
        <v>0</v>
      </c>
    </row>
    <row r="175" spans="1:11" ht="15" thickBot="1">
      <c r="A175" s="1">
        <v>7336800</v>
      </c>
      <c r="B175" s="2" t="s">
        <v>204</v>
      </c>
      <c r="C175" s="2" t="s">
        <v>42</v>
      </c>
      <c r="D175" s="2" t="s">
        <v>13</v>
      </c>
      <c r="E175" s="74">
        <v>6.4000000000000001E-2</v>
      </c>
      <c r="F175" s="90" t="s">
        <v>14</v>
      </c>
      <c r="G175" s="3">
        <v>8.1299131154323537E-2</v>
      </c>
      <c r="H175" s="91">
        <v>11.656463427580594</v>
      </c>
      <c r="I175" s="3">
        <f t="shared" si="4"/>
        <v>0</v>
      </c>
      <c r="J175" s="89">
        <v>0</v>
      </c>
      <c r="K175" s="89">
        <f t="shared" si="5"/>
        <v>0</v>
      </c>
    </row>
    <row r="176" spans="1:11" ht="15" thickBot="1">
      <c r="A176" s="1">
        <v>4277700</v>
      </c>
      <c r="B176" s="2" t="s">
        <v>205</v>
      </c>
      <c r="C176" s="2" t="s">
        <v>87</v>
      </c>
      <c r="D176" s="2" t="s">
        <v>17</v>
      </c>
      <c r="E176" s="74">
        <v>6.4000000000000001E-2</v>
      </c>
      <c r="F176" s="90" t="s">
        <v>14</v>
      </c>
      <c r="G176" s="3">
        <v>6.7425569176882666E-2</v>
      </c>
      <c r="H176" s="91">
        <v>6.5695789007622629</v>
      </c>
      <c r="I176" s="3">
        <f t="shared" si="4"/>
        <v>0</v>
      </c>
      <c r="J176" s="89">
        <v>0</v>
      </c>
      <c r="K176" s="89">
        <f t="shared" si="5"/>
        <v>0</v>
      </c>
    </row>
    <row r="177" spans="1:11" ht="15" thickBot="1">
      <c r="A177" s="1">
        <v>2950400</v>
      </c>
      <c r="B177" s="2" t="s">
        <v>206</v>
      </c>
      <c r="C177" s="2" t="s">
        <v>94</v>
      </c>
      <c r="D177" s="2" t="s">
        <v>38</v>
      </c>
      <c r="E177" s="74">
        <v>6.4000000000000001E-2</v>
      </c>
      <c r="F177" s="90" t="s">
        <v>14</v>
      </c>
      <c r="G177" s="3">
        <v>6.4485538169748696E-2</v>
      </c>
      <c r="H177" s="91">
        <v>6.2982736407114448</v>
      </c>
      <c r="I177" s="3">
        <f t="shared" si="4"/>
        <v>0</v>
      </c>
      <c r="J177" s="89">
        <v>0</v>
      </c>
      <c r="K177" s="89">
        <f t="shared" si="5"/>
        <v>0</v>
      </c>
    </row>
    <row r="178" spans="1:11" ht="15" thickBot="1">
      <c r="A178" s="1">
        <v>7229100</v>
      </c>
      <c r="B178" s="2" t="s">
        <v>207</v>
      </c>
      <c r="C178" s="2" t="s">
        <v>72</v>
      </c>
      <c r="D178" s="2" t="s">
        <v>13</v>
      </c>
      <c r="E178" s="74">
        <v>6.3E-2</v>
      </c>
      <c r="F178" s="90" t="s">
        <v>14</v>
      </c>
      <c r="G178" s="3">
        <v>0.21037222919280635</v>
      </c>
      <c r="H178" s="91">
        <v>7.0075508274797471</v>
      </c>
      <c r="I178" s="3">
        <f t="shared" si="4"/>
        <v>0</v>
      </c>
      <c r="J178" s="89">
        <v>0</v>
      </c>
      <c r="K178" s="89">
        <f t="shared" si="5"/>
        <v>0</v>
      </c>
    </row>
    <row r="179" spans="1:11" ht="15" thickBot="1">
      <c r="A179" s="1">
        <v>7789300</v>
      </c>
      <c r="B179" s="2" t="s">
        <v>208</v>
      </c>
      <c r="C179" s="2" t="s">
        <v>94</v>
      </c>
      <c r="D179" s="2" t="s">
        <v>38</v>
      </c>
      <c r="E179" s="74">
        <v>6.3E-2</v>
      </c>
      <c r="F179" s="90" t="s">
        <v>14</v>
      </c>
      <c r="G179" s="3">
        <v>0.13281715306730196</v>
      </c>
      <c r="H179" s="91">
        <v>7.9455227541972313</v>
      </c>
      <c r="I179" s="3">
        <f t="shared" si="4"/>
        <v>0</v>
      </c>
      <c r="J179" s="89">
        <v>0</v>
      </c>
      <c r="K179" s="89">
        <f t="shared" si="5"/>
        <v>0</v>
      </c>
    </row>
    <row r="180" spans="1:11" ht="15" thickBot="1">
      <c r="A180" s="11">
        <v>5040700</v>
      </c>
      <c r="B180" s="12" t="s">
        <v>209</v>
      </c>
      <c r="C180" s="2" t="s">
        <v>87</v>
      </c>
      <c r="D180" s="2" t="s">
        <v>17</v>
      </c>
      <c r="E180" s="118">
        <v>6.3E-2</v>
      </c>
      <c r="F180" s="90" t="s">
        <v>14</v>
      </c>
      <c r="G180" s="3">
        <v>6.4672594987873894E-2</v>
      </c>
      <c r="H180" s="91">
        <v>6.1316069740447787</v>
      </c>
      <c r="I180" s="3">
        <f t="shared" si="4"/>
        <v>0</v>
      </c>
      <c r="J180" s="89">
        <v>0</v>
      </c>
      <c r="K180" s="89">
        <f t="shared" si="5"/>
        <v>0</v>
      </c>
    </row>
    <row r="181" spans="1:11" ht="15" thickBot="1">
      <c r="A181" s="1">
        <v>8085300</v>
      </c>
      <c r="B181" s="2" t="s">
        <v>210</v>
      </c>
      <c r="C181" s="2" t="s">
        <v>61</v>
      </c>
      <c r="D181" s="2" t="s">
        <v>38</v>
      </c>
      <c r="E181" s="75">
        <v>6.2E-2</v>
      </c>
      <c r="F181" s="90" t="s">
        <v>14</v>
      </c>
      <c r="G181" s="3">
        <v>0.17850838481906442</v>
      </c>
      <c r="H181" s="91">
        <v>13.451626030645102</v>
      </c>
      <c r="I181" s="3">
        <f t="shared" si="4"/>
        <v>0</v>
      </c>
      <c r="J181" s="89">
        <v>0</v>
      </c>
      <c r="K181" s="89">
        <f t="shared" si="5"/>
        <v>0</v>
      </c>
    </row>
    <row r="182" spans="1:11" ht="15" thickBot="1">
      <c r="A182" s="1">
        <v>6036100</v>
      </c>
      <c r="B182" s="2" t="s">
        <v>211</v>
      </c>
      <c r="C182" s="2" t="s">
        <v>63</v>
      </c>
      <c r="D182" s="2" t="s">
        <v>13</v>
      </c>
      <c r="E182" s="75">
        <v>6.2E-2</v>
      </c>
      <c r="F182" s="90" t="s">
        <v>14</v>
      </c>
      <c r="G182" s="3">
        <v>0.12350417698724221</v>
      </c>
      <c r="H182" s="91">
        <v>13.451626030645102</v>
      </c>
      <c r="I182" s="3">
        <f t="shared" si="4"/>
        <v>0</v>
      </c>
      <c r="J182" s="89">
        <v>0</v>
      </c>
      <c r="K182" s="89">
        <f t="shared" si="5"/>
        <v>0</v>
      </c>
    </row>
    <row r="183" spans="1:11" ht="15" thickBot="1">
      <c r="A183" s="1">
        <v>4250000</v>
      </c>
      <c r="B183" s="2" t="s">
        <v>212</v>
      </c>
      <c r="C183" s="2" t="s">
        <v>87</v>
      </c>
      <c r="D183" s="2" t="s">
        <v>17</v>
      </c>
      <c r="E183" s="75">
        <v>6.0999999999999999E-2</v>
      </c>
      <c r="F183" s="90" t="s">
        <v>14</v>
      </c>
      <c r="G183" s="3">
        <v>0.62152452358637922</v>
      </c>
      <c r="H183" s="91">
        <v>10.135382387784652</v>
      </c>
      <c r="I183" s="3">
        <f t="shared" si="4"/>
        <v>0.1</v>
      </c>
      <c r="J183" s="89">
        <v>173745.72393636053</v>
      </c>
      <c r="K183" s="89">
        <f t="shared" si="5"/>
        <v>17142.493227069761</v>
      </c>
    </row>
    <row r="184" spans="1:11" ht="15" thickBot="1">
      <c r="A184" s="1">
        <v>7247200</v>
      </c>
      <c r="B184" s="2" t="s">
        <v>213</v>
      </c>
      <c r="C184" s="2" t="s">
        <v>94</v>
      </c>
      <c r="D184" s="2" t="s">
        <v>38</v>
      </c>
      <c r="E184" s="75">
        <v>6.0999999999999999E-2</v>
      </c>
      <c r="F184" s="90" t="s">
        <v>14</v>
      </c>
      <c r="G184" s="3">
        <v>0.20935025490834147</v>
      </c>
      <c r="H184" s="91">
        <v>23.812926855161187</v>
      </c>
      <c r="I184" s="3">
        <f t="shared" si="4"/>
        <v>0</v>
      </c>
      <c r="J184" s="89">
        <v>0</v>
      </c>
      <c r="K184" s="89">
        <f t="shared" si="5"/>
        <v>0</v>
      </c>
    </row>
    <row r="185" spans="1:11" ht="15" thickBot="1">
      <c r="A185" s="1">
        <v>7860300</v>
      </c>
      <c r="B185" s="2" t="s">
        <v>214</v>
      </c>
      <c r="C185" s="2" t="s">
        <v>63</v>
      </c>
      <c r="D185" s="2" t="s">
        <v>13</v>
      </c>
      <c r="E185" s="75">
        <v>6.0999999999999999E-2</v>
      </c>
      <c r="F185" s="90" t="s">
        <v>14</v>
      </c>
      <c r="G185" s="3">
        <v>9.3536251709986321E-2</v>
      </c>
      <c r="H185" s="91">
        <v>10.135382387784652</v>
      </c>
      <c r="I185" s="3">
        <f t="shared" si="4"/>
        <v>0</v>
      </c>
      <c r="J185" s="89">
        <v>0</v>
      </c>
      <c r="K185" s="89">
        <f t="shared" si="5"/>
        <v>0</v>
      </c>
    </row>
    <row r="186" spans="1:11" ht="15" thickBot="1">
      <c r="A186" s="1">
        <v>5063200</v>
      </c>
      <c r="B186" s="2" t="s">
        <v>215</v>
      </c>
      <c r="C186" s="2" t="s">
        <v>87</v>
      </c>
      <c r="D186" s="2" t="s">
        <v>17</v>
      </c>
      <c r="E186" s="75">
        <v>0.06</v>
      </c>
      <c r="F186" s="90" t="s">
        <v>14</v>
      </c>
      <c r="G186" s="3">
        <v>0.43764909997831275</v>
      </c>
      <c r="H186" s="91">
        <v>9.2594385343496839</v>
      </c>
      <c r="I186" s="3">
        <f t="shared" si="4"/>
        <v>0.08</v>
      </c>
      <c r="J186" s="89">
        <v>126983.88988924657</v>
      </c>
      <c r="K186" s="89">
        <f t="shared" si="5"/>
        <v>13713.994581655808</v>
      </c>
    </row>
    <row r="187" spans="1:11" ht="15" thickBot="1">
      <c r="A187" s="1">
        <v>5860200</v>
      </c>
      <c r="B187" s="2" t="s">
        <v>216</v>
      </c>
      <c r="C187" s="2" t="s">
        <v>63</v>
      </c>
      <c r="D187" s="2" t="s">
        <v>13</v>
      </c>
      <c r="E187" s="75">
        <v>0.06</v>
      </c>
      <c r="F187" s="90" t="s">
        <v>14</v>
      </c>
      <c r="G187" s="3">
        <v>7.3068893528183715E-2</v>
      </c>
      <c r="H187" s="91">
        <v>8.3834946809147155</v>
      </c>
      <c r="I187" s="3">
        <f t="shared" si="4"/>
        <v>0</v>
      </c>
      <c r="J187" s="89">
        <v>0</v>
      </c>
      <c r="K187" s="89">
        <f t="shared" si="5"/>
        <v>0</v>
      </c>
    </row>
    <row r="188" spans="1:11" ht="15" thickBot="1">
      <c r="A188" s="1">
        <v>3533000</v>
      </c>
      <c r="B188" s="2" t="s">
        <v>217</v>
      </c>
      <c r="C188" s="2" t="s">
        <v>37</v>
      </c>
      <c r="D188" s="2" t="s">
        <v>38</v>
      </c>
      <c r="E188" s="76">
        <v>5.8999999999999997E-2</v>
      </c>
      <c r="F188" s="90" t="s">
        <v>14</v>
      </c>
      <c r="G188" s="3">
        <v>0.49945622620989666</v>
      </c>
      <c r="H188" s="91">
        <v>6.1316069740447787</v>
      </c>
      <c r="I188" s="3">
        <f t="shared" si="4"/>
        <v>0.1</v>
      </c>
      <c r="J188" s="89">
        <v>105111.03102361634</v>
      </c>
      <c r="K188" s="89">
        <f t="shared" si="5"/>
        <v>17142.493227069761</v>
      </c>
    </row>
    <row r="189" spans="1:11" ht="15" thickBot="1">
      <c r="A189" s="1">
        <v>3948000</v>
      </c>
      <c r="B189" s="2" t="s">
        <v>218</v>
      </c>
      <c r="C189" s="2" t="s">
        <v>70</v>
      </c>
      <c r="D189" s="2" t="s">
        <v>17</v>
      </c>
      <c r="E189" s="76">
        <v>5.8999999999999997E-2</v>
      </c>
      <c r="F189" s="90" t="s">
        <v>14</v>
      </c>
      <c r="G189" s="3">
        <v>0.19841993315101794</v>
      </c>
      <c r="H189" s="91">
        <v>9.1353823877846523</v>
      </c>
      <c r="I189" s="3">
        <f t="shared" si="4"/>
        <v>0</v>
      </c>
      <c r="J189" s="89">
        <v>0</v>
      </c>
      <c r="K189" s="89">
        <f t="shared" si="5"/>
        <v>0</v>
      </c>
    </row>
    <row r="190" spans="1:11" ht="15" thickBot="1">
      <c r="A190" s="1">
        <v>2934500</v>
      </c>
      <c r="B190" s="2" t="s">
        <v>219</v>
      </c>
      <c r="C190" s="2" t="s">
        <v>45</v>
      </c>
      <c r="D190" s="2" t="s">
        <v>38</v>
      </c>
      <c r="E190" s="76">
        <v>5.8000000000000003E-2</v>
      </c>
      <c r="F190" s="90" t="s">
        <v>14</v>
      </c>
      <c r="G190" s="3">
        <v>0.58354285714285714</v>
      </c>
      <c r="H190" s="91">
        <v>13.451626030645102</v>
      </c>
      <c r="I190" s="3">
        <f t="shared" si="4"/>
        <v>0.1</v>
      </c>
      <c r="J190" s="89">
        <v>230594.40812340897</v>
      </c>
      <c r="K190" s="89">
        <f t="shared" si="5"/>
        <v>17142.493227069761</v>
      </c>
    </row>
    <row r="191" spans="1:11" ht="15" thickBot="1">
      <c r="A191" s="1">
        <v>7030700</v>
      </c>
      <c r="B191" s="2" t="s">
        <v>220</v>
      </c>
      <c r="C191" s="2" t="s">
        <v>12</v>
      </c>
      <c r="D191" s="2" t="s">
        <v>13</v>
      </c>
      <c r="E191" s="76">
        <v>5.8000000000000003E-2</v>
      </c>
      <c r="F191" s="90" t="s">
        <v>14</v>
      </c>
      <c r="G191" s="3">
        <v>0.12729449321628092</v>
      </c>
      <c r="H191" s="91">
        <v>7.7788560875305661</v>
      </c>
      <c r="I191" s="3">
        <f t="shared" si="4"/>
        <v>0</v>
      </c>
      <c r="J191" s="89">
        <v>0</v>
      </c>
      <c r="K191" s="89">
        <f t="shared" si="5"/>
        <v>0</v>
      </c>
    </row>
    <row r="192" spans="1:11" ht="15" thickBot="1">
      <c r="A192" s="1">
        <v>7226900</v>
      </c>
      <c r="B192" s="2" t="s">
        <v>221</v>
      </c>
      <c r="C192" s="2" t="s">
        <v>72</v>
      </c>
      <c r="D192" s="2" t="s">
        <v>13</v>
      </c>
      <c r="E192" s="76">
        <v>5.7000000000000002E-2</v>
      </c>
      <c r="F192" s="90" t="s">
        <v>14</v>
      </c>
      <c r="G192" s="3">
        <v>0.43286677034733023</v>
      </c>
      <c r="H192" s="91">
        <v>6.2982736407114448</v>
      </c>
      <c r="I192" s="3">
        <f t="shared" si="4"/>
        <v>0.08</v>
      </c>
      <c r="J192" s="89">
        <v>86374.49058250236</v>
      </c>
      <c r="K192" s="89">
        <f t="shared" si="5"/>
        <v>13713.994581655808</v>
      </c>
    </row>
    <row r="193" spans="1:11" ht="15" thickBot="1">
      <c r="A193" s="1">
        <v>8220300</v>
      </c>
      <c r="B193" s="2" t="s">
        <v>222</v>
      </c>
      <c r="C193" s="2" t="s">
        <v>19</v>
      </c>
      <c r="D193" s="2" t="s">
        <v>17</v>
      </c>
      <c r="E193" s="76">
        <v>5.7000000000000002E-2</v>
      </c>
      <c r="F193" s="90" t="s">
        <v>14</v>
      </c>
      <c r="G193" s="3">
        <v>0.24803149606299213</v>
      </c>
      <c r="H193" s="91">
        <v>6.2982736407114448</v>
      </c>
      <c r="I193" s="3">
        <f t="shared" si="4"/>
        <v>0</v>
      </c>
      <c r="J193" s="89">
        <v>0</v>
      </c>
      <c r="K193" s="89">
        <f t="shared" si="5"/>
        <v>0</v>
      </c>
    </row>
    <row r="194" spans="1:11" ht="15" thickBot="1">
      <c r="A194" s="1">
        <v>3537100</v>
      </c>
      <c r="B194" s="2" t="s">
        <v>223</v>
      </c>
      <c r="C194" s="2" t="s">
        <v>94</v>
      </c>
      <c r="D194" s="2" t="s">
        <v>38</v>
      </c>
      <c r="E194" s="76">
        <v>5.7000000000000002E-2</v>
      </c>
      <c r="F194" s="90" t="s">
        <v>14</v>
      </c>
      <c r="G194" s="3">
        <v>6.0328638497652583E-2</v>
      </c>
      <c r="H194" s="91">
        <v>7.8834946809147155</v>
      </c>
      <c r="I194" s="3">
        <f t="shared" ref="I194:I257" si="6">IFERROR(MAX(0, MIN(10%, TRUNC(G194 - IF(E194&gt;=35%,E194,35%),2)))*IF(G194&gt;=35%,1,0), 0)</f>
        <v>0</v>
      </c>
      <c r="J194" s="89">
        <v>0</v>
      </c>
      <c r="K194" s="89">
        <f t="shared" ref="K194:K257" si="7">J194/H194</f>
        <v>0</v>
      </c>
    </row>
    <row r="195" spans="1:11" ht="15" thickBot="1">
      <c r="A195" s="18">
        <v>7950300</v>
      </c>
      <c r="B195" s="19" t="s">
        <v>224</v>
      </c>
      <c r="C195" s="2" t="s">
        <v>16</v>
      </c>
      <c r="D195" s="2" t="s">
        <v>17</v>
      </c>
      <c r="E195" s="77">
        <v>5.5E-2</v>
      </c>
      <c r="F195" s="90" t="s">
        <v>14</v>
      </c>
      <c r="G195" s="3">
        <v>0.49645171243443381</v>
      </c>
      <c r="H195" s="91">
        <v>6.1316069740447787</v>
      </c>
      <c r="I195" s="3">
        <f t="shared" si="6"/>
        <v>0.1</v>
      </c>
      <c r="J195" s="89">
        <v>105111.03102361634</v>
      </c>
      <c r="K195" s="89">
        <f t="shared" si="7"/>
        <v>17142.493227069761</v>
      </c>
    </row>
    <row r="196" spans="1:11" ht="15" thickBot="1">
      <c r="A196" s="1">
        <v>3560700</v>
      </c>
      <c r="B196" s="2" t="s">
        <v>225</v>
      </c>
      <c r="C196" s="2" t="s">
        <v>61</v>
      </c>
      <c r="D196" s="2" t="s">
        <v>38</v>
      </c>
      <c r="E196" s="76">
        <v>5.5E-2</v>
      </c>
      <c r="F196" s="90" t="s">
        <v>14</v>
      </c>
      <c r="G196" s="3">
        <v>0.21257041209605693</v>
      </c>
      <c r="H196" s="91">
        <v>6.1316069740447787</v>
      </c>
      <c r="I196" s="3">
        <f t="shared" si="6"/>
        <v>0</v>
      </c>
      <c r="J196" s="89">
        <v>0</v>
      </c>
      <c r="K196" s="89">
        <f t="shared" si="7"/>
        <v>0</v>
      </c>
    </row>
    <row r="197" spans="1:11" ht="15" thickBot="1">
      <c r="A197" s="1">
        <v>2905300</v>
      </c>
      <c r="B197" s="2" t="s">
        <v>226</v>
      </c>
      <c r="C197" s="2" t="s">
        <v>45</v>
      </c>
      <c r="D197" s="2" t="s">
        <v>38</v>
      </c>
      <c r="E197" s="76">
        <v>5.5E-2</v>
      </c>
      <c r="F197" s="90" t="s">
        <v>14</v>
      </c>
      <c r="G197" s="3">
        <v>0.17545126353790613</v>
      </c>
      <c r="H197" s="91">
        <v>9.6974104610671681</v>
      </c>
      <c r="I197" s="3">
        <f t="shared" si="6"/>
        <v>0</v>
      </c>
      <c r="J197" s="89">
        <v>0</v>
      </c>
      <c r="K197" s="89">
        <f t="shared" si="7"/>
        <v>0</v>
      </c>
    </row>
    <row r="198" spans="1:11" ht="15" thickBot="1">
      <c r="A198" s="1">
        <v>6258100</v>
      </c>
      <c r="B198" s="2" t="s">
        <v>227</v>
      </c>
      <c r="C198" s="2" t="s">
        <v>63</v>
      </c>
      <c r="D198" s="2" t="s">
        <v>13</v>
      </c>
      <c r="E198" s="76">
        <v>5.5E-2</v>
      </c>
      <c r="F198" s="90" t="s">
        <v>14</v>
      </c>
      <c r="G198" s="3">
        <v>7.1772639691714837E-2</v>
      </c>
      <c r="H198" s="91">
        <v>6.2982736407114448</v>
      </c>
      <c r="I198" s="3">
        <f t="shared" si="6"/>
        <v>0</v>
      </c>
      <c r="J198" s="89">
        <v>0</v>
      </c>
      <c r="K198" s="89">
        <f t="shared" si="7"/>
        <v>0</v>
      </c>
    </row>
    <row r="199" spans="1:11" ht="15" thickBot="1">
      <c r="A199" s="1">
        <v>5245400</v>
      </c>
      <c r="B199" s="2" t="s">
        <v>228</v>
      </c>
      <c r="C199" s="2" t="s">
        <v>70</v>
      </c>
      <c r="D199" s="2" t="s">
        <v>17</v>
      </c>
      <c r="E199" s="76">
        <v>5.5E-2</v>
      </c>
      <c r="F199" s="90" t="s">
        <v>14</v>
      </c>
      <c r="G199" s="3">
        <v>6.9636840134780983E-2</v>
      </c>
      <c r="H199" s="91">
        <v>5.2556631206098103</v>
      </c>
      <c r="I199" s="3">
        <f t="shared" si="6"/>
        <v>0</v>
      </c>
      <c r="J199" s="89">
        <v>0</v>
      </c>
      <c r="K199" s="89">
        <f t="shared" si="7"/>
        <v>0</v>
      </c>
    </row>
    <row r="200" spans="1:11" ht="15" thickBot="1">
      <c r="A200" s="1">
        <v>3547800</v>
      </c>
      <c r="B200" s="2" t="s">
        <v>229</v>
      </c>
      <c r="C200" s="2" t="s">
        <v>61</v>
      </c>
      <c r="D200" s="2" t="s">
        <v>38</v>
      </c>
      <c r="E200" s="78">
        <v>5.3999999999999999E-2</v>
      </c>
      <c r="F200" s="90" t="s">
        <v>14</v>
      </c>
      <c r="G200" s="3">
        <v>0.12676446166620536</v>
      </c>
      <c r="H200" s="91">
        <v>9.6974104610671681</v>
      </c>
      <c r="I200" s="3">
        <f t="shared" si="6"/>
        <v>0</v>
      </c>
      <c r="J200" s="89">
        <v>0</v>
      </c>
      <c r="K200" s="89">
        <f t="shared" si="7"/>
        <v>0</v>
      </c>
    </row>
    <row r="201" spans="1:11" ht="15" thickBot="1">
      <c r="A201" s="1">
        <v>5252000</v>
      </c>
      <c r="B201" s="2" t="s">
        <v>230</v>
      </c>
      <c r="C201" s="2" t="s">
        <v>70</v>
      </c>
      <c r="D201" s="2" t="s">
        <v>17</v>
      </c>
      <c r="E201" s="78">
        <v>5.3999999999999999E-2</v>
      </c>
      <c r="F201" s="90" t="s">
        <v>14</v>
      </c>
      <c r="G201" s="3">
        <v>0.12043435340572557</v>
      </c>
      <c r="H201" s="91">
        <v>12.156463427580594</v>
      </c>
      <c r="I201" s="3">
        <f t="shared" si="6"/>
        <v>0</v>
      </c>
      <c r="J201" s="89">
        <v>0</v>
      </c>
      <c r="K201" s="89">
        <f t="shared" si="7"/>
        <v>0</v>
      </c>
    </row>
    <row r="202" spans="1:11" ht="15" thickBot="1">
      <c r="A202" s="1">
        <v>4130500</v>
      </c>
      <c r="B202" s="2" t="s">
        <v>231</v>
      </c>
      <c r="C202" s="2" t="s">
        <v>70</v>
      </c>
      <c r="D202" s="2" t="s">
        <v>17</v>
      </c>
      <c r="E202" s="78">
        <v>5.3999999999999999E-2</v>
      </c>
      <c r="F202" s="90" t="s">
        <v>14</v>
      </c>
      <c r="G202" s="3">
        <v>2.9419490412398212E-2</v>
      </c>
      <c r="H202" s="91">
        <v>8.6024806442734576</v>
      </c>
      <c r="I202" s="3">
        <f t="shared" si="6"/>
        <v>0</v>
      </c>
      <c r="J202" s="89">
        <v>0</v>
      </c>
      <c r="K202" s="89">
        <f t="shared" si="7"/>
        <v>0</v>
      </c>
    </row>
    <row r="203" spans="1:11" ht="15" thickBot="1">
      <c r="A203" s="1">
        <v>6867400</v>
      </c>
      <c r="B203" s="2" t="s">
        <v>232</v>
      </c>
      <c r="C203" s="2" t="s">
        <v>42</v>
      </c>
      <c r="D203" s="2" t="s">
        <v>13</v>
      </c>
      <c r="E203" s="78">
        <v>5.2999999999999999E-2</v>
      </c>
      <c r="F203" s="90" t="s">
        <v>14</v>
      </c>
      <c r="G203" s="3">
        <v>0.24027018333869413</v>
      </c>
      <c r="H203" s="91">
        <v>8.7594385343496839</v>
      </c>
      <c r="I203" s="3">
        <f t="shared" si="6"/>
        <v>0</v>
      </c>
      <c r="J203" s="89">
        <v>0</v>
      </c>
      <c r="K203" s="89">
        <f t="shared" si="7"/>
        <v>0</v>
      </c>
    </row>
    <row r="204" spans="1:11" ht="15" thickBot="1">
      <c r="A204" s="1">
        <v>8065300</v>
      </c>
      <c r="B204" s="2" t="s">
        <v>233</v>
      </c>
      <c r="C204" s="2" t="s">
        <v>61</v>
      </c>
      <c r="D204" s="2" t="s">
        <v>38</v>
      </c>
      <c r="E204" s="78">
        <v>5.2999999999999999E-2</v>
      </c>
      <c r="F204" s="90" t="s">
        <v>14</v>
      </c>
      <c r="G204" s="3">
        <v>6.276285991588483E-2</v>
      </c>
      <c r="H204" s="91">
        <v>7.6121894208638974</v>
      </c>
      <c r="I204" s="3">
        <f t="shared" si="6"/>
        <v>0</v>
      </c>
      <c r="J204" s="89">
        <v>0</v>
      </c>
      <c r="K204" s="89">
        <f t="shared" si="7"/>
        <v>0</v>
      </c>
    </row>
    <row r="205" spans="1:11" ht="15" thickBot="1">
      <c r="A205" s="1">
        <v>4142300</v>
      </c>
      <c r="B205" s="2" t="s">
        <v>234</v>
      </c>
      <c r="C205" s="2" t="s">
        <v>70</v>
      </c>
      <c r="D205" s="2" t="s">
        <v>17</v>
      </c>
      <c r="E205" s="78">
        <v>5.2999999999999999E-2</v>
      </c>
      <c r="F205" s="90" t="s">
        <v>14</v>
      </c>
      <c r="G205" s="3">
        <v>5.0098508302842668E-2</v>
      </c>
      <c r="H205" s="91">
        <v>6.1316069740447787</v>
      </c>
      <c r="I205" s="3">
        <f t="shared" si="6"/>
        <v>0</v>
      </c>
      <c r="J205" s="89">
        <v>0</v>
      </c>
      <c r="K205" s="89">
        <f t="shared" si="7"/>
        <v>0</v>
      </c>
    </row>
    <row r="206" spans="1:11" ht="15" thickBot="1">
      <c r="A206" s="1">
        <v>6244400</v>
      </c>
      <c r="B206" s="2" t="s">
        <v>235</v>
      </c>
      <c r="C206" s="2" t="s">
        <v>49</v>
      </c>
      <c r="D206" s="2" t="s">
        <v>13</v>
      </c>
      <c r="E206" s="78">
        <v>5.1999999999999998E-2</v>
      </c>
      <c r="F206" s="90" t="s">
        <v>14</v>
      </c>
      <c r="G206" s="3">
        <v>0.53199718706047816</v>
      </c>
      <c r="H206" s="91">
        <v>6.2982736407114448</v>
      </c>
      <c r="I206" s="3">
        <f t="shared" si="6"/>
        <v>0.1</v>
      </c>
      <c r="J206" s="89">
        <v>107968.11322812794</v>
      </c>
      <c r="K206" s="89">
        <f t="shared" si="7"/>
        <v>17142.493227069761</v>
      </c>
    </row>
    <row r="207" spans="1:11" ht="15" thickBot="1">
      <c r="A207" s="1">
        <v>6836400</v>
      </c>
      <c r="B207" s="2" t="s">
        <v>236</v>
      </c>
      <c r="C207" s="2" t="s">
        <v>72</v>
      </c>
      <c r="D207" s="2" t="s">
        <v>13</v>
      </c>
      <c r="E207" s="78">
        <v>5.1999999999999998E-2</v>
      </c>
      <c r="F207" s="90" t="s">
        <v>14</v>
      </c>
      <c r="G207" s="3">
        <v>0.52138821630347054</v>
      </c>
      <c r="H207" s="91">
        <v>9.2594385343496839</v>
      </c>
      <c r="I207" s="3">
        <f t="shared" si="6"/>
        <v>0.1</v>
      </c>
      <c r="J207" s="89">
        <v>158729.86236155822</v>
      </c>
      <c r="K207" s="89">
        <f t="shared" si="7"/>
        <v>17142.493227069761</v>
      </c>
    </row>
    <row r="208" spans="1:11" ht="15" thickBot="1">
      <c r="A208" s="1">
        <v>4856000</v>
      </c>
      <c r="B208" s="2" t="s">
        <v>237</v>
      </c>
      <c r="C208" s="2" t="s">
        <v>25</v>
      </c>
      <c r="D208" s="2" t="s">
        <v>17</v>
      </c>
      <c r="E208" s="78">
        <v>5.1999999999999998E-2</v>
      </c>
      <c r="F208" s="90" t="s">
        <v>14</v>
      </c>
      <c r="G208" s="3">
        <v>0.13016219163145701</v>
      </c>
      <c r="H208" s="91">
        <v>8.4881332742988693</v>
      </c>
      <c r="I208" s="3">
        <f t="shared" si="6"/>
        <v>0</v>
      </c>
      <c r="J208" s="89">
        <v>0</v>
      </c>
      <c r="K208" s="89">
        <f t="shared" si="7"/>
        <v>0</v>
      </c>
    </row>
    <row r="209" spans="1:11" ht="15" thickBot="1">
      <c r="A209" s="1">
        <v>7260100</v>
      </c>
      <c r="B209" s="2" t="s">
        <v>238</v>
      </c>
      <c r="C209" s="2" t="s">
        <v>94</v>
      </c>
      <c r="D209" s="2" t="s">
        <v>38</v>
      </c>
      <c r="E209" s="78">
        <v>5.1999999999999998E-2</v>
      </c>
      <c r="F209" s="90" t="s">
        <v>14</v>
      </c>
      <c r="G209" s="3">
        <v>8.7980623675446568E-2</v>
      </c>
      <c r="H209" s="91">
        <v>19.927439045967652</v>
      </c>
      <c r="I209" s="3">
        <f t="shared" si="6"/>
        <v>0</v>
      </c>
      <c r="J209" s="89">
        <v>0</v>
      </c>
      <c r="K209" s="89">
        <f t="shared" si="7"/>
        <v>0</v>
      </c>
    </row>
    <row r="210" spans="1:11" ht="15" thickBot="1">
      <c r="A210" s="1">
        <v>6865600</v>
      </c>
      <c r="B210" s="2" t="s">
        <v>239</v>
      </c>
      <c r="C210" s="2" t="s">
        <v>42</v>
      </c>
      <c r="D210" s="2" t="s">
        <v>13</v>
      </c>
      <c r="E210" s="78">
        <v>5.0999999999999997E-2</v>
      </c>
      <c r="F210" s="90" t="s">
        <v>14</v>
      </c>
      <c r="G210" s="3">
        <v>0.44829136690647481</v>
      </c>
      <c r="H210" s="91">
        <v>13.451626030645102</v>
      </c>
      <c r="I210" s="3">
        <f t="shared" si="6"/>
        <v>0.09</v>
      </c>
      <c r="J210" s="89">
        <v>207534.96731106803</v>
      </c>
      <c r="K210" s="89">
        <f t="shared" si="7"/>
        <v>15428.243904362784</v>
      </c>
    </row>
    <row r="211" spans="1:11" ht="15" thickBot="1">
      <c r="A211" s="1">
        <v>7129900</v>
      </c>
      <c r="B211" s="2" t="s">
        <v>240</v>
      </c>
      <c r="C211" s="2" t="s">
        <v>12</v>
      </c>
      <c r="D211" s="2" t="s">
        <v>13</v>
      </c>
      <c r="E211" s="78">
        <v>5.0999999999999997E-2</v>
      </c>
      <c r="F211" s="90" t="s">
        <v>14</v>
      </c>
      <c r="G211" s="3">
        <v>6.3085263676688028E-2</v>
      </c>
      <c r="H211" s="91">
        <v>8.3834946809147155</v>
      </c>
      <c r="I211" s="3">
        <f t="shared" si="6"/>
        <v>0</v>
      </c>
      <c r="J211" s="89">
        <v>0</v>
      </c>
      <c r="K211" s="89">
        <f t="shared" si="7"/>
        <v>0</v>
      </c>
    </row>
    <row r="212" spans="1:11" ht="15" thickBot="1">
      <c r="A212" s="1">
        <v>7329400</v>
      </c>
      <c r="B212" s="2" t="s">
        <v>241</v>
      </c>
      <c r="C212" s="2" t="s">
        <v>42</v>
      </c>
      <c r="D212" s="2" t="s">
        <v>13</v>
      </c>
      <c r="E212" s="78">
        <v>0.05</v>
      </c>
      <c r="F212" s="90" t="s">
        <v>14</v>
      </c>
      <c r="G212" s="3">
        <v>0.68291630716134599</v>
      </c>
      <c r="H212" s="91">
        <v>9.5724104610671681</v>
      </c>
      <c r="I212" s="3">
        <f t="shared" si="6"/>
        <v>0.1</v>
      </c>
      <c r="J212" s="89">
        <v>164094.98149557569</v>
      </c>
      <c r="K212" s="89">
        <f t="shared" si="7"/>
        <v>17142.493227069765</v>
      </c>
    </row>
    <row r="213" spans="1:11" ht="15" thickBot="1">
      <c r="A213" s="1">
        <v>4141200</v>
      </c>
      <c r="B213" s="2" t="s">
        <v>242</v>
      </c>
      <c r="C213" s="2" t="s">
        <v>70</v>
      </c>
      <c r="D213" s="2" t="s">
        <v>17</v>
      </c>
      <c r="E213" s="78">
        <v>0.05</v>
      </c>
      <c r="F213" s="90" t="s">
        <v>14</v>
      </c>
      <c r="G213" s="3">
        <v>6.7928533522023701E-2</v>
      </c>
      <c r="H213" s="91">
        <v>8.2594385343496839</v>
      </c>
      <c r="I213" s="3">
        <f t="shared" si="6"/>
        <v>0</v>
      </c>
      <c r="J213" s="89">
        <v>0</v>
      </c>
      <c r="K213" s="89">
        <f t="shared" si="7"/>
        <v>0</v>
      </c>
    </row>
    <row r="214" spans="1:11" ht="15" thickBot="1">
      <c r="A214" s="11">
        <v>2939700</v>
      </c>
      <c r="B214" s="12" t="s">
        <v>243</v>
      </c>
      <c r="C214" s="2" t="s">
        <v>94</v>
      </c>
      <c r="D214" s="2" t="s">
        <v>38</v>
      </c>
      <c r="E214" s="124">
        <v>4.9000000000000002E-2</v>
      </c>
      <c r="F214" s="90" t="s">
        <v>14</v>
      </c>
      <c r="G214" s="3">
        <v>0.82069920387677397</v>
      </c>
      <c r="H214" s="91">
        <v>9.6974104610671681</v>
      </c>
      <c r="I214" s="3">
        <f t="shared" si="6"/>
        <v>0.1</v>
      </c>
      <c r="J214" s="89">
        <v>166237.79314895938</v>
      </c>
      <c r="K214" s="89">
        <f t="shared" si="7"/>
        <v>17142.493227069761</v>
      </c>
    </row>
    <row r="215" spans="1:11" ht="15" thickBot="1">
      <c r="A215" s="1">
        <v>7255700</v>
      </c>
      <c r="B215" s="2" t="s">
        <v>244</v>
      </c>
      <c r="C215" s="2" t="s">
        <v>72</v>
      </c>
      <c r="D215" s="2" t="s">
        <v>13</v>
      </c>
      <c r="E215" s="79">
        <v>4.9000000000000002E-2</v>
      </c>
      <c r="F215" s="90" t="s">
        <v>14</v>
      </c>
      <c r="G215" s="3">
        <v>0.45405090343889642</v>
      </c>
      <c r="H215" s="91">
        <v>10.135382387784652</v>
      </c>
      <c r="I215" s="3">
        <f t="shared" si="6"/>
        <v>0.1</v>
      </c>
      <c r="J215" s="89">
        <v>173745.72393636053</v>
      </c>
      <c r="K215" s="89">
        <f t="shared" si="7"/>
        <v>17142.493227069761</v>
      </c>
    </row>
    <row r="216" spans="1:11" ht="15" thickBot="1">
      <c r="A216" s="1">
        <v>4254400</v>
      </c>
      <c r="B216" s="2" t="s">
        <v>245</v>
      </c>
      <c r="C216" s="2" t="s">
        <v>19</v>
      </c>
      <c r="D216" s="2" t="s">
        <v>17</v>
      </c>
      <c r="E216" s="79">
        <v>4.9000000000000002E-2</v>
      </c>
      <c r="F216" s="90" t="s">
        <v>14</v>
      </c>
      <c r="G216" s="3">
        <v>0.20173707066719304</v>
      </c>
      <c r="H216" s="91">
        <v>11.823130094247261</v>
      </c>
      <c r="I216" s="3">
        <f t="shared" si="6"/>
        <v>0</v>
      </c>
      <c r="J216" s="89">
        <v>0</v>
      </c>
      <c r="K216" s="89">
        <f t="shared" si="7"/>
        <v>0</v>
      </c>
    </row>
    <row r="217" spans="1:11" ht="15" thickBot="1">
      <c r="A217" s="1">
        <v>3440100</v>
      </c>
      <c r="B217" s="2" t="s">
        <v>246</v>
      </c>
      <c r="C217" s="2" t="s">
        <v>61</v>
      </c>
      <c r="D217" s="2" t="s">
        <v>38</v>
      </c>
      <c r="E217" s="79">
        <v>4.9000000000000002E-2</v>
      </c>
      <c r="F217" s="90" t="s">
        <v>14</v>
      </c>
      <c r="G217" s="3">
        <v>0.17296313154301321</v>
      </c>
      <c r="H217" s="91">
        <v>9.2594385343496839</v>
      </c>
      <c r="I217" s="3">
        <f t="shared" si="6"/>
        <v>0</v>
      </c>
      <c r="J217" s="89">
        <v>0</v>
      </c>
      <c r="K217" s="89">
        <f t="shared" si="7"/>
        <v>0</v>
      </c>
    </row>
    <row r="218" spans="1:11" ht="15" thickBot="1">
      <c r="A218" s="1">
        <v>4278800</v>
      </c>
      <c r="B218" s="2" t="s">
        <v>247</v>
      </c>
      <c r="C218" s="2" t="s">
        <v>87</v>
      </c>
      <c r="D218" s="2" t="s">
        <v>17</v>
      </c>
      <c r="E218" s="79">
        <v>4.8000000000000001E-2</v>
      </c>
      <c r="F218" s="90" t="s">
        <v>14</v>
      </c>
      <c r="G218" s="3">
        <v>0.30139534883720931</v>
      </c>
      <c r="H218" s="91">
        <v>12.263016501729151</v>
      </c>
      <c r="I218" s="3">
        <f t="shared" si="6"/>
        <v>0</v>
      </c>
      <c r="J218" s="89">
        <v>0</v>
      </c>
      <c r="K218" s="89">
        <f t="shared" si="7"/>
        <v>0</v>
      </c>
    </row>
    <row r="219" spans="1:11" ht="15" thickBot="1">
      <c r="A219" s="1">
        <v>7763300</v>
      </c>
      <c r="B219" s="2" t="s">
        <v>248</v>
      </c>
      <c r="C219" s="2" t="s">
        <v>94</v>
      </c>
      <c r="D219" s="2" t="s">
        <v>38</v>
      </c>
      <c r="E219" s="79">
        <v>4.8000000000000001E-2</v>
      </c>
      <c r="F219" s="90" t="s">
        <v>14</v>
      </c>
      <c r="G219" s="3">
        <v>5.8539529269764634E-2</v>
      </c>
      <c r="H219" s="91">
        <v>5.4223297872764764</v>
      </c>
      <c r="I219" s="3">
        <f t="shared" si="6"/>
        <v>0</v>
      </c>
      <c r="J219" s="89">
        <v>0</v>
      </c>
      <c r="K219" s="89">
        <f t="shared" si="7"/>
        <v>0</v>
      </c>
    </row>
    <row r="220" spans="1:11" ht="15" thickBot="1">
      <c r="A220" s="1">
        <v>3430500</v>
      </c>
      <c r="B220" s="2" t="s">
        <v>249</v>
      </c>
      <c r="C220" s="2" t="s">
        <v>23</v>
      </c>
      <c r="D220" s="2" t="s">
        <v>13</v>
      </c>
      <c r="E220" s="79">
        <v>4.7E-2</v>
      </c>
      <c r="F220" s="90" t="s">
        <v>14</v>
      </c>
      <c r="G220" s="3">
        <v>0.21217524197656648</v>
      </c>
      <c r="H220" s="91">
        <v>8.6547999409655336</v>
      </c>
      <c r="I220" s="3">
        <f t="shared" si="6"/>
        <v>0</v>
      </c>
      <c r="J220" s="89">
        <v>0</v>
      </c>
      <c r="K220" s="89">
        <f t="shared" si="7"/>
        <v>0</v>
      </c>
    </row>
    <row r="221" spans="1:11" ht="15" thickBot="1">
      <c r="A221" s="1">
        <v>6168500</v>
      </c>
      <c r="B221" s="2" t="s">
        <v>250</v>
      </c>
      <c r="C221" s="2" t="s">
        <v>12</v>
      </c>
      <c r="D221" s="2" t="s">
        <v>13</v>
      </c>
      <c r="E221" s="79">
        <v>4.7E-2</v>
      </c>
      <c r="F221" s="90" t="s">
        <v>14</v>
      </c>
      <c r="G221" s="3">
        <v>0.1634771326629906</v>
      </c>
      <c r="H221" s="91">
        <v>9.2594385343496839</v>
      </c>
      <c r="I221" s="3">
        <f t="shared" si="6"/>
        <v>0</v>
      </c>
      <c r="J221" s="89">
        <v>0</v>
      </c>
      <c r="K221" s="89">
        <f t="shared" si="7"/>
        <v>0</v>
      </c>
    </row>
    <row r="222" spans="1:11" ht="15" thickBot="1">
      <c r="A222" s="1">
        <v>7749300</v>
      </c>
      <c r="B222" s="2" t="s">
        <v>251</v>
      </c>
      <c r="C222" s="2" t="s">
        <v>94</v>
      </c>
      <c r="D222" s="2" t="s">
        <v>38</v>
      </c>
      <c r="E222" s="79">
        <v>4.7E-2</v>
      </c>
      <c r="F222" s="90" t="s">
        <v>14</v>
      </c>
      <c r="G222" s="3">
        <v>9.0214067278287458E-2</v>
      </c>
      <c r="H222" s="91">
        <v>7.4455227541972313</v>
      </c>
      <c r="I222" s="3">
        <f t="shared" si="6"/>
        <v>0</v>
      </c>
      <c r="J222" s="89">
        <v>0</v>
      </c>
      <c r="K222" s="89">
        <f t="shared" si="7"/>
        <v>0</v>
      </c>
    </row>
    <row r="223" spans="1:11" ht="15" thickBot="1">
      <c r="A223" s="1">
        <v>7133600</v>
      </c>
      <c r="B223" s="2" t="s">
        <v>252</v>
      </c>
      <c r="C223" s="2" t="s">
        <v>12</v>
      </c>
      <c r="D223" s="2" t="s">
        <v>13</v>
      </c>
      <c r="E223" s="79">
        <v>4.7E-2</v>
      </c>
      <c r="F223" s="90" t="s">
        <v>14</v>
      </c>
      <c r="G223" s="3">
        <v>8.1588447653429597E-2</v>
      </c>
      <c r="H223" s="91">
        <v>13.284959363978436</v>
      </c>
      <c r="I223" s="3">
        <f t="shared" si="6"/>
        <v>0</v>
      </c>
      <c r="J223" s="89">
        <v>0</v>
      </c>
      <c r="K223" s="89">
        <f t="shared" si="7"/>
        <v>0</v>
      </c>
    </row>
    <row r="224" spans="1:11" ht="15" thickBot="1">
      <c r="A224" s="1">
        <v>4227500</v>
      </c>
      <c r="B224" s="2" t="s">
        <v>253</v>
      </c>
      <c r="C224" s="2" t="s">
        <v>87</v>
      </c>
      <c r="D224" s="2" t="s">
        <v>17</v>
      </c>
      <c r="E224" s="80">
        <v>4.5999999999999999E-2</v>
      </c>
      <c r="F224" s="90" t="s">
        <v>14</v>
      </c>
      <c r="G224" s="3">
        <v>0.51554828150572829</v>
      </c>
      <c r="H224" s="91">
        <v>5.5056631206098103</v>
      </c>
      <c r="I224" s="3">
        <f t="shared" si="6"/>
        <v>0.1</v>
      </c>
      <c r="J224" s="89">
        <v>94380.792755581439</v>
      </c>
      <c r="K224" s="89">
        <f t="shared" si="7"/>
        <v>17142.493227069761</v>
      </c>
    </row>
    <row r="225" spans="1:11" ht="15" thickBot="1">
      <c r="A225" s="1">
        <v>4037600</v>
      </c>
      <c r="B225" s="2" t="s">
        <v>254</v>
      </c>
      <c r="C225" s="2" t="s">
        <v>61</v>
      </c>
      <c r="D225" s="2" t="s">
        <v>38</v>
      </c>
      <c r="E225" s="79">
        <v>4.5999999999999999E-2</v>
      </c>
      <c r="F225" s="90" t="s">
        <v>14</v>
      </c>
      <c r="G225" s="3">
        <v>0.12250079339892098</v>
      </c>
      <c r="H225" s="91">
        <v>10.135382387784652</v>
      </c>
      <c r="I225" s="3">
        <f t="shared" si="6"/>
        <v>0</v>
      </c>
      <c r="J225" s="89">
        <v>0</v>
      </c>
      <c r="K225" s="89">
        <f t="shared" si="7"/>
        <v>0</v>
      </c>
    </row>
    <row r="226" spans="1:11" ht="15" thickBot="1">
      <c r="A226" s="1">
        <v>5864600</v>
      </c>
      <c r="B226" s="2" t="s">
        <v>255</v>
      </c>
      <c r="C226" s="2" t="s">
        <v>49</v>
      </c>
      <c r="D226" s="2" t="s">
        <v>13</v>
      </c>
      <c r="E226" s="80">
        <v>4.4999999999999998E-2</v>
      </c>
      <c r="F226" s="90" t="s">
        <v>14</v>
      </c>
      <c r="G226" s="3">
        <v>0.51154791154791157</v>
      </c>
      <c r="H226" s="91">
        <v>6.736245567428929</v>
      </c>
      <c r="I226" s="3">
        <f t="shared" si="6"/>
        <v>0.1</v>
      </c>
      <c r="J226" s="89">
        <v>115476.0440155291</v>
      </c>
      <c r="K226" s="89">
        <f t="shared" si="7"/>
        <v>17142.493227069757</v>
      </c>
    </row>
    <row r="227" spans="1:11" ht="15" thickBot="1">
      <c r="A227" s="1">
        <v>5146300</v>
      </c>
      <c r="B227" s="2" t="s">
        <v>256</v>
      </c>
      <c r="C227" s="2" t="s">
        <v>37</v>
      </c>
      <c r="D227" s="2" t="s">
        <v>38</v>
      </c>
      <c r="E227" s="80">
        <v>4.4999999999999998E-2</v>
      </c>
      <c r="F227" s="90" t="s">
        <v>14</v>
      </c>
      <c r="G227" s="3">
        <v>0.10068130204390613</v>
      </c>
      <c r="H227" s="91">
        <v>12.156463427580594</v>
      </c>
      <c r="I227" s="3">
        <f t="shared" si="6"/>
        <v>0</v>
      </c>
      <c r="J227" s="89">
        <v>0</v>
      </c>
      <c r="K227" s="89">
        <f t="shared" si="7"/>
        <v>0</v>
      </c>
    </row>
    <row r="228" spans="1:11" ht="15" thickBot="1">
      <c r="A228" s="1">
        <v>4228600</v>
      </c>
      <c r="B228" s="2" t="s">
        <v>257</v>
      </c>
      <c r="C228" s="2" t="s">
        <v>87</v>
      </c>
      <c r="D228" s="2" t="s">
        <v>17</v>
      </c>
      <c r="E228" s="80">
        <v>4.4999999999999998E-2</v>
      </c>
      <c r="F228" s="90" t="s">
        <v>14</v>
      </c>
      <c r="G228" s="3">
        <v>3.0548865508936495E-2</v>
      </c>
      <c r="H228" s="91">
        <v>10.135382387784652</v>
      </c>
      <c r="I228" s="3">
        <f t="shared" si="6"/>
        <v>0</v>
      </c>
      <c r="J228" s="89">
        <v>0</v>
      </c>
      <c r="K228" s="89">
        <f t="shared" si="7"/>
        <v>0</v>
      </c>
    </row>
    <row r="229" spans="1:11" ht="15" thickBot="1">
      <c r="A229" s="1">
        <v>2865200</v>
      </c>
      <c r="B229" s="2" t="s">
        <v>258</v>
      </c>
      <c r="C229" s="2" t="s">
        <v>45</v>
      </c>
      <c r="D229" s="2" t="s">
        <v>38</v>
      </c>
      <c r="E229" s="81">
        <v>4.3999999999999997E-2</v>
      </c>
      <c r="F229" s="90" t="s">
        <v>14</v>
      </c>
      <c r="G229" s="3">
        <v>0.51096621221102545</v>
      </c>
      <c r="H229" s="91">
        <v>9.6974104610671681</v>
      </c>
      <c r="I229" s="3">
        <f t="shared" si="6"/>
        <v>0.1</v>
      </c>
      <c r="J229" s="89">
        <v>166237.79314895938</v>
      </c>
      <c r="K229" s="89">
        <f t="shared" si="7"/>
        <v>17142.493227069761</v>
      </c>
    </row>
    <row r="230" spans="1:11" ht="15" thickBot="1">
      <c r="A230" s="1">
        <v>6251800</v>
      </c>
      <c r="B230" s="2" t="s">
        <v>259</v>
      </c>
      <c r="C230" s="2" t="s">
        <v>37</v>
      </c>
      <c r="D230" s="2" t="s">
        <v>38</v>
      </c>
      <c r="E230" s="81">
        <v>4.3999999999999997E-2</v>
      </c>
      <c r="F230" s="90" t="s">
        <v>14</v>
      </c>
      <c r="G230" s="3">
        <v>0.46517445687952602</v>
      </c>
      <c r="H230" s="91">
        <v>13.451626030645102</v>
      </c>
      <c r="I230" s="3">
        <f t="shared" si="6"/>
        <v>0.1</v>
      </c>
      <c r="J230" s="89">
        <v>230594.40812340897</v>
      </c>
      <c r="K230" s="89">
        <f t="shared" si="7"/>
        <v>17142.493227069761</v>
      </c>
    </row>
    <row r="231" spans="1:11" ht="15" thickBot="1">
      <c r="A231" s="1">
        <v>5129200</v>
      </c>
      <c r="B231" s="2" t="s">
        <v>260</v>
      </c>
      <c r="C231" s="2" t="s">
        <v>25</v>
      </c>
      <c r="D231" s="2" t="s">
        <v>17</v>
      </c>
      <c r="E231" s="81">
        <v>4.3999999999999997E-2</v>
      </c>
      <c r="F231" s="90" t="s">
        <v>14</v>
      </c>
      <c r="G231" s="3">
        <v>0.37482386096759041</v>
      </c>
      <c r="H231" s="91">
        <v>13.451626030645102</v>
      </c>
      <c r="I231" s="3">
        <f t="shared" si="6"/>
        <v>0.02</v>
      </c>
      <c r="J231" s="89">
        <v>46118.881624681788</v>
      </c>
      <c r="K231" s="89">
        <f t="shared" si="7"/>
        <v>3428.4986454139521</v>
      </c>
    </row>
    <row r="232" spans="1:11" ht="15" thickBot="1">
      <c r="A232" s="1">
        <v>5246500</v>
      </c>
      <c r="B232" s="2" t="s">
        <v>261</v>
      </c>
      <c r="C232" s="2" t="s">
        <v>70</v>
      </c>
      <c r="D232" s="2" t="s">
        <v>17</v>
      </c>
      <c r="E232" s="81">
        <v>4.3999999999999997E-2</v>
      </c>
      <c r="F232" s="90" t="s">
        <v>14</v>
      </c>
      <c r="G232" s="3">
        <v>7.8727419789700728E-2</v>
      </c>
      <c r="H232" s="91">
        <v>7.9455227541972313</v>
      </c>
      <c r="I232" s="3">
        <f t="shared" si="6"/>
        <v>0</v>
      </c>
      <c r="J232" s="89">
        <v>0</v>
      </c>
      <c r="K232" s="89">
        <f t="shared" si="7"/>
        <v>0</v>
      </c>
    </row>
    <row r="233" spans="1:11" ht="15" thickBot="1">
      <c r="A233" s="1">
        <v>3536000</v>
      </c>
      <c r="B233" s="2" t="s">
        <v>262</v>
      </c>
      <c r="C233" s="2" t="s">
        <v>94</v>
      </c>
      <c r="D233" s="2" t="s">
        <v>38</v>
      </c>
      <c r="E233" s="81">
        <v>4.3999999999999997E-2</v>
      </c>
      <c r="F233" s="90" t="s">
        <v>14</v>
      </c>
      <c r="G233" s="3">
        <v>5.6491885143570536E-2</v>
      </c>
      <c r="H233" s="91">
        <v>13.451626030645102</v>
      </c>
      <c r="I233" s="3">
        <f t="shared" si="6"/>
        <v>0</v>
      </c>
      <c r="J233" s="89">
        <v>0</v>
      </c>
      <c r="K233" s="89">
        <f t="shared" si="7"/>
        <v>0</v>
      </c>
    </row>
    <row r="234" spans="1:11" ht="15" thickBot="1">
      <c r="A234" s="1">
        <v>5253100</v>
      </c>
      <c r="B234" s="2" t="s">
        <v>263</v>
      </c>
      <c r="C234" s="2" t="s">
        <v>70</v>
      </c>
      <c r="D234" s="2" t="s">
        <v>17</v>
      </c>
      <c r="E234" s="81">
        <v>4.3999999999999997E-2</v>
      </c>
      <c r="F234" s="90" t="s">
        <v>14</v>
      </c>
      <c r="G234" s="3">
        <v>4.6208530805687202E-2</v>
      </c>
      <c r="H234" s="91">
        <v>6.1316069740447787</v>
      </c>
      <c r="I234" s="3">
        <f t="shared" si="6"/>
        <v>0</v>
      </c>
      <c r="J234" s="89">
        <v>0</v>
      </c>
      <c r="K234" s="89">
        <f t="shared" si="7"/>
        <v>0</v>
      </c>
    </row>
    <row r="235" spans="1:11" ht="15" thickBot="1">
      <c r="A235" s="1">
        <v>7965300</v>
      </c>
      <c r="B235" s="2" t="s">
        <v>264</v>
      </c>
      <c r="C235" s="2" t="s">
        <v>16</v>
      </c>
      <c r="D235" s="2" t="s">
        <v>17</v>
      </c>
      <c r="E235" s="81">
        <v>4.2999999999999997E-2</v>
      </c>
      <c r="F235" s="90" t="s">
        <v>14</v>
      </c>
      <c r="G235" s="3">
        <v>0.51998498780258962</v>
      </c>
      <c r="H235" s="91">
        <v>16.041951236774121</v>
      </c>
      <c r="I235" s="3">
        <f t="shared" si="6"/>
        <v>0.1</v>
      </c>
      <c r="J235" s="89">
        <v>274999.04042538378</v>
      </c>
      <c r="K235" s="89">
        <f t="shared" si="7"/>
        <v>17142.493227069761</v>
      </c>
    </row>
    <row r="236" spans="1:11" ht="15" thickBot="1">
      <c r="A236" s="1">
        <v>5240600</v>
      </c>
      <c r="B236" s="2" t="s">
        <v>265</v>
      </c>
      <c r="C236" s="2" t="s">
        <v>87</v>
      </c>
      <c r="D236" s="2" t="s">
        <v>17</v>
      </c>
      <c r="E236" s="81">
        <v>4.2999999999999997E-2</v>
      </c>
      <c r="F236" s="90" t="s">
        <v>14</v>
      </c>
      <c r="G236" s="3">
        <v>0.37330754352030948</v>
      </c>
      <c r="H236" s="91">
        <v>9.2594385343496839</v>
      </c>
      <c r="I236" s="3">
        <f t="shared" si="6"/>
        <v>0.02</v>
      </c>
      <c r="J236" s="89">
        <v>31745.972472311641</v>
      </c>
      <c r="K236" s="89">
        <f t="shared" si="7"/>
        <v>3428.4986454139521</v>
      </c>
    </row>
    <row r="237" spans="1:11" ht="15" thickBot="1">
      <c r="A237" s="1">
        <v>7034000</v>
      </c>
      <c r="B237" s="2" t="s">
        <v>266</v>
      </c>
      <c r="C237" s="2" t="s">
        <v>12</v>
      </c>
      <c r="D237" s="2" t="s">
        <v>13</v>
      </c>
      <c r="E237" s="81">
        <v>4.2999999999999997E-2</v>
      </c>
      <c r="F237" s="90" t="s">
        <v>14</v>
      </c>
      <c r="G237" s="3">
        <v>9.5663687520688517E-2</v>
      </c>
      <c r="H237" s="91">
        <v>6.5066069740447787</v>
      </c>
      <c r="I237" s="3">
        <f t="shared" si="6"/>
        <v>0</v>
      </c>
      <c r="J237" s="89">
        <v>0</v>
      </c>
      <c r="K237" s="89">
        <f t="shared" si="7"/>
        <v>0</v>
      </c>
    </row>
    <row r="238" spans="1:11" ht="15" thickBot="1">
      <c r="A238" s="1">
        <v>6167400</v>
      </c>
      <c r="B238" s="2" t="s">
        <v>267</v>
      </c>
      <c r="C238" s="2" t="s">
        <v>12</v>
      </c>
      <c r="D238" s="2" t="s">
        <v>13</v>
      </c>
      <c r="E238" s="81">
        <v>4.2000000000000003E-2</v>
      </c>
      <c r="F238" s="90" t="s">
        <v>14</v>
      </c>
      <c r="G238" s="3">
        <v>0.63966202783300197</v>
      </c>
      <c r="H238" s="91">
        <v>8.3214666076321997</v>
      </c>
      <c r="I238" s="3">
        <f t="shared" si="6"/>
        <v>0.1</v>
      </c>
      <c r="J238" s="89">
        <v>142650.68496062217</v>
      </c>
      <c r="K238" s="89">
        <f t="shared" si="7"/>
        <v>17142.493227069761</v>
      </c>
    </row>
    <row r="239" spans="1:11" ht="15" thickBot="1">
      <c r="A239" s="1">
        <v>7228000</v>
      </c>
      <c r="B239" s="2" t="s">
        <v>268</v>
      </c>
      <c r="C239" s="2" t="s">
        <v>72</v>
      </c>
      <c r="D239" s="2" t="s">
        <v>13</v>
      </c>
      <c r="E239" s="81">
        <v>4.2000000000000003E-2</v>
      </c>
      <c r="F239" s="90" t="s">
        <v>14</v>
      </c>
      <c r="G239" s="3">
        <v>0.38756186787174524</v>
      </c>
      <c r="H239" s="91">
        <v>8.4881332742988693</v>
      </c>
      <c r="I239" s="3">
        <f t="shared" si="6"/>
        <v>0.03</v>
      </c>
      <c r="J239" s="89">
        <v>43652.330149540147</v>
      </c>
      <c r="K239" s="89">
        <f t="shared" si="7"/>
        <v>5142.7479681209279</v>
      </c>
    </row>
    <row r="240" spans="1:11" ht="15" thickBot="1">
      <c r="A240" s="18">
        <v>3830700</v>
      </c>
      <c r="B240" s="19" t="s">
        <v>269</v>
      </c>
      <c r="C240" s="2" t="s">
        <v>37</v>
      </c>
      <c r="D240" s="2" t="s">
        <v>38</v>
      </c>
      <c r="E240" s="110">
        <v>4.1000000000000002E-2</v>
      </c>
      <c r="F240" s="90" t="s">
        <v>14</v>
      </c>
      <c r="G240" s="3">
        <v>0.4957066189624329</v>
      </c>
      <c r="H240" s="91">
        <v>13.451626030645102</v>
      </c>
      <c r="I240" s="3">
        <f t="shared" si="6"/>
        <v>0.1</v>
      </c>
      <c r="J240" s="89">
        <v>230594.40812340897</v>
      </c>
      <c r="K240" s="89">
        <f t="shared" si="7"/>
        <v>17142.493227069761</v>
      </c>
    </row>
    <row r="241" spans="1:11" ht="15" thickBot="1">
      <c r="A241" s="1">
        <v>5057700</v>
      </c>
      <c r="B241" s="2" t="s">
        <v>270</v>
      </c>
      <c r="C241" s="2" t="s">
        <v>16</v>
      </c>
      <c r="D241" s="2" t="s">
        <v>17</v>
      </c>
      <c r="E241" s="81">
        <v>0.04</v>
      </c>
      <c r="F241" s="90" t="s">
        <v>14</v>
      </c>
      <c r="G241" s="3">
        <v>0.38945420934807845</v>
      </c>
      <c r="H241" s="91">
        <v>9.6974104610671681</v>
      </c>
      <c r="I241" s="3">
        <f t="shared" si="6"/>
        <v>0.03</v>
      </c>
      <c r="J241" s="89">
        <v>49871.337944687817</v>
      </c>
      <c r="K241" s="89">
        <f t="shared" si="7"/>
        <v>5142.7479681209288</v>
      </c>
    </row>
    <row r="242" spans="1:11" ht="15" thickBot="1">
      <c r="A242" s="1">
        <v>6132300</v>
      </c>
      <c r="B242" s="2" t="s">
        <v>271</v>
      </c>
      <c r="C242" s="2" t="s">
        <v>12</v>
      </c>
      <c r="D242" s="2" t="s">
        <v>13</v>
      </c>
      <c r="E242" s="81">
        <v>0.04</v>
      </c>
      <c r="F242" s="90" t="s">
        <v>14</v>
      </c>
      <c r="G242" s="3">
        <v>0.29407018959257764</v>
      </c>
      <c r="H242" s="91">
        <v>9.6974104610671681</v>
      </c>
      <c r="I242" s="3">
        <f t="shared" si="6"/>
        <v>0</v>
      </c>
      <c r="J242" s="89">
        <v>0</v>
      </c>
      <c r="K242" s="89">
        <f t="shared" si="7"/>
        <v>0</v>
      </c>
    </row>
    <row r="243" spans="1:11" ht="15" thickBot="1">
      <c r="A243" s="1">
        <v>2931600</v>
      </c>
      <c r="B243" s="2" t="s">
        <v>272</v>
      </c>
      <c r="C243" s="2" t="s">
        <v>131</v>
      </c>
      <c r="D243" s="2" t="s">
        <v>38</v>
      </c>
      <c r="E243" s="81">
        <v>0.04</v>
      </c>
      <c r="F243" s="90" t="s">
        <v>14</v>
      </c>
      <c r="G243" s="3">
        <v>0.28840238827573728</v>
      </c>
      <c r="H243" s="91">
        <v>13.451626030645102</v>
      </c>
      <c r="I243" s="3">
        <f t="shared" si="6"/>
        <v>0</v>
      </c>
      <c r="J243" s="89">
        <v>0</v>
      </c>
      <c r="K243" s="89">
        <f t="shared" si="7"/>
        <v>0</v>
      </c>
    </row>
    <row r="244" spans="1:11" ht="15" thickBot="1">
      <c r="A244" s="1">
        <v>8155300</v>
      </c>
      <c r="B244" s="2" t="s">
        <v>273</v>
      </c>
      <c r="C244" s="2" t="s">
        <v>63</v>
      </c>
      <c r="D244" s="2" t="s">
        <v>13</v>
      </c>
      <c r="E244" s="81">
        <v>0.04</v>
      </c>
      <c r="F244" s="90" t="s">
        <v>14</v>
      </c>
      <c r="G244" s="3">
        <v>0.20049735778675784</v>
      </c>
      <c r="H244" s="91">
        <v>6.3816069740447787</v>
      </c>
      <c r="I244" s="3">
        <f t="shared" si="6"/>
        <v>0</v>
      </c>
      <c r="J244" s="89">
        <v>0</v>
      </c>
      <c r="K244" s="89">
        <f t="shared" si="7"/>
        <v>0</v>
      </c>
    </row>
    <row r="245" spans="1:11" ht="15" thickBot="1">
      <c r="A245" s="1">
        <v>5045100</v>
      </c>
      <c r="B245" s="2" t="s">
        <v>274</v>
      </c>
      <c r="C245" s="2" t="s">
        <v>25</v>
      </c>
      <c r="D245" s="2" t="s">
        <v>17</v>
      </c>
      <c r="E245" s="82">
        <v>3.9E-2</v>
      </c>
      <c r="F245" s="90" t="s">
        <v>14</v>
      </c>
      <c r="G245" s="3">
        <v>0.27647867950481431</v>
      </c>
      <c r="H245" s="91">
        <v>5.2556631206098103</v>
      </c>
      <c r="I245" s="3">
        <f t="shared" si="6"/>
        <v>0</v>
      </c>
      <c r="J245" s="89">
        <v>0</v>
      </c>
      <c r="K245" s="89">
        <f t="shared" si="7"/>
        <v>0</v>
      </c>
    </row>
    <row r="246" spans="1:11" ht="15" thickBot="1">
      <c r="A246" s="1">
        <v>5055500</v>
      </c>
      <c r="B246" s="2" t="s">
        <v>275</v>
      </c>
      <c r="C246" s="2" t="s">
        <v>87</v>
      </c>
      <c r="D246" s="2" t="s">
        <v>17</v>
      </c>
      <c r="E246" s="82">
        <v>3.7999999999999999E-2</v>
      </c>
      <c r="F246" s="90" t="s">
        <v>14</v>
      </c>
      <c r="G246" s="3">
        <v>0.4417591127409829</v>
      </c>
      <c r="H246" s="91">
        <v>6.1316069740447787</v>
      </c>
      <c r="I246" s="3">
        <f t="shared" si="6"/>
        <v>0.09</v>
      </c>
      <c r="J246" s="89">
        <v>94599.927921254697</v>
      </c>
      <c r="K246" s="89">
        <f t="shared" si="7"/>
        <v>15428.243904362786</v>
      </c>
    </row>
    <row r="247" spans="1:11" ht="15" thickBot="1">
      <c r="A247" s="1">
        <v>2965600</v>
      </c>
      <c r="B247" s="2" t="s">
        <v>276</v>
      </c>
      <c r="C247" s="2" t="s">
        <v>45</v>
      </c>
      <c r="D247" s="2" t="s">
        <v>38</v>
      </c>
      <c r="E247" s="82">
        <v>3.7999999999999999E-2</v>
      </c>
      <c r="F247" s="90" t="s">
        <v>14</v>
      </c>
      <c r="G247" s="3">
        <v>0.2624076029567054</v>
      </c>
      <c r="H247" s="91">
        <v>6.1316069740447787</v>
      </c>
      <c r="I247" s="3">
        <f t="shared" si="6"/>
        <v>0</v>
      </c>
      <c r="J247" s="89">
        <v>0</v>
      </c>
      <c r="K247" s="89">
        <f t="shared" si="7"/>
        <v>0</v>
      </c>
    </row>
    <row r="248" spans="1:11" ht="15" thickBot="1">
      <c r="A248" s="11">
        <v>2953700</v>
      </c>
      <c r="B248" s="12" t="s">
        <v>277</v>
      </c>
      <c r="C248" s="2" t="s">
        <v>131</v>
      </c>
      <c r="D248" s="2" t="s">
        <v>38</v>
      </c>
      <c r="E248" s="113">
        <v>3.7999999999999999E-2</v>
      </c>
      <c r="F248" s="90" t="s">
        <v>14</v>
      </c>
      <c r="G248" s="3">
        <v>7.3469387755102047E-2</v>
      </c>
      <c r="H248" s="91">
        <v>8.3834946809147155</v>
      </c>
      <c r="I248" s="3">
        <f t="shared" si="6"/>
        <v>0</v>
      </c>
      <c r="J248" s="89">
        <v>0</v>
      </c>
      <c r="K248" s="89">
        <f t="shared" si="7"/>
        <v>0</v>
      </c>
    </row>
    <row r="249" spans="1:11" ht="15" thickBot="1">
      <c r="A249" s="1">
        <v>2963300</v>
      </c>
      <c r="B249" s="2" t="s">
        <v>278</v>
      </c>
      <c r="C249" s="2" t="s">
        <v>131</v>
      </c>
      <c r="D249" s="2" t="s">
        <v>38</v>
      </c>
      <c r="E249" s="83">
        <v>3.6999999999999998E-2</v>
      </c>
      <c r="F249" s="90" t="s">
        <v>14</v>
      </c>
      <c r="G249" s="3">
        <v>0.44744907157021813</v>
      </c>
      <c r="H249" s="91">
        <v>13.451626030645102</v>
      </c>
      <c r="I249" s="3">
        <f t="shared" si="6"/>
        <v>0.09</v>
      </c>
      <c r="J249" s="89">
        <v>207534.96731106803</v>
      </c>
      <c r="K249" s="89">
        <f t="shared" si="7"/>
        <v>15428.243904362784</v>
      </c>
    </row>
    <row r="250" spans="1:11" ht="15" thickBot="1">
      <c r="A250" s="1">
        <v>3575300</v>
      </c>
      <c r="B250" s="2" t="s">
        <v>279</v>
      </c>
      <c r="C250" s="2" t="s">
        <v>49</v>
      </c>
      <c r="D250" s="2" t="s">
        <v>13</v>
      </c>
      <c r="E250" s="83">
        <v>3.5999999999999997E-2</v>
      </c>
      <c r="F250" s="90" t="s">
        <v>14</v>
      </c>
      <c r="G250" s="3">
        <v>0.60593895367361239</v>
      </c>
      <c r="H250" s="91">
        <v>16.041951236774121</v>
      </c>
      <c r="I250" s="3">
        <f t="shared" si="6"/>
        <v>0.1</v>
      </c>
      <c r="J250" s="89">
        <v>274999.04042538378</v>
      </c>
      <c r="K250" s="89">
        <f t="shared" si="7"/>
        <v>17142.493227069761</v>
      </c>
    </row>
    <row r="251" spans="1:11" ht="15" thickBot="1">
      <c r="A251" s="1">
        <v>8055300</v>
      </c>
      <c r="B251" s="2" t="s">
        <v>280</v>
      </c>
      <c r="C251" s="2" t="s">
        <v>37</v>
      </c>
      <c r="D251" s="2" t="s">
        <v>38</v>
      </c>
      <c r="E251" s="83">
        <v>3.5999999999999997E-2</v>
      </c>
      <c r="F251" s="90" t="s">
        <v>14</v>
      </c>
      <c r="G251" s="3">
        <v>7.9070675517376024E-2</v>
      </c>
      <c r="H251" s="91">
        <v>14.74678863370961</v>
      </c>
      <c r="I251" s="3">
        <f t="shared" si="6"/>
        <v>0</v>
      </c>
      <c r="J251" s="89">
        <v>0</v>
      </c>
      <c r="K251" s="89">
        <f t="shared" si="7"/>
        <v>0</v>
      </c>
    </row>
    <row r="252" spans="1:11" ht="15" thickBot="1">
      <c r="A252" s="1">
        <v>7745300</v>
      </c>
      <c r="B252" s="2" t="s">
        <v>281</v>
      </c>
      <c r="C252" s="2" t="s">
        <v>45</v>
      </c>
      <c r="D252" s="2" t="s">
        <v>38</v>
      </c>
      <c r="E252" s="83">
        <v>3.5000000000000003E-2</v>
      </c>
      <c r="F252" s="90" t="s">
        <v>14</v>
      </c>
      <c r="G252" s="3">
        <v>0.16835260115606937</v>
      </c>
      <c r="H252" s="91">
        <v>13.451626030645102</v>
      </c>
      <c r="I252" s="3">
        <f t="shared" si="6"/>
        <v>0</v>
      </c>
      <c r="J252" s="89">
        <v>0</v>
      </c>
      <c r="K252" s="89">
        <f t="shared" si="7"/>
        <v>0</v>
      </c>
    </row>
    <row r="253" spans="1:11" ht="15" thickBot="1">
      <c r="A253" s="1">
        <v>3476300</v>
      </c>
      <c r="B253" s="2" t="s">
        <v>282</v>
      </c>
      <c r="C253" s="2" t="s">
        <v>61</v>
      </c>
      <c r="D253" s="2" t="s">
        <v>38</v>
      </c>
      <c r="E253" s="83">
        <v>3.5000000000000003E-2</v>
      </c>
      <c r="F253" s="90" t="s">
        <v>14</v>
      </c>
      <c r="G253" s="3">
        <v>0.16766890696851786</v>
      </c>
      <c r="H253" s="91">
        <v>7.9455227541972313</v>
      </c>
      <c r="I253" s="3">
        <f t="shared" si="6"/>
        <v>0</v>
      </c>
      <c r="J253" s="89">
        <v>0</v>
      </c>
      <c r="K253" s="89">
        <f t="shared" si="7"/>
        <v>0</v>
      </c>
    </row>
    <row r="254" spans="1:11" ht="15" thickBot="1">
      <c r="A254" s="1">
        <v>7757300</v>
      </c>
      <c r="B254" s="2" t="s">
        <v>283</v>
      </c>
      <c r="C254" s="2" t="s">
        <v>45</v>
      </c>
      <c r="D254" s="2" t="s">
        <v>38</v>
      </c>
      <c r="E254" s="83">
        <v>3.5000000000000003E-2</v>
      </c>
      <c r="F254" s="90" t="s">
        <v>14</v>
      </c>
      <c r="G254" s="3">
        <v>6.5054945054945051E-2</v>
      </c>
      <c r="H254" s="91">
        <v>7.9455227541972313</v>
      </c>
      <c r="I254" s="3">
        <f t="shared" si="6"/>
        <v>0</v>
      </c>
      <c r="J254" s="89">
        <v>0</v>
      </c>
      <c r="K254" s="89">
        <f t="shared" si="7"/>
        <v>0</v>
      </c>
    </row>
    <row r="255" spans="1:11" ht="15" thickBot="1">
      <c r="A255" s="1">
        <v>3852400</v>
      </c>
      <c r="B255" s="2" t="s">
        <v>284</v>
      </c>
      <c r="C255" s="2" t="s">
        <v>16</v>
      </c>
      <c r="D255" s="2" t="s">
        <v>17</v>
      </c>
      <c r="E255" s="83">
        <v>3.5000000000000003E-2</v>
      </c>
      <c r="F255" s="90" t="s">
        <v>14</v>
      </c>
      <c r="G255" s="3">
        <v>1.5913757700205339E-2</v>
      </c>
      <c r="H255" s="91">
        <v>12.156463427580594</v>
      </c>
      <c r="I255" s="3">
        <f t="shared" si="6"/>
        <v>0</v>
      </c>
      <c r="J255" s="89">
        <v>0</v>
      </c>
      <c r="K255" s="89">
        <f t="shared" si="7"/>
        <v>0</v>
      </c>
    </row>
    <row r="256" spans="1:11" ht="15" thickBot="1">
      <c r="A256" s="1">
        <v>4466500</v>
      </c>
      <c r="B256" s="2" t="s">
        <v>285</v>
      </c>
      <c r="C256" s="2" t="s">
        <v>63</v>
      </c>
      <c r="D256" s="2" t="s">
        <v>13</v>
      </c>
      <c r="E256" s="84">
        <v>3.4000000000000002E-2</v>
      </c>
      <c r="F256" s="90" t="s">
        <v>14</v>
      </c>
      <c r="G256" s="3">
        <v>0.47631516305641514</v>
      </c>
      <c r="H256" s="91">
        <v>8.3214666076321997</v>
      </c>
      <c r="I256" s="3">
        <f t="shared" si="6"/>
        <v>0.1</v>
      </c>
      <c r="J256" s="89">
        <v>142650.68496062217</v>
      </c>
      <c r="K256" s="89">
        <f t="shared" si="7"/>
        <v>17142.493227069761</v>
      </c>
    </row>
    <row r="257" spans="1:11" ht="15" thickBot="1">
      <c r="A257" s="1">
        <v>2957800</v>
      </c>
      <c r="B257" s="2" t="s">
        <v>286</v>
      </c>
      <c r="C257" s="2" t="s">
        <v>131</v>
      </c>
      <c r="D257" s="2" t="s">
        <v>38</v>
      </c>
      <c r="E257" s="84">
        <v>3.4000000000000002E-2</v>
      </c>
      <c r="F257" s="90" t="s">
        <v>14</v>
      </c>
      <c r="G257" s="3">
        <v>0.37913223140495866</v>
      </c>
      <c r="H257" s="91">
        <v>6.1316069740447787</v>
      </c>
      <c r="I257" s="3">
        <f t="shared" si="6"/>
        <v>0.02</v>
      </c>
      <c r="J257" s="89">
        <v>21022.206204723265</v>
      </c>
      <c r="K257" s="89">
        <f t="shared" si="7"/>
        <v>3428.4986454139521</v>
      </c>
    </row>
    <row r="258" spans="1:11" ht="15" thickBot="1">
      <c r="A258" s="1">
        <v>7230200</v>
      </c>
      <c r="B258" s="2" t="s">
        <v>287</v>
      </c>
      <c r="C258" s="2" t="s">
        <v>23</v>
      </c>
      <c r="D258" s="2" t="s">
        <v>13</v>
      </c>
      <c r="E258" s="84">
        <v>3.4000000000000002E-2</v>
      </c>
      <c r="F258" s="90" t="s">
        <v>14</v>
      </c>
      <c r="G258" s="3">
        <v>0.16397760948304246</v>
      </c>
      <c r="H258" s="91">
        <v>6.5075508274797471</v>
      </c>
      <c r="I258" s="3">
        <f t="shared" ref="I258:I297" si="8">IFERROR(MAX(0, MIN(10%, TRUNC(G258 - IF(E258&gt;=35%,E258,35%),2)))*IF(G258&gt;=35%,1,0), 0)</f>
        <v>0</v>
      </c>
      <c r="J258" s="89">
        <v>0</v>
      </c>
      <c r="K258" s="89">
        <f t="shared" ref="K258:K321" si="9">J258/H258</f>
        <v>0</v>
      </c>
    </row>
    <row r="259" spans="1:11" ht="15" thickBot="1">
      <c r="A259" s="1">
        <v>3538600</v>
      </c>
      <c r="B259" s="2" t="s">
        <v>288</v>
      </c>
      <c r="C259" s="2" t="s">
        <v>72</v>
      </c>
      <c r="D259" s="2" t="s">
        <v>13</v>
      </c>
      <c r="E259" s="84">
        <v>3.4000000000000002E-2</v>
      </c>
      <c r="F259" s="90" t="s">
        <v>14</v>
      </c>
      <c r="G259" s="3">
        <v>3.9805825242718446E-2</v>
      </c>
      <c r="H259" s="91">
        <v>8.6974104610671681</v>
      </c>
      <c r="I259" s="3">
        <f t="shared" si="8"/>
        <v>0</v>
      </c>
      <c r="J259" s="89">
        <v>0</v>
      </c>
      <c r="K259" s="89">
        <f t="shared" si="9"/>
        <v>0</v>
      </c>
    </row>
    <row r="260" spans="1:11" ht="15" thickBot="1">
      <c r="A260" s="1">
        <v>4848600</v>
      </c>
      <c r="B260" s="2" t="s">
        <v>289</v>
      </c>
      <c r="C260" s="2" t="s">
        <v>25</v>
      </c>
      <c r="D260" s="2" t="s">
        <v>17</v>
      </c>
      <c r="E260" s="84">
        <v>3.3000000000000002E-2</v>
      </c>
      <c r="F260" s="90" t="s">
        <v>14</v>
      </c>
      <c r="G260" s="3">
        <v>0.11813426329555361</v>
      </c>
      <c r="H260" s="91">
        <v>9.2594385343496839</v>
      </c>
      <c r="I260" s="3">
        <f t="shared" si="8"/>
        <v>0</v>
      </c>
      <c r="J260" s="89">
        <v>0</v>
      </c>
      <c r="K260" s="89">
        <f t="shared" si="9"/>
        <v>0</v>
      </c>
    </row>
    <row r="261" spans="1:11" ht="15" thickBot="1">
      <c r="A261" s="1">
        <v>5944600</v>
      </c>
      <c r="B261" s="2" t="s">
        <v>290</v>
      </c>
      <c r="C261" s="2" t="s">
        <v>63</v>
      </c>
      <c r="D261" s="2" t="s">
        <v>13</v>
      </c>
      <c r="E261" s="84">
        <v>3.2000000000000001E-2</v>
      </c>
      <c r="F261" s="90" t="s">
        <v>14</v>
      </c>
      <c r="G261" s="3">
        <v>0.10150309460654289</v>
      </c>
      <c r="H261" s="91">
        <v>13.451626030645102</v>
      </c>
      <c r="I261" s="3">
        <f t="shared" si="8"/>
        <v>0</v>
      </c>
      <c r="J261" s="89">
        <v>0</v>
      </c>
      <c r="K261" s="89">
        <f t="shared" si="9"/>
        <v>0</v>
      </c>
    </row>
    <row r="262" spans="1:11" ht="15" thickBot="1">
      <c r="A262" s="1">
        <v>7231300</v>
      </c>
      <c r="B262" s="2" t="s">
        <v>291</v>
      </c>
      <c r="C262" s="2" t="s">
        <v>72</v>
      </c>
      <c r="D262" s="2" t="s">
        <v>13</v>
      </c>
      <c r="E262" s="84">
        <v>3.1E-2</v>
      </c>
      <c r="F262" s="90" t="s">
        <v>14</v>
      </c>
      <c r="G262" s="3">
        <v>0.46859903381642515</v>
      </c>
      <c r="H262" s="91">
        <v>7.1742174941464132</v>
      </c>
      <c r="I262" s="3">
        <f t="shared" si="8"/>
        <v>0.1</v>
      </c>
      <c r="J262" s="89">
        <v>122983.97480293029</v>
      </c>
      <c r="K262" s="89">
        <f t="shared" si="9"/>
        <v>17142.493227069761</v>
      </c>
    </row>
    <row r="263" spans="1:11" ht="15" thickBot="1">
      <c r="A263" s="1">
        <v>3950200</v>
      </c>
      <c r="B263" s="2" t="s">
        <v>292</v>
      </c>
      <c r="C263" s="2" t="s">
        <v>70</v>
      </c>
      <c r="D263" s="2" t="s">
        <v>17</v>
      </c>
      <c r="E263" s="85">
        <v>0.03</v>
      </c>
      <c r="F263" s="90" t="s">
        <v>14</v>
      </c>
      <c r="G263" s="3">
        <v>0.6157740993184031</v>
      </c>
      <c r="H263" s="91">
        <v>9.6351849414242459</v>
      </c>
      <c r="I263" s="3">
        <f t="shared" si="8"/>
        <v>0.1</v>
      </c>
      <c r="J263" s="89">
        <v>165171.09259992969</v>
      </c>
      <c r="K263" s="89">
        <f t="shared" si="9"/>
        <v>17142.493227069761</v>
      </c>
    </row>
    <row r="264" spans="1:11" ht="15" thickBot="1">
      <c r="A264" s="1">
        <v>7960300</v>
      </c>
      <c r="B264" s="2" t="s">
        <v>293</v>
      </c>
      <c r="C264" s="2" t="s">
        <v>16</v>
      </c>
      <c r="D264" s="2" t="s">
        <v>17</v>
      </c>
      <c r="E264" s="86">
        <v>2.9000000000000001E-2</v>
      </c>
      <c r="F264" s="90" t="s">
        <v>14</v>
      </c>
      <c r="G264" s="3">
        <v>0.48491031199523932</v>
      </c>
      <c r="H264" s="91">
        <v>16.041951236774121</v>
      </c>
      <c r="I264" s="3">
        <f t="shared" si="8"/>
        <v>0.1</v>
      </c>
      <c r="J264" s="89">
        <v>274999.04042538378</v>
      </c>
      <c r="K264" s="89">
        <f t="shared" si="9"/>
        <v>17142.493227069761</v>
      </c>
    </row>
    <row r="265" spans="1:11" ht="15" thickBot="1">
      <c r="A265" s="1">
        <v>3461600</v>
      </c>
      <c r="B265" s="2" t="s">
        <v>294</v>
      </c>
      <c r="C265" s="2" t="s">
        <v>94</v>
      </c>
      <c r="D265" s="2" t="s">
        <v>38</v>
      </c>
      <c r="E265" s="86">
        <v>2.9000000000000001E-2</v>
      </c>
      <c r="F265" s="90" t="s">
        <v>14</v>
      </c>
      <c r="G265" s="3">
        <v>0.3203125</v>
      </c>
      <c r="H265" s="91">
        <v>13.451626030645102</v>
      </c>
      <c r="I265" s="3">
        <f t="shared" si="8"/>
        <v>0</v>
      </c>
      <c r="J265" s="89">
        <v>0</v>
      </c>
      <c r="K265" s="89">
        <f t="shared" si="9"/>
        <v>0</v>
      </c>
    </row>
    <row r="266" spans="1:11" ht="15" thickBot="1">
      <c r="A266" s="1">
        <v>2968500</v>
      </c>
      <c r="B266" s="2" t="s">
        <v>295</v>
      </c>
      <c r="C266" s="2" t="s">
        <v>131</v>
      </c>
      <c r="D266" s="2" t="s">
        <v>38</v>
      </c>
      <c r="E266" s="86">
        <v>2.9000000000000001E-2</v>
      </c>
      <c r="F266" s="90" t="s">
        <v>14</v>
      </c>
      <c r="G266" s="3">
        <v>0.13146466640347415</v>
      </c>
      <c r="H266" s="91">
        <v>10.135382387784652</v>
      </c>
      <c r="I266" s="3">
        <f t="shared" si="8"/>
        <v>0</v>
      </c>
      <c r="J266" s="89">
        <v>0</v>
      </c>
      <c r="K266" s="89">
        <f t="shared" si="9"/>
        <v>0</v>
      </c>
    </row>
    <row r="267" spans="1:11" ht="15" thickBot="1">
      <c r="A267" s="1">
        <v>8265300</v>
      </c>
      <c r="B267" s="2" t="s">
        <v>296</v>
      </c>
      <c r="C267" s="2" t="s">
        <v>19</v>
      </c>
      <c r="D267" s="2" t="s">
        <v>17</v>
      </c>
      <c r="E267" s="86">
        <v>2.9000000000000001E-2</v>
      </c>
      <c r="F267" s="90" t="s">
        <v>14</v>
      </c>
      <c r="G267" s="3">
        <v>0.12719891745602166</v>
      </c>
      <c r="H267" s="91">
        <v>10.573354314502136</v>
      </c>
      <c r="I267" s="3">
        <f t="shared" si="8"/>
        <v>0</v>
      </c>
      <c r="J267" s="89">
        <v>0</v>
      </c>
      <c r="K267" s="89">
        <f t="shared" si="9"/>
        <v>0</v>
      </c>
    </row>
    <row r="268" spans="1:11" ht="15" thickBot="1">
      <c r="A268" s="1">
        <v>8150300</v>
      </c>
      <c r="B268" s="2" t="s">
        <v>297</v>
      </c>
      <c r="C268" s="2" t="s">
        <v>25</v>
      </c>
      <c r="D268" s="2" t="s">
        <v>17</v>
      </c>
      <c r="E268" s="86">
        <v>2.8000000000000001E-2</v>
      </c>
      <c r="F268" s="90" t="s">
        <v>14</v>
      </c>
      <c r="G268" s="3">
        <v>0.69074492099322804</v>
      </c>
      <c r="H268" s="91">
        <v>6.1316069740447787</v>
      </c>
      <c r="I268" s="3">
        <f t="shared" si="8"/>
        <v>0.1</v>
      </c>
      <c r="J268" s="89">
        <v>105111.03102361634</v>
      </c>
      <c r="K268" s="89">
        <f t="shared" si="9"/>
        <v>17142.493227069761</v>
      </c>
    </row>
    <row r="269" spans="1:11" ht="15" thickBot="1">
      <c r="A269" s="1">
        <v>3459300</v>
      </c>
      <c r="B269" s="2" t="s">
        <v>298</v>
      </c>
      <c r="C269" s="2" t="s">
        <v>94</v>
      </c>
      <c r="D269" s="2" t="s">
        <v>38</v>
      </c>
      <c r="E269" s="86">
        <v>2.8000000000000001E-2</v>
      </c>
      <c r="F269" s="90" t="s">
        <v>14</v>
      </c>
      <c r="G269" s="3">
        <v>0.12271480804387569</v>
      </c>
      <c r="H269" s="91">
        <v>9.0094385343496839</v>
      </c>
      <c r="I269" s="3">
        <f t="shared" si="8"/>
        <v>0</v>
      </c>
      <c r="J269" s="89">
        <v>0</v>
      </c>
      <c r="K269" s="89">
        <f t="shared" si="9"/>
        <v>0</v>
      </c>
    </row>
    <row r="270" spans="1:11" ht="15" thickBot="1">
      <c r="A270" s="1">
        <v>3843600</v>
      </c>
      <c r="B270" s="2" t="s">
        <v>299</v>
      </c>
      <c r="C270" s="2" t="s">
        <v>131</v>
      </c>
      <c r="D270" s="2" t="s">
        <v>38</v>
      </c>
      <c r="E270" s="86">
        <v>2.8000000000000001E-2</v>
      </c>
      <c r="F270" s="90" t="s">
        <v>14</v>
      </c>
      <c r="G270" s="3">
        <v>8.8871096877501998E-2</v>
      </c>
      <c r="H270" s="91">
        <v>16.041951236774121</v>
      </c>
      <c r="I270" s="3">
        <f t="shared" si="8"/>
        <v>0</v>
      </c>
      <c r="J270" s="89">
        <v>0</v>
      </c>
      <c r="K270" s="89">
        <f t="shared" si="9"/>
        <v>0</v>
      </c>
    </row>
    <row r="271" spans="1:11" ht="15" thickBot="1">
      <c r="A271" s="1">
        <v>3560300</v>
      </c>
      <c r="B271" s="2" t="s">
        <v>300</v>
      </c>
      <c r="C271" s="2" t="s">
        <v>37</v>
      </c>
      <c r="D271" s="2" t="s">
        <v>38</v>
      </c>
      <c r="E271" s="86">
        <v>2.8000000000000001E-2</v>
      </c>
      <c r="F271" s="90" t="s">
        <v>14</v>
      </c>
      <c r="G271" s="3">
        <v>8.5083467959073775E-2</v>
      </c>
      <c r="H271" s="91">
        <v>16.041951236774121</v>
      </c>
      <c r="I271" s="3">
        <f t="shared" si="8"/>
        <v>0</v>
      </c>
      <c r="J271" s="89">
        <v>0</v>
      </c>
      <c r="K271" s="89">
        <f t="shared" si="9"/>
        <v>0</v>
      </c>
    </row>
    <row r="272" spans="1:11" ht="15" thickBot="1">
      <c r="A272" s="1">
        <v>7259000</v>
      </c>
      <c r="B272" s="2" t="s">
        <v>301</v>
      </c>
      <c r="C272" s="2" t="s">
        <v>94</v>
      </c>
      <c r="D272" s="2" t="s">
        <v>38</v>
      </c>
      <c r="E272" s="86">
        <v>2.7E-2</v>
      </c>
      <c r="F272" s="90" t="s">
        <v>14</v>
      </c>
      <c r="G272" s="3">
        <v>8.2408874801901746E-2</v>
      </c>
      <c r="H272" s="91">
        <v>16.041951236774121</v>
      </c>
      <c r="I272" s="3">
        <f t="shared" si="8"/>
        <v>0</v>
      </c>
      <c r="J272" s="89">
        <v>0</v>
      </c>
      <c r="K272" s="89">
        <f t="shared" si="9"/>
        <v>0</v>
      </c>
    </row>
    <row r="273" spans="1:11" ht="15" thickBot="1">
      <c r="A273" s="1">
        <v>5129600</v>
      </c>
      <c r="B273" s="2" t="s">
        <v>302</v>
      </c>
      <c r="C273" s="2" t="s">
        <v>25</v>
      </c>
      <c r="D273" s="2" t="s">
        <v>17</v>
      </c>
      <c r="E273" s="86">
        <v>2.7E-2</v>
      </c>
      <c r="F273" s="90" t="s">
        <v>14</v>
      </c>
      <c r="G273" s="3">
        <v>6.8924603602631862E-2</v>
      </c>
      <c r="H273" s="91">
        <v>13.451626030645102</v>
      </c>
      <c r="I273" s="3">
        <f t="shared" si="8"/>
        <v>0</v>
      </c>
      <c r="J273" s="89">
        <v>0</v>
      </c>
      <c r="K273" s="89">
        <f t="shared" si="9"/>
        <v>0</v>
      </c>
    </row>
    <row r="274" spans="1:11" ht="15" thickBot="1">
      <c r="A274" s="1">
        <v>3558500</v>
      </c>
      <c r="B274" s="2" t="s">
        <v>303</v>
      </c>
      <c r="C274" s="2" t="s">
        <v>61</v>
      </c>
      <c r="D274" s="2" t="s">
        <v>38</v>
      </c>
      <c r="E274" s="86">
        <v>2.7E-2</v>
      </c>
      <c r="F274" s="90" t="s">
        <v>14</v>
      </c>
      <c r="G274" s="3">
        <v>6.5462575912926882E-2</v>
      </c>
      <c r="H274" s="91">
        <v>16.041951236774121</v>
      </c>
      <c r="I274" s="3">
        <f t="shared" si="8"/>
        <v>0</v>
      </c>
      <c r="J274" s="89">
        <v>0</v>
      </c>
      <c r="K274" s="89">
        <f t="shared" si="9"/>
        <v>0</v>
      </c>
    </row>
    <row r="275" spans="1:11" ht="15" thickBot="1">
      <c r="A275" s="1">
        <v>3844700</v>
      </c>
      <c r="B275" s="2" t="s">
        <v>304</v>
      </c>
      <c r="C275" s="2" t="s">
        <v>131</v>
      </c>
      <c r="D275" s="2" t="s">
        <v>38</v>
      </c>
      <c r="E275" s="86">
        <v>2.7E-2</v>
      </c>
      <c r="F275" s="90" t="s">
        <v>14</v>
      </c>
      <c r="G275" s="3">
        <v>5.6333288475501411E-2</v>
      </c>
      <c r="H275" s="91">
        <v>18.632276442903144</v>
      </c>
      <c r="I275" s="3">
        <f t="shared" si="8"/>
        <v>0</v>
      </c>
      <c r="J275" s="89">
        <v>0</v>
      </c>
      <c r="K275" s="89">
        <f t="shared" si="9"/>
        <v>0</v>
      </c>
    </row>
    <row r="276" spans="1:11" ht="15" thickBot="1">
      <c r="A276" s="1">
        <v>8105300</v>
      </c>
      <c r="B276" s="2" t="s">
        <v>305</v>
      </c>
      <c r="C276" s="2" t="s">
        <v>94</v>
      </c>
      <c r="D276" s="2" t="s">
        <v>38</v>
      </c>
      <c r="E276" s="86">
        <v>2.7E-2</v>
      </c>
      <c r="F276" s="90" t="s">
        <v>14</v>
      </c>
      <c r="G276" s="3">
        <v>5.0597480891376896E-2</v>
      </c>
      <c r="H276" s="91">
        <v>13.451626030645102</v>
      </c>
      <c r="I276" s="3">
        <f t="shared" si="8"/>
        <v>0</v>
      </c>
      <c r="J276" s="89">
        <v>0</v>
      </c>
      <c r="K276" s="89">
        <f t="shared" si="9"/>
        <v>0</v>
      </c>
    </row>
    <row r="277" spans="1:11" ht="15" thickBot="1">
      <c r="A277" s="1">
        <v>3550000</v>
      </c>
      <c r="B277" s="2" t="s">
        <v>306</v>
      </c>
      <c r="C277" s="2" t="s">
        <v>131</v>
      </c>
      <c r="D277" s="2" t="s">
        <v>38</v>
      </c>
      <c r="E277" s="86">
        <v>2.5999999999999999E-2</v>
      </c>
      <c r="F277" s="90" t="s">
        <v>14</v>
      </c>
      <c r="G277" s="3">
        <v>8.9625537139349287E-2</v>
      </c>
      <c r="H277" s="91">
        <v>6.8195789007622629</v>
      </c>
      <c r="I277" s="3">
        <f t="shared" si="8"/>
        <v>0</v>
      </c>
      <c r="J277" s="89">
        <v>0</v>
      </c>
      <c r="K277" s="89">
        <f t="shared" si="9"/>
        <v>0</v>
      </c>
    </row>
    <row r="278" spans="1:11" ht="15" thickBot="1">
      <c r="A278" s="1">
        <v>6928600</v>
      </c>
      <c r="B278" s="2" t="s">
        <v>307</v>
      </c>
      <c r="C278" s="2" t="s">
        <v>72</v>
      </c>
      <c r="D278" s="2" t="s">
        <v>13</v>
      </c>
      <c r="E278" s="86">
        <v>2.5000000000000001E-2</v>
      </c>
      <c r="F278" s="90" t="s">
        <v>14</v>
      </c>
      <c r="G278" s="3">
        <v>0.59369777980274485</v>
      </c>
      <c r="H278" s="91">
        <v>11.011326241219621</v>
      </c>
      <c r="I278" s="3">
        <f t="shared" si="8"/>
        <v>0.1</v>
      </c>
      <c r="J278" s="89">
        <v>188761.58551116288</v>
      </c>
      <c r="K278" s="89">
        <f t="shared" si="9"/>
        <v>17142.493227069761</v>
      </c>
    </row>
    <row r="279" spans="1:11" ht="15" thickBot="1">
      <c r="A279" s="1">
        <v>3545300</v>
      </c>
      <c r="B279" s="2" t="s">
        <v>308</v>
      </c>
      <c r="C279" s="2" t="s">
        <v>37</v>
      </c>
      <c r="D279" s="2" t="s">
        <v>38</v>
      </c>
      <c r="E279" s="87">
        <v>2.4E-2</v>
      </c>
      <c r="F279" s="90" t="s">
        <v>14</v>
      </c>
      <c r="G279" s="3">
        <v>0.25861264120997107</v>
      </c>
      <c r="H279" s="91">
        <v>17.337113839838629</v>
      </c>
      <c r="I279" s="3">
        <f t="shared" si="8"/>
        <v>0</v>
      </c>
      <c r="J279" s="89">
        <v>0</v>
      </c>
      <c r="K279" s="89">
        <f t="shared" si="9"/>
        <v>0</v>
      </c>
    </row>
    <row r="280" spans="1:11" ht="15" thickBot="1">
      <c r="A280" s="1">
        <v>3439000</v>
      </c>
      <c r="B280" s="2" t="s">
        <v>309</v>
      </c>
      <c r="C280" s="2" t="s">
        <v>37</v>
      </c>
      <c r="D280" s="2" t="s">
        <v>38</v>
      </c>
      <c r="E280" s="87">
        <v>2.4E-2</v>
      </c>
      <c r="F280" s="90" t="s">
        <v>14</v>
      </c>
      <c r="G280" s="3">
        <v>7.9619921363040635E-2</v>
      </c>
      <c r="H280" s="91">
        <v>10.361300824516082</v>
      </c>
      <c r="I280" s="3">
        <f t="shared" si="8"/>
        <v>0</v>
      </c>
      <c r="J280" s="89">
        <v>0</v>
      </c>
      <c r="K280" s="89">
        <f t="shared" si="9"/>
        <v>0</v>
      </c>
    </row>
    <row r="281" spans="1:11" ht="15" thickBot="1">
      <c r="A281" s="1">
        <v>5146400</v>
      </c>
      <c r="B281" s="2" t="s">
        <v>310</v>
      </c>
      <c r="C281" s="2" t="s">
        <v>37</v>
      </c>
      <c r="D281" s="2" t="s">
        <v>38</v>
      </c>
      <c r="E281" s="87">
        <v>2.3E-2</v>
      </c>
      <c r="F281" s="90" t="s">
        <v>14</v>
      </c>
      <c r="G281" s="3">
        <v>0.45667721890022278</v>
      </c>
      <c r="H281" s="91">
        <v>12.156463427580594</v>
      </c>
      <c r="I281" s="3">
        <f t="shared" si="8"/>
        <v>0.1</v>
      </c>
      <c r="J281" s="89">
        <v>208392.09197242162</v>
      </c>
      <c r="K281" s="89">
        <f t="shared" si="9"/>
        <v>17142.493227069765</v>
      </c>
    </row>
    <row r="282" spans="1:11" ht="15" thickBot="1">
      <c r="A282" s="1">
        <v>7247600</v>
      </c>
      <c r="B282" s="2" t="s">
        <v>311</v>
      </c>
      <c r="C282" s="2" t="s">
        <v>94</v>
      </c>
      <c r="D282" s="2" t="s">
        <v>38</v>
      </c>
      <c r="E282" s="87">
        <v>2.3E-2</v>
      </c>
      <c r="F282" s="90" t="s">
        <v>14</v>
      </c>
      <c r="G282" s="3">
        <v>0.18178942373596246</v>
      </c>
      <c r="H282" s="91">
        <v>21.222601649032168</v>
      </c>
      <c r="I282" s="3">
        <f t="shared" si="8"/>
        <v>0</v>
      </c>
      <c r="J282" s="89">
        <v>0</v>
      </c>
      <c r="K282" s="89">
        <f t="shared" si="9"/>
        <v>0</v>
      </c>
    </row>
    <row r="283" spans="1:11" ht="15" thickBot="1">
      <c r="A283" s="11">
        <v>3560800</v>
      </c>
      <c r="B283" s="12" t="s">
        <v>312</v>
      </c>
      <c r="C283" s="2" t="s">
        <v>37</v>
      </c>
      <c r="D283" s="2" t="s">
        <v>38</v>
      </c>
      <c r="E283" s="111">
        <v>2.1999999999999999E-2</v>
      </c>
      <c r="F283" s="90" t="s">
        <v>14</v>
      </c>
      <c r="G283" s="3">
        <v>0.40641035175132001</v>
      </c>
      <c r="H283" s="91">
        <v>16.041951236774121</v>
      </c>
      <c r="I283" s="3">
        <f t="shared" si="8"/>
        <v>0.05</v>
      </c>
      <c r="J283" s="89">
        <v>137499.52021269189</v>
      </c>
      <c r="K283" s="89">
        <f t="shared" si="9"/>
        <v>8571.2466135348805</v>
      </c>
    </row>
    <row r="284" spans="1:11" ht="15" thickBot="1">
      <c r="A284" s="1">
        <v>5149500</v>
      </c>
      <c r="B284" s="2" t="s">
        <v>313</v>
      </c>
      <c r="C284" s="2" t="s">
        <v>63</v>
      </c>
      <c r="D284" s="2" t="s">
        <v>13</v>
      </c>
      <c r="E284" s="87">
        <v>2.1999999999999999E-2</v>
      </c>
      <c r="F284" s="90" t="s">
        <v>14</v>
      </c>
      <c r="G284" s="3">
        <v>0.1382776419451236</v>
      </c>
      <c r="H284" s="91">
        <v>12.156463427580594</v>
      </c>
      <c r="I284" s="3">
        <f t="shared" si="8"/>
        <v>0</v>
      </c>
      <c r="J284" s="89">
        <v>0</v>
      </c>
      <c r="K284" s="89">
        <f t="shared" si="9"/>
        <v>0</v>
      </c>
    </row>
    <row r="285" spans="1:11" ht="15" thickBot="1">
      <c r="A285" s="1">
        <v>2856400</v>
      </c>
      <c r="B285" s="2" t="s">
        <v>314</v>
      </c>
      <c r="C285" s="2" t="s">
        <v>45</v>
      </c>
      <c r="D285" s="2" t="s">
        <v>38</v>
      </c>
      <c r="E285" s="87">
        <v>2.1999999999999999E-2</v>
      </c>
      <c r="F285" s="90" t="s">
        <v>14</v>
      </c>
      <c r="G285" s="3">
        <v>0.12492651381540271</v>
      </c>
      <c r="H285" s="91">
        <v>9.3539734584225851</v>
      </c>
      <c r="I285" s="3">
        <f t="shared" si="8"/>
        <v>0</v>
      </c>
      <c r="J285" s="89">
        <v>0</v>
      </c>
      <c r="K285" s="89">
        <f t="shared" si="9"/>
        <v>0</v>
      </c>
    </row>
    <row r="286" spans="1:11" ht="15" thickBot="1">
      <c r="A286" s="1">
        <v>7765300</v>
      </c>
      <c r="B286" s="2" t="s">
        <v>315</v>
      </c>
      <c r="C286" s="2" t="s">
        <v>131</v>
      </c>
      <c r="D286" s="2" t="s">
        <v>38</v>
      </c>
      <c r="E286" s="87">
        <v>2.1999999999999999E-2</v>
      </c>
      <c r="F286" s="90" t="s">
        <v>14</v>
      </c>
      <c r="G286" s="3">
        <v>8.9476124246638852E-2</v>
      </c>
      <c r="H286" s="91">
        <v>8.2594385343496839</v>
      </c>
      <c r="I286" s="3">
        <f t="shared" si="8"/>
        <v>0</v>
      </c>
      <c r="J286" s="89">
        <v>0</v>
      </c>
      <c r="K286" s="89">
        <f t="shared" si="9"/>
        <v>0</v>
      </c>
    </row>
    <row r="287" spans="1:11" ht="15" thickBot="1">
      <c r="A287" s="1">
        <v>7235300</v>
      </c>
      <c r="B287" s="2" t="s">
        <v>316</v>
      </c>
      <c r="C287" s="2" t="s">
        <v>72</v>
      </c>
      <c r="D287" s="2" t="s">
        <v>13</v>
      </c>
      <c r="E287" s="87">
        <v>2.1000000000000001E-2</v>
      </c>
      <c r="F287" s="90" t="s">
        <v>14</v>
      </c>
      <c r="G287" s="3">
        <v>0.1755043227665706</v>
      </c>
      <c r="H287" s="91">
        <v>13.451626030645102</v>
      </c>
      <c r="I287" s="3">
        <f t="shared" si="8"/>
        <v>0</v>
      </c>
      <c r="J287" s="89">
        <v>0</v>
      </c>
      <c r="K287" s="89">
        <f t="shared" si="9"/>
        <v>0</v>
      </c>
    </row>
    <row r="288" spans="1:11" ht="15" thickBot="1">
      <c r="A288" s="1">
        <v>6236700</v>
      </c>
      <c r="B288" s="2" t="s">
        <v>317</v>
      </c>
      <c r="C288" s="2" t="s">
        <v>63</v>
      </c>
      <c r="D288" s="2" t="s">
        <v>13</v>
      </c>
      <c r="E288" s="87">
        <v>2.1000000000000001E-2</v>
      </c>
      <c r="F288" s="90" t="s">
        <v>14</v>
      </c>
      <c r="G288" s="3">
        <v>2.918855808523059E-2</v>
      </c>
      <c r="H288" s="91">
        <v>6.2982736407114448</v>
      </c>
      <c r="I288" s="3">
        <f t="shared" si="8"/>
        <v>0</v>
      </c>
      <c r="J288" s="89">
        <v>0</v>
      </c>
      <c r="K288" s="89">
        <f t="shared" si="9"/>
        <v>0</v>
      </c>
    </row>
    <row r="289" spans="1:11" ht="15" thickBot="1">
      <c r="A289" s="1">
        <v>2876700</v>
      </c>
      <c r="B289" s="2" t="s">
        <v>318</v>
      </c>
      <c r="C289" s="2" t="s">
        <v>131</v>
      </c>
      <c r="D289" s="2" t="s">
        <v>38</v>
      </c>
      <c r="E289" s="87">
        <v>0.02</v>
      </c>
      <c r="F289" s="90" t="s">
        <v>14</v>
      </c>
      <c r="G289" s="3">
        <v>0.10559662090813093</v>
      </c>
      <c r="H289" s="91">
        <v>5.6936350473272945</v>
      </c>
      <c r="I289" s="3">
        <f t="shared" si="8"/>
        <v>0</v>
      </c>
      <c r="J289" s="89">
        <v>0</v>
      </c>
      <c r="K289" s="89">
        <f t="shared" si="9"/>
        <v>0</v>
      </c>
    </row>
    <row r="290" spans="1:11" ht="15" thickBot="1">
      <c r="A290" s="1">
        <v>8000300</v>
      </c>
      <c r="B290" s="2" t="s">
        <v>319</v>
      </c>
      <c r="C290" s="2" t="s">
        <v>70</v>
      </c>
      <c r="D290" s="2" t="s">
        <v>17</v>
      </c>
      <c r="E290" s="87">
        <v>0.02</v>
      </c>
      <c r="F290" s="90" t="s">
        <v>14</v>
      </c>
      <c r="G290" s="3">
        <v>0.10035750735334777</v>
      </c>
      <c r="H290" s="91">
        <v>6.9029122340955977</v>
      </c>
      <c r="I290" s="3">
        <f t="shared" si="8"/>
        <v>0</v>
      </c>
      <c r="J290" s="89">
        <v>0</v>
      </c>
      <c r="K290" s="89">
        <f t="shared" si="9"/>
        <v>0</v>
      </c>
    </row>
    <row r="291" spans="1:11" ht="15" thickBot="1">
      <c r="A291" s="1">
        <v>7975300</v>
      </c>
      <c r="B291" s="2" t="s">
        <v>320</v>
      </c>
      <c r="C291" s="2" t="s">
        <v>19</v>
      </c>
      <c r="D291" s="2" t="s">
        <v>17</v>
      </c>
      <c r="E291" s="87">
        <v>1.9E-2</v>
      </c>
      <c r="F291" s="90" t="s">
        <v>14</v>
      </c>
      <c r="G291" s="3">
        <v>0.31885310290652003</v>
      </c>
      <c r="H291" s="91">
        <v>21.222601649032168</v>
      </c>
      <c r="I291" s="3">
        <f t="shared" si="8"/>
        <v>0</v>
      </c>
      <c r="J291" s="89">
        <v>0</v>
      </c>
      <c r="K291" s="89">
        <f t="shared" si="9"/>
        <v>0</v>
      </c>
    </row>
    <row r="292" spans="1:11" ht="15" thickBot="1">
      <c r="A292" s="1">
        <v>6131200</v>
      </c>
      <c r="B292" s="2" t="s">
        <v>321</v>
      </c>
      <c r="C292" s="2" t="s">
        <v>12</v>
      </c>
      <c r="D292" s="2" t="s">
        <v>13</v>
      </c>
      <c r="E292" s="88">
        <v>1.9E-2</v>
      </c>
      <c r="F292" s="90" t="s">
        <v>14</v>
      </c>
      <c r="G292" s="3">
        <v>0.19111111111111112</v>
      </c>
      <c r="H292" s="91">
        <v>13.451626030645102</v>
      </c>
      <c r="I292" s="3">
        <f t="shared" si="8"/>
        <v>0</v>
      </c>
      <c r="J292" s="89">
        <v>0</v>
      </c>
      <c r="K292" s="89">
        <f t="shared" si="9"/>
        <v>0</v>
      </c>
    </row>
    <row r="293" spans="1:11" ht="15" thickBot="1">
      <c r="A293" s="1">
        <v>4155200</v>
      </c>
      <c r="B293" s="2" t="s">
        <v>322</v>
      </c>
      <c r="C293" s="2" t="s">
        <v>70</v>
      </c>
      <c r="D293" s="2" t="s">
        <v>17</v>
      </c>
      <c r="E293" s="88">
        <v>1.7999999999999999E-2</v>
      </c>
      <c r="F293" s="90" t="s">
        <v>14</v>
      </c>
      <c r="G293" s="3">
        <v>3.7439613526570048E-2</v>
      </c>
      <c r="H293" s="91">
        <v>5.6936350473272945</v>
      </c>
      <c r="I293" s="3">
        <f t="shared" si="8"/>
        <v>0</v>
      </c>
      <c r="J293" s="89">
        <v>0</v>
      </c>
      <c r="K293" s="89">
        <f t="shared" si="9"/>
        <v>0</v>
      </c>
    </row>
    <row r="294" spans="1:11" ht="15" thickBot="1">
      <c r="A294" s="1">
        <v>6250700</v>
      </c>
      <c r="B294" s="2" t="s">
        <v>323</v>
      </c>
      <c r="C294" s="2" t="s">
        <v>63</v>
      </c>
      <c r="D294" s="2" t="s">
        <v>13</v>
      </c>
      <c r="E294" s="88">
        <v>1.7999999999999999E-2</v>
      </c>
      <c r="F294" s="90" t="s">
        <v>14</v>
      </c>
      <c r="G294" s="3">
        <v>2.5985275010827199E-2</v>
      </c>
      <c r="H294" s="91">
        <v>6.736245567428929</v>
      </c>
      <c r="I294" s="3">
        <f t="shared" si="8"/>
        <v>0</v>
      </c>
      <c r="J294" s="89">
        <v>0</v>
      </c>
      <c r="K294" s="89">
        <f t="shared" si="9"/>
        <v>0</v>
      </c>
    </row>
    <row r="295" spans="1:11" ht="15" thickBot="1">
      <c r="A295" s="1">
        <v>5045300</v>
      </c>
      <c r="B295" s="2" t="s">
        <v>324</v>
      </c>
      <c r="C295" s="2" t="s">
        <v>87</v>
      </c>
      <c r="D295" s="2" t="s">
        <v>17</v>
      </c>
      <c r="E295" s="88">
        <v>1.7000000000000001E-2</v>
      </c>
      <c r="F295" s="90" t="s">
        <v>14</v>
      </c>
      <c r="G295" s="3">
        <v>2.0356234096692113E-2</v>
      </c>
      <c r="H295" s="91">
        <v>8.6974104610671681</v>
      </c>
      <c r="I295" s="3">
        <f t="shared" si="8"/>
        <v>0</v>
      </c>
      <c r="J295" s="89">
        <v>0</v>
      </c>
      <c r="K295" s="89">
        <f t="shared" si="9"/>
        <v>0</v>
      </c>
    </row>
    <row r="296" spans="1:11" ht="15" thickBot="1">
      <c r="A296" s="1">
        <v>7845300</v>
      </c>
      <c r="B296" s="2" t="s">
        <v>325</v>
      </c>
      <c r="C296" s="2" t="s">
        <v>49</v>
      </c>
      <c r="D296" s="93" t="s">
        <v>13</v>
      </c>
      <c r="E296" s="99">
        <v>1.6E-2</v>
      </c>
      <c r="F296" s="90" t="s">
        <v>14</v>
      </c>
      <c r="G296" s="3">
        <v>0.68419170243204575</v>
      </c>
      <c r="H296" s="91">
        <v>6.736245567428929</v>
      </c>
      <c r="I296" s="3">
        <f t="shared" si="8"/>
        <v>0.1</v>
      </c>
      <c r="J296" s="89">
        <v>115476.0440155291</v>
      </c>
      <c r="K296" s="89">
        <f t="shared" si="9"/>
        <v>17142.493227069757</v>
      </c>
    </row>
    <row r="297" spans="1:11" ht="15" thickBot="1">
      <c r="A297" s="1">
        <v>3544800</v>
      </c>
      <c r="B297" s="2" t="s">
        <v>326</v>
      </c>
      <c r="C297" s="98" t="s">
        <v>131</v>
      </c>
      <c r="D297" s="100" t="s">
        <v>38</v>
      </c>
      <c r="E297" s="117">
        <v>1.4E-2</v>
      </c>
      <c r="F297" s="90" t="s">
        <v>14</v>
      </c>
      <c r="G297" s="3">
        <v>0.15121059846404872</v>
      </c>
      <c r="H297" s="91">
        <v>16.041951236774121</v>
      </c>
      <c r="I297" s="3">
        <f t="shared" si="8"/>
        <v>0</v>
      </c>
      <c r="J297" s="89">
        <v>0</v>
      </c>
      <c r="K297" s="89">
        <f t="shared" si="9"/>
        <v>0</v>
      </c>
    </row>
    <row r="298" spans="1:11" ht="15" thickBot="1"/>
    <row r="299" spans="1:11" ht="15" thickBot="1">
      <c r="F299" s="104" t="s">
        <v>327</v>
      </c>
      <c r="G299" s="92">
        <f>AVERAGE($G$2:$G$297)</f>
        <v>0.35167881512929616</v>
      </c>
      <c r="H299" s="91"/>
      <c r="I299" s="103" t="s">
        <v>328</v>
      </c>
      <c r="J299" s="105">
        <f>SUM($J$2:$J$297)</f>
        <v>19999999.999999981</v>
      </c>
      <c r="K299" s="106">
        <f>SUMPRODUCT($H$2:$H$297,$K$2:$K$297)</f>
        <v>19999999.999999981</v>
      </c>
    </row>
  </sheetData>
  <autoFilter ref="A1:K1" xr:uid="{00000000-0001-0000-0000-000000000000}">
    <sortState xmlns:xlrd2="http://schemas.microsoft.com/office/spreadsheetml/2017/richdata2" ref="A2:K297">
      <sortCondition descending="1" ref="E1"/>
    </sortState>
  </autoFilter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Soltész István (Prodiák)</dc:creator>
  <cp:keywords/>
  <dc:description/>
  <cp:lastModifiedBy/>
  <cp:revision/>
  <dcterms:created xsi:type="dcterms:W3CDTF">2015-06-05T18:19:34Z</dcterms:created>
  <dcterms:modified xsi:type="dcterms:W3CDTF">2025-05-22T21:41:26Z</dcterms:modified>
  <cp:category/>
  <cp:contentStatus/>
</cp:coreProperties>
</file>